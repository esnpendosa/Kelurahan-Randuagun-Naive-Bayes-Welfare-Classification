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SKRIPSII\HASIL SKRIPSI FIXX\"/>
    </mc:Choice>
  </mc:AlternateContent>
  <xr:revisionPtr revIDLastSave="0" documentId="13_ncr:1_{09230C3B-8F0C-4085-9B01-1145E1EEEAD4}" xr6:coauthVersionLast="47" xr6:coauthVersionMax="47" xr10:uidLastSave="{00000000-0000-0000-0000-000000000000}"/>
  <bookViews>
    <workbookView xWindow="-108" yWindow="-108" windowWidth="23256" windowHeight="12456" tabRatio="599" firstSheet="1" activeTab="5" xr2:uid="{D064E9FF-8F79-4233-9656-810C23DD2569}"/>
  </bookViews>
  <sheets>
    <sheet name="Training 1+Uji 1" sheetId="11" r:id="rId1"/>
    <sheet name="Data Training 1" sheetId="1" r:id="rId2"/>
    <sheet name="Data Uji 1" sheetId="3" r:id="rId3"/>
    <sheet name="Evaluasi 1" sheetId="8" r:id="rId4"/>
    <sheet name="Training2+Uji2" sheetId="12" r:id="rId5"/>
    <sheet name="Data Training 2" sheetId="9" r:id="rId6"/>
    <sheet name="Data Uji 2" sheetId="10" r:id="rId7"/>
    <sheet name="IM (Indikator miskin)" sheetId="2" r:id="rId8"/>
    <sheet name="Seleksi Atribut Tidak Terpakai" sheetId="7" r:id="rId9"/>
    <sheet name="Seluruh Data Warga" sheetId="5" r:id="rId10"/>
  </sheets>
  <definedNames>
    <definedName name="_xlnm._FilterDatabase" localSheetId="1" hidden="1">'Data Training 1'!$C$1:$AM$79</definedName>
    <definedName name="_xlnm._FilterDatabase" localSheetId="2" hidden="1">'Data Uji 1'!$A$1:$AM$1</definedName>
    <definedName name="_xlnm._FilterDatabase" localSheetId="9" hidden="1">'Seluruh Data Warga'!$A$1:$C$113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8" l="1"/>
  <c r="AQ6" i="3"/>
  <c r="B2" i="8"/>
  <c r="AQ4" i="3"/>
  <c r="AQ9" i="3"/>
  <c r="AQ8" i="3"/>
  <c r="AQ7" i="3"/>
  <c r="AQ5" i="3"/>
  <c r="AQ14" i="3"/>
  <c r="AQ15" i="3"/>
  <c r="AQ16" i="3"/>
  <c r="AQ17" i="3"/>
  <c r="AQ18" i="3"/>
  <c r="AQ19" i="3"/>
  <c r="AT31" i="9"/>
  <c r="AY216" i="9"/>
  <c r="AX216" i="9"/>
  <c r="AW216" i="9"/>
  <c r="AV216" i="9"/>
  <c r="AU216" i="9"/>
  <c r="AT216" i="9"/>
  <c r="AY215" i="9"/>
  <c r="AX215" i="9"/>
  <c r="AW215" i="9"/>
  <c r="AV215" i="9"/>
  <c r="AU215" i="9"/>
  <c r="AT215" i="9"/>
  <c r="AY212" i="9"/>
  <c r="AX212" i="9"/>
  <c r="AW212" i="9"/>
  <c r="AV212" i="9"/>
  <c r="AU212" i="9"/>
  <c r="AT212" i="9"/>
  <c r="AY211" i="9"/>
  <c r="AX211" i="9"/>
  <c r="AW211" i="9"/>
  <c r="AV211" i="9"/>
  <c r="AU211" i="9"/>
  <c r="AT211" i="9"/>
  <c r="AY208" i="9"/>
  <c r="AX208" i="9"/>
  <c r="AW208" i="9"/>
  <c r="AV208" i="9"/>
  <c r="AU208" i="9"/>
  <c r="AT208" i="9"/>
  <c r="AY207" i="9"/>
  <c r="AX207" i="9"/>
  <c r="AW207" i="9"/>
  <c r="AV207" i="9"/>
  <c r="AU207" i="9"/>
  <c r="AT207" i="9"/>
  <c r="AY204" i="9"/>
  <c r="AX204" i="9"/>
  <c r="AW204" i="9"/>
  <c r="AV204" i="9"/>
  <c r="AU204" i="9"/>
  <c r="AT204" i="9"/>
  <c r="AY203" i="9"/>
  <c r="AX203" i="9"/>
  <c r="AW203" i="9"/>
  <c r="AV203" i="9"/>
  <c r="AU203" i="9"/>
  <c r="AT203" i="9"/>
  <c r="AY200" i="9"/>
  <c r="AX200" i="9"/>
  <c r="AW200" i="9"/>
  <c r="AV200" i="9"/>
  <c r="AU200" i="9"/>
  <c r="AT200" i="9"/>
  <c r="AY199" i="9"/>
  <c r="AX199" i="9"/>
  <c r="AW199" i="9"/>
  <c r="AV199" i="9"/>
  <c r="AU199" i="9"/>
  <c r="AT199" i="9"/>
  <c r="AY196" i="9"/>
  <c r="AX196" i="9"/>
  <c r="AW196" i="9"/>
  <c r="AV196" i="9"/>
  <c r="AU196" i="9"/>
  <c r="AT196" i="9"/>
  <c r="AY195" i="9"/>
  <c r="AX195" i="9"/>
  <c r="AW195" i="9"/>
  <c r="AV195" i="9"/>
  <c r="AU195" i="9"/>
  <c r="AT195" i="9"/>
  <c r="AY192" i="9"/>
  <c r="AX192" i="9"/>
  <c r="AW192" i="9"/>
  <c r="AV192" i="9"/>
  <c r="AU192" i="9"/>
  <c r="AT192" i="9"/>
  <c r="AY191" i="9"/>
  <c r="AX191" i="9"/>
  <c r="AW191" i="9"/>
  <c r="AV191" i="9"/>
  <c r="AU191" i="9"/>
  <c r="AT191" i="9"/>
  <c r="AY188" i="9"/>
  <c r="AX188" i="9"/>
  <c r="AW188" i="9"/>
  <c r="AV188" i="9"/>
  <c r="AU188" i="9"/>
  <c r="AT188" i="9"/>
  <c r="AY187" i="9"/>
  <c r="AX187" i="9"/>
  <c r="AW187" i="9"/>
  <c r="AV187" i="9"/>
  <c r="AU187" i="9"/>
  <c r="AT187" i="9"/>
  <c r="AY184" i="9"/>
  <c r="AX184" i="9"/>
  <c r="AW184" i="9"/>
  <c r="AV184" i="9"/>
  <c r="AU184" i="9"/>
  <c r="AT184" i="9"/>
  <c r="AY183" i="9"/>
  <c r="AX183" i="9"/>
  <c r="AW183" i="9"/>
  <c r="AV183" i="9"/>
  <c r="AU183" i="9"/>
  <c r="AT183" i="9"/>
  <c r="AY180" i="9"/>
  <c r="AX180" i="9"/>
  <c r="AW180" i="9"/>
  <c r="AV180" i="9"/>
  <c r="AU180" i="9"/>
  <c r="AT180" i="9"/>
  <c r="AY179" i="9"/>
  <c r="AX179" i="9"/>
  <c r="AW179" i="9"/>
  <c r="AV179" i="9"/>
  <c r="AU179" i="9"/>
  <c r="AT179" i="9"/>
  <c r="AY176" i="9"/>
  <c r="AX176" i="9"/>
  <c r="AW176" i="9"/>
  <c r="AV176" i="9"/>
  <c r="AU176" i="9"/>
  <c r="AT176" i="9"/>
  <c r="AY175" i="9"/>
  <c r="AX175" i="9"/>
  <c r="AW175" i="9"/>
  <c r="AV175" i="9"/>
  <c r="AU175" i="9"/>
  <c r="AT175" i="9"/>
  <c r="AY172" i="9"/>
  <c r="AX172" i="9"/>
  <c r="AW172" i="9"/>
  <c r="AV172" i="9"/>
  <c r="AU172" i="9"/>
  <c r="AT172" i="9"/>
  <c r="AY171" i="9"/>
  <c r="AX171" i="9"/>
  <c r="AW171" i="9"/>
  <c r="AV171" i="9"/>
  <c r="AU171" i="9"/>
  <c r="AT171" i="9"/>
  <c r="AY168" i="9"/>
  <c r="AX168" i="9"/>
  <c r="AW168" i="9"/>
  <c r="AV168" i="9"/>
  <c r="AU168" i="9"/>
  <c r="AT168" i="9"/>
  <c r="AY167" i="9"/>
  <c r="AX167" i="9"/>
  <c r="AW167" i="9"/>
  <c r="AV167" i="9"/>
  <c r="AU167" i="9"/>
  <c r="AT167" i="9"/>
  <c r="AY164" i="9"/>
  <c r="AX164" i="9"/>
  <c r="AW164" i="9"/>
  <c r="AV164" i="9"/>
  <c r="AU164" i="9"/>
  <c r="AT164" i="9"/>
  <c r="AY163" i="9"/>
  <c r="AX163" i="9"/>
  <c r="AW163" i="9"/>
  <c r="AV163" i="9"/>
  <c r="AU163" i="9"/>
  <c r="AT163" i="9"/>
  <c r="AY160" i="9"/>
  <c r="AX160" i="9"/>
  <c r="AW160" i="9"/>
  <c r="AV160" i="9"/>
  <c r="AU160" i="9"/>
  <c r="AT160" i="9"/>
  <c r="AY159" i="9"/>
  <c r="AX159" i="9"/>
  <c r="AW159" i="9"/>
  <c r="AV159" i="9"/>
  <c r="AU159" i="9"/>
  <c r="AT159" i="9"/>
  <c r="AY158" i="9"/>
  <c r="AX158" i="9"/>
  <c r="AW158" i="9"/>
  <c r="AV158" i="9"/>
  <c r="AU158" i="9"/>
  <c r="AT158" i="9"/>
  <c r="AY157" i="9"/>
  <c r="AX157" i="9"/>
  <c r="AW157" i="9"/>
  <c r="AV157" i="9"/>
  <c r="AU157" i="9"/>
  <c r="AT157" i="9"/>
  <c r="AY154" i="9"/>
  <c r="AX154" i="9"/>
  <c r="AW154" i="9"/>
  <c r="AV154" i="9"/>
  <c r="AU154" i="9"/>
  <c r="AT154" i="9"/>
  <c r="AY153" i="9"/>
  <c r="AX153" i="9"/>
  <c r="AW153" i="9"/>
  <c r="AV153" i="9"/>
  <c r="AU153" i="9"/>
  <c r="AT153" i="9"/>
  <c r="AY152" i="9"/>
  <c r="AX152" i="9"/>
  <c r="AW152" i="9"/>
  <c r="AV152" i="9"/>
  <c r="AU152" i="9"/>
  <c r="AT152" i="9"/>
  <c r="AY151" i="9"/>
  <c r="AX151" i="9"/>
  <c r="AW151" i="9"/>
  <c r="AV151" i="9"/>
  <c r="AU151" i="9"/>
  <c r="AT151" i="9"/>
  <c r="AY148" i="9"/>
  <c r="AX148" i="9"/>
  <c r="AW148" i="9"/>
  <c r="AV148" i="9"/>
  <c r="AU148" i="9"/>
  <c r="AT148" i="9"/>
  <c r="AY147" i="9"/>
  <c r="AX147" i="9"/>
  <c r="AW147" i="9"/>
  <c r="AV147" i="9"/>
  <c r="AU147" i="9"/>
  <c r="AT147" i="9"/>
  <c r="AY146" i="9"/>
  <c r="AX146" i="9"/>
  <c r="AW146" i="9"/>
  <c r="AV146" i="9"/>
  <c r="AU146" i="9"/>
  <c r="AT146" i="9"/>
  <c r="AY145" i="9"/>
  <c r="AX145" i="9"/>
  <c r="AW145" i="9"/>
  <c r="AV145" i="9"/>
  <c r="AU145" i="9"/>
  <c r="AT145" i="9"/>
  <c r="AY142" i="9"/>
  <c r="AX142" i="9"/>
  <c r="AW142" i="9"/>
  <c r="AV142" i="9"/>
  <c r="AU142" i="9"/>
  <c r="AT142" i="9"/>
  <c r="AY141" i="9"/>
  <c r="AX141" i="9"/>
  <c r="AW141" i="9"/>
  <c r="AV141" i="9"/>
  <c r="AU141" i="9"/>
  <c r="AT141" i="9"/>
  <c r="AY140" i="9"/>
  <c r="AX140" i="9"/>
  <c r="AW140" i="9"/>
  <c r="AV140" i="9"/>
  <c r="AU140" i="9"/>
  <c r="AT140" i="9"/>
  <c r="AY139" i="9"/>
  <c r="AX139" i="9"/>
  <c r="AW139" i="9"/>
  <c r="AV139" i="9"/>
  <c r="AU139" i="9"/>
  <c r="AT139" i="9"/>
  <c r="AY136" i="9"/>
  <c r="AX136" i="9"/>
  <c r="AW136" i="9"/>
  <c r="AV136" i="9"/>
  <c r="AU136" i="9"/>
  <c r="AT136" i="9"/>
  <c r="AY135" i="9"/>
  <c r="AX135" i="9"/>
  <c r="AW135" i="9"/>
  <c r="AV135" i="9"/>
  <c r="AU135" i="9"/>
  <c r="AT135" i="9"/>
  <c r="AY134" i="9"/>
  <c r="AX134" i="9"/>
  <c r="AW134" i="9"/>
  <c r="AV134" i="9"/>
  <c r="AU134" i="9"/>
  <c r="AT134" i="9"/>
  <c r="AY133" i="9"/>
  <c r="AX133" i="9"/>
  <c r="AW133" i="9"/>
  <c r="AV133" i="9"/>
  <c r="AU133" i="9"/>
  <c r="AT133" i="9"/>
  <c r="AY130" i="9"/>
  <c r="AX130" i="9"/>
  <c r="AW130" i="9"/>
  <c r="AV130" i="9"/>
  <c r="AU130" i="9"/>
  <c r="AT130" i="9"/>
  <c r="AY129" i="9"/>
  <c r="AX129" i="9"/>
  <c r="AW129" i="9"/>
  <c r="AV129" i="9"/>
  <c r="AU129" i="9"/>
  <c r="AT129" i="9"/>
  <c r="AY128" i="9"/>
  <c r="AX128" i="9"/>
  <c r="AW128" i="9"/>
  <c r="AV128" i="9"/>
  <c r="AU128" i="9"/>
  <c r="AT128" i="9"/>
  <c r="AY127" i="9"/>
  <c r="AX127" i="9"/>
  <c r="AW127" i="9"/>
  <c r="AV127" i="9"/>
  <c r="AU127" i="9"/>
  <c r="AT127" i="9"/>
  <c r="AY124" i="9"/>
  <c r="AX124" i="9"/>
  <c r="AW124" i="9"/>
  <c r="AV124" i="9"/>
  <c r="AU124" i="9"/>
  <c r="AT124" i="9"/>
  <c r="AY123" i="9"/>
  <c r="AX123" i="9"/>
  <c r="AW123" i="9"/>
  <c r="AV123" i="9"/>
  <c r="AU123" i="9"/>
  <c r="AT123" i="9"/>
  <c r="AY122" i="9"/>
  <c r="AX122" i="9"/>
  <c r="AW122" i="9"/>
  <c r="AV122" i="9"/>
  <c r="AU122" i="9"/>
  <c r="AT122" i="9"/>
  <c r="AY121" i="9"/>
  <c r="AX121" i="9"/>
  <c r="AW121" i="9"/>
  <c r="AV121" i="9"/>
  <c r="AU121" i="9"/>
  <c r="AT121" i="9"/>
  <c r="AY118" i="9"/>
  <c r="AX118" i="9"/>
  <c r="AW118" i="9"/>
  <c r="AV118" i="9"/>
  <c r="AU118" i="9"/>
  <c r="AT118" i="9"/>
  <c r="AY117" i="9"/>
  <c r="AX117" i="9"/>
  <c r="AW117" i="9"/>
  <c r="AV117" i="9"/>
  <c r="AU117" i="9"/>
  <c r="AT117" i="9"/>
  <c r="AY116" i="9"/>
  <c r="AX116" i="9"/>
  <c r="AW116" i="9"/>
  <c r="AV116" i="9"/>
  <c r="AU116" i="9"/>
  <c r="AT116" i="9"/>
  <c r="AY115" i="9"/>
  <c r="AX115" i="9"/>
  <c r="AW115" i="9"/>
  <c r="AV115" i="9"/>
  <c r="AU115" i="9"/>
  <c r="AT115" i="9"/>
  <c r="AY112" i="9"/>
  <c r="AX112" i="9"/>
  <c r="AW112" i="9"/>
  <c r="AV112" i="9"/>
  <c r="AU112" i="9"/>
  <c r="AT112" i="9"/>
  <c r="AY111" i="9"/>
  <c r="AX111" i="9"/>
  <c r="AW111" i="9"/>
  <c r="AV111" i="9"/>
  <c r="AU111" i="9"/>
  <c r="AT111" i="9"/>
  <c r="AY110" i="9"/>
  <c r="AX110" i="9"/>
  <c r="AW110" i="9"/>
  <c r="AV110" i="9"/>
  <c r="AU110" i="9"/>
  <c r="AT110" i="9"/>
  <c r="AY109" i="9"/>
  <c r="AX109" i="9"/>
  <c r="AW109" i="9"/>
  <c r="AV109" i="9"/>
  <c r="AU109" i="9"/>
  <c r="AT109" i="9"/>
  <c r="AY106" i="9"/>
  <c r="AX106" i="9"/>
  <c r="AW106" i="9"/>
  <c r="AV106" i="9"/>
  <c r="AU106" i="9"/>
  <c r="AT106" i="9"/>
  <c r="AY105" i="9"/>
  <c r="AX105" i="9"/>
  <c r="AW105" i="9"/>
  <c r="AV105" i="9"/>
  <c r="AU105" i="9"/>
  <c r="AT105" i="9"/>
  <c r="AY104" i="9"/>
  <c r="AX104" i="9"/>
  <c r="AW104" i="9"/>
  <c r="AV104" i="9"/>
  <c r="AU104" i="9"/>
  <c r="AT104" i="9"/>
  <c r="AY103" i="9"/>
  <c r="AX103" i="9"/>
  <c r="AW103" i="9"/>
  <c r="AV103" i="9"/>
  <c r="AU103" i="9"/>
  <c r="AT103" i="9"/>
  <c r="AY100" i="9"/>
  <c r="AX100" i="9"/>
  <c r="AW100" i="9"/>
  <c r="AV100" i="9"/>
  <c r="AU100" i="9"/>
  <c r="AT100" i="9"/>
  <c r="AY99" i="9"/>
  <c r="AX99" i="9"/>
  <c r="AW99" i="9"/>
  <c r="AV99" i="9"/>
  <c r="AU99" i="9"/>
  <c r="AT99" i="9"/>
  <c r="AY98" i="9"/>
  <c r="AX98" i="9"/>
  <c r="AW98" i="9"/>
  <c r="AV98" i="9"/>
  <c r="AU98" i="9"/>
  <c r="AT98" i="9"/>
  <c r="AY97" i="9"/>
  <c r="AX97" i="9"/>
  <c r="AW97" i="9"/>
  <c r="AV97" i="9"/>
  <c r="AU97" i="9"/>
  <c r="AT97" i="9"/>
  <c r="AY94" i="9"/>
  <c r="AX94" i="9"/>
  <c r="AW94" i="9"/>
  <c r="AV94" i="9"/>
  <c r="AU94" i="9"/>
  <c r="AT94" i="9"/>
  <c r="AY93" i="9"/>
  <c r="AX93" i="9"/>
  <c r="AW93" i="9"/>
  <c r="AV93" i="9"/>
  <c r="AU93" i="9"/>
  <c r="AT93" i="9"/>
  <c r="AY92" i="9"/>
  <c r="AX92" i="9"/>
  <c r="AW92" i="9"/>
  <c r="AV92" i="9"/>
  <c r="AU92" i="9"/>
  <c r="AT92" i="9"/>
  <c r="AY91" i="9"/>
  <c r="AX91" i="9"/>
  <c r="AW91" i="9"/>
  <c r="AV91" i="9"/>
  <c r="AU91" i="9"/>
  <c r="AT91" i="9"/>
  <c r="AY88" i="9"/>
  <c r="AX88" i="9"/>
  <c r="AW88" i="9"/>
  <c r="AV88" i="9"/>
  <c r="AU88" i="9"/>
  <c r="AT88" i="9"/>
  <c r="AY87" i="9"/>
  <c r="AX87" i="9"/>
  <c r="AW87" i="9"/>
  <c r="AV87" i="9"/>
  <c r="AU87" i="9"/>
  <c r="AT87" i="9"/>
  <c r="AY86" i="9"/>
  <c r="AX86" i="9"/>
  <c r="AW86" i="9"/>
  <c r="AV86" i="9"/>
  <c r="AU86" i="9"/>
  <c r="AT86" i="9"/>
  <c r="AY85" i="9"/>
  <c r="AX85" i="9"/>
  <c r="AW85" i="9"/>
  <c r="AV85" i="9"/>
  <c r="AU85" i="9"/>
  <c r="AT85" i="9"/>
  <c r="AY82" i="9"/>
  <c r="AX82" i="9"/>
  <c r="AW82" i="9"/>
  <c r="AV82" i="9"/>
  <c r="AU82" i="9"/>
  <c r="AT82" i="9"/>
  <c r="AY81" i="9"/>
  <c r="AX81" i="9"/>
  <c r="AW81" i="9"/>
  <c r="AV81" i="9"/>
  <c r="AU81" i="9"/>
  <c r="AT81" i="9"/>
  <c r="AY80" i="9"/>
  <c r="AX80" i="9"/>
  <c r="AW80" i="9"/>
  <c r="AV80" i="9"/>
  <c r="AU80" i="9"/>
  <c r="AT80" i="9"/>
  <c r="AY79" i="9"/>
  <c r="AX79" i="9"/>
  <c r="AW79" i="9"/>
  <c r="AV79" i="9"/>
  <c r="AU79" i="9"/>
  <c r="AT79" i="9"/>
  <c r="AY76" i="9"/>
  <c r="AX76" i="9"/>
  <c r="AW76" i="9"/>
  <c r="AV76" i="9"/>
  <c r="AU76" i="9"/>
  <c r="AT76" i="9"/>
  <c r="AY75" i="9"/>
  <c r="AX75" i="9"/>
  <c r="AW75" i="9"/>
  <c r="AV75" i="9"/>
  <c r="AU75" i="9"/>
  <c r="AT75" i="9"/>
  <c r="AY74" i="9"/>
  <c r="AX74" i="9"/>
  <c r="AW74" i="9"/>
  <c r="AV74" i="9"/>
  <c r="AU74" i="9"/>
  <c r="AT74" i="9"/>
  <c r="AY73" i="9"/>
  <c r="AX73" i="9"/>
  <c r="AW73" i="9"/>
  <c r="AV73" i="9"/>
  <c r="AU73" i="9"/>
  <c r="AT73" i="9"/>
  <c r="AY70" i="9"/>
  <c r="AX70" i="9"/>
  <c r="AW70" i="9"/>
  <c r="AV70" i="9"/>
  <c r="AU70" i="9"/>
  <c r="AT70" i="9"/>
  <c r="AY69" i="9"/>
  <c r="AX69" i="9"/>
  <c r="AW69" i="9"/>
  <c r="AV69" i="9"/>
  <c r="AU69" i="9"/>
  <c r="AT69" i="9"/>
  <c r="AY68" i="9"/>
  <c r="AX68" i="9"/>
  <c r="AW68" i="9"/>
  <c r="AV68" i="9"/>
  <c r="AU68" i="9"/>
  <c r="AT68" i="9"/>
  <c r="AY67" i="9"/>
  <c r="AX67" i="9"/>
  <c r="AW67" i="9"/>
  <c r="AV67" i="9"/>
  <c r="AU67" i="9"/>
  <c r="AT67" i="9"/>
  <c r="AY64" i="9"/>
  <c r="AX64" i="9"/>
  <c r="AW64" i="9"/>
  <c r="AV64" i="9"/>
  <c r="AU64" i="9"/>
  <c r="AT64" i="9"/>
  <c r="AY63" i="9"/>
  <c r="AX63" i="9"/>
  <c r="AW63" i="9"/>
  <c r="AV63" i="9"/>
  <c r="AU63" i="9"/>
  <c r="AT63" i="9"/>
  <c r="AY62" i="9"/>
  <c r="AX62" i="9"/>
  <c r="AW62" i="9"/>
  <c r="AV62" i="9"/>
  <c r="AU62" i="9"/>
  <c r="AT62" i="9"/>
  <c r="AY61" i="9"/>
  <c r="AX61" i="9"/>
  <c r="AW61" i="9"/>
  <c r="AV61" i="9"/>
  <c r="AU61" i="9"/>
  <c r="AT61" i="9"/>
  <c r="AY58" i="9"/>
  <c r="AX58" i="9"/>
  <c r="AW58" i="9"/>
  <c r="AV58" i="9"/>
  <c r="AU58" i="9"/>
  <c r="AT58" i="9"/>
  <c r="AY57" i="9"/>
  <c r="AX57" i="9"/>
  <c r="AW57" i="9"/>
  <c r="AV57" i="9"/>
  <c r="AU57" i="9"/>
  <c r="AT57" i="9"/>
  <c r="AY56" i="9"/>
  <c r="AX56" i="9"/>
  <c r="AW56" i="9"/>
  <c r="AV56" i="9"/>
  <c r="AU56" i="9"/>
  <c r="AT56" i="9"/>
  <c r="AY55" i="9"/>
  <c r="AX55" i="9"/>
  <c r="AW55" i="9"/>
  <c r="AV55" i="9"/>
  <c r="AU55" i="9"/>
  <c r="AT55" i="9"/>
  <c r="AY52" i="9"/>
  <c r="AX52" i="9"/>
  <c r="AW52" i="9"/>
  <c r="AV52" i="9"/>
  <c r="AU52" i="9"/>
  <c r="AT52" i="9"/>
  <c r="AY51" i="9"/>
  <c r="AX51" i="9"/>
  <c r="AW51" i="9"/>
  <c r="AV51" i="9"/>
  <c r="AU51" i="9"/>
  <c r="AT51" i="9"/>
  <c r="AY50" i="9"/>
  <c r="AX50" i="9"/>
  <c r="AW50" i="9"/>
  <c r="AV50" i="9"/>
  <c r="AU50" i="9"/>
  <c r="AT50" i="9"/>
  <c r="AY49" i="9"/>
  <c r="AX49" i="9"/>
  <c r="AW49" i="9"/>
  <c r="AV49" i="9"/>
  <c r="AU49" i="9"/>
  <c r="AT49" i="9"/>
  <c r="AY46" i="9"/>
  <c r="AX46" i="9"/>
  <c r="AW46" i="9"/>
  <c r="AV46" i="9"/>
  <c r="AU46" i="9"/>
  <c r="AT46" i="9"/>
  <c r="AY45" i="9"/>
  <c r="AX45" i="9"/>
  <c r="AW45" i="9"/>
  <c r="AV45" i="9"/>
  <c r="AU45" i="9"/>
  <c r="AT45" i="9"/>
  <c r="AY44" i="9"/>
  <c r="AX44" i="9"/>
  <c r="AW44" i="9"/>
  <c r="AV44" i="9"/>
  <c r="AU44" i="9"/>
  <c r="AT44" i="9"/>
  <c r="AY43" i="9"/>
  <c r="AX43" i="9"/>
  <c r="AW43" i="9"/>
  <c r="AV43" i="9"/>
  <c r="AU43" i="9"/>
  <c r="AT43" i="9"/>
  <c r="AY40" i="9"/>
  <c r="AX40" i="9"/>
  <c r="AW40" i="9"/>
  <c r="AV40" i="9"/>
  <c r="AU40" i="9"/>
  <c r="AT40" i="9"/>
  <c r="AY39" i="9"/>
  <c r="AX39" i="9"/>
  <c r="AW39" i="9"/>
  <c r="AV39" i="9"/>
  <c r="AU39" i="9"/>
  <c r="AT39" i="9"/>
  <c r="AY38" i="9"/>
  <c r="AX38" i="9"/>
  <c r="AW38" i="9"/>
  <c r="AV38" i="9"/>
  <c r="AU38" i="9"/>
  <c r="AT38" i="9"/>
  <c r="AY37" i="9"/>
  <c r="AX37" i="9"/>
  <c r="AW37" i="9"/>
  <c r="AV37" i="9"/>
  <c r="AU37" i="9"/>
  <c r="AT37" i="9"/>
  <c r="AY34" i="9"/>
  <c r="AX34" i="9"/>
  <c r="AW34" i="9"/>
  <c r="AV34" i="9"/>
  <c r="AU34" i="9"/>
  <c r="AT34" i="9"/>
  <c r="AY33" i="9"/>
  <c r="AX33" i="9"/>
  <c r="AW33" i="9"/>
  <c r="AV33" i="9"/>
  <c r="AU33" i="9"/>
  <c r="AT33" i="9"/>
  <c r="AT35" i="9" s="1"/>
  <c r="AY32" i="9"/>
  <c r="AX32" i="9"/>
  <c r="AW32" i="9"/>
  <c r="AV32" i="9"/>
  <c r="AU32" i="9"/>
  <c r="AT32" i="9"/>
  <c r="AY31" i="9"/>
  <c r="AX31" i="9"/>
  <c r="AW31" i="9"/>
  <c r="AV31" i="9"/>
  <c r="AV35" i="9" s="1"/>
  <c r="AU31" i="9"/>
  <c r="AU35" i="9" s="1"/>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 r="A27" i="9"/>
  <c r="A26" i="9"/>
  <c r="A25" i="9"/>
  <c r="A24" i="9"/>
  <c r="A23" i="9"/>
  <c r="A22" i="9"/>
  <c r="A21" i="9"/>
  <c r="A20" i="9"/>
  <c r="A19" i="9"/>
  <c r="A18" i="9"/>
  <c r="A17" i="9"/>
  <c r="A16" i="9"/>
  <c r="A15" i="9"/>
  <c r="A14" i="9"/>
  <c r="A13" i="9"/>
  <c r="A12" i="9"/>
  <c r="A11" i="9"/>
  <c r="A10" i="9"/>
  <c r="A9" i="9"/>
  <c r="A8" i="9"/>
  <c r="A7" i="9"/>
  <c r="A6" i="9"/>
  <c r="A5" i="9"/>
  <c r="A4" i="9"/>
  <c r="A3" i="9"/>
  <c r="A2" i="9"/>
  <c r="S25" i="8"/>
  <c r="S38" i="8" s="1"/>
  <c r="R13" i="8"/>
  <c r="AZ9" i="9"/>
  <c r="AY9" i="9"/>
  <c r="AX9" i="9"/>
  <c r="AW9" i="9"/>
  <c r="AV9" i="9"/>
  <c r="AV9" i="1"/>
  <c r="AU9" i="9"/>
  <c r="AU9" i="1"/>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10" i="12"/>
  <c r="A9" i="12"/>
  <c r="A8" i="12"/>
  <c r="A7" i="12"/>
  <c r="A6" i="12"/>
  <c r="A5" i="12"/>
  <c r="A4" i="12"/>
  <c r="A3" i="12"/>
  <c r="A2" i="12"/>
  <c r="A115" i="11"/>
  <c r="A80" i="11"/>
  <c r="A81" i="11"/>
  <c r="A82" i="11"/>
  <c r="A83" i="11"/>
  <c r="A84" i="11"/>
  <c r="A85" i="11"/>
  <c r="A86" i="11"/>
  <c r="A87" i="11"/>
  <c r="A88" i="11"/>
  <c r="A89" i="11"/>
  <c r="A90" i="11"/>
  <c r="A91" i="11"/>
  <c r="A92" i="11"/>
  <c r="A93" i="11"/>
  <c r="A94" i="11"/>
  <c r="A95" i="11"/>
  <c r="A96" i="11"/>
  <c r="A97" i="11"/>
  <c r="A98" i="11"/>
  <c r="A99" i="11"/>
  <c r="A100" i="11"/>
  <c r="A101" i="11"/>
  <c r="A102" i="11"/>
  <c r="A103" i="11"/>
  <c r="A104" i="11"/>
  <c r="A105" i="11"/>
  <c r="A106" i="11"/>
  <c r="A107" i="11"/>
  <c r="A108" i="11"/>
  <c r="A109" i="11"/>
  <c r="A110" i="11"/>
  <c r="A111" i="11"/>
  <c r="A112" i="11"/>
  <c r="A113" i="11"/>
  <c r="A114"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2" i="11"/>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T31" i="1"/>
  <c r="U11" i="8"/>
  <c r="J39" i="8"/>
  <c r="J38" i="8"/>
  <c r="A37" i="8"/>
  <c r="A36" i="8"/>
  <c r="Q35" i="8"/>
  <c r="S35" i="8" s="1"/>
  <c r="A35" i="8"/>
  <c r="Q34" i="8"/>
  <c r="S34" i="8" s="1"/>
  <c r="A34" i="8"/>
  <c r="Q33" i="8"/>
  <c r="S33" i="8" s="1"/>
  <c r="A33" i="8"/>
  <c r="Q32" i="8"/>
  <c r="S32" i="8" s="1"/>
  <c r="A32" i="8"/>
  <c r="Q31" i="8"/>
  <c r="S31" i="8" s="1"/>
  <c r="A31" i="8"/>
  <c r="Q30" i="8"/>
  <c r="S30" i="8" s="1"/>
  <c r="A30" i="8"/>
  <c r="A29" i="8"/>
  <c r="A28" i="8"/>
  <c r="A27" i="8"/>
  <c r="A26" i="8"/>
  <c r="A25" i="8"/>
  <c r="Q24" i="8"/>
  <c r="S24" i="8" s="1"/>
  <c r="A24" i="8"/>
  <c r="Q23" i="8"/>
  <c r="S23" i="8" s="1"/>
  <c r="A23" i="8"/>
  <c r="Q22" i="8"/>
  <c r="S22" i="8" s="1"/>
  <c r="A22" i="8"/>
  <c r="Q21" i="8"/>
  <c r="S21" i="8" s="1"/>
  <c r="A21" i="8"/>
  <c r="Q20" i="8"/>
  <c r="S20" i="8" s="1"/>
  <c r="A20" i="8"/>
  <c r="Q19" i="8"/>
  <c r="S19" i="8" s="1"/>
  <c r="A19" i="8"/>
  <c r="A18" i="8"/>
  <c r="A17" i="8"/>
  <c r="A16" i="8"/>
  <c r="A15" i="8"/>
  <c r="A14" i="8"/>
  <c r="A13" i="8"/>
  <c r="A12" i="8"/>
  <c r="T11" i="8"/>
  <c r="S11" i="8"/>
  <c r="R11" i="8"/>
  <c r="Q11" i="8"/>
  <c r="P11" i="8"/>
  <c r="O11" i="8"/>
  <c r="A11" i="8"/>
  <c r="U10" i="8"/>
  <c r="A10" i="8"/>
  <c r="U9" i="8"/>
  <c r="A9" i="8"/>
  <c r="U8" i="8"/>
  <c r="A8" i="8"/>
  <c r="U7" i="8"/>
  <c r="A7" i="8"/>
  <c r="U6" i="8"/>
  <c r="A6" i="8"/>
  <c r="U5" i="8"/>
  <c r="A5" i="8"/>
  <c r="A4" i="8"/>
  <c r="A3" i="8"/>
  <c r="A2" i="8"/>
  <c r="AT6" i="9" l="1"/>
  <c r="AW27" i="9" s="1"/>
  <c r="J40" i="8"/>
  <c r="S36" i="8"/>
  <c r="A5" i="3"/>
  <c r="AW23" i="9" l="1"/>
  <c r="AU1030" i="9" s="1"/>
  <c r="AW26" i="9"/>
  <c r="AU1092" i="9" s="1"/>
  <c r="AW22" i="9"/>
  <c r="AU1169" i="9" s="1"/>
  <c r="AW24" i="9"/>
  <c r="AU1072" i="9" s="1"/>
  <c r="AW25" i="9"/>
  <c r="AU1014" i="9" s="1"/>
  <c r="AU1235" i="9"/>
  <c r="AU1127" i="9"/>
  <c r="AU1109" i="9"/>
  <c r="AU1073" i="9"/>
  <c r="AU1080" i="9"/>
  <c r="AU1107" i="9"/>
  <c r="AU1071" i="9"/>
  <c r="AU1057" i="9"/>
  <c r="AU997" i="9"/>
  <c r="AU1128" i="9"/>
  <c r="AU1110" i="9"/>
  <c r="AU1074" i="9"/>
  <c r="AU1146" i="9"/>
  <c r="AU1042" i="9"/>
  <c r="AU1101" i="9"/>
  <c r="AU1083" i="9"/>
  <c r="AU964" i="9"/>
  <c r="AU1237" i="9"/>
  <c r="AU1174" i="9"/>
  <c r="AU998" i="9"/>
  <c r="AU979" i="9"/>
  <c r="AU1165" i="9"/>
  <c r="AU1129" i="9"/>
  <c r="AU1111" i="9"/>
  <c r="AU1093" i="9"/>
  <c r="AU1075" i="9"/>
  <c r="AU1025" i="9"/>
  <c r="AU1147" i="9"/>
  <c r="AU1016" i="9"/>
  <c r="AU1043" i="9"/>
  <c r="AU989" i="9"/>
  <c r="AU969" i="9"/>
  <c r="AU1120" i="9"/>
  <c r="AU1102" i="9"/>
  <c r="AU1084" i="9"/>
  <c r="AU1066" i="9"/>
  <c r="AU1138" i="9"/>
  <c r="A74" i="1"/>
  <c r="A75" i="1"/>
  <c r="A76" i="1"/>
  <c r="A77" i="1"/>
  <c r="A78" i="1"/>
  <c r="A79" i="1"/>
  <c r="A114" i="5"/>
  <c r="A115" i="5"/>
  <c r="A32" i="3"/>
  <c r="A33" i="3"/>
  <c r="A34" i="3"/>
  <c r="A35" i="3"/>
  <c r="A36" i="3"/>
  <c r="A37" i="3"/>
  <c r="A95" i="5"/>
  <c r="A96" i="5"/>
  <c r="A76" i="5"/>
  <c r="A77" i="5"/>
  <c r="A57" i="5"/>
  <c r="A58" i="5"/>
  <c r="A38" i="5"/>
  <c r="A39" i="5"/>
  <c r="A19" i="5"/>
  <c r="A20" i="5"/>
  <c r="A94" i="5"/>
  <c r="A97" i="5"/>
  <c r="A98" i="5"/>
  <c r="A99" i="5"/>
  <c r="A100" i="5"/>
  <c r="A101" i="5"/>
  <c r="A102" i="5"/>
  <c r="A103" i="5"/>
  <c r="A104" i="5"/>
  <c r="A105" i="5"/>
  <c r="A106" i="5"/>
  <c r="A107" i="5"/>
  <c r="A108" i="5"/>
  <c r="A109" i="5"/>
  <c r="A110" i="5"/>
  <c r="A111" i="5"/>
  <c r="A112" i="5"/>
  <c r="A113" i="5"/>
  <c r="A81" i="5"/>
  <c r="A82" i="5"/>
  <c r="A83" i="5"/>
  <c r="A84" i="5"/>
  <c r="A85" i="5"/>
  <c r="A86" i="5"/>
  <c r="A87" i="5"/>
  <c r="A88" i="5"/>
  <c r="A89" i="5"/>
  <c r="A90" i="5"/>
  <c r="A91" i="5"/>
  <c r="A92" i="5"/>
  <c r="A93" i="5"/>
  <c r="A72" i="5"/>
  <c r="A73" i="5"/>
  <c r="A74" i="5"/>
  <c r="A75" i="5"/>
  <c r="A78" i="5"/>
  <c r="A79" i="5"/>
  <c r="A80" i="5"/>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2" i="1"/>
  <c r="A3" i="3"/>
  <c r="A4" i="3"/>
  <c r="A6" i="3"/>
  <c r="A7" i="3"/>
  <c r="A8" i="3"/>
  <c r="A9" i="3"/>
  <c r="A10" i="3"/>
  <c r="A11" i="3"/>
  <c r="A12" i="3"/>
  <c r="A13" i="3"/>
  <c r="A14" i="3"/>
  <c r="A15" i="3"/>
  <c r="A16" i="3"/>
  <c r="A17" i="3"/>
  <c r="A18" i="3"/>
  <c r="A19" i="3"/>
  <c r="A20" i="3"/>
  <c r="A21" i="3"/>
  <c r="A22" i="3"/>
  <c r="A23" i="3"/>
  <c r="A24" i="3"/>
  <c r="A25" i="3"/>
  <c r="A26" i="3"/>
  <c r="A27" i="3"/>
  <c r="A28" i="3"/>
  <c r="A29" i="3"/>
  <c r="A30" i="3"/>
  <c r="A31" i="3"/>
  <c r="A2" i="3"/>
  <c r="A17" i="5"/>
  <c r="A18" i="5"/>
  <c r="A21" i="5"/>
  <c r="A22" i="5"/>
  <c r="A23" i="5"/>
  <c r="A24" i="5"/>
  <c r="A25" i="5"/>
  <c r="A26" i="5"/>
  <c r="A27" i="5"/>
  <c r="A28" i="5"/>
  <c r="A29" i="5"/>
  <c r="A30" i="5"/>
  <c r="A31" i="5"/>
  <c r="A32" i="5"/>
  <c r="A33" i="5"/>
  <c r="A34" i="5"/>
  <c r="A35" i="5"/>
  <c r="A36" i="5"/>
  <c r="A37" i="5"/>
  <c r="A40" i="5"/>
  <c r="A41" i="5"/>
  <c r="A42" i="5"/>
  <c r="A43" i="5"/>
  <c r="A44" i="5"/>
  <c r="A45" i="5"/>
  <c r="A46" i="5"/>
  <c r="A47" i="5"/>
  <c r="A48" i="5"/>
  <c r="A49" i="5"/>
  <c r="A50" i="5"/>
  <c r="A51" i="5"/>
  <c r="A52" i="5"/>
  <c r="A53" i="5"/>
  <c r="A54" i="5"/>
  <c r="A55" i="5"/>
  <c r="A56" i="5"/>
  <c r="A59" i="5"/>
  <c r="A60" i="5"/>
  <c r="A61" i="5"/>
  <c r="A62" i="5"/>
  <c r="A63" i="5"/>
  <c r="A64" i="5"/>
  <c r="A65" i="5"/>
  <c r="A66" i="5"/>
  <c r="A67" i="5"/>
  <c r="A68" i="5"/>
  <c r="A69" i="5"/>
  <c r="A70" i="5"/>
  <c r="A71" i="5"/>
  <c r="A3" i="5"/>
  <c r="A4" i="5"/>
  <c r="A5" i="5"/>
  <c r="A6" i="5"/>
  <c r="A7" i="5"/>
  <c r="A8" i="5"/>
  <c r="A9" i="5"/>
  <c r="A10" i="5"/>
  <c r="A11" i="5"/>
  <c r="A12" i="5"/>
  <c r="A13" i="5"/>
  <c r="A14" i="5"/>
  <c r="A15" i="5"/>
  <c r="A16" i="5"/>
  <c r="A2" i="5"/>
  <c r="AU1160" i="9" l="1"/>
  <c r="AU1089" i="9"/>
  <c r="AU1178" i="9"/>
  <c r="AU1232" i="9"/>
  <c r="AU1143" i="9"/>
  <c r="AU978" i="9"/>
  <c r="AU1065" i="9"/>
  <c r="AU1091" i="9"/>
  <c r="AU1119" i="9"/>
  <c r="AU1236" i="9"/>
  <c r="AU968" i="9"/>
  <c r="AU1137" i="9"/>
  <c r="AU988" i="9"/>
  <c r="AU1015" i="9"/>
  <c r="AU995" i="9"/>
  <c r="AU1049" i="9"/>
  <c r="AU1055" i="9"/>
  <c r="AU1234" i="9"/>
  <c r="AU1063" i="9"/>
  <c r="AU1081" i="9"/>
  <c r="AU1099" i="9"/>
  <c r="AU1117" i="9"/>
  <c r="AU966" i="9"/>
  <c r="AU986" i="9"/>
  <c r="AU996" i="9"/>
  <c r="AU977" i="9"/>
  <c r="AU1064" i="9"/>
  <c r="AU1118" i="9"/>
  <c r="AU1082" i="9"/>
  <c r="AU1100" i="9"/>
  <c r="AU1145" i="9"/>
  <c r="AU1040" i="9"/>
  <c r="AU1013" i="9"/>
  <c r="AU1090" i="9"/>
  <c r="AU1108" i="9"/>
  <c r="AU1126" i="9"/>
  <c r="AU976" i="9"/>
  <c r="AU1062" i="9"/>
  <c r="AU1098" i="9"/>
  <c r="AU1116" i="9"/>
  <c r="AU1039" i="9"/>
  <c r="AU1012" i="9"/>
  <c r="AU1196" i="9"/>
  <c r="AU1187" i="9"/>
  <c r="AU1070" i="9"/>
  <c r="AU974" i="9"/>
  <c r="AU1047" i="9"/>
  <c r="AU984" i="9"/>
  <c r="AU1020" i="9"/>
  <c r="AU1002" i="9"/>
  <c r="AU1205" i="9"/>
  <c r="AU1151" i="9"/>
  <c r="AU1029" i="9"/>
  <c r="AU1106" i="9"/>
  <c r="AU1003" i="9"/>
  <c r="AU1124" i="9"/>
  <c r="AU1079" i="9"/>
  <c r="AU1088" i="9"/>
  <c r="AU1061" i="9"/>
  <c r="AU1038" i="9"/>
  <c r="AU1214" i="9"/>
  <c r="AU1097" i="9"/>
  <c r="AU1011" i="9"/>
  <c r="AU993" i="9"/>
  <c r="AU1133" i="9"/>
  <c r="AU1115" i="9"/>
  <c r="AU1142" i="9"/>
  <c r="AU1223" i="9"/>
  <c r="AU994" i="9"/>
  <c r="AU967" i="9"/>
  <c r="AU987" i="9"/>
  <c r="AU1144" i="9"/>
  <c r="AU965" i="9"/>
  <c r="AU1021" i="9"/>
  <c r="AU1041" i="9"/>
  <c r="AU1125" i="9"/>
  <c r="AU975" i="9"/>
  <c r="AU1233" i="9"/>
  <c r="AU985" i="9"/>
  <c r="AT6" i="1"/>
  <c r="AW22" i="1" s="1"/>
  <c r="AZ9" i="1"/>
  <c r="AY9" i="1"/>
  <c r="AX9" i="1"/>
  <c r="AW9" i="1"/>
  <c r="AU31" i="1"/>
  <c r="AV31" i="1"/>
  <c r="AW31" i="1"/>
  <c r="AX31" i="1"/>
  <c r="AY31" i="1"/>
  <c r="AT32" i="1"/>
  <c r="AU32" i="1"/>
  <c r="AV32" i="1"/>
  <c r="AW32" i="1"/>
  <c r="AX32" i="1"/>
  <c r="AY32" i="1"/>
  <c r="AT33" i="1"/>
  <c r="AU33" i="1"/>
  <c r="AV33" i="1"/>
  <c r="AW33" i="1"/>
  <c r="AX33" i="1"/>
  <c r="AY33" i="1"/>
  <c r="AT34" i="1"/>
  <c r="AU34" i="1"/>
  <c r="AV34" i="1"/>
  <c r="AW34" i="1"/>
  <c r="AX34" i="1"/>
  <c r="AY34" i="1"/>
  <c r="AT37" i="1"/>
  <c r="AU37" i="1"/>
  <c r="AV37" i="1"/>
  <c r="AW37" i="1"/>
  <c r="AX37" i="1"/>
  <c r="AY37" i="1"/>
  <c r="AT38" i="1"/>
  <c r="AU38" i="1"/>
  <c r="AV38" i="1"/>
  <c r="AW38" i="1"/>
  <c r="AX38" i="1"/>
  <c r="AY38" i="1"/>
  <c r="AT39" i="1"/>
  <c r="AU39" i="1"/>
  <c r="AV39" i="1"/>
  <c r="AW39" i="1"/>
  <c r="AX39" i="1"/>
  <c r="AY39" i="1"/>
  <c r="AT40" i="1"/>
  <c r="AU40" i="1"/>
  <c r="AV40" i="1"/>
  <c r="AW40" i="1"/>
  <c r="AX40" i="1"/>
  <c r="AY40" i="1"/>
  <c r="AT43" i="1"/>
  <c r="AU43" i="1"/>
  <c r="AV43" i="1"/>
  <c r="AW43" i="1"/>
  <c r="AX43" i="1"/>
  <c r="AY43" i="1"/>
  <c r="AT44" i="1"/>
  <c r="AU44" i="1"/>
  <c r="AV44" i="1"/>
  <c r="AW44" i="1"/>
  <c r="AX44" i="1"/>
  <c r="AY44" i="1"/>
  <c r="AT45" i="1"/>
  <c r="AU45" i="1"/>
  <c r="AV45" i="1"/>
  <c r="AW45" i="1"/>
  <c r="AX45" i="1"/>
  <c r="AY45" i="1"/>
  <c r="AT46" i="1"/>
  <c r="AU46" i="1"/>
  <c r="AV46" i="1"/>
  <c r="AW46" i="1"/>
  <c r="AX46" i="1"/>
  <c r="AY46" i="1"/>
  <c r="AT49" i="1"/>
  <c r="AU49" i="1"/>
  <c r="AV49" i="1"/>
  <c r="AW49" i="1"/>
  <c r="AX49" i="1"/>
  <c r="AY49" i="1"/>
  <c r="AT50" i="1"/>
  <c r="AU50" i="1"/>
  <c r="AV50" i="1"/>
  <c r="AW50" i="1"/>
  <c r="AX50" i="1"/>
  <c r="AY50" i="1"/>
  <c r="AT51" i="1"/>
  <c r="AU51" i="1"/>
  <c r="AV51" i="1"/>
  <c r="AW51" i="1"/>
  <c r="AX51" i="1"/>
  <c r="AY51" i="1"/>
  <c r="AT52" i="1"/>
  <c r="AU52" i="1"/>
  <c r="AV52" i="1"/>
  <c r="AW52" i="1"/>
  <c r="AX52" i="1"/>
  <c r="AY52" i="1"/>
  <c r="AT55" i="1"/>
  <c r="AU55" i="1"/>
  <c r="AV55" i="1"/>
  <c r="AW55" i="1"/>
  <c r="AX55" i="1"/>
  <c r="AY55" i="1"/>
  <c r="AT56" i="1"/>
  <c r="AU56" i="1"/>
  <c r="AV56" i="1"/>
  <c r="AW56" i="1"/>
  <c r="AX56" i="1"/>
  <c r="AY56" i="1"/>
  <c r="AT57" i="1"/>
  <c r="AU57" i="1"/>
  <c r="AV57" i="1"/>
  <c r="AW57" i="1"/>
  <c r="AX57" i="1"/>
  <c r="AY57" i="1"/>
  <c r="AT58" i="1"/>
  <c r="AU58" i="1"/>
  <c r="AV58" i="1"/>
  <c r="AW58" i="1"/>
  <c r="AX58" i="1"/>
  <c r="AY58" i="1"/>
  <c r="AT61" i="1"/>
  <c r="AU61" i="1"/>
  <c r="AV61" i="1"/>
  <c r="AW61" i="1"/>
  <c r="AX61" i="1"/>
  <c r="AY61" i="1"/>
  <c r="AT62" i="1"/>
  <c r="AU62" i="1"/>
  <c r="AV62" i="1"/>
  <c r="AW62" i="1"/>
  <c r="AX62" i="1"/>
  <c r="AY62" i="1"/>
  <c r="AT63" i="1"/>
  <c r="AU63" i="1"/>
  <c r="AV63" i="1"/>
  <c r="AW63" i="1"/>
  <c r="AX63" i="1"/>
  <c r="AY63" i="1"/>
  <c r="AT64" i="1"/>
  <c r="AU64" i="1"/>
  <c r="AV64" i="1"/>
  <c r="AW64" i="1"/>
  <c r="AX64" i="1"/>
  <c r="AY64" i="1"/>
  <c r="AT67" i="1"/>
  <c r="AU67" i="1"/>
  <c r="AV67" i="1"/>
  <c r="AW67" i="1"/>
  <c r="AX67" i="1"/>
  <c r="AY67" i="1"/>
  <c r="AT68" i="1"/>
  <c r="AU68" i="1"/>
  <c r="AV68" i="1"/>
  <c r="AW68" i="1"/>
  <c r="AX68" i="1"/>
  <c r="AY68" i="1"/>
  <c r="AT69" i="1"/>
  <c r="AU69" i="1"/>
  <c r="AV69" i="1"/>
  <c r="AW69" i="1"/>
  <c r="AX69" i="1"/>
  <c r="AY69" i="1"/>
  <c r="AT70" i="1"/>
  <c r="AU70" i="1"/>
  <c r="AV70" i="1"/>
  <c r="AW70" i="1"/>
  <c r="AX70" i="1"/>
  <c r="AY70" i="1"/>
  <c r="AT73" i="1"/>
  <c r="AU73" i="1"/>
  <c r="AV73" i="1"/>
  <c r="AW73" i="1"/>
  <c r="AX73" i="1"/>
  <c r="AY73" i="1"/>
  <c r="AT74" i="1"/>
  <c r="AU74" i="1"/>
  <c r="AV74" i="1"/>
  <c r="AW74" i="1"/>
  <c r="AX74" i="1"/>
  <c r="AY74" i="1"/>
  <c r="AT75" i="1"/>
  <c r="AU75" i="1"/>
  <c r="AV75" i="1"/>
  <c r="AW75" i="1"/>
  <c r="AX75" i="1"/>
  <c r="AY75" i="1"/>
  <c r="AT76" i="1"/>
  <c r="AU76" i="1"/>
  <c r="AV76" i="1"/>
  <c r="AW76" i="1"/>
  <c r="AX76" i="1"/>
  <c r="AY76" i="1"/>
  <c r="AT79" i="1"/>
  <c r="AU79" i="1"/>
  <c r="AV79" i="1"/>
  <c r="AW79" i="1"/>
  <c r="AX79" i="1"/>
  <c r="AY79" i="1"/>
  <c r="AT80" i="1"/>
  <c r="AU80" i="1"/>
  <c r="AV80" i="1"/>
  <c r="AW80" i="1"/>
  <c r="AX80" i="1"/>
  <c r="AY80" i="1"/>
  <c r="AT81" i="1"/>
  <c r="AU81" i="1"/>
  <c r="AV81" i="1"/>
  <c r="AW81" i="1"/>
  <c r="AX81" i="1"/>
  <c r="AY81" i="1"/>
  <c r="AT82" i="1"/>
  <c r="AU82" i="1"/>
  <c r="AV82" i="1"/>
  <c r="AW82" i="1"/>
  <c r="AX82" i="1"/>
  <c r="AY82" i="1"/>
  <c r="AT85" i="1"/>
  <c r="AU85" i="1"/>
  <c r="AV85" i="1"/>
  <c r="AW85" i="1"/>
  <c r="AX85" i="1"/>
  <c r="AY85" i="1"/>
  <c r="AT86" i="1"/>
  <c r="AU86" i="1"/>
  <c r="AV86" i="1"/>
  <c r="AW86" i="1"/>
  <c r="AX86" i="1"/>
  <c r="AY86" i="1"/>
  <c r="AT87" i="1"/>
  <c r="AU87" i="1"/>
  <c r="AV87" i="1"/>
  <c r="AW87" i="1"/>
  <c r="AX87" i="1"/>
  <c r="AY87" i="1"/>
  <c r="AT88" i="1"/>
  <c r="AU88" i="1"/>
  <c r="AV88" i="1"/>
  <c r="AW88" i="1"/>
  <c r="AX88" i="1"/>
  <c r="AY88" i="1"/>
  <c r="AT91" i="1"/>
  <c r="AU91" i="1"/>
  <c r="AV91" i="1"/>
  <c r="AW91" i="1"/>
  <c r="AX91" i="1"/>
  <c r="AY91" i="1"/>
  <c r="AT92" i="1"/>
  <c r="AU92" i="1"/>
  <c r="AV92" i="1"/>
  <c r="AW92" i="1"/>
  <c r="AX92" i="1"/>
  <c r="AY92" i="1"/>
  <c r="AT93" i="1"/>
  <c r="AU93" i="1"/>
  <c r="AV93" i="1"/>
  <c r="AW93" i="1"/>
  <c r="AX93" i="1"/>
  <c r="AY93" i="1"/>
  <c r="AT94" i="1"/>
  <c r="AU94" i="1"/>
  <c r="AV94" i="1"/>
  <c r="AW94" i="1"/>
  <c r="AX94" i="1"/>
  <c r="AY94" i="1"/>
  <c r="AT97" i="1"/>
  <c r="AU97" i="1"/>
  <c r="AV97" i="1"/>
  <c r="AW97" i="1"/>
  <c r="AX97" i="1"/>
  <c r="AY97" i="1"/>
  <c r="AT98" i="1"/>
  <c r="AU98" i="1"/>
  <c r="AV98" i="1"/>
  <c r="AW98" i="1"/>
  <c r="AX98" i="1"/>
  <c r="AY98" i="1"/>
  <c r="AT99" i="1"/>
  <c r="AU99" i="1"/>
  <c r="AV99" i="1"/>
  <c r="AW99" i="1"/>
  <c r="AX99" i="1"/>
  <c r="AY99" i="1"/>
  <c r="AT100" i="1"/>
  <c r="AU100" i="1"/>
  <c r="AV100" i="1"/>
  <c r="AW100" i="1"/>
  <c r="AX100" i="1"/>
  <c r="AY100" i="1"/>
  <c r="AT103" i="1"/>
  <c r="AU103" i="1"/>
  <c r="AV103" i="1"/>
  <c r="AW103" i="1"/>
  <c r="AX103" i="1"/>
  <c r="AY103" i="1"/>
  <c r="AT104" i="1"/>
  <c r="AU104" i="1"/>
  <c r="AV104" i="1"/>
  <c r="AW104" i="1"/>
  <c r="AX104" i="1"/>
  <c r="AY104" i="1"/>
  <c r="AT105" i="1"/>
  <c r="AU105" i="1"/>
  <c r="AV105" i="1"/>
  <c r="AW105" i="1"/>
  <c r="AX105" i="1"/>
  <c r="AY105" i="1"/>
  <c r="AT106" i="1"/>
  <c r="AU106" i="1"/>
  <c r="AV106" i="1"/>
  <c r="AW106" i="1"/>
  <c r="AX106" i="1"/>
  <c r="AY106" i="1"/>
  <c r="AT109" i="1"/>
  <c r="AU109" i="1"/>
  <c r="AV109" i="1"/>
  <c r="AW109" i="1"/>
  <c r="AX109" i="1"/>
  <c r="AY109" i="1"/>
  <c r="AT110" i="1"/>
  <c r="AU110" i="1"/>
  <c r="AV110" i="1"/>
  <c r="AW110" i="1"/>
  <c r="AX110" i="1"/>
  <c r="AY110" i="1"/>
  <c r="AT111" i="1"/>
  <c r="AU111" i="1"/>
  <c r="AV111" i="1"/>
  <c r="AW111" i="1"/>
  <c r="AX111" i="1"/>
  <c r="AY111" i="1"/>
  <c r="AT112" i="1"/>
  <c r="AU112" i="1"/>
  <c r="AV112" i="1"/>
  <c r="AW112" i="1"/>
  <c r="AX112" i="1"/>
  <c r="AY112" i="1"/>
  <c r="AT115" i="1"/>
  <c r="AU115" i="1"/>
  <c r="AV115" i="1"/>
  <c r="AW115" i="1"/>
  <c r="AX115" i="1"/>
  <c r="AY115" i="1"/>
  <c r="AT116" i="1"/>
  <c r="AU116" i="1"/>
  <c r="AV116" i="1"/>
  <c r="AW116" i="1"/>
  <c r="AX116" i="1"/>
  <c r="AY116" i="1"/>
  <c r="AT117" i="1"/>
  <c r="AU117" i="1"/>
  <c r="AV117" i="1"/>
  <c r="AW117" i="1"/>
  <c r="AX117" i="1"/>
  <c r="AY117" i="1"/>
  <c r="AT118" i="1"/>
  <c r="AU118" i="1"/>
  <c r="AV118" i="1"/>
  <c r="AW118" i="1"/>
  <c r="AX118" i="1"/>
  <c r="AY118" i="1"/>
  <c r="AT121" i="1"/>
  <c r="AU121" i="1"/>
  <c r="AV121" i="1"/>
  <c r="AW121" i="1"/>
  <c r="AX121" i="1"/>
  <c r="AY121" i="1"/>
  <c r="AT122" i="1"/>
  <c r="AU122" i="1"/>
  <c r="AV122" i="1"/>
  <c r="AW122" i="1"/>
  <c r="AX122" i="1"/>
  <c r="AY122" i="1"/>
  <c r="AT123" i="1"/>
  <c r="AU123" i="1"/>
  <c r="AV123" i="1"/>
  <c r="AW123" i="1"/>
  <c r="AX123" i="1"/>
  <c r="AY123" i="1"/>
  <c r="AT124" i="1"/>
  <c r="AU124" i="1"/>
  <c r="AV124" i="1"/>
  <c r="AW124" i="1"/>
  <c r="AX124" i="1"/>
  <c r="AY124" i="1"/>
  <c r="AT127" i="1"/>
  <c r="AU127" i="1"/>
  <c r="AV127" i="1"/>
  <c r="AW127" i="1"/>
  <c r="AX127" i="1"/>
  <c r="AY127" i="1"/>
  <c r="AT128" i="1"/>
  <c r="AU128" i="1"/>
  <c r="AV128" i="1"/>
  <c r="AW128" i="1"/>
  <c r="AX128" i="1"/>
  <c r="AY128" i="1"/>
  <c r="AT129" i="1"/>
  <c r="AU129" i="1"/>
  <c r="AV129" i="1"/>
  <c r="AW129" i="1"/>
  <c r="AX129" i="1"/>
  <c r="AY129" i="1"/>
  <c r="AT130" i="1"/>
  <c r="AU130" i="1"/>
  <c r="AV130" i="1"/>
  <c r="AW130" i="1"/>
  <c r="AX130" i="1"/>
  <c r="AY130" i="1"/>
  <c r="AT133" i="1"/>
  <c r="AU133" i="1"/>
  <c r="AV133" i="1"/>
  <c r="AW133" i="1"/>
  <c r="AX133" i="1"/>
  <c r="AY133" i="1"/>
  <c r="AT134" i="1"/>
  <c r="AU134" i="1"/>
  <c r="AV134" i="1"/>
  <c r="AW134" i="1"/>
  <c r="AX134" i="1"/>
  <c r="AY134" i="1"/>
  <c r="AT135" i="1"/>
  <c r="AU135" i="1"/>
  <c r="AV135" i="1"/>
  <c r="AW135" i="1"/>
  <c r="AX135" i="1"/>
  <c r="AY135" i="1"/>
  <c r="AT136" i="1"/>
  <c r="AU136" i="1"/>
  <c r="AV136" i="1"/>
  <c r="AW136" i="1"/>
  <c r="AX136" i="1"/>
  <c r="AY136" i="1"/>
  <c r="AT139" i="1"/>
  <c r="AU139" i="1"/>
  <c r="AV139" i="1"/>
  <c r="AW139" i="1"/>
  <c r="AX139" i="1"/>
  <c r="AY139" i="1"/>
  <c r="AT140" i="1"/>
  <c r="AU140" i="1"/>
  <c r="AV140" i="1"/>
  <c r="AW140" i="1"/>
  <c r="AX140" i="1"/>
  <c r="AY140" i="1"/>
  <c r="AT141" i="1"/>
  <c r="AU141" i="1"/>
  <c r="AV141" i="1"/>
  <c r="AW141" i="1"/>
  <c r="AX141" i="1"/>
  <c r="AY141" i="1"/>
  <c r="AT142" i="1"/>
  <c r="AU142" i="1"/>
  <c r="AV142" i="1"/>
  <c r="AW142" i="1"/>
  <c r="AX142" i="1"/>
  <c r="AY142" i="1"/>
  <c r="AT145" i="1"/>
  <c r="AU145" i="1"/>
  <c r="AV145" i="1"/>
  <c r="AW145" i="1"/>
  <c r="AX145" i="1"/>
  <c r="AY145" i="1"/>
  <c r="AT146" i="1"/>
  <c r="AU146" i="1"/>
  <c r="AV146" i="1"/>
  <c r="AW146" i="1"/>
  <c r="AX146" i="1"/>
  <c r="AY146" i="1"/>
  <c r="AT147" i="1"/>
  <c r="AU147" i="1"/>
  <c r="AV147" i="1"/>
  <c r="AW147" i="1"/>
  <c r="AX147" i="1"/>
  <c r="AY147" i="1"/>
  <c r="AT148" i="1"/>
  <c r="AU148" i="1"/>
  <c r="AV148" i="1"/>
  <c r="AW148" i="1"/>
  <c r="AX148" i="1"/>
  <c r="AY148" i="1"/>
  <c r="AT151" i="1"/>
  <c r="AU151" i="1"/>
  <c r="AV151" i="1"/>
  <c r="AW151" i="1"/>
  <c r="AX151" i="1"/>
  <c r="AY151" i="1"/>
  <c r="AT152" i="1"/>
  <c r="AU152" i="1"/>
  <c r="AV152" i="1"/>
  <c r="AW152" i="1"/>
  <c r="AX152" i="1"/>
  <c r="AY152" i="1"/>
  <c r="AT153" i="1"/>
  <c r="AU153" i="1"/>
  <c r="AV153" i="1"/>
  <c r="AW153" i="1"/>
  <c r="AX153" i="1"/>
  <c r="AY153" i="1"/>
  <c r="AT154" i="1"/>
  <c r="AU154" i="1"/>
  <c r="AV154" i="1"/>
  <c r="AW154" i="1"/>
  <c r="AX154" i="1"/>
  <c r="AY154" i="1"/>
  <c r="AT157" i="1"/>
  <c r="AU157" i="1"/>
  <c r="AV157" i="1"/>
  <c r="AW157" i="1"/>
  <c r="AX157" i="1"/>
  <c r="AY157" i="1"/>
  <c r="AT158" i="1"/>
  <c r="AU158" i="1"/>
  <c r="AV158" i="1"/>
  <c r="AW158" i="1"/>
  <c r="AX158" i="1"/>
  <c r="AY158" i="1"/>
  <c r="AT159" i="1"/>
  <c r="AU159" i="1"/>
  <c r="AV159" i="1"/>
  <c r="AW159" i="1"/>
  <c r="AX159" i="1"/>
  <c r="AY159" i="1"/>
  <c r="AT160" i="1"/>
  <c r="AU160" i="1"/>
  <c r="AV160" i="1"/>
  <c r="AW160" i="1"/>
  <c r="AX160" i="1"/>
  <c r="AY160" i="1"/>
  <c r="AT163" i="1"/>
  <c r="AU163" i="1"/>
  <c r="AV163" i="1"/>
  <c r="AW163" i="1"/>
  <c r="AX163" i="1"/>
  <c r="AY163" i="1"/>
  <c r="AT164" i="1"/>
  <c r="AU164" i="1"/>
  <c r="AV164" i="1"/>
  <c r="AW164" i="1"/>
  <c r="AX164" i="1"/>
  <c r="AY164" i="1"/>
  <c r="AT167" i="1"/>
  <c r="AU167" i="1"/>
  <c r="AV167" i="1"/>
  <c r="AW167" i="1"/>
  <c r="AX167" i="1"/>
  <c r="AY167" i="1"/>
  <c r="AT168" i="1"/>
  <c r="AU168" i="1"/>
  <c r="AV168" i="1"/>
  <c r="AW168" i="1"/>
  <c r="AX168" i="1"/>
  <c r="AY168" i="1"/>
  <c r="AT171" i="1"/>
  <c r="AU171" i="1"/>
  <c r="AV171" i="1"/>
  <c r="AW171" i="1"/>
  <c r="AX171" i="1"/>
  <c r="AY171" i="1"/>
  <c r="AT172" i="1"/>
  <c r="AU172" i="1"/>
  <c r="AV172" i="1"/>
  <c r="AW172" i="1"/>
  <c r="AX172" i="1"/>
  <c r="AY172" i="1"/>
  <c r="AT175" i="1"/>
  <c r="AU175" i="1"/>
  <c r="AV175" i="1"/>
  <c r="AW175" i="1"/>
  <c r="AX175" i="1"/>
  <c r="AY175" i="1"/>
  <c r="AT176" i="1"/>
  <c r="AU176" i="1"/>
  <c r="AV176" i="1"/>
  <c r="AW176" i="1"/>
  <c r="AX176" i="1"/>
  <c r="AY176" i="1"/>
  <c r="AT179" i="1"/>
  <c r="AU179" i="1"/>
  <c r="AV179" i="1"/>
  <c r="AW179" i="1"/>
  <c r="AX179" i="1"/>
  <c r="AY179" i="1"/>
  <c r="AT180" i="1"/>
  <c r="AU180" i="1"/>
  <c r="AV180" i="1"/>
  <c r="AW180" i="1"/>
  <c r="AX180" i="1"/>
  <c r="AY180" i="1"/>
  <c r="AT183" i="1"/>
  <c r="AU183" i="1"/>
  <c r="AV183" i="1"/>
  <c r="AW183" i="1"/>
  <c r="AX183" i="1"/>
  <c r="AY183" i="1"/>
  <c r="AT184" i="1"/>
  <c r="AU184" i="1"/>
  <c r="AV184" i="1"/>
  <c r="AW184" i="1"/>
  <c r="AX184" i="1"/>
  <c r="AY184" i="1"/>
  <c r="AT187" i="1"/>
  <c r="AU187" i="1"/>
  <c r="AV187" i="1"/>
  <c r="AW187" i="1"/>
  <c r="AX187" i="1"/>
  <c r="AY187" i="1"/>
  <c r="AT188" i="1"/>
  <c r="AU188" i="1"/>
  <c r="AV188" i="1"/>
  <c r="AW188" i="1"/>
  <c r="AX188" i="1"/>
  <c r="AY188" i="1"/>
  <c r="AT191" i="1"/>
  <c r="AU191" i="1"/>
  <c r="AV191" i="1"/>
  <c r="AW191" i="1"/>
  <c r="AX191" i="1"/>
  <c r="AY191" i="1"/>
  <c r="AT192" i="1"/>
  <c r="AU192" i="1"/>
  <c r="AV192" i="1"/>
  <c r="AW192" i="1"/>
  <c r="AX192" i="1"/>
  <c r="AY192" i="1"/>
  <c r="AT195" i="1"/>
  <c r="AU195" i="1"/>
  <c r="AV195" i="1"/>
  <c r="AW195" i="1"/>
  <c r="AX195" i="1"/>
  <c r="AY195" i="1"/>
  <c r="AT196" i="1"/>
  <c r="AU196" i="1"/>
  <c r="AV196" i="1"/>
  <c r="AW196" i="1"/>
  <c r="AX196" i="1"/>
  <c r="AY196" i="1"/>
  <c r="AT199" i="1"/>
  <c r="AU199" i="1"/>
  <c r="AV199" i="1"/>
  <c r="AW199" i="1"/>
  <c r="AX199" i="1"/>
  <c r="AY199" i="1"/>
  <c r="AT200" i="1"/>
  <c r="AU200" i="1"/>
  <c r="AV200" i="1"/>
  <c r="AW200" i="1"/>
  <c r="AX200" i="1"/>
  <c r="AY200" i="1"/>
  <c r="AT203" i="1"/>
  <c r="AU203" i="1"/>
  <c r="AV203" i="1"/>
  <c r="AW203" i="1"/>
  <c r="AX203" i="1"/>
  <c r="AY203" i="1"/>
  <c r="AT204" i="1"/>
  <c r="AU204" i="1"/>
  <c r="AV204" i="1"/>
  <c r="AW204" i="1"/>
  <c r="AX204" i="1"/>
  <c r="AY204" i="1"/>
  <c r="AT207" i="1"/>
  <c r="AU207" i="1"/>
  <c r="AV207" i="1"/>
  <c r="AW207" i="1"/>
  <c r="AX207" i="1"/>
  <c r="AY207" i="1"/>
  <c r="AT208" i="1"/>
  <c r="AU208" i="1"/>
  <c r="AV208" i="1"/>
  <c r="AW208" i="1"/>
  <c r="AX208" i="1"/>
  <c r="AY208" i="1"/>
  <c r="AT211" i="1"/>
  <c r="AU211" i="1"/>
  <c r="AV211" i="1"/>
  <c r="AW211" i="1"/>
  <c r="AX211" i="1"/>
  <c r="AY211" i="1"/>
  <c r="AT212" i="1"/>
  <c r="AU212" i="1"/>
  <c r="AV212" i="1"/>
  <c r="AW212" i="1"/>
  <c r="AX212" i="1"/>
  <c r="AY212" i="1"/>
  <c r="AT215" i="1"/>
  <c r="AU215" i="1"/>
  <c r="AV215" i="1"/>
  <c r="AW215" i="1"/>
  <c r="AX215" i="1"/>
  <c r="AY215" i="1"/>
  <c r="AT216" i="1"/>
  <c r="AU216" i="1"/>
  <c r="AV216" i="1"/>
  <c r="AW216" i="1"/>
  <c r="AX216" i="1"/>
  <c r="AY216" i="1"/>
  <c r="AQ189" i="10" l="1"/>
  <c r="AQ188" i="10"/>
  <c r="AQ14" i="10"/>
  <c r="AQ354" i="10"/>
  <c r="AQ334" i="10"/>
  <c r="AQ314" i="10"/>
  <c r="AQ294" i="10"/>
  <c r="AQ274" i="10"/>
  <c r="AQ254" i="10"/>
  <c r="AQ234" i="10"/>
  <c r="AQ214" i="10"/>
  <c r="AQ194" i="10"/>
  <c r="AQ174" i="10"/>
  <c r="AQ154" i="10"/>
  <c r="AQ134" i="10"/>
  <c r="AQ114" i="10"/>
  <c r="AQ94" i="10"/>
  <c r="AQ74" i="10"/>
  <c r="AQ54" i="10"/>
  <c r="AQ187" i="10"/>
  <c r="AQ34" i="10"/>
  <c r="AQ4" i="10"/>
  <c r="AQ186" i="10"/>
  <c r="AQ185" i="10"/>
  <c r="AQ344" i="10"/>
  <c r="AQ324" i="10"/>
  <c r="AQ304" i="10"/>
  <c r="AQ284" i="10"/>
  <c r="AQ264" i="10"/>
  <c r="AQ244" i="10"/>
  <c r="AQ224" i="10"/>
  <c r="AQ204" i="10"/>
  <c r="AQ184" i="10"/>
  <c r="AQ164" i="10"/>
  <c r="AQ144" i="10"/>
  <c r="AQ124" i="10"/>
  <c r="AQ104" i="10"/>
  <c r="AQ84" i="10"/>
  <c r="AQ64" i="10"/>
  <c r="AQ44" i="10"/>
  <c r="AQ24" i="10"/>
  <c r="B6" i="8"/>
  <c r="B14" i="8"/>
  <c r="B5" i="8"/>
  <c r="B11" i="8"/>
  <c r="B4" i="8"/>
  <c r="E20" i="8"/>
  <c r="B7" i="8"/>
  <c r="B20" i="8"/>
  <c r="B3" i="8"/>
  <c r="B10" i="8"/>
  <c r="AQ189" i="3"/>
  <c r="AQ188" i="3"/>
  <c r="AU993" i="1"/>
  <c r="AQ354" i="3"/>
  <c r="AU1106" i="1"/>
  <c r="AQ187" i="3"/>
  <c r="AQ124" i="3"/>
  <c r="AQ94" i="3"/>
  <c r="AQ24" i="3"/>
  <c r="AU1196" i="1"/>
  <c r="AU984" i="1"/>
  <c r="AQ344" i="3"/>
  <c r="AU1011" i="1"/>
  <c r="AU1214" i="1"/>
  <c r="AU1160" i="1"/>
  <c r="AQ294" i="3"/>
  <c r="AQ186" i="3"/>
  <c r="AQ224" i="3"/>
  <c r="AQ184" i="3"/>
  <c r="AQ54" i="3"/>
  <c r="AU1142" i="1"/>
  <c r="AU1133" i="1"/>
  <c r="AQ185" i="3"/>
  <c r="AU1187" i="1"/>
  <c r="AQ44" i="3"/>
  <c r="AU1088" i="1"/>
  <c r="AU1223" i="1"/>
  <c r="AU1205" i="1"/>
  <c r="AQ64" i="3"/>
  <c r="AU1169" i="1"/>
  <c r="AQ334" i="3"/>
  <c r="AQ274" i="3"/>
  <c r="AU1115" i="1"/>
  <c r="AQ234" i="3"/>
  <c r="AQ204" i="3"/>
  <c r="AU1003" i="1"/>
  <c r="AU1151" i="1"/>
  <c r="AU1124" i="1"/>
  <c r="AU1232" i="1"/>
  <c r="AQ34" i="3"/>
  <c r="AQ284" i="3"/>
  <c r="AU1002" i="1"/>
  <c r="AU1178" i="1"/>
  <c r="AQ84" i="3"/>
  <c r="AQ104" i="3"/>
  <c r="AU1097" i="1"/>
  <c r="AQ214" i="3"/>
  <c r="AU1079" i="1"/>
  <c r="AQ164" i="3"/>
  <c r="AQ154" i="3"/>
  <c r="AU1070" i="1"/>
  <c r="AQ174" i="3"/>
  <c r="AU1061" i="1"/>
  <c r="AQ144" i="3"/>
  <c r="AU1029" i="1"/>
  <c r="AU1047" i="1"/>
  <c r="AQ134" i="3"/>
  <c r="AU1038" i="1"/>
  <c r="AQ114" i="3"/>
  <c r="AU974" i="1"/>
  <c r="AU1020" i="1"/>
  <c r="AQ74" i="3"/>
  <c r="AU964" i="1"/>
  <c r="AQ304" i="3"/>
  <c r="AW23" i="1"/>
  <c r="AW24" i="1"/>
  <c r="AW26" i="1"/>
  <c r="AW25" i="1"/>
  <c r="AW27" i="1"/>
  <c r="AQ264" i="3"/>
  <c r="AQ254" i="3"/>
  <c r="AQ314" i="3"/>
  <c r="AQ166" i="10" l="1"/>
  <c r="AQ136" i="10"/>
  <c r="AQ106" i="10"/>
  <c r="AQ76" i="10"/>
  <c r="AQ46" i="10"/>
  <c r="AQ346" i="10"/>
  <c r="AQ286" i="10"/>
  <c r="AQ256" i="10"/>
  <c r="AQ226" i="10"/>
  <c r="AQ336" i="10"/>
  <c r="AQ306" i="10"/>
  <c r="AQ276" i="10"/>
  <c r="AQ246" i="10"/>
  <c r="AQ216" i="10"/>
  <c r="AQ176" i="10"/>
  <c r="AQ116" i="10"/>
  <c r="AQ86" i="10"/>
  <c r="AQ16" i="10"/>
  <c r="AQ356" i="10"/>
  <c r="AQ296" i="10"/>
  <c r="AQ236" i="10"/>
  <c r="AQ316" i="10"/>
  <c r="AQ196" i="10"/>
  <c r="AQ156" i="10"/>
  <c r="AQ126" i="10"/>
  <c r="AQ96" i="10"/>
  <c r="AQ66" i="10"/>
  <c r="AQ36" i="10"/>
  <c r="AQ26" i="10"/>
  <c r="AQ146" i="10"/>
  <c r="AQ56" i="10"/>
  <c r="AQ326" i="10"/>
  <c r="AQ266" i="10"/>
  <c r="AQ206" i="10"/>
  <c r="AQ6" i="10"/>
  <c r="AQ159" i="10"/>
  <c r="AQ69" i="10"/>
  <c r="AQ29" i="10"/>
  <c r="AQ339" i="10"/>
  <c r="AQ279" i="10"/>
  <c r="AQ269" i="10"/>
  <c r="AQ209" i="10"/>
  <c r="AQ169" i="10"/>
  <c r="AQ139" i="10"/>
  <c r="AQ109" i="10"/>
  <c r="AQ79" i="10"/>
  <c r="AQ349" i="10"/>
  <c r="AQ289" i="10"/>
  <c r="AQ229" i="10"/>
  <c r="AQ129" i="10"/>
  <c r="AQ99" i="10"/>
  <c r="AQ39" i="10"/>
  <c r="AQ309" i="10"/>
  <c r="AQ249" i="10"/>
  <c r="AQ219" i="10"/>
  <c r="AQ19" i="10"/>
  <c r="AQ179" i="10"/>
  <c r="AQ149" i="10"/>
  <c r="AQ119" i="10"/>
  <c r="AQ89" i="10"/>
  <c r="AQ59" i="10"/>
  <c r="AQ9" i="10"/>
  <c r="AQ359" i="10"/>
  <c r="AQ329" i="10"/>
  <c r="AQ299" i="10"/>
  <c r="AQ239" i="10"/>
  <c r="AQ49" i="10"/>
  <c r="AQ319" i="10"/>
  <c r="AQ259" i="10"/>
  <c r="AQ199" i="10"/>
  <c r="AQ157" i="10"/>
  <c r="AQ97" i="10"/>
  <c r="AQ67" i="10"/>
  <c r="AQ177" i="10"/>
  <c r="AQ57" i="10"/>
  <c r="AQ17" i="10"/>
  <c r="AQ357" i="10"/>
  <c r="AQ327" i="10"/>
  <c r="AQ297" i="10"/>
  <c r="AQ207" i="10"/>
  <c r="AQ7" i="10"/>
  <c r="AQ47" i="10"/>
  <c r="AQ347" i="10"/>
  <c r="AQ317" i="10"/>
  <c r="AQ287" i="10"/>
  <c r="AQ257" i="10"/>
  <c r="AQ227" i="10"/>
  <c r="AQ197" i="10"/>
  <c r="AQ127" i="10"/>
  <c r="AQ37" i="10"/>
  <c r="AQ337" i="10"/>
  <c r="AQ307" i="10"/>
  <c r="AQ277" i="10"/>
  <c r="AQ247" i="10"/>
  <c r="AQ217" i="10"/>
  <c r="AQ27" i="10"/>
  <c r="AQ147" i="10"/>
  <c r="AQ117" i="10"/>
  <c r="AQ87" i="10"/>
  <c r="AQ267" i="10"/>
  <c r="AQ237" i="10"/>
  <c r="AQ167" i="10"/>
  <c r="AQ137" i="10"/>
  <c r="AQ107" i="10"/>
  <c r="AQ77" i="10"/>
  <c r="AQ348" i="10"/>
  <c r="AQ318" i="10"/>
  <c r="AQ288" i="10"/>
  <c r="AQ258" i="10"/>
  <c r="AQ228" i="10"/>
  <c r="AQ198" i="10"/>
  <c r="AQ158" i="10"/>
  <c r="AQ128" i="10"/>
  <c r="AQ68" i="10"/>
  <c r="AQ38" i="10"/>
  <c r="AQ28" i="10"/>
  <c r="AQ178" i="10"/>
  <c r="AQ148" i="10"/>
  <c r="AQ118" i="10"/>
  <c r="AQ88" i="10"/>
  <c r="AQ58" i="10"/>
  <c r="AQ358" i="10"/>
  <c r="AQ328" i="10"/>
  <c r="AQ268" i="10"/>
  <c r="AQ238" i="10"/>
  <c r="AQ208" i="10"/>
  <c r="AQ78" i="10"/>
  <c r="AQ98" i="10"/>
  <c r="AQ338" i="10"/>
  <c r="AQ308" i="10"/>
  <c r="AQ278" i="10"/>
  <c r="AQ248" i="10"/>
  <c r="AQ218" i="10"/>
  <c r="AQ18" i="10"/>
  <c r="AQ8" i="10"/>
  <c r="AQ298" i="10"/>
  <c r="AQ168" i="10"/>
  <c r="AQ138" i="10"/>
  <c r="AQ108" i="10"/>
  <c r="AQ48" i="10"/>
  <c r="AQ285" i="10"/>
  <c r="AQ135" i="10"/>
  <c r="AQ155" i="10"/>
  <c r="AQ255" i="10"/>
  <c r="AQ105" i="10"/>
  <c r="AQ355" i="10"/>
  <c r="AQ235" i="10"/>
  <c r="AQ85" i="10"/>
  <c r="AQ5" i="10"/>
  <c r="AQ305" i="10"/>
  <c r="AQ325" i="10"/>
  <c r="AQ205" i="10"/>
  <c r="AQ175" i="10"/>
  <c r="AQ55" i="10"/>
  <c r="AQ35" i="10"/>
  <c r="AQ275" i="10"/>
  <c r="AQ125" i="10"/>
  <c r="AQ345" i="10"/>
  <c r="AQ225" i="10"/>
  <c r="AQ75" i="10"/>
  <c r="AQ295" i="10"/>
  <c r="AQ145" i="10"/>
  <c r="AQ25" i="10"/>
  <c r="AQ245" i="10"/>
  <c r="AQ95" i="10"/>
  <c r="AQ315" i="10"/>
  <c r="AQ195" i="10"/>
  <c r="AQ165" i="10"/>
  <c r="AQ45" i="10"/>
  <c r="AQ265" i="10"/>
  <c r="AQ115" i="10"/>
  <c r="AQ15" i="10"/>
  <c r="AQ335" i="10"/>
  <c r="AQ215" i="10"/>
  <c r="AQ65" i="10"/>
  <c r="G34" i="8"/>
  <c r="G22" i="8"/>
  <c r="G33" i="8"/>
  <c r="G37" i="8"/>
  <c r="G21" i="8"/>
  <c r="G28" i="8"/>
  <c r="G36" i="8"/>
  <c r="G32" i="8"/>
  <c r="G12" i="8"/>
  <c r="G35" i="8"/>
  <c r="G23" i="8"/>
  <c r="G10" i="8"/>
  <c r="G26" i="8"/>
  <c r="AU1093" i="1"/>
  <c r="AQ279" i="3"/>
  <c r="AU1120" i="1"/>
  <c r="AQ319" i="3"/>
  <c r="AQ69" i="3"/>
  <c r="AQ309" i="3"/>
  <c r="AQ109" i="3"/>
  <c r="AU1129" i="1"/>
  <c r="AQ129" i="3"/>
  <c r="AU1165" i="1"/>
  <c r="AQ269" i="3"/>
  <c r="AU1025" i="1"/>
  <c r="AU1147" i="1"/>
  <c r="AU1138" i="1"/>
  <c r="AQ329" i="3"/>
  <c r="AU1237" i="1"/>
  <c r="AQ229" i="3"/>
  <c r="AU1174" i="1"/>
  <c r="AQ219" i="3"/>
  <c r="AQ289" i="3"/>
  <c r="AU1111" i="1"/>
  <c r="AQ209" i="3"/>
  <c r="AQ359" i="3"/>
  <c r="AQ89" i="3"/>
  <c r="AQ99" i="3"/>
  <c r="AQ299" i="3"/>
  <c r="AQ349" i="3"/>
  <c r="AQ199" i="3"/>
  <c r="AQ239" i="3"/>
  <c r="AQ339" i="3"/>
  <c r="AQ249" i="3"/>
  <c r="AU1016" i="1"/>
  <c r="E26" i="8"/>
  <c r="E14" i="8"/>
  <c r="E22" i="8"/>
  <c r="E29" i="8"/>
  <c r="E25" i="8"/>
  <c r="E24" i="8"/>
  <c r="E21" i="8"/>
  <c r="AQ237" i="3"/>
  <c r="AQ347" i="3"/>
  <c r="AU1091" i="1"/>
  <c r="AU1118" i="1"/>
  <c r="AQ227" i="3"/>
  <c r="AQ197" i="3"/>
  <c r="AU1145" i="1"/>
  <c r="AQ67" i="3"/>
  <c r="AQ357" i="3"/>
  <c r="AU1014" i="1"/>
  <c r="AQ247" i="3"/>
  <c r="AU1235" i="1"/>
  <c r="AQ287" i="3"/>
  <c r="AQ337" i="3"/>
  <c r="AU1127" i="1"/>
  <c r="AQ107" i="3"/>
  <c r="AU1109" i="1"/>
  <c r="AQ277" i="3"/>
  <c r="AQ207" i="3"/>
  <c r="AQ127" i="3"/>
  <c r="AQ97" i="3"/>
  <c r="AQ297" i="3"/>
  <c r="F26" i="8"/>
  <c r="F30" i="8"/>
  <c r="F29" i="8"/>
  <c r="F11" i="8"/>
  <c r="F21" i="8"/>
  <c r="F28" i="8"/>
  <c r="F16" i="8"/>
  <c r="F27" i="8"/>
  <c r="F31" i="8"/>
  <c r="AQ348" i="3"/>
  <c r="AQ198" i="3"/>
  <c r="AU1119" i="1"/>
  <c r="AQ268" i="3"/>
  <c r="AQ68" i="3"/>
  <c r="AU1092" i="1"/>
  <c r="AQ208" i="3"/>
  <c r="AU1128" i="1"/>
  <c r="AU1015" i="1"/>
  <c r="AQ248" i="3"/>
  <c r="AU1137" i="1"/>
  <c r="AQ298" i="3"/>
  <c r="AU1236" i="1"/>
  <c r="AQ228" i="3"/>
  <c r="AQ98" i="3"/>
  <c r="AQ288" i="3"/>
  <c r="AQ338" i="3"/>
  <c r="AQ148" i="3"/>
  <c r="AQ278" i="3"/>
  <c r="AQ128" i="3"/>
  <c r="AQ108" i="3"/>
  <c r="AU1110" i="1"/>
  <c r="AQ258" i="3"/>
  <c r="AQ238" i="3"/>
  <c r="AQ358" i="3"/>
  <c r="AU1146" i="1"/>
  <c r="D19" i="8"/>
  <c r="D14" i="8"/>
  <c r="D18" i="8"/>
  <c r="D17" i="8"/>
  <c r="D16" i="8"/>
  <c r="D15" i="8"/>
  <c r="D10" i="8"/>
  <c r="AU1108" i="1"/>
  <c r="AQ146" i="3"/>
  <c r="AQ86" i="3"/>
  <c r="AQ346" i="3"/>
  <c r="AQ206" i="3"/>
  <c r="AU1117" i="1"/>
  <c r="AU1144" i="1"/>
  <c r="AQ276" i="3"/>
  <c r="AQ136" i="3"/>
  <c r="AU1090" i="1"/>
  <c r="AQ166" i="3"/>
  <c r="AQ356" i="3"/>
  <c r="AU1013" i="1"/>
  <c r="AQ156" i="3"/>
  <c r="AQ286" i="3"/>
  <c r="AQ226" i="3"/>
  <c r="AU1234" i="1"/>
  <c r="AQ336" i="3"/>
  <c r="AU1126" i="1"/>
  <c r="AQ106" i="3"/>
  <c r="AQ66" i="3"/>
  <c r="AQ126" i="3"/>
  <c r="AQ96" i="3"/>
  <c r="AQ296" i="3"/>
  <c r="AQ176" i="3"/>
  <c r="AQ236" i="3"/>
  <c r="C10" i="8"/>
  <c r="C6" i="8"/>
  <c r="C14" i="8"/>
  <c r="C9" i="8"/>
  <c r="C5" i="8"/>
  <c r="C13" i="8"/>
  <c r="C11" i="8"/>
  <c r="C8" i="8"/>
  <c r="C12" i="8"/>
  <c r="C7" i="8"/>
  <c r="C3" i="8"/>
  <c r="AU1012" i="1"/>
  <c r="AU1021" i="1"/>
  <c r="AQ295" i="3"/>
  <c r="AQ115" i="3"/>
  <c r="AQ35" i="3"/>
  <c r="AQ345" i="3"/>
  <c r="AQ205" i="3"/>
  <c r="AU1089" i="1"/>
  <c r="AU1143" i="1"/>
  <c r="AU1116" i="1"/>
  <c r="AU1107" i="1"/>
  <c r="AQ275" i="3"/>
  <c r="AQ85" i="3"/>
  <c r="AQ125" i="3"/>
  <c r="AQ55" i="3"/>
  <c r="AQ235" i="3"/>
  <c r="AQ105" i="3"/>
  <c r="AQ45" i="3"/>
  <c r="AQ355" i="3"/>
  <c r="AQ285" i="3"/>
  <c r="AQ225" i="3"/>
  <c r="AQ95" i="3"/>
  <c r="AU1233" i="1"/>
  <c r="AQ335" i="3"/>
  <c r="AQ75" i="3"/>
  <c r="AU1125" i="1"/>
  <c r="AQ65" i="3"/>
  <c r="AU994" i="1"/>
  <c r="AQ216" i="3"/>
  <c r="AU1099" i="1"/>
  <c r="AU1098" i="1"/>
  <c r="AQ215" i="3"/>
  <c r="AU1102" i="1"/>
  <c r="AQ177" i="3"/>
  <c r="AQ217" i="3"/>
  <c r="AU1100" i="1"/>
  <c r="AQ218" i="3"/>
  <c r="AU1101" i="1"/>
  <c r="AU1055" i="1"/>
  <c r="AU1081" i="1"/>
  <c r="AU1063" i="1"/>
  <c r="AU1072" i="1"/>
  <c r="AQ155" i="3"/>
  <c r="AU1080" i="1"/>
  <c r="AQ165" i="3"/>
  <c r="AQ175" i="3"/>
  <c r="AU1071" i="1"/>
  <c r="AU1062" i="1"/>
  <c r="AQ149" i="3"/>
  <c r="AQ159" i="3"/>
  <c r="AU1075" i="1"/>
  <c r="AU1066" i="1"/>
  <c r="AQ179" i="3"/>
  <c r="AQ169" i="3"/>
  <c r="AU1084" i="1"/>
  <c r="AQ167" i="3"/>
  <c r="AQ157" i="3"/>
  <c r="AU1082" i="1"/>
  <c r="AU1073" i="1"/>
  <c r="AU1064" i="1"/>
  <c r="AU1083" i="1"/>
  <c r="AU1074" i="1"/>
  <c r="AU1065" i="1"/>
  <c r="AQ158" i="3"/>
  <c r="AQ178" i="3"/>
  <c r="AQ168" i="3"/>
  <c r="AU1057" i="1"/>
  <c r="AQ145" i="3"/>
  <c r="AQ147" i="3"/>
  <c r="AQ118" i="3"/>
  <c r="AU1042" i="1"/>
  <c r="AQ119" i="3"/>
  <c r="AU1043" i="1"/>
  <c r="AU1041" i="1"/>
  <c r="AQ117" i="3"/>
  <c r="AU1040" i="1"/>
  <c r="AQ116" i="3"/>
  <c r="AU1049" i="1"/>
  <c r="AU975" i="1"/>
  <c r="AU1039" i="1"/>
  <c r="AU1030" i="1"/>
  <c r="AQ88" i="3"/>
  <c r="AQ87" i="3"/>
  <c r="AU985" i="1"/>
  <c r="AU996" i="1"/>
  <c r="AQ47" i="3"/>
  <c r="AQ57" i="3"/>
  <c r="AU987" i="1"/>
  <c r="AU997" i="1"/>
  <c r="AQ48" i="3"/>
  <c r="AQ58" i="3"/>
  <c r="AU988" i="1"/>
  <c r="AU995" i="1"/>
  <c r="AQ46" i="3"/>
  <c r="AQ56" i="3"/>
  <c r="AU986" i="1"/>
  <c r="AU998" i="1"/>
  <c r="AQ49" i="3"/>
  <c r="AU989" i="1"/>
  <c r="AQ59" i="3"/>
  <c r="AQ38" i="3"/>
  <c r="AU978" i="1"/>
  <c r="AU965" i="1"/>
  <c r="AQ39" i="3"/>
  <c r="AU979" i="1"/>
  <c r="AQ37" i="3"/>
  <c r="AU977" i="1"/>
  <c r="AQ36" i="3"/>
  <c r="AU976" i="1"/>
  <c r="AU968" i="1"/>
  <c r="AQ326" i="3"/>
  <c r="AU966" i="1"/>
  <c r="AU969" i="1"/>
  <c r="AU967" i="1"/>
  <c r="AQ305" i="3"/>
  <c r="AQ265" i="3"/>
  <c r="AQ135" i="3"/>
  <c r="AQ245" i="3"/>
  <c r="AQ315" i="3"/>
  <c r="AQ325" i="3"/>
  <c r="AQ27" i="3"/>
  <c r="AQ25" i="3"/>
  <c r="AQ78" i="3"/>
  <c r="AQ28" i="3"/>
  <c r="AQ76" i="3"/>
  <c r="AQ267" i="3"/>
  <c r="AQ196" i="3"/>
  <c r="AQ316" i="3"/>
  <c r="AQ195" i="3"/>
  <c r="AQ29" i="3"/>
  <c r="AQ317" i="3"/>
  <c r="AQ137" i="3"/>
  <c r="AQ327" i="3"/>
  <c r="AQ77" i="3"/>
  <c r="AQ257" i="3"/>
  <c r="AQ307" i="3"/>
  <c r="AQ318" i="3"/>
  <c r="AQ328" i="3"/>
  <c r="AQ138" i="3"/>
  <c r="AQ256" i="3"/>
  <c r="AQ246" i="3"/>
  <c r="AQ306" i="3"/>
  <c r="AQ255" i="3"/>
  <c r="AQ308" i="3"/>
  <c r="AQ26" i="3"/>
  <c r="AQ266" i="3"/>
  <c r="AQ194" i="3"/>
  <c r="AQ139" i="3"/>
  <c r="AQ324" i="3"/>
  <c r="AQ259" i="3"/>
  <c r="AQ244" i="3"/>
  <c r="AQ79" i="3"/>
</calcChain>
</file>

<file path=xl/sharedStrings.xml><?xml version="1.0" encoding="utf-8"?>
<sst xmlns="http://schemas.openxmlformats.org/spreadsheetml/2006/main" count="30384" uniqueCount="539">
  <si>
    <t>Kepala Rumah Tangga</t>
  </si>
  <si>
    <t>Nanang Fathoni</t>
  </si>
  <si>
    <t>C</t>
  </si>
  <si>
    <t>B</t>
  </si>
  <si>
    <t>A</t>
  </si>
  <si>
    <t>D</t>
  </si>
  <si>
    <t>Muhaimin</t>
  </si>
  <si>
    <t>Sujiati</t>
  </si>
  <si>
    <t>Supriadi</t>
  </si>
  <si>
    <t>Lilik Rohma</t>
  </si>
  <si>
    <t>Supaiji Susanto</t>
  </si>
  <si>
    <t>Sigit Pramono</t>
  </si>
  <si>
    <t>Choiri Zain</t>
  </si>
  <si>
    <t>Musana</t>
  </si>
  <si>
    <t>Edy Askandar</t>
  </si>
  <si>
    <t>Aslicha</t>
  </si>
  <si>
    <t>Mardia Ningsih</t>
  </si>
  <si>
    <t>Suwari</t>
  </si>
  <si>
    <t>Suratmi</t>
  </si>
  <si>
    <t>Komsatun</t>
  </si>
  <si>
    <t>Sri Astuti</t>
  </si>
  <si>
    <t>Suis</t>
  </si>
  <si>
    <t>Muhammad Harun</t>
  </si>
  <si>
    <t>Moh Subchan</t>
  </si>
  <si>
    <t>Indrati</t>
  </si>
  <si>
    <t>Dra. Zul Izatil Kasanah</t>
  </si>
  <si>
    <t>Riyanto</t>
  </si>
  <si>
    <t>Bambang Tri Haryanto</t>
  </si>
  <si>
    <t>Imam Safii</t>
  </si>
  <si>
    <t>Khamim Tohari</t>
  </si>
  <si>
    <t>Mulyono</t>
  </si>
  <si>
    <t>Cicik Puspitasari Santoso</t>
  </si>
  <si>
    <t xml:space="preserve">Asmaiyah </t>
  </si>
  <si>
    <t>Imam Wahyudi</t>
  </si>
  <si>
    <t>Khusnul Khotimah</t>
  </si>
  <si>
    <t>Hj. Sukarti</t>
  </si>
  <si>
    <t>Slamet Hariono</t>
  </si>
  <si>
    <t>Pujiati</t>
  </si>
  <si>
    <t>Soejatmi</t>
  </si>
  <si>
    <t>Rumus</t>
  </si>
  <si>
    <t>Keterangan</t>
  </si>
  <si>
    <t>X: Data dengan class yang belum diketahui</t>
  </si>
  <si>
    <t>H: Hipotesis data yang merupakan suatu class spesifik</t>
  </si>
  <si>
    <t>IM 1</t>
  </si>
  <si>
    <t>IM 2</t>
  </si>
  <si>
    <t>IM 3</t>
  </si>
  <si>
    <t>IM 4</t>
  </si>
  <si>
    <t>IM 5</t>
  </si>
  <si>
    <t>IM 6</t>
  </si>
  <si>
    <t>IM 7</t>
  </si>
  <si>
    <t>IM 8</t>
  </si>
  <si>
    <t>IM 9</t>
  </si>
  <si>
    <t>IM 10</t>
  </si>
  <si>
    <t>IM 11</t>
  </si>
  <si>
    <t>IM 12</t>
  </si>
  <si>
    <t>IM 13</t>
  </si>
  <si>
    <t>IM 14</t>
  </si>
  <si>
    <t>IM 15</t>
  </si>
  <si>
    <t>IM 16</t>
  </si>
  <si>
    <t>IM 17</t>
  </si>
  <si>
    <t>IM 18</t>
  </si>
  <si>
    <t>IM 19</t>
  </si>
  <si>
    <t>IM 20</t>
  </si>
  <si>
    <t>IM 21</t>
  </si>
  <si>
    <t>Kelas Kesejahteraan</t>
  </si>
  <si>
    <t>P(IM 1 A | Kelas Kesejahteraan)</t>
  </si>
  <si>
    <t>P(IM 1 B | Kelas Kesejahteraan)</t>
  </si>
  <si>
    <t>P(IM 1 C | Kelas Kesejahteraan)</t>
  </si>
  <si>
    <t>P(IM 1 D | Kelas Kesejahteraan)</t>
  </si>
  <si>
    <t>P(IM 2 A | Kelas Kesejahteraan)</t>
  </si>
  <si>
    <t>P(IM 2 B | Kelas Kesejahteraan)</t>
  </si>
  <si>
    <t>P(IM 2 C | Kelas Kesejahteraan)</t>
  </si>
  <si>
    <t>P(IM 2 D | Kelas Kesejahteraan)</t>
  </si>
  <si>
    <t>P(IM 3 A | Kelas Kesejahteraan)</t>
  </si>
  <si>
    <t>P(IM 3 B | Kelas Kesejahteraan)</t>
  </si>
  <si>
    <t>P(IM 3 C | Kelas Kesejahteraan)</t>
  </si>
  <si>
    <t>P(IM 3 D | Kelas Kesejahteraan)</t>
  </si>
  <si>
    <t>P(IM 4 A | Kelas Kesejahteraan)</t>
  </si>
  <si>
    <t>P(IM 4 B | Kelas Kesejahteraan)</t>
  </si>
  <si>
    <t>P(IM 4 C | Kelas Kesejahteraan)</t>
  </si>
  <si>
    <t>P(IM 4 D | Kelas Kesejahteraan)</t>
  </si>
  <si>
    <t>P(IM 5 A | Kelas Kesejahteraan)</t>
  </si>
  <si>
    <t>P(IM 5 B | Kelas Kesejahteraan)</t>
  </si>
  <si>
    <t>P(IM 5 C | Kelas Kesejahteraan)</t>
  </si>
  <si>
    <t>P(IM 5 D | Kelas Kesejahteraan)</t>
  </si>
  <si>
    <t xml:space="preserve">Keterangan </t>
  </si>
  <si>
    <t>Milik orang lain tanpa sewa</t>
  </si>
  <si>
    <t>Milik orang tua</t>
  </si>
  <si>
    <t>Menyewa</t>
  </si>
  <si>
    <t>Milik sendiri</t>
  </si>
  <si>
    <t xml:space="preserve">Berdinding bambu / kayu berkualitas </t>
  </si>
  <si>
    <t xml:space="preserve">Tembok tanpa plester </t>
  </si>
  <si>
    <t>Papan / kayu jati</t>
  </si>
  <si>
    <t>Tembok kualitas baik</t>
  </si>
  <si>
    <t>&lt; 5 m2/jiwa</t>
  </si>
  <si>
    <t>6 m2/jiwa</t>
  </si>
  <si>
    <t>7 m2/jiwa</t>
  </si>
  <si>
    <t>&gt; 8 m2/jiwa</t>
  </si>
  <si>
    <t>Tanah</t>
  </si>
  <si>
    <t xml:space="preserve">Plester semen / batu bata </t>
  </si>
  <si>
    <t>Tegel</t>
  </si>
  <si>
    <t xml:space="preserve">Keramik </t>
  </si>
  <si>
    <t>Tidak Punya</t>
  </si>
  <si>
    <t>Umum</t>
  </si>
  <si>
    <t>Jamban bersama</t>
  </si>
  <si>
    <t>Sungai / air hujan</t>
  </si>
  <si>
    <t xml:space="preserve">Sumur / mata air </t>
  </si>
  <si>
    <t>Ledeng eceran</t>
  </si>
  <si>
    <t>PDAM / membeli air kemasan</t>
  </si>
  <si>
    <t>Petromak / ublik</t>
  </si>
  <si>
    <t>Listrik numpang</t>
  </si>
  <si>
    <t>PLN 450 Watt</t>
  </si>
  <si>
    <t>PLN 900 Watt / Lebih</t>
  </si>
  <si>
    <t>Kayu Bakar</t>
  </si>
  <si>
    <t>Arang</t>
  </si>
  <si>
    <t>Gas LPG 3 Kg</t>
  </si>
  <si>
    <t xml:space="preserve">Gas LPG &gt; 3 Kg / Blue gas </t>
  </si>
  <si>
    <t>Tamat SD / SMP</t>
  </si>
  <si>
    <t>Tamat SMA</t>
  </si>
  <si>
    <t>Tamat Perguruan Tinggi</t>
  </si>
  <si>
    <t>Tidak punya pekerjaan</t>
  </si>
  <si>
    <t>Pekerjaan bebas</t>
  </si>
  <si>
    <t>Buruh / karyawan</t>
  </si>
  <si>
    <t>wirausaha / pedagang besar</t>
  </si>
  <si>
    <t>&lt; Rp. 608,828,-</t>
  </si>
  <si>
    <t>&gt; Rp. 608,828,- s.d Rp. 1,500,000,-</t>
  </si>
  <si>
    <t>&gt; Rp. 1,500,000,- s.d Rp. 2,500,000,-</t>
  </si>
  <si>
    <t>&gt; Rp 2,500,000,-</t>
  </si>
  <si>
    <t>&gt; 6 orang / 1 orang lanjut usia sebatang kara</t>
  </si>
  <si>
    <t>5 orang</t>
  </si>
  <si>
    <t>4 orang</t>
  </si>
  <si>
    <t>1-3 orang</t>
  </si>
  <si>
    <t>&gt; 3 KK</t>
  </si>
  <si>
    <t>3 KK</t>
  </si>
  <si>
    <t>2 KK</t>
  </si>
  <si>
    <t>1 KK</t>
  </si>
  <si>
    <t>0 orang</t>
  </si>
  <si>
    <t>1 orang</t>
  </si>
  <si>
    <t xml:space="preserve">2 orang </t>
  </si>
  <si>
    <t>&gt; 3 orang</t>
  </si>
  <si>
    <t>2-3 orang</t>
  </si>
  <si>
    <t>Penyandang disabilitas multi</t>
  </si>
  <si>
    <t>Penyandang disabilitas ganda</t>
  </si>
  <si>
    <t>Penyandang disabilitas tunggal</t>
  </si>
  <si>
    <t xml:space="preserve">Tidak ada </t>
  </si>
  <si>
    <t>Lanjut usia terlantar</t>
  </si>
  <si>
    <t>Lanjut usia tidak potensial</t>
  </si>
  <si>
    <t>Lanjut usia potensial</t>
  </si>
  <si>
    <t>Ada anggota keluarga yang menderita sakit kronis berat</t>
  </si>
  <si>
    <t>Ada anggota keluarga yang menderita sakit kronis sedang</t>
  </si>
  <si>
    <t>Ada anggota keluarga yang menderita sakit kronis ringan</t>
  </si>
  <si>
    <t>Tidak memiliki jaminan kesehatan</t>
  </si>
  <si>
    <t>Memiliki jaminan kesehatan namun tidak aktif</t>
  </si>
  <si>
    <t>Memiliki jaminan kesehatan namun ada tunggakan pembayaran</t>
  </si>
  <si>
    <t xml:space="preserve">Memiliki jaminan kesehatan aktif </t>
  </si>
  <si>
    <t>Rp. 0,- s.d Rp. 608,828,-</t>
  </si>
  <si>
    <t>Rp. 608,828, s.d Rp. 1,500,000,-</t>
  </si>
  <si>
    <t>Rp. 1,500,000,- s.d Rp. 5,000,000,-</t>
  </si>
  <si>
    <t>Rp. 5,000,000,-</t>
  </si>
  <si>
    <t xml:space="preserve">1 stel untuk setiap anggota keluarga </t>
  </si>
  <si>
    <t xml:space="preserve">2 stel untuk setiap anggota keluarga </t>
  </si>
  <si>
    <t>&gt; 2 stel untuk setiap anggota keluarga</t>
  </si>
  <si>
    <t>P(IM 6 A | Kelas Kesejahteraan)</t>
  </si>
  <si>
    <t>P(IM 6 B | Kelas Kesejahteraan)</t>
  </si>
  <si>
    <t>P(IM 6 C | Kelas Kesejahteraan)</t>
  </si>
  <si>
    <t>P(IM 6 D | Kelas Kesejahteraan)</t>
  </si>
  <si>
    <t>P(IM 7 A | Kelas Kesejahteraan)</t>
  </si>
  <si>
    <t>P(IM 7 B | Kelas Kesejahteraan)</t>
  </si>
  <si>
    <t>P(IM 7 C | Kelas Kesejahteraan)</t>
  </si>
  <si>
    <t>P(IM 7 D | Kelas Kesejahteraan)</t>
  </si>
  <si>
    <t>P(IM 8 A | Kelas Kesejahteraan)</t>
  </si>
  <si>
    <t>P(IM 8 B | Kelas Kesejahteraan)</t>
  </si>
  <si>
    <t>P(IM 8 C | Kelas Kesejahteraan)</t>
  </si>
  <si>
    <t>P(IM 8 D | Kelas Kesejahteraan)</t>
  </si>
  <si>
    <t>P(IM 9 A | Kelas Kesejahteraan)</t>
  </si>
  <si>
    <t>P(IM 9 B | Kelas Kesejahteraan)</t>
  </si>
  <si>
    <t>P(IM 9 C | Kelas Kesejahteraan)</t>
  </si>
  <si>
    <t>P(IM 9 D | Kelas Kesejahteraan)</t>
  </si>
  <si>
    <t>P(IM 10 A | Kelas Kesejahteraan)</t>
  </si>
  <si>
    <t>P(IM 10 B | Kelas Kesejahteraan)</t>
  </si>
  <si>
    <t>P(IM 10 C | Kelas Kesejahteraan)</t>
  </si>
  <si>
    <t>P(IM 10 D | Kelas Kesejahteraan)</t>
  </si>
  <si>
    <t>P(IM 11 A | Kelas Kesejahteraan)</t>
  </si>
  <si>
    <t>P(IM 11 B | Kelas Kesejahteraan)</t>
  </si>
  <si>
    <t>P(IM 11 C | Kelas Kesejahteraan)</t>
  </si>
  <si>
    <t>P(IM 11 D | Kelas Kesejahteraan)</t>
  </si>
  <si>
    <t>P(IM 12 A | Kelas Kesejahteraan)</t>
  </si>
  <si>
    <t>P(IM 13 B | Kelas Kesejahteraan)</t>
  </si>
  <si>
    <t>P(IM 12 B | Kelas Kesejahteraan)</t>
  </si>
  <si>
    <t>P(IM 12 C | Kelas Kesejahteraan)</t>
  </si>
  <si>
    <t>P(IM 12 D | Kelas Kesejahteraan)</t>
  </si>
  <si>
    <t>P(IM 13 A | Kelas Kesejahteraan)</t>
  </si>
  <si>
    <t>P(IM 13 C | Kelas Kesejahteraan)</t>
  </si>
  <si>
    <t>P(IM 13 D | Kelas Kesejahteraan)</t>
  </si>
  <si>
    <t>P(IM 14 A | Kelas Kesejahteraan)</t>
  </si>
  <si>
    <t>P(IM 14 B | Kelas Kesejahteraan)</t>
  </si>
  <si>
    <t>P(IM 14 C | Kelas Kesejahteraan)</t>
  </si>
  <si>
    <t>P(IM 14 D | Kelas Kesejahteraan)</t>
  </si>
  <si>
    <t>P(IM 15 A | Kelas Kesejahteraan)</t>
  </si>
  <si>
    <t>P(IM 15 B | Kelas Kesejahteraan)</t>
  </si>
  <si>
    <t>P(IM 15 C | Kelas Kesejahteraan)</t>
  </si>
  <si>
    <t>P(IM 15 D | Kelas Kesejahteraan)</t>
  </si>
  <si>
    <t>P(IM 16 A | Kelas Kesejahteraan)</t>
  </si>
  <si>
    <t>P(IM 16 B | Kelas Kesejahteraan)</t>
  </si>
  <si>
    <t>P(IM 16 C | Kelas Kesejahteraan)</t>
  </si>
  <si>
    <t>P(IM 16 D | Kelas Kesejahteraan)</t>
  </si>
  <si>
    <t>P(IM 17 A | Kelas Kesejahteraan)</t>
  </si>
  <si>
    <t>P(IM 17 B | Kelas Kesejahteraan)</t>
  </si>
  <si>
    <t>P(IM 17 C | Kelas Kesejahteraan)</t>
  </si>
  <si>
    <t>P(IM 17 D | Kelas Kesejahteraan)</t>
  </si>
  <si>
    <t>P(IM 18 A | Kelas Kesejahteraan)</t>
  </si>
  <si>
    <t>P(IM 18 B | Kelas Kesejahteraan)</t>
  </si>
  <si>
    <t>P(IM 18 C | Kelas Kesejahteraan)</t>
  </si>
  <si>
    <t>P(IM 18 D | Kelas Kesejahteraan)</t>
  </si>
  <si>
    <t>P(IM 19 A | Kelas Kesejahteraan)</t>
  </si>
  <si>
    <t>P(IM 19 B | Kelas Kesejahteraan)</t>
  </si>
  <si>
    <t>P(IM 19 C | Kelas Kesejahteraan)</t>
  </si>
  <si>
    <t>P(IM 19 D | Kelas Kesejahteraan)</t>
  </si>
  <si>
    <t>P(IM 20 A | Kelas Kesejahteraan)</t>
  </si>
  <si>
    <t>P(IM 20 B | Kelas Kesejahteraan)</t>
  </si>
  <si>
    <t>P(IM 20 C | Kelas Kesejahteraan)</t>
  </si>
  <si>
    <t>P(IM 20 D | Kelas Kesejahteraan)</t>
  </si>
  <si>
    <t>P(IM 21 A | Kelas Kesejahteraan)</t>
  </si>
  <si>
    <t>P(IM 21 B | Kelas Kesejahteraan)</t>
  </si>
  <si>
    <t>P(IM 21 C | Kelas Kesejahteraan)</t>
  </si>
  <si>
    <t>P(IM 21 D | Kelas Kesejahteraan)</t>
  </si>
  <si>
    <t>Asbes</t>
  </si>
  <si>
    <t>Seng</t>
  </si>
  <si>
    <t>Genteng</t>
  </si>
  <si>
    <t>Beton</t>
  </si>
  <si>
    <t>Ipal</t>
  </si>
  <si>
    <t>Tangki Septik</t>
  </si>
  <si>
    <t>P(IM 1 | Kelas Kesejahteraan)</t>
  </si>
  <si>
    <t>P(IM 2 | Kelas Kesejahteraan)</t>
  </si>
  <si>
    <t>P(IM 3 | Kelas Kesejahteraan)</t>
  </si>
  <si>
    <t>P(IM 4 | Kelas Kesejahteraan)</t>
  </si>
  <si>
    <t>P(IM 5 | Kelas Kesejahteraan)</t>
  </si>
  <si>
    <t>P(IM 6 | Kelas Kesejahteraan)</t>
  </si>
  <si>
    <t>P(IM 7 | Kelas Kesejahteraan)</t>
  </si>
  <si>
    <t>P(IM 8 | Kelas Kesejahteraan)</t>
  </si>
  <si>
    <t>P(IM 9 | Kelas Kesejahteraan)</t>
  </si>
  <si>
    <t>P(IM 10 | Kelas Kesejahteraan)</t>
  </si>
  <si>
    <t>P(IM 11 | Kelas Kesejahteraan)</t>
  </si>
  <si>
    <t>P(IM 12 | Kelas Kesejahteraan)</t>
  </si>
  <si>
    <t>P(IM 13 | Kelas Kesejahteraan)</t>
  </si>
  <si>
    <t>P(IM 14 | Kelas Kesejahteraan)</t>
  </si>
  <si>
    <t>P(IM 15 | Kelas Kesejahteraan)</t>
  </si>
  <si>
    <t>P(IM 16 | Kelas Kesejahteraan)</t>
  </si>
  <si>
    <t>P(IM 17 | Kelas Kesejahteraan)</t>
  </si>
  <si>
    <t>P(IM 18 | Kelas Kesejahteraan)</t>
  </si>
  <si>
    <t>P(IM 19 | Kelas Kesejahteraan)</t>
  </si>
  <si>
    <t>P(IM 20 | Kelas Kesejahteraan)</t>
  </si>
  <si>
    <t>P(IM 21 | Kelas Kesejahteraan)</t>
  </si>
  <si>
    <t>Amin Mashuri</t>
  </si>
  <si>
    <t>Soedarmijati</t>
  </si>
  <si>
    <t>Duparji</t>
  </si>
  <si>
    <t>Siti Juariyah</t>
  </si>
  <si>
    <t>Lilik Utami</t>
  </si>
  <si>
    <t>Sugito</t>
  </si>
  <si>
    <t>Palilo</t>
  </si>
  <si>
    <t>Harmanto</t>
  </si>
  <si>
    <t>Masprio</t>
  </si>
  <si>
    <t>Susito</t>
  </si>
  <si>
    <t>Nurul Wahyuni</t>
  </si>
  <si>
    <t>Maulana Supri</t>
  </si>
  <si>
    <t>Dadik Siji</t>
  </si>
  <si>
    <t>Ali Hari Wahyu</t>
  </si>
  <si>
    <t>Sofyan Hardi</t>
  </si>
  <si>
    <t>Slamet Sasmito</t>
  </si>
  <si>
    <t xml:space="preserve">Rudi Bambang </t>
  </si>
  <si>
    <t>Pratama Rino</t>
  </si>
  <si>
    <t>Chusnul Qotimah</t>
  </si>
  <si>
    <t>Isnain Putri</t>
  </si>
  <si>
    <t>Arman Dwi Jaya</t>
  </si>
  <si>
    <t>Jaya Agustian</t>
  </si>
  <si>
    <t>Wilis Setiyani</t>
  </si>
  <si>
    <t>Asria</t>
  </si>
  <si>
    <t>Trimunah</t>
  </si>
  <si>
    <t xml:space="preserve">Sunaryo </t>
  </si>
  <si>
    <t>Kelas Kesejahteraan 1</t>
  </si>
  <si>
    <t>Kelas Kesejahteraan 2</t>
  </si>
  <si>
    <t>Kelas Kesejahteraan 3</t>
  </si>
  <si>
    <t>Kelas Kesejahteraan 4</t>
  </si>
  <si>
    <t>Kelas Kesejahteraan 5</t>
  </si>
  <si>
    <t>Kelas Kesejahteraan 6</t>
  </si>
  <si>
    <t>Kelas kesejahteraan 1</t>
  </si>
  <si>
    <t>Sesuai</t>
  </si>
  <si>
    <t>Tidak sesuai</t>
  </si>
  <si>
    <t>No</t>
  </si>
  <si>
    <t>Sangat miskin</t>
  </si>
  <si>
    <t>Hampir Miskin</t>
  </si>
  <si>
    <t>Rentan Miskin</t>
  </si>
  <si>
    <t>Pas-Pasan</t>
  </si>
  <si>
    <t xml:space="preserve">Menengah Keatas </t>
  </si>
  <si>
    <t>Kelas kesejahteraan 3</t>
  </si>
  <si>
    <t xml:space="preserve"> </t>
  </si>
  <si>
    <t>Kelas kesejahteraan 4</t>
  </si>
  <si>
    <t>Kelas kesejahteraan 5</t>
  </si>
  <si>
    <t>Kelas kesejahteraan 6</t>
  </si>
  <si>
    <t>Prediksi</t>
  </si>
  <si>
    <t>Kelas kesejahteraan 2</t>
  </si>
  <si>
    <t>Aktual</t>
  </si>
  <si>
    <t>Jumlah</t>
  </si>
  <si>
    <t>KK1</t>
  </si>
  <si>
    <t>KK2</t>
  </si>
  <si>
    <t>KK3</t>
  </si>
  <si>
    <t>KK4</t>
  </si>
  <si>
    <t>KK5</t>
  </si>
  <si>
    <t>KK6</t>
  </si>
  <si>
    <t>Recall</t>
  </si>
  <si>
    <t>Akurasi jumlah benar / total data</t>
  </si>
  <si>
    <t>Precesion (perkelas)</t>
  </si>
  <si>
    <t>Total Kolom (TP+FP)</t>
  </si>
  <si>
    <t xml:space="preserve">Juariyah </t>
  </si>
  <si>
    <t xml:space="preserve">Ahmad Munir </t>
  </si>
  <si>
    <t>Yudi Irawan</t>
  </si>
  <si>
    <t>Khoirun Sasmito</t>
  </si>
  <si>
    <t xml:space="preserve">Nur Sakinah </t>
  </si>
  <si>
    <t>Bambang Rudianto</t>
  </si>
  <si>
    <t>Sugeng</t>
  </si>
  <si>
    <t>Galih Sujitno</t>
  </si>
  <si>
    <t>Agustian Juari</t>
  </si>
  <si>
    <t>Tri Bagusanto</t>
  </si>
  <si>
    <t>Muhammad Ali</t>
  </si>
  <si>
    <t>Muhammad Tegar</t>
  </si>
  <si>
    <t xml:space="preserve">Suhadi Jayadi </t>
  </si>
  <si>
    <t>Sarman</t>
  </si>
  <si>
    <t>Pratama Putra</t>
  </si>
  <si>
    <t>Eka Rafi Abadi</t>
  </si>
  <si>
    <t>Hasil</t>
  </si>
  <si>
    <t>IM 22</t>
  </si>
  <si>
    <t>IM 23</t>
  </si>
  <si>
    <t>IM 24</t>
  </si>
  <si>
    <t>IM 25</t>
  </si>
  <si>
    <t>IM 26</t>
  </si>
  <si>
    <t>IM 27</t>
  </si>
  <si>
    <t>IM 28</t>
  </si>
  <si>
    <t>IM 29</t>
  </si>
  <si>
    <t>IM 30</t>
  </si>
  <si>
    <t>IM 31</t>
  </si>
  <si>
    <t>IM 32</t>
  </si>
  <si>
    <t>IM 33</t>
  </si>
  <si>
    <t>IM 34</t>
  </si>
  <si>
    <t>IM 35</t>
  </si>
  <si>
    <t>P(IM 22 | Kelas Kesejahteraan)</t>
  </si>
  <si>
    <t>P(IM 22 A | Kelas Kesejahteraan)</t>
  </si>
  <si>
    <t>P(IM 22 B | Kelas Kesejahteraan)</t>
  </si>
  <si>
    <t>P(IM 22 C | Kelas Kesejahteraan)</t>
  </si>
  <si>
    <t>P(IM 22 D | Kelas Kesejahteraan)</t>
  </si>
  <si>
    <t>P(IM 23 | Kelas Kesejahteraan)</t>
  </si>
  <si>
    <t>P(IM 23 A | Kelas Kesejahteraan)</t>
  </si>
  <si>
    <t>P(IM 23 B | Kelas Kesejahteraan)</t>
  </si>
  <si>
    <t>P(IM 24 | Kelas Kesejahteraan)</t>
  </si>
  <si>
    <t>P(IM 24 A | Kelas Kesejahteraan)</t>
  </si>
  <si>
    <t>P(IM 24 B | Kelas Kesejahteraan)</t>
  </si>
  <si>
    <t>P(IM 25 | Kelas Kesejahteraan)</t>
  </si>
  <si>
    <t>P(IM 25 B | Kelas Kesejahteraan)</t>
  </si>
  <si>
    <t>P(IM 26 | Kelas Kesejahteraan)</t>
  </si>
  <si>
    <t>P(IM 26 A | Kelas Kesejahteraan)</t>
  </si>
  <si>
    <t>P(IM 26 B | Kelas Kesejahteraan)</t>
  </si>
  <si>
    <t>P(IM 32 | Kelas Kesejahteraan)</t>
  </si>
  <si>
    <t>P(IM 27 | Kelas Kesejahteraan)</t>
  </si>
  <si>
    <t>P(IM 27 A | Kelas Kesejahteraan)</t>
  </si>
  <si>
    <t>P(IM 27 B | Kelas Kesejahteraan)</t>
  </si>
  <si>
    <t>P(IM 28 | Kelas Kesejahteraan)</t>
  </si>
  <si>
    <t>P(IM 28 A | Kelas Kesejahteraan)</t>
  </si>
  <si>
    <t>P(IM 28 B | Kelas Kesejahteraan)</t>
  </si>
  <si>
    <t>P(IM 29 | Kelas Kesejahteraan)</t>
  </si>
  <si>
    <t>P(IM 29 A | Kelas Kesejahteraan)</t>
  </si>
  <si>
    <t>P(IM 29 B | Kelas Kesejahteraan)</t>
  </si>
  <si>
    <t>P(IM 30 | Kelas Kesejahteraan)</t>
  </si>
  <si>
    <t>P(IM 30 A | Kelas Kesejahteraan)</t>
  </si>
  <si>
    <t>P(IM 30 B | Kelas Kesejahteraan)</t>
  </si>
  <si>
    <t>P(IM 31 | Kelas Kesejahteraan)</t>
  </si>
  <si>
    <t>P(IM 31 A | Kelas Kesejahteraan)</t>
  </si>
  <si>
    <t>P(IM 31 B | Kelas Kesejahteraan)</t>
  </si>
  <si>
    <t>P(IM 32 B | Kelas Kesejahteraan)</t>
  </si>
  <si>
    <t>P(IM 32 A | Kelas Kesejahteraan)</t>
  </si>
  <si>
    <t>P(IM 33 | Kelas Kesejahteraan)</t>
  </si>
  <si>
    <t>P(IM 33 A | Kelas Kesejahteraan)</t>
  </si>
  <si>
    <t>P(IM 33 B | Kelas Kesejahteraan)</t>
  </si>
  <si>
    <t>P(IM 34 | Kelas Kesejahteraan)</t>
  </si>
  <si>
    <t>P(IM 34 A | Kelas Kesejahteraan)</t>
  </si>
  <si>
    <t>P(IM 34 B | Kelas Kesejahteraan)</t>
  </si>
  <si>
    <t>P(IM 35 | Kelas Kesejahteraan)</t>
  </si>
  <si>
    <t>P(IM 35 A | Kelas Kesejahteraan)</t>
  </si>
  <si>
    <t>P(IM 35 B | Kelas Kesejahteraan)</t>
  </si>
  <si>
    <t>P(IM 36 | Kelas Kesejahteraan)</t>
  </si>
  <si>
    <t>P(IM 36 A | Kelas Kesejahteraan)</t>
  </si>
  <si>
    <t>P(IM 36 B | Kelas Kesejahteraan)</t>
  </si>
  <si>
    <t>IM 36</t>
  </si>
  <si>
    <t>Status Kepemilikan Rumah (IM 1)</t>
  </si>
  <si>
    <t>Dinding Rumah Terluas (IM 2)</t>
  </si>
  <si>
    <t>Luas Lantai Bangunan (IM 3)</t>
  </si>
  <si>
    <t>Lantai Terluas (IM 4)</t>
  </si>
  <si>
    <t>Fasilitas BAB (IM 5)</t>
  </si>
  <si>
    <t>Sumber Air Minum (IM 6)</t>
  </si>
  <si>
    <t>Sumber Penerangan (IM 7)</t>
  </si>
  <si>
    <t>Baha Bakar Utama (IM 8)</t>
  </si>
  <si>
    <t>Pendidikan Kepala RT (IM 9)</t>
  </si>
  <si>
    <t>Pekerjaan Utama Kepala RT (IM 10)</t>
  </si>
  <si>
    <t>Penghasilan Kepala RT (1 Bulan) (IM 11)</t>
  </si>
  <si>
    <t>Jumlah anggota RT (IM 12)</t>
  </si>
  <si>
    <t>Jumlah KK dalam RT (IM 13)</t>
  </si>
  <si>
    <t>Jumlah Anggota RT yang Bekerja (IM 14)</t>
  </si>
  <si>
    <t>Jumlah Anggota Keluarga Masih Sekolah (IM 15)</t>
  </si>
  <si>
    <t>Anggota Keluarga Penyandang Disabilitas (IM 16)</t>
  </si>
  <si>
    <t>Anggota Keluarga yang Masuk Kategori Lanjut Usia (IM 17)</t>
  </si>
  <si>
    <t>Anggota Keluarga yang Menderita Penyakit Kronis (IM 18)</t>
  </si>
  <si>
    <t>Akses Terhadap Pelayanan Kesehatan (IM 19)</t>
  </si>
  <si>
    <t>Nilai Aset yang Dimiliki yang Mudah di Jual (IM 20)</t>
  </si>
  <si>
    <t>Pengeluaran Untuk Pakaian Dalam Setahun (IM 21)</t>
  </si>
  <si>
    <t>Jenis Atap Terluas (IM 22)</t>
  </si>
  <si>
    <t>Pembuangan Akhir Tinja (IM 23)</t>
  </si>
  <si>
    <t>Memiliki Bangunan Ditempat Lain (IM 24)</t>
  </si>
  <si>
    <t>Memiliki Lahan Lain (Selain yang Ditempati) (IM 25)</t>
  </si>
  <si>
    <t>Jumlah tabung gas 5,5 kg / lebih (IM 26)</t>
  </si>
  <si>
    <t>Jumlah AC (IM 27)</t>
  </si>
  <si>
    <t>Jumlah telepon rumah (PSTN) (IM 28)</t>
  </si>
  <si>
    <t>Jumlah Emas/Perhiasan (IM 29)</t>
  </si>
  <si>
    <t>Jumlah Sepeda Motor (IM 30)</t>
  </si>
  <si>
    <t>Jumlah Mobil (IM 31)</t>
  </si>
  <si>
    <t>Jumlah lemari es/kulkas (IM 32)</t>
  </si>
  <si>
    <t>Jumlah televisi layar datar (IM 33)</t>
  </si>
  <si>
    <t>Jumlah Komputer (IM 34)</t>
  </si>
  <si>
    <t>Jumlah Sepeda (IM 35)</t>
  </si>
  <si>
    <t>Tidak sekolah / tidak tamat SD</t>
  </si>
  <si>
    <t>Jumlah Smartphone (IM 36)</t>
  </si>
  <si>
    <t>Tidak Ada</t>
  </si>
  <si>
    <t>Ada</t>
  </si>
  <si>
    <t>Tribhuwana Tunggadewa</t>
  </si>
  <si>
    <t xml:space="preserve">Ada </t>
  </si>
  <si>
    <t xml:space="preserve">Tidak Ada </t>
  </si>
  <si>
    <t>Indikator Kemiskinan (IM)</t>
  </si>
  <si>
    <t>Akurasi = (TP+TN)/Total Data</t>
  </si>
  <si>
    <t>Precision = TP / (TP + FP)</t>
  </si>
  <si>
    <t>Menguji data uji dengan menggunakan model yang telah di training sebelumnya</t>
  </si>
  <si>
    <t xml:space="preserve">Hasil prediksi </t>
  </si>
  <si>
    <t>sesuai dengan data aktual</t>
  </si>
  <si>
    <t xml:space="preserve">Tidak sesuai dengan data aktual </t>
  </si>
  <si>
    <t>Data Aktual</t>
  </si>
  <si>
    <t>KK</t>
  </si>
  <si>
    <t>Recall = TP/(TP + FN)</t>
  </si>
  <si>
    <t xml:space="preserve">Recall Perkelas </t>
  </si>
  <si>
    <t>TP</t>
  </si>
  <si>
    <t>FN</t>
  </si>
  <si>
    <t>Totak Aktual (TP+FN)</t>
  </si>
  <si>
    <t>Rata-Rata Recall</t>
  </si>
  <si>
    <t>FP</t>
  </si>
  <si>
    <t>Rata-Rata Presisi</t>
  </si>
  <si>
    <t>1. Menentukan probabilitas kelas P(H) / Prior probability</t>
  </si>
  <si>
    <t>Jumlah data latih (n)</t>
  </si>
  <si>
    <t>Jumlah data uji (n)</t>
  </si>
  <si>
    <t>P(H|X) : Probabilitas data X terhadap kelas H (posterior probabilitas)</t>
  </si>
  <si>
    <t xml:space="preserve">P(H) : Probabilitas awal dari kelas H (prior probabilitas) </t>
  </si>
  <si>
    <t>P(X) : Probabilitas kemunculan data X (evidence)</t>
  </si>
  <si>
    <t>P(X|H) : Probabilitas munculnya data X pada kelas H (likelihood)</t>
  </si>
  <si>
    <t>Sumbri</t>
  </si>
  <si>
    <t xml:space="preserve">Agung Irianto </t>
  </si>
  <si>
    <t xml:space="preserve">Maftuqin </t>
  </si>
  <si>
    <t>Sumirah</t>
  </si>
  <si>
    <t>Achmad Toha</t>
  </si>
  <si>
    <t>Jumani</t>
  </si>
  <si>
    <t>Suwarno</t>
  </si>
  <si>
    <t>Sandik</t>
  </si>
  <si>
    <t>Abdul Salam</t>
  </si>
  <si>
    <t>Lisruchisi</t>
  </si>
  <si>
    <t xml:space="preserve">Achmad Sholik </t>
  </si>
  <si>
    <t>Suliani</t>
  </si>
  <si>
    <t>Supriyadi</t>
  </si>
  <si>
    <t>Arif Suhartono</t>
  </si>
  <si>
    <t>Suhadak</t>
  </si>
  <si>
    <t>Muchamad Basri</t>
  </si>
  <si>
    <t>Agus Mulyani</t>
  </si>
  <si>
    <t>Krista Windarti</t>
  </si>
  <si>
    <t xml:space="preserve">Umu Latifah </t>
  </si>
  <si>
    <t>Kasiyatun</t>
  </si>
  <si>
    <t>Agus Setiar</t>
  </si>
  <si>
    <t>Susi Pratama</t>
  </si>
  <si>
    <t>Fitri Ayu</t>
  </si>
  <si>
    <t>Mujiana</t>
  </si>
  <si>
    <t>Miskin</t>
  </si>
  <si>
    <t>2. Menentukan probabilitas atribut setiap kelasnya (P(X|H)) / Likelihood</t>
  </si>
  <si>
    <t xml:space="preserve">Titik Suharnik </t>
  </si>
  <si>
    <t xml:space="preserve">Abd. Rochim </t>
  </si>
  <si>
    <t>Tidak Sesuai</t>
  </si>
  <si>
    <t>Erwin Suryawardhani</t>
  </si>
  <si>
    <t>Asmawati</t>
  </si>
  <si>
    <t>Soim Qodari</t>
  </si>
  <si>
    <t>Sariningsih</t>
  </si>
  <si>
    <t>Trio Suparman</t>
  </si>
  <si>
    <t>Hariyadi</t>
  </si>
  <si>
    <t>Suti</t>
  </si>
  <si>
    <t>Titin</t>
  </si>
  <si>
    <t>Jaya</t>
  </si>
  <si>
    <t>Mahendra</t>
  </si>
  <si>
    <t xml:space="preserve">Mahendra </t>
  </si>
  <si>
    <t>Nur sakinah</t>
  </si>
  <si>
    <t>Juariyah</t>
  </si>
  <si>
    <t>Khoirun sasmito</t>
  </si>
  <si>
    <t>Achmad Munir</t>
  </si>
  <si>
    <t>Nova Putra</t>
  </si>
  <si>
    <t>/78</t>
  </si>
  <si>
    <t>Suhadi Jayadi</t>
  </si>
  <si>
    <t>P(Kesejahteraan|1) =</t>
  </si>
  <si>
    <t>P(Kesejahteraan|2) =</t>
  </si>
  <si>
    <t>P(Kesejahteraan|3) =</t>
  </si>
  <si>
    <t>P(Kesejahteraan|4) =</t>
  </si>
  <si>
    <t>P(Kesejahteraan|5) =</t>
  </si>
  <si>
    <t>P(Kesejahteraan|6) =</t>
  </si>
  <si>
    <t xml:space="preserve">P(Kesejahteraan|1) = </t>
  </si>
  <si>
    <t xml:space="preserve">P(Kesejahteraan|2) = </t>
  </si>
  <si>
    <t xml:space="preserve">P(Kesejahteraan|6) = </t>
  </si>
  <si>
    <t>Titik Suharnik</t>
  </si>
  <si>
    <t>Tidak sesuai dengan data aktual</t>
  </si>
  <si>
    <t>Achmad Sholik</t>
  </si>
  <si>
    <t>Muchmmad Basri</t>
  </si>
  <si>
    <t>Sunaryo</t>
  </si>
  <si>
    <t>Total Data</t>
  </si>
  <si>
    <t xml:space="preserve">Total Semua </t>
  </si>
  <si>
    <t>TABEL CONFUSION MATRIX MULTI CLASS</t>
  </si>
  <si>
    <t>Precesion</t>
  </si>
  <si>
    <t>F1-Score = 2 x (presisi * recall / presisi + recall)</t>
  </si>
  <si>
    <t>Jenis Kloset</t>
  </si>
  <si>
    <t xml:space="preserve">Jarak Sumber Air minum </t>
  </si>
  <si>
    <t>Luas Lahan Sawah/Kebun yang Diusahakan Milik Sendiri</t>
  </si>
  <si>
    <t>Jumlah Ternak Sapi</t>
  </si>
  <si>
    <t>Jumlah Ternak Kerbau</t>
  </si>
  <si>
    <t>Jumlah Ternak Kuda</t>
  </si>
  <si>
    <t>Jumlah Ternak Babi</t>
  </si>
  <si>
    <t xml:space="preserve">Jumlah Ternak Kambing </t>
  </si>
  <si>
    <t xml:space="preserve">Jumlah kapal / perahu motor </t>
  </si>
  <si>
    <t>Jumlah pemanas air</t>
  </si>
  <si>
    <t>Jumlah Perahu</t>
  </si>
  <si>
    <t>Indikator Kemiskinan Tidak Terpakai</t>
  </si>
  <si>
    <t>Kode Kategori</t>
  </si>
  <si>
    <t>Data</t>
  </si>
  <si>
    <t>Training</t>
  </si>
  <si>
    <t>Uji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</si>
</sst>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4"/>
      <color theme="1"/>
      <name val="Calibri"/>
      <family val="2"/>
      <scheme val="minor"/>
    </font>
    <font>
      <sz val="8"/>
      <name val="Calibri"/>
      <family val="2"/>
      <scheme val="minor"/>
    </font>
    <font>
      <sz val="11"/>
      <name val="Calibri"/>
      <family val="2"/>
      <scheme val="minor"/>
    </font>
    <font>
      <sz val="11"/>
      <color rgb="FFFF0000"/>
      <name val="Calibri"/>
      <family val="2"/>
      <scheme val="minor"/>
    </font>
    <font>
      <sz val="10"/>
      <color theme="1"/>
      <name val="Arial Unicode MS"/>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28">
    <xf numFmtId="0" fontId="0" fillId="0" borderId="0" xfId="0"/>
    <xf numFmtId="0" fontId="0" fillId="2" borderId="0" xfId="0" applyFill="1" applyAlignment="1">
      <alignment horizontal="center" vertical="center"/>
    </xf>
    <xf numFmtId="0" fontId="0" fillId="0" borderId="0" xfId="0" applyAlignment="1">
      <alignment horizontal="center" vertical="center"/>
    </xf>
    <xf numFmtId="0" fontId="0" fillId="0" borderId="0" xfId="0" applyAlignment="1">
      <alignment horizontal="right"/>
    </xf>
    <xf numFmtId="0" fontId="2" fillId="0" borderId="0" xfId="0" applyFont="1"/>
    <xf numFmtId="0" fontId="1" fillId="0" borderId="0" xfId="0" applyFont="1"/>
    <xf numFmtId="0" fontId="0" fillId="0" borderId="1" xfId="0" applyBorder="1"/>
    <xf numFmtId="0" fontId="0" fillId="2" borderId="1" xfId="0" applyFill="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4" fillId="0" borderId="3" xfId="0" applyFont="1" applyBorder="1"/>
    <xf numFmtId="0" fontId="4" fillId="0" borderId="4" xfId="0" applyFont="1" applyBorder="1"/>
    <xf numFmtId="0" fontId="4" fillId="0" borderId="8" xfId="0" applyFont="1" applyBorder="1"/>
    <xf numFmtId="0" fontId="4" fillId="0" borderId="9" xfId="0" applyFont="1" applyBorder="1"/>
    <xf numFmtId="2" fontId="0" fillId="0" borderId="0" xfId="0" applyNumberFormat="1"/>
    <xf numFmtId="0" fontId="0" fillId="2" borderId="0" xfId="0" applyFill="1"/>
    <xf numFmtId="0" fontId="0" fillId="3" borderId="0" xfId="0" applyFill="1"/>
    <xf numFmtId="0" fontId="0" fillId="4" borderId="0" xfId="0" applyFill="1"/>
    <xf numFmtId="2" fontId="0" fillId="0" borderId="0" xfId="0" applyNumberFormat="1" applyAlignment="1">
      <alignment horizontal="center"/>
    </xf>
    <xf numFmtId="0" fontId="0" fillId="3" borderId="1" xfId="0" applyFill="1" applyBorder="1"/>
    <xf numFmtId="10" fontId="0" fillId="0" borderId="0" xfId="0" applyNumberFormat="1"/>
    <xf numFmtId="10" fontId="0" fillId="0" borderId="1" xfId="0" applyNumberFormat="1" applyBorder="1"/>
    <xf numFmtId="0" fontId="0" fillId="2" borderId="1" xfId="0" applyFill="1" applyBorder="1" applyAlignment="1">
      <alignment horizontal="center"/>
    </xf>
    <xf numFmtId="0" fontId="0" fillId="0" borderId="10" xfId="0" applyBorder="1"/>
    <xf numFmtId="10" fontId="0" fillId="0" borderId="10" xfId="0" applyNumberFormat="1" applyBorder="1"/>
    <xf numFmtId="0" fontId="0" fillId="0" borderId="14" xfId="0" applyBorder="1"/>
    <xf numFmtId="0" fontId="4" fillId="0" borderId="0" xfId="0" applyFont="1"/>
    <xf numFmtId="0" fontId="0" fillId="0" borderId="12" xfId="0" applyBorder="1"/>
    <xf numFmtId="2" fontId="5" fillId="0" borderId="0" xfId="0" applyNumberFormat="1" applyFont="1"/>
    <xf numFmtId="2" fontId="4" fillId="0" borderId="0" xfId="0" applyNumberFormat="1" applyFont="1"/>
    <xf numFmtId="0" fontId="5" fillId="0" borderId="0" xfId="0" applyFont="1"/>
    <xf numFmtId="16" fontId="4" fillId="0" borderId="0" xfId="0" applyNumberFormat="1" applyFont="1"/>
    <xf numFmtId="0" fontId="1" fillId="2" borderId="0" xfId="0" applyFont="1" applyFill="1" applyAlignment="1">
      <alignment horizontal="center"/>
    </xf>
    <xf numFmtId="0" fontId="1" fillId="2" borderId="6" xfId="0" applyFont="1" applyFill="1" applyBorder="1" applyAlignment="1">
      <alignment horizontal="center"/>
    </xf>
    <xf numFmtId="0" fontId="0" fillId="2" borderId="11" xfId="0" applyFill="1" applyBorder="1" applyAlignment="1">
      <alignment horizontal="center"/>
    </xf>
    <xf numFmtId="0" fontId="0" fillId="2" borderId="11" xfId="0" applyFill="1" applyBorder="1"/>
    <xf numFmtId="0" fontId="0" fillId="0" borderId="11" xfId="0" applyBorder="1"/>
    <xf numFmtId="0" fontId="0" fillId="0" borderId="0" xfId="0" applyAlignment="1">
      <alignment horizontal="center"/>
    </xf>
    <xf numFmtId="10" fontId="1" fillId="0" borderId="0" xfId="0" applyNumberFormat="1" applyFont="1"/>
    <xf numFmtId="0" fontId="6" fillId="0" borderId="0" xfId="0" applyFont="1" applyAlignment="1">
      <alignment vertical="center"/>
    </xf>
    <xf numFmtId="0" fontId="1" fillId="0" borderId="0" xfId="0" applyFont="1" applyAlignment="1">
      <alignment horizontal="center"/>
    </xf>
    <xf numFmtId="2" fontId="0" fillId="2" borderId="1" xfId="0" applyNumberFormat="1" applyFill="1" applyBorder="1" applyAlignment="1">
      <alignment horizontal="center"/>
    </xf>
    <xf numFmtId="0" fontId="0" fillId="4" borderId="1" xfId="0" applyFill="1" applyBorder="1"/>
    <xf numFmtId="0" fontId="0" fillId="0" borderId="15" xfId="0" applyBorder="1"/>
    <xf numFmtId="0" fontId="1" fillId="0" borderId="1" xfId="0" applyFont="1" applyBorder="1"/>
    <xf numFmtId="0" fontId="1" fillId="0" borderId="12" xfId="0" applyFont="1" applyBorder="1" applyAlignment="1">
      <alignment horizontal="center"/>
    </xf>
    <xf numFmtId="0" fontId="0" fillId="2" borderId="1" xfId="0" applyFill="1" applyBorder="1" applyAlignment="1">
      <alignment horizontal="center" vertical="center"/>
    </xf>
    <xf numFmtId="0" fontId="0" fillId="0" borderId="1" xfId="0" applyBorder="1" applyAlignment="1">
      <alignment horizontal="right"/>
    </xf>
    <xf numFmtId="0" fontId="0" fillId="0" borderId="0" xfId="0" applyAlignment="1">
      <alignment horizontal="left"/>
    </xf>
    <xf numFmtId="0" fontId="1" fillId="0" borderId="10" xfId="0" applyFont="1" applyBorder="1"/>
    <xf numFmtId="2" fontId="0" fillId="0" borderId="1" xfId="0" applyNumberFormat="1" applyBorder="1"/>
    <xf numFmtId="0" fontId="1" fillId="0" borderId="1" xfId="0" applyFont="1" applyBorder="1" applyAlignment="1">
      <alignment horizontal="center"/>
    </xf>
    <xf numFmtId="2" fontId="0" fillId="0" borderId="5" xfId="0" applyNumberFormat="1" applyBorder="1" applyAlignment="1">
      <alignment horizontal="right"/>
    </xf>
    <xf numFmtId="2" fontId="0" fillId="0" borderId="0" xfId="0" applyNumberFormat="1" applyAlignment="1">
      <alignment horizontal="center" vertical="center"/>
    </xf>
    <xf numFmtId="0" fontId="1" fillId="2" borderId="1" xfId="0" applyFont="1" applyFill="1" applyBorder="1" applyAlignment="1">
      <alignment horizontal="center" vertical="center"/>
    </xf>
    <xf numFmtId="0" fontId="0" fillId="0" borderId="10" xfId="0" applyBorder="1" applyAlignment="1">
      <alignment horizontal="right"/>
    </xf>
    <xf numFmtId="0" fontId="4" fillId="0" borderId="1" xfId="0" applyFont="1" applyBorder="1"/>
    <xf numFmtId="0" fontId="4" fillId="0" borderId="11" xfId="0" applyFont="1" applyBorder="1"/>
    <xf numFmtId="0" fontId="4" fillId="0" borderId="6" xfId="0" applyFont="1" applyBorder="1"/>
    <xf numFmtId="0" fontId="4" fillId="0" borderId="15" xfId="0" applyFont="1" applyBorder="1"/>
    <xf numFmtId="0" fontId="4" fillId="0" borderId="10" xfId="0" applyFont="1" applyBorder="1"/>
    <xf numFmtId="0" fontId="1" fillId="2" borderId="10" xfId="0" applyFont="1" applyFill="1" applyBorder="1" applyAlignment="1">
      <alignment horizontal="center"/>
    </xf>
    <xf numFmtId="0" fontId="0" fillId="2" borderId="0" xfId="0" applyFill="1" applyAlignment="1">
      <alignment horizontal="center" vertical="center"/>
    </xf>
    <xf numFmtId="0" fontId="0" fillId="4" borderId="0" xfId="0" applyFill="1" applyAlignment="1">
      <alignment horizontal="center" vertical="center"/>
    </xf>
    <xf numFmtId="0" fontId="0" fillId="0" borderId="0" xfId="0" applyAlignment="1">
      <alignment horizontal="center"/>
    </xf>
    <xf numFmtId="0" fontId="0" fillId="0" borderId="6" xfId="0" applyBorder="1" applyAlignment="1">
      <alignment horizontal="center"/>
    </xf>
    <xf numFmtId="0" fontId="0" fillId="0" borderId="0" xfId="0" applyAlignment="1">
      <alignment horizontal="left"/>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0" fillId="3" borderId="0" xfId="0" applyFill="1" applyAlignment="1">
      <alignment horizontal="center"/>
    </xf>
    <xf numFmtId="0" fontId="0" fillId="0" borderId="0" xfId="0" applyAlignment="1">
      <alignment horizontal="center" vertical="center"/>
    </xf>
    <xf numFmtId="0" fontId="1" fillId="0" borderId="0" xfId="0" applyFont="1" applyAlignment="1">
      <alignment horizontal="center"/>
    </xf>
    <xf numFmtId="0" fontId="1" fillId="2" borderId="1" xfId="0" applyFont="1" applyFill="1" applyBorder="1" applyAlignment="1">
      <alignment horizontal="center" vertical="center"/>
    </xf>
    <xf numFmtId="0" fontId="0" fillId="2" borderId="0" xfId="0" applyFill="1" applyAlignment="1">
      <alignment horizontal="center"/>
    </xf>
    <xf numFmtId="0" fontId="1" fillId="4" borderId="0" xfId="0" applyFont="1" applyFill="1" applyAlignment="1">
      <alignment horizontal="center" vertical="center"/>
    </xf>
    <xf numFmtId="0" fontId="0" fillId="2" borderId="1" xfId="0" applyFill="1" applyBorder="1" applyAlignment="1">
      <alignment horizontal="center"/>
    </xf>
    <xf numFmtId="0" fontId="0" fillId="3" borderId="1" xfId="0" applyFill="1" applyBorder="1" applyAlignment="1">
      <alignment horizontal="center"/>
    </xf>
    <xf numFmtId="0" fontId="0" fillId="0" borderId="1" xfId="0" applyBorder="1" applyAlignment="1">
      <alignment horizontal="center"/>
    </xf>
    <xf numFmtId="0" fontId="0" fillId="4" borderId="1" xfId="0" applyFill="1" applyBorder="1" applyAlignment="1">
      <alignment horizontal="center"/>
    </xf>
    <xf numFmtId="0" fontId="1" fillId="4" borderId="1" xfId="0" applyFont="1" applyFill="1" applyBorder="1" applyAlignment="1">
      <alignment horizontal="center" vertical="center"/>
    </xf>
    <xf numFmtId="0" fontId="0" fillId="3" borderId="11" xfId="0" applyFill="1" applyBorder="1" applyAlignment="1">
      <alignment horizontal="center"/>
    </xf>
    <xf numFmtId="0" fontId="0" fillId="4" borderId="0" xfId="0" applyFill="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9" xfId="0" applyFont="1" applyFill="1" applyBorder="1" applyAlignment="1">
      <alignment horizontal="center"/>
    </xf>
    <xf numFmtId="0" fontId="0" fillId="2" borderId="12" xfId="0" applyFill="1" applyBorder="1" applyAlignment="1">
      <alignment horizontal="center"/>
    </xf>
    <xf numFmtId="0" fontId="0" fillId="2" borderId="14" xfId="0" applyFill="1"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10" fontId="1" fillId="2" borderId="10" xfId="0" applyNumberFormat="1" applyFont="1" applyFill="1" applyBorder="1" applyAlignment="1">
      <alignment horizontal="center" vertical="center"/>
    </xf>
    <xf numFmtId="10" fontId="1" fillId="2" borderId="11" xfId="0" applyNumberFormat="1" applyFont="1" applyFill="1" applyBorder="1" applyAlignment="1">
      <alignment horizontal="center" vertical="center"/>
    </xf>
    <xf numFmtId="0" fontId="1" fillId="0" borderId="8" xfId="0" applyFont="1" applyBorder="1" applyAlignment="1">
      <alignment horizontal="center"/>
    </xf>
    <xf numFmtId="0" fontId="1" fillId="2" borderId="1" xfId="0" applyFont="1" applyFill="1" applyBorder="1" applyAlignment="1">
      <alignment horizont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xf>
    <xf numFmtId="0" fontId="0" fillId="3" borderId="13" xfId="0" applyFill="1" applyBorder="1" applyAlignment="1">
      <alignment horizontal="center"/>
    </xf>
    <xf numFmtId="0" fontId="0" fillId="3" borderId="14" xfId="0" applyFill="1" applyBorder="1" applyAlignment="1">
      <alignment horizontal="center"/>
    </xf>
    <xf numFmtId="0" fontId="0" fillId="5" borderId="1" xfId="0" applyFill="1" applyBorder="1" applyAlignment="1">
      <alignment horizontal="center" vertical="center"/>
    </xf>
    <xf numFmtId="0" fontId="1" fillId="3" borderId="1" xfId="0" applyFont="1" applyFill="1" applyBorder="1" applyAlignment="1">
      <alignment horizontal="center"/>
    </xf>
    <xf numFmtId="0" fontId="0" fillId="0" borderId="10"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3"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Border="1"/>
    <xf numFmtId="0" fontId="0" fillId="0" borderId="0" xfId="0" applyBorder="1" applyAlignment="1">
      <alignment horizontal="right"/>
    </xf>
    <xf numFmtId="0" fontId="0" fillId="0" borderId="0" xfId="0" applyFill="1" applyBorder="1"/>
    <xf numFmtId="0" fontId="1"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center"/>
    </xf>
    <xf numFmtId="0" fontId="6" fillId="0" borderId="0" xfId="0" applyFont="1" applyFill="1" applyBorder="1" applyAlignment="1">
      <alignment vertical="center"/>
    </xf>
    <xf numFmtId="0" fontId="0" fillId="0" borderId="0" xfId="0" applyFill="1" applyBorder="1" applyAlignment="1">
      <alignment horizontal="center"/>
    </xf>
    <xf numFmtId="0" fontId="0" fillId="0" borderId="0"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43</xdr:col>
      <xdr:colOff>26737</xdr:colOff>
      <xdr:row>4</xdr:row>
      <xdr:rowOff>53475</xdr:rowOff>
    </xdr:from>
    <xdr:to>
      <xdr:col>44</xdr:col>
      <xdr:colOff>1046479</xdr:colOff>
      <xdr:row>7</xdr:row>
      <xdr:rowOff>133685</xdr:rowOff>
    </xdr:to>
    <xdr:pic>
      <xdr:nvPicPr>
        <xdr:cNvPr id="3" name="Picture 2">
          <a:extLst>
            <a:ext uri="{FF2B5EF4-FFF2-40B4-BE49-F238E27FC236}">
              <a16:creationId xmlns:a16="http://schemas.microsoft.com/office/drawing/2014/main" id="{33EDC7E2-6E41-A18A-90F2-684B44D5A1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53322" y="1205768"/>
          <a:ext cx="3255474" cy="6377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43</xdr:col>
      <xdr:colOff>26737</xdr:colOff>
      <xdr:row>4</xdr:row>
      <xdr:rowOff>53475</xdr:rowOff>
    </xdr:from>
    <xdr:to>
      <xdr:col>44</xdr:col>
      <xdr:colOff>1046479</xdr:colOff>
      <xdr:row>7</xdr:row>
      <xdr:rowOff>133685</xdr:rowOff>
    </xdr:to>
    <xdr:pic>
      <xdr:nvPicPr>
        <xdr:cNvPr id="2" name="Picture 1">
          <a:extLst>
            <a:ext uri="{FF2B5EF4-FFF2-40B4-BE49-F238E27FC236}">
              <a16:creationId xmlns:a16="http://schemas.microsoft.com/office/drawing/2014/main" id="{DB07D645-5CA1-4456-B4CC-6B52F91FCB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459237" y="823095"/>
          <a:ext cx="3252402" cy="628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5083F-A382-4AE8-85DD-F54C7ACB7AA2}">
  <dimension ref="A1:AN115"/>
  <sheetViews>
    <sheetView workbookViewId="0">
      <selection activeCell="E80" sqref="E80"/>
    </sheetView>
  </sheetViews>
  <sheetFormatPr defaultRowHeight="14.4"/>
  <cols>
    <col min="2" max="2" width="21.33203125" bestFit="1" customWidth="1"/>
    <col min="3" max="3" width="21.33203125" customWidth="1"/>
    <col min="4" max="4" width="18" bestFit="1" customWidth="1"/>
  </cols>
  <sheetData>
    <row r="1" spans="1:40">
      <c r="A1" s="59" t="s">
        <v>288</v>
      </c>
      <c r="B1" s="59" t="s">
        <v>0</v>
      </c>
      <c r="C1" s="59" t="s">
        <v>536</v>
      </c>
      <c r="D1" s="59" t="s">
        <v>64</v>
      </c>
      <c r="E1" s="59" t="s">
        <v>43</v>
      </c>
      <c r="F1" s="59" t="s">
        <v>44</v>
      </c>
      <c r="G1" s="59" t="s">
        <v>45</v>
      </c>
      <c r="H1" s="59" t="s">
        <v>46</v>
      </c>
      <c r="I1" s="59" t="s">
        <v>47</v>
      </c>
      <c r="J1" s="59" t="s">
        <v>48</v>
      </c>
      <c r="K1" s="59" t="s">
        <v>49</v>
      </c>
      <c r="L1" s="59" t="s">
        <v>50</v>
      </c>
      <c r="M1" s="59" t="s">
        <v>51</v>
      </c>
      <c r="N1" s="59" t="s">
        <v>52</v>
      </c>
      <c r="O1" s="59" t="s">
        <v>53</v>
      </c>
      <c r="P1" s="59" t="s">
        <v>54</v>
      </c>
      <c r="Q1" s="59" t="s">
        <v>55</v>
      </c>
      <c r="R1" s="59" t="s">
        <v>56</v>
      </c>
      <c r="S1" s="59" t="s">
        <v>57</v>
      </c>
      <c r="T1" s="59" t="s">
        <v>58</v>
      </c>
      <c r="U1" s="59" t="s">
        <v>59</v>
      </c>
      <c r="V1" s="59" t="s">
        <v>60</v>
      </c>
      <c r="W1" s="59" t="s">
        <v>61</v>
      </c>
      <c r="X1" s="59" t="s">
        <v>62</v>
      </c>
      <c r="Y1" s="59" t="s">
        <v>63</v>
      </c>
      <c r="Z1" s="59" t="s">
        <v>330</v>
      </c>
      <c r="AA1" s="59" t="s">
        <v>331</v>
      </c>
      <c r="AB1" s="59" t="s">
        <v>332</v>
      </c>
      <c r="AC1" s="59" t="s">
        <v>333</v>
      </c>
      <c r="AD1" s="59" t="s">
        <v>334</v>
      </c>
      <c r="AE1" s="59" t="s">
        <v>335</v>
      </c>
      <c r="AF1" s="59" t="s">
        <v>336</v>
      </c>
      <c r="AG1" s="59" t="s">
        <v>337</v>
      </c>
      <c r="AH1" s="59" t="s">
        <v>338</v>
      </c>
      <c r="AI1" s="59" t="s">
        <v>339</v>
      </c>
      <c r="AJ1" s="59" t="s">
        <v>340</v>
      </c>
      <c r="AK1" s="59" t="s">
        <v>341</v>
      </c>
      <c r="AL1" s="59" t="s">
        <v>342</v>
      </c>
      <c r="AM1" s="59" t="s">
        <v>343</v>
      </c>
      <c r="AN1" s="59" t="s">
        <v>390</v>
      </c>
    </row>
    <row r="2" spans="1:40">
      <c r="A2" s="6">
        <f t="shared" ref="A2:A65" si="0">ROW()-1</f>
        <v>1</v>
      </c>
      <c r="B2" s="6" t="s">
        <v>1</v>
      </c>
      <c r="C2" s="6" t="s">
        <v>537</v>
      </c>
      <c r="D2" s="6">
        <v>1</v>
      </c>
      <c r="E2" s="6" t="s">
        <v>2</v>
      </c>
      <c r="F2" s="6" t="s">
        <v>3</v>
      </c>
      <c r="G2" s="6" t="s">
        <v>4</v>
      </c>
      <c r="H2" s="6" t="s">
        <v>5</v>
      </c>
      <c r="I2" s="6" t="s">
        <v>5</v>
      </c>
      <c r="J2" s="6" t="s">
        <v>5</v>
      </c>
      <c r="K2" s="6" t="s">
        <v>2</v>
      </c>
      <c r="L2" s="6" t="s">
        <v>2</v>
      </c>
      <c r="M2" s="6" t="s">
        <v>3</v>
      </c>
      <c r="N2" s="6" t="s">
        <v>2</v>
      </c>
      <c r="O2" s="6" t="s">
        <v>4</v>
      </c>
      <c r="P2" s="6" t="s">
        <v>2</v>
      </c>
      <c r="Q2" s="6" t="s">
        <v>5</v>
      </c>
      <c r="R2" s="6" t="s">
        <v>3</v>
      </c>
      <c r="S2" s="6" t="s">
        <v>3</v>
      </c>
      <c r="T2" s="6" t="s">
        <v>5</v>
      </c>
      <c r="U2" s="6" t="s">
        <v>5</v>
      </c>
      <c r="V2" s="6" t="s">
        <v>5</v>
      </c>
      <c r="W2" s="6" t="s">
        <v>2</v>
      </c>
      <c r="X2" s="6" t="s">
        <v>4</v>
      </c>
      <c r="Y2" s="6" t="s">
        <v>3</v>
      </c>
      <c r="Z2" s="6" t="s">
        <v>4</v>
      </c>
      <c r="AA2" s="6" t="s">
        <v>4</v>
      </c>
      <c r="AB2" s="6" t="s">
        <v>4</v>
      </c>
      <c r="AC2" s="6" t="s">
        <v>4</v>
      </c>
      <c r="AD2" s="6" t="s">
        <v>4</v>
      </c>
      <c r="AE2" s="6" t="s">
        <v>4</v>
      </c>
      <c r="AF2" s="6" t="s">
        <v>4</v>
      </c>
      <c r="AG2" s="6" t="s">
        <v>3</v>
      </c>
      <c r="AH2" s="6" t="s">
        <v>4</v>
      </c>
      <c r="AI2" s="6" t="s">
        <v>4</v>
      </c>
      <c r="AJ2" s="6" t="s">
        <v>3</v>
      </c>
      <c r="AK2" s="6" t="s">
        <v>4</v>
      </c>
      <c r="AL2" s="6" t="s">
        <v>4</v>
      </c>
      <c r="AM2" s="6" t="s">
        <v>4</v>
      </c>
      <c r="AN2" s="6" t="s">
        <v>3</v>
      </c>
    </row>
    <row r="3" spans="1:40">
      <c r="A3" s="6">
        <f t="shared" si="0"/>
        <v>2</v>
      </c>
      <c r="B3" s="6" t="s">
        <v>6</v>
      </c>
      <c r="C3" s="6" t="s">
        <v>537</v>
      </c>
      <c r="D3" s="6">
        <v>1</v>
      </c>
      <c r="E3" s="6" t="s">
        <v>5</v>
      </c>
      <c r="F3" s="6" t="s">
        <v>3</v>
      </c>
      <c r="G3" s="6" t="s">
        <v>2</v>
      </c>
      <c r="H3" s="6" t="s">
        <v>3</v>
      </c>
      <c r="I3" s="6" t="s">
        <v>5</v>
      </c>
      <c r="J3" s="6" t="s">
        <v>3</v>
      </c>
      <c r="K3" s="6" t="s">
        <v>5</v>
      </c>
      <c r="L3" s="6" t="s">
        <v>2</v>
      </c>
      <c r="M3" s="6" t="s">
        <v>2</v>
      </c>
      <c r="N3" s="6" t="s">
        <v>3</v>
      </c>
      <c r="O3" s="6" t="s">
        <v>3</v>
      </c>
      <c r="P3" s="6" t="s">
        <v>4</v>
      </c>
      <c r="Q3" s="6" t="s">
        <v>5</v>
      </c>
      <c r="R3" s="6" t="s">
        <v>3</v>
      </c>
      <c r="S3" s="6" t="s">
        <v>3</v>
      </c>
      <c r="T3" s="6" t="s">
        <v>5</v>
      </c>
      <c r="U3" s="6" t="s">
        <v>5</v>
      </c>
      <c r="V3" s="6" t="s">
        <v>5</v>
      </c>
      <c r="W3" s="6" t="s">
        <v>4</v>
      </c>
      <c r="X3" s="6" t="s">
        <v>4</v>
      </c>
      <c r="Y3" s="6" t="s">
        <v>4</v>
      </c>
      <c r="Z3" s="6" t="s">
        <v>5</v>
      </c>
      <c r="AA3" s="6" t="s">
        <v>3</v>
      </c>
      <c r="AB3" s="6" t="s">
        <v>4</v>
      </c>
      <c r="AC3" s="6" t="s">
        <v>4</v>
      </c>
      <c r="AD3" s="6" t="s">
        <v>4</v>
      </c>
      <c r="AE3" s="6" t="s">
        <v>4</v>
      </c>
      <c r="AF3" s="6" t="s">
        <v>4</v>
      </c>
      <c r="AG3" s="6" t="s">
        <v>4</v>
      </c>
      <c r="AH3" s="6" t="s">
        <v>3</v>
      </c>
      <c r="AI3" s="6" t="s">
        <v>4</v>
      </c>
      <c r="AJ3" s="6" t="s">
        <v>3</v>
      </c>
      <c r="AK3" s="6" t="s">
        <v>4</v>
      </c>
      <c r="AL3" s="6" t="s">
        <v>4</v>
      </c>
      <c r="AM3" s="6" t="s">
        <v>4</v>
      </c>
      <c r="AN3" s="6" t="s">
        <v>3</v>
      </c>
    </row>
    <row r="4" spans="1:40">
      <c r="A4" s="6">
        <f t="shared" si="0"/>
        <v>3</v>
      </c>
      <c r="B4" s="6" t="s">
        <v>7</v>
      </c>
      <c r="C4" s="6" t="s">
        <v>537</v>
      </c>
      <c r="D4" s="6">
        <v>1</v>
      </c>
      <c r="E4" s="6" t="s">
        <v>2</v>
      </c>
      <c r="F4" s="6" t="s">
        <v>3</v>
      </c>
      <c r="G4" s="6" t="s">
        <v>4</v>
      </c>
      <c r="H4" s="6" t="s">
        <v>5</v>
      </c>
      <c r="I4" s="6" t="s">
        <v>5</v>
      </c>
      <c r="J4" s="6" t="s">
        <v>5</v>
      </c>
      <c r="K4" s="6" t="s">
        <v>5</v>
      </c>
      <c r="L4" s="6" t="s">
        <v>2</v>
      </c>
      <c r="M4" s="6" t="s">
        <v>3</v>
      </c>
      <c r="N4" s="6" t="s">
        <v>3</v>
      </c>
      <c r="O4" s="6" t="s">
        <v>4</v>
      </c>
      <c r="P4" s="6" t="s">
        <v>3</v>
      </c>
      <c r="Q4" s="6" t="s">
        <v>5</v>
      </c>
      <c r="R4" s="6" t="s">
        <v>3</v>
      </c>
      <c r="S4" s="6" t="s">
        <v>3</v>
      </c>
      <c r="T4" s="6" t="s">
        <v>5</v>
      </c>
      <c r="U4" s="6" t="s">
        <v>5</v>
      </c>
      <c r="V4" s="6" t="s">
        <v>5</v>
      </c>
      <c r="W4" s="6" t="s">
        <v>2</v>
      </c>
      <c r="X4" s="6" t="s">
        <v>4</v>
      </c>
      <c r="Y4" s="6" t="s">
        <v>3</v>
      </c>
      <c r="Z4" s="6" t="s">
        <v>2</v>
      </c>
      <c r="AA4" s="6" t="s">
        <v>3</v>
      </c>
      <c r="AB4" s="6" t="s">
        <v>4</v>
      </c>
      <c r="AC4" s="6" t="s">
        <v>4</v>
      </c>
      <c r="AD4" s="6" t="s">
        <v>4</v>
      </c>
      <c r="AE4" s="6" t="s">
        <v>4</v>
      </c>
      <c r="AF4" s="6" t="s">
        <v>4</v>
      </c>
      <c r="AG4" s="6" t="s">
        <v>4</v>
      </c>
      <c r="AH4" s="6" t="s">
        <v>4</v>
      </c>
      <c r="AI4" s="6" t="s">
        <v>4</v>
      </c>
      <c r="AJ4" s="6" t="s">
        <v>4</v>
      </c>
      <c r="AK4" s="6" t="s">
        <v>4</v>
      </c>
      <c r="AL4" s="6" t="s">
        <v>4</v>
      </c>
      <c r="AM4" s="6" t="s">
        <v>3</v>
      </c>
      <c r="AN4" s="6" t="s">
        <v>3</v>
      </c>
    </row>
    <row r="5" spans="1:40">
      <c r="A5" s="6">
        <f t="shared" si="0"/>
        <v>4</v>
      </c>
      <c r="B5" s="6" t="s">
        <v>8</v>
      </c>
      <c r="C5" s="6" t="s">
        <v>537</v>
      </c>
      <c r="D5" s="6">
        <v>1</v>
      </c>
      <c r="E5" s="6" t="s">
        <v>5</v>
      </c>
      <c r="F5" s="6" t="s">
        <v>3</v>
      </c>
      <c r="G5" s="6" t="s">
        <v>2</v>
      </c>
      <c r="H5" s="6" t="s">
        <v>3</v>
      </c>
      <c r="I5" s="6" t="s">
        <v>5</v>
      </c>
      <c r="J5" s="6" t="s">
        <v>5</v>
      </c>
      <c r="K5" s="6" t="s">
        <v>5</v>
      </c>
      <c r="L5" s="6" t="s">
        <v>2</v>
      </c>
      <c r="M5" s="6" t="s">
        <v>3</v>
      </c>
      <c r="N5" s="6" t="s">
        <v>3</v>
      </c>
      <c r="O5" s="6" t="s">
        <v>4</v>
      </c>
      <c r="P5" s="6" t="s">
        <v>2</v>
      </c>
      <c r="Q5" s="6" t="s">
        <v>5</v>
      </c>
      <c r="R5" s="6" t="s">
        <v>3</v>
      </c>
      <c r="S5" s="6" t="s">
        <v>2</v>
      </c>
      <c r="T5" s="6" t="s">
        <v>5</v>
      </c>
      <c r="U5" s="6" t="s">
        <v>2</v>
      </c>
      <c r="V5" s="6" t="s">
        <v>2</v>
      </c>
      <c r="W5" s="6" t="s">
        <v>3</v>
      </c>
      <c r="X5" s="6" t="s">
        <v>4</v>
      </c>
      <c r="Y5" s="6" t="s">
        <v>3</v>
      </c>
      <c r="Z5" s="6" t="s">
        <v>3</v>
      </c>
      <c r="AA5" s="6" t="s">
        <v>3</v>
      </c>
      <c r="AB5" s="6" t="s">
        <v>4</v>
      </c>
      <c r="AC5" s="6" t="s">
        <v>4</v>
      </c>
      <c r="AD5" s="6" t="s">
        <v>4</v>
      </c>
      <c r="AE5" s="6" t="s">
        <v>4</v>
      </c>
      <c r="AF5" s="6" t="s">
        <v>4</v>
      </c>
      <c r="AG5" s="6" t="s">
        <v>4</v>
      </c>
      <c r="AH5" s="6" t="s">
        <v>3</v>
      </c>
      <c r="AI5" s="6" t="s">
        <v>4</v>
      </c>
      <c r="AJ5" s="6" t="s">
        <v>3</v>
      </c>
      <c r="AK5" s="6" t="s">
        <v>4</v>
      </c>
      <c r="AL5" s="6" t="s">
        <v>4</v>
      </c>
      <c r="AM5" s="6" t="s">
        <v>4</v>
      </c>
      <c r="AN5" s="6" t="s">
        <v>3</v>
      </c>
    </row>
    <row r="6" spans="1:40">
      <c r="A6" s="6">
        <f t="shared" si="0"/>
        <v>5</v>
      </c>
      <c r="B6" s="6" t="s">
        <v>9</v>
      </c>
      <c r="C6" s="6" t="s">
        <v>537</v>
      </c>
      <c r="D6" s="6">
        <v>1</v>
      </c>
      <c r="E6" s="6" t="s">
        <v>2</v>
      </c>
      <c r="F6" s="6" t="s">
        <v>3</v>
      </c>
      <c r="G6" s="6" t="s">
        <v>3</v>
      </c>
      <c r="H6" s="6" t="s">
        <v>5</v>
      </c>
      <c r="I6" s="6" t="s">
        <v>5</v>
      </c>
      <c r="J6" s="6" t="s">
        <v>3</v>
      </c>
      <c r="K6" s="6" t="s">
        <v>2</v>
      </c>
      <c r="L6" s="6" t="s">
        <v>2</v>
      </c>
      <c r="M6" s="6" t="s">
        <v>2</v>
      </c>
      <c r="N6" s="6" t="s">
        <v>3</v>
      </c>
      <c r="O6" s="6" t="s">
        <v>4</v>
      </c>
      <c r="P6" s="6" t="s">
        <v>5</v>
      </c>
      <c r="Q6" s="6" t="s">
        <v>5</v>
      </c>
      <c r="R6" s="6" t="s">
        <v>3</v>
      </c>
      <c r="S6" s="6" t="s">
        <v>3</v>
      </c>
      <c r="T6" s="6" t="s">
        <v>5</v>
      </c>
      <c r="U6" s="6" t="s">
        <v>5</v>
      </c>
      <c r="V6" s="6" t="s">
        <v>5</v>
      </c>
      <c r="W6" s="6" t="s">
        <v>5</v>
      </c>
      <c r="X6" s="6" t="s">
        <v>4</v>
      </c>
      <c r="Y6" s="6" t="s">
        <v>3</v>
      </c>
      <c r="Z6" s="6" t="s">
        <v>2</v>
      </c>
      <c r="AA6" s="6" t="s">
        <v>3</v>
      </c>
      <c r="AB6" s="6" t="s">
        <v>4</v>
      </c>
      <c r="AC6" s="6" t="s">
        <v>4</v>
      </c>
      <c r="AD6" s="6" t="s">
        <v>4</v>
      </c>
      <c r="AE6" s="6" t="s">
        <v>4</v>
      </c>
      <c r="AF6" s="6" t="s">
        <v>4</v>
      </c>
      <c r="AG6" s="6" t="s">
        <v>3</v>
      </c>
      <c r="AH6" s="6" t="s">
        <v>3</v>
      </c>
      <c r="AI6" s="6" t="s">
        <v>4</v>
      </c>
      <c r="AJ6" s="6" t="s">
        <v>4</v>
      </c>
      <c r="AK6" s="6" t="s">
        <v>4</v>
      </c>
      <c r="AL6" s="6" t="s">
        <v>4</v>
      </c>
      <c r="AM6" s="6" t="s">
        <v>4</v>
      </c>
      <c r="AN6" s="6" t="s">
        <v>3</v>
      </c>
    </row>
    <row r="7" spans="1:40">
      <c r="A7" s="6">
        <f t="shared" si="0"/>
        <v>6</v>
      </c>
      <c r="B7" s="6" t="s">
        <v>10</v>
      </c>
      <c r="C7" s="6" t="s">
        <v>537</v>
      </c>
      <c r="D7" s="6">
        <v>1</v>
      </c>
      <c r="E7" s="6" t="s">
        <v>3</v>
      </c>
      <c r="F7" s="6" t="s">
        <v>3</v>
      </c>
      <c r="G7" s="6" t="s">
        <v>2</v>
      </c>
      <c r="H7" s="6" t="s">
        <v>5</v>
      </c>
      <c r="I7" s="6" t="s">
        <v>5</v>
      </c>
      <c r="J7" s="6" t="s">
        <v>3</v>
      </c>
      <c r="K7" s="6" t="s">
        <v>5</v>
      </c>
      <c r="L7" s="6" t="s">
        <v>2</v>
      </c>
      <c r="M7" s="6" t="s">
        <v>2</v>
      </c>
      <c r="N7" s="6" t="s">
        <v>2</v>
      </c>
      <c r="O7" s="6" t="s">
        <v>3</v>
      </c>
      <c r="P7" s="6" t="s">
        <v>3</v>
      </c>
      <c r="Q7" s="6" t="s">
        <v>5</v>
      </c>
      <c r="R7" s="6" t="s">
        <v>3</v>
      </c>
      <c r="S7" s="6" t="s">
        <v>3</v>
      </c>
      <c r="T7" s="6" t="s">
        <v>5</v>
      </c>
      <c r="U7" s="6" t="s">
        <v>5</v>
      </c>
      <c r="V7" s="6" t="s">
        <v>5</v>
      </c>
      <c r="W7" s="6" t="s">
        <v>5</v>
      </c>
      <c r="X7" s="6" t="s">
        <v>4</v>
      </c>
      <c r="Y7" s="6" t="s">
        <v>3</v>
      </c>
      <c r="Z7" s="6" t="s">
        <v>2</v>
      </c>
      <c r="AA7" s="6" t="s">
        <v>3</v>
      </c>
      <c r="AB7" s="6" t="s">
        <v>4</v>
      </c>
      <c r="AC7" s="6" t="s">
        <v>4</v>
      </c>
      <c r="AD7" s="6" t="s">
        <v>4</v>
      </c>
      <c r="AE7" s="6" t="s">
        <v>4</v>
      </c>
      <c r="AF7" s="6" t="s">
        <v>4</v>
      </c>
      <c r="AG7" s="6" t="s">
        <v>4</v>
      </c>
      <c r="AH7" s="6" t="s">
        <v>3</v>
      </c>
      <c r="AI7" s="6" t="s">
        <v>4</v>
      </c>
      <c r="AJ7" s="6" t="s">
        <v>3</v>
      </c>
      <c r="AK7" s="6" t="s">
        <v>4</v>
      </c>
      <c r="AL7" s="6" t="s">
        <v>4</v>
      </c>
      <c r="AM7" s="6" t="s">
        <v>4</v>
      </c>
      <c r="AN7" s="6" t="s">
        <v>3</v>
      </c>
    </row>
    <row r="8" spans="1:40">
      <c r="A8" s="6">
        <f t="shared" si="0"/>
        <v>7</v>
      </c>
      <c r="B8" s="6" t="s">
        <v>255</v>
      </c>
      <c r="C8" s="6" t="s">
        <v>537</v>
      </c>
      <c r="D8" s="6">
        <v>1</v>
      </c>
      <c r="E8" s="6" t="s">
        <v>3</v>
      </c>
      <c r="F8" s="6" t="s">
        <v>3</v>
      </c>
      <c r="G8" s="6" t="s">
        <v>4</v>
      </c>
      <c r="H8" s="6" t="s">
        <v>3</v>
      </c>
      <c r="I8" s="6" t="s">
        <v>5</v>
      </c>
      <c r="J8" s="6" t="s">
        <v>5</v>
      </c>
      <c r="K8" s="6" t="s">
        <v>2</v>
      </c>
      <c r="L8" s="6" t="s">
        <v>2</v>
      </c>
      <c r="M8" s="6" t="s">
        <v>3</v>
      </c>
      <c r="N8" s="6" t="s">
        <v>3</v>
      </c>
      <c r="O8" s="6" t="s">
        <v>4</v>
      </c>
      <c r="P8" s="6" t="s">
        <v>5</v>
      </c>
      <c r="Q8" s="6" t="s">
        <v>5</v>
      </c>
      <c r="R8" s="6" t="s">
        <v>3</v>
      </c>
      <c r="S8" s="6" t="s">
        <v>2</v>
      </c>
      <c r="T8" s="6" t="s">
        <v>2</v>
      </c>
      <c r="U8" s="6" t="s">
        <v>2</v>
      </c>
      <c r="V8" s="6" t="s">
        <v>2</v>
      </c>
      <c r="W8" s="6" t="s">
        <v>5</v>
      </c>
      <c r="X8" s="6" t="s">
        <v>4</v>
      </c>
      <c r="Y8" s="6" t="s">
        <v>4</v>
      </c>
      <c r="Z8" s="6" t="s">
        <v>4</v>
      </c>
      <c r="AA8" s="6" t="s">
        <v>3</v>
      </c>
      <c r="AB8" s="6" t="s">
        <v>4</v>
      </c>
      <c r="AC8" s="6" t="s">
        <v>4</v>
      </c>
      <c r="AD8" s="6" t="s">
        <v>4</v>
      </c>
      <c r="AE8" s="6" t="s">
        <v>4</v>
      </c>
      <c r="AF8" s="6" t="s">
        <v>4</v>
      </c>
      <c r="AG8" s="6" t="s">
        <v>4</v>
      </c>
      <c r="AH8" s="6" t="s">
        <v>3</v>
      </c>
      <c r="AI8" s="6" t="s">
        <v>4</v>
      </c>
      <c r="AJ8" s="6" t="s">
        <v>3</v>
      </c>
      <c r="AK8" s="6" t="s">
        <v>4</v>
      </c>
      <c r="AL8" s="6" t="s">
        <v>4</v>
      </c>
      <c r="AM8" s="6" t="s">
        <v>3</v>
      </c>
      <c r="AN8" s="6" t="s">
        <v>3</v>
      </c>
    </row>
    <row r="9" spans="1:40">
      <c r="A9" s="6">
        <f t="shared" si="0"/>
        <v>8</v>
      </c>
      <c r="B9" s="6" t="s">
        <v>256</v>
      </c>
      <c r="C9" s="6" t="s">
        <v>537</v>
      </c>
      <c r="D9" s="6">
        <v>1</v>
      </c>
      <c r="E9" s="6" t="s">
        <v>3</v>
      </c>
      <c r="F9" s="6" t="s">
        <v>5</v>
      </c>
      <c r="G9" s="6" t="s">
        <v>3</v>
      </c>
      <c r="H9" s="6" t="s">
        <v>5</v>
      </c>
      <c r="I9" s="6" t="s">
        <v>5</v>
      </c>
      <c r="J9" s="6" t="s">
        <v>5</v>
      </c>
      <c r="K9" s="6" t="s">
        <v>5</v>
      </c>
      <c r="L9" s="6" t="s">
        <v>2</v>
      </c>
      <c r="M9" s="6" t="s">
        <v>3</v>
      </c>
      <c r="N9" s="6" t="s">
        <v>3</v>
      </c>
      <c r="O9" s="6" t="s">
        <v>3</v>
      </c>
      <c r="P9" s="6" t="s">
        <v>4</v>
      </c>
      <c r="Q9" s="6" t="s">
        <v>5</v>
      </c>
      <c r="R9" s="6" t="s">
        <v>3</v>
      </c>
      <c r="S9" s="6" t="s">
        <v>4</v>
      </c>
      <c r="T9" s="6" t="s">
        <v>5</v>
      </c>
      <c r="U9" s="6" t="s">
        <v>5</v>
      </c>
      <c r="V9" s="6" t="s">
        <v>5</v>
      </c>
      <c r="W9" s="6" t="s">
        <v>3</v>
      </c>
      <c r="X9" s="6" t="s">
        <v>4</v>
      </c>
      <c r="Y9" s="6" t="s">
        <v>3</v>
      </c>
      <c r="Z9" s="6" t="s">
        <v>2</v>
      </c>
      <c r="AA9" s="6" t="s">
        <v>3</v>
      </c>
      <c r="AB9" s="6" t="s">
        <v>4</v>
      </c>
      <c r="AC9" s="6" t="s">
        <v>4</v>
      </c>
      <c r="AD9" s="6" t="s">
        <v>4</v>
      </c>
      <c r="AE9" s="6" t="s">
        <v>4</v>
      </c>
      <c r="AF9" s="6" t="s">
        <v>4</v>
      </c>
      <c r="AG9" s="6" t="s">
        <v>4</v>
      </c>
      <c r="AH9" s="6" t="s">
        <v>3</v>
      </c>
      <c r="AI9" s="6" t="s">
        <v>4</v>
      </c>
      <c r="AJ9" s="6" t="s">
        <v>3</v>
      </c>
      <c r="AK9" s="6" t="s">
        <v>4</v>
      </c>
      <c r="AL9" s="6" t="s">
        <v>4</v>
      </c>
      <c r="AM9" s="6" t="s">
        <v>4</v>
      </c>
      <c r="AN9" s="6" t="s">
        <v>3</v>
      </c>
    </row>
    <row r="10" spans="1:40">
      <c r="A10" s="6">
        <f t="shared" si="0"/>
        <v>9</v>
      </c>
      <c r="B10" s="6" t="s">
        <v>257</v>
      </c>
      <c r="C10" s="6" t="s">
        <v>537</v>
      </c>
      <c r="D10" s="6">
        <v>1</v>
      </c>
      <c r="E10" s="6" t="s">
        <v>3</v>
      </c>
      <c r="F10" s="6" t="s">
        <v>3</v>
      </c>
      <c r="G10" s="6" t="s">
        <v>2</v>
      </c>
      <c r="H10" s="6" t="s">
        <v>3</v>
      </c>
      <c r="I10" s="6" t="s">
        <v>5</v>
      </c>
      <c r="J10" s="6" t="s">
        <v>5</v>
      </c>
      <c r="K10" s="6" t="s">
        <v>5</v>
      </c>
      <c r="L10" s="6" t="s">
        <v>2</v>
      </c>
      <c r="M10" s="6" t="s">
        <v>2</v>
      </c>
      <c r="N10" s="6" t="s">
        <v>2</v>
      </c>
      <c r="O10" s="6" t="s">
        <v>3</v>
      </c>
      <c r="P10" s="6" t="s">
        <v>2</v>
      </c>
      <c r="Q10" s="6" t="s">
        <v>5</v>
      </c>
      <c r="R10" s="6" t="s">
        <v>3</v>
      </c>
      <c r="S10" s="6" t="s">
        <v>3</v>
      </c>
      <c r="T10" s="6" t="s">
        <v>5</v>
      </c>
      <c r="U10" s="6" t="s">
        <v>5</v>
      </c>
      <c r="V10" s="6" t="s">
        <v>5</v>
      </c>
      <c r="W10" s="6" t="s">
        <v>2</v>
      </c>
      <c r="X10" s="6" t="s">
        <v>4</v>
      </c>
      <c r="Y10" s="6" t="s">
        <v>3</v>
      </c>
      <c r="Z10" s="6" t="s">
        <v>4</v>
      </c>
      <c r="AA10" s="6" t="s">
        <v>3</v>
      </c>
      <c r="AB10" s="6" t="s">
        <v>4</v>
      </c>
      <c r="AC10" s="6" t="s">
        <v>4</v>
      </c>
      <c r="AD10" s="6" t="s">
        <v>4</v>
      </c>
      <c r="AE10" s="6" t="s">
        <v>4</v>
      </c>
      <c r="AF10" s="6" t="s">
        <v>4</v>
      </c>
      <c r="AG10" s="6" t="s">
        <v>4</v>
      </c>
      <c r="AH10" s="6" t="s">
        <v>3</v>
      </c>
      <c r="AI10" s="6" t="s">
        <v>4</v>
      </c>
      <c r="AJ10" s="6" t="s">
        <v>3</v>
      </c>
      <c r="AK10" s="6" t="s">
        <v>4</v>
      </c>
      <c r="AL10" s="6" t="s">
        <v>4</v>
      </c>
      <c r="AM10" s="6" t="s">
        <v>4</v>
      </c>
      <c r="AN10" s="6" t="s">
        <v>3</v>
      </c>
    </row>
    <row r="11" spans="1:40">
      <c r="A11" s="6">
        <f t="shared" si="0"/>
        <v>10</v>
      </c>
      <c r="B11" s="6" t="s">
        <v>258</v>
      </c>
      <c r="C11" s="6" t="s">
        <v>537</v>
      </c>
      <c r="D11" s="6">
        <v>1</v>
      </c>
      <c r="E11" s="6" t="s">
        <v>3</v>
      </c>
      <c r="F11" s="6" t="s">
        <v>5</v>
      </c>
      <c r="G11" s="6" t="s">
        <v>2</v>
      </c>
      <c r="H11" s="6" t="s">
        <v>5</v>
      </c>
      <c r="I11" s="6" t="s">
        <v>5</v>
      </c>
      <c r="J11" s="6" t="s">
        <v>5</v>
      </c>
      <c r="K11" s="6" t="s">
        <v>5</v>
      </c>
      <c r="L11" s="6" t="s">
        <v>2</v>
      </c>
      <c r="M11" s="6" t="s">
        <v>3</v>
      </c>
      <c r="N11" s="6" t="s">
        <v>3</v>
      </c>
      <c r="O11" s="6" t="s">
        <v>2</v>
      </c>
      <c r="P11" s="6" t="s">
        <v>4</v>
      </c>
      <c r="Q11" s="6" t="s">
        <v>4</v>
      </c>
      <c r="R11" s="6" t="s">
        <v>3</v>
      </c>
      <c r="S11" s="6" t="s">
        <v>4</v>
      </c>
      <c r="T11" s="6" t="s">
        <v>2</v>
      </c>
      <c r="U11" s="6" t="s">
        <v>2</v>
      </c>
      <c r="V11" s="6" t="s">
        <v>2</v>
      </c>
      <c r="W11" s="6" t="s">
        <v>5</v>
      </c>
      <c r="X11" s="6" t="s">
        <v>4</v>
      </c>
      <c r="Y11" s="6" t="s">
        <v>4</v>
      </c>
      <c r="Z11" s="6" t="s">
        <v>2</v>
      </c>
      <c r="AA11" s="6" t="s">
        <v>3</v>
      </c>
      <c r="AB11" s="6" t="s">
        <v>4</v>
      </c>
      <c r="AC11" s="6" t="s">
        <v>4</v>
      </c>
      <c r="AD11" s="6" t="s">
        <v>4</v>
      </c>
      <c r="AE11" s="6" t="s">
        <v>4</v>
      </c>
      <c r="AF11" s="6" t="s">
        <v>4</v>
      </c>
      <c r="AG11" s="6" t="s">
        <v>4</v>
      </c>
      <c r="AH11" s="6" t="s">
        <v>3</v>
      </c>
      <c r="AI11" s="6" t="s">
        <v>4</v>
      </c>
      <c r="AJ11" s="6" t="s">
        <v>3</v>
      </c>
      <c r="AK11" s="6" t="s">
        <v>4</v>
      </c>
      <c r="AL11" s="6" t="s">
        <v>4</v>
      </c>
      <c r="AM11" s="6" t="s">
        <v>4</v>
      </c>
      <c r="AN11" s="6" t="s">
        <v>3</v>
      </c>
    </row>
    <row r="12" spans="1:40">
      <c r="A12" s="6">
        <f t="shared" si="0"/>
        <v>11</v>
      </c>
      <c r="B12" s="6" t="s">
        <v>457</v>
      </c>
      <c r="C12" s="6" t="s">
        <v>537</v>
      </c>
      <c r="D12" s="6">
        <v>1</v>
      </c>
      <c r="E12" s="6" t="s">
        <v>4</v>
      </c>
      <c r="F12" s="6" t="s">
        <v>2</v>
      </c>
      <c r="G12" s="6" t="s">
        <v>3</v>
      </c>
      <c r="H12" s="6" t="s">
        <v>3</v>
      </c>
      <c r="I12" s="6" t="s">
        <v>5</v>
      </c>
      <c r="J12" s="6" t="s">
        <v>5</v>
      </c>
      <c r="K12" s="6" t="s">
        <v>5</v>
      </c>
      <c r="L12" s="6" t="s">
        <v>2</v>
      </c>
      <c r="M12" s="6" t="s">
        <v>3</v>
      </c>
      <c r="N12" s="6" t="s">
        <v>3</v>
      </c>
      <c r="O12" s="6" t="s">
        <v>4</v>
      </c>
      <c r="P12" s="6" t="s">
        <v>4</v>
      </c>
      <c r="Q12" s="6" t="s">
        <v>5</v>
      </c>
      <c r="R12" s="6" t="s">
        <v>3</v>
      </c>
      <c r="S12" s="6" t="s">
        <v>5</v>
      </c>
      <c r="T12" s="6" t="s">
        <v>5</v>
      </c>
      <c r="U12" s="6" t="s">
        <v>5</v>
      </c>
      <c r="V12" s="6" t="s">
        <v>5</v>
      </c>
      <c r="W12" s="6" t="s">
        <v>4</v>
      </c>
      <c r="X12" s="6" t="s">
        <v>4</v>
      </c>
      <c r="Y12" s="6" t="s">
        <v>4</v>
      </c>
      <c r="Z12" s="6" t="s">
        <v>4</v>
      </c>
      <c r="AA12" s="6" t="s">
        <v>3</v>
      </c>
      <c r="AB12" s="6" t="s">
        <v>3</v>
      </c>
      <c r="AC12" s="6" t="s">
        <v>3</v>
      </c>
      <c r="AD12" s="6" t="s">
        <v>4</v>
      </c>
      <c r="AE12" s="6" t="s">
        <v>4</v>
      </c>
      <c r="AF12" s="6" t="s">
        <v>4</v>
      </c>
      <c r="AG12" s="6" t="s">
        <v>4</v>
      </c>
      <c r="AH12" s="6" t="s">
        <v>3</v>
      </c>
      <c r="AI12" s="6" t="s">
        <v>4</v>
      </c>
      <c r="AJ12" s="6" t="s">
        <v>3</v>
      </c>
      <c r="AK12" s="6" t="s">
        <v>4</v>
      </c>
      <c r="AL12" s="6" t="s">
        <v>4</v>
      </c>
      <c r="AM12" s="6" t="s">
        <v>4</v>
      </c>
      <c r="AN12" s="6" t="s">
        <v>3</v>
      </c>
    </row>
    <row r="13" spans="1:40">
      <c r="A13" s="6">
        <f t="shared" si="0"/>
        <v>12</v>
      </c>
      <c r="B13" s="6" t="s">
        <v>458</v>
      </c>
      <c r="C13" s="6" t="s">
        <v>537</v>
      </c>
      <c r="D13" s="6">
        <v>1</v>
      </c>
      <c r="E13" s="6" t="s">
        <v>5</v>
      </c>
      <c r="F13" s="6" t="s">
        <v>3</v>
      </c>
      <c r="G13" s="6" t="s">
        <v>4</v>
      </c>
      <c r="H13" s="6" t="s">
        <v>2</v>
      </c>
      <c r="I13" s="6" t="s">
        <v>5</v>
      </c>
      <c r="J13" s="6" t="s">
        <v>5</v>
      </c>
      <c r="K13" s="6" t="s">
        <v>5</v>
      </c>
      <c r="L13" s="6" t="s">
        <v>2</v>
      </c>
      <c r="M13" s="6" t="s">
        <v>2</v>
      </c>
      <c r="N13" s="6" t="s">
        <v>3</v>
      </c>
      <c r="O13" s="6" t="s">
        <v>3</v>
      </c>
      <c r="P13" s="6" t="s">
        <v>2</v>
      </c>
      <c r="Q13" s="6" t="s">
        <v>4</v>
      </c>
      <c r="R13" s="6" t="s">
        <v>3</v>
      </c>
      <c r="S13" s="6" t="s">
        <v>2</v>
      </c>
      <c r="T13" s="6" t="s">
        <v>5</v>
      </c>
      <c r="U13" s="6" t="s">
        <v>2</v>
      </c>
      <c r="V13" s="6" t="s">
        <v>5</v>
      </c>
      <c r="W13" s="6" t="s">
        <v>5</v>
      </c>
      <c r="X13" s="6" t="s">
        <v>4</v>
      </c>
      <c r="Y13" s="6" t="s">
        <v>4</v>
      </c>
      <c r="Z13" s="6" t="s">
        <v>2</v>
      </c>
      <c r="AA13" s="6" t="s">
        <v>3</v>
      </c>
      <c r="AB13" s="6" t="s">
        <v>3</v>
      </c>
      <c r="AC13" s="6" t="s">
        <v>3</v>
      </c>
      <c r="AD13" s="6" t="s">
        <v>4</v>
      </c>
      <c r="AE13" s="6" t="s">
        <v>4</v>
      </c>
      <c r="AF13" s="6" t="s">
        <v>4</v>
      </c>
      <c r="AG13" s="6" t="s">
        <v>4</v>
      </c>
      <c r="AH13" s="6" t="s">
        <v>3</v>
      </c>
      <c r="AI13" s="6" t="s">
        <v>4</v>
      </c>
      <c r="AJ13" s="6" t="s">
        <v>3</v>
      </c>
      <c r="AK13" s="6" t="s">
        <v>4</v>
      </c>
      <c r="AL13" s="6" t="s">
        <v>3</v>
      </c>
      <c r="AM13" s="6" t="s">
        <v>3</v>
      </c>
      <c r="AN13" s="6" t="s">
        <v>3</v>
      </c>
    </row>
    <row r="14" spans="1:40">
      <c r="A14" s="6">
        <f t="shared" si="0"/>
        <v>13</v>
      </c>
      <c r="B14" s="6" t="s">
        <v>459</v>
      </c>
      <c r="C14" s="6" t="s">
        <v>537</v>
      </c>
      <c r="D14" s="6">
        <v>1</v>
      </c>
      <c r="E14" s="6" t="s">
        <v>5</v>
      </c>
      <c r="F14" s="6" t="s">
        <v>5</v>
      </c>
      <c r="G14" s="6" t="s">
        <v>4</v>
      </c>
      <c r="H14" s="6" t="s">
        <v>5</v>
      </c>
      <c r="I14" s="6" t="s">
        <v>5</v>
      </c>
      <c r="J14" s="6" t="s">
        <v>5</v>
      </c>
      <c r="K14" s="6" t="s">
        <v>5</v>
      </c>
      <c r="L14" s="6" t="s">
        <v>2</v>
      </c>
      <c r="M14" s="6" t="s">
        <v>3</v>
      </c>
      <c r="N14" s="6" t="s">
        <v>4</v>
      </c>
      <c r="O14" s="6" t="s">
        <v>3</v>
      </c>
      <c r="P14" s="6" t="s">
        <v>3</v>
      </c>
      <c r="Q14" s="6" t="s">
        <v>5</v>
      </c>
      <c r="R14" s="6" t="s">
        <v>3</v>
      </c>
      <c r="S14" s="6" t="s">
        <v>3</v>
      </c>
      <c r="T14" s="6" t="s">
        <v>5</v>
      </c>
      <c r="U14" s="6" t="s">
        <v>3</v>
      </c>
      <c r="V14" s="6" t="s">
        <v>3</v>
      </c>
      <c r="W14" s="6" t="s">
        <v>5</v>
      </c>
      <c r="X14" s="6" t="s">
        <v>4</v>
      </c>
      <c r="Y14" s="6" t="s">
        <v>3</v>
      </c>
      <c r="Z14" s="6" t="s">
        <v>2</v>
      </c>
      <c r="AA14" s="6" t="s">
        <v>3</v>
      </c>
      <c r="AB14" s="6" t="s">
        <v>3</v>
      </c>
      <c r="AC14" s="6" t="s">
        <v>3</v>
      </c>
      <c r="AD14" s="6" t="s">
        <v>4</v>
      </c>
      <c r="AE14" s="6" t="s">
        <v>4</v>
      </c>
      <c r="AF14" s="6" t="s">
        <v>4</v>
      </c>
      <c r="AG14" s="6" t="s">
        <v>4</v>
      </c>
      <c r="AH14" s="6" t="s">
        <v>3</v>
      </c>
      <c r="AI14" s="6" t="s">
        <v>4</v>
      </c>
      <c r="AJ14" s="6" t="s">
        <v>3</v>
      </c>
      <c r="AK14" s="6" t="s">
        <v>3</v>
      </c>
      <c r="AL14" s="6" t="s">
        <v>4</v>
      </c>
      <c r="AM14" s="6" t="s">
        <v>4</v>
      </c>
      <c r="AN14" s="6" t="s">
        <v>3</v>
      </c>
    </row>
    <row r="15" spans="1:40">
      <c r="A15" s="6">
        <f t="shared" si="0"/>
        <v>14</v>
      </c>
      <c r="B15" s="6" t="s">
        <v>11</v>
      </c>
      <c r="C15" s="6" t="s">
        <v>537</v>
      </c>
      <c r="D15" s="6">
        <v>2</v>
      </c>
      <c r="E15" s="6" t="s">
        <v>4</v>
      </c>
      <c r="F15" s="6" t="s">
        <v>5</v>
      </c>
      <c r="G15" s="6" t="s">
        <v>3</v>
      </c>
      <c r="H15" s="6" t="s">
        <v>3</v>
      </c>
      <c r="I15" s="6" t="s">
        <v>5</v>
      </c>
      <c r="J15" s="6" t="s">
        <v>5</v>
      </c>
      <c r="K15" s="6" t="s">
        <v>5</v>
      </c>
      <c r="L15" s="6" t="s">
        <v>2</v>
      </c>
      <c r="M15" s="6" t="s">
        <v>2</v>
      </c>
      <c r="N15" s="6" t="s">
        <v>3</v>
      </c>
      <c r="O15" s="6" t="s">
        <v>4</v>
      </c>
      <c r="P15" s="6" t="s">
        <v>2</v>
      </c>
      <c r="Q15" s="6" t="s">
        <v>5</v>
      </c>
      <c r="R15" s="6" t="s">
        <v>3</v>
      </c>
      <c r="S15" s="6" t="s">
        <v>4</v>
      </c>
      <c r="T15" s="6" t="s">
        <v>5</v>
      </c>
      <c r="U15" s="6" t="s">
        <v>5</v>
      </c>
      <c r="V15" s="6" t="s">
        <v>5</v>
      </c>
      <c r="W15" s="6" t="s">
        <v>4</v>
      </c>
      <c r="X15" s="6" t="s">
        <v>4</v>
      </c>
      <c r="Y15" s="6" t="s">
        <v>4</v>
      </c>
      <c r="Z15" s="6" t="s">
        <v>4</v>
      </c>
      <c r="AA15" s="6" t="s">
        <v>3</v>
      </c>
      <c r="AB15" s="6" t="s">
        <v>4</v>
      </c>
      <c r="AC15" s="6" t="s">
        <v>4</v>
      </c>
      <c r="AD15" s="6" t="s">
        <v>4</v>
      </c>
      <c r="AE15" s="6" t="s">
        <v>4</v>
      </c>
      <c r="AF15" s="6" t="s">
        <v>4</v>
      </c>
      <c r="AG15" s="6" t="s">
        <v>4</v>
      </c>
      <c r="AH15" s="6" t="s">
        <v>3</v>
      </c>
      <c r="AI15" s="6" t="s">
        <v>4</v>
      </c>
      <c r="AJ15" s="6" t="s">
        <v>4</v>
      </c>
      <c r="AK15" s="6" t="s">
        <v>4</v>
      </c>
      <c r="AL15" s="6" t="s">
        <v>4</v>
      </c>
      <c r="AM15" s="6" t="s">
        <v>3</v>
      </c>
      <c r="AN15" s="6" t="s">
        <v>3</v>
      </c>
    </row>
    <row r="16" spans="1:40">
      <c r="A16" s="6">
        <f t="shared" si="0"/>
        <v>15</v>
      </c>
      <c r="B16" s="6" t="s">
        <v>12</v>
      </c>
      <c r="C16" s="6" t="s">
        <v>537</v>
      </c>
      <c r="D16" s="6">
        <v>2</v>
      </c>
      <c r="E16" s="6" t="s">
        <v>5</v>
      </c>
      <c r="F16" s="6" t="s">
        <v>3</v>
      </c>
      <c r="G16" s="6" t="s">
        <v>4</v>
      </c>
      <c r="H16" s="6" t="s">
        <v>3</v>
      </c>
      <c r="I16" s="6" t="s">
        <v>5</v>
      </c>
      <c r="J16" s="6" t="s">
        <v>5</v>
      </c>
      <c r="K16" s="6" t="s">
        <v>3</v>
      </c>
      <c r="L16" s="6" t="s">
        <v>4</v>
      </c>
      <c r="M16" s="6" t="s">
        <v>3</v>
      </c>
      <c r="N16" s="6" t="s">
        <v>3</v>
      </c>
      <c r="O16" s="6" t="s">
        <v>4</v>
      </c>
      <c r="P16" s="6" t="s">
        <v>4</v>
      </c>
      <c r="Q16" s="6" t="s">
        <v>5</v>
      </c>
      <c r="R16" s="6" t="s">
        <v>3</v>
      </c>
      <c r="S16" s="6" t="s">
        <v>4</v>
      </c>
      <c r="T16" s="6" t="s">
        <v>5</v>
      </c>
      <c r="U16" s="6" t="s">
        <v>5</v>
      </c>
      <c r="V16" s="6" t="s">
        <v>5</v>
      </c>
      <c r="W16" s="6" t="s">
        <v>4</v>
      </c>
      <c r="X16" s="6" t="s">
        <v>4</v>
      </c>
      <c r="Y16" s="6" t="s">
        <v>4</v>
      </c>
      <c r="Z16" s="6" t="s">
        <v>4</v>
      </c>
      <c r="AA16" s="6" t="s">
        <v>3</v>
      </c>
      <c r="AB16" s="6" t="s">
        <v>4</v>
      </c>
      <c r="AC16" s="6" t="s">
        <v>4</v>
      </c>
      <c r="AD16" s="6" t="s">
        <v>4</v>
      </c>
      <c r="AE16" s="6" t="s">
        <v>4</v>
      </c>
      <c r="AF16" s="6" t="s">
        <v>4</v>
      </c>
      <c r="AG16" s="6" t="s">
        <v>4</v>
      </c>
      <c r="AH16" s="6" t="s">
        <v>3</v>
      </c>
      <c r="AI16" s="6" t="s">
        <v>4</v>
      </c>
      <c r="AJ16" s="6" t="s">
        <v>3</v>
      </c>
      <c r="AK16" s="6" t="s">
        <v>4</v>
      </c>
      <c r="AL16" s="6" t="s">
        <v>4</v>
      </c>
      <c r="AM16" s="6" t="s">
        <v>4</v>
      </c>
      <c r="AN16" s="6" t="s">
        <v>3</v>
      </c>
    </row>
    <row r="17" spans="1:40">
      <c r="A17" s="6">
        <f t="shared" si="0"/>
        <v>16</v>
      </c>
      <c r="B17" s="6" t="s">
        <v>13</v>
      </c>
      <c r="C17" s="6" t="s">
        <v>537</v>
      </c>
      <c r="D17" s="6">
        <v>2</v>
      </c>
      <c r="E17" s="6" t="s">
        <v>5</v>
      </c>
      <c r="F17" s="6" t="s">
        <v>5</v>
      </c>
      <c r="G17" s="6" t="s">
        <v>2</v>
      </c>
      <c r="H17" s="6" t="s">
        <v>2</v>
      </c>
      <c r="I17" s="6" t="s">
        <v>5</v>
      </c>
      <c r="J17" s="6" t="s">
        <v>5</v>
      </c>
      <c r="K17" s="6" t="s">
        <v>2</v>
      </c>
      <c r="L17" s="6" t="s">
        <v>2</v>
      </c>
      <c r="M17" s="6" t="s">
        <v>2</v>
      </c>
      <c r="N17" s="6" t="s">
        <v>4</v>
      </c>
      <c r="O17" s="6" t="s">
        <v>4</v>
      </c>
      <c r="P17" s="6" t="s">
        <v>4</v>
      </c>
      <c r="Q17" s="6" t="s">
        <v>5</v>
      </c>
      <c r="R17" s="6" t="s">
        <v>4</v>
      </c>
      <c r="S17" s="6" t="s">
        <v>5</v>
      </c>
      <c r="T17" s="6" t="s">
        <v>5</v>
      </c>
      <c r="U17" s="6" t="s">
        <v>5</v>
      </c>
      <c r="V17" s="6" t="s">
        <v>5</v>
      </c>
      <c r="W17" s="6" t="s">
        <v>5</v>
      </c>
      <c r="X17" s="6" t="s">
        <v>4</v>
      </c>
      <c r="Y17" s="6" t="s">
        <v>3</v>
      </c>
      <c r="Z17" s="6" t="s">
        <v>2</v>
      </c>
      <c r="AA17" s="6" t="s">
        <v>3</v>
      </c>
      <c r="AB17" s="6" t="s">
        <v>4</v>
      </c>
      <c r="AC17" s="6" t="s">
        <v>4</v>
      </c>
      <c r="AD17" s="6" t="s">
        <v>4</v>
      </c>
      <c r="AE17" s="6" t="s">
        <v>4</v>
      </c>
      <c r="AF17" s="6" t="s">
        <v>4</v>
      </c>
      <c r="AG17" s="6" t="s">
        <v>4</v>
      </c>
      <c r="AH17" s="6" t="s">
        <v>4</v>
      </c>
      <c r="AI17" s="6" t="s">
        <v>4</v>
      </c>
      <c r="AJ17" s="6" t="s">
        <v>3</v>
      </c>
      <c r="AK17" s="6" t="s">
        <v>4</v>
      </c>
      <c r="AL17" s="6" t="s">
        <v>4</v>
      </c>
      <c r="AM17" s="6" t="s">
        <v>4</v>
      </c>
      <c r="AN17" s="6" t="s">
        <v>4</v>
      </c>
    </row>
    <row r="18" spans="1:40">
      <c r="A18" s="6">
        <f t="shared" si="0"/>
        <v>17</v>
      </c>
      <c r="B18" s="6" t="s">
        <v>14</v>
      </c>
      <c r="C18" s="6" t="s">
        <v>537</v>
      </c>
      <c r="D18" s="6">
        <v>2</v>
      </c>
      <c r="E18" s="6" t="s">
        <v>5</v>
      </c>
      <c r="F18" s="6" t="s">
        <v>5</v>
      </c>
      <c r="G18" s="6" t="s">
        <v>3</v>
      </c>
      <c r="H18" s="6" t="s">
        <v>5</v>
      </c>
      <c r="I18" s="6" t="s">
        <v>5</v>
      </c>
      <c r="J18" s="6" t="s">
        <v>5</v>
      </c>
      <c r="K18" s="6" t="s">
        <v>5</v>
      </c>
      <c r="L18" s="6" t="s">
        <v>2</v>
      </c>
      <c r="M18" s="6" t="s">
        <v>2</v>
      </c>
      <c r="N18" s="6" t="s">
        <v>4</v>
      </c>
      <c r="O18" s="6" t="s">
        <v>4</v>
      </c>
      <c r="P18" s="6" t="s">
        <v>2</v>
      </c>
      <c r="Q18" s="6" t="s">
        <v>5</v>
      </c>
      <c r="R18" s="6" t="s">
        <v>4</v>
      </c>
      <c r="S18" s="6" t="s">
        <v>2</v>
      </c>
      <c r="T18" s="6" t="s">
        <v>5</v>
      </c>
      <c r="U18" s="6" t="s">
        <v>3</v>
      </c>
      <c r="V18" s="6" t="s">
        <v>4</v>
      </c>
      <c r="W18" s="6" t="s">
        <v>5</v>
      </c>
      <c r="X18" s="6" t="s">
        <v>2</v>
      </c>
      <c r="Y18" s="6" t="s">
        <v>4</v>
      </c>
      <c r="Z18" s="6" t="s">
        <v>4</v>
      </c>
      <c r="AA18" s="6" t="s">
        <v>3</v>
      </c>
      <c r="AB18" s="6" t="s">
        <v>4</v>
      </c>
      <c r="AC18" s="6" t="s">
        <v>4</v>
      </c>
      <c r="AD18" s="6" t="s">
        <v>4</v>
      </c>
      <c r="AE18" s="6" t="s">
        <v>4</v>
      </c>
      <c r="AF18" s="6" t="s">
        <v>4</v>
      </c>
      <c r="AG18" s="6" t="s">
        <v>4</v>
      </c>
      <c r="AH18" s="6" t="s">
        <v>3</v>
      </c>
      <c r="AI18" s="6" t="s">
        <v>4</v>
      </c>
      <c r="AJ18" s="6" t="s">
        <v>3</v>
      </c>
      <c r="AK18" s="6" t="s">
        <v>4</v>
      </c>
      <c r="AL18" s="6" t="s">
        <v>4</v>
      </c>
      <c r="AM18" s="6" t="s">
        <v>4</v>
      </c>
      <c r="AN18" s="6" t="s">
        <v>3</v>
      </c>
    </row>
    <row r="19" spans="1:40">
      <c r="A19" s="6">
        <f t="shared" si="0"/>
        <v>18</v>
      </c>
      <c r="B19" s="6" t="s">
        <v>15</v>
      </c>
      <c r="C19" s="6" t="s">
        <v>537</v>
      </c>
      <c r="D19" s="6">
        <v>2</v>
      </c>
      <c r="E19" s="6" t="s">
        <v>2</v>
      </c>
      <c r="F19" s="6" t="s">
        <v>5</v>
      </c>
      <c r="G19" s="6" t="s">
        <v>4</v>
      </c>
      <c r="H19" s="6" t="s">
        <v>5</v>
      </c>
      <c r="I19" s="6" t="s">
        <v>5</v>
      </c>
      <c r="J19" s="6" t="s">
        <v>5</v>
      </c>
      <c r="K19" s="6" t="s">
        <v>2</v>
      </c>
      <c r="L19" s="6" t="s">
        <v>2</v>
      </c>
      <c r="M19" s="6" t="s">
        <v>3</v>
      </c>
      <c r="N19" s="6" t="s">
        <v>4</v>
      </c>
      <c r="O19" s="6" t="s">
        <v>4</v>
      </c>
      <c r="P19" s="6" t="s">
        <v>5</v>
      </c>
      <c r="Q19" s="6" t="s">
        <v>5</v>
      </c>
      <c r="R19" s="6" t="s">
        <v>4</v>
      </c>
      <c r="S19" s="6" t="s">
        <v>5</v>
      </c>
      <c r="T19" s="6" t="s">
        <v>5</v>
      </c>
      <c r="U19" s="6" t="s">
        <v>2</v>
      </c>
      <c r="V19" s="6" t="s">
        <v>5</v>
      </c>
      <c r="W19" s="6" t="s">
        <v>5</v>
      </c>
      <c r="X19" s="6" t="s">
        <v>4</v>
      </c>
      <c r="Y19" s="6" t="s">
        <v>4</v>
      </c>
      <c r="Z19" s="6" t="s">
        <v>4</v>
      </c>
      <c r="AA19" s="6" t="s">
        <v>3</v>
      </c>
      <c r="AB19" s="6" t="s">
        <v>4</v>
      </c>
      <c r="AC19" s="6" t="s">
        <v>4</v>
      </c>
      <c r="AD19" s="6" t="s">
        <v>4</v>
      </c>
      <c r="AE19" s="6" t="s">
        <v>4</v>
      </c>
      <c r="AF19" s="6" t="s">
        <v>4</v>
      </c>
      <c r="AG19" s="6" t="s">
        <v>4</v>
      </c>
      <c r="AH19" s="6" t="s">
        <v>3</v>
      </c>
      <c r="AI19" s="6" t="s">
        <v>4</v>
      </c>
      <c r="AJ19" s="6" t="s">
        <v>3</v>
      </c>
      <c r="AK19" s="6" t="s">
        <v>4</v>
      </c>
      <c r="AL19" s="6" t="s">
        <v>4</v>
      </c>
      <c r="AM19" s="6" t="s">
        <v>4</v>
      </c>
      <c r="AN19" s="6" t="s">
        <v>3</v>
      </c>
    </row>
    <row r="20" spans="1:40">
      <c r="A20" s="6">
        <f t="shared" si="0"/>
        <v>19</v>
      </c>
      <c r="B20" s="6" t="s">
        <v>16</v>
      </c>
      <c r="C20" s="6" t="s">
        <v>537</v>
      </c>
      <c r="D20" s="6">
        <v>2</v>
      </c>
      <c r="E20" s="6" t="s">
        <v>5</v>
      </c>
      <c r="F20" s="6" t="s">
        <v>5</v>
      </c>
      <c r="G20" s="6" t="s">
        <v>3</v>
      </c>
      <c r="H20" s="6" t="s">
        <v>5</v>
      </c>
      <c r="I20" s="6" t="s">
        <v>5</v>
      </c>
      <c r="J20" s="6" t="s">
        <v>5</v>
      </c>
      <c r="K20" s="6" t="s">
        <v>2</v>
      </c>
      <c r="L20" s="6" t="s">
        <v>2</v>
      </c>
      <c r="M20" s="6" t="s">
        <v>3</v>
      </c>
      <c r="N20" s="6" t="s">
        <v>2</v>
      </c>
      <c r="O20" s="6" t="s">
        <v>2</v>
      </c>
      <c r="P20" s="6" t="s">
        <v>3</v>
      </c>
      <c r="Q20" s="6" t="s">
        <v>5</v>
      </c>
      <c r="R20" s="6" t="s">
        <v>3</v>
      </c>
      <c r="S20" s="6" t="s">
        <v>4</v>
      </c>
      <c r="T20" s="6" t="s">
        <v>5</v>
      </c>
      <c r="U20" s="6" t="s">
        <v>5</v>
      </c>
      <c r="V20" s="6" t="s">
        <v>5</v>
      </c>
      <c r="W20" s="6" t="s">
        <v>5</v>
      </c>
      <c r="X20" s="6" t="s">
        <v>4</v>
      </c>
      <c r="Y20" s="6" t="s">
        <v>4</v>
      </c>
      <c r="Z20" s="6" t="s">
        <v>2</v>
      </c>
      <c r="AA20" s="6" t="s">
        <v>3</v>
      </c>
      <c r="AB20" s="6" t="s">
        <v>4</v>
      </c>
      <c r="AC20" s="6" t="s">
        <v>4</v>
      </c>
      <c r="AD20" s="6" t="s">
        <v>4</v>
      </c>
      <c r="AE20" s="6" t="s">
        <v>4</v>
      </c>
      <c r="AF20" s="6" t="s">
        <v>4</v>
      </c>
      <c r="AG20" s="6" t="s">
        <v>4</v>
      </c>
      <c r="AH20" s="6" t="s">
        <v>3</v>
      </c>
      <c r="AI20" s="6" t="s">
        <v>4</v>
      </c>
      <c r="AJ20" s="6" t="s">
        <v>4</v>
      </c>
      <c r="AK20" s="6" t="s">
        <v>4</v>
      </c>
      <c r="AL20" s="6" t="s">
        <v>4</v>
      </c>
      <c r="AM20" s="6" t="s">
        <v>3</v>
      </c>
      <c r="AN20" s="6" t="s">
        <v>4</v>
      </c>
    </row>
    <row r="21" spans="1:40">
      <c r="A21" s="6">
        <f t="shared" si="0"/>
        <v>20</v>
      </c>
      <c r="B21" s="6" t="s">
        <v>259</v>
      </c>
      <c r="C21" s="6" t="s">
        <v>537</v>
      </c>
      <c r="D21" s="6">
        <v>2</v>
      </c>
      <c r="E21" s="6" t="s">
        <v>4</v>
      </c>
      <c r="F21" s="6" t="s">
        <v>5</v>
      </c>
      <c r="G21" s="6" t="s">
        <v>2</v>
      </c>
      <c r="H21" s="6" t="s">
        <v>5</v>
      </c>
      <c r="I21" s="6" t="s">
        <v>5</v>
      </c>
      <c r="J21" s="6" t="s">
        <v>5</v>
      </c>
      <c r="K21" s="6" t="s">
        <v>5</v>
      </c>
      <c r="L21" s="6" t="s">
        <v>2</v>
      </c>
      <c r="M21" s="6" t="s">
        <v>3</v>
      </c>
      <c r="N21" s="6" t="s">
        <v>2</v>
      </c>
      <c r="O21" s="6" t="s">
        <v>3</v>
      </c>
      <c r="P21" s="6" t="s">
        <v>5</v>
      </c>
      <c r="Q21" s="6" t="s">
        <v>5</v>
      </c>
      <c r="R21" s="6" t="s">
        <v>3</v>
      </c>
      <c r="S21" s="6" t="s">
        <v>3</v>
      </c>
      <c r="T21" s="6" t="s">
        <v>5</v>
      </c>
      <c r="U21" s="6" t="s">
        <v>5</v>
      </c>
      <c r="V21" s="6" t="s">
        <v>5</v>
      </c>
      <c r="W21" s="6" t="s">
        <v>5</v>
      </c>
      <c r="X21" s="6" t="s">
        <v>4</v>
      </c>
      <c r="Y21" s="6" t="s">
        <v>3</v>
      </c>
      <c r="Z21" s="6" t="s">
        <v>2</v>
      </c>
      <c r="AA21" s="6" t="s">
        <v>3</v>
      </c>
      <c r="AB21" s="6" t="s">
        <v>4</v>
      </c>
      <c r="AC21" s="6" t="s">
        <v>4</v>
      </c>
      <c r="AD21" s="6" t="s">
        <v>4</v>
      </c>
      <c r="AE21" s="6" t="s">
        <v>4</v>
      </c>
      <c r="AF21" s="6" t="s">
        <v>4</v>
      </c>
      <c r="AG21" s="6" t="s">
        <v>4</v>
      </c>
      <c r="AH21" s="6" t="s">
        <v>3</v>
      </c>
      <c r="AI21" s="6" t="s">
        <v>4</v>
      </c>
      <c r="AJ21" s="6" t="s">
        <v>3</v>
      </c>
      <c r="AK21" s="6" t="s">
        <v>4</v>
      </c>
      <c r="AL21" s="6" t="s">
        <v>4</v>
      </c>
      <c r="AM21" s="6" t="s">
        <v>3</v>
      </c>
      <c r="AN21" s="6" t="s">
        <v>3</v>
      </c>
    </row>
    <row r="22" spans="1:40">
      <c r="A22" s="6">
        <f t="shared" si="0"/>
        <v>21</v>
      </c>
      <c r="B22" s="6" t="s">
        <v>260</v>
      </c>
      <c r="C22" s="6" t="s">
        <v>537</v>
      </c>
      <c r="D22" s="6">
        <v>2</v>
      </c>
      <c r="E22" s="6" t="s">
        <v>3</v>
      </c>
      <c r="F22" s="6" t="s">
        <v>5</v>
      </c>
      <c r="G22" s="6" t="s">
        <v>3</v>
      </c>
      <c r="H22" s="6" t="s">
        <v>5</v>
      </c>
      <c r="I22" s="6" t="s">
        <v>5</v>
      </c>
      <c r="J22" s="6" t="s">
        <v>5</v>
      </c>
      <c r="K22" s="6" t="s">
        <v>2</v>
      </c>
      <c r="L22" s="6" t="s">
        <v>2</v>
      </c>
      <c r="M22" s="6" t="s">
        <v>2</v>
      </c>
      <c r="N22" s="6" t="s">
        <v>2</v>
      </c>
      <c r="O22" s="6" t="s">
        <v>2</v>
      </c>
      <c r="P22" s="6" t="s">
        <v>2</v>
      </c>
      <c r="Q22" s="6" t="s">
        <v>5</v>
      </c>
      <c r="R22" s="6" t="s">
        <v>3</v>
      </c>
      <c r="S22" s="6" t="s">
        <v>3</v>
      </c>
      <c r="T22" s="6" t="s">
        <v>5</v>
      </c>
      <c r="U22" s="6" t="s">
        <v>5</v>
      </c>
      <c r="V22" s="6" t="s">
        <v>5</v>
      </c>
      <c r="W22" s="6" t="s">
        <v>5</v>
      </c>
      <c r="X22" s="6" t="s">
        <v>4</v>
      </c>
      <c r="Y22" s="6" t="s">
        <v>4</v>
      </c>
      <c r="Z22" s="6" t="s">
        <v>4</v>
      </c>
      <c r="AA22" s="6" t="s">
        <v>3</v>
      </c>
      <c r="AB22" s="6" t="s">
        <v>4</v>
      </c>
      <c r="AC22" s="6" t="s">
        <v>4</v>
      </c>
      <c r="AD22" s="6" t="s">
        <v>4</v>
      </c>
      <c r="AE22" s="6" t="s">
        <v>4</v>
      </c>
      <c r="AF22" s="6" t="s">
        <v>4</v>
      </c>
      <c r="AG22" s="6" t="s">
        <v>4</v>
      </c>
      <c r="AH22" s="6" t="s">
        <v>3</v>
      </c>
      <c r="AI22" s="6" t="s">
        <v>4</v>
      </c>
      <c r="AJ22" s="6" t="s">
        <v>3</v>
      </c>
      <c r="AK22" s="6" t="s">
        <v>4</v>
      </c>
      <c r="AL22" s="6" t="s">
        <v>4</v>
      </c>
      <c r="AM22" s="6" t="s">
        <v>4</v>
      </c>
      <c r="AN22" s="6" t="s">
        <v>3</v>
      </c>
    </row>
    <row r="23" spans="1:40">
      <c r="A23" s="6">
        <f t="shared" si="0"/>
        <v>22</v>
      </c>
      <c r="B23" s="6" t="s">
        <v>261</v>
      </c>
      <c r="C23" s="6" t="s">
        <v>537</v>
      </c>
      <c r="D23" s="6">
        <v>2</v>
      </c>
      <c r="E23" s="6" t="s">
        <v>5</v>
      </c>
      <c r="F23" s="6" t="s">
        <v>3</v>
      </c>
      <c r="G23" s="6" t="s">
        <v>2</v>
      </c>
      <c r="H23" s="6" t="s">
        <v>2</v>
      </c>
      <c r="I23" s="6" t="s">
        <v>5</v>
      </c>
      <c r="J23" s="6" t="s">
        <v>5</v>
      </c>
      <c r="K23" s="6" t="s">
        <v>5</v>
      </c>
      <c r="L23" s="6" t="s">
        <v>2</v>
      </c>
      <c r="M23" s="6" t="s">
        <v>2</v>
      </c>
      <c r="N23" s="6" t="s">
        <v>2</v>
      </c>
      <c r="O23" s="6" t="s">
        <v>3</v>
      </c>
      <c r="P23" s="6" t="s">
        <v>2</v>
      </c>
      <c r="Q23" s="6" t="s">
        <v>5</v>
      </c>
      <c r="R23" s="6" t="s">
        <v>3</v>
      </c>
      <c r="S23" s="6" t="s">
        <v>2</v>
      </c>
      <c r="T23" s="6" t="s">
        <v>5</v>
      </c>
      <c r="U23" s="6" t="s">
        <v>2</v>
      </c>
      <c r="V23" s="6" t="s">
        <v>2</v>
      </c>
      <c r="W23" s="6" t="s">
        <v>2</v>
      </c>
      <c r="X23" s="6" t="s">
        <v>4</v>
      </c>
      <c r="Y23" s="6" t="s">
        <v>4</v>
      </c>
      <c r="Z23" s="6" t="s">
        <v>4</v>
      </c>
      <c r="AA23" s="6" t="s">
        <v>3</v>
      </c>
      <c r="AB23" s="6" t="s">
        <v>4</v>
      </c>
      <c r="AC23" s="6" t="s">
        <v>4</v>
      </c>
      <c r="AD23" s="6" t="s">
        <v>4</v>
      </c>
      <c r="AE23" s="6" t="s">
        <v>4</v>
      </c>
      <c r="AF23" s="6" t="s">
        <v>4</v>
      </c>
      <c r="AG23" s="6" t="s">
        <v>4</v>
      </c>
      <c r="AH23" s="6" t="s">
        <v>3</v>
      </c>
      <c r="AI23" s="6" t="s">
        <v>4</v>
      </c>
      <c r="AJ23" s="6" t="s">
        <v>3</v>
      </c>
      <c r="AK23" s="6" t="s">
        <v>4</v>
      </c>
      <c r="AL23" s="6" t="s">
        <v>4</v>
      </c>
      <c r="AM23" s="6" t="s">
        <v>3</v>
      </c>
      <c r="AN23" s="6" t="s">
        <v>3</v>
      </c>
    </row>
    <row r="24" spans="1:40">
      <c r="A24" s="6">
        <f t="shared" si="0"/>
        <v>23</v>
      </c>
      <c r="B24" s="6" t="s">
        <v>262</v>
      </c>
      <c r="C24" s="6" t="s">
        <v>537</v>
      </c>
      <c r="D24" s="6">
        <v>2</v>
      </c>
      <c r="E24" s="6" t="s">
        <v>4</v>
      </c>
      <c r="F24" s="6" t="s">
        <v>5</v>
      </c>
      <c r="G24" s="6" t="s">
        <v>3</v>
      </c>
      <c r="H24" s="6" t="s">
        <v>5</v>
      </c>
      <c r="I24" s="6" t="s">
        <v>5</v>
      </c>
      <c r="J24" s="6" t="s">
        <v>5</v>
      </c>
      <c r="K24" s="6" t="s">
        <v>5</v>
      </c>
      <c r="L24" s="6" t="s">
        <v>2</v>
      </c>
      <c r="M24" s="6" t="s">
        <v>3</v>
      </c>
      <c r="N24" s="6" t="s">
        <v>2</v>
      </c>
      <c r="O24" s="6" t="s">
        <v>3</v>
      </c>
      <c r="P24" s="6" t="s">
        <v>2</v>
      </c>
      <c r="Q24" s="6" t="s">
        <v>5</v>
      </c>
      <c r="R24" s="6" t="s">
        <v>3</v>
      </c>
      <c r="S24" s="6" t="s">
        <v>3</v>
      </c>
      <c r="T24" s="6" t="s">
        <v>5</v>
      </c>
      <c r="U24" s="6" t="s">
        <v>5</v>
      </c>
      <c r="V24" s="6" t="s">
        <v>5</v>
      </c>
      <c r="W24" s="6" t="s">
        <v>3</v>
      </c>
      <c r="X24" s="6" t="s">
        <v>4</v>
      </c>
      <c r="Y24" s="6" t="s">
        <v>4</v>
      </c>
      <c r="Z24" s="6" t="s">
        <v>2</v>
      </c>
      <c r="AA24" s="6" t="s">
        <v>3</v>
      </c>
      <c r="AB24" s="6" t="s">
        <v>4</v>
      </c>
      <c r="AC24" s="6" t="s">
        <v>4</v>
      </c>
      <c r="AD24" s="6" t="s">
        <v>4</v>
      </c>
      <c r="AE24" s="6" t="s">
        <v>4</v>
      </c>
      <c r="AF24" s="6" t="s">
        <v>4</v>
      </c>
      <c r="AG24" s="6" t="s">
        <v>4</v>
      </c>
      <c r="AH24" s="6" t="s">
        <v>3</v>
      </c>
      <c r="AI24" s="6" t="s">
        <v>4</v>
      </c>
      <c r="AJ24" s="6" t="s">
        <v>4</v>
      </c>
      <c r="AK24" s="6" t="s">
        <v>4</v>
      </c>
      <c r="AL24" s="6" t="s">
        <v>4</v>
      </c>
      <c r="AM24" s="6" t="s">
        <v>4</v>
      </c>
      <c r="AN24" s="6" t="s">
        <v>3</v>
      </c>
    </row>
    <row r="25" spans="1:40">
      <c r="A25" s="6">
        <f t="shared" si="0"/>
        <v>24</v>
      </c>
      <c r="B25" s="6" t="s">
        <v>461</v>
      </c>
      <c r="C25" s="6" t="s">
        <v>537</v>
      </c>
      <c r="D25" s="6">
        <v>2</v>
      </c>
      <c r="E25" s="6" t="s">
        <v>5</v>
      </c>
      <c r="F25" s="6" t="s">
        <v>5</v>
      </c>
      <c r="G25" s="6" t="s">
        <v>2</v>
      </c>
      <c r="H25" s="6" t="s">
        <v>2</v>
      </c>
      <c r="I25" s="6" t="s">
        <v>5</v>
      </c>
      <c r="J25" s="6" t="s">
        <v>3</v>
      </c>
      <c r="K25" s="6" t="s">
        <v>2</v>
      </c>
      <c r="L25" s="6" t="s">
        <v>2</v>
      </c>
      <c r="M25" s="6" t="s">
        <v>3</v>
      </c>
      <c r="N25" s="6" t="s">
        <v>3</v>
      </c>
      <c r="O25" s="6" t="s">
        <v>4</v>
      </c>
      <c r="P25" s="6" t="s">
        <v>5</v>
      </c>
      <c r="Q25" s="6" t="s">
        <v>5</v>
      </c>
      <c r="R25" s="6" t="s">
        <v>4</v>
      </c>
      <c r="S25" s="6" t="s">
        <v>5</v>
      </c>
      <c r="T25" s="6" t="s">
        <v>5</v>
      </c>
      <c r="U25" s="6" t="s">
        <v>2</v>
      </c>
      <c r="V25" s="6" t="s">
        <v>5</v>
      </c>
      <c r="W25" s="6" t="s">
        <v>5</v>
      </c>
      <c r="X25" s="6" t="s">
        <v>3</v>
      </c>
      <c r="Y25" s="6" t="s">
        <v>4</v>
      </c>
      <c r="Z25" s="6" t="s">
        <v>2</v>
      </c>
      <c r="AA25" s="6" t="s">
        <v>3</v>
      </c>
      <c r="AB25" s="6" t="s">
        <v>3</v>
      </c>
      <c r="AC25" s="6" t="s">
        <v>4</v>
      </c>
      <c r="AD25" s="6" t="s">
        <v>4</v>
      </c>
      <c r="AE25" s="6" t="s">
        <v>4</v>
      </c>
      <c r="AF25" s="6" t="s">
        <v>4</v>
      </c>
      <c r="AG25" s="6" t="s">
        <v>4</v>
      </c>
      <c r="AH25" s="6" t="s">
        <v>3</v>
      </c>
      <c r="AI25" s="6" t="s">
        <v>4</v>
      </c>
      <c r="AJ25" s="6" t="s">
        <v>3</v>
      </c>
      <c r="AK25" s="6" t="s">
        <v>4</v>
      </c>
      <c r="AL25" s="6" t="s">
        <v>4</v>
      </c>
      <c r="AM25" s="6" t="s">
        <v>3</v>
      </c>
      <c r="AN25" s="6" t="s">
        <v>3</v>
      </c>
    </row>
    <row r="26" spans="1:40">
      <c r="A26" s="6">
        <f t="shared" si="0"/>
        <v>25</v>
      </c>
      <c r="B26" s="6" t="s">
        <v>462</v>
      </c>
      <c r="C26" s="6" t="s">
        <v>537</v>
      </c>
      <c r="D26" s="6">
        <v>2</v>
      </c>
      <c r="E26" s="6" t="s">
        <v>5</v>
      </c>
      <c r="F26" s="6" t="s">
        <v>3</v>
      </c>
      <c r="G26" s="6" t="s">
        <v>5</v>
      </c>
      <c r="H26" s="6" t="s">
        <v>5</v>
      </c>
      <c r="I26" s="6" t="s">
        <v>5</v>
      </c>
      <c r="J26" s="6" t="s">
        <v>5</v>
      </c>
      <c r="K26" s="6" t="s">
        <v>5</v>
      </c>
      <c r="L26" s="6" t="s">
        <v>2</v>
      </c>
      <c r="M26" s="6" t="s">
        <v>3</v>
      </c>
      <c r="N26" s="6" t="s">
        <v>3</v>
      </c>
      <c r="O26" s="6" t="s">
        <v>3</v>
      </c>
      <c r="P26" s="6" t="s">
        <v>5</v>
      </c>
      <c r="Q26" s="6" t="s">
        <v>5</v>
      </c>
      <c r="R26" s="6" t="s">
        <v>3</v>
      </c>
      <c r="S26" s="6" t="s">
        <v>5</v>
      </c>
      <c r="T26" s="6" t="s">
        <v>5</v>
      </c>
      <c r="U26" s="6" t="s">
        <v>5</v>
      </c>
      <c r="V26" s="6" t="s">
        <v>5</v>
      </c>
      <c r="W26" s="6" t="s">
        <v>5</v>
      </c>
      <c r="X26" s="6" t="s">
        <v>3</v>
      </c>
      <c r="Y26" s="6" t="s">
        <v>4</v>
      </c>
      <c r="Z26" s="6" t="s">
        <v>4</v>
      </c>
      <c r="AA26" s="6" t="s">
        <v>3</v>
      </c>
      <c r="AB26" s="6" t="s">
        <v>3</v>
      </c>
      <c r="AC26" s="6" t="s">
        <v>3</v>
      </c>
      <c r="AD26" s="6" t="s">
        <v>4</v>
      </c>
      <c r="AE26" s="6" t="s">
        <v>4</v>
      </c>
      <c r="AF26" s="6" t="s">
        <v>4</v>
      </c>
      <c r="AG26" s="6" t="s">
        <v>4</v>
      </c>
      <c r="AH26" s="6" t="s">
        <v>3</v>
      </c>
      <c r="AI26" s="6" t="s">
        <v>4</v>
      </c>
      <c r="AJ26" s="6" t="s">
        <v>4</v>
      </c>
      <c r="AK26" s="6" t="s">
        <v>3</v>
      </c>
      <c r="AL26" s="6" t="s">
        <v>4</v>
      </c>
      <c r="AM26" s="6" t="s">
        <v>4</v>
      </c>
      <c r="AN26" s="6" t="s">
        <v>3</v>
      </c>
    </row>
    <row r="27" spans="1:40">
      <c r="A27" s="6">
        <f t="shared" si="0"/>
        <v>26</v>
      </c>
      <c r="B27" s="6" t="s">
        <v>491</v>
      </c>
      <c r="C27" s="6" t="s">
        <v>537</v>
      </c>
      <c r="D27" s="6">
        <v>2</v>
      </c>
      <c r="E27" s="6" t="s">
        <v>3</v>
      </c>
      <c r="F27" s="6" t="s">
        <v>3</v>
      </c>
      <c r="G27" s="6" t="s">
        <v>3</v>
      </c>
      <c r="H27" s="6" t="s">
        <v>2</v>
      </c>
      <c r="I27" s="6" t="s">
        <v>5</v>
      </c>
      <c r="J27" s="6" t="s">
        <v>5</v>
      </c>
      <c r="K27" s="6" t="s">
        <v>2</v>
      </c>
      <c r="L27" s="6" t="s">
        <v>2</v>
      </c>
      <c r="M27" s="6" t="s">
        <v>2</v>
      </c>
      <c r="N27" s="6" t="s">
        <v>4</v>
      </c>
      <c r="O27" s="6" t="s">
        <v>4</v>
      </c>
      <c r="P27" s="6" t="s">
        <v>4</v>
      </c>
      <c r="Q27" s="6" t="s">
        <v>5</v>
      </c>
      <c r="R27" s="6" t="s">
        <v>4</v>
      </c>
      <c r="S27" s="6" t="s">
        <v>5</v>
      </c>
      <c r="T27" s="6" t="s">
        <v>5</v>
      </c>
      <c r="U27" s="6" t="s">
        <v>5</v>
      </c>
      <c r="V27" s="6" t="s">
        <v>5</v>
      </c>
      <c r="W27" s="6" t="s">
        <v>5</v>
      </c>
      <c r="X27" s="6" t="s">
        <v>4</v>
      </c>
      <c r="Y27" s="6" t="s">
        <v>3</v>
      </c>
      <c r="Z27" s="6" t="s">
        <v>2</v>
      </c>
      <c r="AA27" s="6" t="s">
        <v>3</v>
      </c>
      <c r="AB27" s="6" t="s">
        <v>4</v>
      </c>
      <c r="AC27" s="6" t="s">
        <v>4</v>
      </c>
      <c r="AD27" s="6" t="s">
        <v>4</v>
      </c>
      <c r="AE27" s="6" t="s">
        <v>4</v>
      </c>
      <c r="AF27" s="6" t="s">
        <v>4</v>
      </c>
      <c r="AG27" s="6" t="s">
        <v>4</v>
      </c>
      <c r="AH27" s="6" t="s">
        <v>4</v>
      </c>
      <c r="AI27" s="6" t="s">
        <v>4</v>
      </c>
      <c r="AJ27" s="6" t="s">
        <v>3</v>
      </c>
      <c r="AK27" s="6" t="s">
        <v>4</v>
      </c>
      <c r="AL27" s="6" t="s">
        <v>4</v>
      </c>
      <c r="AM27" s="6" t="s">
        <v>4</v>
      </c>
      <c r="AN27" s="6" t="s">
        <v>3</v>
      </c>
    </row>
    <row r="28" spans="1:40">
      <c r="A28" s="6">
        <f t="shared" si="0"/>
        <v>27</v>
      </c>
      <c r="B28" s="6" t="s">
        <v>17</v>
      </c>
      <c r="C28" s="6" t="s">
        <v>537</v>
      </c>
      <c r="D28" s="6">
        <v>3</v>
      </c>
      <c r="E28" s="6" t="s">
        <v>5</v>
      </c>
      <c r="F28" s="6" t="s">
        <v>3</v>
      </c>
      <c r="G28" s="6" t="s">
        <v>3</v>
      </c>
      <c r="H28" s="6" t="s">
        <v>5</v>
      </c>
      <c r="I28" s="6" t="s">
        <v>5</v>
      </c>
      <c r="J28" s="6" t="s">
        <v>5</v>
      </c>
      <c r="K28" s="6" t="s">
        <v>2</v>
      </c>
      <c r="L28" s="6" t="s">
        <v>2</v>
      </c>
      <c r="M28" s="6" t="s">
        <v>3</v>
      </c>
      <c r="N28" s="6" t="s">
        <v>3</v>
      </c>
      <c r="O28" s="6" t="s">
        <v>4</v>
      </c>
      <c r="P28" s="6" t="s">
        <v>5</v>
      </c>
      <c r="Q28" s="6" t="s">
        <v>2</v>
      </c>
      <c r="R28" s="6" t="s">
        <v>3</v>
      </c>
      <c r="S28" s="6" t="s">
        <v>2</v>
      </c>
      <c r="T28" s="6" t="s">
        <v>5</v>
      </c>
      <c r="U28" s="6" t="s">
        <v>5</v>
      </c>
      <c r="V28" s="6" t="s">
        <v>5</v>
      </c>
      <c r="W28" s="6" t="s">
        <v>5</v>
      </c>
      <c r="X28" s="6" t="s">
        <v>4</v>
      </c>
      <c r="Y28" s="6" t="s">
        <v>3</v>
      </c>
      <c r="Z28" s="6" t="s">
        <v>3</v>
      </c>
      <c r="AA28" s="6" t="s">
        <v>3</v>
      </c>
      <c r="AB28" s="6" t="s">
        <v>4</v>
      </c>
      <c r="AC28" s="6" t="s">
        <v>4</v>
      </c>
      <c r="AD28" s="6" t="s">
        <v>4</v>
      </c>
      <c r="AE28" s="6" t="s">
        <v>4</v>
      </c>
      <c r="AF28" s="6" t="s">
        <v>4</v>
      </c>
      <c r="AG28" s="6" t="s">
        <v>4</v>
      </c>
      <c r="AH28" s="6" t="s">
        <v>3</v>
      </c>
      <c r="AI28" s="6" t="s">
        <v>4</v>
      </c>
      <c r="AJ28" s="6" t="s">
        <v>3</v>
      </c>
      <c r="AK28" s="6" t="s">
        <v>4</v>
      </c>
      <c r="AL28" s="6" t="s">
        <v>4</v>
      </c>
      <c r="AM28" s="6" t="s">
        <v>4</v>
      </c>
      <c r="AN28" s="6" t="s">
        <v>3</v>
      </c>
    </row>
    <row r="29" spans="1:40">
      <c r="A29" s="6">
        <f t="shared" si="0"/>
        <v>28</v>
      </c>
      <c r="B29" s="6" t="s">
        <v>18</v>
      </c>
      <c r="C29" s="6" t="s">
        <v>537</v>
      </c>
      <c r="D29" s="6">
        <v>3</v>
      </c>
      <c r="E29" s="6" t="s">
        <v>5</v>
      </c>
      <c r="F29" s="6" t="s">
        <v>4</v>
      </c>
      <c r="G29" s="6" t="s">
        <v>4</v>
      </c>
      <c r="H29" s="6" t="s">
        <v>3</v>
      </c>
      <c r="I29" s="6" t="s">
        <v>5</v>
      </c>
      <c r="J29" s="6" t="s">
        <v>5</v>
      </c>
      <c r="K29" s="6" t="s">
        <v>5</v>
      </c>
      <c r="L29" s="6" t="s">
        <v>2</v>
      </c>
      <c r="M29" s="6" t="s">
        <v>2</v>
      </c>
      <c r="N29" s="6" t="s">
        <v>3</v>
      </c>
      <c r="O29" s="6" t="s">
        <v>4</v>
      </c>
      <c r="P29" s="6" t="s">
        <v>2</v>
      </c>
      <c r="Q29" s="6" t="s">
        <v>2</v>
      </c>
      <c r="R29" s="6" t="s">
        <v>2</v>
      </c>
      <c r="S29" s="6" t="s">
        <v>5</v>
      </c>
      <c r="T29" s="6" t="s">
        <v>5</v>
      </c>
      <c r="U29" s="6" t="s">
        <v>3</v>
      </c>
      <c r="V29" s="6" t="s">
        <v>3</v>
      </c>
      <c r="W29" s="6" t="s">
        <v>2</v>
      </c>
      <c r="X29" s="6" t="s">
        <v>4</v>
      </c>
      <c r="Y29" s="6" t="s">
        <v>5</v>
      </c>
      <c r="Z29" s="6" t="s">
        <v>3</v>
      </c>
      <c r="AA29" s="6" t="s">
        <v>3</v>
      </c>
      <c r="AB29" s="6" t="s">
        <v>3</v>
      </c>
      <c r="AC29" s="6" t="s">
        <v>3</v>
      </c>
      <c r="AD29" s="6" t="s">
        <v>4</v>
      </c>
      <c r="AE29" s="6" t="s">
        <v>4</v>
      </c>
      <c r="AF29" s="6" t="s">
        <v>4</v>
      </c>
      <c r="AG29" s="6" t="s">
        <v>4</v>
      </c>
      <c r="AH29" s="6" t="s">
        <v>3</v>
      </c>
      <c r="AI29" s="6" t="s">
        <v>4</v>
      </c>
      <c r="AJ29" s="6" t="s">
        <v>4</v>
      </c>
      <c r="AK29" s="6" t="s">
        <v>4</v>
      </c>
      <c r="AL29" s="6" t="s">
        <v>4</v>
      </c>
      <c r="AM29" s="6" t="s">
        <v>4</v>
      </c>
      <c r="AN29" s="6" t="s">
        <v>3</v>
      </c>
    </row>
    <row r="30" spans="1:40">
      <c r="A30" s="6">
        <f t="shared" si="0"/>
        <v>29</v>
      </c>
      <c r="B30" s="6" t="s">
        <v>19</v>
      </c>
      <c r="C30" s="6" t="s">
        <v>537</v>
      </c>
      <c r="D30" s="6">
        <v>3</v>
      </c>
      <c r="E30" s="6" t="s">
        <v>5</v>
      </c>
      <c r="F30" s="6" t="s">
        <v>5</v>
      </c>
      <c r="G30" s="6" t="s">
        <v>4</v>
      </c>
      <c r="H30" s="6" t="s">
        <v>5</v>
      </c>
      <c r="I30" s="6" t="s">
        <v>5</v>
      </c>
      <c r="J30" s="6" t="s">
        <v>2</v>
      </c>
      <c r="K30" s="6" t="s">
        <v>5</v>
      </c>
      <c r="L30" s="6" t="s">
        <v>2</v>
      </c>
      <c r="M30" s="6" t="s">
        <v>3</v>
      </c>
      <c r="N30" s="6" t="s">
        <v>4</v>
      </c>
      <c r="O30" s="6" t="s">
        <v>4</v>
      </c>
      <c r="P30" s="6" t="s">
        <v>2</v>
      </c>
      <c r="Q30" s="6" t="s">
        <v>5</v>
      </c>
      <c r="R30" s="6" t="s">
        <v>5</v>
      </c>
      <c r="S30" s="6" t="s">
        <v>5</v>
      </c>
      <c r="T30" s="6" t="s">
        <v>5</v>
      </c>
      <c r="U30" s="6" t="s">
        <v>5</v>
      </c>
      <c r="V30" s="6" t="s">
        <v>5</v>
      </c>
      <c r="W30" s="6" t="s">
        <v>4</v>
      </c>
      <c r="X30" s="6" t="s">
        <v>4</v>
      </c>
      <c r="Y30" s="6" t="s">
        <v>4</v>
      </c>
      <c r="Z30" s="6" t="s">
        <v>5</v>
      </c>
      <c r="AA30" s="6" t="s">
        <v>3</v>
      </c>
      <c r="AB30" s="6" t="s">
        <v>4</v>
      </c>
      <c r="AC30" s="6" t="s">
        <v>4</v>
      </c>
      <c r="AD30" s="6" t="s">
        <v>4</v>
      </c>
      <c r="AE30" s="6" t="s">
        <v>4</v>
      </c>
      <c r="AF30" s="6" t="s">
        <v>4</v>
      </c>
      <c r="AG30" s="6" t="s">
        <v>4</v>
      </c>
      <c r="AH30" s="6" t="s">
        <v>3</v>
      </c>
      <c r="AI30" s="6" t="s">
        <v>4</v>
      </c>
      <c r="AJ30" s="6" t="s">
        <v>3</v>
      </c>
      <c r="AK30" s="6" t="s">
        <v>4</v>
      </c>
      <c r="AL30" s="6" t="s">
        <v>4</v>
      </c>
      <c r="AM30" s="6" t="s">
        <v>4</v>
      </c>
      <c r="AN30" s="6" t="s">
        <v>3</v>
      </c>
    </row>
    <row r="31" spans="1:40">
      <c r="A31" s="6">
        <f t="shared" si="0"/>
        <v>30</v>
      </c>
      <c r="B31" s="6" t="s">
        <v>20</v>
      </c>
      <c r="C31" s="6" t="s">
        <v>537</v>
      </c>
      <c r="D31" s="6">
        <v>3</v>
      </c>
      <c r="E31" s="6" t="s">
        <v>2</v>
      </c>
      <c r="F31" s="6" t="s">
        <v>3</v>
      </c>
      <c r="G31" s="6" t="s">
        <v>3</v>
      </c>
      <c r="H31" s="6" t="s">
        <v>2</v>
      </c>
      <c r="I31" s="6" t="s">
        <v>5</v>
      </c>
      <c r="J31" s="6" t="s">
        <v>2</v>
      </c>
      <c r="K31" s="6" t="s">
        <v>5</v>
      </c>
      <c r="L31" s="6" t="s">
        <v>2</v>
      </c>
      <c r="M31" s="6" t="s">
        <v>3</v>
      </c>
      <c r="N31" s="6" t="s">
        <v>4</v>
      </c>
      <c r="O31" s="6" t="s">
        <v>4</v>
      </c>
      <c r="P31" s="6" t="s">
        <v>5</v>
      </c>
      <c r="Q31" s="6" t="s">
        <v>5</v>
      </c>
      <c r="R31" s="6" t="s">
        <v>4</v>
      </c>
      <c r="S31" s="6" t="s">
        <v>5</v>
      </c>
      <c r="T31" s="6" t="s">
        <v>5</v>
      </c>
      <c r="U31" s="6" t="s">
        <v>5</v>
      </c>
      <c r="V31" s="6" t="s">
        <v>5</v>
      </c>
      <c r="W31" s="6" t="s">
        <v>5</v>
      </c>
      <c r="X31" s="6" t="s">
        <v>4</v>
      </c>
      <c r="Y31" s="6" t="s">
        <v>4</v>
      </c>
      <c r="Z31" s="6" t="s">
        <v>4</v>
      </c>
      <c r="AA31" s="6" t="s">
        <v>4</v>
      </c>
      <c r="AB31" s="6" t="s">
        <v>4</v>
      </c>
      <c r="AC31" s="6" t="s">
        <v>4</v>
      </c>
      <c r="AD31" s="6" t="s">
        <v>4</v>
      </c>
      <c r="AE31" s="6" t="s">
        <v>4</v>
      </c>
      <c r="AF31" s="6" t="s">
        <v>4</v>
      </c>
      <c r="AG31" s="6" t="s">
        <v>4</v>
      </c>
      <c r="AH31" s="6" t="s">
        <v>4</v>
      </c>
      <c r="AI31" s="6" t="s">
        <v>4</v>
      </c>
      <c r="AJ31" s="6" t="s">
        <v>3</v>
      </c>
      <c r="AK31" s="6" t="s">
        <v>4</v>
      </c>
      <c r="AL31" s="6" t="s">
        <v>4</v>
      </c>
      <c r="AM31" s="6" t="s">
        <v>3</v>
      </c>
      <c r="AN31" s="6" t="s">
        <v>4</v>
      </c>
    </row>
    <row r="32" spans="1:40">
      <c r="A32" s="6">
        <f t="shared" si="0"/>
        <v>31</v>
      </c>
      <c r="B32" s="6" t="s">
        <v>21</v>
      </c>
      <c r="C32" s="6" t="s">
        <v>537</v>
      </c>
      <c r="D32" s="6">
        <v>3</v>
      </c>
      <c r="E32" s="6" t="s">
        <v>2</v>
      </c>
      <c r="F32" s="6" t="s">
        <v>5</v>
      </c>
      <c r="G32" s="6" t="s">
        <v>3</v>
      </c>
      <c r="H32" s="6" t="s">
        <v>5</v>
      </c>
      <c r="I32" s="6" t="s">
        <v>5</v>
      </c>
      <c r="J32" s="6" t="s">
        <v>5</v>
      </c>
      <c r="K32" s="6" t="s">
        <v>5</v>
      </c>
      <c r="L32" s="6" t="s">
        <v>2</v>
      </c>
      <c r="M32" s="6" t="s">
        <v>2</v>
      </c>
      <c r="N32" s="6" t="s">
        <v>3</v>
      </c>
      <c r="O32" s="6" t="s">
        <v>4</v>
      </c>
      <c r="P32" s="6" t="s">
        <v>2</v>
      </c>
      <c r="Q32" s="6" t="s">
        <v>5</v>
      </c>
      <c r="R32" s="6" t="s">
        <v>3</v>
      </c>
      <c r="S32" s="6" t="s">
        <v>3</v>
      </c>
      <c r="T32" s="6" t="s">
        <v>5</v>
      </c>
      <c r="U32" s="6" t="s">
        <v>5</v>
      </c>
      <c r="V32" s="6" t="s">
        <v>5</v>
      </c>
      <c r="W32" s="6" t="s">
        <v>5</v>
      </c>
      <c r="X32" s="6" t="s">
        <v>4</v>
      </c>
      <c r="Y32" s="6" t="s">
        <v>2</v>
      </c>
      <c r="Z32" s="6" t="s">
        <v>2</v>
      </c>
      <c r="AA32" s="6" t="s">
        <v>3</v>
      </c>
      <c r="AB32" s="6" t="s">
        <v>4</v>
      </c>
      <c r="AC32" s="6" t="s">
        <v>4</v>
      </c>
      <c r="AD32" s="6" t="s">
        <v>4</v>
      </c>
      <c r="AE32" s="6" t="s">
        <v>4</v>
      </c>
      <c r="AF32" s="6" t="s">
        <v>4</v>
      </c>
      <c r="AG32" s="6" t="s">
        <v>4</v>
      </c>
      <c r="AH32" s="6" t="s">
        <v>3</v>
      </c>
      <c r="AI32" s="6" t="s">
        <v>4</v>
      </c>
      <c r="AJ32" s="6" t="s">
        <v>3</v>
      </c>
      <c r="AK32" s="6" t="s">
        <v>4</v>
      </c>
      <c r="AL32" s="6" t="s">
        <v>4</v>
      </c>
      <c r="AM32" s="6" t="s">
        <v>4</v>
      </c>
      <c r="AN32" s="6" t="s">
        <v>3</v>
      </c>
    </row>
    <row r="33" spans="1:40">
      <c r="A33" s="6">
        <f t="shared" si="0"/>
        <v>32</v>
      </c>
      <c r="B33" s="6" t="s">
        <v>22</v>
      </c>
      <c r="C33" s="6" t="s">
        <v>537</v>
      </c>
      <c r="D33" s="6">
        <v>3</v>
      </c>
      <c r="E33" s="6" t="s">
        <v>4</v>
      </c>
      <c r="F33" s="6" t="s">
        <v>5</v>
      </c>
      <c r="G33" s="6" t="s">
        <v>3</v>
      </c>
      <c r="H33" s="6" t="s">
        <v>5</v>
      </c>
      <c r="I33" s="6" t="s">
        <v>5</v>
      </c>
      <c r="J33" s="6" t="s">
        <v>5</v>
      </c>
      <c r="K33" s="6" t="s">
        <v>5</v>
      </c>
      <c r="L33" s="6" t="s">
        <v>2</v>
      </c>
      <c r="M33" s="6" t="s">
        <v>3</v>
      </c>
      <c r="N33" s="6" t="s">
        <v>2</v>
      </c>
      <c r="O33" s="6" t="s">
        <v>2</v>
      </c>
      <c r="P33" s="6" t="s">
        <v>5</v>
      </c>
      <c r="Q33" s="6" t="s">
        <v>3</v>
      </c>
      <c r="R33" s="6" t="s">
        <v>3</v>
      </c>
      <c r="S33" s="6" t="s">
        <v>2</v>
      </c>
      <c r="T33" s="6" t="s">
        <v>5</v>
      </c>
      <c r="U33" s="6" t="s">
        <v>2</v>
      </c>
      <c r="V33" s="6" t="s">
        <v>2</v>
      </c>
      <c r="W33" s="6" t="s">
        <v>5</v>
      </c>
      <c r="X33" s="6" t="s">
        <v>4</v>
      </c>
      <c r="Y33" s="6" t="s">
        <v>3</v>
      </c>
      <c r="Z33" s="6" t="s">
        <v>2</v>
      </c>
      <c r="AA33" s="6" t="s">
        <v>3</v>
      </c>
      <c r="AB33" s="6" t="s">
        <v>4</v>
      </c>
      <c r="AC33" s="6" t="s">
        <v>4</v>
      </c>
      <c r="AD33" s="6" t="s">
        <v>4</v>
      </c>
      <c r="AE33" s="6" t="s">
        <v>4</v>
      </c>
      <c r="AF33" s="6" t="s">
        <v>4</v>
      </c>
      <c r="AG33" s="6" t="s">
        <v>4</v>
      </c>
      <c r="AH33" s="6" t="s">
        <v>3</v>
      </c>
      <c r="AI33" s="6" t="s">
        <v>4</v>
      </c>
      <c r="AJ33" s="6" t="s">
        <v>3</v>
      </c>
      <c r="AK33" s="6" t="s">
        <v>4</v>
      </c>
      <c r="AL33" s="6" t="s">
        <v>4</v>
      </c>
      <c r="AM33" s="6" t="s">
        <v>3</v>
      </c>
      <c r="AN33" s="6" t="s">
        <v>3</v>
      </c>
    </row>
    <row r="34" spans="1:40">
      <c r="A34" s="6">
        <f t="shared" si="0"/>
        <v>33</v>
      </c>
      <c r="B34" s="6" t="s">
        <v>263</v>
      </c>
      <c r="C34" s="6" t="s">
        <v>537</v>
      </c>
      <c r="D34" s="6">
        <v>3</v>
      </c>
      <c r="E34" s="6" t="s">
        <v>2</v>
      </c>
      <c r="F34" s="6" t="s">
        <v>5</v>
      </c>
      <c r="G34" s="6" t="s">
        <v>3</v>
      </c>
      <c r="H34" s="6" t="s">
        <v>5</v>
      </c>
      <c r="I34" s="6" t="s">
        <v>5</v>
      </c>
      <c r="J34" s="6" t="s">
        <v>5</v>
      </c>
      <c r="K34" s="6" t="s">
        <v>5</v>
      </c>
      <c r="L34" s="6" t="s">
        <v>2</v>
      </c>
      <c r="M34" s="6" t="s">
        <v>2</v>
      </c>
      <c r="N34" s="6" t="s">
        <v>2</v>
      </c>
      <c r="O34" s="6" t="s">
        <v>3</v>
      </c>
      <c r="P34" s="6" t="s">
        <v>5</v>
      </c>
      <c r="Q34" s="6" t="s">
        <v>5</v>
      </c>
      <c r="R34" s="6" t="s">
        <v>3</v>
      </c>
      <c r="S34" s="6" t="s">
        <v>2</v>
      </c>
      <c r="T34" s="6" t="s">
        <v>2</v>
      </c>
      <c r="U34" s="6" t="s">
        <v>5</v>
      </c>
      <c r="V34" s="6" t="s">
        <v>5</v>
      </c>
      <c r="W34" s="6" t="s">
        <v>2</v>
      </c>
      <c r="X34" s="6" t="s">
        <v>4</v>
      </c>
      <c r="Y34" s="6" t="s">
        <v>2</v>
      </c>
      <c r="Z34" s="6" t="s">
        <v>2</v>
      </c>
      <c r="AA34" s="6" t="s">
        <v>3</v>
      </c>
      <c r="AB34" s="6" t="s">
        <v>4</v>
      </c>
      <c r="AC34" s="6" t="s">
        <v>4</v>
      </c>
      <c r="AD34" s="6" t="s">
        <v>4</v>
      </c>
      <c r="AE34" s="6" t="s">
        <v>4</v>
      </c>
      <c r="AF34" s="6" t="s">
        <v>4</v>
      </c>
      <c r="AG34" s="6" t="s">
        <v>4</v>
      </c>
      <c r="AH34" s="6" t="s">
        <v>3</v>
      </c>
      <c r="AI34" s="6" t="s">
        <v>4</v>
      </c>
      <c r="AJ34" s="6" t="s">
        <v>3</v>
      </c>
      <c r="AK34" s="6" t="s">
        <v>4</v>
      </c>
      <c r="AL34" s="6" t="s">
        <v>4</v>
      </c>
      <c r="AM34" s="6" t="s">
        <v>4</v>
      </c>
      <c r="AN34" s="6" t="s">
        <v>3</v>
      </c>
    </row>
    <row r="35" spans="1:40">
      <c r="A35" s="6">
        <f t="shared" si="0"/>
        <v>34</v>
      </c>
      <c r="B35" s="6" t="s">
        <v>264</v>
      </c>
      <c r="C35" s="6" t="s">
        <v>537</v>
      </c>
      <c r="D35" s="6">
        <v>3</v>
      </c>
      <c r="E35" s="6" t="s">
        <v>5</v>
      </c>
      <c r="F35" s="6" t="s">
        <v>3</v>
      </c>
      <c r="G35" s="6" t="s">
        <v>3</v>
      </c>
      <c r="H35" s="6" t="s">
        <v>5</v>
      </c>
      <c r="I35" s="6" t="s">
        <v>5</v>
      </c>
      <c r="J35" s="6" t="s">
        <v>5</v>
      </c>
      <c r="K35" s="6" t="s">
        <v>5</v>
      </c>
      <c r="L35" s="6" t="s">
        <v>2</v>
      </c>
      <c r="M35" s="6" t="s">
        <v>2</v>
      </c>
      <c r="N35" s="6" t="s">
        <v>3</v>
      </c>
      <c r="O35" s="6" t="s">
        <v>3</v>
      </c>
      <c r="P35" s="6" t="s">
        <v>2</v>
      </c>
      <c r="Q35" s="6" t="s">
        <v>5</v>
      </c>
      <c r="R35" s="6" t="s">
        <v>3</v>
      </c>
      <c r="S35" s="6" t="s">
        <v>3</v>
      </c>
      <c r="T35" s="6" t="s">
        <v>2</v>
      </c>
      <c r="U35" s="6" t="s">
        <v>5</v>
      </c>
      <c r="V35" s="6" t="s">
        <v>5</v>
      </c>
      <c r="W35" s="6" t="s">
        <v>5</v>
      </c>
      <c r="X35" s="6" t="s">
        <v>4</v>
      </c>
      <c r="Y35" s="6" t="s">
        <v>3</v>
      </c>
      <c r="Z35" s="6" t="s">
        <v>2</v>
      </c>
      <c r="AA35" s="6" t="s">
        <v>3</v>
      </c>
      <c r="AB35" s="6" t="s">
        <v>4</v>
      </c>
      <c r="AC35" s="6" t="s">
        <v>4</v>
      </c>
      <c r="AD35" s="6" t="s">
        <v>4</v>
      </c>
      <c r="AE35" s="6" t="s">
        <v>4</v>
      </c>
      <c r="AF35" s="6" t="s">
        <v>4</v>
      </c>
      <c r="AG35" s="6" t="s">
        <v>4</v>
      </c>
      <c r="AH35" s="6" t="s">
        <v>3</v>
      </c>
      <c r="AI35" s="6" t="s">
        <v>4</v>
      </c>
      <c r="AJ35" s="6" t="s">
        <v>4</v>
      </c>
      <c r="AK35" s="6" t="s">
        <v>4</v>
      </c>
      <c r="AL35" s="6" t="s">
        <v>4</v>
      </c>
      <c r="AM35" s="6" t="s">
        <v>3</v>
      </c>
      <c r="AN35" s="6" t="s">
        <v>3</v>
      </c>
    </row>
    <row r="36" spans="1:40">
      <c r="A36" s="6">
        <f t="shared" si="0"/>
        <v>35</v>
      </c>
      <c r="B36" s="6" t="s">
        <v>265</v>
      </c>
      <c r="C36" s="6" t="s">
        <v>537</v>
      </c>
      <c r="D36" s="6">
        <v>3</v>
      </c>
      <c r="E36" s="6" t="s">
        <v>5</v>
      </c>
      <c r="F36" s="6" t="s">
        <v>3</v>
      </c>
      <c r="G36" s="6" t="s">
        <v>3</v>
      </c>
      <c r="H36" s="6" t="s">
        <v>2</v>
      </c>
      <c r="I36" s="6" t="s">
        <v>5</v>
      </c>
      <c r="J36" s="6" t="s">
        <v>5</v>
      </c>
      <c r="K36" s="6" t="s">
        <v>5</v>
      </c>
      <c r="L36" s="6" t="s">
        <v>2</v>
      </c>
      <c r="M36" s="6" t="s">
        <v>3</v>
      </c>
      <c r="N36" s="6" t="s">
        <v>3</v>
      </c>
      <c r="O36" s="6" t="s">
        <v>3</v>
      </c>
      <c r="P36" s="6" t="s">
        <v>2</v>
      </c>
      <c r="Q36" s="6" t="s">
        <v>5</v>
      </c>
      <c r="R36" s="6" t="s">
        <v>3</v>
      </c>
      <c r="S36" s="6" t="s">
        <v>3</v>
      </c>
      <c r="T36" s="6" t="s">
        <v>5</v>
      </c>
      <c r="U36" s="6" t="s">
        <v>5</v>
      </c>
      <c r="V36" s="6" t="s">
        <v>5</v>
      </c>
      <c r="W36" s="6" t="s">
        <v>5</v>
      </c>
      <c r="X36" s="6" t="s">
        <v>4</v>
      </c>
      <c r="Y36" s="6" t="s">
        <v>3</v>
      </c>
      <c r="Z36" s="6" t="s">
        <v>2</v>
      </c>
      <c r="AA36" s="6" t="s">
        <v>3</v>
      </c>
      <c r="AB36" s="6" t="s">
        <v>4</v>
      </c>
      <c r="AC36" s="6" t="s">
        <v>4</v>
      </c>
      <c r="AD36" s="6" t="s">
        <v>4</v>
      </c>
      <c r="AE36" s="6" t="s">
        <v>4</v>
      </c>
      <c r="AF36" s="6" t="s">
        <v>4</v>
      </c>
      <c r="AG36" s="6" t="s">
        <v>4</v>
      </c>
      <c r="AH36" s="6" t="s">
        <v>3</v>
      </c>
      <c r="AI36" s="6" t="s">
        <v>4</v>
      </c>
      <c r="AJ36" s="6" t="s">
        <v>3</v>
      </c>
      <c r="AK36" s="6" t="s">
        <v>4</v>
      </c>
      <c r="AL36" s="6" t="s">
        <v>4</v>
      </c>
      <c r="AM36" s="6" t="s">
        <v>3</v>
      </c>
      <c r="AN36" s="6" t="s">
        <v>3</v>
      </c>
    </row>
    <row r="37" spans="1:40">
      <c r="A37" s="6">
        <f t="shared" si="0"/>
        <v>36</v>
      </c>
      <c r="B37" s="6" t="s">
        <v>266</v>
      </c>
      <c r="C37" s="6" t="s">
        <v>537</v>
      </c>
      <c r="D37" s="6">
        <v>3</v>
      </c>
      <c r="E37" s="6" t="s">
        <v>5</v>
      </c>
      <c r="F37" s="6" t="s">
        <v>3</v>
      </c>
      <c r="G37" s="6" t="s">
        <v>3</v>
      </c>
      <c r="H37" s="6" t="s">
        <v>5</v>
      </c>
      <c r="I37" s="6" t="s">
        <v>5</v>
      </c>
      <c r="J37" s="6" t="s">
        <v>5</v>
      </c>
      <c r="K37" s="6" t="s">
        <v>2</v>
      </c>
      <c r="L37" s="6" t="s">
        <v>2</v>
      </c>
      <c r="M37" s="6" t="s">
        <v>3</v>
      </c>
      <c r="N37" s="6" t="s">
        <v>4</v>
      </c>
      <c r="O37" s="6" t="s">
        <v>4</v>
      </c>
      <c r="P37" s="6" t="s">
        <v>5</v>
      </c>
      <c r="Q37" s="6" t="s">
        <v>2</v>
      </c>
      <c r="R37" s="6" t="s">
        <v>3</v>
      </c>
      <c r="S37" s="6" t="s">
        <v>2</v>
      </c>
      <c r="T37" s="6" t="s">
        <v>5</v>
      </c>
      <c r="U37" s="6" t="s">
        <v>5</v>
      </c>
      <c r="V37" s="6" t="s">
        <v>5</v>
      </c>
      <c r="W37" s="6" t="s">
        <v>5</v>
      </c>
      <c r="X37" s="6" t="s">
        <v>4</v>
      </c>
      <c r="Y37" s="6" t="s">
        <v>3</v>
      </c>
      <c r="Z37" s="6" t="s">
        <v>3</v>
      </c>
      <c r="AA37" s="6" t="s">
        <v>3</v>
      </c>
      <c r="AB37" s="6" t="s">
        <v>4</v>
      </c>
      <c r="AC37" s="6" t="s">
        <v>4</v>
      </c>
      <c r="AD37" s="6" t="s">
        <v>4</v>
      </c>
      <c r="AE37" s="6" t="s">
        <v>4</v>
      </c>
      <c r="AF37" s="6" t="s">
        <v>4</v>
      </c>
      <c r="AG37" s="6" t="s">
        <v>4</v>
      </c>
      <c r="AH37" s="6" t="s">
        <v>3</v>
      </c>
      <c r="AI37" s="6" t="s">
        <v>4</v>
      </c>
      <c r="AJ37" s="6" t="s">
        <v>4</v>
      </c>
      <c r="AK37" s="6" t="s">
        <v>4</v>
      </c>
      <c r="AL37" s="6" t="s">
        <v>4</v>
      </c>
      <c r="AM37" s="6" t="s">
        <v>4</v>
      </c>
      <c r="AN37" s="6" t="s">
        <v>3</v>
      </c>
    </row>
    <row r="38" spans="1:40">
      <c r="A38" s="6">
        <f t="shared" si="0"/>
        <v>37</v>
      </c>
      <c r="B38" s="6" t="s">
        <v>465</v>
      </c>
      <c r="C38" s="6" t="s">
        <v>537</v>
      </c>
      <c r="D38" s="6">
        <v>3</v>
      </c>
      <c r="E38" s="6" t="s">
        <v>5</v>
      </c>
      <c r="F38" s="6" t="s">
        <v>5</v>
      </c>
      <c r="G38" s="6" t="s">
        <v>5</v>
      </c>
      <c r="H38" s="6" t="s">
        <v>5</v>
      </c>
      <c r="I38" s="6" t="s">
        <v>5</v>
      </c>
      <c r="J38" s="6" t="s">
        <v>5</v>
      </c>
      <c r="K38" s="6" t="s">
        <v>5</v>
      </c>
      <c r="L38" s="6" t="s">
        <v>2</v>
      </c>
      <c r="M38" s="6" t="s">
        <v>2</v>
      </c>
      <c r="N38" s="6" t="s">
        <v>2</v>
      </c>
      <c r="O38" s="6" t="s">
        <v>5</v>
      </c>
      <c r="P38" s="6" t="s">
        <v>2</v>
      </c>
      <c r="Q38" s="6" t="s">
        <v>2</v>
      </c>
      <c r="R38" s="6" t="s">
        <v>2</v>
      </c>
      <c r="S38" s="6" t="s">
        <v>2</v>
      </c>
      <c r="T38" s="6" t="s">
        <v>5</v>
      </c>
      <c r="U38" s="6" t="s">
        <v>5</v>
      </c>
      <c r="V38" s="6" t="s">
        <v>5</v>
      </c>
      <c r="W38" s="6" t="s">
        <v>5</v>
      </c>
      <c r="X38" s="6" t="s">
        <v>3</v>
      </c>
      <c r="Y38" s="6" t="s">
        <v>4</v>
      </c>
      <c r="Z38" s="6" t="s">
        <v>4</v>
      </c>
      <c r="AA38" s="6" t="s">
        <v>3</v>
      </c>
      <c r="AB38" s="6" t="s">
        <v>4</v>
      </c>
      <c r="AC38" s="6" t="s">
        <v>3</v>
      </c>
      <c r="AD38" s="6" t="s">
        <v>4</v>
      </c>
      <c r="AE38" s="6" t="s">
        <v>4</v>
      </c>
      <c r="AF38" s="6" t="s">
        <v>4</v>
      </c>
      <c r="AG38" s="6" t="s">
        <v>4</v>
      </c>
      <c r="AH38" s="6" t="s">
        <v>4</v>
      </c>
      <c r="AI38" s="6" t="s">
        <v>4</v>
      </c>
      <c r="AJ38" s="6" t="s">
        <v>3</v>
      </c>
      <c r="AK38" s="6" t="s">
        <v>4</v>
      </c>
      <c r="AL38" s="6" t="s">
        <v>4</v>
      </c>
      <c r="AM38" s="6" t="s">
        <v>4</v>
      </c>
      <c r="AN38" s="6" t="s">
        <v>3</v>
      </c>
    </row>
    <row r="39" spans="1:40">
      <c r="A39" s="6">
        <f t="shared" si="0"/>
        <v>38</v>
      </c>
      <c r="B39" s="6" t="s">
        <v>466</v>
      </c>
      <c r="C39" s="6" t="s">
        <v>537</v>
      </c>
      <c r="D39" s="6">
        <v>3</v>
      </c>
      <c r="E39" s="6" t="s">
        <v>5</v>
      </c>
      <c r="F39" s="6" t="s">
        <v>3</v>
      </c>
      <c r="G39" s="6" t="s">
        <v>3</v>
      </c>
      <c r="H39" s="6" t="s">
        <v>5</v>
      </c>
      <c r="I39" s="6" t="s">
        <v>5</v>
      </c>
      <c r="J39" s="6" t="s">
        <v>5</v>
      </c>
      <c r="K39" s="6" t="s">
        <v>5</v>
      </c>
      <c r="L39" s="6" t="s">
        <v>2</v>
      </c>
      <c r="M39" s="6" t="s">
        <v>3</v>
      </c>
      <c r="N39" s="6" t="s">
        <v>3</v>
      </c>
      <c r="O39" s="6" t="s">
        <v>4</v>
      </c>
      <c r="P39" s="6" t="s">
        <v>5</v>
      </c>
      <c r="Q39" s="6" t="s">
        <v>2</v>
      </c>
      <c r="R39" s="6" t="s">
        <v>3</v>
      </c>
      <c r="S39" s="6" t="s">
        <v>5</v>
      </c>
      <c r="T39" s="6" t="s">
        <v>5</v>
      </c>
      <c r="U39" s="6" t="s">
        <v>5</v>
      </c>
      <c r="V39" s="6" t="s">
        <v>5</v>
      </c>
      <c r="W39" s="6" t="s">
        <v>4</v>
      </c>
      <c r="X39" s="6" t="s">
        <v>4</v>
      </c>
      <c r="Y39" s="6" t="s">
        <v>4</v>
      </c>
      <c r="Z39" s="6" t="s">
        <v>2</v>
      </c>
      <c r="AA39" s="6" t="s">
        <v>3</v>
      </c>
      <c r="AB39" s="6" t="s">
        <v>4</v>
      </c>
      <c r="AC39" s="6" t="s">
        <v>4</v>
      </c>
      <c r="AD39" s="6" t="s">
        <v>4</v>
      </c>
      <c r="AE39" s="6" t="s">
        <v>4</v>
      </c>
      <c r="AF39" s="6" t="s">
        <v>4</v>
      </c>
      <c r="AG39" s="6" t="s">
        <v>4</v>
      </c>
      <c r="AH39" s="6" t="s">
        <v>3</v>
      </c>
      <c r="AI39" s="6" t="s">
        <v>4</v>
      </c>
      <c r="AJ39" s="6" t="s">
        <v>3</v>
      </c>
      <c r="AK39" s="6" t="s">
        <v>4</v>
      </c>
      <c r="AL39" s="6" t="s">
        <v>4</v>
      </c>
      <c r="AM39" s="6" t="s">
        <v>4</v>
      </c>
      <c r="AN39" s="6" t="s">
        <v>4</v>
      </c>
    </row>
    <row r="40" spans="1:40">
      <c r="A40" s="6">
        <f t="shared" si="0"/>
        <v>39</v>
      </c>
      <c r="B40" s="6" t="s">
        <v>493</v>
      </c>
      <c r="C40" s="6" t="s">
        <v>537</v>
      </c>
      <c r="D40" s="6">
        <v>3</v>
      </c>
      <c r="E40" s="6" t="s">
        <v>2</v>
      </c>
      <c r="F40" s="6" t="s">
        <v>5</v>
      </c>
      <c r="G40" s="6" t="s">
        <v>3</v>
      </c>
      <c r="H40" s="6" t="s">
        <v>2</v>
      </c>
      <c r="I40" s="6" t="s">
        <v>5</v>
      </c>
      <c r="J40" s="6" t="s">
        <v>5</v>
      </c>
      <c r="K40" s="6" t="s">
        <v>5</v>
      </c>
      <c r="L40" s="6" t="s">
        <v>2</v>
      </c>
      <c r="M40" s="6" t="s">
        <v>3</v>
      </c>
      <c r="N40" s="6" t="s">
        <v>4</v>
      </c>
      <c r="O40" s="6" t="s">
        <v>4</v>
      </c>
      <c r="P40" s="6" t="s">
        <v>5</v>
      </c>
      <c r="Q40" s="6" t="s">
        <v>5</v>
      </c>
      <c r="R40" s="6" t="s">
        <v>4</v>
      </c>
      <c r="S40" s="6" t="s">
        <v>5</v>
      </c>
      <c r="T40" s="6" t="s">
        <v>5</v>
      </c>
      <c r="U40" s="6" t="s">
        <v>5</v>
      </c>
      <c r="V40" s="6" t="s">
        <v>5</v>
      </c>
      <c r="W40" s="6" t="s">
        <v>5</v>
      </c>
      <c r="X40" s="6" t="s">
        <v>4</v>
      </c>
      <c r="Y40" s="6" t="s">
        <v>4</v>
      </c>
      <c r="Z40" s="6" t="s">
        <v>4</v>
      </c>
      <c r="AA40" s="6" t="s">
        <v>4</v>
      </c>
      <c r="AB40" s="6" t="s">
        <v>4</v>
      </c>
      <c r="AC40" s="6" t="s">
        <v>4</v>
      </c>
      <c r="AD40" s="6" t="s">
        <v>4</v>
      </c>
      <c r="AE40" s="6" t="s">
        <v>4</v>
      </c>
      <c r="AF40" s="6" t="s">
        <v>4</v>
      </c>
      <c r="AG40" s="6" t="s">
        <v>4</v>
      </c>
      <c r="AH40" s="6" t="s">
        <v>4</v>
      </c>
      <c r="AI40" s="6" t="s">
        <v>4</v>
      </c>
      <c r="AJ40" s="6" t="s">
        <v>3</v>
      </c>
      <c r="AK40" s="6" t="s">
        <v>4</v>
      </c>
      <c r="AL40" s="6" t="s">
        <v>4</v>
      </c>
      <c r="AM40" s="6" t="s">
        <v>3</v>
      </c>
      <c r="AN40" s="6" t="s">
        <v>4</v>
      </c>
    </row>
    <row r="41" spans="1:40">
      <c r="A41" s="6">
        <f t="shared" si="0"/>
        <v>40</v>
      </c>
      <c r="B41" s="6" t="s">
        <v>23</v>
      </c>
      <c r="C41" s="6" t="s">
        <v>537</v>
      </c>
      <c r="D41" s="6">
        <v>4</v>
      </c>
      <c r="E41" s="6" t="s">
        <v>3</v>
      </c>
      <c r="F41" s="6" t="s">
        <v>3</v>
      </c>
      <c r="G41" s="6" t="s">
        <v>4</v>
      </c>
      <c r="H41" s="6" t="s">
        <v>2</v>
      </c>
      <c r="I41" s="6" t="s">
        <v>5</v>
      </c>
      <c r="J41" s="6" t="s">
        <v>5</v>
      </c>
      <c r="K41" s="6" t="s">
        <v>5</v>
      </c>
      <c r="L41" s="6" t="s">
        <v>2</v>
      </c>
      <c r="M41" s="6" t="s">
        <v>2</v>
      </c>
      <c r="N41" s="6" t="s">
        <v>2</v>
      </c>
      <c r="O41" s="6" t="s">
        <v>5</v>
      </c>
      <c r="P41" s="6" t="s">
        <v>2</v>
      </c>
      <c r="Q41" s="6" t="s">
        <v>5</v>
      </c>
      <c r="R41" s="6" t="s">
        <v>3</v>
      </c>
      <c r="S41" s="6" t="s">
        <v>3</v>
      </c>
      <c r="T41" s="6" t="s">
        <v>5</v>
      </c>
      <c r="U41" s="6" t="s">
        <v>5</v>
      </c>
      <c r="V41" s="6" t="s">
        <v>5</v>
      </c>
      <c r="W41" s="6" t="s">
        <v>5</v>
      </c>
      <c r="X41" s="6" t="s">
        <v>4</v>
      </c>
      <c r="Y41" s="6" t="s">
        <v>4</v>
      </c>
      <c r="Z41" s="6" t="s">
        <v>2</v>
      </c>
      <c r="AA41" s="6" t="s">
        <v>3</v>
      </c>
      <c r="AB41" s="6" t="s">
        <v>4</v>
      </c>
      <c r="AC41" s="6" t="s">
        <v>4</v>
      </c>
      <c r="AD41" s="6" t="s">
        <v>4</v>
      </c>
      <c r="AE41" s="6" t="s">
        <v>4</v>
      </c>
      <c r="AF41" s="6" t="s">
        <v>4</v>
      </c>
      <c r="AG41" s="6" t="s">
        <v>4</v>
      </c>
      <c r="AH41" s="6" t="s">
        <v>3</v>
      </c>
      <c r="AI41" s="6" t="s">
        <v>4</v>
      </c>
      <c r="AJ41" s="6" t="s">
        <v>3</v>
      </c>
      <c r="AK41" s="6" t="s">
        <v>3</v>
      </c>
      <c r="AL41" s="6" t="s">
        <v>4</v>
      </c>
      <c r="AM41" s="6" t="s">
        <v>3</v>
      </c>
      <c r="AN41" s="6" t="s">
        <v>3</v>
      </c>
    </row>
    <row r="42" spans="1:40">
      <c r="A42" s="6">
        <f t="shared" si="0"/>
        <v>41</v>
      </c>
      <c r="B42" s="6" t="s">
        <v>24</v>
      </c>
      <c r="C42" s="6" t="s">
        <v>537</v>
      </c>
      <c r="D42" s="6">
        <v>4</v>
      </c>
      <c r="E42" s="6" t="s">
        <v>5</v>
      </c>
      <c r="F42" s="6" t="s">
        <v>3</v>
      </c>
      <c r="G42" s="6" t="s">
        <v>3</v>
      </c>
      <c r="H42" s="6" t="s">
        <v>5</v>
      </c>
      <c r="I42" s="6" t="s">
        <v>5</v>
      </c>
      <c r="J42" s="6" t="s">
        <v>5</v>
      </c>
      <c r="K42" s="6" t="s">
        <v>5</v>
      </c>
      <c r="L42" s="6" t="s">
        <v>2</v>
      </c>
      <c r="M42" s="6" t="s">
        <v>2</v>
      </c>
      <c r="N42" s="6" t="s">
        <v>5</v>
      </c>
      <c r="O42" s="6" t="s">
        <v>3</v>
      </c>
      <c r="P42" s="6" t="s">
        <v>4</v>
      </c>
      <c r="Q42" s="6" t="s">
        <v>5</v>
      </c>
      <c r="R42" s="6" t="s">
        <v>3</v>
      </c>
      <c r="S42" s="6" t="s">
        <v>5</v>
      </c>
      <c r="T42" s="6" t="s">
        <v>5</v>
      </c>
      <c r="U42" s="6" t="s">
        <v>5</v>
      </c>
      <c r="V42" s="6" t="s">
        <v>5</v>
      </c>
      <c r="W42" s="6" t="s">
        <v>5</v>
      </c>
      <c r="X42" s="6" t="s">
        <v>4</v>
      </c>
      <c r="Y42" s="6" t="s">
        <v>4</v>
      </c>
      <c r="Z42" s="6" t="s">
        <v>4</v>
      </c>
      <c r="AA42" s="6" t="s">
        <v>3</v>
      </c>
      <c r="AB42" s="6" t="s">
        <v>4</v>
      </c>
      <c r="AC42" s="6" t="s">
        <v>4</v>
      </c>
      <c r="AD42" s="6" t="s">
        <v>4</v>
      </c>
      <c r="AE42" s="6" t="s">
        <v>4</v>
      </c>
      <c r="AF42" s="6" t="s">
        <v>4</v>
      </c>
      <c r="AG42" s="6" t="s">
        <v>4</v>
      </c>
      <c r="AH42" s="6" t="s">
        <v>3</v>
      </c>
      <c r="AI42" s="6" t="s">
        <v>4</v>
      </c>
      <c r="AJ42" s="6" t="s">
        <v>3</v>
      </c>
      <c r="AK42" s="6" t="s">
        <v>4</v>
      </c>
      <c r="AL42" s="6" t="s">
        <v>4</v>
      </c>
      <c r="AM42" s="6" t="s">
        <v>4</v>
      </c>
      <c r="AN42" s="6" t="s">
        <v>3</v>
      </c>
    </row>
    <row r="43" spans="1:40">
      <c r="A43" s="6">
        <f t="shared" si="0"/>
        <v>42</v>
      </c>
      <c r="B43" s="6" t="s">
        <v>25</v>
      </c>
      <c r="C43" s="6" t="s">
        <v>537</v>
      </c>
      <c r="D43" s="6">
        <v>4</v>
      </c>
      <c r="E43" s="6" t="s">
        <v>5</v>
      </c>
      <c r="F43" s="6" t="s">
        <v>5</v>
      </c>
      <c r="G43" s="6" t="s">
        <v>5</v>
      </c>
      <c r="H43" s="6" t="s">
        <v>5</v>
      </c>
      <c r="I43" s="6" t="s">
        <v>5</v>
      </c>
      <c r="J43" s="6" t="s">
        <v>5</v>
      </c>
      <c r="K43" s="6" t="s">
        <v>5</v>
      </c>
      <c r="L43" s="6" t="s">
        <v>2</v>
      </c>
      <c r="M43" s="6" t="s">
        <v>5</v>
      </c>
      <c r="N43" s="6" t="s">
        <v>5</v>
      </c>
      <c r="O43" s="6" t="s">
        <v>3</v>
      </c>
      <c r="P43" s="6" t="s">
        <v>5</v>
      </c>
      <c r="Q43" s="6" t="s">
        <v>5</v>
      </c>
      <c r="R43" s="6" t="s">
        <v>2</v>
      </c>
      <c r="S43" s="6" t="s">
        <v>2</v>
      </c>
      <c r="T43" s="6" t="s">
        <v>5</v>
      </c>
      <c r="U43" s="6" t="s">
        <v>5</v>
      </c>
      <c r="V43" s="6" t="s">
        <v>5</v>
      </c>
      <c r="W43" s="6" t="s">
        <v>5</v>
      </c>
      <c r="X43" s="6" t="s">
        <v>4</v>
      </c>
      <c r="Y43" s="6" t="s">
        <v>3</v>
      </c>
      <c r="Z43" s="6" t="s">
        <v>2</v>
      </c>
      <c r="AA43" s="6" t="s">
        <v>3</v>
      </c>
      <c r="AB43" s="6" t="s">
        <v>4</v>
      </c>
      <c r="AC43" s="6" t="s">
        <v>4</v>
      </c>
      <c r="AD43" s="6" t="s">
        <v>4</v>
      </c>
      <c r="AE43" s="6" t="s">
        <v>4</v>
      </c>
      <c r="AF43" s="6" t="s">
        <v>4</v>
      </c>
      <c r="AG43" s="6" t="s">
        <v>4</v>
      </c>
      <c r="AH43" s="6" t="s">
        <v>3</v>
      </c>
      <c r="AI43" s="6" t="s">
        <v>4</v>
      </c>
      <c r="AJ43" s="6" t="s">
        <v>3</v>
      </c>
      <c r="AK43" s="6" t="s">
        <v>4</v>
      </c>
      <c r="AL43" s="6" t="s">
        <v>4</v>
      </c>
      <c r="AM43" s="6" t="s">
        <v>3</v>
      </c>
      <c r="AN43" s="6" t="s">
        <v>3</v>
      </c>
    </row>
    <row r="44" spans="1:40">
      <c r="A44" s="6">
        <f t="shared" si="0"/>
        <v>43</v>
      </c>
      <c r="B44" s="6" t="s">
        <v>26</v>
      </c>
      <c r="C44" s="6" t="s">
        <v>537</v>
      </c>
      <c r="D44" s="6">
        <v>4</v>
      </c>
      <c r="E44" s="6" t="s">
        <v>3</v>
      </c>
      <c r="F44" s="6" t="s">
        <v>3</v>
      </c>
      <c r="G44" s="6" t="s">
        <v>3</v>
      </c>
      <c r="H44" s="6" t="s">
        <v>5</v>
      </c>
      <c r="I44" s="6" t="s">
        <v>5</v>
      </c>
      <c r="J44" s="6" t="s">
        <v>5</v>
      </c>
      <c r="K44" s="6" t="s">
        <v>5</v>
      </c>
      <c r="L44" s="6" t="s">
        <v>2</v>
      </c>
      <c r="M44" s="6" t="s">
        <v>2</v>
      </c>
      <c r="N44" s="6" t="s">
        <v>4</v>
      </c>
      <c r="O44" s="6" t="s">
        <v>4</v>
      </c>
      <c r="P44" s="6" t="s">
        <v>5</v>
      </c>
      <c r="Q44" s="6" t="s">
        <v>5</v>
      </c>
      <c r="R44" s="6" t="s">
        <v>3</v>
      </c>
      <c r="S44" s="6" t="s">
        <v>2</v>
      </c>
      <c r="T44" s="6" t="s">
        <v>5</v>
      </c>
      <c r="U44" s="6" t="s">
        <v>5</v>
      </c>
      <c r="V44" s="6" t="s">
        <v>5</v>
      </c>
      <c r="W44" s="6" t="s">
        <v>4</v>
      </c>
      <c r="X44" s="6" t="s">
        <v>4</v>
      </c>
      <c r="Y44" s="6" t="s">
        <v>3</v>
      </c>
      <c r="Z44" s="6" t="s">
        <v>4</v>
      </c>
      <c r="AA44" s="6" t="s">
        <v>3</v>
      </c>
      <c r="AB44" s="6" t="s">
        <v>4</v>
      </c>
      <c r="AC44" s="6" t="s">
        <v>4</v>
      </c>
      <c r="AD44" s="6" t="s">
        <v>4</v>
      </c>
      <c r="AE44" s="6" t="s">
        <v>4</v>
      </c>
      <c r="AF44" s="6" t="s">
        <v>4</v>
      </c>
      <c r="AG44" s="6" t="s">
        <v>3</v>
      </c>
      <c r="AH44" s="6" t="s">
        <v>3</v>
      </c>
      <c r="AI44" s="6" t="s">
        <v>4</v>
      </c>
      <c r="AJ44" s="6" t="s">
        <v>3</v>
      </c>
      <c r="AK44" s="6" t="s">
        <v>4</v>
      </c>
      <c r="AL44" s="6" t="s">
        <v>4</v>
      </c>
      <c r="AM44" s="6" t="s">
        <v>4</v>
      </c>
      <c r="AN44" s="6" t="s">
        <v>3</v>
      </c>
    </row>
    <row r="45" spans="1:40">
      <c r="A45" s="6">
        <f t="shared" si="0"/>
        <v>44</v>
      </c>
      <c r="B45" s="6" t="s">
        <v>27</v>
      </c>
      <c r="C45" s="6" t="s">
        <v>537</v>
      </c>
      <c r="D45" s="6">
        <v>4</v>
      </c>
      <c r="E45" s="6" t="s">
        <v>5</v>
      </c>
      <c r="F45" s="6" t="s">
        <v>3</v>
      </c>
      <c r="G45" s="6" t="s">
        <v>4</v>
      </c>
      <c r="H45" s="6" t="s">
        <v>3</v>
      </c>
      <c r="I45" s="6" t="s">
        <v>5</v>
      </c>
      <c r="J45" s="6" t="s">
        <v>5</v>
      </c>
      <c r="K45" s="6" t="s">
        <v>5</v>
      </c>
      <c r="L45" s="6" t="s">
        <v>2</v>
      </c>
      <c r="M45" s="6" t="s">
        <v>3</v>
      </c>
      <c r="N45" s="6" t="s">
        <v>3</v>
      </c>
      <c r="O45" s="6" t="s">
        <v>4</v>
      </c>
      <c r="P45" s="6" t="s">
        <v>5</v>
      </c>
      <c r="Q45" s="6" t="s">
        <v>4</v>
      </c>
      <c r="R45" s="6" t="s">
        <v>2</v>
      </c>
      <c r="S45" s="6" t="s">
        <v>5</v>
      </c>
      <c r="T45" s="6" t="s">
        <v>5</v>
      </c>
      <c r="U45" s="6" t="s">
        <v>5</v>
      </c>
      <c r="V45" s="6" t="s">
        <v>5</v>
      </c>
      <c r="W45" s="6" t="s">
        <v>4</v>
      </c>
      <c r="X45" s="6" t="s">
        <v>4</v>
      </c>
      <c r="Y45" s="6" t="s">
        <v>4</v>
      </c>
      <c r="Z45" s="6" t="s">
        <v>2</v>
      </c>
      <c r="AA45" s="6" t="s">
        <v>3</v>
      </c>
      <c r="AB45" s="6" t="s">
        <v>4</v>
      </c>
      <c r="AC45" s="6" t="s">
        <v>4</v>
      </c>
      <c r="AD45" s="6" t="s">
        <v>4</v>
      </c>
      <c r="AE45" s="6" t="s">
        <v>4</v>
      </c>
      <c r="AF45" s="6" t="s">
        <v>4</v>
      </c>
      <c r="AG45" s="6" t="s">
        <v>4</v>
      </c>
      <c r="AH45" s="6" t="s">
        <v>4</v>
      </c>
      <c r="AI45" s="6" t="s">
        <v>4</v>
      </c>
      <c r="AJ45" s="6" t="s">
        <v>3</v>
      </c>
      <c r="AK45" s="6" t="s">
        <v>4</v>
      </c>
      <c r="AL45" s="6" t="s">
        <v>4</v>
      </c>
      <c r="AM45" s="6" t="s">
        <v>4</v>
      </c>
      <c r="AN45" s="6" t="s">
        <v>3</v>
      </c>
    </row>
    <row r="46" spans="1:40">
      <c r="A46" s="6">
        <f t="shared" si="0"/>
        <v>45</v>
      </c>
      <c r="B46" s="6" t="s">
        <v>28</v>
      </c>
      <c r="C46" s="6" t="s">
        <v>537</v>
      </c>
      <c r="D46" s="6">
        <v>4</v>
      </c>
      <c r="E46" s="6" t="s">
        <v>5</v>
      </c>
      <c r="F46" s="6" t="s">
        <v>3</v>
      </c>
      <c r="G46" s="6" t="s">
        <v>2</v>
      </c>
      <c r="H46" s="6" t="s">
        <v>5</v>
      </c>
      <c r="I46" s="6" t="s">
        <v>5</v>
      </c>
      <c r="J46" s="6" t="s">
        <v>5</v>
      </c>
      <c r="K46" s="6" t="s">
        <v>2</v>
      </c>
      <c r="L46" s="6" t="s">
        <v>2</v>
      </c>
      <c r="M46" s="6" t="s">
        <v>3</v>
      </c>
      <c r="N46" s="6" t="s">
        <v>3</v>
      </c>
      <c r="O46" s="6" t="s">
        <v>3</v>
      </c>
      <c r="P46" s="6" t="s">
        <v>3</v>
      </c>
      <c r="Q46" s="6" t="s">
        <v>2</v>
      </c>
      <c r="R46" s="6" t="s">
        <v>2</v>
      </c>
      <c r="S46" s="6" t="s">
        <v>2</v>
      </c>
      <c r="T46" s="6" t="s">
        <v>5</v>
      </c>
      <c r="U46" s="6" t="s">
        <v>2</v>
      </c>
      <c r="V46" s="6" t="s">
        <v>2</v>
      </c>
      <c r="W46" s="6" t="s">
        <v>5</v>
      </c>
      <c r="X46" s="6" t="s">
        <v>3</v>
      </c>
      <c r="Y46" s="6" t="s">
        <v>2</v>
      </c>
      <c r="Z46" s="6" t="s">
        <v>2</v>
      </c>
      <c r="AA46" s="6" t="s">
        <v>3</v>
      </c>
      <c r="AB46" s="6" t="s">
        <v>4</v>
      </c>
      <c r="AC46" s="6" t="s">
        <v>4</v>
      </c>
      <c r="AD46" s="6" t="s">
        <v>4</v>
      </c>
      <c r="AE46" s="6" t="s">
        <v>4</v>
      </c>
      <c r="AF46" s="6" t="s">
        <v>4</v>
      </c>
      <c r="AG46" s="6" t="s">
        <v>4</v>
      </c>
      <c r="AH46" s="6" t="s">
        <v>3</v>
      </c>
      <c r="AI46" s="6" t="s">
        <v>4</v>
      </c>
      <c r="AJ46" s="6" t="s">
        <v>3</v>
      </c>
      <c r="AK46" s="6" t="s">
        <v>4</v>
      </c>
      <c r="AL46" s="6" t="s">
        <v>4</v>
      </c>
      <c r="AM46" s="6" t="s">
        <v>4</v>
      </c>
      <c r="AN46" s="6" t="s">
        <v>3</v>
      </c>
    </row>
    <row r="47" spans="1:40">
      <c r="A47" s="6">
        <f t="shared" si="0"/>
        <v>46</v>
      </c>
      <c r="B47" s="6" t="s">
        <v>267</v>
      </c>
      <c r="C47" s="6" t="s">
        <v>537</v>
      </c>
      <c r="D47" s="6">
        <v>4</v>
      </c>
      <c r="E47" s="6" t="s">
        <v>5</v>
      </c>
      <c r="F47" s="6" t="s">
        <v>3</v>
      </c>
      <c r="G47" s="6" t="s">
        <v>3</v>
      </c>
      <c r="H47" s="6" t="s">
        <v>2</v>
      </c>
      <c r="I47" s="6" t="s">
        <v>5</v>
      </c>
      <c r="J47" s="6" t="s">
        <v>5</v>
      </c>
      <c r="K47" s="6" t="s">
        <v>5</v>
      </c>
      <c r="L47" s="6" t="s">
        <v>2</v>
      </c>
      <c r="M47" s="6" t="s">
        <v>2</v>
      </c>
      <c r="N47" s="6" t="s">
        <v>2</v>
      </c>
      <c r="O47" s="6" t="s">
        <v>3</v>
      </c>
      <c r="P47" s="6" t="s">
        <v>5</v>
      </c>
      <c r="Q47" s="6" t="s">
        <v>5</v>
      </c>
      <c r="R47" s="6" t="s">
        <v>2</v>
      </c>
      <c r="S47" s="6" t="s">
        <v>2</v>
      </c>
      <c r="T47" s="6" t="s">
        <v>5</v>
      </c>
      <c r="U47" s="6" t="s">
        <v>5</v>
      </c>
      <c r="V47" s="6" t="s">
        <v>5</v>
      </c>
      <c r="W47" s="6" t="s">
        <v>5</v>
      </c>
      <c r="X47" s="6" t="s">
        <v>3</v>
      </c>
      <c r="Y47" s="6" t="s">
        <v>3</v>
      </c>
      <c r="Z47" s="6" t="s">
        <v>2</v>
      </c>
      <c r="AA47" s="6" t="s">
        <v>3</v>
      </c>
      <c r="AB47" s="6" t="s">
        <v>4</v>
      </c>
      <c r="AC47" s="6" t="s">
        <v>4</v>
      </c>
      <c r="AD47" s="6" t="s">
        <v>4</v>
      </c>
      <c r="AE47" s="6" t="s">
        <v>4</v>
      </c>
      <c r="AF47" s="6" t="s">
        <v>4</v>
      </c>
      <c r="AG47" s="6" t="s">
        <v>3</v>
      </c>
      <c r="AH47" s="6" t="s">
        <v>3</v>
      </c>
      <c r="AI47" s="6" t="s">
        <v>4</v>
      </c>
      <c r="AJ47" s="6" t="s">
        <v>3</v>
      </c>
      <c r="AK47" s="6" t="s">
        <v>4</v>
      </c>
      <c r="AL47" s="6" t="s">
        <v>4</v>
      </c>
      <c r="AM47" s="6" t="s">
        <v>3</v>
      </c>
      <c r="AN47" s="6" t="s">
        <v>3</v>
      </c>
    </row>
    <row r="48" spans="1:40">
      <c r="A48" s="6">
        <f t="shared" si="0"/>
        <v>47</v>
      </c>
      <c r="B48" s="6" t="s">
        <v>268</v>
      </c>
      <c r="C48" s="6" t="s">
        <v>537</v>
      </c>
      <c r="D48" s="6">
        <v>4</v>
      </c>
      <c r="E48" s="6" t="s">
        <v>2</v>
      </c>
      <c r="F48" s="6" t="s">
        <v>3</v>
      </c>
      <c r="G48" s="6" t="s">
        <v>3</v>
      </c>
      <c r="H48" s="6" t="s">
        <v>5</v>
      </c>
      <c r="I48" s="6" t="s">
        <v>5</v>
      </c>
      <c r="J48" s="6" t="s">
        <v>5</v>
      </c>
      <c r="K48" s="6" t="s">
        <v>5</v>
      </c>
      <c r="L48" s="6" t="s">
        <v>2</v>
      </c>
      <c r="M48" s="6" t="s">
        <v>2</v>
      </c>
      <c r="N48" s="6" t="s">
        <v>4</v>
      </c>
      <c r="O48" s="6" t="s">
        <v>4</v>
      </c>
      <c r="P48" s="6" t="s">
        <v>4</v>
      </c>
      <c r="Q48" s="6" t="s">
        <v>5</v>
      </c>
      <c r="R48" s="6" t="s">
        <v>3</v>
      </c>
      <c r="S48" s="6" t="s">
        <v>4</v>
      </c>
      <c r="T48" s="6" t="s">
        <v>5</v>
      </c>
      <c r="U48" s="6" t="s">
        <v>5</v>
      </c>
      <c r="V48" s="6" t="s">
        <v>5</v>
      </c>
      <c r="W48" s="6" t="s">
        <v>4</v>
      </c>
      <c r="X48" s="6" t="s">
        <v>4</v>
      </c>
      <c r="Y48" s="6" t="s">
        <v>3</v>
      </c>
      <c r="Z48" s="6" t="s">
        <v>2</v>
      </c>
      <c r="AA48" s="6" t="s">
        <v>3</v>
      </c>
      <c r="AB48" s="6" t="s">
        <v>4</v>
      </c>
      <c r="AC48" s="6" t="s">
        <v>4</v>
      </c>
      <c r="AD48" s="6" t="s">
        <v>4</v>
      </c>
      <c r="AE48" s="6" t="s">
        <v>3</v>
      </c>
      <c r="AF48" s="6" t="s">
        <v>4</v>
      </c>
      <c r="AG48" s="6" t="s">
        <v>4</v>
      </c>
      <c r="AH48" s="6" t="s">
        <v>3</v>
      </c>
      <c r="AI48" s="6" t="s">
        <v>4</v>
      </c>
      <c r="AJ48" s="6" t="s">
        <v>3</v>
      </c>
      <c r="AK48" s="6" t="s">
        <v>3</v>
      </c>
      <c r="AL48" s="6" t="s">
        <v>4</v>
      </c>
      <c r="AM48" s="6" t="s">
        <v>4</v>
      </c>
      <c r="AN48" s="6" t="s">
        <v>3</v>
      </c>
    </row>
    <row r="49" spans="1:40">
      <c r="A49" s="6">
        <f t="shared" si="0"/>
        <v>48</v>
      </c>
      <c r="B49" s="6" t="s">
        <v>269</v>
      </c>
      <c r="C49" s="6" t="s">
        <v>537</v>
      </c>
      <c r="D49" s="6">
        <v>4</v>
      </c>
      <c r="E49" s="6" t="s">
        <v>3</v>
      </c>
      <c r="F49" s="6" t="s">
        <v>3</v>
      </c>
      <c r="G49" s="6" t="s">
        <v>4</v>
      </c>
      <c r="H49" s="6" t="s">
        <v>2</v>
      </c>
      <c r="I49" s="6" t="s">
        <v>5</v>
      </c>
      <c r="J49" s="6" t="s">
        <v>5</v>
      </c>
      <c r="K49" s="6" t="s">
        <v>5</v>
      </c>
      <c r="L49" s="6" t="s">
        <v>2</v>
      </c>
      <c r="M49" s="6" t="s">
        <v>2</v>
      </c>
      <c r="N49" s="6" t="s">
        <v>2</v>
      </c>
      <c r="O49" s="6" t="s">
        <v>5</v>
      </c>
      <c r="P49" s="6" t="s">
        <v>2</v>
      </c>
      <c r="Q49" s="6" t="s">
        <v>5</v>
      </c>
      <c r="R49" s="6" t="s">
        <v>3</v>
      </c>
      <c r="S49" s="6" t="s">
        <v>3</v>
      </c>
      <c r="T49" s="6" t="s">
        <v>5</v>
      </c>
      <c r="U49" s="6" t="s">
        <v>5</v>
      </c>
      <c r="V49" s="6" t="s">
        <v>5</v>
      </c>
      <c r="W49" s="6" t="s">
        <v>5</v>
      </c>
      <c r="X49" s="6" t="s">
        <v>4</v>
      </c>
      <c r="Y49" s="6" t="s">
        <v>4</v>
      </c>
      <c r="Z49" s="6" t="s">
        <v>2</v>
      </c>
      <c r="AA49" s="6" t="s">
        <v>3</v>
      </c>
      <c r="AB49" s="6" t="s">
        <v>4</v>
      </c>
      <c r="AC49" s="6" t="s">
        <v>4</v>
      </c>
      <c r="AD49" s="6" t="s">
        <v>4</v>
      </c>
      <c r="AE49" s="6" t="s">
        <v>3</v>
      </c>
      <c r="AF49" s="6" t="s">
        <v>4</v>
      </c>
      <c r="AG49" s="6" t="s">
        <v>4</v>
      </c>
      <c r="AH49" s="6" t="s">
        <v>3</v>
      </c>
      <c r="AI49" s="6" t="s">
        <v>4</v>
      </c>
      <c r="AJ49" s="6" t="s">
        <v>3</v>
      </c>
      <c r="AK49" s="6" t="s">
        <v>3</v>
      </c>
      <c r="AL49" s="6" t="s">
        <v>4</v>
      </c>
      <c r="AM49" s="6" t="s">
        <v>3</v>
      </c>
      <c r="AN49" s="6" t="s">
        <v>3</v>
      </c>
    </row>
    <row r="50" spans="1:40">
      <c r="A50" s="6">
        <f t="shared" si="0"/>
        <v>49</v>
      </c>
      <c r="B50" s="6" t="s">
        <v>270</v>
      </c>
      <c r="C50" s="6" t="s">
        <v>537</v>
      </c>
      <c r="D50" s="6">
        <v>4</v>
      </c>
      <c r="E50" s="6" t="s">
        <v>5</v>
      </c>
      <c r="F50" s="6" t="s">
        <v>3</v>
      </c>
      <c r="G50" s="6" t="s">
        <v>2</v>
      </c>
      <c r="H50" s="6" t="s">
        <v>5</v>
      </c>
      <c r="I50" s="6" t="s">
        <v>5</v>
      </c>
      <c r="J50" s="6" t="s">
        <v>5</v>
      </c>
      <c r="K50" s="6" t="s">
        <v>5</v>
      </c>
      <c r="L50" s="6" t="s">
        <v>2</v>
      </c>
      <c r="M50" s="6" t="s">
        <v>2</v>
      </c>
      <c r="N50" s="6" t="s">
        <v>2</v>
      </c>
      <c r="O50" s="6" t="s">
        <v>3</v>
      </c>
      <c r="P50" s="6" t="s">
        <v>5</v>
      </c>
      <c r="Q50" s="6" t="s">
        <v>5</v>
      </c>
      <c r="R50" s="6" t="s">
        <v>2</v>
      </c>
      <c r="S50" s="6" t="s">
        <v>2</v>
      </c>
      <c r="T50" s="6" t="s">
        <v>5</v>
      </c>
      <c r="U50" s="6" t="s">
        <v>5</v>
      </c>
      <c r="V50" s="6" t="s">
        <v>5</v>
      </c>
      <c r="W50" s="6" t="s">
        <v>5</v>
      </c>
      <c r="X50" s="6" t="s">
        <v>3</v>
      </c>
      <c r="Y50" s="6" t="s">
        <v>3</v>
      </c>
      <c r="Z50" s="6" t="s">
        <v>2</v>
      </c>
      <c r="AA50" s="6" t="s">
        <v>3</v>
      </c>
      <c r="AB50" s="6" t="s">
        <v>4</v>
      </c>
      <c r="AC50" s="6" t="s">
        <v>4</v>
      </c>
      <c r="AD50" s="6" t="s">
        <v>4</v>
      </c>
      <c r="AE50" s="6" t="s">
        <v>4</v>
      </c>
      <c r="AF50" s="6" t="s">
        <v>4</v>
      </c>
      <c r="AG50" s="6" t="s">
        <v>3</v>
      </c>
      <c r="AH50" s="6" t="s">
        <v>3</v>
      </c>
      <c r="AI50" s="6" t="s">
        <v>4</v>
      </c>
      <c r="AJ50" s="6" t="s">
        <v>3</v>
      </c>
      <c r="AK50" s="6" t="s">
        <v>3</v>
      </c>
      <c r="AL50" s="6" t="s">
        <v>4</v>
      </c>
      <c r="AM50" s="6" t="s">
        <v>3</v>
      </c>
      <c r="AN50" s="6" t="s">
        <v>3</v>
      </c>
    </row>
    <row r="51" spans="1:40">
      <c r="A51" s="6">
        <f t="shared" si="0"/>
        <v>50</v>
      </c>
      <c r="B51" s="6" t="s">
        <v>469</v>
      </c>
      <c r="C51" s="6" t="s">
        <v>537</v>
      </c>
      <c r="D51" s="6">
        <v>4</v>
      </c>
      <c r="E51" s="6" t="s">
        <v>5</v>
      </c>
      <c r="F51" s="6" t="s">
        <v>5</v>
      </c>
      <c r="G51" s="6" t="s">
        <v>2</v>
      </c>
      <c r="H51" s="6" t="s">
        <v>3</v>
      </c>
      <c r="I51" s="6" t="s">
        <v>5</v>
      </c>
      <c r="J51" s="6" t="s">
        <v>5</v>
      </c>
      <c r="K51" s="6" t="s">
        <v>5</v>
      </c>
      <c r="L51" s="6" t="s">
        <v>2</v>
      </c>
      <c r="M51" s="6" t="s">
        <v>3</v>
      </c>
      <c r="N51" s="6" t="s">
        <v>3</v>
      </c>
      <c r="O51" s="6" t="s">
        <v>5</v>
      </c>
      <c r="P51" s="6" t="s">
        <v>2</v>
      </c>
      <c r="Q51" s="6" t="s">
        <v>5</v>
      </c>
      <c r="R51" s="6" t="s">
        <v>3</v>
      </c>
      <c r="S51" s="6" t="s">
        <v>2</v>
      </c>
      <c r="T51" s="6" t="s">
        <v>5</v>
      </c>
      <c r="U51" s="6" t="s">
        <v>5</v>
      </c>
      <c r="V51" s="6" t="s">
        <v>5</v>
      </c>
      <c r="W51" s="6" t="s">
        <v>5</v>
      </c>
      <c r="X51" s="6" t="s">
        <v>3</v>
      </c>
      <c r="Y51" s="6" t="s">
        <v>4</v>
      </c>
      <c r="Z51" s="6" t="s">
        <v>4</v>
      </c>
      <c r="AA51" s="6" t="s">
        <v>3</v>
      </c>
      <c r="AB51" s="6" t="s">
        <v>4</v>
      </c>
      <c r="AC51" s="6" t="s">
        <v>4</v>
      </c>
      <c r="AD51" s="6" t="s">
        <v>4</v>
      </c>
      <c r="AE51" s="6" t="s">
        <v>4</v>
      </c>
      <c r="AF51" s="6" t="s">
        <v>4</v>
      </c>
      <c r="AG51" s="6" t="s">
        <v>4</v>
      </c>
      <c r="AH51" s="6" t="s">
        <v>3</v>
      </c>
      <c r="AI51" s="6" t="s">
        <v>4</v>
      </c>
      <c r="AJ51" s="6" t="s">
        <v>3</v>
      </c>
      <c r="AK51" s="6" t="s">
        <v>4</v>
      </c>
      <c r="AL51" s="6" t="s">
        <v>4</v>
      </c>
      <c r="AM51" s="6" t="s">
        <v>3</v>
      </c>
      <c r="AN51" s="6" t="s">
        <v>3</v>
      </c>
    </row>
    <row r="52" spans="1:40">
      <c r="A52" s="6">
        <f t="shared" si="0"/>
        <v>51</v>
      </c>
      <c r="B52" s="6" t="s">
        <v>470</v>
      </c>
      <c r="C52" s="6" t="s">
        <v>537</v>
      </c>
      <c r="D52" s="6">
        <v>4</v>
      </c>
      <c r="E52" s="6" t="s">
        <v>5</v>
      </c>
      <c r="F52" s="6" t="s">
        <v>5</v>
      </c>
      <c r="G52" s="6" t="s">
        <v>5</v>
      </c>
      <c r="H52" s="6" t="s">
        <v>5</v>
      </c>
      <c r="I52" s="6" t="s">
        <v>5</v>
      </c>
      <c r="J52" s="6" t="s">
        <v>5</v>
      </c>
      <c r="K52" s="6" t="s">
        <v>5</v>
      </c>
      <c r="L52" s="6" t="s">
        <v>2</v>
      </c>
      <c r="M52" s="6" t="s">
        <v>2</v>
      </c>
      <c r="N52" s="6" t="s">
        <v>2</v>
      </c>
      <c r="O52" s="6" t="s">
        <v>3</v>
      </c>
      <c r="P52" s="6" t="s">
        <v>3</v>
      </c>
      <c r="Q52" s="6" t="s">
        <v>5</v>
      </c>
      <c r="R52" s="6" t="s">
        <v>3</v>
      </c>
      <c r="S52" s="6" t="s">
        <v>3</v>
      </c>
      <c r="T52" s="6" t="s">
        <v>5</v>
      </c>
      <c r="U52" s="6" t="s">
        <v>5</v>
      </c>
      <c r="V52" s="6" t="s">
        <v>5</v>
      </c>
      <c r="W52" s="6" t="s">
        <v>5</v>
      </c>
      <c r="X52" s="6" t="s">
        <v>4</v>
      </c>
      <c r="Y52" s="6" t="s">
        <v>4</v>
      </c>
      <c r="Z52" s="6" t="s">
        <v>2</v>
      </c>
      <c r="AA52" s="6" t="s">
        <v>3</v>
      </c>
      <c r="AB52" s="6" t="s">
        <v>3</v>
      </c>
      <c r="AC52" s="6" t="s">
        <v>3</v>
      </c>
      <c r="AD52" s="6" t="s">
        <v>4</v>
      </c>
      <c r="AE52" s="6" t="s">
        <v>4</v>
      </c>
      <c r="AF52" s="6" t="s">
        <v>4</v>
      </c>
      <c r="AG52" s="6" t="s">
        <v>4</v>
      </c>
      <c r="AH52" s="6" t="s">
        <v>3</v>
      </c>
      <c r="AI52" s="6" t="s">
        <v>4</v>
      </c>
      <c r="AJ52" s="6" t="s">
        <v>3</v>
      </c>
      <c r="AK52" s="6" t="s">
        <v>3</v>
      </c>
      <c r="AL52" s="6" t="s">
        <v>4</v>
      </c>
      <c r="AM52" s="6" t="s">
        <v>4</v>
      </c>
      <c r="AN52" s="6" t="s">
        <v>3</v>
      </c>
    </row>
    <row r="53" spans="1:40">
      <c r="A53" s="6">
        <f t="shared" si="0"/>
        <v>52</v>
      </c>
      <c r="B53" s="6" t="s">
        <v>487</v>
      </c>
      <c r="C53" s="6" t="s">
        <v>537</v>
      </c>
      <c r="D53" s="6">
        <v>4</v>
      </c>
      <c r="E53" s="6" t="s">
        <v>5</v>
      </c>
      <c r="F53" s="6" t="s">
        <v>5</v>
      </c>
      <c r="G53" s="6" t="s">
        <v>4</v>
      </c>
      <c r="H53" s="6" t="s">
        <v>5</v>
      </c>
      <c r="I53" s="6" t="s">
        <v>5</v>
      </c>
      <c r="J53" s="6" t="s">
        <v>5</v>
      </c>
      <c r="K53" s="6" t="s">
        <v>5</v>
      </c>
      <c r="L53" s="6" t="s">
        <v>2</v>
      </c>
      <c r="M53" s="6" t="s">
        <v>2</v>
      </c>
      <c r="N53" s="6" t="s">
        <v>4</v>
      </c>
      <c r="O53" s="6" t="s">
        <v>4</v>
      </c>
      <c r="P53" s="6" t="s">
        <v>4</v>
      </c>
      <c r="Q53" s="6" t="s">
        <v>5</v>
      </c>
      <c r="R53" s="6" t="s">
        <v>4</v>
      </c>
      <c r="S53" s="6" t="s">
        <v>5</v>
      </c>
      <c r="T53" s="6" t="s">
        <v>5</v>
      </c>
      <c r="U53" s="6" t="s">
        <v>3</v>
      </c>
      <c r="V53" s="6" t="s">
        <v>5</v>
      </c>
      <c r="W53" s="6" t="s">
        <v>3</v>
      </c>
      <c r="X53" s="6" t="s">
        <v>4</v>
      </c>
      <c r="Y53" s="6" t="s">
        <v>4</v>
      </c>
      <c r="Z53" s="6" t="s">
        <v>2</v>
      </c>
      <c r="AA53" s="6" t="s">
        <v>3</v>
      </c>
      <c r="AB53" s="6" t="s">
        <v>4</v>
      </c>
      <c r="AC53" s="6" t="s">
        <v>4</v>
      </c>
      <c r="AD53" s="6" t="s">
        <v>4</v>
      </c>
      <c r="AE53" s="6" t="s">
        <v>4</v>
      </c>
      <c r="AF53" s="6" t="s">
        <v>4</v>
      </c>
      <c r="AG53" s="6" t="s">
        <v>3</v>
      </c>
      <c r="AH53" s="6" t="s">
        <v>3</v>
      </c>
      <c r="AI53" s="6" t="s">
        <v>4</v>
      </c>
      <c r="AJ53" s="6" t="s">
        <v>3</v>
      </c>
      <c r="AK53" s="6" t="s">
        <v>4</v>
      </c>
      <c r="AL53" s="6" t="s">
        <v>4</v>
      </c>
      <c r="AM53" s="6" t="s">
        <v>4</v>
      </c>
      <c r="AN53" s="6" t="s">
        <v>3</v>
      </c>
    </row>
    <row r="54" spans="1:40">
      <c r="A54" s="6">
        <f t="shared" si="0"/>
        <v>53</v>
      </c>
      <c r="B54" s="6" t="s">
        <v>29</v>
      </c>
      <c r="C54" s="6" t="s">
        <v>537</v>
      </c>
      <c r="D54" s="6">
        <v>5</v>
      </c>
      <c r="E54" s="6" t="s">
        <v>5</v>
      </c>
      <c r="F54" s="6" t="s">
        <v>3</v>
      </c>
      <c r="G54" s="6" t="s">
        <v>5</v>
      </c>
      <c r="H54" s="6" t="s">
        <v>5</v>
      </c>
      <c r="I54" s="6" t="s">
        <v>5</v>
      </c>
      <c r="J54" s="6" t="s">
        <v>5</v>
      </c>
      <c r="K54" s="6" t="s">
        <v>5</v>
      </c>
      <c r="L54" s="6" t="s">
        <v>2</v>
      </c>
      <c r="M54" s="6" t="s">
        <v>2</v>
      </c>
      <c r="N54" s="6" t="s">
        <v>4</v>
      </c>
      <c r="O54" s="6" t="s">
        <v>4</v>
      </c>
      <c r="P54" s="6" t="s">
        <v>3</v>
      </c>
      <c r="Q54" s="6" t="s">
        <v>5</v>
      </c>
      <c r="R54" s="6" t="s">
        <v>2</v>
      </c>
      <c r="S54" s="6" t="s">
        <v>5</v>
      </c>
      <c r="T54" s="6" t="s">
        <v>2</v>
      </c>
      <c r="U54" s="6" t="s">
        <v>2</v>
      </c>
      <c r="V54" s="6" t="s">
        <v>5</v>
      </c>
      <c r="W54" s="6" t="s">
        <v>4</v>
      </c>
      <c r="X54" s="6" t="s">
        <v>3</v>
      </c>
      <c r="Y54" s="6" t="s">
        <v>3</v>
      </c>
      <c r="Z54" s="6" t="s">
        <v>4</v>
      </c>
      <c r="AA54" s="6" t="s">
        <v>3</v>
      </c>
      <c r="AB54" s="6" t="s">
        <v>4</v>
      </c>
      <c r="AC54" s="6" t="s">
        <v>4</v>
      </c>
      <c r="AD54" s="6" t="s">
        <v>4</v>
      </c>
      <c r="AE54" s="6" t="s">
        <v>4</v>
      </c>
      <c r="AF54" s="6" t="s">
        <v>4</v>
      </c>
      <c r="AG54" s="6" t="s">
        <v>4</v>
      </c>
      <c r="AH54" s="6" t="s">
        <v>3</v>
      </c>
      <c r="AI54" s="6" t="s">
        <v>4</v>
      </c>
      <c r="AJ54" s="6" t="s">
        <v>3</v>
      </c>
      <c r="AK54" s="6" t="s">
        <v>4</v>
      </c>
      <c r="AL54" s="6" t="s">
        <v>4</v>
      </c>
      <c r="AM54" s="6" t="s">
        <v>4</v>
      </c>
      <c r="AN54" s="6" t="s">
        <v>3</v>
      </c>
    </row>
    <row r="55" spans="1:40">
      <c r="A55" s="6">
        <f t="shared" si="0"/>
        <v>54</v>
      </c>
      <c r="B55" s="6" t="s">
        <v>30</v>
      </c>
      <c r="C55" s="6" t="s">
        <v>537</v>
      </c>
      <c r="D55" s="6">
        <v>5</v>
      </c>
      <c r="E55" s="6" t="s">
        <v>2</v>
      </c>
      <c r="F55" s="6" t="s">
        <v>5</v>
      </c>
      <c r="G55" s="6" t="s">
        <v>3</v>
      </c>
      <c r="H55" s="6" t="s">
        <v>5</v>
      </c>
      <c r="I55" s="6" t="s">
        <v>5</v>
      </c>
      <c r="J55" s="6" t="s">
        <v>3</v>
      </c>
      <c r="K55" s="6" t="s">
        <v>5</v>
      </c>
      <c r="L55" s="6" t="s">
        <v>2</v>
      </c>
      <c r="M55" s="6" t="s">
        <v>2</v>
      </c>
      <c r="N55" s="6" t="s">
        <v>5</v>
      </c>
      <c r="O55" s="6" t="s">
        <v>2</v>
      </c>
      <c r="P55" s="6" t="s">
        <v>2</v>
      </c>
      <c r="Q55" s="6" t="s">
        <v>4</v>
      </c>
      <c r="R55" s="6" t="s">
        <v>3</v>
      </c>
      <c r="S55" s="6" t="s">
        <v>2</v>
      </c>
      <c r="T55" s="6" t="s">
        <v>5</v>
      </c>
      <c r="U55" s="6" t="s">
        <v>5</v>
      </c>
      <c r="V55" s="6" t="s">
        <v>5</v>
      </c>
      <c r="W55" s="6" t="s">
        <v>3</v>
      </c>
      <c r="X55" s="6" t="s">
        <v>3</v>
      </c>
      <c r="Y55" s="6" t="s">
        <v>3</v>
      </c>
      <c r="Z55" s="6" t="s">
        <v>4</v>
      </c>
      <c r="AA55" s="6" t="s">
        <v>3</v>
      </c>
      <c r="AB55" s="6" t="s">
        <v>4</v>
      </c>
      <c r="AC55" s="6" t="s">
        <v>4</v>
      </c>
      <c r="AD55" s="6" t="s">
        <v>4</v>
      </c>
      <c r="AE55" s="6" t="s">
        <v>4</v>
      </c>
      <c r="AF55" s="6" t="s">
        <v>4</v>
      </c>
      <c r="AG55" s="6" t="s">
        <v>3</v>
      </c>
      <c r="AH55" s="6" t="s">
        <v>4</v>
      </c>
      <c r="AI55" s="6" t="s">
        <v>4</v>
      </c>
      <c r="AJ55" s="6" t="s">
        <v>3</v>
      </c>
      <c r="AK55" s="6" t="s">
        <v>4</v>
      </c>
      <c r="AL55" s="6" t="s">
        <v>4</v>
      </c>
      <c r="AM55" s="6" t="s">
        <v>4</v>
      </c>
      <c r="AN55" s="6" t="s">
        <v>3</v>
      </c>
    </row>
    <row r="56" spans="1:40">
      <c r="A56" s="6">
        <f t="shared" si="0"/>
        <v>55</v>
      </c>
      <c r="B56" s="6" t="s">
        <v>31</v>
      </c>
      <c r="C56" s="6" t="s">
        <v>537</v>
      </c>
      <c r="D56" s="6">
        <v>5</v>
      </c>
      <c r="E56" s="6" t="s">
        <v>4</v>
      </c>
      <c r="F56" s="6" t="s">
        <v>5</v>
      </c>
      <c r="G56" s="6" t="s">
        <v>2</v>
      </c>
      <c r="H56" s="6" t="s">
        <v>5</v>
      </c>
      <c r="I56" s="6" t="s">
        <v>5</v>
      </c>
      <c r="J56" s="6" t="s">
        <v>5</v>
      </c>
      <c r="K56" s="6" t="s">
        <v>2</v>
      </c>
      <c r="L56" s="6" t="s">
        <v>2</v>
      </c>
      <c r="M56" s="6" t="s">
        <v>2</v>
      </c>
      <c r="N56" s="6" t="s">
        <v>4</v>
      </c>
      <c r="O56" s="6" t="s">
        <v>4</v>
      </c>
      <c r="P56" s="6" t="s">
        <v>4</v>
      </c>
      <c r="Q56" s="6" t="s">
        <v>5</v>
      </c>
      <c r="R56" s="6" t="s">
        <v>4</v>
      </c>
      <c r="S56" s="6" t="s">
        <v>5</v>
      </c>
      <c r="T56" s="6" t="s">
        <v>5</v>
      </c>
      <c r="U56" s="6" t="s">
        <v>5</v>
      </c>
      <c r="V56" s="6" t="s">
        <v>5</v>
      </c>
      <c r="W56" s="6" t="s">
        <v>5</v>
      </c>
      <c r="X56" s="6" t="s">
        <v>4</v>
      </c>
      <c r="Y56" s="6" t="s">
        <v>3</v>
      </c>
      <c r="Z56" s="6" t="s">
        <v>3</v>
      </c>
      <c r="AA56" s="6" t="s">
        <v>3</v>
      </c>
      <c r="AB56" s="6" t="s">
        <v>4</v>
      </c>
      <c r="AC56" s="6" t="s">
        <v>4</v>
      </c>
      <c r="AD56" s="6" t="s">
        <v>4</v>
      </c>
      <c r="AE56" s="6" t="s">
        <v>4</v>
      </c>
      <c r="AF56" s="6" t="s">
        <v>4</v>
      </c>
      <c r="AG56" s="6" t="s">
        <v>4</v>
      </c>
      <c r="AH56" s="6" t="s">
        <v>3</v>
      </c>
      <c r="AI56" s="6" t="s">
        <v>4</v>
      </c>
      <c r="AJ56" s="6" t="s">
        <v>3</v>
      </c>
      <c r="AK56" s="6" t="s">
        <v>4</v>
      </c>
      <c r="AL56" s="6" t="s">
        <v>4</v>
      </c>
      <c r="AM56" s="6" t="s">
        <v>4</v>
      </c>
      <c r="AN56" s="6" t="s">
        <v>3</v>
      </c>
    </row>
    <row r="57" spans="1:40">
      <c r="A57" s="6">
        <f t="shared" si="0"/>
        <v>56</v>
      </c>
      <c r="B57" s="6" t="s">
        <v>32</v>
      </c>
      <c r="C57" s="6" t="s">
        <v>537</v>
      </c>
      <c r="D57" s="6">
        <v>5</v>
      </c>
      <c r="E57" s="6" t="s">
        <v>5</v>
      </c>
      <c r="F57" s="6" t="s">
        <v>3</v>
      </c>
      <c r="G57" s="6" t="s">
        <v>3</v>
      </c>
      <c r="H57" s="6" t="s">
        <v>5</v>
      </c>
      <c r="I57" s="6" t="s">
        <v>5</v>
      </c>
      <c r="J57" s="6" t="s">
        <v>5</v>
      </c>
      <c r="K57" s="6" t="s">
        <v>5</v>
      </c>
      <c r="L57" s="6" t="s">
        <v>2</v>
      </c>
      <c r="M57" s="6" t="s">
        <v>4</v>
      </c>
      <c r="N57" s="6" t="s">
        <v>4</v>
      </c>
      <c r="O57" s="6" t="s">
        <v>4</v>
      </c>
      <c r="P57" s="6" t="s">
        <v>5</v>
      </c>
      <c r="Q57" s="6" t="s">
        <v>2</v>
      </c>
      <c r="R57" s="6" t="s">
        <v>4</v>
      </c>
      <c r="S57" s="6" t="s">
        <v>5</v>
      </c>
      <c r="T57" s="6" t="s">
        <v>5</v>
      </c>
      <c r="U57" s="6" t="s">
        <v>3</v>
      </c>
      <c r="V57" s="6" t="s">
        <v>3</v>
      </c>
      <c r="W57" s="6" t="s">
        <v>3</v>
      </c>
      <c r="X57" s="6" t="s">
        <v>4</v>
      </c>
      <c r="Y57" s="6" t="s">
        <v>3</v>
      </c>
      <c r="Z57" s="6" t="s">
        <v>2</v>
      </c>
      <c r="AA57" s="6" t="s">
        <v>3</v>
      </c>
      <c r="AB57" s="6" t="s">
        <v>4</v>
      </c>
      <c r="AC57" s="6" t="s">
        <v>4</v>
      </c>
      <c r="AD57" s="6" t="s">
        <v>4</v>
      </c>
      <c r="AE57" s="6" t="s">
        <v>4</v>
      </c>
      <c r="AF57" s="6" t="s">
        <v>4</v>
      </c>
      <c r="AG57" s="6" t="s">
        <v>4</v>
      </c>
      <c r="AH57" s="6" t="s">
        <v>3</v>
      </c>
      <c r="AI57" s="6" t="s">
        <v>4</v>
      </c>
      <c r="AJ57" s="6" t="s">
        <v>3</v>
      </c>
      <c r="AK57" s="6" t="s">
        <v>4</v>
      </c>
      <c r="AL57" s="6" t="s">
        <v>4</v>
      </c>
      <c r="AM57" s="6" t="s">
        <v>4</v>
      </c>
      <c r="AN57" s="6" t="s">
        <v>3</v>
      </c>
    </row>
    <row r="58" spans="1:40">
      <c r="A58" s="6">
        <f t="shared" si="0"/>
        <v>57</v>
      </c>
      <c r="B58" s="6" t="s">
        <v>33</v>
      </c>
      <c r="C58" s="6" t="s">
        <v>537</v>
      </c>
      <c r="D58" s="6">
        <v>5</v>
      </c>
      <c r="E58" s="6" t="s">
        <v>5</v>
      </c>
      <c r="F58" s="6" t="s">
        <v>3</v>
      </c>
      <c r="G58" s="6" t="s">
        <v>4</v>
      </c>
      <c r="H58" s="6" t="s">
        <v>5</v>
      </c>
      <c r="I58" s="6" t="s">
        <v>5</v>
      </c>
      <c r="J58" s="6" t="s">
        <v>3</v>
      </c>
      <c r="K58" s="6" t="s">
        <v>5</v>
      </c>
      <c r="L58" s="6" t="s">
        <v>2</v>
      </c>
      <c r="M58" s="6" t="s">
        <v>3</v>
      </c>
      <c r="N58" s="6" t="s">
        <v>2</v>
      </c>
      <c r="O58" s="6" t="s">
        <v>2</v>
      </c>
      <c r="P58" s="6" t="s">
        <v>5</v>
      </c>
      <c r="Q58" s="6" t="s">
        <v>5</v>
      </c>
      <c r="R58" s="6" t="s">
        <v>2</v>
      </c>
      <c r="S58" s="6" t="s">
        <v>5</v>
      </c>
      <c r="T58" s="6" t="s">
        <v>5</v>
      </c>
      <c r="U58" s="6" t="s">
        <v>3</v>
      </c>
      <c r="V58" s="6" t="s">
        <v>5</v>
      </c>
      <c r="W58" s="6" t="s">
        <v>2</v>
      </c>
      <c r="X58" s="6" t="s">
        <v>4</v>
      </c>
      <c r="Y58" s="6" t="s">
        <v>4</v>
      </c>
      <c r="Z58" s="6" t="s">
        <v>2</v>
      </c>
      <c r="AA58" s="6" t="s">
        <v>3</v>
      </c>
      <c r="AB58" s="6" t="s">
        <v>4</v>
      </c>
      <c r="AC58" s="6" t="s">
        <v>4</v>
      </c>
      <c r="AD58" s="6" t="s">
        <v>4</v>
      </c>
      <c r="AE58" s="6" t="s">
        <v>4</v>
      </c>
      <c r="AF58" s="6" t="s">
        <v>4</v>
      </c>
      <c r="AG58" s="6" t="s">
        <v>4</v>
      </c>
      <c r="AH58" s="6" t="s">
        <v>3</v>
      </c>
      <c r="AI58" s="6" t="s">
        <v>4</v>
      </c>
      <c r="AJ58" s="6" t="s">
        <v>3</v>
      </c>
      <c r="AK58" s="6" t="s">
        <v>4</v>
      </c>
      <c r="AL58" s="6" t="s">
        <v>4</v>
      </c>
      <c r="AM58" s="6" t="s">
        <v>3</v>
      </c>
      <c r="AN58" s="6" t="s">
        <v>3</v>
      </c>
    </row>
    <row r="59" spans="1:40">
      <c r="A59" s="6">
        <f t="shared" si="0"/>
        <v>58</v>
      </c>
      <c r="B59" s="6" t="s">
        <v>34</v>
      </c>
      <c r="C59" s="6" t="s">
        <v>537</v>
      </c>
      <c r="D59" s="6">
        <v>5</v>
      </c>
      <c r="E59" s="6" t="s">
        <v>5</v>
      </c>
      <c r="F59" s="6" t="s">
        <v>5</v>
      </c>
      <c r="G59" s="6" t="s">
        <v>3</v>
      </c>
      <c r="H59" s="6" t="s">
        <v>5</v>
      </c>
      <c r="I59" s="6" t="s">
        <v>5</v>
      </c>
      <c r="J59" s="6" t="s">
        <v>3</v>
      </c>
      <c r="K59" s="6" t="s">
        <v>5</v>
      </c>
      <c r="L59" s="6" t="s">
        <v>2</v>
      </c>
      <c r="M59" s="6" t="s">
        <v>4</v>
      </c>
      <c r="N59" s="6" t="s">
        <v>4</v>
      </c>
      <c r="O59" s="6" t="s">
        <v>4</v>
      </c>
      <c r="P59" s="6" t="s">
        <v>5</v>
      </c>
      <c r="Q59" s="6" t="s">
        <v>2</v>
      </c>
      <c r="R59" s="6" t="s">
        <v>4</v>
      </c>
      <c r="S59" s="6" t="s">
        <v>5</v>
      </c>
      <c r="T59" s="6" t="s">
        <v>5</v>
      </c>
      <c r="U59" s="6" t="s">
        <v>2</v>
      </c>
      <c r="V59" s="6" t="s">
        <v>5</v>
      </c>
      <c r="W59" s="6" t="s">
        <v>5</v>
      </c>
      <c r="X59" s="6" t="s">
        <v>3</v>
      </c>
      <c r="Y59" s="6" t="s">
        <v>3</v>
      </c>
      <c r="Z59" s="6" t="s">
        <v>4</v>
      </c>
      <c r="AA59" s="6" t="s">
        <v>3</v>
      </c>
      <c r="AB59" s="6" t="s">
        <v>4</v>
      </c>
      <c r="AC59" s="6" t="s">
        <v>4</v>
      </c>
      <c r="AD59" s="6" t="s">
        <v>4</v>
      </c>
      <c r="AE59" s="6" t="s">
        <v>4</v>
      </c>
      <c r="AF59" s="6" t="s">
        <v>4</v>
      </c>
      <c r="AG59" s="6" t="s">
        <v>4</v>
      </c>
      <c r="AH59" s="6" t="s">
        <v>4</v>
      </c>
      <c r="AI59" s="6" t="s">
        <v>4</v>
      </c>
      <c r="AJ59" s="6" t="s">
        <v>3</v>
      </c>
      <c r="AK59" s="6" t="s">
        <v>4</v>
      </c>
      <c r="AL59" s="6" t="s">
        <v>4</v>
      </c>
      <c r="AM59" s="6" t="s">
        <v>3</v>
      </c>
      <c r="AN59" s="6" t="s">
        <v>3</v>
      </c>
    </row>
    <row r="60" spans="1:40">
      <c r="A60" s="6">
        <f t="shared" si="0"/>
        <v>59</v>
      </c>
      <c r="B60" s="6" t="s">
        <v>271</v>
      </c>
      <c r="C60" s="6" t="s">
        <v>537</v>
      </c>
      <c r="D60" s="6">
        <v>5</v>
      </c>
      <c r="E60" s="6" t="s">
        <v>5</v>
      </c>
      <c r="F60" s="6" t="s">
        <v>3</v>
      </c>
      <c r="G60" s="6" t="s">
        <v>2</v>
      </c>
      <c r="H60" s="6" t="s">
        <v>5</v>
      </c>
      <c r="I60" s="6" t="s">
        <v>5</v>
      </c>
      <c r="J60" s="6" t="s">
        <v>5</v>
      </c>
      <c r="K60" s="6" t="s">
        <v>5</v>
      </c>
      <c r="L60" s="6" t="s">
        <v>2</v>
      </c>
      <c r="M60" s="6" t="s">
        <v>2</v>
      </c>
      <c r="N60" s="6" t="s">
        <v>2</v>
      </c>
      <c r="O60" s="6" t="s">
        <v>3</v>
      </c>
      <c r="P60" s="6" t="s">
        <v>2</v>
      </c>
      <c r="Q60" s="6" t="s">
        <v>5</v>
      </c>
      <c r="R60" s="6" t="s">
        <v>2</v>
      </c>
      <c r="S60" s="6" t="s">
        <v>2</v>
      </c>
      <c r="T60" s="6" t="s">
        <v>5</v>
      </c>
      <c r="U60" s="6" t="s">
        <v>5</v>
      </c>
      <c r="V60" s="6" t="s">
        <v>5</v>
      </c>
      <c r="W60" s="6" t="s">
        <v>5</v>
      </c>
      <c r="X60" s="6" t="s">
        <v>3</v>
      </c>
      <c r="Y60" s="6" t="s">
        <v>3</v>
      </c>
      <c r="Z60" s="6" t="s">
        <v>2</v>
      </c>
      <c r="AA60" s="6" t="s">
        <v>3</v>
      </c>
      <c r="AB60" s="6" t="s">
        <v>4</v>
      </c>
      <c r="AC60" s="6" t="s">
        <v>4</v>
      </c>
      <c r="AD60" s="6" t="s">
        <v>4</v>
      </c>
      <c r="AE60" s="6" t="s">
        <v>4</v>
      </c>
      <c r="AF60" s="6" t="s">
        <v>4</v>
      </c>
      <c r="AG60" s="6" t="s">
        <v>3</v>
      </c>
      <c r="AH60" s="6" t="s">
        <v>3</v>
      </c>
      <c r="AI60" s="6" t="s">
        <v>4</v>
      </c>
      <c r="AJ60" s="6" t="s">
        <v>3</v>
      </c>
      <c r="AK60" s="6" t="s">
        <v>4</v>
      </c>
      <c r="AL60" s="6" t="s">
        <v>4</v>
      </c>
      <c r="AM60" s="6" t="s">
        <v>3</v>
      </c>
      <c r="AN60" s="6" t="s">
        <v>3</v>
      </c>
    </row>
    <row r="61" spans="1:40">
      <c r="A61" s="6">
        <f t="shared" si="0"/>
        <v>60</v>
      </c>
      <c r="B61" s="6" t="s">
        <v>272</v>
      </c>
      <c r="C61" s="6" t="s">
        <v>537</v>
      </c>
      <c r="D61" s="6">
        <v>5</v>
      </c>
      <c r="E61" s="6" t="s">
        <v>5</v>
      </c>
      <c r="F61" s="6" t="s">
        <v>5</v>
      </c>
      <c r="G61" s="6" t="s">
        <v>2</v>
      </c>
      <c r="H61" s="6" t="s">
        <v>5</v>
      </c>
      <c r="I61" s="6" t="s">
        <v>5</v>
      </c>
      <c r="J61" s="6" t="s">
        <v>3</v>
      </c>
      <c r="K61" s="6" t="s">
        <v>5</v>
      </c>
      <c r="L61" s="6" t="s">
        <v>2</v>
      </c>
      <c r="M61" s="6" t="s">
        <v>2</v>
      </c>
      <c r="N61" s="6" t="s">
        <v>2</v>
      </c>
      <c r="O61" s="6" t="s">
        <v>2</v>
      </c>
      <c r="P61" s="6" t="s">
        <v>2</v>
      </c>
      <c r="Q61" s="6" t="s">
        <v>2</v>
      </c>
      <c r="R61" s="6" t="s">
        <v>3</v>
      </c>
      <c r="S61" s="6" t="s">
        <v>3</v>
      </c>
      <c r="T61" s="6" t="s">
        <v>5</v>
      </c>
      <c r="U61" s="6" t="s">
        <v>5</v>
      </c>
      <c r="V61" s="6" t="s">
        <v>5</v>
      </c>
      <c r="W61" s="6" t="s">
        <v>5</v>
      </c>
      <c r="X61" s="6" t="s">
        <v>3</v>
      </c>
      <c r="Y61" s="6" t="s">
        <v>3</v>
      </c>
      <c r="Z61" s="6" t="s">
        <v>2</v>
      </c>
      <c r="AA61" s="6" t="s">
        <v>3</v>
      </c>
      <c r="AB61" s="6" t="s">
        <v>4</v>
      </c>
      <c r="AC61" s="6" t="s">
        <v>4</v>
      </c>
      <c r="AD61" s="6" t="s">
        <v>4</v>
      </c>
      <c r="AE61" s="6" t="s">
        <v>4</v>
      </c>
      <c r="AF61" s="6" t="s">
        <v>4</v>
      </c>
      <c r="AG61" s="6" t="s">
        <v>3</v>
      </c>
      <c r="AH61" s="6" t="s">
        <v>3</v>
      </c>
      <c r="AI61" s="6" t="s">
        <v>4</v>
      </c>
      <c r="AJ61" s="6" t="s">
        <v>3</v>
      </c>
      <c r="AK61" s="6" t="s">
        <v>3</v>
      </c>
      <c r="AL61" s="6" t="s">
        <v>4</v>
      </c>
      <c r="AM61" s="6" t="s">
        <v>3</v>
      </c>
      <c r="AN61" s="6" t="s">
        <v>3</v>
      </c>
    </row>
    <row r="62" spans="1:40">
      <c r="A62" s="6">
        <f t="shared" si="0"/>
        <v>61</v>
      </c>
      <c r="B62" s="6" t="s">
        <v>273</v>
      </c>
      <c r="C62" s="6" t="s">
        <v>537</v>
      </c>
      <c r="D62" s="6">
        <v>5</v>
      </c>
      <c r="E62" s="6" t="s">
        <v>5</v>
      </c>
      <c r="F62" s="6" t="s">
        <v>5</v>
      </c>
      <c r="G62" s="6" t="s">
        <v>2</v>
      </c>
      <c r="H62" s="6" t="s">
        <v>5</v>
      </c>
      <c r="I62" s="6" t="s">
        <v>5</v>
      </c>
      <c r="J62" s="6" t="s">
        <v>3</v>
      </c>
      <c r="K62" s="6" t="s">
        <v>5</v>
      </c>
      <c r="L62" s="6" t="s">
        <v>2</v>
      </c>
      <c r="M62" s="6" t="s">
        <v>3</v>
      </c>
      <c r="N62" s="6" t="s">
        <v>5</v>
      </c>
      <c r="O62" s="6" t="s">
        <v>2</v>
      </c>
      <c r="P62" s="6" t="s">
        <v>5</v>
      </c>
      <c r="Q62" s="6" t="s">
        <v>5</v>
      </c>
      <c r="R62" s="6" t="s">
        <v>2</v>
      </c>
      <c r="S62" s="6" t="s">
        <v>2</v>
      </c>
      <c r="T62" s="6" t="s">
        <v>5</v>
      </c>
      <c r="U62" s="6" t="s">
        <v>5</v>
      </c>
      <c r="V62" s="6" t="s">
        <v>5</v>
      </c>
      <c r="W62" s="6" t="s">
        <v>5</v>
      </c>
      <c r="X62" s="6" t="s">
        <v>3</v>
      </c>
      <c r="Y62" s="6" t="s">
        <v>3</v>
      </c>
      <c r="Z62" s="6" t="s">
        <v>2</v>
      </c>
      <c r="AA62" s="6" t="s">
        <v>3</v>
      </c>
      <c r="AB62" s="6" t="s">
        <v>4</v>
      </c>
      <c r="AC62" s="6" t="s">
        <v>4</v>
      </c>
      <c r="AD62" s="6" t="s">
        <v>4</v>
      </c>
      <c r="AE62" s="6" t="s">
        <v>4</v>
      </c>
      <c r="AF62" s="6" t="s">
        <v>4</v>
      </c>
      <c r="AG62" s="6" t="s">
        <v>4</v>
      </c>
      <c r="AH62" s="6" t="s">
        <v>3</v>
      </c>
      <c r="AI62" s="6" t="s">
        <v>4</v>
      </c>
      <c r="AJ62" s="6" t="s">
        <v>3</v>
      </c>
      <c r="AK62" s="6" t="s">
        <v>3</v>
      </c>
      <c r="AL62" s="6" t="s">
        <v>4</v>
      </c>
      <c r="AM62" s="6" t="s">
        <v>4</v>
      </c>
      <c r="AN62" s="6" t="s">
        <v>3</v>
      </c>
    </row>
    <row r="63" spans="1:40">
      <c r="A63" s="6">
        <f t="shared" si="0"/>
        <v>62</v>
      </c>
      <c r="B63" s="6" t="s">
        <v>274</v>
      </c>
      <c r="C63" s="6" t="s">
        <v>537</v>
      </c>
      <c r="D63" s="6">
        <v>5</v>
      </c>
      <c r="E63" s="6" t="s">
        <v>5</v>
      </c>
      <c r="F63" s="6" t="s">
        <v>3</v>
      </c>
      <c r="G63" s="6" t="s">
        <v>3</v>
      </c>
      <c r="H63" s="6" t="s">
        <v>5</v>
      </c>
      <c r="I63" s="6" t="s">
        <v>5</v>
      </c>
      <c r="J63" s="6" t="s">
        <v>5</v>
      </c>
      <c r="K63" s="6" t="s">
        <v>5</v>
      </c>
      <c r="L63" s="6" t="s">
        <v>2</v>
      </c>
      <c r="M63" s="6" t="s">
        <v>2</v>
      </c>
      <c r="N63" s="6" t="s">
        <v>5</v>
      </c>
      <c r="O63" s="6" t="s">
        <v>3</v>
      </c>
      <c r="P63" s="6" t="s">
        <v>2</v>
      </c>
      <c r="Q63" s="6" t="s">
        <v>5</v>
      </c>
      <c r="R63" s="6" t="s">
        <v>2</v>
      </c>
      <c r="S63" s="6" t="s">
        <v>3</v>
      </c>
      <c r="T63" s="6" t="s">
        <v>5</v>
      </c>
      <c r="U63" s="6" t="s">
        <v>5</v>
      </c>
      <c r="V63" s="6" t="s">
        <v>5</v>
      </c>
      <c r="W63" s="6" t="s">
        <v>5</v>
      </c>
      <c r="X63" s="6" t="s">
        <v>3</v>
      </c>
      <c r="Y63" s="6" t="s">
        <v>3</v>
      </c>
      <c r="Z63" s="6" t="s">
        <v>2</v>
      </c>
      <c r="AA63" s="6" t="s">
        <v>3</v>
      </c>
      <c r="AB63" s="6" t="s">
        <v>4</v>
      </c>
      <c r="AC63" s="6" t="s">
        <v>4</v>
      </c>
      <c r="AD63" s="6" t="s">
        <v>4</v>
      </c>
      <c r="AE63" s="6" t="s">
        <v>4</v>
      </c>
      <c r="AF63" s="6" t="s">
        <v>4</v>
      </c>
      <c r="AG63" s="6" t="s">
        <v>4</v>
      </c>
      <c r="AH63" s="6" t="s">
        <v>3</v>
      </c>
      <c r="AI63" s="6" t="s">
        <v>4</v>
      </c>
      <c r="AJ63" s="6" t="s">
        <v>3</v>
      </c>
      <c r="AK63" s="6" t="s">
        <v>4</v>
      </c>
      <c r="AL63" s="6" t="s">
        <v>4</v>
      </c>
      <c r="AM63" s="6" t="s">
        <v>4</v>
      </c>
      <c r="AN63" s="6" t="s">
        <v>3</v>
      </c>
    </row>
    <row r="64" spans="1:40">
      <c r="A64" s="6">
        <f t="shared" si="0"/>
        <v>63</v>
      </c>
      <c r="B64" s="6" t="s">
        <v>473</v>
      </c>
      <c r="C64" s="6" t="s">
        <v>537</v>
      </c>
      <c r="D64" s="6">
        <v>5</v>
      </c>
      <c r="E64" s="6" t="s">
        <v>5</v>
      </c>
      <c r="F64" s="6" t="s">
        <v>3</v>
      </c>
      <c r="G64" s="6" t="s">
        <v>5</v>
      </c>
      <c r="H64" s="6" t="s">
        <v>5</v>
      </c>
      <c r="I64" s="6" t="s">
        <v>5</v>
      </c>
      <c r="J64" s="6" t="s">
        <v>5</v>
      </c>
      <c r="K64" s="6" t="s">
        <v>5</v>
      </c>
      <c r="L64" s="6" t="s">
        <v>2</v>
      </c>
      <c r="M64" s="6" t="s">
        <v>3</v>
      </c>
      <c r="N64" s="6" t="s">
        <v>3</v>
      </c>
      <c r="O64" s="6" t="s">
        <v>5</v>
      </c>
      <c r="P64" s="6" t="s">
        <v>2</v>
      </c>
      <c r="Q64" s="6" t="s">
        <v>5</v>
      </c>
      <c r="R64" s="6" t="s">
        <v>2</v>
      </c>
      <c r="S64" s="6" t="s">
        <v>2</v>
      </c>
      <c r="T64" s="6" t="s">
        <v>5</v>
      </c>
      <c r="U64" s="6" t="s">
        <v>5</v>
      </c>
      <c r="V64" s="6" t="s">
        <v>5</v>
      </c>
      <c r="W64" s="6" t="s">
        <v>3</v>
      </c>
      <c r="X64" s="6" t="s">
        <v>3</v>
      </c>
      <c r="Y64" s="6" t="s">
        <v>4</v>
      </c>
      <c r="Z64" s="6" t="s">
        <v>4</v>
      </c>
      <c r="AA64" s="6" t="s">
        <v>3</v>
      </c>
      <c r="AB64" s="6" t="s">
        <v>4</v>
      </c>
      <c r="AC64" s="6" t="s">
        <v>4</v>
      </c>
      <c r="AD64" s="6" t="s">
        <v>4</v>
      </c>
      <c r="AE64" s="6" t="s">
        <v>4</v>
      </c>
      <c r="AF64" s="6" t="s">
        <v>4</v>
      </c>
      <c r="AG64" s="6" t="s">
        <v>3</v>
      </c>
      <c r="AH64" s="6" t="s">
        <v>3</v>
      </c>
      <c r="AI64" s="6" t="s">
        <v>4</v>
      </c>
      <c r="AJ64" s="6" t="s">
        <v>3</v>
      </c>
      <c r="AK64" s="6" t="s">
        <v>4</v>
      </c>
      <c r="AL64" s="6" t="s">
        <v>4</v>
      </c>
      <c r="AM64" s="6" t="s">
        <v>3</v>
      </c>
      <c r="AN64" s="6" t="s">
        <v>3</v>
      </c>
    </row>
    <row r="65" spans="1:40">
      <c r="A65" s="6">
        <f t="shared" si="0"/>
        <v>64</v>
      </c>
      <c r="B65" s="6" t="s">
        <v>478</v>
      </c>
      <c r="C65" s="6" t="s">
        <v>537</v>
      </c>
      <c r="D65" s="6">
        <v>5</v>
      </c>
      <c r="E65" s="6" t="s">
        <v>5</v>
      </c>
      <c r="F65" s="6" t="s">
        <v>5</v>
      </c>
      <c r="G65" s="6" t="s">
        <v>2</v>
      </c>
      <c r="H65" s="6" t="s">
        <v>5</v>
      </c>
      <c r="I65" s="6" t="s">
        <v>5</v>
      </c>
      <c r="J65" s="6" t="s">
        <v>3</v>
      </c>
      <c r="K65" s="6" t="s">
        <v>5</v>
      </c>
      <c r="L65" s="6" t="s">
        <v>2</v>
      </c>
      <c r="M65" s="6" t="s">
        <v>3</v>
      </c>
      <c r="N65" s="6" t="s">
        <v>5</v>
      </c>
      <c r="O65" s="6" t="s">
        <v>2</v>
      </c>
      <c r="P65" s="6" t="s">
        <v>5</v>
      </c>
      <c r="Q65" s="6" t="s">
        <v>5</v>
      </c>
      <c r="R65" s="6" t="s">
        <v>2</v>
      </c>
      <c r="S65" s="6" t="s">
        <v>2</v>
      </c>
      <c r="T65" s="6" t="s">
        <v>5</v>
      </c>
      <c r="U65" s="6" t="s">
        <v>5</v>
      </c>
      <c r="V65" s="6" t="s">
        <v>5</v>
      </c>
      <c r="W65" s="6" t="s">
        <v>5</v>
      </c>
      <c r="X65" s="6" t="s">
        <v>3</v>
      </c>
      <c r="Y65" s="6" t="s">
        <v>3</v>
      </c>
      <c r="Z65" s="6" t="s">
        <v>2</v>
      </c>
      <c r="AA65" s="6" t="s">
        <v>3</v>
      </c>
      <c r="AB65" s="6" t="s">
        <v>4</v>
      </c>
      <c r="AC65" s="6" t="s">
        <v>4</v>
      </c>
      <c r="AD65" s="6" t="s">
        <v>4</v>
      </c>
      <c r="AE65" s="6" t="s">
        <v>4</v>
      </c>
      <c r="AF65" s="6" t="s">
        <v>4</v>
      </c>
      <c r="AG65" s="6" t="s">
        <v>4</v>
      </c>
      <c r="AH65" s="6" t="s">
        <v>3</v>
      </c>
      <c r="AI65" s="6" t="s">
        <v>4</v>
      </c>
      <c r="AJ65" s="6" t="s">
        <v>3</v>
      </c>
      <c r="AK65" s="6" t="s">
        <v>4</v>
      </c>
      <c r="AL65" s="6" t="s">
        <v>4</v>
      </c>
      <c r="AM65" s="6" t="s">
        <v>3</v>
      </c>
      <c r="AN65" s="6" t="s">
        <v>3</v>
      </c>
    </row>
    <row r="66" spans="1:40">
      <c r="A66" s="6">
        <f t="shared" ref="A66:A115" si="1">ROW()-1</f>
        <v>65</v>
      </c>
      <c r="B66" s="6" t="s">
        <v>494</v>
      </c>
      <c r="C66" s="6" t="s">
        <v>537</v>
      </c>
      <c r="D66" s="6">
        <v>5</v>
      </c>
      <c r="E66" s="6" t="s">
        <v>2</v>
      </c>
      <c r="F66" s="6" t="s">
        <v>5</v>
      </c>
      <c r="G66" s="6" t="s">
        <v>2</v>
      </c>
      <c r="H66" s="6" t="s">
        <v>5</v>
      </c>
      <c r="I66" s="6" t="s">
        <v>5</v>
      </c>
      <c r="J66" s="6" t="s">
        <v>5</v>
      </c>
      <c r="K66" s="6" t="s">
        <v>2</v>
      </c>
      <c r="L66" s="6" t="s">
        <v>2</v>
      </c>
      <c r="M66" s="6" t="s">
        <v>2</v>
      </c>
      <c r="N66" s="6" t="s">
        <v>4</v>
      </c>
      <c r="O66" s="6" t="s">
        <v>4</v>
      </c>
      <c r="P66" s="6" t="s">
        <v>4</v>
      </c>
      <c r="Q66" s="6" t="s">
        <v>5</v>
      </c>
      <c r="R66" s="6" t="s">
        <v>4</v>
      </c>
      <c r="S66" s="6" t="s">
        <v>5</v>
      </c>
      <c r="T66" s="6" t="s">
        <v>5</v>
      </c>
      <c r="U66" s="6" t="s">
        <v>5</v>
      </c>
      <c r="V66" s="6" t="s">
        <v>5</v>
      </c>
      <c r="W66" s="6" t="s">
        <v>5</v>
      </c>
      <c r="X66" s="6" t="s">
        <v>4</v>
      </c>
      <c r="Y66" s="6" t="s">
        <v>3</v>
      </c>
      <c r="Z66" s="6" t="s">
        <v>3</v>
      </c>
      <c r="AA66" s="6" t="s">
        <v>3</v>
      </c>
      <c r="AB66" s="6" t="s">
        <v>4</v>
      </c>
      <c r="AC66" s="6" t="s">
        <v>4</v>
      </c>
      <c r="AD66" s="6" t="s">
        <v>4</v>
      </c>
      <c r="AE66" s="6" t="s">
        <v>4</v>
      </c>
      <c r="AF66" s="6" t="s">
        <v>3</v>
      </c>
      <c r="AG66" s="6" t="s">
        <v>3</v>
      </c>
      <c r="AH66" s="6" t="s">
        <v>3</v>
      </c>
      <c r="AI66" s="6" t="s">
        <v>4</v>
      </c>
      <c r="AJ66" s="6" t="s">
        <v>3</v>
      </c>
      <c r="AK66" s="6" t="s">
        <v>4</v>
      </c>
      <c r="AL66" s="6" t="s">
        <v>4</v>
      </c>
      <c r="AM66" s="6" t="s">
        <v>4</v>
      </c>
      <c r="AN66" s="6" t="s">
        <v>3</v>
      </c>
    </row>
    <row r="67" spans="1:40">
      <c r="A67" s="6">
        <f t="shared" si="1"/>
        <v>66</v>
      </c>
      <c r="B67" s="6" t="s">
        <v>35</v>
      </c>
      <c r="C67" s="6" t="s">
        <v>537</v>
      </c>
      <c r="D67" s="52">
        <v>6</v>
      </c>
      <c r="E67" s="6" t="s">
        <v>5</v>
      </c>
      <c r="F67" s="6" t="s">
        <v>3</v>
      </c>
      <c r="G67" s="6" t="s">
        <v>3</v>
      </c>
      <c r="H67" s="6" t="s">
        <v>5</v>
      </c>
      <c r="I67" s="6" t="s">
        <v>5</v>
      </c>
      <c r="J67" s="6" t="s">
        <v>5</v>
      </c>
      <c r="K67" s="6" t="s">
        <v>5</v>
      </c>
      <c r="L67" s="6" t="s">
        <v>5</v>
      </c>
      <c r="M67" s="6" t="s">
        <v>2</v>
      </c>
      <c r="N67" s="6" t="s">
        <v>3</v>
      </c>
      <c r="O67" s="6" t="s">
        <v>2</v>
      </c>
      <c r="P67" s="6" t="s">
        <v>3</v>
      </c>
      <c r="Q67" s="6" t="s">
        <v>2</v>
      </c>
      <c r="R67" s="6" t="s">
        <v>2</v>
      </c>
      <c r="S67" s="6" t="s">
        <v>3</v>
      </c>
      <c r="T67" s="6" t="s">
        <v>5</v>
      </c>
      <c r="U67" s="6" t="s">
        <v>2</v>
      </c>
      <c r="V67" s="6" t="s">
        <v>5</v>
      </c>
      <c r="W67" s="6" t="s">
        <v>3</v>
      </c>
      <c r="X67" s="6" t="s">
        <v>3</v>
      </c>
      <c r="Y67" s="6" t="s">
        <v>3</v>
      </c>
      <c r="Z67" s="6" t="s">
        <v>2</v>
      </c>
      <c r="AA67" s="6" t="s">
        <v>3</v>
      </c>
      <c r="AB67" s="6" t="s">
        <v>4</v>
      </c>
      <c r="AC67" s="6" t="s">
        <v>4</v>
      </c>
      <c r="AD67" s="6" t="s">
        <v>3</v>
      </c>
      <c r="AE67" s="6" t="s">
        <v>4</v>
      </c>
      <c r="AF67" s="6" t="s">
        <v>4</v>
      </c>
      <c r="AG67" s="6" t="s">
        <v>3</v>
      </c>
      <c r="AH67" s="6" t="s">
        <v>3</v>
      </c>
      <c r="AI67" s="6" t="s">
        <v>4</v>
      </c>
      <c r="AJ67" s="6" t="s">
        <v>3</v>
      </c>
      <c r="AK67" s="6" t="s">
        <v>4</v>
      </c>
      <c r="AL67" s="6" t="s">
        <v>4</v>
      </c>
      <c r="AM67" s="6" t="s">
        <v>3</v>
      </c>
      <c r="AN67" s="6" t="s">
        <v>3</v>
      </c>
    </row>
    <row r="68" spans="1:40">
      <c r="A68" s="6">
        <f t="shared" si="1"/>
        <v>67</v>
      </c>
      <c r="B68" s="6" t="s">
        <v>36</v>
      </c>
      <c r="C68" s="6" t="s">
        <v>537</v>
      </c>
      <c r="D68" s="52">
        <v>6</v>
      </c>
      <c r="E68" s="6" t="s">
        <v>5</v>
      </c>
      <c r="F68" s="6" t="s">
        <v>5</v>
      </c>
      <c r="G68" s="6" t="s">
        <v>5</v>
      </c>
      <c r="H68" s="6" t="s">
        <v>5</v>
      </c>
      <c r="I68" s="6" t="s">
        <v>5</v>
      </c>
      <c r="J68" s="6" t="s">
        <v>5</v>
      </c>
      <c r="K68" s="6" t="s">
        <v>5</v>
      </c>
      <c r="L68" s="6" t="s">
        <v>2</v>
      </c>
      <c r="M68" s="6" t="s">
        <v>4</v>
      </c>
      <c r="N68" s="6" t="s">
        <v>4</v>
      </c>
      <c r="O68" s="6" t="s">
        <v>4</v>
      </c>
      <c r="P68" s="6" t="s">
        <v>5</v>
      </c>
      <c r="Q68" s="6" t="s">
        <v>5</v>
      </c>
      <c r="R68" s="6" t="s">
        <v>3</v>
      </c>
      <c r="S68" s="6" t="s">
        <v>5</v>
      </c>
      <c r="T68" s="6" t="s">
        <v>5</v>
      </c>
      <c r="U68" s="6" t="s">
        <v>2</v>
      </c>
      <c r="V68" s="6" t="s">
        <v>5</v>
      </c>
      <c r="W68" s="6" t="s">
        <v>3</v>
      </c>
      <c r="X68" s="6" t="s">
        <v>3</v>
      </c>
      <c r="Y68" s="6" t="s">
        <v>3</v>
      </c>
      <c r="Z68" s="6" t="s">
        <v>2</v>
      </c>
      <c r="AA68" s="6" t="s">
        <v>3</v>
      </c>
      <c r="AB68" s="6" t="s">
        <v>4</v>
      </c>
      <c r="AC68" s="6" t="s">
        <v>4</v>
      </c>
      <c r="AD68" s="6" t="s">
        <v>4</v>
      </c>
      <c r="AE68" s="6" t="s">
        <v>4</v>
      </c>
      <c r="AF68" s="6" t="s">
        <v>3</v>
      </c>
      <c r="AG68" s="6" t="s">
        <v>3</v>
      </c>
      <c r="AH68" s="6" t="s">
        <v>3</v>
      </c>
      <c r="AI68" s="6" t="s">
        <v>4</v>
      </c>
      <c r="AJ68" s="6" t="s">
        <v>3</v>
      </c>
      <c r="AK68" s="6" t="s">
        <v>3</v>
      </c>
      <c r="AL68" s="6" t="s">
        <v>3</v>
      </c>
      <c r="AM68" s="6" t="s">
        <v>3</v>
      </c>
      <c r="AN68" s="6" t="s">
        <v>3</v>
      </c>
    </row>
    <row r="69" spans="1:40">
      <c r="A69" s="6">
        <f t="shared" si="1"/>
        <v>68</v>
      </c>
      <c r="B69" s="6" t="s">
        <v>37</v>
      </c>
      <c r="C69" s="6" t="s">
        <v>537</v>
      </c>
      <c r="D69" s="52">
        <v>6</v>
      </c>
      <c r="E69" s="6" t="s">
        <v>5</v>
      </c>
      <c r="F69" s="6" t="s">
        <v>3</v>
      </c>
      <c r="G69" s="6" t="s">
        <v>2</v>
      </c>
      <c r="H69" s="6" t="s">
        <v>5</v>
      </c>
      <c r="I69" s="6" t="s">
        <v>5</v>
      </c>
      <c r="J69" s="6" t="s">
        <v>5</v>
      </c>
      <c r="K69" s="6" t="s">
        <v>5</v>
      </c>
      <c r="L69" s="6" t="s">
        <v>2</v>
      </c>
      <c r="M69" s="6" t="s">
        <v>2</v>
      </c>
      <c r="N69" s="6" t="s">
        <v>4</v>
      </c>
      <c r="O69" s="6" t="s">
        <v>4</v>
      </c>
      <c r="P69" s="6" t="s">
        <v>5</v>
      </c>
      <c r="Q69" s="6" t="s">
        <v>5</v>
      </c>
      <c r="R69" s="6" t="s">
        <v>4</v>
      </c>
      <c r="S69" s="6" t="s">
        <v>5</v>
      </c>
      <c r="T69" s="6" t="s">
        <v>5</v>
      </c>
      <c r="U69" s="6" t="s">
        <v>2</v>
      </c>
      <c r="V69" s="6" t="s">
        <v>5</v>
      </c>
      <c r="W69" s="6" t="s">
        <v>5</v>
      </c>
      <c r="X69" s="6" t="s">
        <v>4</v>
      </c>
      <c r="Y69" s="6" t="s">
        <v>3</v>
      </c>
      <c r="Z69" s="6" t="s">
        <v>2</v>
      </c>
      <c r="AA69" s="6" t="s">
        <v>3</v>
      </c>
      <c r="AB69" s="6" t="s">
        <v>3</v>
      </c>
      <c r="AC69" s="6" t="s">
        <v>4</v>
      </c>
      <c r="AD69" s="6" t="s">
        <v>4</v>
      </c>
      <c r="AE69" s="6" t="s">
        <v>4</v>
      </c>
      <c r="AF69" s="6" t="s">
        <v>4</v>
      </c>
      <c r="AG69" s="6" t="s">
        <v>4</v>
      </c>
      <c r="AH69" s="6" t="s">
        <v>3</v>
      </c>
      <c r="AI69" s="6" t="s">
        <v>4</v>
      </c>
      <c r="AJ69" s="6" t="s">
        <v>3</v>
      </c>
      <c r="AK69" s="6" t="s">
        <v>4</v>
      </c>
      <c r="AL69" s="6" t="s">
        <v>4</v>
      </c>
      <c r="AM69" s="6" t="s">
        <v>4</v>
      </c>
      <c r="AN69" s="6" t="s">
        <v>3</v>
      </c>
    </row>
    <row r="70" spans="1:40">
      <c r="A70" s="6">
        <f t="shared" si="1"/>
        <v>69</v>
      </c>
      <c r="B70" s="6" t="s">
        <v>38</v>
      </c>
      <c r="C70" s="6" t="s">
        <v>537</v>
      </c>
      <c r="D70" s="52">
        <v>6</v>
      </c>
      <c r="E70" s="6" t="s">
        <v>5</v>
      </c>
      <c r="F70" s="6" t="s">
        <v>3</v>
      </c>
      <c r="G70" s="6" t="s">
        <v>5</v>
      </c>
      <c r="H70" s="6" t="s">
        <v>5</v>
      </c>
      <c r="I70" s="6" t="s">
        <v>5</v>
      </c>
      <c r="J70" s="6" t="s">
        <v>5</v>
      </c>
      <c r="K70" s="6" t="s">
        <v>5</v>
      </c>
      <c r="L70" s="6" t="s">
        <v>2</v>
      </c>
      <c r="M70" s="6" t="s">
        <v>2</v>
      </c>
      <c r="N70" s="6" t="s">
        <v>4</v>
      </c>
      <c r="O70" s="6" t="s">
        <v>3</v>
      </c>
      <c r="P70" s="6" t="s">
        <v>5</v>
      </c>
      <c r="Q70" s="6" t="s">
        <v>2</v>
      </c>
      <c r="R70" s="6" t="s">
        <v>3</v>
      </c>
      <c r="S70" s="6" t="s">
        <v>2</v>
      </c>
      <c r="T70" s="6" t="s">
        <v>5</v>
      </c>
      <c r="U70" s="6" t="s">
        <v>5</v>
      </c>
      <c r="V70" s="6" t="s">
        <v>5</v>
      </c>
      <c r="W70" s="6" t="s">
        <v>5</v>
      </c>
      <c r="X70" s="6" t="s">
        <v>2</v>
      </c>
      <c r="Y70" s="6" t="s">
        <v>2</v>
      </c>
      <c r="Z70" s="6" t="s">
        <v>2</v>
      </c>
      <c r="AA70" s="6" t="s">
        <v>3</v>
      </c>
      <c r="AB70" s="6" t="s">
        <v>4</v>
      </c>
      <c r="AC70" s="6" t="s">
        <v>4</v>
      </c>
      <c r="AD70" s="6" t="s">
        <v>4</v>
      </c>
      <c r="AE70" s="6" t="s">
        <v>4</v>
      </c>
      <c r="AF70" s="6" t="s">
        <v>4</v>
      </c>
      <c r="AG70" s="6" t="s">
        <v>3</v>
      </c>
      <c r="AH70" s="6" t="s">
        <v>4</v>
      </c>
      <c r="AI70" s="6" t="s">
        <v>4</v>
      </c>
      <c r="AJ70" s="6" t="s">
        <v>4</v>
      </c>
      <c r="AK70" s="6" t="s">
        <v>4</v>
      </c>
      <c r="AL70" s="6" t="s">
        <v>4</v>
      </c>
      <c r="AM70" s="6" t="s">
        <v>4</v>
      </c>
      <c r="AN70" s="6" t="s">
        <v>3</v>
      </c>
    </row>
    <row r="71" spans="1:40">
      <c r="A71" s="6">
        <f t="shared" si="1"/>
        <v>70</v>
      </c>
      <c r="B71" s="6" t="s">
        <v>254</v>
      </c>
      <c r="C71" s="6" t="s">
        <v>537</v>
      </c>
      <c r="D71" s="52">
        <v>6</v>
      </c>
      <c r="E71" s="6" t="s">
        <v>4</v>
      </c>
      <c r="F71" s="6" t="s">
        <v>5</v>
      </c>
      <c r="G71" s="6" t="s">
        <v>2</v>
      </c>
      <c r="H71" s="6" t="s">
        <v>5</v>
      </c>
      <c r="I71" s="6" t="s">
        <v>5</v>
      </c>
      <c r="J71" s="6" t="s">
        <v>5</v>
      </c>
      <c r="K71" s="6" t="s">
        <v>2</v>
      </c>
      <c r="L71" s="6" t="s">
        <v>2</v>
      </c>
      <c r="M71" s="6" t="s">
        <v>2</v>
      </c>
      <c r="N71" s="6" t="s">
        <v>4</v>
      </c>
      <c r="O71" s="6" t="s">
        <v>3</v>
      </c>
      <c r="P71" s="6" t="s">
        <v>5</v>
      </c>
      <c r="Q71" s="6" t="s">
        <v>5</v>
      </c>
      <c r="R71" s="6" t="s">
        <v>4</v>
      </c>
      <c r="S71" s="6" t="s">
        <v>5</v>
      </c>
      <c r="T71" s="6" t="s">
        <v>5</v>
      </c>
      <c r="U71" s="6" t="s">
        <v>5</v>
      </c>
      <c r="V71" s="6" t="s">
        <v>5</v>
      </c>
      <c r="W71" s="6" t="s">
        <v>5</v>
      </c>
      <c r="X71" s="6" t="s">
        <v>4</v>
      </c>
      <c r="Y71" s="6" t="s">
        <v>3</v>
      </c>
      <c r="Z71" s="6" t="s">
        <v>2</v>
      </c>
      <c r="AA71" s="6" t="s">
        <v>3</v>
      </c>
      <c r="AB71" s="6" t="s">
        <v>4</v>
      </c>
      <c r="AC71" s="6" t="s">
        <v>4</v>
      </c>
      <c r="AD71" s="6" t="s">
        <v>4</v>
      </c>
      <c r="AE71" s="6" t="s">
        <v>3</v>
      </c>
      <c r="AF71" s="6" t="s">
        <v>4</v>
      </c>
      <c r="AG71" s="6" t="s">
        <v>3</v>
      </c>
      <c r="AH71" s="6" t="s">
        <v>3</v>
      </c>
      <c r="AI71" s="6" t="s">
        <v>3</v>
      </c>
      <c r="AJ71" s="6" t="s">
        <v>3</v>
      </c>
      <c r="AK71" s="6" t="s">
        <v>3</v>
      </c>
      <c r="AL71" s="6" t="s">
        <v>3</v>
      </c>
      <c r="AM71" s="6" t="s">
        <v>3</v>
      </c>
      <c r="AN71" s="6" t="s">
        <v>3</v>
      </c>
    </row>
    <row r="72" spans="1:40">
      <c r="A72" s="6">
        <f t="shared" si="1"/>
        <v>71</v>
      </c>
      <c r="B72" s="6" t="s">
        <v>253</v>
      </c>
      <c r="C72" s="6" t="s">
        <v>537</v>
      </c>
      <c r="D72" s="52">
        <v>6</v>
      </c>
      <c r="E72" s="6" t="s">
        <v>5</v>
      </c>
      <c r="F72" s="6" t="s">
        <v>5</v>
      </c>
      <c r="G72" s="6" t="s">
        <v>3</v>
      </c>
      <c r="H72" s="6" t="s">
        <v>2</v>
      </c>
      <c r="I72" s="6" t="s">
        <v>5</v>
      </c>
      <c r="J72" s="6" t="s">
        <v>5</v>
      </c>
      <c r="K72" s="6" t="s">
        <v>5</v>
      </c>
      <c r="L72" s="6" t="s">
        <v>5</v>
      </c>
      <c r="M72" s="6" t="s">
        <v>2</v>
      </c>
      <c r="N72" s="6" t="s">
        <v>4</v>
      </c>
      <c r="O72" s="6" t="s">
        <v>4</v>
      </c>
      <c r="P72" s="6" t="s">
        <v>2</v>
      </c>
      <c r="Q72" s="6" t="s">
        <v>5</v>
      </c>
      <c r="R72" s="6" t="s">
        <v>2</v>
      </c>
      <c r="S72" s="6" t="s">
        <v>2</v>
      </c>
      <c r="T72" s="6" t="s">
        <v>5</v>
      </c>
      <c r="U72" s="6" t="s">
        <v>3</v>
      </c>
      <c r="V72" s="6" t="s">
        <v>5</v>
      </c>
      <c r="W72" s="6" t="s">
        <v>3</v>
      </c>
      <c r="X72" s="6" t="s">
        <v>2</v>
      </c>
      <c r="Y72" s="6" t="s">
        <v>2</v>
      </c>
      <c r="Z72" s="6" t="s">
        <v>5</v>
      </c>
      <c r="AA72" s="6" t="s">
        <v>3</v>
      </c>
      <c r="AB72" s="6" t="s">
        <v>4</v>
      </c>
      <c r="AC72" s="6" t="s">
        <v>4</v>
      </c>
      <c r="AD72" s="6" t="s">
        <v>4</v>
      </c>
      <c r="AE72" s="6" t="s">
        <v>3</v>
      </c>
      <c r="AF72" s="6" t="s">
        <v>4</v>
      </c>
      <c r="AG72" s="6" t="s">
        <v>3</v>
      </c>
      <c r="AH72" s="6" t="s">
        <v>3</v>
      </c>
      <c r="AI72" s="6" t="s">
        <v>3</v>
      </c>
      <c r="AJ72" s="6" t="s">
        <v>3</v>
      </c>
      <c r="AK72" s="6" t="s">
        <v>3</v>
      </c>
      <c r="AL72" s="6" t="s">
        <v>3</v>
      </c>
      <c r="AM72" s="6" t="s">
        <v>4</v>
      </c>
      <c r="AN72" s="6" t="s">
        <v>3</v>
      </c>
    </row>
    <row r="73" spans="1:40">
      <c r="A73" s="6">
        <f t="shared" si="1"/>
        <v>72</v>
      </c>
      <c r="B73" s="6" t="s">
        <v>275</v>
      </c>
      <c r="C73" s="6" t="s">
        <v>537</v>
      </c>
      <c r="D73" s="52">
        <v>6</v>
      </c>
      <c r="E73" s="6" t="s">
        <v>5</v>
      </c>
      <c r="F73" s="6" t="s">
        <v>3</v>
      </c>
      <c r="G73" s="6" t="s">
        <v>3</v>
      </c>
      <c r="H73" s="6" t="s">
        <v>5</v>
      </c>
      <c r="I73" s="6" t="s">
        <v>5</v>
      </c>
      <c r="J73" s="6" t="s">
        <v>5</v>
      </c>
      <c r="K73" s="6" t="s">
        <v>5</v>
      </c>
      <c r="L73" s="6" t="s">
        <v>2</v>
      </c>
      <c r="M73" s="6" t="s">
        <v>2</v>
      </c>
      <c r="N73" s="6" t="s">
        <v>5</v>
      </c>
      <c r="O73" s="6" t="s">
        <v>3</v>
      </c>
      <c r="P73" s="6" t="s">
        <v>5</v>
      </c>
      <c r="Q73" s="6" t="s">
        <v>5</v>
      </c>
      <c r="R73" s="6" t="s">
        <v>3</v>
      </c>
      <c r="S73" s="6" t="s">
        <v>2</v>
      </c>
      <c r="T73" s="6" t="s">
        <v>5</v>
      </c>
      <c r="U73" s="6" t="s">
        <v>5</v>
      </c>
      <c r="V73" s="6" t="s">
        <v>5</v>
      </c>
      <c r="W73" s="6" t="s">
        <v>5</v>
      </c>
      <c r="X73" s="6" t="s">
        <v>4</v>
      </c>
      <c r="Y73" s="6" t="s">
        <v>4</v>
      </c>
      <c r="Z73" s="6" t="s">
        <v>4</v>
      </c>
      <c r="AA73" s="6" t="s">
        <v>3</v>
      </c>
      <c r="AB73" s="6" t="s">
        <v>4</v>
      </c>
      <c r="AC73" s="6" t="s">
        <v>4</v>
      </c>
      <c r="AD73" s="6" t="s">
        <v>4</v>
      </c>
      <c r="AE73" s="6" t="s">
        <v>4</v>
      </c>
      <c r="AF73" s="6" t="s">
        <v>4</v>
      </c>
      <c r="AG73" s="6" t="s">
        <v>4</v>
      </c>
      <c r="AH73" s="6" t="s">
        <v>3</v>
      </c>
      <c r="AI73" s="6" t="s">
        <v>4</v>
      </c>
      <c r="AJ73" s="6" t="s">
        <v>3</v>
      </c>
      <c r="AK73" s="6" t="s">
        <v>3</v>
      </c>
      <c r="AL73" s="6" t="s">
        <v>3</v>
      </c>
      <c r="AM73" s="6" t="s">
        <v>4</v>
      </c>
      <c r="AN73" s="6" t="s">
        <v>3</v>
      </c>
    </row>
    <row r="74" spans="1:40">
      <c r="A74" s="6">
        <f t="shared" si="1"/>
        <v>73</v>
      </c>
      <c r="B74" s="6" t="s">
        <v>276</v>
      </c>
      <c r="C74" s="6" t="s">
        <v>537</v>
      </c>
      <c r="D74" s="52">
        <v>6</v>
      </c>
      <c r="E74" s="6" t="s">
        <v>5</v>
      </c>
      <c r="F74" s="6" t="s">
        <v>5</v>
      </c>
      <c r="G74" s="6" t="s">
        <v>5</v>
      </c>
      <c r="H74" s="6" t="s">
        <v>5</v>
      </c>
      <c r="I74" s="6" t="s">
        <v>5</v>
      </c>
      <c r="J74" s="6" t="s">
        <v>5</v>
      </c>
      <c r="K74" s="6" t="s">
        <v>5</v>
      </c>
      <c r="L74" s="6" t="s">
        <v>2</v>
      </c>
      <c r="M74" s="6" t="s">
        <v>3</v>
      </c>
      <c r="N74" s="6" t="s">
        <v>5</v>
      </c>
      <c r="O74" s="6" t="s">
        <v>4</v>
      </c>
      <c r="P74" s="6" t="s">
        <v>5</v>
      </c>
      <c r="Q74" s="6" t="s">
        <v>2</v>
      </c>
      <c r="R74" s="6" t="s">
        <v>2</v>
      </c>
      <c r="S74" s="6" t="s">
        <v>2</v>
      </c>
      <c r="T74" s="6" t="s">
        <v>5</v>
      </c>
      <c r="U74" s="6" t="s">
        <v>3</v>
      </c>
      <c r="V74" s="6" t="s">
        <v>5</v>
      </c>
      <c r="W74" s="6" t="s">
        <v>5</v>
      </c>
      <c r="X74" s="6" t="s">
        <v>3</v>
      </c>
      <c r="Y74" s="6" t="s">
        <v>2</v>
      </c>
      <c r="Z74" s="6" t="s">
        <v>2</v>
      </c>
      <c r="AA74" s="6" t="s">
        <v>3</v>
      </c>
      <c r="AB74" s="6" t="s">
        <v>4</v>
      </c>
      <c r="AC74" s="6" t="s">
        <v>4</v>
      </c>
      <c r="AD74" s="6" t="s">
        <v>4</v>
      </c>
      <c r="AE74" s="6" t="s">
        <v>4</v>
      </c>
      <c r="AF74" s="6" t="s">
        <v>4</v>
      </c>
      <c r="AG74" s="6" t="s">
        <v>4</v>
      </c>
      <c r="AH74" s="6" t="s">
        <v>4</v>
      </c>
      <c r="AI74" s="6" t="s">
        <v>4</v>
      </c>
      <c r="AJ74" s="6" t="s">
        <v>3</v>
      </c>
      <c r="AK74" s="6" t="s">
        <v>3</v>
      </c>
      <c r="AL74" s="6" t="s">
        <v>4</v>
      </c>
      <c r="AM74" s="6" t="s">
        <v>4</v>
      </c>
      <c r="AN74" s="6" t="s">
        <v>3</v>
      </c>
    </row>
    <row r="75" spans="1:40">
      <c r="A75" s="6">
        <f t="shared" si="1"/>
        <v>74</v>
      </c>
      <c r="B75" s="6" t="s">
        <v>277</v>
      </c>
      <c r="C75" s="6" t="s">
        <v>537</v>
      </c>
      <c r="D75" s="52">
        <v>6</v>
      </c>
      <c r="E75" s="6" t="s">
        <v>5</v>
      </c>
      <c r="F75" s="6" t="s">
        <v>3</v>
      </c>
      <c r="G75" s="6" t="s">
        <v>4</v>
      </c>
      <c r="H75" s="6" t="s">
        <v>5</v>
      </c>
      <c r="I75" s="6" t="s">
        <v>5</v>
      </c>
      <c r="J75" s="6" t="s">
        <v>3</v>
      </c>
      <c r="K75" s="6" t="s">
        <v>2</v>
      </c>
      <c r="L75" s="6" t="s">
        <v>2</v>
      </c>
      <c r="M75" s="6" t="s">
        <v>3</v>
      </c>
      <c r="N75" s="6" t="s">
        <v>3</v>
      </c>
      <c r="O75" s="6" t="s">
        <v>4</v>
      </c>
      <c r="P75" s="6" t="s">
        <v>5</v>
      </c>
      <c r="Q75" s="6" t="s">
        <v>5</v>
      </c>
      <c r="R75" s="6" t="s">
        <v>3</v>
      </c>
      <c r="S75" s="6" t="s">
        <v>5</v>
      </c>
      <c r="T75" s="6" t="s">
        <v>5</v>
      </c>
      <c r="U75" s="6" t="s">
        <v>5</v>
      </c>
      <c r="V75" s="6" t="s">
        <v>5</v>
      </c>
      <c r="W75" s="6" t="s">
        <v>4</v>
      </c>
      <c r="X75" s="6" t="s">
        <v>4</v>
      </c>
      <c r="Y75" s="6" t="s">
        <v>3</v>
      </c>
      <c r="Z75" s="6" t="s">
        <v>4</v>
      </c>
      <c r="AA75" s="6" t="s">
        <v>3</v>
      </c>
      <c r="AB75" s="6" t="s">
        <v>3</v>
      </c>
      <c r="AC75" s="6" t="s">
        <v>3</v>
      </c>
      <c r="AD75" s="6" t="s">
        <v>4</v>
      </c>
      <c r="AE75" s="6" t="s">
        <v>4</v>
      </c>
      <c r="AF75" s="6" t="s">
        <v>4</v>
      </c>
      <c r="AG75" s="6" t="s">
        <v>4</v>
      </c>
      <c r="AH75" s="6" t="s">
        <v>4</v>
      </c>
      <c r="AI75" s="6" t="s">
        <v>4</v>
      </c>
      <c r="AJ75" s="6" t="s">
        <v>4</v>
      </c>
      <c r="AK75" s="6" t="s">
        <v>4</v>
      </c>
      <c r="AL75" s="6" t="s">
        <v>4</v>
      </c>
      <c r="AM75" s="6" t="s">
        <v>4</v>
      </c>
      <c r="AN75" s="6" t="s">
        <v>4</v>
      </c>
    </row>
    <row r="76" spans="1:40">
      <c r="A76" s="6">
        <f t="shared" si="1"/>
        <v>75</v>
      </c>
      <c r="B76" s="6" t="s">
        <v>278</v>
      </c>
      <c r="C76" s="6" t="s">
        <v>537</v>
      </c>
      <c r="D76" s="52">
        <v>6</v>
      </c>
      <c r="E76" s="6" t="s">
        <v>5</v>
      </c>
      <c r="F76" s="6" t="s">
        <v>5</v>
      </c>
      <c r="G76" s="6" t="s">
        <v>3</v>
      </c>
      <c r="H76" s="6" t="s">
        <v>5</v>
      </c>
      <c r="I76" s="6" t="s">
        <v>5</v>
      </c>
      <c r="J76" s="6" t="s">
        <v>5</v>
      </c>
      <c r="K76" s="6" t="s">
        <v>5</v>
      </c>
      <c r="L76" s="6" t="s">
        <v>2</v>
      </c>
      <c r="M76" s="6" t="s">
        <v>2</v>
      </c>
      <c r="N76" s="6" t="s">
        <v>4</v>
      </c>
      <c r="O76" s="6" t="s">
        <v>4</v>
      </c>
      <c r="P76" s="6" t="s">
        <v>4</v>
      </c>
      <c r="Q76" s="6" t="s">
        <v>5</v>
      </c>
      <c r="R76" s="6" t="s">
        <v>4</v>
      </c>
      <c r="S76" s="6" t="s">
        <v>5</v>
      </c>
      <c r="T76" s="6" t="s">
        <v>5</v>
      </c>
      <c r="U76" s="6" t="s">
        <v>5</v>
      </c>
      <c r="V76" s="6" t="s">
        <v>5</v>
      </c>
      <c r="W76" s="6" t="s">
        <v>3</v>
      </c>
      <c r="X76" s="6" t="s">
        <v>5</v>
      </c>
      <c r="Y76" s="6" t="s">
        <v>2</v>
      </c>
      <c r="Z76" s="6" t="s">
        <v>4</v>
      </c>
      <c r="AA76" s="6" t="s">
        <v>3</v>
      </c>
      <c r="AB76" s="6" t="s">
        <v>4</v>
      </c>
      <c r="AC76" s="6" t="s">
        <v>4</v>
      </c>
      <c r="AD76" s="6" t="s">
        <v>4</v>
      </c>
      <c r="AE76" s="6" t="s">
        <v>4</v>
      </c>
      <c r="AF76" s="6" t="s">
        <v>4</v>
      </c>
      <c r="AG76" s="6" t="s">
        <v>4</v>
      </c>
      <c r="AH76" s="6" t="s">
        <v>3</v>
      </c>
      <c r="AI76" s="6" t="s">
        <v>4</v>
      </c>
      <c r="AJ76" s="6" t="s">
        <v>3</v>
      </c>
      <c r="AK76" s="6" t="s">
        <v>3</v>
      </c>
      <c r="AL76" s="6" t="s">
        <v>4</v>
      </c>
      <c r="AM76" s="6" t="s">
        <v>4</v>
      </c>
      <c r="AN76" s="6" t="s">
        <v>3</v>
      </c>
    </row>
    <row r="77" spans="1:40">
      <c r="A77" s="6">
        <f t="shared" si="1"/>
        <v>76</v>
      </c>
      <c r="B77" s="6" t="s">
        <v>474</v>
      </c>
      <c r="C77" s="6" t="s">
        <v>537</v>
      </c>
      <c r="D77" s="6">
        <v>6</v>
      </c>
      <c r="E77" s="6" t="s">
        <v>5</v>
      </c>
      <c r="F77" s="6" t="s">
        <v>5</v>
      </c>
      <c r="G77" s="6" t="s">
        <v>3</v>
      </c>
      <c r="H77" s="6" t="s">
        <v>5</v>
      </c>
      <c r="I77" s="6" t="s">
        <v>5</v>
      </c>
      <c r="J77" s="6" t="s">
        <v>5</v>
      </c>
      <c r="K77" s="6" t="s">
        <v>2</v>
      </c>
      <c r="L77" s="6" t="s">
        <v>2</v>
      </c>
      <c r="M77" s="6" t="s">
        <v>2</v>
      </c>
      <c r="N77" s="6" t="s">
        <v>2</v>
      </c>
      <c r="O77" s="6" t="s">
        <v>4</v>
      </c>
      <c r="P77" s="6" t="s">
        <v>5</v>
      </c>
      <c r="Q77" s="6" t="s">
        <v>2</v>
      </c>
      <c r="R77" s="6" t="s">
        <v>3</v>
      </c>
      <c r="S77" s="6" t="s">
        <v>3</v>
      </c>
      <c r="T77" s="6" t="s">
        <v>5</v>
      </c>
      <c r="U77" s="6" t="s">
        <v>3</v>
      </c>
      <c r="V77" s="6" t="s">
        <v>2</v>
      </c>
      <c r="W77" s="6" t="s">
        <v>3</v>
      </c>
      <c r="X77" s="6" t="s">
        <v>4</v>
      </c>
      <c r="Y77" s="6" t="s">
        <v>4</v>
      </c>
      <c r="Z77" s="6" t="s">
        <v>4</v>
      </c>
      <c r="AA77" s="6" t="s">
        <v>3</v>
      </c>
      <c r="AB77" s="6" t="s">
        <v>4</v>
      </c>
      <c r="AC77" s="6" t="s">
        <v>4</v>
      </c>
      <c r="AD77" s="6" t="s">
        <v>4</v>
      </c>
      <c r="AE77" s="6" t="s">
        <v>4</v>
      </c>
      <c r="AF77" s="6" t="s">
        <v>4</v>
      </c>
      <c r="AG77" s="6" t="s">
        <v>4</v>
      </c>
      <c r="AH77" s="6" t="s">
        <v>3</v>
      </c>
      <c r="AI77" s="6" t="s">
        <v>4</v>
      </c>
      <c r="AJ77" s="6" t="s">
        <v>3</v>
      </c>
      <c r="AK77" s="6" t="s">
        <v>4</v>
      </c>
      <c r="AL77" s="6" t="s">
        <v>3</v>
      </c>
      <c r="AM77" s="6" t="s">
        <v>3</v>
      </c>
      <c r="AN77" s="6" t="s">
        <v>3</v>
      </c>
    </row>
    <row r="78" spans="1:40">
      <c r="A78" s="6">
        <f t="shared" si="1"/>
        <v>77</v>
      </c>
      <c r="B78" s="6" t="s">
        <v>476</v>
      </c>
      <c r="C78" s="6" t="s">
        <v>537</v>
      </c>
      <c r="D78" s="6">
        <v>6</v>
      </c>
      <c r="E78" s="6" t="s">
        <v>5</v>
      </c>
      <c r="F78" s="6" t="s">
        <v>5</v>
      </c>
      <c r="G78" s="6" t="s">
        <v>5</v>
      </c>
      <c r="H78" s="6" t="s">
        <v>5</v>
      </c>
      <c r="I78" s="6" t="s">
        <v>5</v>
      </c>
      <c r="J78" s="6" t="s">
        <v>5</v>
      </c>
      <c r="K78" s="6" t="s">
        <v>5</v>
      </c>
      <c r="L78" s="6" t="s">
        <v>2</v>
      </c>
      <c r="M78" s="6" t="s">
        <v>3</v>
      </c>
      <c r="N78" s="6" t="s">
        <v>3</v>
      </c>
      <c r="O78" s="6" t="s">
        <v>4</v>
      </c>
      <c r="P78" s="6" t="s">
        <v>3</v>
      </c>
      <c r="Q78" s="6" t="s">
        <v>5</v>
      </c>
      <c r="R78" s="6" t="s">
        <v>3</v>
      </c>
      <c r="S78" s="6" t="s">
        <v>3</v>
      </c>
      <c r="T78" s="6" t="s">
        <v>5</v>
      </c>
      <c r="U78" s="6" t="s">
        <v>3</v>
      </c>
      <c r="V78" s="6" t="s">
        <v>5</v>
      </c>
      <c r="W78" s="6" t="s">
        <v>4</v>
      </c>
      <c r="X78" s="6" t="s">
        <v>2</v>
      </c>
      <c r="Y78" s="6" t="s">
        <v>5</v>
      </c>
      <c r="Z78" s="6" t="s">
        <v>4</v>
      </c>
      <c r="AA78" s="6" t="s">
        <v>3</v>
      </c>
      <c r="AB78" s="6" t="s">
        <v>4</v>
      </c>
      <c r="AC78" s="6" t="s">
        <v>4</v>
      </c>
      <c r="AD78" s="6" t="s">
        <v>4</v>
      </c>
      <c r="AE78" s="6" t="s">
        <v>4</v>
      </c>
      <c r="AF78" s="6" t="s">
        <v>3</v>
      </c>
      <c r="AG78" s="6" t="s">
        <v>4</v>
      </c>
      <c r="AH78" s="6" t="s">
        <v>3</v>
      </c>
      <c r="AI78" s="6" t="s">
        <v>4</v>
      </c>
      <c r="AJ78" s="6" t="s">
        <v>3</v>
      </c>
      <c r="AK78" s="6" t="s">
        <v>4</v>
      </c>
      <c r="AL78" s="6" t="s">
        <v>3</v>
      </c>
      <c r="AM78" s="6" t="s">
        <v>3</v>
      </c>
      <c r="AN78" s="6" t="s">
        <v>3</v>
      </c>
    </row>
    <row r="79" spans="1:40">
      <c r="A79" s="6">
        <f t="shared" si="1"/>
        <v>78</v>
      </c>
      <c r="B79" s="6" t="s">
        <v>489</v>
      </c>
      <c r="C79" s="6" t="s">
        <v>537</v>
      </c>
      <c r="D79" s="6">
        <v>6</v>
      </c>
      <c r="E79" s="6" t="s">
        <v>5</v>
      </c>
      <c r="F79" s="6" t="s">
        <v>5</v>
      </c>
      <c r="G79" s="6" t="s">
        <v>4</v>
      </c>
      <c r="H79" s="6" t="s">
        <v>5</v>
      </c>
      <c r="I79" s="6" t="s">
        <v>5</v>
      </c>
      <c r="J79" s="6" t="s">
        <v>3</v>
      </c>
      <c r="K79" s="6" t="s">
        <v>5</v>
      </c>
      <c r="L79" s="6" t="s">
        <v>2</v>
      </c>
      <c r="M79" s="6" t="s">
        <v>2</v>
      </c>
      <c r="N79" s="6" t="s">
        <v>4</v>
      </c>
      <c r="O79" s="6" t="s">
        <v>3</v>
      </c>
      <c r="P79" s="6" t="s">
        <v>5</v>
      </c>
      <c r="Q79" s="6" t="s">
        <v>5</v>
      </c>
      <c r="R79" s="6" t="s">
        <v>4</v>
      </c>
      <c r="S79" s="6" t="s">
        <v>5</v>
      </c>
      <c r="T79" s="6" t="s">
        <v>5</v>
      </c>
      <c r="U79" s="6" t="s">
        <v>5</v>
      </c>
      <c r="V79" s="6" t="s">
        <v>5</v>
      </c>
      <c r="W79" s="6" t="s">
        <v>2</v>
      </c>
      <c r="X79" s="6" t="s">
        <v>4</v>
      </c>
      <c r="Y79" s="6" t="s">
        <v>5</v>
      </c>
      <c r="Z79" s="6" t="s">
        <v>2</v>
      </c>
      <c r="AA79" s="6" t="s">
        <v>3</v>
      </c>
      <c r="AB79" s="6" t="s">
        <v>4</v>
      </c>
      <c r="AC79" s="6" t="s">
        <v>4</v>
      </c>
      <c r="AD79" s="6" t="s">
        <v>4</v>
      </c>
      <c r="AE79" s="6" t="s">
        <v>4</v>
      </c>
      <c r="AF79" s="6" t="s">
        <v>4</v>
      </c>
      <c r="AG79" s="6" t="s">
        <v>4</v>
      </c>
      <c r="AH79" s="6" t="s">
        <v>3</v>
      </c>
      <c r="AI79" s="6" t="s">
        <v>4</v>
      </c>
      <c r="AJ79" s="6" t="s">
        <v>4</v>
      </c>
      <c r="AK79" s="6" t="s">
        <v>4</v>
      </c>
      <c r="AL79" s="6" t="s">
        <v>3</v>
      </c>
      <c r="AM79" s="6" t="s">
        <v>4</v>
      </c>
      <c r="AN79" s="6" t="s">
        <v>3</v>
      </c>
    </row>
    <row r="80" spans="1:40">
      <c r="A80" s="6">
        <f t="shared" si="1"/>
        <v>79</v>
      </c>
      <c r="B80" s="6" t="s">
        <v>317</v>
      </c>
      <c r="C80" s="6" t="s">
        <v>538</v>
      </c>
      <c r="D80" s="6">
        <v>1</v>
      </c>
      <c r="E80" s="6" t="s">
        <v>4</v>
      </c>
      <c r="F80" s="6" t="s">
        <v>5</v>
      </c>
      <c r="G80" s="6" t="s">
        <v>3</v>
      </c>
      <c r="H80" s="6" t="s">
        <v>5</v>
      </c>
      <c r="I80" s="6" t="s">
        <v>5</v>
      </c>
      <c r="J80" s="6" t="s">
        <v>5</v>
      </c>
      <c r="K80" s="6" t="s">
        <v>2</v>
      </c>
      <c r="L80" s="6" t="s">
        <v>2</v>
      </c>
      <c r="M80" s="6" t="s">
        <v>2</v>
      </c>
      <c r="N80" s="6" t="s">
        <v>2</v>
      </c>
      <c r="O80" s="6" t="s">
        <v>3</v>
      </c>
      <c r="P80" s="6" t="s">
        <v>5</v>
      </c>
      <c r="Q80" s="6" t="s">
        <v>5</v>
      </c>
      <c r="R80" s="6" t="s">
        <v>3</v>
      </c>
      <c r="S80" s="6" t="s">
        <v>3</v>
      </c>
      <c r="T80" s="6" t="s">
        <v>5</v>
      </c>
      <c r="U80" s="6" t="s">
        <v>5</v>
      </c>
      <c r="V80" s="6" t="s">
        <v>5</v>
      </c>
      <c r="W80" s="6" t="s">
        <v>2</v>
      </c>
      <c r="X80" s="6" t="s">
        <v>4</v>
      </c>
      <c r="Y80" s="6" t="s">
        <v>4</v>
      </c>
      <c r="Z80" s="6" t="s">
        <v>2</v>
      </c>
      <c r="AA80" s="6" t="s">
        <v>4</v>
      </c>
      <c r="AB80" s="6" t="s">
        <v>4</v>
      </c>
      <c r="AC80" s="6" t="s">
        <v>4</v>
      </c>
      <c r="AD80" s="6" t="s">
        <v>4</v>
      </c>
      <c r="AE80" s="6" t="s">
        <v>4</v>
      </c>
      <c r="AF80" s="6" t="s">
        <v>4</v>
      </c>
      <c r="AG80" s="6" t="s">
        <v>4</v>
      </c>
      <c r="AH80" s="6" t="s">
        <v>3</v>
      </c>
      <c r="AI80" s="6" t="s">
        <v>4</v>
      </c>
      <c r="AJ80" s="6" t="s">
        <v>3</v>
      </c>
      <c r="AK80" s="6" t="s">
        <v>4</v>
      </c>
      <c r="AL80" s="6" t="s">
        <v>4</v>
      </c>
      <c r="AM80" s="6" t="s">
        <v>4</v>
      </c>
      <c r="AN80" s="6" t="s">
        <v>3</v>
      </c>
    </row>
    <row r="81" spans="1:40">
      <c r="A81" s="6">
        <f t="shared" si="1"/>
        <v>80</v>
      </c>
      <c r="B81" s="6" t="s">
        <v>313</v>
      </c>
      <c r="C81" s="6" t="s">
        <v>538</v>
      </c>
      <c r="D81" s="6">
        <v>1</v>
      </c>
      <c r="E81" s="6" t="s">
        <v>2</v>
      </c>
      <c r="F81" s="6" t="s">
        <v>3</v>
      </c>
      <c r="G81" s="6" t="s">
        <v>4</v>
      </c>
      <c r="H81" s="6" t="s">
        <v>5</v>
      </c>
      <c r="I81" s="6" t="s">
        <v>5</v>
      </c>
      <c r="J81" s="6" t="s">
        <v>5</v>
      </c>
      <c r="K81" s="6" t="s">
        <v>5</v>
      </c>
      <c r="L81" s="6" t="s">
        <v>2</v>
      </c>
      <c r="M81" s="6" t="s">
        <v>3</v>
      </c>
      <c r="N81" s="6" t="s">
        <v>3</v>
      </c>
      <c r="O81" s="6" t="s">
        <v>4</v>
      </c>
      <c r="P81" s="6" t="s">
        <v>3</v>
      </c>
      <c r="Q81" s="6" t="s">
        <v>5</v>
      </c>
      <c r="R81" s="6" t="s">
        <v>3</v>
      </c>
      <c r="S81" s="6" t="s">
        <v>3</v>
      </c>
      <c r="T81" s="6" t="s">
        <v>5</v>
      </c>
      <c r="U81" s="6" t="s">
        <v>5</v>
      </c>
      <c r="V81" s="6" t="s">
        <v>5</v>
      </c>
      <c r="W81" s="6" t="s">
        <v>2</v>
      </c>
      <c r="X81" s="6" t="s">
        <v>4</v>
      </c>
      <c r="Y81" s="6" t="s">
        <v>3</v>
      </c>
      <c r="Z81" s="6" t="s">
        <v>2</v>
      </c>
      <c r="AA81" s="6" t="s">
        <v>3</v>
      </c>
      <c r="AB81" s="6" t="s">
        <v>4</v>
      </c>
      <c r="AC81" s="6" t="s">
        <v>4</v>
      </c>
      <c r="AD81" s="6" t="s">
        <v>4</v>
      </c>
      <c r="AE81" s="6" t="s">
        <v>4</v>
      </c>
      <c r="AF81" s="6" t="s">
        <v>4</v>
      </c>
      <c r="AG81" s="6" t="s">
        <v>4</v>
      </c>
      <c r="AH81" s="6" t="s">
        <v>4</v>
      </c>
      <c r="AI81" s="6" t="s">
        <v>4</v>
      </c>
      <c r="AJ81" s="6" t="s">
        <v>4</v>
      </c>
      <c r="AK81" s="6" t="s">
        <v>4</v>
      </c>
      <c r="AL81" s="6" t="s">
        <v>4</v>
      </c>
      <c r="AM81" s="6" t="s">
        <v>3</v>
      </c>
      <c r="AN81" s="6" t="s">
        <v>3</v>
      </c>
    </row>
    <row r="82" spans="1:40">
      <c r="A82" s="6">
        <f t="shared" si="1"/>
        <v>81</v>
      </c>
      <c r="B82" s="6" t="s">
        <v>316</v>
      </c>
      <c r="C82" s="6" t="s">
        <v>538</v>
      </c>
      <c r="D82" s="6">
        <v>1</v>
      </c>
      <c r="E82" s="6" t="s">
        <v>2</v>
      </c>
      <c r="F82" s="6" t="s">
        <v>5</v>
      </c>
      <c r="G82" s="6" t="s">
        <v>3</v>
      </c>
      <c r="H82" s="6" t="s">
        <v>5</v>
      </c>
      <c r="I82" s="6" t="s">
        <v>5</v>
      </c>
      <c r="J82" s="6" t="s">
        <v>3</v>
      </c>
      <c r="K82" s="6" t="s">
        <v>2</v>
      </c>
      <c r="L82" s="6" t="s">
        <v>2</v>
      </c>
      <c r="M82" s="6" t="s">
        <v>2</v>
      </c>
      <c r="N82" s="6" t="s">
        <v>3</v>
      </c>
      <c r="O82" s="6" t="s">
        <v>4</v>
      </c>
      <c r="P82" s="6" t="s">
        <v>5</v>
      </c>
      <c r="Q82" s="6" t="s">
        <v>5</v>
      </c>
      <c r="R82" s="6" t="s">
        <v>3</v>
      </c>
      <c r="S82" s="6" t="s">
        <v>3</v>
      </c>
      <c r="T82" s="6" t="s">
        <v>5</v>
      </c>
      <c r="U82" s="6" t="s">
        <v>5</v>
      </c>
      <c r="V82" s="6" t="s">
        <v>5</v>
      </c>
      <c r="W82" s="6" t="s">
        <v>5</v>
      </c>
      <c r="X82" s="6" t="s">
        <v>4</v>
      </c>
      <c r="Y82" s="6" t="s">
        <v>3</v>
      </c>
      <c r="Z82" s="6" t="s">
        <v>2</v>
      </c>
      <c r="AA82" s="6" t="s">
        <v>3</v>
      </c>
      <c r="AB82" s="6" t="s">
        <v>4</v>
      </c>
      <c r="AC82" s="6" t="s">
        <v>4</v>
      </c>
      <c r="AD82" s="6" t="s">
        <v>4</v>
      </c>
      <c r="AE82" s="6" t="s">
        <v>4</v>
      </c>
      <c r="AF82" s="6" t="s">
        <v>4</v>
      </c>
      <c r="AG82" s="6" t="s">
        <v>3</v>
      </c>
      <c r="AH82" s="6" t="s">
        <v>3</v>
      </c>
      <c r="AI82" s="6" t="s">
        <v>4</v>
      </c>
      <c r="AJ82" s="6" t="s">
        <v>4</v>
      </c>
      <c r="AK82" s="6" t="s">
        <v>4</v>
      </c>
      <c r="AL82" s="6" t="s">
        <v>4</v>
      </c>
      <c r="AM82" s="6" t="s">
        <v>4</v>
      </c>
      <c r="AN82" s="6" t="s">
        <v>3</v>
      </c>
    </row>
    <row r="83" spans="1:40">
      <c r="A83" s="6">
        <f t="shared" si="1"/>
        <v>82</v>
      </c>
      <c r="B83" s="6" t="s">
        <v>484</v>
      </c>
      <c r="C83" s="6" t="s">
        <v>538</v>
      </c>
      <c r="D83" s="6">
        <v>1</v>
      </c>
      <c r="E83" s="6" t="s">
        <v>5</v>
      </c>
      <c r="F83" s="6" t="s">
        <v>3</v>
      </c>
      <c r="G83" s="6" t="s">
        <v>2</v>
      </c>
      <c r="H83" s="6" t="s">
        <v>3</v>
      </c>
      <c r="I83" s="6" t="s">
        <v>5</v>
      </c>
      <c r="J83" s="6" t="s">
        <v>5</v>
      </c>
      <c r="K83" s="6" t="s">
        <v>5</v>
      </c>
      <c r="L83" s="6" t="s">
        <v>2</v>
      </c>
      <c r="M83" s="6" t="s">
        <v>2</v>
      </c>
      <c r="N83" s="6" t="s">
        <v>2</v>
      </c>
      <c r="O83" s="6" t="s">
        <v>2</v>
      </c>
      <c r="P83" s="6" t="s">
        <v>5</v>
      </c>
      <c r="Q83" s="6" t="s">
        <v>5</v>
      </c>
      <c r="R83" s="6" t="s">
        <v>3</v>
      </c>
      <c r="S83" s="6" t="s">
        <v>3</v>
      </c>
      <c r="T83" s="6" t="s">
        <v>5</v>
      </c>
      <c r="U83" s="6" t="s">
        <v>5</v>
      </c>
      <c r="V83" s="6" t="s">
        <v>5</v>
      </c>
      <c r="W83" s="6" t="s">
        <v>5</v>
      </c>
      <c r="X83" s="6" t="s">
        <v>4</v>
      </c>
      <c r="Y83" s="6" t="s">
        <v>4</v>
      </c>
      <c r="Z83" s="6" t="s">
        <v>4</v>
      </c>
      <c r="AA83" s="6" t="s">
        <v>3</v>
      </c>
      <c r="AB83" s="6" t="s">
        <v>3</v>
      </c>
      <c r="AC83" s="6" t="s">
        <v>3</v>
      </c>
      <c r="AD83" s="6" t="s">
        <v>4</v>
      </c>
      <c r="AE83" s="6" t="s">
        <v>4</v>
      </c>
      <c r="AF83" s="6" t="s">
        <v>4</v>
      </c>
      <c r="AG83" s="6" t="s">
        <v>4</v>
      </c>
      <c r="AH83" s="6" t="s">
        <v>3</v>
      </c>
      <c r="AI83" s="6" t="s">
        <v>4</v>
      </c>
      <c r="AJ83" s="6" t="s">
        <v>3</v>
      </c>
      <c r="AK83" s="6" t="s">
        <v>3</v>
      </c>
      <c r="AL83" s="6" t="s">
        <v>4</v>
      </c>
      <c r="AM83" s="6" t="s">
        <v>4</v>
      </c>
      <c r="AN83" s="6" t="s">
        <v>3</v>
      </c>
    </row>
    <row r="84" spans="1:40">
      <c r="A84" s="6">
        <f t="shared" si="1"/>
        <v>83</v>
      </c>
      <c r="B84" s="6" t="s">
        <v>460</v>
      </c>
      <c r="C84" s="6" t="s">
        <v>538</v>
      </c>
      <c r="D84" s="6">
        <v>1</v>
      </c>
      <c r="E84" s="6" t="s">
        <v>5</v>
      </c>
      <c r="F84" s="6" t="s">
        <v>3</v>
      </c>
      <c r="G84" s="6" t="s">
        <v>4</v>
      </c>
      <c r="H84" s="6" t="s">
        <v>3</v>
      </c>
      <c r="I84" s="6" t="s">
        <v>5</v>
      </c>
      <c r="J84" s="6" t="s">
        <v>5</v>
      </c>
      <c r="K84" s="6" t="s">
        <v>5</v>
      </c>
      <c r="L84" s="6" t="s">
        <v>2</v>
      </c>
      <c r="M84" s="6" t="s">
        <v>3</v>
      </c>
      <c r="N84" s="6" t="s">
        <v>3</v>
      </c>
      <c r="O84" s="6" t="s">
        <v>2</v>
      </c>
      <c r="P84" s="6" t="s">
        <v>4</v>
      </c>
      <c r="Q84" s="6" t="s">
        <v>5</v>
      </c>
      <c r="R84" s="6" t="s">
        <v>3</v>
      </c>
      <c r="S84" s="6" t="s">
        <v>2</v>
      </c>
      <c r="T84" s="6" t="s">
        <v>5</v>
      </c>
      <c r="U84" s="6" t="s">
        <v>5</v>
      </c>
      <c r="V84" s="6" t="s">
        <v>5</v>
      </c>
      <c r="W84" s="6" t="s">
        <v>5</v>
      </c>
      <c r="X84" s="6" t="s">
        <v>4</v>
      </c>
      <c r="Y84" s="6" t="s">
        <v>4</v>
      </c>
      <c r="Z84" s="6" t="s">
        <v>4</v>
      </c>
      <c r="AA84" s="6" t="s">
        <v>3</v>
      </c>
      <c r="AB84" s="6" t="s">
        <v>3</v>
      </c>
      <c r="AC84" s="6" t="s">
        <v>3</v>
      </c>
      <c r="AD84" s="6" t="s">
        <v>4</v>
      </c>
      <c r="AE84" s="6" t="s">
        <v>4</v>
      </c>
      <c r="AF84" s="6" t="s">
        <v>4</v>
      </c>
      <c r="AG84" s="6" t="s">
        <v>4</v>
      </c>
      <c r="AH84" s="6" t="s">
        <v>4</v>
      </c>
      <c r="AI84" s="6" t="s">
        <v>4</v>
      </c>
      <c r="AJ84" s="6" t="s">
        <v>4</v>
      </c>
      <c r="AK84" s="6" t="s">
        <v>4</v>
      </c>
      <c r="AL84" s="6" t="s">
        <v>4</v>
      </c>
      <c r="AM84" s="6" t="s">
        <v>4</v>
      </c>
      <c r="AN84" s="6" t="s">
        <v>3</v>
      </c>
    </row>
    <row r="85" spans="1:40">
      <c r="A85" s="6">
        <f t="shared" si="1"/>
        <v>84</v>
      </c>
      <c r="B85" s="6" t="s">
        <v>483</v>
      </c>
      <c r="C85" s="6" t="s">
        <v>538</v>
      </c>
      <c r="D85" s="6">
        <v>1</v>
      </c>
      <c r="E85" s="6" t="s">
        <v>5</v>
      </c>
      <c r="F85" s="6" t="s">
        <v>3</v>
      </c>
      <c r="G85" s="6" t="s">
        <v>2</v>
      </c>
      <c r="H85" s="6" t="s">
        <v>3</v>
      </c>
      <c r="I85" s="6" t="s">
        <v>5</v>
      </c>
      <c r="J85" s="6" t="s">
        <v>5</v>
      </c>
      <c r="K85" s="6" t="s">
        <v>5</v>
      </c>
      <c r="L85" s="6" t="s">
        <v>2</v>
      </c>
      <c r="M85" s="6" t="s">
        <v>3</v>
      </c>
      <c r="N85" s="6" t="s">
        <v>3</v>
      </c>
      <c r="O85" s="6" t="s">
        <v>2</v>
      </c>
      <c r="P85" s="6" t="s">
        <v>5</v>
      </c>
      <c r="Q85" s="6" t="s">
        <v>5</v>
      </c>
      <c r="R85" s="6" t="s">
        <v>3</v>
      </c>
      <c r="S85" s="6" t="s">
        <v>2</v>
      </c>
      <c r="T85" s="6" t="s">
        <v>5</v>
      </c>
      <c r="U85" s="6" t="s">
        <v>5</v>
      </c>
      <c r="V85" s="6" t="s">
        <v>5</v>
      </c>
      <c r="W85" s="6" t="s">
        <v>4</v>
      </c>
      <c r="X85" s="6" t="s">
        <v>4</v>
      </c>
      <c r="Y85" s="6" t="s">
        <v>4</v>
      </c>
      <c r="Z85" s="6" t="s">
        <v>4</v>
      </c>
      <c r="AA85" s="6" t="s">
        <v>3</v>
      </c>
      <c r="AB85" s="6" t="s">
        <v>3</v>
      </c>
      <c r="AC85" s="6" t="s">
        <v>3</v>
      </c>
      <c r="AD85" s="6" t="s">
        <v>4</v>
      </c>
      <c r="AE85" s="6" t="s">
        <v>4</v>
      </c>
      <c r="AF85" s="6" t="s">
        <v>4</v>
      </c>
      <c r="AG85" s="6" t="s">
        <v>4</v>
      </c>
      <c r="AH85" s="6" t="s">
        <v>3</v>
      </c>
      <c r="AI85" s="6" t="s">
        <v>4</v>
      </c>
      <c r="AJ85" s="6" t="s">
        <v>3</v>
      </c>
      <c r="AK85" s="6" t="s">
        <v>4</v>
      </c>
      <c r="AL85" s="6" t="s">
        <v>4</v>
      </c>
      <c r="AM85" s="6" t="s">
        <v>3</v>
      </c>
      <c r="AN85" s="6" t="s">
        <v>3</v>
      </c>
    </row>
    <row r="86" spans="1:40">
      <c r="A86" s="6">
        <f t="shared" si="1"/>
        <v>85</v>
      </c>
      <c r="B86" s="6" t="s">
        <v>314</v>
      </c>
      <c r="C86" s="6" t="s">
        <v>538</v>
      </c>
      <c r="D86" s="6">
        <v>2</v>
      </c>
      <c r="E86" s="6" t="s">
        <v>5</v>
      </c>
      <c r="F86" s="6" t="s">
        <v>3</v>
      </c>
      <c r="G86" s="6" t="s">
        <v>4</v>
      </c>
      <c r="H86" s="6" t="s">
        <v>3</v>
      </c>
      <c r="I86" s="6" t="s">
        <v>5</v>
      </c>
      <c r="J86" s="6" t="s">
        <v>5</v>
      </c>
      <c r="K86" s="6" t="s">
        <v>3</v>
      </c>
      <c r="L86" s="6" t="s">
        <v>4</v>
      </c>
      <c r="M86" s="6" t="s">
        <v>3</v>
      </c>
      <c r="N86" s="6" t="s">
        <v>3</v>
      </c>
      <c r="O86" s="6" t="s">
        <v>4</v>
      </c>
      <c r="P86" s="6" t="s">
        <v>4</v>
      </c>
      <c r="Q86" s="6" t="s">
        <v>5</v>
      </c>
      <c r="R86" s="6" t="s">
        <v>3</v>
      </c>
      <c r="S86" s="6" t="s">
        <v>4</v>
      </c>
      <c r="T86" s="6" t="s">
        <v>5</v>
      </c>
      <c r="U86" s="6" t="s">
        <v>5</v>
      </c>
      <c r="V86" s="6" t="s">
        <v>5</v>
      </c>
      <c r="W86" s="6" t="s">
        <v>3</v>
      </c>
      <c r="X86" s="6" t="s">
        <v>4</v>
      </c>
      <c r="Y86" s="6" t="s">
        <v>4</v>
      </c>
      <c r="Z86" s="6" t="s">
        <v>4</v>
      </c>
      <c r="AA86" s="6" t="s">
        <v>3</v>
      </c>
      <c r="AB86" s="6" t="s">
        <v>4</v>
      </c>
      <c r="AC86" s="6" t="s">
        <v>4</v>
      </c>
      <c r="AD86" s="6" t="s">
        <v>4</v>
      </c>
      <c r="AE86" s="6" t="s">
        <v>4</v>
      </c>
      <c r="AF86" s="6" t="s">
        <v>4</v>
      </c>
      <c r="AG86" s="6" t="s">
        <v>4</v>
      </c>
      <c r="AH86" s="6" t="s">
        <v>3</v>
      </c>
      <c r="AI86" s="6" t="s">
        <v>4</v>
      </c>
      <c r="AJ86" s="6" t="s">
        <v>3</v>
      </c>
      <c r="AK86" s="6" t="s">
        <v>4</v>
      </c>
      <c r="AL86" s="6" t="s">
        <v>4</v>
      </c>
      <c r="AM86" s="6" t="s">
        <v>4</v>
      </c>
      <c r="AN86" s="6" t="s">
        <v>3</v>
      </c>
    </row>
    <row r="87" spans="1:40">
      <c r="A87" s="6">
        <f t="shared" si="1"/>
        <v>86</v>
      </c>
      <c r="B87" s="6" t="s">
        <v>315</v>
      </c>
      <c r="C87" s="6" t="s">
        <v>538</v>
      </c>
      <c r="D87" s="6">
        <v>2</v>
      </c>
      <c r="E87" s="6" t="s">
        <v>5</v>
      </c>
      <c r="F87" s="6" t="s">
        <v>5</v>
      </c>
      <c r="G87" s="6" t="s">
        <v>3</v>
      </c>
      <c r="H87" s="6" t="s">
        <v>5</v>
      </c>
      <c r="I87" s="6" t="s">
        <v>5</v>
      </c>
      <c r="J87" s="6" t="s">
        <v>5</v>
      </c>
      <c r="K87" s="6" t="s">
        <v>2</v>
      </c>
      <c r="L87" s="6" t="s">
        <v>2</v>
      </c>
      <c r="M87" s="6" t="s">
        <v>3</v>
      </c>
      <c r="N87" s="6" t="s">
        <v>2</v>
      </c>
      <c r="O87" s="6" t="s">
        <v>2</v>
      </c>
      <c r="P87" s="6" t="s">
        <v>3</v>
      </c>
      <c r="Q87" s="6" t="s">
        <v>5</v>
      </c>
      <c r="R87" s="6" t="s">
        <v>3</v>
      </c>
      <c r="S87" s="6" t="s">
        <v>4</v>
      </c>
      <c r="T87" s="6" t="s">
        <v>5</v>
      </c>
      <c r="U87" s="6" t="s">
        <v>5</v>
      </c>
      <c r="V87" s="6" t="s">
        <v>5</v>
      </c>
      <c r="W87" s="6" t="s">
        <v>5</v>
      </c>
      <c r="X87" s="6" t="s">
        <v>4</v>
      </c>
      <c r="Y87" s="6" t="s">
        <v>3</v>
      </c>
      <c r="Z87" s="6" t="s">
        <v>2</v>
      </c>
      <c r="AA87" s="6" t="s">
        <v>3</v>
      </c>
      <c r="AB87" s="6" t="s">
        <v>4</v>
      </c>
      <c r="AC87" s="6" t="s">
        <v>4</v>
      </c>
      <c r="AD87" s="6" t="s">
        <v>4</v>
      </c>
      <c r="AE87" s="6" t="s">
        <v>4</v>
      </c>
      <c r="AF87" s="6" t="s">
        <v>4</v>
      </c>
      <c r="AG87" s="6" t="s">
        <v>4</v>
      </c>
      <c r="AH87" s="6" t="s">
        <v>3</v>
      </c>
      <c r="AI87" s="6" t="s">
        <v>4</v>
      </c>
      <c r="AJ87" s="6" t="s">
        <v>4</v>
      </c>
      <c r="AK87" s="6" t="s">
        <v>4</v>
      </c>
      <c r="AL87" s="6" t="s">
        <v>4</v>
      </c>
      <c r="AM87" s="6" t="s">
        <v>3</v>
      </c>
      <c r="AN87" s="6" t="s">
        <v>4</v>
      </c>
    </row>
    <row r="88" spans="1:40">
      <c r="A88" s="6">
        <f t="shared" si="1"/>
        <v>87</v>
      </c>
      <c r="B88" s="6" t="s">
        <v>318</v>
      </c>
      <c r="C88" s="6" t="s">
        <v>538</v>
      </c>
      <c r="D88" s="6">
        <v>2</v>
      </c>
      <c r="E88" s="6" t="s">
        <v>4</v>
      </c>
      <c r="F88" s="6" t="s">
        <v>5</v>
      </c>
      <c r="G88" s="6" t="s">
        <v>3</v>
      </c>
      <c r="H88" s="6" t="s">
        <v>5</v>
      </c>
      <c r="I88" s="6" t="s">
        <v>5</v>
      </c>
      <c r="J88" s="6" t="s">
        <v>5</v>
      </c>
      <c r="K88" s="6" t="s">
        <v>5</v>
      </c>
      <c r="L88" s="6" t="s">
        <v>2</v>
      </c>
      <c r="M88" s="6" t="s">
        <v>3</v>
      </c>
      <c r="N88" s="6" t="s">
        <v>2</v>
      </c>
      <c r="O88" s="6" t="s">
        <v>3</v>
      </c>
      <c r="P88" s="6" t="s">
        <v>2</v>
      </c>
      <c r="Q88" s="6" t="s">
        <v>5</v>
      </c>
      <c r="R88" s="6" t="s">
        <v>3</v>
      </c>
      <c r="S88" s="6" t="s">
        <v>3</v>
      </c>
      <c r="T88" s="6" t="s">
        <v>5</v>
      </c>
      <c r="U88" s="6" t="s">
        <v>5</v>
      </c>
      <c r="V88" s="6" t="s">
        <v>5</v>
      </c>
      <c r="W88" s="6" t="s">
        <v>4</v>
      </c>
      <c r="X88" s="6" t="s">
        <v>4</v>
      </c>
      <c r="Y88" s="6" t="s">
        <v>3</v>
      </c>
      <c r="Z88" s="6" t="s">
        <v>2</v>
      </c>
      <c r="AA88" s="6" t="s">
        <v>3</v>
      </c>
      <c r="AB88" s="6" t="s">
        <v>4</v>
      </c>
      <c r="AC88" s="6" t="s">
        <v>4</v>
      </c>
      <c r="AD88" s="6" t="s">
        <v>4</v>
      </c>
      <c r="AE88" s="6" t="s">
        <v>4</v>
      </c>
      <c r="AF88" s="6" t="s">
        <v>4</v>
      </c>
      <c r="AG88" s="6" t="s">
        <v>4</v>
      </c>
      <c r="AH88" s="6" t="s">
        <v>3</v>
      </c>
      <c r="AI88" s="6" t="s">
        <v>4</v>
      </c>
      <c r="AJ88" s="6" t="s">
        <v>4</v>
      </c>
      <c r="AK88" s="6" t="s">
        <v>4</v>
      </c>
      <c r="AL88" s="6" t="s">
        <v>4</v>
      </c>
      <c r="AM88" s="6" t="s">
        <v>4</v>
      </c>
      <c r="AN88" s="6" t="s">
        <v>3</v>
      </c>
    </row>
    <row r="89" spans="1:40">
      <c r="A89" s="6">
        <f t="shared" si="1"/>
        <v>88</v>
      </c>
      <c r="B89" s="6" t="s">
        <v>463</v>
      </c>
      <c r="C89" s="6" t="s">
        <v>538</v>
      </c>
      <c r="D89" s="6">
        <v>2</v>
      </c>
      <c r="E89" s="6" t="s">
        <v>2</v>
      </c>
      <c r="F89" s="6" t="s">
        <v>3</v>
      </c>
      <c r="G89" s="6" t="s">
        <v>2</v>
      </c>
      <c r="H89" s="6" t="s">
        <v>5</v>
      </c>
      <c r="I89" s="6" t="s">
        <v>5</v>
      </c>
      <c r="J89" s="6" t="s">
        <v>5</v>
      </c>
      <c r="K89" s="6" t="s">
        <v>5</v>
      </c>
      <c r="L89" s="6" t="s">
        <v>2</v>
      </c>
      <c r="M89" s="6" t="s">
        <v>3</v>
      </c>
      <c r="N89" s="6" t="s">
        <v>3</v>
      </c>
      <c r="O89" s="6" t="s">
        <v>2</v>
      </c>
      <c r="P89" s="6" t="s">
        <v>5</v>
      </c>
      <c r="Q89" s="6" t="s">
        <v>5</v>
      </c>
      <c r="R89" s="6" t="s">
        <v>3</v>
      </c>
      <c r="S89" s="6" t="s">
        <v>2</v>
      </c>
      <c r="T89" s="6" t="s">
        <v>5</v>
      </c>
      <c r="U89" s="6" t="s">
        <v>5</v>
      </c>
      <c r="V89" s="6" t="s">
        <v>5</v>
      </c>
      <c r="W89" s="6" t="s">
        <v>5</v>
      </c>
      <c r="X89" s="6" t="s">
        <v>4</v>
      </c>
      <c r="Y89" s="6" t="s">
        <v>4</v>
      </c>
      <c r="Z89" s="6" t="s">
        <v>4</v>
      </c>
      <c r="AA89" s="6" t="s">
        <v>3</v>
      </c>
      <c r="AB89" s="6" t="s">
        <v>4</v>
      </c>
      <c r="AC89" s="6" t="s">
        <v>4</v>
      </c>
      <c r="AD89" s="6" t="s">
        <v>4</v>
      </c>
      <c r="AE89" s="6" t="s">
        <v>4</v>
      </c>
      <c r="AF89" s="6" t="s">
        <v>4</v>
      </c>
      <c r="AG89" s="6" t="s">
        <v>4</v>
      </c>
      <c r="AH89" s="6" t="s">
        <v>3</v>
      </c>
      <c r="AI89" s="6" t="s">
        <v>4</v>
      </c>
      <c r="AJ89" s="6" t="s">
        <v>3</v>
      </c>
      <c r="AK89" s="6" t="s">
        <v>4</v>
      </c>
      <c r="AL89" s="6" t="s">
        <v>4</v>
      </c>
      <c r="AM89" s="6" t="s">
        <v>4</v>
      </c>
      <c r="AN89" s="6" t="s">
        <v>3</v>
      </c>
    </row>
    <row r="90" spans="1:40">
      <c r="A90" s="6">
        <f t="shared" si="1"/>
        <v>89</v>
      </c>
      <c r="B90" s="6" t="s">
        <v>464</v>
      </c>
      <c r="C90" s="6" t="s">
        <v>538</v>
      </c>
      <c r="D90" s="6">
        <v>2</v>
      </c>
      <c r="E90" s="6" t="s">
        <v>4</v>
      </c>
      <c r="F90" s="6" t="s">
        <v>5</v>
      </c>
      <c r="G90" s="6" t="s">
        <v>5</v>
      </c>
      <c r="H90" s="6" t="s">
        <v>5</v>
      </c>
      <c r="I90" s="6" t="s">
        <v>5</v>
      </c>
      <c r="J90" s="6" t="s">
        <v>5</v>
      </c>
      <c r="K90" s="6" t="s">
        <v>5</v>
      </c>
      <c r="L90" s="6" t="s">
        <v>2</v>
      </c>
      <c r="M90" s="6" t="s">
        <v>3</v>
      </c>
      <c r="N90" s="6" t="s">
        <v>4</v>
      </c>
      <c r="O90" s="6" t="s">
        <v>4</v>
      </c>
      <c r="P90" s="6" t="s">
        <v>2</v>
      </c>
      <c r="Q90" s="6" t="s">
        <v>5</v>
      </c>
      <c r="R90" s="6" t="s">
        <v>4</v>
      </c>
      <c r="S90" s="6" t="s">
        <v>2</v>
      </c>
      <c r="T90" s="6" t="s">
        <v>5</v>
      </c>
      <c r="U90" s="6" t="s">
        <v>2</v>
      </c>
      <c r="V90" s="6" t="s">
        <v>5</v>
      </c>
      <c r="W90" s="6" t="s">
        <v>5</v>
      </c>
      <c r="X90" s="6" t="s">
        <v>2</v>
      </c>
      <c r="Y90" s="6" t="s">
        <v>4</v>
      </c>
      <c r="Z90" s="6" t="s">
        <v>4</v>
      </c>
      <c r="AA90" s="6" t="s">
        <v>3</v>
      </c>
      <c r="AB90" s="6" t="s">
        <v>4</v>
      </c>
      <c r="AC90" s="6" t="s">
        <v>4</v>
      </c>
      <c r="AD90" s="6" t="s">
        <v>4</v>
      </c>
      <c r="AE90" s="6" t="s">
        <v>4</v>
      </c>
      <c r="AF90" s="6" t="s">
        <v>4</v>
      </c>
      <c r="AG90" s="6" t="s">
        <v>4</v>
      </c>
      <c r="AH90" s="6" t="s">
        <v>4</v>
      </c>
      <c r="AI90" s="6" t="s">
        <v>4</v>
      </c>
      <c r="AJ90" s="6" t="s">
        <v>4</v>
      </c>
      <c r="AK90" s="6" t="s">
        <v>4</v>
      </c>
      <c r="AL90" s="6" t="s">
        <v>4</v>
      </c>
      <c r="AM90" s="6" t="s">
        <v>4</v>
      </c>
      <c r="AN90" s="6" t="s">
        <v>3</v>
      </c>
    </row>
    <row r="91" spans="1:40">
      <c r="A91" s="6">
        <f t="shared" si="1"/>
        <v>90</v>
      </c>
      <c r="B91" s="6" t="s">
        <v>490</v>
      </c>
      <c r="C91" s="6" t="s">
        <v>538</v>
      </c>
      <c r="D91" s="6">
        <v>2</v>
      </c>
      <c r="E91" s="6" t="s">
        <v>4</v>
      </c>
      <c r="F91" s="6" t="s">
        <v>5</v>
      </c>
      <c r="G91" s="6" t="s">
        <v>3</v>
      </c>
      <c r="H91" s="6" t="s">
        <v>2</v>
      </c>
      <c r="I91" s="6" t="s">
        <v>5</v>
      </c>
      <c r="J91" s="6" t="s">
        <v>5</v>
      </c>
      <c r="K91" s="6" t="s">
        <v>5</v>
      </c>
      <c r="L91" s="6" t="s">
        <v>2</v>
      </c>
      <c r="M91" s="6" t="s">
        <v>2</v>
      </c>
      <c r="N91" s="6" t="s">
        <v>3</v>
      </c>
      <c r="O91" s="6" t="s">
        <v>4</v>
      </c>
      <c r="P91" s="6" t="s">
        <v>2</v>
      </c>
      <c r="Q91" s="6" t="s">
        <v>5</v>
      </c>
      <c r="R91" s="6" t="s">
        <v>3</v>
      </c>
      <c r="S91" s="6" t="s">
        <v>4</v>
      </c>
      <c r="T91" s="6" t="s">
        <v>5</v>
      </c>
      <c r="U91" s="6" t="s">
        <v>5</v>
      </c>
      <c r="V91" s="6" t="s">
        <v>5</v>
      </c>
      <c r="W91" s="6" t="s">
        <v>4</v>
      </c>
      <c r="X91" s="6" t="s">
        <v>4</v>
      </c>
      <c r="Y91" s="6" t="s">
        <v>3</v>
      </c>
      <c r="Z91" s="6" t="s">
        <v>4</v>
      </c>
      <c r="AA91" s="6" t="s">
        <v>3</v>
      </c>
      <c r="AB91" s="6" t="s">
        <v>4</v>
      </c>
      <c r="AC91" s="6" t="s">
        <v>4</v>
      </c>
      <c r="AD91" s="6" t="s">
        <v>4</v>
      </c>
      <c r="AE91" s="6" t="s">
        <v>4</v>
      </c>
      <c r="AF91" s="6" t="s">
        <v>4</v>
      </c>
      <c r="AG91" s="6" t="s">
        <v>4</v>
      </c>
      <c r="AH91" s="6" t="s">
        <v>3</v>
      </c>
      <c r="AI91" s="6" t="s">
        <v>4</v>
      </c>
      <c r="AJ91" s="6" t="s">
        <v>3</v>
      </c>
      <c r="AK91" s="6" t="s">
        <v>4</v>
      </c>
      <c r="AL91" s="6" t="s">
        <v>4</v>
      </c>
      <c r="AM91" s="6" t="s">
        <v>4</v>
      </c>
      <c r="AN91" s="6" t="s">
        <v>4</v>
      </c>
    </row>
    <row r="92" spans="1:40">
      <c r="A92" s="6">
        <f t="shared" si="1"/>
        <v>91</v>
      </c>
      <c r="B92" s="6" t="s">
        <v>319</v>
      </c>
      <c r="C92" s="6" t="s">
        <v>538</v>
      </c>
      <c r="D92" s="6">
        <v>3</v>
      </c>
      <c r="E92" s="6" t="s">
        <v>2</v>
      </c>
      <c r="F92" s="6" t="s">
        <v>3</v>
      </c>
      <c r="G92" s="6" t="s">
        <v>3</v>
      </c>
      <c r="H92" s="6" t="s">
        <v>2</v>
      </c>
      <c r="I92" s="6" t="s">
        <v>5</v>
      </c>
      <c r="J92" s="6" t="s">
        <v>5</v>
      </c>
      <c r="K92" s="6" t="s">
        <v>5</v>
      </c>
      <c r="L92" s="6" t="s">
        <v>2</v>
      </c>
      <c r="M92" s="6" t="s">
        <v>3</v>
      </c>
      <c r="N92" s="6" t="s">
        <v>3</v>
      </c>
      <c r="O92" s="6" t="s">
        <v>3</v>
      </c>
      <c r="P92" s="6" t="s">
        <v>2</v>
      </c>
      <c r="Q92" s="6" t="s">
        <v>5</v>
      </c>
      <c r="R92" s="6" t="s">
        <v>3</v>
      </c>
      <c r="S92" s="6" t="s">
        <v>3</v>
      </c>
      <c r="T92" s="6" t="s">
        <v>5</v>
      </c>
      <c r="U92" s="6" t="s">
        <v>5</v>
      </c>
      <c r="V92" s="6" t="s">
        <v>5</v>
      </c>
      <c r="W92" s="6" t="s">
        <v>5</v>
      </c>
      <c r="X92" s="6" t="s">
        <v>4</v>
      </c>
      <c r="Y92" s="6" t="s">
        <v>3</v>
      </c>
      <c r="Z92" s="6" t="s">
        <v>2</v>
      </c>
      <c r="AA92" s="6" t="s">
        <v>3</v>
      </c>
      <c r="AB92" s="6" t="s">
        <v>4</v>
      </c>
      <c r="AC92" s="6" t="s">
        <v>4</v>
      </c>
      <c r="AD92" s="6" t="s">
        <v>4</v>
      </c>
      <c r="AE92" s="6" t="s">
        <v>4</v>
      </c>
      <c r="AF92" s="6" t="s">
        <v>4</v>
      </c>
      <c r="AG92" s="6" t="s">
        <v>4</v>
      </c>
      <c r="AH92" s="6" t="s">
        <v>3</v>
      </c>
      <c r="AI92" s="6" t="s">
        <v>4</v>
      </c>
      <c r="AJ92" s="6" t="s">
        <v>3</v>
      </c>
      <c r="AK92" s="6" t="s">
        <v>4</v>
      </c>
      <c r="AL92" s="6" t="s">
        <v>4</v>
      </c>
      <c r="AM92" s="6" t="s">
        <v>3</v>
      </c>
      <c r="AN92" s="6" t="s">
        <v>3</v>
      </c>
    </row>
    <row r="93" spans="1:40">
      <c r="A93" s="6">
        <f t="shared" si="1"/>
        <v>92</v>
      </c>
      <c r="B93" s="6" t="s">
        <v>501</v>
      </c>
      <c r="C93" s="6" t="s">
        <v>538</v>
      </c>
      <c r="D93" s="6">
        <v>3</v>
      </c>
      <c r="E93" s="6" t="s">
        <v>2</v>
      </c>
      <c r="F93" s="6" t="s">
        <v>3</v>
      </c>
      <c r="G93" s="6" t="s">
        <v>3</v>
      </c>
      <c r="H93" s="6" t="s">
        <v>2</v>
      </c>
      <c r="I93" s="6" t="s">
        <v>5</v>
      </c>
      <c r="J93" s="6" t="s">
        <v>2</v>
      </c>
      <c r="K93" s="6" t="s">
        <v>5</v>
      </c>
      <c r="L93" s="6" t="s">
        <v>2</v>
      </c>
      <c r="M93" s="6" t="s">
        <v>3</v>
      </c>
      <c r="N93" s="6" t="s">
        <v>4</v>
      </c>
      <c r="O93" s="6" t="s">
        <v>4</v>
      </c>
      <c r="P93" s="6" t="s">
        <v>5</v>
      </c>
      <c r="Q93" s="6" t="s">
        <v>5</v>
      </c>
      <c r="R93" s="6" t="s">
        <v>4</v>
      </c>
      <c r="S93" s="6" t="s">
        <v>5</v>
      </c>
      <c r="T93" s="6" t="s">
        <v>5</v>
      </c>
      <c r="U93" s="6" t="s">
        <v>5</v>
      </c>
      <c r="V93" s="6" t="s">
        <v>5</v>
      </c>
      <c r="W93" s="6" t="s">
        <v>5</v>
      </c>
      <c r="X93" s="6" t="s">
        <v>4</v>
      </c>
      <c r="Y93" s="6" t="s">
        <v>3</v>
      </c>
      <c r="Z93" s="6" t="s">
        <v>4</v>
      </c>
      <c r="AA93" s="6" t="s">
        <v>4</v>
      </c>
      <c r="AB93" s="6" t="s">
        <v>4</v>
      </c>
      <c r="AC93" s="6" t="s">
        <v>4</v>
      </c>
      <c r="AD93" s="6" t="s">
        <v>4</v>
      </c>
      <c r="AE93" s="6" t="s">
        <v>4</v>
      </c>
      <c r="AF93" s="6" t="s">
        <v>4</v>
      </c>
      <c r="AG93" s="6" t="s">
        <v>4</v>
      </c>
      <c r="AH93" s="6" t="s">
        <v>4</v>
      </c>
      <c r="AI93" s="6" t="s">
        <v>4</v>
      </c>
      <c r="AJ93" s="6" t="s">
        <v>3</v>
      </c>
      <c r="AK93" s="6" t="s">
        <v>4</v>
      </c>
      <c r="AL93" s="6" t="s">
        <v>4</v>
      </c>
      <c r="AM93" s="6" t="s">
        <v>3</v>
      </c>
      <c r="AN93" s="6" t="s">
        <v>4</v>
      </c>
    </row>
    <row r="94" spans="1:40">
      <c r="A94" s="6">
        <f t="shared" si="1"/>
        <v>93</v>
      </c>
      <c r="B94" s="6" t="s">
        <v>320</v>
      </c>
      <c r="C94" s="6" t="s">
        <v>538</v>
      </c>
      <c r="D94" s="6">
        <v>3</v>
      </c>
      <c r="E94" s="6" t="s">
        <v>2</v>
      </c>
      <c r="F94" s="6" t="s">
        <v>3</v>
      </c>
      <c r="G94" s="6" t="s">
        <v>3</v>
      </c>
      <c r="H94" s="6" t="s">
        <v>5</v>
      </c>
      <c r="I94" s="6" t="s">
        <v>5</v>
      </c>
      <c r="J94" s="6" t="s">
        <v>5</v>
      </c>
      <c r="K94" s="6" t="s">
        <v>2</v>
      </c>
      <c r="L94" s="6" t="s">
        <v>2</v>
      </c>
      <c r="M94" s="6" t="s">
        <v>3</v>
      </c>
      <c r="N94" s="6" t="s">
        <v>3</v>
      </c>
      <c r="O94" s="6" t="s">
        <v>4</v>
      </c>
      <c r="P94" s="6" t="s">
        <v>5</v>
      </c>
      <c r="Q94" s="6" t="s">
        <v>2</v>
      </c>
      <c r="R94" s="6" t="s">
        <v>3</v>
      </c>
      <c r="S94" s="6" t="s">
        <v>2</v>
      </c>
      <c r="T94" s="6" t="s">
        <v>5</v>
      </c>
      <c r="U94" s="6" t="s">
        <v>5</v>
      </c>
      <c r="V94" s="6" t="s">
        <v>5</v>
      </c>
      <c r="W94" s="6" t="s">
        <v>5</v>
      </c>
      <c r="X94" s="6" t="s">
        <v>4</v>
      </c>
      <c r="Y94" s="6" t="s">
        <v>3</v>
      </c>
      <c r="Z94" s="6" t="s">
        <v>3</v>
      </c>
      <c r="AA94" s="6" t="s">
        <v>3</v>
      </c>
      <c r="AB94" s="6" t="s">
        <v>4</v>
      </c>
      <c r="AC94" s="6" t="s">
        <v>4</v>
      </c>
      <c r="AD94" s="6" t="s">
        <v>4</v>
      </c>
      <c r="AE94" s="6" t="s">
        <v>4</v>
      </c>
      <c r="AF94" s="6" t="s">
        <v>4</v>
      </c>
      <c r="AG94" s="6" t="s">
        <v>4</v>
      </c>
      <c r="AH94" s="6" t="s">
        <v>3</v>
      </c>
      <c r="AI94" s="6" t="s">
        <v>4</v>
      </c>
      <c r="AJ94" s="6" t="s">
        <v>3</v>
      </c>
      <c r="AK94" s="6" t="s">
        <v>4</v>
      </c>
      <c r="AL94" s="6" t="s">
        <v>4</v>
      </c>
      <c r="AM94" s="6" t="s">
        <v>3</v>
      </c>
      <c r="AN94" s="6" t="s">
        <v>3</v>
      </c>
    </row>
    <row r="95" spans="1:40">
      <c r="A95" s="6">
        <f t="shared" si="1"/>
        <v>94</v>
      </c>
      <c r="B95" s="6" t="s">
        <v>467</v>
      </c>
      <c r="C95" s="6" t="s">
        <v>538</v>
      </c>
      <c r="D95" s="6">
        <v>3</v>
      </c>
      <c r="E95" s="6" t="s">
        <v>2</v>
      </c>
      <c r="F95" s="6" t="s">
        <v>5</v>
      </c>
      <c r="G95" s="6" t="s">
        <v>3</v>
      </c>
      <c r="H95" s="6" t="s">
        <v>3</v>
      </c>
      <c r="I95" s="6" t="s">
        <v>5</v>
      </c>
      <c r="J95" s="6" t="s">
        <v>5</v>
      </c>
      <c r="K95" s="6" t="s">
        <v>2</v>
      </c>
      <c r="L95" s="6" t="s">
        <v>2</v>
      </c>
      <c r="M95" s="6" t="s">
        <v>3</v>
      </c>
      <c r="N95" s="6" t="s">
        <v>4</v>
      </c>
      <c r="O95" s="6" t="s">
        <v>4</v>
      </c>
      <c r="P95" s="6" t="s">
        <v>5</v>
      </c>
      <c r="Q95" s="6" t="s">
        <v>3</v>
      </c>
      <c r="R95" s="6" t="s">
        <v>3</v>
      </c>
      <c r="S95" s="6" t="s">
        <v>2</v>
      </c>
      <c r="T95" s="6" t="s">
        <v>5</v>
      </c>
      <c r="U95" s="6" t="s">
        <v>3</v>
      </c>
      <c r="V95" s="6" t="s">
        <v>2</v>
      </c>
      <c r="W95" s="6" t="s">
        <v>5</v>
      </c>
      <c r="X95" s="6" t="s">
        <v>4</v>
      </c>
      <c r="Y95" s="6" t="s">
        <v>3</v>
      </c>
      <c r="Z95" s="6" t="s">
        <v>2</v>
      </c>
      <c r="AA95" s="6" t="s">
        <v>3</v>
      </c>
      <c r="AB95" s="6" t="s">
        <v>4</v>
      </c>
      <c r="AC95" s="6" t="s">
        <v>4</v>
      </c>
      <c r="AD95" s="6" t="s">
        <v>4</v>
      </c>
      <c r="AE95" s="6" t="s">
        <v>4</v>
      </c>
      <c r="AF95" s="6" t="s">
        <v>4</v>
      </c>
      <c r="AG95" s="6" t="s">
        <v>4</v>
      </c>
      <c r="AH95" s="6" t="s">
        <v>3</v>
      </c>
      <c r="AI95" s="6" t="s">
        <v>4</v>
      </c>
      <c r="AJ95" s="6" t="s">
        <v>3</v>
      </c>
      <c r="AK95" s="6" t="s">
        <v>4</v>
      </c>
      <c r="AL95" s="6" t="s">
        <v>4</v>
      </c>
      <c r="AM95" s="6" t="s">
        <v>4</v>
      </c>
      <c r="AN95" s="6" t="s">
        <v>3</v>
      </c>
    </row>
    <row r="96" spans="1:40">
      <c r="A96" s="6">
        <f t="shared" si="1"/>
        <v>95</v>
      </c>
      <c r="B96" s="6" t="s">
        <v>468</v>
      </c>
      <c r="C96" s="6" t="s">
        <v>538</v>
      </c>
      <c r="D96" s="6">
        <v>3</v>
      </c>
      <c r="E96" s="6" t="s">
        <v>4</v>
      </c>
      <c r="F96" s="6" t="s">
        <v>3</v>
      </c>
      <c r="G96" s="6" t="s">
        <v>5</v>
      </c>
      <c r="H96" s="6" t="s">
        <v>5</v>
      </c>
      <c r="I96" s="6" t="s">
        <v>5</v>
      </c>
      <c r="J96" s="6" t="s">
        <v>5</v>
      </c>
      <c r="K96" s="6" t="s">
        <v>5</v>
      </c>
      <c r="L96" s="6" t="s">
        <v>2</v>
      </c>
      <c r="M96" s="6" t="s">
        <v>3</v>
      </c>
      <c r="N96" s="6" t="s">
        <v>3</v>
      </c>
      <c r="O96" s="6" t="s">
        <v>2</v>
      </c>
      <c r="P96" s="6" t="s">
        <v>2</v>
      </c>
      <c r="Q96" s="6" t="s">
        <v>5</v>
      </c>
      <c r="R96" s="6" t="s">
        <v>3</v>
      </c>
      <c r="S96" s="6" t="s">
        <v>2</v>
      </c>
      <c r="T96" s="6" t="s">
        <v>2</v>
      </c>
      <c r="U96" s="6" t="s">
        <v>5</v>
      </c>
      <c r="V96" s="6" t="s">
        <v>5</v>
      </c>
      <c r="W96" s="6" t="s">
        <v>5</v>
      </c>
      <c r="X96" s="6" t="s">
        <v>3</v>
      </c>
      <c r="Y96" s="6" t="s">
        <v>5</v>
      </c>
      <c r="Z96" s="6" t="s">
        <v>5</v>
      </c>
      <c r="AA96" s="6" t="s">
        <v>4</v>
      </c>
      <c r="AB96" s="6" t="s">
        <v>4</v>
      </c>
      <c r="AC96" s="6" t="s">
        <v>4</v>
      </c>
      <c r="AD96" s="6" t="s">
        <v>4</v>
      </c>
      <c r="AE96" s="6" t="s">
        <v>4</v>
      </c>
      <c r="AF96" s="6" t="s">
        <v>4</v>
      </c>
      <c r="AG96" s="6" t="s">
        <v>4</v>
      </c>
      <c r="AH96" s="6" t="s">
        <v>3</v>
      </c>
      <c r="AI96" s="6" t="s">
        <v>4</v>
      </c>
      <c r="AJ96" s="6" t="s">
        <v>3</v>
      </c>
      <c r="AK96" s="6" t="s">
        <v>4</v>
      </c>
      <c r="AL96" s="6" t="s">
        <v>4</v>
      </c>
      <c r="AM96" s="6" t="s">
        <v>3</v>
      </c>
      <c r="AN96" s="6" t="s">
        <v>3</v>
      </c>
    </row>
    <row r="97" spans="1:40">
      <c r="A97" s="6">
        <f t="shared" si="1"/>
        <v>96</v>
      </c>
      <c r="B97" s="6" t="s">
        <v>492</v>
      </c>
      <c r="C97" s="6" t="s">
        <v>538</v>
      </c>
      <c r="D97" s="6">
        <v>3</v>
      </c>
      <c r="E97" s="6" t="s">
        <v>5</v>
      </c>
      <c r="F97" s="6" t="s">
        <v>4</v>
      </c>
      <c r="G97" s="6" t="s">
        <v>4</v>
      </c>
      <c r="H97" s="6" t="s">
        <v>5</v>
      </c>
      <c r="I97" s="6" t="s">
        <v>5</v>
      </c>
      <c r="J97" s="6" t="s">
        <v>5</v>
      </c>
      <c r="K97" s="6" t="s">
        <v>5</v>
      </c>
      <c r="L97" s="6" t="s">
        <v>2</v>
      </c>
      <c r="M97" s="6" t="s">
        <v>2</v>
      </c>
      <c r="N97" s="6" t="s">
        <v>3</v>
      </c>
      <c r="O97" s="6" t="s">
        <v>4</v>
      </c>
      <c r="P97" s="6" t="s">
        <v>2</v>
      </c>
      <c r="Q97" s="6" t="s">
        <v>2</v>
      </c>
      <c r="R97" s="6" t="s">
        <v>2</v>
      </c>
      <c r="S97" s="6" t="s">
        <v>5</v>
      </c>
      <c r="T97" s="6" t="s">
        <v>5</v>
      </c>
      <c r="U97" s="6" t="s">
        <v>3</v>
      </c>
      <c r="V97" s="6" t="s">
        <v>3</v>
      </c>
      <c r="W97" s="6" t="s">
        <v>2</v>
      </c>
      <c r="X97" s="6" t="s">
        <v>4</v>
      </c>
      <c r="Y97" s="6" t="s">
        <v>5</v>
      </c>
      <c r="Z97" s="6" t="s">
        <v>3</v>
      </c>
      <c r="AA97" s="6" t="s">
        <v>3</v>
      </c>
      <c r="AB97" s="6" t="s">
        <v>3</v>
      </c>
      <c r="AC97" s="6" t="s">
        <v>3</v>
      </c>
      <c r="AD97" s="6" t="s">
        <v>4</v>
      </c>
      <c r="AE97" s="6" t="s">
        <v>4</v>
      </c>
      <c r="AF97" s="6" t="s">
        <v>4</v>
      </c>
      <c r="AG97" s="6" t="s">
        <v>4</v>
      </c>
      <c r="AH97" s="6" t="s">
        <v>3</v>
      </c>
      <c r="AI97" s="6" t="s">
        <v>4</v>
      </c>
      <c r="AJ97" s="6" t="s">
        <v>4</v>
      </c>
      <c r="AK97" s="6" t="s">
        <v>4</v>
      </c>
      <c r="AL97" s="6" t="s">
        <v>4</v>
      </c>
      <c r="AM97" s="6" t="s">
        <v>4</v>
      </c>
      <c r="AN97" s="6" t="s">
        <v>3</v>
      </c>
    </row>
    <row r="98" spans="1:40">
      <c r="A98" s="6">
        <f t="shared" si="1"/>
        <v>97</v>
      </c>
      <c r="B98" s="6" t="s">
        <v>321</v>
      </c>
      <c r="C98" s="6" t="s">
        <v>538</v>
      </c>
      <c r="D98" s="6">
        <v>4</v>
      </c>
      <c r="E98" s="6" t="s">
        <v>3</v>
      </c>
      <c r="F98" s="6" t="s">
        <v>3</v>
      </c>
      <c r="G98" s="6" t="s">
        <v>3</v>
      </c>
      <c r="H98" s="6" t="s">
        <v>5</v>
      </c>
      <c r="I98" s="6" t="s">
        <v>5</v>
      </c>
      <c r="J98" s="6" t="s">
        <v>5</v>
      </c>
      <c r="K98" s="6" t="s">
        <v>5</v>
      </c>
      <c r="L98" s="6" t="s">
        <v>2</v>
      </c>
      <c r="M98" s="6" t="s">
        <v>2</v>
      </c>
      <c r="N98" s="6" t="s">
        <v>3</v>
      </c>
      <c r="O98" s="6" t="s">
        <v>4</v>
      </c>
      <c r="P98" s="6" t="s">
        <v>5</v>
      </c>
      <c r="Q98" s="6" t="s">
        <v>5</v>
      </c>
      <c r="R98" s="6" t="s">
        <v>3</v>
      </c>
      <c r="S98" s="6" t="s">
        <v>2</v>
      </c>
      <c r="T98" s="6" t="s">
        <v>5</v>
      </c>
      <c r="U98" s="6" t="s">
        <v>5</v>
      </c>
      <c r="V98" s="6" t="s">
        <v>5</v>
      </c>
      <c r="W98" s="6" t="s">
        <v>4</v>
      </c>
      <c r="X98" s="6" t="s">
        <v>4</v>
      </c>
      <c r="Y98" s="6" t="s">
        <v>4</v>
      </c>
      <c r="Z98" s="6" t="s">
        <v>2</v>
      </c>
      <c r="AA98" s="6" t="s">
        <v>3</v>
      </c>
      <c r="AB98" s="6" t="s">
        <v>4</v>
      </c>
      <c r="AC98" s="6" t="s">
        <v>4</v>
      </c>
      <c r="AD98" s="6" t="s">
        <v>4</v>
      </c>
      <c r="AE98" s="6" t="s">
        <v>4</v>
      </c>
      <c r="AF98" s="6" t="s">
        <v>4</v>
      </c>
      <c r="AG98" s="6" t="s">
        <v>3</v>
      </c>
      <c r="AH98" s="6" t="s">
        <v>3</v>
      </c>
      <c r="AI98" s="6" t="s">
        <v>4</v>
      </c>
      <c r="AJ98" s="6" t="s">
        <v>3</v>
      </c>
      <c r="AK98" s="6" t="s">
        <v>3</v>
      </c>
      <c r="AL98" s="6" t="s">
        <v>4</v>
      </c>
      <c r="AM98" s="6" t="s">
        <v>4</v>
      </c>
      <c r="AN98" s="6" t="s">
        <v>3</v>
      </c>
    </row>
    <row r="99" spans="1:40">
      <c r="A99" s="6">
        <f t="shared" si="1"/>
        <v>98</v>
      </c>
      <c r="B99" s="6" t="s">
        <v>322</v>
      </c>
      <c r="C99" s="6" t="s">
        <v>538</v>
      </c>
      <c r="D99" s="6">
        <v>4</v>
      </c>
      <c r="E99" s="6" t="s">
        <v>5</v>
      </c>
      <c r="F99" s="6" t="s">
        <v>5</v>
      </c>
      <c r="G99" s="6" t="s">
        <v>2</v>
      </c>
      <c r="H99" s="6" t="s">
        <v>5</v>
      </c>
      <c r="I99" s="6" t="s">
        <v>5</v>
      </c>
      <c r="J99" s="6" t="s">
        <v>5</v>
      </c>
      <c r="K99" s="6" t="s">
        <v>5</v>
      </c>
      <c r="L99" s="6" t="s">
        <v>2</v>
      </c>
      <c r="M99" s="6" t="s">
        <v>2</v>
      </c>
      <c r="N99" s="6" t="s">
        <v>2</v>
      </c>
      <c r="O99" s="6" t="s">
        <v>3</v>
      </c>
      <c r="P99" s="6" t="s">
        <v>5</v>
      </c>
      <c r="Q99" s="6" t="s">
        <v>5</v>
      </c>
      <c r="R99" s="6" t="s">
        <v>2</v>
      </c>
      <c r="S99" s="6" t="s">
        <v>2</v>
      </c>
      <c r="T99" s="6" t="s">
        <v>5</v>
      </c>
      <c r="U99" s="6" t="s">
        <v>5</v>
      </c>
      <c r="V99" s="6" t="s">
        <v>5</v>
      </c>
      <c r="W99" s="6" t="s">
        <v>5</v>
      </c>
      <c r="X99" s="6" t="s">
        <v>3</v>
      </c>
      <c r="Y99" s="6" t="s">
        <v>3</v>
      </c>
      <c r="Z99" s="6" t="s">
        <v>2</v>
      </c>
      <c r="AA99" s="6" t="s">
        <v>3</v>
      </c>
      <c r="AB99" s="6" t="s">
        <v>4</v>
      </c>
      <c r="AC99" s="6" t="s">
        <v>4</v>
      </c>
      <c r="AD99" s="6" t="s">
        <v>4</v>
      </c>
      <c r="AE99" s="6" t="s">
        <v>4</v>
      </c>
      <c r="AF99" s="6" t="s">
        <v>4</v>
      </c>
      <c r="AG99" s="6" t="s">
        <v>3</v>
      </c>
      <c r="AH99" s="6" t="s">
        <v>3</v>
      </c>
      <c r="AI99" s="6" t="s">
        <v>4</v>
      </c>
      <c r="AJ99" s="6" t="s">
        <v>3</v>
      </c>
      <c r="AK99" s="6" t="s">
        <v>3</v>
      </c>
      <c r="AL99" s="6" t="s">
        <v>4</v>
      </c>
      <c r="AM99" s="6" t="s">
        <v>3</v>
      </c>
      <c r="AN99" s="6" t="s">
        <v>3</v>
      </c>
    </row>
    <row r="100" spans="1:40">
      <c r="A100" s="6">
        <f t="shared" si="1"/>
        <v>99</v>
      </c>
      <c r="B100" s="6" t="s">
        <v>323</v>
      </c>
      <c r="C100" s="6" t="s">
        <v>538</v>
      </c>
      <c r="D100" s="6">
        <v>4</v>
      </c>
      <c r="E100" s="6" t="s">
        <v>5</v>
      </c>
      <c r="F100" s="6" t="s">
        <v>3</v>
      </c>
      <c r="G100" s="6" t="s">
        <v>2</v>
      </c>
      <c r="H100" s="6" t="s">
        <v>5</v>
      </c>
      <c r="I100" s="6" t="s">
        <v>5</v>
      </c>
      <c r="J100" s="6" t="s">
        <v>5</v>
      </c>
      <c r="K100" s="6" t="s">
        <v>2</v>
      </c>
      <c r="L100" s="6" t="s">
        <v>2</v>
      </c>
      <c r="M100" s="6" t="s">
        <v>3</v>
      </c>
      <c r="N100" s="6" t="s">
        <v>3</v>
      </c>
      <c r="O100" s="6" t="s">
        <v>3</v>
      </c>
      <c r="P100" s="6" t="s">
        <v>3</v>
      </c>
      <c r="Q100" s="6" t="s">
        <v>2</v>
      </c>
      <c r="R100" s="6" t="s">
        <v>2</v>
      </c>
      <c r="S100" s="6" t="s">
        <v>2</v>
      </c>
      <c r="T100" s="6" t="s">
        <v>5</v>
      </c>
      <c r="U100" s="6" t="s">
        <v>2</v>
      </c>
      <c r="V100" s="6" t="s">
        <v>2</v>
      </c>
      <c r="W100" s="6" t="s">
        <v>5</v>
      </c>
      <c r="X100" s="6" t="s">
        <v>3</v>
      </c>
      <c r="Y100" s="6" t="s">
        <v>2</v>
      </c>
      <c r="Z100" s="6" t="s">
        <v>2</v>
      </c>
      <c r="AA100" s="6" t="s">
        <v>3</v>
      </c>
      <c r="AB100" s="6" t="s">
        <v>4</v>
      </c>
      <c r="AC100" s="6" t="s">
        <v>4</v>
      </c>
      <c r="AD100" s="6" t="s">
        <v>4</v>
      </c>
      <c r="AE100" s="6" t="s">
        <v>4</v>
      </c>
      <c r="AF100" s="6" t="s">
        <v>4</v>
      </c>
      <c r="AG100" s="6" t="s">
        <v>3</v>
      </c>
      <c r="AH100" s="6" t="s">
        <v>3</v>
      </c>
      <c r="AI100" s="6" t="s">
        <v>4</v>
      </c>
      <c r="AJ100" s="6" t="s">
        <v>3</v>
      </c>
      <c r="AK100" s="6" t="s">
        <v>4</v>
      </c>
      <c r="AL100" s="6" t="s">
        <v>4</v>
      </c>
      <c r="AM100" s="6" t="s">
        <v>4</v>
      </c>
      <c r="AN100" s="6" t="s">
        <v>3</v>
      </c>
    </row>
    <row r="101" spans="1:40">
      <c r="A101" s="6">
        <f t="shared" si="1"/>
        <v>100</v>
      </c>
      <c r="B101" s="6" t="s">
        <v>471</v>
      </c>
      <c r="C101" s="6" t="s">
        <v>538</v>
      </c>
      <c r="D101" s="6">
        <v>4</v>
      </c>
      <c r="E101" s="6" t="s">
        <v>5</v>
      </c>
      <c r="F101" s="6" t="s">
        <v>5</v>
      </c>
      <c r="G101" s="6" t="s">
        <v>2</v>
      </c>
      <c r="H101" s="6" t="s">
        <v>5</v>
      </c>
      <c r="I101" s="6" t="s">
        <v>5</v>
      </c>
      <c r="J101" s="6" t="s">
        <v>5</v>
      </c>
      <c r="K101" s="6" t="s">
        <v>5</v>
      </c>
      <c r="L101" s="6" t="s">
        <v>2</v>
      </c>
      <c r="M101" s="6" t="s">
        <v>3</v>
      </c>
      <c r="N101" s="6" t="s">
        <v>4</v>
      </c>
      <c r="O101" s="6" t="s">
        <v>4</v>
      </c>
      <c r="P101" s="6" t="s">
        <v>3</v>
      </c>
      <c r="Q101" s="6" t="s">
        <v>2</v>
      </c>
      <c r="R101" s="6" t="s">
        <v>2</v>
      </c>
      <c r="S101" s="6" t="s">
        <v>3</v>
      </c>
      <c r="T101" s="6" t="s">
        <v>5</v>
      </c>
      <c r="U101" s="6" t="s">
        <v>3</v>
      </c>
      <c r="V101" s="6" t="s">
        <v>2</v>
      </c>
      <c r="W101" s="6" t="s">
        <v>5</v>
      </c>
      <c r="X101" s="6" t="s">
        <v>3</v>
      </c>
      <c r="Y101" s="6" t="s">
        <v>4</v>
      </c>
      <c r="Z101" s="6" t="s">
        <v>4</v>
      </c>
      <c r="AA101" s="6" t="s">
        <v>3</v>
      </c>
      <c r="AB101" s="6" t="s">
        <v>4</v>
      </c>
      <c r="AC101" s="6" t="s">
        <v>4</v>
      </c>
      <c r="AD101" s="6" t="s">
        <v>4</v>
      </c>
      <c r="AE101" s="6" t="s">
        <v>4</v>
      </c>
      <c r="AF101" s="6" t="s">
        <v>4</v>
      </c>
      <c r="AG101" s="6" t="s">
        <v>4</v>
      </c>
      <c r="AH101" s="6" t="s">
        <v>3</v>
      </c>
      <c r="AI101" s="6" t="s">
        <v>3</v>
      </c>
      <c r="AJ101" s="6" t="s">
        <v>3</v>
      </c>
      <c r="AK101" s="6" t="s">
        <v>4</v>
      </c>
      <c r="AL101" s="6" t="s">
        <v>4</v>
      </c>
      <c r="AM101" s="6" t="s">
        <v>3</v>
      </c>
      <c r="AN101" s="6" t="s">
        <v>3</v>
      </c>
    </row>
    <row r="102" spans="1:40">
      <c r="A102" s="6">
        <f t="shared" si="1"/>
        <v>101</v>
      </c>
      <c r="B102" s="6" t="s">
        <v>472</v>
      </c>
      <c r="C102" s="6" t="s">
        <v>538</v>
      </c>
      <c r="D102" s="6">
        <v>4</v>
      </c>
      <c r="E102" s="6" t="s">
        <v>2</v>
      </c>
      <c r="F102" s="6" t="s">
        <v>5</v>
      </c>
      <c r="G102" s="6" t="s">
        <v>2</v>
      </c>
      <c r="H102" s="6" t="s">
        <v>5</v>
      </c>
      <c r="I102" s="6" t="s">
        <v>5</v>
      </c>
      <c r="J102" s="6" t="s">
        <v>5</v>
      </c>
      <c r="K102" s="6" t="s">
        <v>5</v>
      </c>
      <c r="L102" s="6" t="s">
        <v>2</v>
      </c>
      <c r="M102" s="6" t="s">
        <v>2</v>
      </c>
      <c r="N102" s="6" t="s">
        <v>2</v>
      </c>
      <c r="O102" s="6" t="s">
        <v>5</v>
      </c>
      <c r="P102" s="6" t="s">
        <v>4</v>
      </c>
      <c r="Q102" s="6" t="s">
        <v>5</v>
      </c>
      <c r="R102" s="6" t="s">
        <v>2</v>
      </c>
      <c r="S102" s="6" t="s">
        <v>4</v>
      </c>
      <c r="T102" s="6" t="s">
        <v>5</v>
      </c>
      <c r="U102" s="6" t="s">
        <v>5</v>
      </c>
      <c r="V102" s="6" t="s">
        <v>5</v>
      </c>
      <c r="W102" s="6" t="s">
        <v>4</v>
      </c>
      <c r="X102" s="6" t="s">
        <v>3</v>
      </c>
      <c r="Y102" s="6" t="s">
        <v>4</v>
      </c>
      <c r="Z102" s="6" t="s">
        <v>4</v>
      </c>
      <c r="AA102" s="6" t="s">
        <v>3</v>
      </c>
      <c r="AB102" s="6" t="s">
        <v>4</v>
      </c>
      <c r="AC102" s="6" t="s">
        <v>4</v>
      </c>
      <c r="AD102" s="6" t="s">
        <v>4</v>
      </c>
      <c r="AE102" s="6" t="s">
        <v>4</v>
      </c>
      <c r="AF102" s="6" t="s">
        <v>4</v>
      </c>
      <c r="AG102" s="6" t="s">
        <v>4</v>
      </c>
      <c r="AH102" s="6" t="s">
        <v>3</v>
      </c>
      <c r="AI102" s="6" t="s">
        <v>4</v>
      </c>
      <c r="AJ102" s="6" t="s">
        <v>3</v>
      </c>
      <c r="AK102" s="6" t="s">
        <v>4</v>
      </c>
      <c r="AL102" s="6" t="s">
        <v>4</v>
      </c>
      <c r="AM102" s="6" t="s">
        <v>3</v>
      </c>
      <c r="AN102" s="6" t="s">
        <v>3</v>
      </c>
    </row>
    <row r="103" spans="1:40">
      <c r="A103" s="6">
        <f t="shared" si="1"/>
        <v>102</v>
      </c>
      <c r="B103" s="6" t="s">
        <v>486</v>
      </c>
      <c r="C103" s="6" t="s">
        <v>538</v>
      </c>
      <c r="D103" s="6">
        <v>4</v>
      </c>
      <c r="E103" s="6" t="s">
        <v>3</v>
      </c>
      <c r="F103" s="6" t="s">
        <v>5</v>
      </c>
      <c r="G103" s="6" t="s">
        <v>4</v>
      </c>
      <c r="H103" s="6" t="s">
        <v>5</v>
      </c>
      <c r="I103" s="6" t="s">
        <v>5</v>
      </c>
      <c r="J103" s="6" t="s">
        <v>5</v>
      </c>
      <c r="K103" s="6" t="s">
        <v>5</v>
      </c>
      <c r="L103" s="6" t="s">
        <v>2</v>
      </c>
      <c r="M103" s="6" t="s">
        <v>2</v>
      </c>
      <c r="N103" s="6" t="s">
        <v>4</v>
      </c>
      <c r="O103" s="6" t="s">
        <v>4</v>
      </c>
      <c r="P103" s="6" t="s">
        <v>5</v>
      </c>
      <c r="Q103" s="6" t="s">
        <v>2</v>
      </c>
      <c r="R103" s="6" t="s">
        <v>3</v>
      </c>
      <c r="S103" s="6" t="s">
        <v>5</v>
      </c>
      <c r="T103" s="6" t="s">
        <v>5</v>
      </c>
      <c r="U103" s="6" t="s">
        <v>2</v>
      </c>
      <c r="V103" s="6" t="s">
        <v>5</v>
      </c>
      <c r="W103" s="6" t="s">
        <v>5</v>
      </c>
      <c r="X103" s="6" t="s">
        <v>4</v>
      </c>
      <c r="Y103" s="6" t="s">
        <v>4</v>
      </c>
      <c r="Z103" s="6" t="s">
        <v>2</v>
      </c>
      <c r="AA103" s="6" t="s">
        <v>3</v>
      </c>
      <c r="AB103" s="6" t="s">
        <v>4</v>
      </c>
      <c r="AC103" s="6" t="s">
        <v>4</v>
      </c>
      <c r="AD103" s="6" t="s">
        <v>4</v>
      </c>
      <c r="AE103" s="6" t="s">
        <v>4</v>
      </c>
      <c r="AF103" s="6" t="s">
        <v>4</v>
      </c>
      <c r="AG103" s="6" t="s">
        <v>4</v>
      </c>
      <c r="AH103" s="6" t="s">
        <v>3</v>
      </c>
      <c r="AI103" s="6" t="s">
        <v>4</v>
      </c>
      <c r="AJ103" s="6" t="s">
        <v>3</v>
      </c>
      <c r="AK103" s="6" t="s">
        <v>4</v>
      </c>
      <c r="AL103" s="6" t="s">
        <v>4</v>
      </c>
      <c r="AM103" s="6" t="s">
        <v>4</v>
      </c>
      <c r="AN103" s="6" t="s">
        <v>3</v>
      </c>
    </row>
    <row r="104" spans="1:40">
      <c r="A104" s="6">
        <f t="shared" si="1"/>
        <v>103</v>
      </c>
      <c r="B104" s="6" t="s">
        <v>324</v>
      </c>
      <c r="C104" s="6" t="s">
        <v>538</v>
      </c>
      <c r="D104" s="6">
        <v>5</v>
      </c>
      <c r="E104" s="6" t="s">
        <v>5</v>
      </c>
      <c r="F104" s="6" t="s">
        <v>3</v>
      </c>
      <c r="G104" s="6" t="s">
        <v>3</v>
      </c>
      <c r="H104" s="6" t="s">
        <v>5</v>
      </c>
      <c r="I104" s="6" t="s">
        <v>5</v>
      </c>
      <c r="J104" s="6" t="s">
        <v>5</v>
      </c>
      <c r="K104" s="6" t="s">
        <v>5</v>
      </c>
      <c r="L104" s="6" t="s">
        <v>2</v>
      </c>
      <c r="M104" s="6" t="s">
        <v>2</v>
      </c>
      <c r="N104" s="6" t="s">
        <v>5</v>
      </c>
      <c r="O104" s="6" t="s">
        <v>3</v>
      </c>
      <c r="P104" s="6" t="s">
        <v>2</v>
      </c>
      <c r="Q104" s="6" t="s">
        <v>5</v>
      </c>
      <c r="R104" s="6" t="s">
        <v>2</v>
      </c>
      <c r="S104" s="6" t="s">
        <v>3</v>
      </c>
      <c r="T104" s="6" t="s">
        <v>5</v>
      </c>
      <c r="U104" s="6" t="s">
        <v>5</v>
      </c>
      <c r="V104" s="6" t="s">
        <v>5</v>
      </c>
      <c r="W104" s="6" t="s">
        <v>5</v>
      </c>
      <c r="X104" s="6" t="s">
        <v>3</v>
      </c>
      <c r="Y104" s="6" t="s">
        <v>4</v>
      </c>
      <c r="Z104" s="6" t="s">
        <v>2</v>
      </c>
      <c r="AA104" s="6" t="s">
        <v>3</v>
      </c>
      <c r="AB104" s="6" t="s">
        <v>4</v>
      </c>
      <c r="AC104" s="6" t="s">
        <v>4</v>
      </c>
      <c r="AD104" s="6" t="s">
        <v>4</v>
      </c>
      <c r="AE104" s="6" t="s">
        <v>4</v>
      </c>
      <c r="AF104" s="6" t="s">
        <v>4</v>
      </c>
      <c r="AG104" s="6" t="s">
        <v>4</v>
      </c>
      <c r="AH104" s="6" t="s">
        <v>3</v>
      </c>
      <c r="AI104" s="6" t="s">
        <v>4</v>
      </c>
      <c r="AJ104" s="6" t="s">
        <v>3</v>
      </c>
      <c r="AK104" s="6" t="s">
        <v>4</v>
      </c>
      <c r="AL104" s="6" t="s">
        <v>4</v>
      </c>
      <c r="AM104" s="6" t="s">
        <v>4</v>
      </c>
      <c r="AN104" s="6" t="s">
        <v>3</v>
      </c>
    </row>
    <row r="105" spans="1:40">
      <c r="A105" s="6">
        <f t="shared" si="1"/>
        <v>104</v>
      </c>
      <c r="B105" s="6" t="s">
        <v>325</v>
      </c>
      <c r="C105" s="6" t="s">
        <v>538</v>
      </c>
      <c r="D105" s="6">
        <v>5</v>
      </c>
      <c r="E105" s="6" t="s">
        <v>5</v>
      </c>
      <c r="F105" s="6" t="s">
        <v>3</v>
      </c>
      <c r="G105" s="6" t="s">
        <v>5</v>
      </c>
      <c r="H105" s="6" t="s">
        <v>5</v>
      </c>
      <c r="I105" s="6" t="s">
        <v>5</v>
      </c>
      <c r="J105" s="6" t="s">
        <v>5</v>
      </c>
      <c r="K105" s="6" t="s">
        <v>5</v>
      </c>
      <c r="L105" s="6" t="s">
        <v>2</v>
      </c>
      <c r="M105" s="6" t="s">
        <v>2</v>
      </c>
      <c r="N105" s="6" t="s">
        <v>4</v>
      </c>
      <c r="O105" s="6" t="s">
        <v>4</v>
      </c>
      <c r="P105" s="6" t="s">
        <v>3</v>
      </c>
      <c r="Q105" s="6" t="s">
        <v>5</v>
      </c>
      <c r="R105" s="6" t="s">
        <v>2</v>
      </c>
      <c r="S105" s="6" t="s">
        <v>5</v>
      </c>
      <c r="T105" s="6" t="s">
        <v>2</v>
      </c>
      <c r="U105" s="6" t="s">
        <v>2</v>
      </c>
      <c r="V105" s="6" t="s">
        <v>5</v>
      </c>
      <c r="W105" s="6" t="s">
        <v>4</v>
      </c>
      <c r="X105" s="6" t="s">
        <v>3</v>
      </c>
      <c r="Y105" s="6" t="s">
        <v>3</v>
      </c>
      <c r="Z105" s="6" t="s">
        <v>4</v>
      </c>
      <c r="AA105" s="6" t="s">
        <v>3</v>
      </c>
      <c r="AB105" s="6" t="s">
        <v>4</v>
      </c>
      <c r="AC105" s="6" t="s">
        <v>4</v>
      </c>
      <c r="AD105" s="6" t="s">
        <v>4</v>
      </c>
      <c r="AE105" s="6" t="s">
        <v>4</v>
      </c>
      <c r="AF105" s="6" t="s">
        <v>4</v>
      </c>
      <c r="AG105" s="6" t="s">
        <v>3</v>
      </c>
      <c r="AH105" s="6" t="s">
        <v>3</v>
      </c>
      <c r="AI105" s="6" t="s">
        <v>4</v>
      </c>
      <c r="AJ105" s="6" t="s">
        <v>3</v>
      </c>
      <c r="AK105" s="6" t="s">
        <v>4</v>
      </c>
      <c r="AL105" s="6" t="s">
        <v>4</v>
      </c>
      <c r="AM105" s="6" t="s">
        <v>4</v>
      </c>
      <c r="AN105" s="6" t="s">
        <v>3</v>
      </c>
    </row>
    <row r="106" spans="1:40">
      <c r="A106" s="6">
        <f t="shared" si="1"/>
        <v>105</v>
      </c>
      <c r="B106" s="6" t="s">
        <v>326</v>
      </c>
      <c r="C106" s="6" t="s">
        <v>538</v>
      </c>
      <c r="D106" s="6">
        <v>5</v>
      </c>
      <c r="E106" s="6" t="s">
        <v>5</v>
      </c>
      <c r="F106" s="6" t="s">
        <v>5</v>
      </c>
      <c r="G106" s="6" t="s">
        <v>2</v>
      </c>
      <c r="H106" s="6" t="s">
        <v>5</v>
      </c>
      <c r="I106" s="6" t="s">
        <v>5</v>
      </c>
      <c r="J106" s="6" t="s">
        <v>3</v>
      </c>
      <c r="K106" s="6" t="s">
        <v>5</v>
      </c>
      <c r="L106" s="6" t="s">
        <v>2</v>
      </c>
      <c r="M106" s="6" t="s">
        <v>2</v>
      </c>
      <c r="N106" s="6" t="s">
        <v>2</v>
      </c>
      <c r="O106" s="6" t="s">
        <v>2</v>
      </c>
      <c r="P106" s="6" t="s">
        <v>2</v>
      </c>
      <c r="Q106" s="6" t="s">
        <v>2</v>
      </c>
      <c r="R106" s="6" t="s">
        <v>3</v>
      </c>
      <c r="S106" s="6" t="s">
        <v>3</v>
      </c>
      <c r="T106" s="6" t="s">
        <v>5</v>
      </c>
      <c r="U106" s="6" t="s">
        <v>5</v>
      </c>
      <c r="V106" s="6" t="s">
        <v>5</v>
      </c>
      <c r="W106" s="6" t="s">
        <v>5</v>
      </c>
      <c r="X106" s="6" t="s">
        <v>3</v>
      </c>
      <c r="Y106" s="6" t="s">
        <v>3</v>
      </c>
      <c r="Z106" s="6" t="s">
        <v>2</v>
      </c>
      <c r="AA106" s="6" t="s">
        <v>3</v>
      </c>
      <c r="AB106" s="6" t="s">
        <v>4</v>
      </c>
      <c r="AC106" s="6" t="s">
        <v>4</v>
      </c>
      <c r="AD106" s="6" t="s">
        <v>4</v>
      </c>
      <c r="AE106" s="6" t="s">
        <v>4</v>
      </c>
      <c r="AF106" s="6" t="s">
        <v>4</v>
      </c>
      <c r="AG106" s="6" t="s">
        <v>3</v>
      </c>
      <c r="AH106" s="6" t="s">
        <v>3</v>
      </c>
      <c r="AI106" s="6" t="s">
        <v>4</v>
      </c>
      <c r="AJ106" s="6" t="s">
        <v>3</v>
      </c>
      <c r="AK106" s="6" t="s">
        <v>3</v>
      </c>
      <c r="AL106" s="6" t="s">
        <v>4</v>
      </c>
      <c r="AM106" s="6" t="s">
        <v>3</v>
      </c>
      <c r="AN106" s="6" t="s">
        <v>3</v>
      </c>
    </row>
    <row r="107" spans="1:40">
      <c r="A107" s="6">
        <f t="shared" si="1"/>
        <v>106</v>
      </c>
      <c r="B107" s="6" t="s">
        <v>479</v>
      </c>
      <c r="C107" s="6" t="s">
        <v>538</v>
      </c>
      <c r="D107" s="6">
        <v>5</v>
      </c>
      <c r="E107" s="6" t="s">
        <v>2</v>
      </c>
      <c r="F107" s="6" t="s">
        <v>3</v>
      </c>
      <c r="G107" s="6" t="s">
        <v>5</v>
      </c>
      <c r="H107" s="6" t="s">
        <v>5</v>
      </c>
      <c r="I107" s="6" t="s">
        <v>5</v>
      </c>
      <c r="J107" s="6" t="s">
        <v>5</v>
      </c>
      <c r="K107" s="6" t="s">
        <v>5</v>
      </c>
      <c r="L107" s="6" t="s">
        <v>2</v>
      </c>
      <c r="M107" s="6" t="s">
        <v>3</v>
      </c>
      <c r="N107" s="6" t="s">
        <v>3</v>
      </c>
      <c r="O107" s="6" t="s">
        <v>5</v>
      </c>
      <c r="P107" s="6" t="s">
        <v>2</v>
      </c>
      <c r="Q107" s="6" t="s">
        <v>5</v>
      </c>
      <c r="R107" s="6" t="s">
        <v>2</v>
      </c>
      <c r="S107" s="6" t="s">
        <v>2</v>
      </c>
      <c r="T107" s="6" t="s">
        <v>5</v>
      </c>
      <c r="U107" s="6" t="s">
        <v>5</v>
      </c>
      <c r="V107" s="6" t="s">
        <v>5</v>
      </c>
      <c r="W107" s="6" t="s">
        <v>3</v>
      </c>
      <c r="X107" s="6" t="s">
        <v>3</v>
      </c>
      <c r="Y107" s="6" t="s">
        <v>4</v>
      </c>
      <c r="Z107" s="6" t="s">
        <v>2</v>
      </c>
      <c r="AA107" s="6" t="s">
        <v>3</v>
      </c>
      <c r="AB107" s="6" t="s">
        <v>4</v>
      </c>
      <c r="AC107" s="6" t="s">
        <v>4</v>
      </c>
      <c r="AD107" s="6" t="s">
        <v>4</v>
      </c>
      <c r="AE107" s="6" t="s">
        <v>4</v>
      </c>
      <c r="AF107" s="6" t="s">
        <v>4</v>
      </c>
      <c r="AG107" s="6" t="s">
        <v>3</v>
      </c>
      <c r="AH107" s="6" t="s">
        <v>3</v>
      </c>
      <c r="AI107" s="6" t="s">
        <v>4</v>
      </c>
      <c r="AJ107" s="6" t="s">
        <v>3</v>
      </c>
      <c r="AK107" s="6" t="s">
        <v>4</v>
      </c>
      <c r="AL107" s="6" t="s">
        <v>4</v>
      </c>
      <c r="AM107" s="6" t="s">
        <v>4</v>
      </c>
      <c r="AN107" s="6" t="s">
        <v>3</v>
      </c>
    </row>
    <row r="108" spans="1:40">
      <c r="A108" s="6">
        <f t="shared" si="1"/>
        <v>107</v>
      </c>
      <c r="B108" s="6" t="s">
        <v>480</v>
      </c>
      <c r="C108" s="6" t="s">
        <v>538</v>
      </c>
      <c r="D108" s="6">
        <v>5</v>
      </c>
      <c r="E108" s="6" t="s">
        <v>2</v>
      </c>
      <c r="F108" s="6" t="s">
        <v>3</v>
      </c>
      <c r="G108" s="6" t="s">
        <v>4</v>
      </c>
      <c r="H108" s="6" t="s">
        <v>5</v>
      </c>
      <c r="I108" s="6" t="s">
        <v>5</v>
      </c>
      <c r="J108" s="6" t="s">
        <v>3</v>
      </c>
      <c r="K108" s="6" t="s">
        <v>5</v>
      </c>
      <c r="L108" s="6" t="s">
        <v>2</v>
      </c>
      <c r="M108" s="6" t="s">
        <v>3</v>
      </c>
      <c r="N108" s="6" t="s">
        <v>2</v>
      </c>
      <c r="O108" s="6" t="s">
        <v>2</v>
      </c>
      <c r="P108" s="6" t="s">
        <v>5</v>
      </c>
      <c r="Q108" s="6" t="s">
        <v>5</v>
      </c>
      <c r="R108" s="6" t="s">
        <v>2</v>
      </c>
      <c r="S108" s="6" t="s">
        <v>5</v>
      </c>
      <c r="T108" s="6" t="s">
        <v>5</v>
      </c>
      <c r="U108" s="6" t="s">
        <v>3</v>
      </c>
      <c r="V108" s="6" t="s">
        <v>5</v>
      </c>
      <c r="W108" s="6" t="s">
        <v>2</v>
      </c>
      <c r="X108" s="6" t="s">
        <v>4</v>
      </c>
      <c r="Y108" s="6" t="s">
        <v>4</v>
      </c>
      <c r="Z108" s="6" t="s">
        <v>2</v>
      </c>
      <c r="AA108" s="6" t="s">
        <v>3</v>
      </c>
      <c r="AB108" s="6" t="s">
        <v>4</v>
      </c>
      <c r="AC108" s="6" t="s">
        <v>4</v>
      </c>
      <c r="AD108" s="6" t="s">
        <v>4</v>
      </c>
      <c r="AE108" s="6" t="s">
        <v>4</v>
      </c>
      <c r="AF108" s="6" t="s">
        <v>4</v>
      </c>
      <c r="AG108" s="6" t="s">
        <v>4</v>
      </c>
      <c r="AH108" s="6" t="s">
        <v>3</v>
      </c>
      <c r="AI108" s="6" t="s">
        <v>4</v>
      </c>
      <c r="AJ108" s="6" t="s">
        <v>3</v>
      </c>
      <c r="AK108" s="6" t="s">
        <v>4</v>
      </c>
      <c r="AL108" s="6" t="s">
        <v>4</v>
      </c>
      <c r="AM108" s="6" t="s">
        <v>3</v>
      </c>
      <c r="AN108" s="6" t="s">
        <v>3</v>
      </c>
    </row>
    <row r="109" spans="1:40">
      <c r="A109" s="6">
        <f t="shared" si="1"/>
        <v>108</v>
      </c>
      <c r="B109" s="6" t="s">
        <v>496</v>
      </c>
      <c r="C109" s="6" t="s">
        <v>538</v>
      </c>
      <c r="D109" s="6">
        <v>5</v>
      </c>
      <c r="E109" s="6" t="s">
        <v>5</v>
      </c>
      <c r="F109" s="6" t="s">
        <v>5</v>
      </c>
      <c r="G109" s="6" t="s">
        <v>3</v>
      </c>
      <c r="H109" s="6" t="s">
        <v>5</v>
      </c>
      <c r="I109" s="6" t="s">
        <v>5</v>
      </c>
      <c r="J109" s="6" t="s">
        <v>5</v>
      </c>
      <c r="K109" s="6" t="s">
        <v>5</v>
      </c>
      <c r="L109" s="6" t="s">
        <v>2</v>
      </c>
      <c r="M109" s="6" t="s">
        <v>2</v>
      </c>
      <c r="N109" s="6" t="s">
        <v>5</v>
      </c>
      <c r="O109" s="6" t="s">
        <v>2</v>
      </c>
      <c r="P109" s="6" t="s">
        <v>2</v>
      </c>
      <c r="Q109" s="6" t="s">
        <v>4</v>
      </c>
      <c r="R109" s="6" t="s">
        <v>3</v>
      </c>
      <c r="S109" s="6" t="s">
        <v>2</v>
      </c>
      <c r="T109" s="6" t="s">
        <v>5</v>
      </c>
      <c r="U109" s="6" t="s">
        <v>5</v>
      </c>
      <c r="V109" s="6" t="s">
        <v>5</v>
      </c>
      <c r="W109" s="6" t="s">
        <v>3</v>
      </c>
      <c r="X109" s="6" t="s">
        <v>3</v>
      </c>
      <c r="Y109" s="6" t="s">
        <v>3</v>
      </c>
      <c r="Z109" s="6" t="s">
        <v>4</v>
      </c>
      <c r="AA109" s="6" t="s">
        <v>3</v>
      </c>
      <c r="AB109" s="6" t="s">
        <v>4</v>
      </c>
      <c r="AC109" s="6" t="s">
        <v>4</v>
      </c>
      <c r="AD109" s="6" t="s">
        <v>4</v>
      </c>
      <c r="AE109" s="6" t="s">
        <v>4</v>
      </c>
      <c r="AF109" s="6" t="s">
        <v>4</v>
      </c>
      <c r="AG109" s="6" t="s">
        <v>3</v>
      </c>
      <c r="AH109" s="6" t="s">
        <v>3</v>
      </c>
      <c r="AI109" s="6" t="s">
        <v>4</v>
      </c>
      <c r="AJ109" s="6" t="s">
        <v>3</v>
      </c>
      <c r="AK109" s="6" t="s">
        <v>4</v>
      </c>
      <c r="AL109" s="6" t="s">
        <v>4</v>
      </c>
      <c r="AM109" s="6" t="s">
        <v>3</v>
      </c>
      <c r="AN109" s="6" t="s">
        <v>3</v>
      </c>
    </row>
    <row r="110" spans="1:40">
      <c r="A110" s="6">
        <f t="shared" si="1"/>
        <v>109</v>
      </c>
      <c r="B110" s="6" t="s">
        <v>430</v>
      </c>
      <c r="C110" s="6" t="s">
        <v>538</v>
      </c>
      <c r="D110" s="6">
        <v>6</v>
      </c>
      <c r="E110" s="6" t="s">
        <v>5</v>
      </c>
      <c r="F110" s="6" t="s">
        <v>5</v>
      </c>
      <c r="G110" s="6" t="s">
        <v>3</v>
      </c>
      <c r="H110" s="6" t="s">
        <v>5</v>
      </c>
      <c r="I110" s="6" t="s">
        <v>5</v>
      </c>
      <c r="J110" s="6" t="s">
        <v>5</v>
      </c>
      <c r="K110" s="6" t="s">
        <v>5</v>
      </c>
      <c r="L110" s="6" t="s">
        <v>2</v>
      </c>
      <c r="M110" s="6" t="s">
        <v>2</v>
      </c>
      <c r="N110" s="6" t="s">
        <v>4</v>
      </c>
      <c r="O110" s="6" t="s">
        <v>4</v>
      </c>
      <c r="P110" s="6" t="s">
        <v>4</v>
      </c>
      <c r="Q110" s="6" t="s">
        <v>5</v>
      </c>
      <c r="R110" s="6" t="s">
        <v>4</v>
      </c>
      <c r="S110" s="6" t="s">
        <v>5</v>
      </c>
      <c r="T110" s="6" t="s">
        <v>5</v>
      </c>
      <c r="U110" s="6" t="s">
        <v>5</v>
      </c>
      <c r="V110" s="6" t="s">
        <v>5</v>
      </c>
      <c r="W110" s="6" t="s">
        <v>3</v>
      </c>
      <c r="X110" s="6" t="s">
        <v>5</v>
      </c>
      <c r="Y110" s="6" t="s">
        <v>2</v>
      </c>
      <c r="Z110" s="6" t="s">
        <v>2</v>
      </c>
      <c r="AA110" s="6" t="s">
        <v>3</v>
      </c>
      <c r="AB110" s="6" t="s">
        <v>4</v>
      </c>
      <c r="AC110" s="6" t="s">
        <v>4</v>
      </c>
      <c r="AD110" s="6" t="s">
        <v>4</v>
      </c>
      <c r="AE110" s="6" t="s">
        <v>4</v>
      </c>
      <c r="AF110" s="6" t="s">
        <v>4</v>
      </c>
      <c r="AG110" s="6" t="s">
        <v>4</v>
      </c>
      <c r="AH110" s="6" t="s">
        <v>3</v>
      </c>
      <c r="AI110" s="6" t="s">
        <v>4</v>
      </c>
      <c r="AJ110" s="6" t="s">
        <v>3</v>
      </c>
      <c r="AK110" s="6" t="s">
        <v>3</v>
      </c>
      <c r="AL110" s="6" t="s">
        <v>4</v>
      </c>
      <c r="AM110" s="6" t="s">
        <v>3</v>
      </c>
      <c r="AN110" s="6" t="s">
        <v>3</v>
      </c>
    </row>
    <row r="111" spans="1:40">
      <c r="A111" s="6">
        <f t="shared" si="1"/>
        <v>110</v>
      </c>
      <c r="B111" s="6" t="s">
        <v>327</v>
      </c>
      <c r="C111" s="6" t="s">
        <v>538</v>
      </c>
      <c r="D111" s="6">
        <v>6</v>
      </c>
      <c r="E111" s="6" t="s">
        <v>4</v>
      </c>
      <c r="F111" s="6" t="s">
        <v>5</v>
      </c>
      <c r="G111" s="6" t="s">
        <v>2</v>
      </c>
      <c r="H111" s="6" t="s">
        <v>5</v>
      </c>
      <c r="I111" s="6" t="s">
        <v>5</v>
      </c>
      <c r="J111" s="6" t="s">
        <v>5</v>
      </c>
      <c r="K111" s="6" t="s">
        <v>2</v>
      </c>
      <c r="L111" s="6" t="s">
        <v>2</v>
      </c>
      <c r="M111" s="6" t="s">
        <v>2</v>
      </c>
      <c r="N111" s="6" t="s">
        <v>4</v>
      </c>
      <c r="O111" s="6" t="s">
        <v>2</v>
      </c>
      <c r="P111" s="6" t="s">
        <v>5</v>
      </c>
      <c r="Q111" s="6" t="s">
        <v>5</v>
      </c>
      <c r="R111" s="6" t="s">
        <v>4</v>
      </c>
      <c r="S111" s="6" t="s">
        <v>5</v>
      </c>
      <c r="T111" s="6" t="s">
        <v>5</v>
      </c>
      <c r="U111" s="6" t="s">
        <v>5</v>
      </c>
      <c r="V111" s="6" t="s">
        <v>5</v>
      </c>
      <c r="W111" s="6" t="s">
        <v>5</v>
      </c>
      <c r="X111" s="6" t="s">
        <v>4</v>
      </c>
      <c r="Y111" s="6" t="s">
        <v>3</v>
      </c>
      <c r="Z111" s="6" t="s">
        <v>2</v>
      </c>
      <c r="AA111" s="6" t="s">
        <v>3</v>
      </c>
      <c r="AB111" s="6" t="s">
        <v>4</v>
      </c>
      <c r="AC111" s="6" t="s">
        <v>4</v>
      </c>
      <c r="AD111" s="6" t="s">
        <v>4</v>
      </c>
      <c r="AE111" s="6" t="s">
        <v>3</v>
      </c>
      <c r="AF111" s="6" t="s">
        <v>4</v>
      </c>
      <c r="AG111" s="6" t="s">
        <v>3</v>
      </c>
      <c r="AH111" s="6" t="s">
        <v>3</v>
      </c>
      <c r="AI111" s="6" t="s">
        <v>3</v>
      </c>
      <c r="AJ111" s="6" t="s">
        <v>3</v>
      </c>
      <c r="AK111" s="6" t="s">
        <v>3</v>
      </c>
      <c r="AL111" s="6" t="s">
        <v>3</v>
      </c>
      <c r="AM111" s="6" t="s">
        <v>3</v>
      </c>
      <c r="AN111" s="6" t="s">
        <v>3</v>
      </c>
    </row>
    <row r="112" spans="1:40">
      <c r="A112" s="6">
        <f t="shared" si="1"/>
        <v>111</v>
      </c>
      <c r="B112" s="6" t="s">
        <v>328</v>
      </c>
      <c r="C112" s="6" t="s">
        <v>538</v>
      </c>
      <c r="D112" s="6">
        <v>6</v>
      </c>
      <c r="E112" s="6" t="s">
        <v>5</v>
      </c>
      <c r="F112" s="6" t="s">
        <v>5</v>
      </c>
      <c r="G112" s="6" t="s">
        <v>3</v>
      </c>
      <c r="H112" s="6" t="s">
        <v>2</v>
      </c>
      <c r="I112" s="6" t="s">
        <v>5</v>
      </c>
      <c r="J112" s="6" t="s">
        <v>5</v>
      </c>
      <c r="K112" s="6" t="s">
        <v>5</v>
      </c>
      <c r="L112" s="6" t="s">
        <v>5</v>
      </c>
      <c r="M112" s="6" t="s">
        <v>2</v>
      </c>
      <c r="N112" s="6" t="s">
        <v>4</v>
      </c>
      <c r="O112" s="6" t="s">
        <v>4</v>
      </c>
      <c r="P112" s="6" t="s">
        <v>2</v>
      </c>
      <c r="Q112" s="6" t="s">
        <v>5</v>
      </c>
      <c r="R112" s="6" t="s">
        <v>2</v>
      </c>
      <c r="S112" s="6" t="s">
        <v>2</v>
      </c>
      <c r="T112" s="6" t="s">
        <v>5</v>
      </c>
      <c r="U112" s="6" t="s">
        <v>3</v>
      </c>
      <c r="V112" s="6" t="s">
        <v>5</v>
      </c>
      <c r="W112" s="6" t="s">
        <v>3</v>
      </c>
      <c r="X112" s="6" t="s">
        <v>2</v>
      </c>
      <c r="Y112" s="6" t="s">
        <v>2</v>
      </c>
      <c r="Z112" s="6" t="s">
        <v>5</v>
      </c>
      <c r="AA112" s="6" t="s">
        <v>3</v>
      </c>
      <c r="AB112" s="6" t="s">
        <v>4</v>
      </c>
      <c r="AC112" s="6" t="s">
        <v>4</v>
      </c>
      <c r="AD112" s="6" t="s">
        <v>4</v>
      </c>
      <c r="AE112" s="6" t="s">
        <v>3</v>
      </c>
      <c r="AF112" s="6" t="s">
        <v>4</v>
      </c>
      <c r="AG112" s="6" t="s">
        <v>3</v>
      </c>
      <c r="AH112" s="6" t="s">
        <v>3</v>
      </c>
      <c r="AI112" s="6" t="s">
        <v>3</v>
      </c>
      <c r="AJ112" s="6" t="s">
        <v>3</v>
      </c>
      <c r="AK112" s="6" t="s">
        <v>3</v>
      </c>
      <c r="AL112" s="6" t="s">
        <v>3</v>
      </c>
      <c r="AM112" s="6" t="s">
        <v>3</v>
      </c>
      <c r="AN112" s="6" t="s">
        <v>3</v>
      </c>
    </row>
    <row r="113" spans="1:40">
      <c r="A113" s="6">
        <f t="shared" si="1"/>
        <v>112</v>
      </c>
      <c r="B113" s="6" t="s">
        <v>475</v>
      </c>
      <c r="C113" s="6" t="s">
        <v>538</v>
      </c>
      <c r="D113" s="6">
        <v>6</v>
      </c>
      <c r="E113" s="6" t="s">
        <v>5</v>
      </c>
      <c r="F113" s="6" t="s">
        <v>5</v>
      </c>
      <c r="G113" s="6" t="s">
        <v>2</v>
      </c>
      <c r="H113" s="6" t="s">
        <v>5</v>
      </c>
      <c r="I113" s="6" t="s">
        <v>5</v>
      </c>
      <c r="J113" s="6" t="s">
        <v>5</v>
      </c>
      <c r="K113" s="6" t="s">
        <v>5</v>
      </c>
      <c r="L113" s="6" t="s">
        <v>5</v>
      </c>
      <c r="M113" s="6" t="s">
        <v>2</v>
      </c>
      <c r="N113" s="6" t="s">
        <v>4</v>
      </c>
      <c r="O113" s="6" t="s">
        <v>4</v>
      </c>
      <c r="P113" s="6" t="s">
        <v>5</v>
      </c>
      <c r="Q113" s="6" t="s">
        <v>2</v>
      </c>
      <c r="R113" s="6" t="s">
        <v>3</v>
      </c>
      <c r="S113" s="6" t="s">
        <v>5</v>
      </c>
      <c r="T113" s="6" t="s">
        <v>5</v>
      </c>
      <c r="U113" s="6" t="s">
        <v>3</v>
      </c>
      <c r="V113" s="6" t="s">
        <v>5</v>
      </c>
      <c r="W113" s="6" t="s">
        <v>5</v>
      </c>
      <c r="X113" s="6" t="s">
        <v>4</v>
      </c>
      <c r="Y113" s="6" t="s">
        <v>3</v>
      </c>
      <c r="Z113" s="6" t="s">
        <v>2</v>
      </c>
      <c r="AA113" s="6" t="s">
        <v>3</v>
      </c>
      <c r="AB113" s="6" t="s">
        <v>4</v>
      </c>
      <c r="AC113" s="6" t="s">
        <v>4</v>
      </c>
      <c r="AD113" s="6" t="s">
        <v>3</v>
      </c>
      <c r="AE113" s="6" t="s">
        <v>4</v>
      </c>
      <c r="AF113" s="6" t="s">
        <v>4</v>
      </c>
      <c r="AG113" s="6" t="s">
        <v>4</v>
      </c>
      <c r="AH113" s="6" t="s">
        <v>3</v>
      </c>
      <c r="AI113" s="6" t="s">
        <v>4</v>
      </c>
      <c r="AJ113" s="6" t="s">
        <v>3</v>
      </c>
      <c r="AK113" s="6" t="s">
        <v>4</v>
      </c>
      <c r="AL113" s="6" t="s">
        <v>4</v>
      </c>
      <c r="AM113" s="6" t="s">
        <v>4</v>
      </c>
      <c r="AN113" s="6" t="s">
        <v>3</v>
      </c>
    </row>
    <row r="114" spans="1:40">
      <c r="A114" s="6">
        <f t="shared" si="1"/>
        <v>113</v>
      </c>
      <c r="B114" s="6" t="s">
        <v>477</v>
      </c>
      <c r="C114" s="6" t="s">
        <v>538</v>
      </c>
      <c r="D114" s="6">
        <v>6</v>
      </c>
      <c r="E114" s="6" t="s">
        <v>5</v>
      </c>
      <c r="F114" s="6" t="s">
        <v>5</v>
      </c>
      <c r="G114" s="6" t="s">
        <v>3</v>
      </c>
      <c r="H114" s="6" t="s">
        <v>5</v>
      </c>
      <c r="I114" s="6" t="s">
        <v>5</v>
      </c>
      <c r="J114" s="6" t="s">
        <v>5</v>
      </c>
      <c r="K114" s="6" t="s">
        <v>5</v>
      </c>
      <c r="L114" s="6" t="s">
        <v>2</v>
      </c>
      <c r="M114" s="6" t="s">
        <v>2</v>
      </c>
      <c r="N114" s="6" t="s">
        <v>2</v>
      </c>
      <c r="O114" s="6" t="s">
        <v>2</v>
      </c>
      <c r="P114" s="6" t="s">
        <v>3</v>
      </c>
      <c r="Q114" s="6" t="s">
        <v>5</v>
      </c>
      <c r="R114" s="6" t="s">
        <v>3</v>
      </c>
      <c r="S114" s="6" t="s">
        <v>3</v>
      </c>
      <c r="T114" s="6" t="s">
        <v>5</v>
      </c>
      <c r="U114" s="6" t="s">
        <v>5</v>
      </c>
      <c r="V114" s="6" t="s">
        <v>5</v>
      </c>
      <c r="W114" s="6" t="s">
        <v>2</v>
      </c>
      <c r="X114" s="6" t="s">
        <v>3</v>
      </c>
      <c r="Y114" s="6" t="s">
        <v>4</v>
      </c>
      <c r="Z114" s="6" t="s">
        <v>4</v>
      </c>
      <c r="AA114" s="6" t="s">
        <v>3</v>
      </c>
      <c r="AB114" s="6" t="s">
        <v>4</v>
      </c>
      <c r="AC114" s="6" t="s">
        <v>4</v>
      </c>
      <c r="AD114" s="6" t="s">
        <v>4</v>
      </c>
      <c r="AE114" s="6" t="s">
        <v>3</v>
      </c>
      <c r="AF114" s="6" t="s">
        <v>4</v>
      </c>
      <c r="AG114" s="6" t="s">
        <v>4</v>
      </c>
      <c r="AH114" s="6" t="s">
        <v>3</v>
      </c>
      <c r="AI114" s="6" t="s">
        <v>3</v>
      </c>
      <c r="AJ114" s="6" t="s">
        <v>3</v>
      </c>
      <c r="AK114" s="6" t="s">
        <v>3</v>
      </c>
      <c r="AL114" s="6" t="s">
        <v>3</v>
      </c>
      <c r="AM114" s="6" t="s">
        <v>3</v>
      </c>
      <c r="AN114" s="6" t="s">
        <v>3</v>
      </c>
    </row>
    <row r="115" spans="1:40">
      <c r="A115" s="6">
        <f t="shared" si="1"/>
        <v>114</v>
      </c>
      <c r="B115" s="6" t="s">
        <v>488</v>
      </c>
      <c r="C115" s="6" t="s">
        <v>538</v>
      </c>
      <c r="D115" s="6">
        <v>6</v>
      </c>
      <c r="E115" s="6" t="s">
        <v>5</v>
      </c>
      <c r="F115" s="6" t="s">
        <v>5</v>
      </c>
      <c r="G115" s="6" t="s">
        <v>4</v>
      </c>
      <c r="H115" s="6" t="s">
        <v>5</v>
      </c>
      <c r="I115" s="6" t="s">
        <v>5</v>
      </c>
      <c r="J115" s="6" t="s">
        <v>5</v>
      </c>
      <c r="K115" s="6" t="s">
        <v>5</v>
      </c>
      <c r="L115" s="6" t="s">
        <v>2</v>
      </c>
      <c r="M115" s="6" t="s">
        <v>3</v>
      </c>
      <c r="N115" s="6" t="s">
        <v>4</v>
      </c>
      <c r="O115" s="6" t="s">
        <v>3</v>
      </c>
      <c r="P115" s="6" t="s">
        <v>5</v>
      </c>
      <c r="Q115" s="6" t="s">
        <v>5</v>
      </c>
      <c r="R115" s="6" t="s">
        <v>3</v>
      </c>
      <c r="S115" s="6" t="s">
        <v>5</v>
      </c>
      <c r="T115" s="6" t="s">
        <v>5</v>
      </c>
      <c r="U115" s="6" t="s">
        <v>3</v>
      </c>
      <c r="V115" s="6" t="s">
        <v>5</v>
      </c>
      <c r="W115" s="6" t="s">
        <v>3</v>
      </c>
      <c r="X115" s="6" t="s">
        <v>4</v>
      </c>
      <c r="Y115" s="6" t="s">
        <v>2</v>
      </c>
      <c r="Z115" s="6" t="s">
        <v>2</v>
      </c>
      <c r="AA115" s="6" t="s">
        <v>3</v>
      </c>
      <c r="AB115" s="6" t="s">
        <v>4</v>
      </c>
      <c r="AC115" s="6" t="s">
        <v>4</v>
      </c>
      <c r="AD115" s="6" t="s">
        <v>4</v>
      </c>
      <c r="AE115" s="6" t="s">
        <v>4</v>
      </c>
      <c r="AF115" s="6" t="s">
        <v>4</v>
      </c>
      <c r="AG115" s="6" t="s">
        <v>4</v>
      </c>
      <c r="AH115" s="6" t="s">
        <v>3</v>
      </c>
      <c r="AI115" s="6" t="s">
        <v>4</v>
      </c>
      <c r="AJ115" s="6" t="s">
        <v>3</v>
      </c>
      <c r="AK115" s="6" t="s">
        <v>3</v>
      </c>
      <c r="AL115" s="6" t="s">
        <v>4</v>
      </c>
      <c r="AM115" s="6" t="s">
        <v>3</v>
      </c>
      <c r="AN115" s="6"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CBA-F168-49C9-A683-1C341679A7D5}">
  <dimension ref="A1:CT1338"/>
  <sheetViews>
    <sheetView topLeftCell="AH1" zoomScale="68" zoomScaleNormal="77" workbookViewId="0">
      <pane ySplit="1" topLeftCell="A187" activePane="bottomLeft" state="frozen"/>
      <selection pane="bottomLeft" activeCell="AT221" sqref="AT221"/>
    </sheetView>
  </sheetViews>
  <sheetFormatPr defaultRowHeight="14.4"/>
  <cols>
    <col min="2" max="2" width="30.5546875" bestFit="1" customWidth="1"/>
    <col min="3" max="3" width="19.109375" bestFit="1" customWidth="1"/>
    <col min="4" max="39" width="8.88671875" customWidth="1"/>
    <col min="41" max="41" width="21.5546875" bestFit="1" customWidth="1"/>
    <col min="42" max="42" width="17.88671875" bestFit="1" customWidth="1"/>
    <col min="43" max="43" width="31.44140625" bestFit="1" customWidth="1"/>
    <col min="44" max="44" width="32.5546875" bestFit="1" customWidth="1"/>
    <col min="45" max="45" width="29" bestFit="1" customWidth="1"/>
    <col min="46" max="50" width="19.5546875" bestFit="1" customWidth="1"/>
    <col min="51" max="51" width="25.109375" bestFit="1" customWidth="1"/>
    <col min="52" max="52" width="22.88671875" style="19" bestFit="1" customWidth="1"/>
    <col min="53" max="53" width="5.21875" style="19" bestFit="1" customWidth="1"/>
    <col min="54" max="54" width="7.5546875" style="19" bestFit="1" customWidth="1"/>
    <col min="55" max="55" width="9.33203125" style="19" bestFit="1" customWidth="1"/>
    <col min="56" max="58" width="8.88671875" style="19"/>
    <col min="61" max="61" width="18" bestFit="1" customWidth="1"/>
    <col min="62" max="62" width="19.33203125" bestFit="1" customWidth="1"/>
    <col min="63" max="63" width="19.5546875" bestFit="1" customWidth="1"/>
    <col min="64" max="64" width="10.88671875" bestFit="1" customWidth="1"/>
  </cols>
  <sheetData>
    <row r="1" spans="1:98" s="2" customFormat="1">
      <c r="A1" s="59" t="s">
        <v>288</v>
      </c>
      <c r="B1" s="59" t="s">
        <v>0</v>
      </c>
      <c r="C1" s="59" t="s">
        <v>64</v>
      </c>
      <c r="D1" s="59" t="s">
        <v>43</v>
      </c>
      <c r="E1" s="59" t="s">
        <v>44</v>
      </c>
      <c r="F1" s="59" t="s">
        <v>45</v>
      </c>
      <c r="G1" s="59" t="s">
        <v>46</v>
      </c>
      <c r="H1" s="59" t="s">
        <v>47</v>
      </c>
      <c r="I1" s="59" t="s">
        <v>48</v>
      </c>
      <c r="J1" s="59" t="s">
        <v>49</v>
      </c>
      <c r="K1" s="59" t="s">
        <v>50</v>
      </c>
      <c r="L1" s="59" t="s">
        <v>51</v>
      </c>
      <c r="M1" s="59" t="s">
        <v>52</v>
      </c>
      <c r="N1" s="59" t="s">
        <v>53</v>
      </c>
      <c r="O1" s="59" t="s">
        <v>54</v>
      </c>
      <c r="P1" s="59" t="s">
        <v>55</v>
      </c>
      <c r="Q1" s="59" t="s">
        <v>56</v>
      </c>
      <c r="R1" s="59" t="s">
        <v>57</v>
      </c>
      <c r="S1" s="59" t="s">
        <v>58</v>
      </c>
      <c r="T1" s="59" t="s">
        <v>59</v>
      </c>
      <c r="U1" s="59" t="s">
        <v>60</v>
      </c>
      <c r="V1" s="59" t="s">
        <v>61</v>
      </c>
      <c r="W1" s="59" t="s">
        <v>62</v>
      </c>
      <c r="X1" s="59" t="s">
        <v>63</v>
      </c>
      <c r="Y1" s="59" t="s">
        <v>330</v>
      </c>
      <c r="Z1" s="59" t="s">
        <v>331</v>
      </c>
      <c r="AA1" s="59" t="s">
        <v>332</v>
      </c>
      <c r="AB1" s="59" t="s">
        <v>333</v>
      </c>
      <c r="AC1" s="59" t="s">
        <v>334</v>
      </c>
      <c r="AD1" s="59" t="s">
        <v>335</v>
      </c>
      <c r="AE1" s="59" t="s">
        <v>336</v>
      </c>
      <c r="AF1" s="59" t="s">
        <v>337</v>
      </c>
      <c r="AG1" s="59" t="s">
        <v>338</v>
      </c>
      <c r="AH1" s="59" t="s">
        <v>339</v>
      </c>
      <c r="AI1" s="59" t="s">
        <v>340</v>
      </c>
      <c r="AJ1" s="59" t="s">
        <v>341</v>
      </c>
      <c r="AK1" s="59" t="s">
        <v>342</v>
      </c>
      <c r="AL1" s="59" t="s">
        <v>343</v>
      </c>
      <c r="AM1" s="59" t="s">
        <v>390</v>
      </c>
      <c r="AZ1" s="58"/>
      <c r="BA1" s="58"/>
      <c r="BB1" s="58"/>
      <c r="BC1" s="58"/>
      <c r="BD1" s="58"/>
      <c r="BE1" s="58"/>
      <c r="BF1" s="58"/>
    </row>
    <row r="2" spans="1:98">
      <c r="A2" s="6">
        <f t="shared" ref="A2:A33" si="0">ROW()-1</f>
        <v>1</v>
      </c>
      <c r="B2" s="6" t="s">
        <v>1</v>
      </c>
      <c r="C2" s="6">
        <v>1</v>
      </c>
      <c r="D2" s="6" t="s">
        <v>2</v>
      </c>
      <c r="E2" s="6" t="s">
        <v>3</v>
      </c>
      <c r="F2" s="6" t="s">
        <v>4</v>
      </c>
      <c r="G2" s="6" t="s">
        <v>5</v>
      </c>
      <c r="H2" s="6" t="s">
        <v>5</v>
      </c>
      <c r="I2" s="6" t="s">
        <v>5</v>
      </c>
      <c r="J2" s="6" t="s">
        <v>2</v>
      </c>
      <c r="K2" s="6" t="s">
        <v>2</v>
      </c>
      <c r="L2" s="6" t="s">
        <v>3</v>
      </c>
      <c r="M2" s="6" t="s">
        <v>2</v>
      </c>
      <c r="N2" s="6" t="s">
        <v>4</v>
      </c>
      <c r="O2" s="6" t="s">
        <v>2</v>
      </c>
      <c r="P2" s="6" t="s">
        <v>5</v>
      </c>
      <c r="Q2" s="6" t="s">
        <v>3</v>
      </c>
      <c r="R2" s="6" t="s">
        <v>3</v>
      </c>
      <c r="S2" s="6" t="s">
        <v>5</v>
      </c>
      <c r="T2" s="6" t="s">
        <v>5</v>
      </c>
      <c r="U2" s="6" t="s">
        <v>5</v>
      </c>
      <c r="V2" s="6" t="s">
        <v>2</v>
      </c>
      <c r="W2" s="6" t="s">
        <v>4</v>
      </c>
      <c r="X2" s="6" t="s">
        <v>3</v>
      </c>
      <c r="Y2" s="6" t="s">
        <v>4</v>
      </c>
      <c r="Z2" s="6" t="s">
        <v>4</v>
      </c>
      <c r="AA2" s="6" t="s">
        <v>4</v>
      </c>
      <c r="AB2" s="6" t="s">
        <v>4</v>
      </c>
      <c r="AC2" s="6" t="s">
        <v>4</v>
      </c>
      <c r="AD2" s="6" t="s">
        <v>4</v>
      </c>
      <c r="AE2" s="6" t="s">
        <v>4</v>
      </c>
      <c r="AF2" s="6" t="s">
        <v>3</v>
      </c>
      <c r="AG2" s="6" t="s">
        <v>4</v>
      </c>
      <c r="AH2" s="6" t="s">
        <v>4</v>
      </c>
      <c r="AI2" s="6" t="s">
        <v>3</v>
      </c>
      <c r="AJ2" s="6" t="s">
        <v>4</v>
      </c>
      <c r="AK2" s="6" t="s">
        <v>4</v>
      </c>
      <c r="AL2" s="6" t="s">
        <v>4</v>
      </c>
      <c r="AM2" s="6" t="s">
        <v>3</v>
      </c>
      <c r="BI2" s="5"/>
    </row>
    <row r="3" spans="1:98">
      <c r="A3" s="6">
        <f t="shared" si="0"/>
        <v>2</v>
      </c>
      <c r="B3" s="6" t="s">
        <v>6</v>
      </c>
      <c r="C3" s="6">
        <v>1</v>
      </c>
      <c r="D3" s="6" t="s">
        <v>5</v>
      </c>
      <c r="E3" s="6" t="s">
        <v>3</v>
      </c>
      <c r="F3" s="6" t="s">
        <v>2</v>
      </c>
      <c r="G3" s="6" t="s">
        <v>3</v>
      </c>
      <c r="H3" s="6" t="s">
        <v>5</v>
      </c>
      <c r="I3" s="6" t="s">
        <v>3</v>
      </c>
      <c r="J3" s="6" t="s">
        <v>5</v>
      </c>
      <c r="K3" s="6" t="s">
        <v>2</v>
      </c>
      <c r="L3" s="6" t="s">
        <v>2</v>
      </c>
      <c r="M3" s="6" t="s">
        <v>3</v>
      </c>
      <c r="N3" s="6" t="s">
        <v>3</v>
      </c>
      <c r="O3" s="6" t="s">
        <v>4</v>
      </c>
      <c r="P3" s="6" t="s">
        <v>5</v>
      </c>
      <c r="Q3" s="6" t="s">
        <v>3</v>
      </c>
      <c r="R3" s="6" t="s">
        <v>3</v>
      </c>
      <c r="S3" s="6" t="s">
        <v>5</v>
      </c>
      <c r="T3" s="6" t="s">
        <v>5</v>
      </c>
      <c r="U3" s="6" t="s">
        <v>5</v>
      </c>
      <c r="V3" s="6" t="s">
        <v>4</v>
      </c>
      <c r="W3" s="6" t="s">
        <v>4</v>
      </c>
      <c r="X3" s="6" t="s">
        <v>4</v>
      </c>
      <c r="Y3" s="6" t="s">
        <v>5</v>
      </c>
      <c r="Z3" s="6" t="s">
        <v>3</v>
      </c>
      <c r="AA3" s="6" t="s">
        <v>4</v>
      </c>
      <c r="AB3" s="6" t="s">
        <v>4</v>
      </c>
      <c r="AC3" s="6" t="s">
        <v>4</v>
      </c>
      <c r="AD3" s="6" t="s">
        <v>4</v>
      </c>
      <c r="AE3" s="6" t="s">
        <v>4</v>
      </c>
      <c r="AF3" s="6" t="s">
        <v>4</v>
      </c>
      <c r="AG3" s="6" t="s">
        <v>3</v>
      </c>
      <c r="AH3" s="6" t="s">
        <v>4</v>
      </c>
      <c r="AI3" s="6" t="s">
        <v>3</v>
      </c>
      <c r="AJ3" s="6" t="s">
        <v>4</v>
      </c>
      <c r="AK3" s="6" t="s">
        <v>4</v>
      </c>
      <c r="AL3" s="6" t="s">
        <v>4</v>
      </c>
      <c r="AM3" s="6" t="s">
        <v>3</v>
      </c>
      <c r="AZ3"/>
      <c r="BG3" s="19"/>
      <c r="BI3" s="75"/>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row>
    <row r="4" spans="1:98" ht="17.399999999999999" customHeight="1">
      <c r="A4" s="6">
        <f t="shared" si="0"/>
        <v>3</v>
      </c>
      <c r="B4" s="6" t="s">
        <v>7</v>
      </c>
      <c r="C4" s="6">
        <v>1</v>
      </c>
      <c r="D4" s="6" t="s">
        <v>2</v>
      </c>
      <c r="E4" s="6" t="s">
        <v>3</v>
      </c>
      <c r="F4" s="6" t="s">
        <v>4</v>
      </c>
      <c r="G4" s="6" t="s">
        <v>5</v>
      </c>
      <c r="H4" s="6" t="s">
        <v>5</v>
      </c>
      <c r="I4" s="6" t="s">
        <v>5</v>
      </c>
      <c r="J4" s="6" t="s">
        <v>5</v>
      </c>
      <c r="K4" s="6" t="s">
        <v>2</v>
      </c>
      <c r="L4" s="6" t="s">
        <v>3</v>
      </c>
      <c r="M4" s="6" t="s">
        <v>3</v>
      </c>
      <c r="N4" s="6" t="s">
        <v>4</v>
      </c>
      <c r="O4" s="6" t="s">
        <v>3</v>
      </c>
      <c r="P4" s="6" t="s">
        <v>5</v>
      </c>
      <c r="Q4" s="6" t="s">
        <v>3</v>
      </c>
      <c r="R4" s="6" t="s">
        <v>3</v>
      </c>
      <c r="S4" s="6" t="s">
        <v>5</v>
      </c>
      <c r="T4" s="6" t="s">
        <v>5</v>
      </c>
      <c r="U4" s="6" t="s">
        <v>5</v>
      </c>
      <c r="V4" s="6" t="s">
        <v>2</v>
      </c>
      <c r="W4" s="6" t="s">
        <v>4</v>
      </c>
      <c r="X4" s="6" t="s">
        <v>3</v>
      </c>
      <c r="Y4" s="6" t="s">
        <v>2</v>
      </c>
      <c r="Z4" s="6" t="s">
        <v>3</v>
      </c>
      <c r="AA4" s="6" t="s">
        <v>4</v>
      </c>
      <c r="AB4" s="6" t="s">
        <v>4</v>
      </c>
      <c r="AC4" s="6" t="s">
        <v>4</v>
      </c>
      <c r="AD4" s="6" t="s">
        <v>4</v>
      </c>
      <c r="AE4" s="6" t="s">
        <v>4</v>
      </c>
      <c r="AF4" s="6" t="s">
        <v>4</v>
      </c>
      <c r="AG4" s="6" t="s">
        <v>4</v>
      </c>
      <c r="AH4" s="6" t="s">
        <v>4</v>
      </c>
      <c r="AI4" s="6" t="s">
        <v>4</v>
      </c>
      <c r="AJ4" s="6" t="s">
        <v>4</v>
      </c>
      <c r="AK4" s="6" t="s">
        <v>4</v>
      </c>
      <c r="AL4" s="6" t="s">
        <v>3</v>
      </c>
      <c r="AM4" s="6" t="s">
        <v>3</v>
      </c>
      <c r="AR4" s="4" t="s">
        <v>39</v>
      </c>
      <c r="AS4" s="4"/>
      <c r="BG4" s="19"/>
      <c r="BI4" s="75"/>
    </row>
    <row r="5" spans="1:98">
      <c r="A5" s="6">
        <f t="shared" si="0"/>
        <v>4</v>
      </c>
      <c r="B5" s="6" t="s">
        <v>8</v>
      </c>
      <c r="C5" s="6">
        <v>1</v>
      </c>
      <c r="D5" s="6" t="s">
        <v>5</v>
      </c>
      <c r="E5" s="6" t="s">
        <v>3</v>
      </c>
      <c r="F5" s="6" t="s">
        <v>2</v>
      </c>
      <c r="G5" s="6" t="s">
        <v>3</v>
      </c>
      <c r="H5" s="6" t="s">
        <v>5</v>
      </c>
      <c r="I5" s="6" t="s">
        <v>5</v>
      </c>
      <c r="J5" s="6" t="s">
        <v>5</v>
      </c>
      <c r="K5" s="6" t="s">
        <v>2</v>
      </c>
      <c r="L5" s="6" t="s">
        <v>3</v>
      </c>
      <c r="M5" s="6" t="s">
        <v>3</v>
      </c>
      <c r="N5" s="6" t="s">
        <v>4</v>
      </c>
      <c r="O5" s="6" t="s">
        <v>2</v>
      </c>
      <c r="P5" s="6" t="s">
        <v>5</v>
      </c>
      <c r="Q5" s="6" t="s">
        <v>3</v>
      </c>
      <c r="R5" s="6" t="s">
        <v>2</v>
      </c>
      <c r="S5" s="6" t="s">
        <v>5</v>
      </c>
      <c r="T5" s="6" t="s">
        <v>2</v>
      </c>
      <c r="U5" s="6" t="s">
        <v>2</v>
      </c>
      <c r="V5" s="6" t="s">
        <v>3</v>
      </c>
      <c r="W5" s="6" t="s">
        <v>4</v>
      </c>
      <c r="X5" s="6" t="s">
        <v>3</v>
      </c>
      <c r="Y5" s="6" t="s">
        <v>3</v>
      </c>
      <c r="Z5" s="6" t="s">
        <v>3</v>
      </c>
      <c r="AA5" s="6" t="s">
        <v>4</v>
      </c>
      <c r="AB5" s="6" t="s">
        <v>4</v>
      </c>
      <c r="AC5" s="6" t="s">
        <v>4</v>
      </c>
      <c r="AD5" s="6" t="s">
        <v>4</v>
      </c>
      <c r="AE5" s="6" t="s">
        <v>4</v>
      </c>
      <c r="AF5" s="6" t="s">
        <v>4</v>
      </c>
      <c r="AG5" s="6" t="s">
        <v>3</v>
      </c>
      <c r="AH5" s="6" t="s">
        <v>4</v>
      </c>
      <c r="AI5" s="6" t="s">
        <v>3</v>
      </c>
      <c r="AJ5" s="6" t="s">
        <v>4</v>
      </c>
      <c r="AK5" s="6" t="s">
        <v>4</v>
      </c>
      <c r="AL5" s="6" t="s">
        <v>4</v>
      </c>
      <c r="AM5" s="6" t="s">
        <v>3</v>
      </c>
      <c r="AT5" s="54" t="s">
        <v>451</v>
      </c>
      <c r="AU5" s="54" t="s">
        <v>452</v>
      </c>
      <c r="AV5" s="19"/>
      <c r="AW5" s="19"/>
      <c r="AX5" s="19"/>
      <c r="AY5" s="19"/>
      <c r="BG5" s="19"/>
    </row>
    <row r="6" spans="1:98">
      <c r="A6" s="6">
        <f t="shared" si="0"/>
        <v>5</v>
      </c>
      <c r="B6" s="6" t="s">
        <v>9</v>
      </c>
      <c r="C6" s="6">
        <v>1</v>
      </c>
      <c r="D6" s="6" t="s">
        <v>2</v>
      </c>
      <c r="E6" s="6" t="s">
        <v>3</v>
      </c>
      <c r="F6" s="6" t="s">
        <v>3</v>
      </c>
      <c r="G6" s="6" t="s">
        <v>5</v>
      </c>
      <c r="H6" s="6" t="s">
        <v>5</v>
      </c>
      <c r="I6" s="6" t="s">
        <v>3</v>
      </c>
      <c r="J6" s="6" t="s">
        <v>2</v>
      </c>
      <c r="K6" s="6" t="s">
        <v>2</v>
      </c>
      <c r="L6" s="6" t="s">
        <v>2</v>
      </c>
      <c r="M6" s="6" t="s">
        <v>3</v>
      </c>
      <c r="N6" s="6" t="s">
        <v>4</v>
      </c>
      <c r="O6" s="6" t="s">
        <v>5</v>
      </c>
      <c r="P6" s="6" t="s">
        <v>5</v>
      </c>
      <c r="Q6" s="6" t="s">
        <v>3</v>
      </c>
      <c r="R6" s="6" t="s">
        <v>3</v>
      </c>
      <c r="S6" s="6" t="s">
        <v>5</v>
      </c>
      <c r="T6" s="6" t="s">
        <v>5</v>
      </c>
      <c r="U6" s="6" t="s">
        <v>5</v>
      </c>
      <c r="V6" s="6" t="s">
        <v>5</v>
      </c>
      <c r="W6" s="6" t="s">
        <v>4</v>
      </c>
      <c r="X6" s="6" t="s">
        <v>3</v>
      </c>
      <c r="Y6" s="6" t="s">
        <v>2</v>
      </c>
      <c r="Z6" s="6" t="s">
        <v>3</v>
      </c>
      <c r="AA6" s="6" t="s">
        <v>4</v>
      </c>
      <c r="AB6" s="6" t="s">
        <v>4</v>
      </c>
      <c r="AC6" s="6" t="s">
        <v>4</v>
      </c>
      <c r="AD6" s="6" t="s">
        <v>4</v>
      </c>
      <c r="AE6" s="6" t="s">
        <v>4</v>
      </c>
      <c r="AF6" s="6" t="s">
        <v>3</v>
      </c>
      <c r="AG6" s="6" t="s">
        <v>3</v>
      </c>
      <c r="AH6" s="6" t="s">
        <v>4</v>
      </c>
      <c r="AI6" s="6" t="s">
        <v>4</v>
      </c>
      <c r="AJ6" s="6" t="s">
        <v>4</v>
      </c>
      <c r="AK6" s="6" t="s">
        <v>4</v>
      </c>
      <c r="AL6" s="6" t="s">
        <v>4</v>
      </c>
      <c r="AM6" s="6" t="s">
        <v>3</v>
      </c>
      <c r="AT6" s="41">
        <f>COUNT(A2:A79)</f>
        <v>78</v>
      </c>
      <c r="AU6" s="41"/>
      <c r="AV6" s="19"/>
      <c r="AW6" s="19"/>
      <c r="AX6" s="19"/>
      <c r="AY6" s="19"/>
      <c r="BG6" s="19"/>
      <c r="BI6" s="57"/>
    </row>
    <row r="7" spans="1:98">
      <c r="A7" s="6">
        <f t="shared" si="0"/>
        <v>6</v>
      </c>
      <c r="B7" s="6" t="s">
        <v>10</v>
      </c>
      <c r="C7" s="6">
        <v>1</v>
      </c>
      <c r="D7" s="6" t="s">
        <v>3</v>
      </c>
      <c r="E7" s="6" t="s">
        <v>3</v>
      </c>
      <c r="F7" s="6" t="s">
        <v>2</v>
      </c>
      <c r="G7" s="6" t="s">
        <v>5</v>
      </c>
      <c r="H7" s="6" t="s">
        <v>5</v>
      </c>
      <c r="I7" s="6" t="s">
        <v>3</v>
      </c>
      <c r="J7" s="6" t="s">
        <v>5</v>
      </c>
      <c r="K7" s="6" t="s">
        <v>2</v>
      </c>
      <c r="L7" s="6" t="s">
        <v>2</v>
      </c>
      <c r="M7" s="6" t="s">
        <v>2</v>
      </c>
      <c r="N7" s="6" t="s">
        <v>3</v>
      </c>
      <c r="O7" s="6" t="s">
        <v>3</v>
      </c>
      <c r="P7" s="6" t="s">
        <v>5</v>
      </c>
      <c r="Q7" s="6" t="s">
        <v>3</v>
      </c>
      <c r="R7" s="6" t="s">
        <v>3</v>
      </c>
      <c r="S7" s="6" t="s">
        <v>5</v>
      </c>
      <c r="T7" s="6" t="s">
        <v>5</v>
      </c>
      <c r="U7" s="6" t="s">
        <v>5</v>
      </c>
      <c r="V7" s="6" t="s">
        <v>5</v>
      </c>
      <c r="W7" s="6" t="s">
        <v>4</v>
      </c>
      <c r="X7" s="6" t="s">
        <v>3</v>
      </c>
      <c r="Y7" s="6" t="s">
        <v>2</v>
      </c>
      <c r="Z7" s="6" t="s">
        <v>3</v>
      </c>
      <c r="AA7" s="6" t="s">
        <v>4</v>
      </c>
      <c r="AB7" s="6" t="s">
        <v>4</v>
      </c>
      <c r="AC7" s="6" t="s">
        <v>4</v>
      </c>
      <c r="AD7" s="6" t="s">
        <v>4</v>
      </c>
      <c r="AE7" s="6" t="s">
        <v>4</v>
      </c>
      <c r="AF7" s="6" t="s">
        <v>4</v>
      </c>
      <c r="AG7" s="6" t="s">
        <v>3</v>
      </c>
      <c r="AH7" s="6" t="s">
        <v>4</v>
      </c>
      <c r="AI7" s="6" t="s">
        <v>3</v>
      </c>
      <c r="AJ7" s="6" t="s">
        <v>4</v>
      </c>
      <c r="AK7" s="6" t="s">
        <v>4</v>
      </c>
      <c r="AL7" s="6" t="s">
        <v>4</v>
      </c>
      <c r="AM7" s="6" t="s">
        <v>3</v>
      </c>
      <c r="AV7" s="19"/>
      <c r="AW7" s="19"/>
      <c r="AX7" s="19"/>
      <c r="AY7" s="19"/>
      <c r="BG7" s="19"/>
    </row>
    <row r="8" spans="1:98">
      <c r="A8" s="6">
        <f t="shared" si="0"/>
        <v>7</v>
      </c>
      <c r="B8" s="6" t="s">
        <v>255</v>
      </c>
      <c r="C8" s="6">
        <v>1</v>
      </c>
      <c r="D8" s="6" t="s">
        <v>3</v>
      </c>
      <c r="E8" s="6" t="s">
        <v>3</v>
      </c>
      <c r="F8" s="6" t="s">
        <v>4</v>
      </c>
      <c r="G8" s="6" t="s">
        <v>3</v>
      </c>
      <c r="H8" s="6" t="s">
        <v>5</v>
      </c>
      <c r="I8" s="6" t="s">
        <v>5</v>
      </c>
      <c r="J8" s="6" t="s">
        <v>2</v>
      </c>
      <c r="K8" s="6" t="s">
        <v>2</v>
      </c>
      <c r="L8" s="6" t="s">
        <v>3</v>
      </c>
      <c r="M8" s="6" t="s">
        <v>3</v>
      </c>
      <c r="N8" s="6" t="s">
        <v>4</v>
      </c>
      <c r="O8" s="6" t="s">
        <v>5</v>
      </c>
      <c r="P8" s="6" t="s">
        <v>5</v>
      </c>
      <c r="Q8" s="6" t="s">
        <v>3</v>
      </c>
      <c r="R8" s="6" t="s">
        <v>2</v>
      </c>
      <c r="S8" s="6" t="s">
        <v>2</v>
      </c>
      <c r="T8" s="6" t="s">
        <v>2</v>
      </c>
      <c r="U8" s="6" t="s">
        <v>2</v>
      </c>
      <c r="V8" s="6" t="s">
        <v>5</v>
      </c>
      <c r="W8" s="6" t="s">
        <v>4</v>
      </c>
      <c r="X8" s="6" t="s">
        <v>4</v>
      </c>
      <c r="Y8" s="6" t="s">
        <v>4</v>
      </c>
      <c r="Z8" s="6" t="s">
        <v>3</v>
      </c>
      <c r="AA8" s="6" t="s">
        <v>4</v>
      </c>
      <c r="AB8" s="6" t="s">
        <v>4</v>
      </c>
      <c r="AC8" s="6" t="s">
        <v>4</v>
      </c>
      <c r="AD8" s="6" t="s">
        <v>4</v>
      </c>
      <c r="AE8" s="6" t="s">
        <v>4</v>
      </c>
      <c r="AF8" s="6" t="s">
        <v>4</v>
      </c>
      <c r="AG8" s="6" t="s">
        <v>3</v>
      </c>
      <c r="AH8" s="6" t="s">
        <v>4</v>
      </c>
      <c r="AI8" s="6" t="s">
        <v>3</v>
      </c>
      <c r="AJ8" s="6" t="s">
        <v>4</v>
      </c>
      <c r="AK8" s="6" t="s">
        <v>4</v>
      </c>
      <c r="AL8" s="6" t="s">
        <v>3</v>
      </c>
      <c r="AM8" s="6" t="s">
        <v>3</v>
      </c>
      <c r="AT8" s="72" t="s">
        <v>64</v>
      </c>
      <c r="AU8" s="56" t="s">
        <v>303</v>
      </c>
      <c r="AV8" s="56" t="s">
        <v>304</v>
      </c>
      <c r="AW8" s="56" t="s">
        <v>305</v>
      </c>
      <c r="AX8" s="56" t="s">
        <v>306</v>
      </c>
      <c r="AY8" s="56" t="s">
        <v>307</v>
      </c>
      <c r="AZ8" s="56" t="s">
        <v>308</v>
      </c>
      <c r="BG8" s="19"/>
      <c r="BI8" s="3"/>
    </row>
    <row r="9" spans="1:98">
      <c r="A9" s="6">
        <f t="shared" si="0"/>
        <v>8</v>
      </c>
      <c r="B9" s="6" t="s">
        <v>256</v>
      </c>
      <c r="C9" s="6">
        <v>1</v>
      </c>
      <c r="D9" s="6" t="s">
        <v>3</v>
      </c>
      <c r="E9" s="6" t="s">
        <v>5</v>
      </c>
      <c r="F9" s="6" t="s">
        <v>3</v>
      </c>
      <c r="G9" s="6" t="s">
        <v>5</v>
      </c>
      <c r="H9" s="6" t="s">
        <v>5</v>
      </c>
      <c r="I9" s="6" t="s">
        <v>5</v>
      </c>
      <c r="J9" s="6" t="s">
        <v>5</v>
      </c>
      <c r="K9" s="6" t="s">
        <v>2</v>
      </c>
      <c r="L9" s="6" t="s">
        <v>3</v>
      </c>
      <c r="M9" s="6" t="s">
        <v>3</v>
      </c>
      <c r="N9" s="6" t="s">
        <v>3</v>
      </c>
      <c r="O9" s="6" t="s">
        <v>4</v>
      </c>
      <c r="P9" s="6" t="s">
        <v>5</v>
      </c>
      <c r="Q9" s="6" t="s">
        <v>3</v>
      </c>
      <c r="R9" s="6" t="s">
        <v>4</v>
      </c>
      <c r="S9" s="6" t="s">
        <v>5</v>
      </c>
      <c r="T9" s="6" t="s">
        <v>5</v>
      </c>
      <c r="U9" s="6" t="s">
        <v>5</v>
      </c>
      <c r="V9" s="6" t="s">
        <v>3</v>
      </c>
      <c r="W9" s="6" t="s">
        <v>4</v>
      </c>
      <c r="X9" s="6" t="s">
        <v>3</v>
      </c>
      <c r="Y9" s="6" t="s">
        <v>2</v>
      </c>
      <c r="Z9" s="6" t="s">
        <v>3</v>
      </c>
      <c r="AA9" s="6" t="s">
        <v>4</v>
      </c>
      <c r="AB9" s="6" t="s">
        <v>4</v>
      </c>
      <c r="AC9" s="6" t="s">
        <v>4</v>
      </c>
      <c r="AD9" s="6" t="s">
        <v>4</v>
      </c>
      <c r="AE9" s="6" t="s">
        <v>4</v>
      </c>
      <c r="AF9" s="6" t="s">
        <v>4</v>
      </c>
      <c r="AG9" s="6" t="s">
        <v>3</v>
      </c>
      <c r="AH9" s="6" t="s">
        <v>4</v>
      </c>
      <c r="AI9" s="6" t="s">
        <v>3</v>
      </c>
      <c r="AJ9" s="6" t="s">
        <v>4</v>
      </c>
      <c r="AK9" s="6" t="s">
        <v>4</v>
      </c>
      <c r="AL9" s="6" t="s">
        <v>4</v>
      </c>
      <c r="AM9" s="6" t="s">
        <v>3</v>
      </c>
      <c r="AR9" s="69" t="s">
        <v>40</v>
      </c>
      <c r="AS9" s="70"/>
      <c r="AT9" s="73"/>
      <c r="AU9" s="55">
        <f>COUNTIF(C:C,1)</f>
        <v>13</v>
      </c>
      <c r="AV9" s="55">
        <f>COUNTIF(C:C,2)</f>
        <v>13</v>
      </c>
      <c r="AW9" s="55">
        <f>COUNTIF(C:C,3)</f>
        <v>13</v>
      </c>
      <c r="AX9" s="55">
        <f>COUNTIF(C:C,4)</f>
        <v>13</v>
      </c>
      <c r="AY9" s="55">
        <f>COUNTIF(C:C,5)</f>
        <v>13</v>
      </c>
      <c r="AZ9" s="55">
        <f>COUNTIF(C:C,6)</f>
        <v>13</v>
      </c>
      <c r="BG9" s="19"/>
    </row>
    <row r="10" spans="1:98">
      <c r="A10" s="6">
        <f t="shared" si="0"/>
        <v>9</v>
      </c>
      <c r="B10" s="6" t="s">
        <v>257</v>
      </c>
      <c r="C10" s="6">
        <v>1</v>
      </c>
      <c r="D10" s="6" t="s">
        <v>3</v>
      </c>
      <c r="E10" s="6" t="s">
        <v>3</v>
      </c>
      <c r="F10" s="6" t="s">
        <v>2</v>
      </c>
      <c r="G10" s="6" t="s">
        <v>3</v>
      </c>
      <c r="H10" s="6" t="s">
        <v>5</v>
      </c>
      <c r="I10" s="6" t="s">
        <v>5</v>
      </c>
      <c r="J10" s="6" t="s">
        <v>5</v>
      </c>
      <c r="K10" s="6" t="s">
        <v>2</v>
      </c>
      <c r="L10" s="6" t="s">
        <v>2</v>
      </c>
      <c r="M10" s="6" t="s">
        <v>2</v>
      </c>
      <c r="N10" s="6" t="s">
        <v>3</v>
      </c>
      <c r="O10" s="6" t="s">
        <v>2</v>
      </c>
      <c r="P10" s="6" t="s">
        <v>5</v>
      </c>
      <c r="Q10" s="6" t="s">
        <v>3</v>
      </c>
      <c r="R10" s="6" t="s">
        <v>3</v>
      </c>
      <c r="S10" s="6" t="s">
        <v>5</v>
      </c>
      <c r="T10" s="6" t="s">
        <v>5</v>
      </c>
      <c r="U10" s="6" t="s">
        <v>5</v>
      </c>
      <c r="V10" s="6" t="s">
        <v>2</v>
      </c>
      <c r="W10" s="6" t="s">
        <v>4</v>
      </c>
      <c r="X10" s="6" t="s">
        <v>3</v>
      </c>
      <c r="Y10" s="6" t="s">
        <v>4</v>
      </c>
      <c r="Z10" s="6" t="s">
        <v>3</v>
      </c>
      <c r="AA10" s="6" t="s">
        <v>4</v>
      </c>
      <c r="AB10" s="6" t="s">
        <v>4</v>
      </c>
      <c r="AC10" s="6" t="s">
        <v>4</v>
      </c>
      <c r="AD10" s="6" t="s">
        <v>4</v>
      </c>
      <c r="AE10" s="6" t="s">
        <v>4</v>
      </c>
      <c r="AF10" s="6" t="s">
        <v>4</v>
      </c>
      <c r="AG10" s="6" t="s">
        <v>3</v>
      </c>
      <c r="AH10" s="6" t="s">
        <v>4</v>
      </c>
      <c r="AI10" s="6" t="s">
        <v>3</v>
      </c>
      <c r="AJ10" s="6" t="s">
        <v>4</v>
      </c>
      <c r="AK10" s="6" t="s">
        <v>4</v>
      </c>
      <c r="AL10" s="6" t="s">
        <v>4</v>
      </c>
      <c r="AM10" s="6" t="s">
        <v>3</v>
      </c>
      <c r="AR10" s="71" t="s">
        <v>41</v>
      </c>
      <c r="AS10" s="71"/>
      <c r="AZ10"/>
      <c r="BG10" s="19"/>
      <c r="BI10" s="3"/>
    </row>
    <row r="11" spans="1:98">
      <c r="A11" s="6">
        <f t="shared" si="0"/>
        <v>10</v>
      </c>
      <c r="B11" s="6" t="s">
        <v>258</v>
      </c>
      <c r="C11" s="6">
        <v>1</v>
      </c>
      <c r="D11" s="6" t="s">
        <v>3</v>
      </c>
      <c r="E11" s="6" t="s">
        <v>5</v>
      </c>
      <c r="F11" s="6" t="s">
        <v>2</v>
      </c>
      <c r="G11" s="6" t="s">
        <v>5</v>
      </c>
      <c r="H11" s="6" t="s">
        <v>5</v>
      </c>
      <c r="I11" s="6" t="s">
        <v>5</v>
      </c>
      <c r="J11" s="6" t="s">
        <v>5</v>
      </c>
      <c r="K11" s="6" t="s">
        <v>2</v>
      </c>
      <c r="L11" s="6" t="s">
        <v>3</v>
      </c>
      <c r="M11" s="6" t="s">
        <v>3</v>
      </c>
      <c r="N11" s="6" t="s">
        <v>2</v>
      </c>
      <c r="O11" s="6" t="s">
        <v>4</v>
      </c>
      <c r="P11" s="6" t="s">
        <v>4</v>
      </c>
      <c r="Q11" s="6" t="s">
        <v>3</v>
      </c>
      <c r="R11" s="6" t="s">
        <v>4</v>
      </c>
      <c r="S11" s="6" t="s">
        <v>2</v>
      </c>
      <c r="T11" s="6" t="s">
        <v>2</v>
      </c>
      <c r="U11" s="6" t="s">
        <v>2</v>
      </c>
      <c r="V11" s="6" t="s">
        <v>5</v>
      </c>
      <c r="W11" s="6" t="s">
        <v>4</v>
      </c>
      <c r="X11" s="6" t="s">
        <v>4</v>
      </c>
      <c r="Y11" s="6" t="s">
        <v>2</v>
      </c>
      <c r="Z11" s="6" t="s">
        <v>3</v>
      </c>
      <c r="AA11" s="6" t="s">
        <v>4</v>
      </c>
      <c r="AB11" s="6" t="s">
        <v>4</v>
      </c>
      <c r="AC11" s="6" t="s">
        <v>4</v>
      </c>
      <c r="AD11" s="6" t="s">
        <v>4</v>
      </c>
      <c r="AE11" s="6" t="s">
        <v>4</v>
      </c>
      <c r="AF11" s="6" t="s">
        <v>4</v>
      </c>
      <c r="AG11" s="6" t="s">
        <v>3</v>
      </c>
      <c r="AH11" s="6" t="s">
        <v>4</v>
      </c>
      <c r="AI11" s="6" t="s">
        <v>3</v>
      </c>
      <c r="AJ11" s="6" t="s">
        <v>4</v>
      </c>
      <c r="AK11" s="6" t="s">
        <v>4</v>
      </c>
      <c r="AL11" s="6" t="s">
        <v>4</v>
      </c>
      <c r="AM11" s="6" t="s">
        <v>3</v>
      </c>
      <c r="AR11" s="71" t="s">
        <v>42</v>
      </c>
      <c r="AS11" s="71"/>
      <c r="AZ11"/>
      <c r="BG11" s="19"/>
    </row>
    <row r="12" spans="1:98">
      <c r="A12" s="6">
        <f t="shared" si="0"/>
        <v>11</v>
      </c>
      <c r="B12" s="6" t="s">
        <v>457</v>
      </c>
      <c r="C12" s="6">
        <v>1</v>
      </c>
      <c r="D12" s="6" t="s">
        <v>4</v>
      </c>
      <c r="E12" s="6" t="s">
        <v>2</v>
      </c>
      <c r="F12" s="6" t="s">
        <v>3</v>
      </c>
      <c r="G12" s="6" t="s">
        <v>3</v>
      </c>
      <c r="H12" s="6" t="s">
        <v>5</v>
      </c>
      <c r="I12" s="6" t="s">
        <v>5</v>
      </c>
      <c r="J12" s="6" t="s">
        <v>5</v>
      </c>
      <c r="K12" s="6" t="s">
        <v>2</v>
      </c>
      <c r="L12" s="6" t="s">
        <v>3</v>
      </c>
      <c r="M12" s="6" t="s">
        <v>3</v>
      </c>
      <c r="N12" s="6" t="s">
        <v>4</v>
      </c>
      <c r="O12" s="6" t="s">
        <v>4</v>
      </c>
      <c r="P12" s="6" t="s">
        <v>5</v>
      </c>
      <c r="Q12" s="6" t="s">
        <v>3</v>
      </c>
      <c r="R12" s="6" t="s">
        <v>5</v>
      </c>
      <c r="S12" s="6" t="s">
        <v>5</v>
      </c>
      <c r="T12" s="6" t="s">
        <v>5</v>
      </c>
      <c r="U12" s="6" t="s">
        <v>5</v>
      </c>
      <c r="V12" s="6" t="s">
        <v>4</v>
      </c>
      <c r="W12" s="6" t="s">
        <v>4</v>
      </c>
      <c r="X12" s="6" t="s">
        <v>4</v>
      </c>
      <c r="Y12" s="6" t="s">
        <v>4</v>
      </c>
      <c r="Z12" s="6" t="s">
        <v>3</v>
      </c>
      <c r="AA12" s="6" t="s">
        <v>3</v>
      </c>
      <c r="AB12" s="6" t="s">
        <v>3</v>
      </c>
      <c r="AC12" s="6" t="s">
        <v>4</v>
      </c>
      <c r="AD12" s="6" t="s">
        <v>4</v>
      </c>
      <c r="AE12" s="6" t="s">
        <v>4</v>
      </c>
      <c r="AF12" s="6" t="s">
        <v>4</v>
      </c>
      <c r="AG12" s="6" t="s">
        <v>3</v>
      </c>
      <c r="AH12" s="6" t="s">
        <v>4</v>
      </c>
      <c r="AI12" s="6" t="s">
        <v>3</v>
      </c>
      <c r="AJ12" s="6" t="s">
        <v>4</v>
      </c>
      <c r="AK12" s="6" t="s">
        <v>4</v>
      </c>
      <c r="AL12" s="6" t="s">
        <v>4</v>
      </c>
      <c r="AM12" s="6" t="s">
        <v>3</v>
      </c>
      <c r="AR12" s="71" t="s">
        <v>453</v>
      </c>
      <c r="AS12" s="71"/>
      <c r="AZ12"/>
      <c r="BG12" s="19"/>
      <c r="BI12" s="3"/>
    </row>
    <row r="13" spans="1:98">
      <c r="A13" s="6">
        <f t="shared" si="0"/>
        <v>12</v>
      </c>
      <c r="B13" s="6" t="s">
        <v>458</v>
      </c>
      <c r="C13" s="6">
        <v>1</v>
      </c>
      <c r="D13" s="6" t="s">
        <v>5</v>
      </c>
      <c r="E13" s="6" t="s">
        <v>3</v>
      </c>
      <c r="F13" s="6" t="s">
        <v>4</v>
      </c>
      <c r="G13" s="6" t="s">
        <v>2</v>
      </c>
      <c r="H13" s="6" t="s">
        <v>5</v>
      </c>
      <c r="I13" s="6" t="s">
        <v>5</v>
      </c>
      <c r="J13" s="6" t="s">
        <v>5</v>
      </c>
      <c r="K13" s="6" t="s">
        <v>2</v>
      </c>
      <c r="L13" s="6" t="s">
        <v>2</v>
      </c>
      <c r="M13" s="6" t="s">
        <v>3</v>
      </c>
      <c r="N13" s="6" t="s">
        <v>3</v>
      </c>
      <c r="O13" s="6" t="s">
        <v>2</v>
      </c>
      <c r="P13" s="6" t="s">
        <v>4</v>
      </c>
      <c r="Q13" s="6" t="s">
        <v>3</v>
      </c>
      <c r="R13" s="6" t="s">
        <v>2</v>
      </c>
      <c r="S13" s="6" t="s">
        <v>5</v>
      </c>
      <c r="T13" s="6" t="s">
        <v>2</v>
      </c>
      <c r="U13" s="6" t="s">
        <v>5</v>
      </c>
      <c r="V13" s="6" t="s">
        <v>5</v>
      </c>
      <c r="W13" s="6" t="s">
        <v>4</v>
      </c>
      <c r="X13" s="6" t="s">
        <v>4</v>
      </c>
      <c r="Y13" s="6" t="s">
        <v>2</v>
      </c>
      <c r="Z13" s="6" t="s">
        <v>3</v>
      </c>
      <c r="AA13" s="6" t="s">
        <v>3</v>
      </c>
      <c r="AB13" s="6" t="s">
        <v>3</v>
      </c>
      <c r="AC13" s="6" t="s">
        <v>4</v>
      </c>
      <c r="AD13" s="6" t="s">
        <v>4</v>
      </c>
      <c r="AE13" s="6" t="s">
        <v>4</v>
      </c>
      <c r="AF13" s="6" t="s">
        <v>4</v>
      </c>
      <c r="AG13" s="6" t="s">
        <v>3</v>
      </c>
      <c r="AH13" s="6" t="s">
        <v>4</v>
      </c>
      <c r="AI13" s="6" t="s">
        <v>3</v>
      </c>
      <c r="AJ13" s="6" t="s">
        <v>4</v>
      </c>
      <c r="AK13" s="6" t="s">
        <v>3</v>
      </c>
      <c r="AL13" s="6" t="s">
        <v>3</v>
      </c>
      <c r="AM13" s="6" t="s">
        <v>3</v>
      </c>
      <c r="AR13" s="71" t="s">
        <v>454</v>
      </c>
      <c r="AS13" s="71"/>
      <c r="AZ13"/>
      <c r="BG13" s="19"/>
    </row>
    <row r="14" spans="1:98">
      <c r="A14" s="6">
        <f t="shared" si="0"/>
        <v>13</v>
      </c>
      <c r="B14" s="6" t="s">
        <v>459</v>
      </c>
      <c r="C14" s="6">
        <v>1</v>
      </c>
      <c r="D14" s="6" t="s">
        <v>5</v>
      </c>
      <c r="E14" s="6" t="s">
        <v>5</v>
      </c>
      <c r="F14" s="6" t="s">
        <v>4</v>
      </c>
      <c r="G14" s="6" t="s">
        <v>5</v>
      </c>
      <c r="H14" s="6" t="s">
        <v>5</v>
      </c>
      <c r="I14" s="6" t="s">
        <v>5</v>
      </c>
      <c r="J14" s="6" t="s">
        <v>5</v>
      </c>
      <c r="K14" s="6" t="s">
        <v>2</v>
      </c>
      <c r="L14" s="6" t="s">
        <v>3</v>
      </c>
      <c r="M14" s="6" t="s">
        <v>4</v>
      </c>
      <c r="N14" s="6" t="s">
        <v>3</v>
      </c>
      <c r="O14" s="6" t="s">
        <v>3</v>
      </c>
      <c r="P14" s="6" t="s">
        <v>5</v>
      </c>
      <c r="Q14" s="6" t="s">
        <v>3</v>
      </c>
      <c r="R14" s="6" t="s">
        <v>3</v>
      </c>
      <c r="S14" s="6" t="s">
        <v>5</v>
      </c>
      <c r="T14" s="6" t="s">
        <v>3</v>
      </c>
      <c r="U14" s="6" t="s">
        <v>3</v>
      </c>
      <c r="V14" s="6" t="s">
        <v>5</v>
      </c>
      <c r="W14" s="6" t="s">
        <v>4</v>
      </c>
      <c r="X14" s="6" t="s">
        <v>3</v>
      </c>
      <c r="Y14" s="6" t="s">
        <v>2</v>
      </c>
      <c r="Z14" s="6" t="s">
        <v>3</v>
      </c>
      <c r="AA14" s="6" t="s">
        <v>3</v>
      </c>
      <c r="AB14" s="6" t="s">
        <v>3</v>
      </c>
      <c r="AC14" s="6" t="s">
        <v>4</v>
      </c>
      <c r="AD14" s="6" t="s">
        <v>4</v>
      </c>
      <c r="AE14" s="6" t="s">
        <v>4</v>
      </c>
      <c r="AF14" s="6" t="s">
        <v>4</v>
      </c>
      <c r="AG14" s="6" t="s">
        <v>3</v>
      </c>
      <c r="AH14" s="6" t="s">
        <v>4</v>
      </c>
      <c r="AI14" s="6" t="s">
        <v>3</v>
      </c>
      <c r="AJ14" s="6" t="s">
        <v>3</v>
      </c>
      <c r="AK14" s="6" t="s">
        <v>4</v>
      </c>
      <c r="AL14" s="6" t="s">
        <v>4</v>
      </c>
      <c r="AM14" s="6" t="s">
        <v>3</v>
      </c>
      <c r="AR14" s="71" t="s">
        <v>456</v>
      </c>
      <c r="AS14" s="71"/>
      <c r="AZ14"/>
      <c r="BG14" s="19"/>
      <c r="BI14" s="3"/>
    </row>
    <row r="15" spans="1:98">
      <c r="A15" s="6">
        <f t="shared" si="0"/>
        <v>14</v>
      </c>
      <c r="B15" s="6" t="s">
        <v>11</v>
      </c>
      <c r="C15" s="6">
        <v>2</v>
      </c>
      <c r="D15" s="6" t="s">
        <v>4</v>
      </c>
      <c r="E15" s="6" t="s">
        <v>5</v>
      </c>
      <c r="F15" s="6" t="s">
        <v>3</v>
      </c>
      <c r="G15" s="6" t="s">
        <v>3</v>
      </c>
      <c r="H15" s="6" t="s">
        <v>5</v>
      </c>
      <c r="I15" s="6" t="s">
        <v>5</v>
      </c>
      <c r="J15" s="6" t="s">
        <v>5</v>
      </c>
      <c r="K15" s="6" t="s">
        <v>2</v>
      </c>
      <c r="L15" s="6" t="s">
        <v>2</v>
      </c>
      <c r="M15" s="6" t="s">
        <v>3</v>
      </c>
      <c r="N15" s="6" t="s">
        <v>4</v>
      </c>
      <c r="O15" s="6" t="s">
        <v>2</v>
      </c>
      <c r="P15" s="6" t="s">
        <v>5</v>
      </c>
      <c r="Q15" s="6" t="s">
        <v>3</v>
      </c>
      <c r="R15" s="6" t="s">
        <v>4</v>
      </c>
      <c r="S15" s="6" t="s">
        <v>5</v>
      </c>
      <c r="T15" s="6" t="s">
        <v>5</v>
      </c>
      <c r="U15" s="6" t="s">
        <v>5</v>
      </c>
      <c r="V15" s="6" t="s">
        <v>4</v>
      </c>
      <c r="W15" s="6" t="s">
        <v>4</v>
      </c>
      <c r="X15" s="6" t="s">
        <v>4</v>
      </c>
      <c r="Y15" s="6" t="s">
        <v>4</v>
      </c>
      <c r="Z15" s="6" t="s">
        <v>3</v>
      </c>
      <c r="AA15" s="6" t="s">
        <v>4</v>
      </c>
      <c r="AB15" s="6" t="s">
        <v>4</v>
      </c>
      <c r="AC15" s="6" t="s">
        <v>4</v>
      </c>
      <c r="AD15" s="6" t="s">
        <v>4</v>
      </c>
      <c r="AE15" s="6" t="s">
        <v>4</v>
      </c>
      <c r="AF15" s="6" t="s">
        <v>4</v>
      </c>
      <c r="AG15" s="6" t="s">
        <v>3</v>
      </c>
      <c r="AH15" s="6" t="s">
        <v>4</v>
      </c>
      <c r="AI15" s="6" t="s">
        <v>4</v>
      </c>
      <c r="AJ15" s="6" t="s">
        <v>4</v>
      </c>
      <c r="AK15" s="6" t="s">
        <v>4</v>
      </c>
      <c r="AL15" s="6" t="s">
        <v>3</v>
      </c>
      <c r="AM15" s="6" t="s">
        <v>3</v>
      </c>
      <c r="AR15" s="71" t="s">
        <v>455</v>
      </c>
      <c r="AS15" s="71"/>
      <c r="AZ15"/>
      <c r="BG15" s="19"/>
    </row>
    <row r="16" spans="1:98">
      <c r="A16" s="6">
        <f t="shared" si="0"/>
        <v>15</v>
      </c>
      <c r="B16" s="6" t="s">
        <v>12</v>
      </c>
      <c r="C16" s="6">
        <v>2</v>
      </c>
      <c r="D16" s="6" t="s">
        <v>5</v>
      </c>
      <c r="E16" s="6" t="s">
        <v>3</v>
      </c>
      <c r="F16" s="6" t="s">
        <v>4</v>
      </c>
      <c r="G16" s="6" t="s">
        <v>3</v>
      </c>
      <c r="H16" s="6" t="s">
        <v>5</v>
      </c>
      <c r="I16" s="6" t="s">
        <v>5</v>
      </c>
      <c r="J16" s="6" t="s">
        <v>3</v>
      </c>
      <c r="K16" s="6" t="s">
        <v>4</v>
      </c>
      <c r="L16" s="6" t="s">
        <v>3</v>
      </c>
      <c r="M16" s="6" t="s">
        <v>3</v>
      </c>
      <c r="N16" s="6" t="s">
        <v>4</v>
      </c>
      <c r="O16" s="6" t="s">
        <v>4</v>
      </c>
      <c r="P16" s="6" t="s">
        <v>5</v>
      </c>
      <c r="Q16" s="6" t="s">
        <v>3</v>
      </c>
      <c r="R16" s="6" t="s">
        <v>4</v>
      </c>
      <c r="S16" s="6" t="s">
        <v>5</v>
      </c>
      <c r="T16" s="6" t="s">
        <v>5</v>
      </c>
      <c r="U16" s="6" t="s">
        <v>5</v>
      </c>
      <c r="V16" s="6" t="s">
        <v>4</v>
      </c>
      <c r="W16" s="6" t="s">
        <v>4</v>
      </c>
      <c r="X16" s="6" t="s">
        <v>4</v>
      </c>
      <c r="Y16" s="6" t="s">
        <v>4</v>
      </c>
      <c r="Z16" s="6" t="s">
        <v>3</v>
      </c>
      <c r="AA16" s="6" t="s">
        <v>4</v>
      </c>
      <c r="AB16" s="6" t="s">
        <v>4</v>
      </c>
      <c r="AC16" s="6" t="s">
        <v>4</v>
      </c>
      <c r="AD16" s="6" t="s">
        <v>4</v>
      </c>
      <c r="AE16" s="6" t="s">
        <v>4</v>
      </c>
      <c r="AF16" s="6" t="s">
        <v>4</v>
      </c>
      <c r="AG16" s="6" t="s">
        <v>3</v>
      </c>
      <c r="AH16" s="6" t="s">
        <v>4</v>
      </c>
      <c r="AI16" s="6" t="s">
        <v>3</v>
      </c>
      <c r="AJ16" s="6" t="s">
        <v>4</v>
      </c>
      <c r="AK16" s="6" t="s">
        <v>4</v>
      </c>
      <c r="AL16" s="6" t="s">
        <v>4</v>
      </c>
      <c r="AM16" s="6" t="s">
        <v>3</v>
      </c>
      <c r="AZ16"/>
      <c r="BG16" s="19"/>
      <c r="BI16" s="3"/>
    </row>
    <row r="17" spans="1:98">
      <c r="A17" s="6">
        <f t="shared" si="0"/>
        <v>16</v>
      </c>
      <c r="B17" s="6" t="s">
        <v>13</v>
      </c>
      <c r="C17" s="6">
        <v>2</v>
      </c>
      <c r="D17" s="6" t="s">
        <v>5</v>
      </c>
      <c r="E17" s="6" t="s">
        <v>5</v>
      </c>
      <c r="F17" s="6" t="s">
        <v>2</v>
      </c>
      <c r="G17" s="6" t="s">
        <v>2</v>
      </c>
      <c r="H17" s="6" t="s">
        <v>5</v>
      </c>
      <c r="I17" s="6" t="s">
        <v>5</v>
      </c>
      <c r="J17" s="6" t="s">
        <v>2</v>
      </c>
      <c r="K17" s="6" t="s">
        <v>2</v>
      </c>
      <c r="L17" s="6" t="s">
        <v>2</v>
      </c>
      <c r="M17" s="6" t="s">
        <v>4</v>
      </c>
      <c r="N17" s="6" t="s">
        <v>4</v>
      </c>
      <c r="O17" s="6" t="s">
        <v>4</v>
      </c>
      <c r="P17" s="6" t="s">
        <v>5</v>
      </c>
      <c r="Q17" s="6" t="s">
        <v>4</v>
      </c>
      <c r="R17" s="6" t="s">
        <v>5</v>
      </c>
      <c r="S17" s="6" t="s">
        <v>5</v>
      </c>
      <c r="T17" s="6" t="s">
        <v>5</v>
      </c>
      <c r="U17" s="6" t="s">
        <v>5</v>
      </c>
      <c r="V17" s="6" t="s">
        <v>5</v>
      </c>
      <c r="W17" s="6" t="s">
        <v>4</v>
      </c>
      <c r="X17" s="6" t="s">
        <v>3</v>
      </c>
      <c r="Y17" s="6" t="s">
        <v>2</v>
      </c>
      <c r="Z17" s="6" t="s">
        <v>3</v>
      </c>
      <c r="AA17" s="6" t="s">
        <v>4</v>
      </c>
      <c r="AB17" s="6" t="s">
        <v>4</v>
      </c>
      <c r="AC17" s="6" t="s">
        <v>4</v>
      </c>
      <c r="AD17" s="6" t="s">
        <v>4</v>
      </c>
      <c r="AE17" s="6" t="s">
        <v>4</v>
      </c>
      <c r="AF17" s="6" t="s">
        <v>4</v>
      </c>
      <c r="AG17" s="6" t="s">
        <v>4</v>
      </c>
      <c r="AH17" s="6" t="s">
        <v>4</v>
      </c>
      <c r="AI17" s="6" t="s">
        <v>3</v>
      </c>
      <c r="AJ17" s="6" t="s">
        <v>4</v>
      </c>
      <c r="AK17" s="6" t="s">
        <v>4</v>
      </c>
      <c r="AL17" s="6" t="s">
        <v>4</v>
      </c>
      <c r="AM17" s="6" t="s">
        <v>4</v>
      </c>
      <c r="BG17" s="19"/>
    </row>
    <row r="18" spans="1:98">
      <c r="A18" s="6">
        <f t="shared" si="0"/>
        <v>17</v>
      </c>
      <c r="B18" s="6" t="s">
        <v>14</v>
      </c>
      <c r="C18" s="6">
        <v>2</v>
      </c>
      <c r="D18" s="6" t="s">
        <v>5</v>
      </c>
      <c r="E18" s="6" t="s">
        <v>5</v>
      </c>
      <c r="F18" s="6" t="s">
        <v>3</v>
      </c>
      <c r="G18" s="6" t="s">
        <v>5</v>
      </c>
      <c r="H18" s="6" t="s">
        <v>5</v>
      </c>
      <c r="I18" s="6" t="s">
        <v>5</v>
      </c>
      <c r="J18" s="6" t="s">
        <v>5</v>
      </c>
      <c r="K18" s="6" t="s">
        <v>2</v>
      </c>
      <c r="L18" s="6" t="s">
        <v>2</v>
      </c>
      <c r="M18" s="6" t="s">
        <v>4</v>
      </c>
      <c r="N18" s="6" t="s">
        <v>4</v>
      </c>
      <c r="O18" s="6" t="s">
        <v>2</v>
      </c>
      <c r="P18" s="6" t="s">
        <v>5</v>
      </c>
      <c r="Q18" s="6" t="s">
        <v>4</v>
      </c>
      <c r="R18" s="6" t="s">
        <v>2</v>
      </c>
      <c r="S18" s="6" t="s">
        <v>5</v>
      </c>
      <c r="T18" s="6" t="s">
        <v>3</v>
      </c>
      <c r="U18" s="6" t="s">
        <v>4</v>
      </c>
      <c r="V18" s="6" t="s">
        <v>5</v>
      </c>
      <c r="W18" s="6" t="s">
        <v>2</v>
      </c>
      <c r="X18" s="6" t="s">
        <v>4</v>
      </c>
      <c r="Y18" s="6" t="s">
        <v>4</v>
      </c>
      <c r="Z18" s="6" t="s">
        <v>3</v>
      </c>
      <c r="AA18" s="6" t="s">
        <v>4</v>
      </c>
      <c r="AB18" s="6" t="s">
        <v>4</v>
      </c>
      <c r="AC18" s="6" t="s">
        <v>4</v>
      </c>
      <c r="AD18" s="6" t="s">
        <v>4</v>
      </c>
      <c r="AE18" s="6" t="s">
        <v>4</v>
      </c>
      <c r="AF18" s="6" t="s">
        <v>4</v>
      </c>
      <c r="AG18" s="6" t="s">
        <v>3</v>
      </c>
      <c r="AH18" s="6" t="s">
        <v>4</v>
      </c>
      <c r="AI18" s="6" t="s">
        <v>3</v>
      </c>
      <c r="AJ18" s="6" t="s">
        <v>4</v>
      </c>
      <c r="AK18" s="6" t="s">
        <v>4</v>
      </c>
      <c r="AL18" s="6" t="s">
        <v>4</v>
      </c>
      <c r="AM18" s="6" t="s">
        <v>3</v>
      </c>
      <c r="AZ18"/>
      <c r="BG18" s="19"/>
    </row>
    <row r="19" spans="1:98">
      <c r="A19" s="6">
        <f t="shared" si="0"/>
        <v>18</v>
      </c>
      <c r="B19" s="6" t="s">
        <v>15</v>
      </c>
      <c r="C19" s="6">
        <v>2</v>
      </c>
      <c r="D19" s="6" t="s">
        <v>2</v>
      </c>
      <c r="E19" s="6" t="s">
        <v>5</v>
      </c>
      <c r="F19" s="6" t="s">
        <v>4</v>
      </c>
      <c r="G19" s="6" t="s">
        <v>5</v>
      </c>
      <c r="H19" s="6" t="s">
        <v>5</v>
      </c>
      <c r="I19" s="6" t="s">
        <v>5</v>
      </c>
      <c r="J19" s="6" t="s">
        <v>2</v>
      </c>
      <c r="K19" s="6" t="s">
        <v>2</v>
      </c>
      <c r="L19" s="6" t="s">
        <v>3</v>
      </c>
      <c r="M19" s="6" t="s">
        <v>4</v>
      </c>
      <c r="N19" s="6" t="s">
        <v>4</v>
      </c>
      <c r="O19" s="6" t="s">
        <v>5</v>
      </c>
      <c r="P19" s="6" t="s">
        <v>5</v>
      </c>
      <c r="Q19" s="6" t="s">
        <v>4</v>
      </c>
      <c r="R19" s="6" t="s">
        <v>5</v>
      </c>
      <c r="S19" s="6" t="s">
        <v>5</v>
      </c>
      <c r="T19" s="6" t="s">
        <v>2</v>
      </c>
      <c r="U19" s="6" t="s">
        <v>5</v>
      </c>
      <c r="V19" s="6" t="s">
        <v>5</v>
      </c>
      <c r="W19" s="6" t="s">
        <v>4</v>
      </c>
      <c r="X19" s="6" t="s">
        <v>4</v>
      </c>
      <c r="Y19" s="6" t="s">
        <v>4</v>
      </c>
      <c r="Z19" s="6" t="s">
        <v>3</v>
      </c>
      <c r="AA19" s="6" t="s">
        <v>4</v>
      </c>
      <c r="AB19" s="6" t="s">
        <v>4</v>
      </c>
      <c r="AC19" s="6" t="s">
        <v>4</v>
      </c>
      <c r="AD19" s="6" t="s">
        <v>4</v>
      </c>
      <c r="AE19" s="6" t="s">
        <v>4</v>
      </c>
      <c r="AF19" s="6" t="s">
        <v>4</v>
      </c>
      <c r="AG19" s="6" t="s">
        <v>3</v>
      </c>
      <c r="AH19" s="6" t="s">
        <v>4</v>
      </c>
      <c r="AI19" s="6" t="s">
        <v>3</v>
      </c>
      <c r="AJ19" s="6" t="s">
        <v>4</v>
      </c>
      <c r="AK19" s="6" t="s">
        <v>4</v>
      </c>
      <c r="AL19" s="6" t="s">
        <v>4</v>
      </c>
      <c r="AM19" s="6" t="s">
        <v>3</v>
      </c>
      <c r="AZ19"/>
      <c r="BG19" s="19"/>
      <c r="BI19" s="75"/>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row>
    <row r="20" spans="1:98">
      <c r="A20" s="6">
        <f t="shared" si="0"/>
        <v>19</v>
      </c>
      <c r="B20" s="6" t="s">
        <v>16</v>
      </c>
      <c r="C20" s="6">
        <v>2</v>
      </c>
      <c r="D20" s="6" t="s">
        <v>5</v>
      </c>
      <c r="E20" s="6" t="s">
        <v>5</v>
      </c>
      <c r="F20" s="6" t="s">
        <v>3</v>
      </c>
      <c r="G20" s="6" t="s">
        <v>5</v>
      </c>
      <c r="H20" s="6" t="s">
        <v>5</v>
      </c>
      <c r="I20" s="6" t="s">
        <v>5</v>
      </c>
      <c r="J20" s="6" t="s">
        <v>2</v>
      </c>
      <c r="K20" s="6" t="s">
        <v>2</v>
      </c>
      <c r="L20" s="6" t="s">
        <v>3</v>
      </c>
      <c r="M20" s="6" t="s">
        <v>2</v>
      </c>
      <c r="N20" s="6" t="s">
        <v>2</v>
      </c>
      <c r="O20" s="6" t="s">
        <v>3</v>
      </c>
      <c r="P20" s="6" t="s">
        <v>5</v>
      </c>
      <c r="Q20" s="6" t="s">
        <v>3</v>
      </c>
      <c r="R20" s="6" t="s">
        <v>4</v>
      </c>
      <c r="S20" s="6" t="s">
        <v>5</v>
      </c>
      <c r="T20" s="6" t="s">
        <v>5</v>
      </c>
      <c r="U20" s="6" t="s">
        <v>5</v>
      </c>
      <c r="V20" s="6" t="s">
        <v>5</v>
      </c>
      <c r="W20" s="6" t="s">
        <v>4</v>
      </c>
      <c r="X20" s="6" t="s">
        <v>4</v>
      </c>
      <c r="Y20" s="6" t="s">
        <v>2</v>
      </c>
      <c r="Z20" s="6" t="s">
        <v>3</v>
      </c>
      <c r="AA20" s="6" t="s">
        <v>4</v>
      </c>
      <c r="AB20" s="6" t="s">
        <v>4</v>
      </c>
      <c r="AC20" s="6" t="s">
        <v>4</v>
      </c>
      <c r="AD20" s="6" t="s">
        <v>4</v>
      </c>
      <c r="AE20" s="6" t="s">
        <v>4</v>
      </c>
      <c r="AF20" s="6" t="s">
        <v>4</v>
      </c>
      <c r="AG20" s="6" t="s">
        <v>3</v>
      </c>
      <c r="AH20" s="6" t="s">
        <v>4</v>
      </c>
      <c r="AI20" s="6" t="s">
        <v>4</v>
      </c>
      <c r="AJ20" s="6" t="s">
        <v>4</v>
      </c>
      <c r="AK20" s="6" t="s">
        <v>4</v>
      </c>
      <c r="AL20" s="6" t="s">
        <v>3</v>
      </c>
      <c r="AM20" s="6" t="s">
        <v>4</v>
      </c>
      <c r="AZ20"/>
      <c r="BG20" s="19"/>
      <c r="BI20" s="75"/>
    </row>
    <row r="21" spans="1:98">
      <c r="A21" s="6">
        <f t="shared" si="0"/>
        <v>20</v>
      </c>
      <c r="B21" s="6" t="s">
        <v>259</v>
      </c>
      <c r="C21" s="6">
        <v>2</v>
      </c>
      <c r="D21" s="6" t="s">
        <v>4</v>
      </c>
      <c r="E21" s="6" t="s">
        <v>5</v>
      </c>
      <c r="F21" s="6" t="s">
        <v>2</v>
      </c>
      <c r="G21" s="6" t="s">
        <v>5</v>
      </c>
      <c r="H21" s="6" t="s">
        <v>5</v>
      </c>
      <c r="I21" s="6" t="s">
        <v>5</v>
      </c>
      <c r="J21" s="6" t="s">
        <v>5</v>
      </c>
      <c r="K21" s="6" t="s">
        <v>2</v>
      </c>
      <c r="L21" s="6" t="s">
        <v>3</v>
      </c>
      <c r="M21" s="6" t="s">
        <v>2</v>
      </c>
      <c r="N21" s="6" t="s">
        <v>3</v>
      </c>
      <c r="O21" s="6" t="s">
        <v>5</v>
      </c>
      <c r="P21" s="6" t="s">
        <v>5</v>
      </c>
      <c r="Q21" s="6" t="s">
        <v>3</v>
      </c>
      <c r="R21" s="6" t="s">
        <v>3</v>
      </c>
      <c r="S21" s="6" t="s">
        <v>5</v>
      </c>
      <c r="T21" s="6" t="s">
        <v>5</v>
      </c>
      <c r="U21" s="6" t="s">
        <v>5</v>
      </c>
      <c r="V21" s="6" t="s">
        <v>5</v>
      </c>
      <c r="W21" s="6" t="s">
        <v>4</v>
      </c>
      <c r="X21" s="6" t="s">
        <v>3</v>
      </c>
      <c r="Y21" s="6" t="s">
        <v>2</v>
      </c>
      <c r="Z21" s="6" t="s">
        <v>3</v>
      </c>
      <c r="AA21" s="6" t="s">
        <v>4</v>
      </c>
      <c r="AB21" s="6" t="s">
        <v>4</v>
      </c>
      <c r="AC21" s="6" t="s">
        <v>4</v>
      </c>
      <c r="AD21" s="6" t="s">
        <v>4</v>
      </c>
      <c r="AE21" s="6" t="s">
        <v>4</v>
      </c>
      <c r="AF21" s="6" t="s">
        <v>4</v>
      </c>
      <c r="AG21" s="6" t="s">
        <v>3</v>
      </c>
      <c r="AH21" s="6" t="s">
        <v>4</v>
      </c>
      <c r="AI21" s="6" t="s">
        <v>3</v>
      </c>
      <c r="AJ21" s="6" t="s">
        <v>4</v>
      </c>
      <c r="AK21" s="6" t="s">
        <v>4</v>
      </c>
      <c r="AL21" s="6" t="s">
        <v>3</v>
      </c>
      <c r="AM21" s="6" t="s">
        <v>3</v>
      </c>
      <c r="AR21" s="5" t="s">
        <v>450</v>
      </c>
      <c r="AS21" s="5"/>
      <c r="AZ21"/>
      <c r="BG21" s="19"/>
    </row>
    <row r="22" spans="1:98">
      <c r="A22" s="6">
        <f t="shared" si="0"/>
        <v>21</v>
      </c>
      <c r="B22" s="6" t="s">
        <v>260</v>
      </c>
      <c r="C22" s="6">
        <v>2</v>
      </c>
      <c r="D22" s="6" t="s">
        <v>3</v>
      </c>
      <c r="E22" s="6" t="s">
        <v>5</v>
      </c>
      <c r="F22" s="6" t="s">
        <v>3</v>
      </c>
      <c r="G22" s="6" t="s">
        <v>5</v>
      </c>
      <c r="H22" s="6" t="s">
        <v>5</v>
      </c>
      <c r="I22" s="6" t="s">
        <v>5</v>
      </c>
      <c r="J22" s="6" t="s">
        <v>2</v>
      </c>
      <c r="K22" s="6" t="s">
        <v>2</v>
      </c>
      <c r="L22" s="6" t="s">
        <v>2</v>
      </c>
      <c r="M22" s="6" t="s">
        <v>2</v>
      </c>
      <c r="N22" s="6" t="s">
        <v>2</v>
      </c>
      <c r="O22" s="6" t="s">
        <v>2</v>
      </c>
      <c r="P22" s="6" t="s">
        <v>5</v>
      </c>
      <c r="Q22" s="6" t="s">
        <v>3</v>
      </c>
      <c r="R22" s="6" t="s">
        <v>3</v>
      </c>
      <c r="S22" s="6" t="s">
        <v>5</v>
      </c>
      <c r="T22" s="6" t="s">
        <v>5</v>
      </c>
      <c r="U22" s="6" t="s">
        <v>5</v>
      </c>
      <c r="V22" s="6" t="s">
        <v>5</v>
      </c>
      <c r="W22" s="6" t="s">
        <v>4</v>
      </c>
      <c r="X22" s="6" t="s">
        <v>4</v>
      </c>
      <c r="Y22" s="6" t="s">
        <v>4</v>
      </c>
      <c r="Z22" s="6" t="s">
        <v>3</v>
      </c>
      <c r="AA22" s="6" t="s">
        <v>4</v>
      </c>
      <c r="AB22" s="6" t="s">
        <v>4</v>
      </c>
      <c r="AC22" s="6" t="s">
        <v>4</v>
      </c>
      <c r="AD22" s="6" t="s">
        <v>4</v>
      </c>
      <c r="AE22" s="6" t="s">
        <v>4</v>
      </c>
      <c r="AF22" s="6" t="s">
        <v>4</v>
      </c>
      <c r="AG22" s="6" t="s">
        <v>3</v>
      </c>
      <c r="AH22" s="6" t="s">
        <v>4</v>
      </c>
      <c r="AI22" s="6" t="s">
        <v>3</v>
      </c>
      <c r="AJ22" s="6" t="s">
        <v>4</v>
      </c>
      <c r="AK22" s="6" t="s">
        <v>4</v>
      </c>
      <c r="AL22" s="6" t="s">
        <v>4</v>
      </c>
      <c r="AM22" s="6" t="s">
        <v>3</v>
      </c>
      <c r="AS22" s="32" t="s">
        <v>279</v>
      </c>
      <c r="AT22" s="6" t="s">
        <v>289</v>
      </c>
      <c r="AU22" s="8">
        <v>13</v>
      </c>
      <c r="AV22" s="30" t="s">
        <v>502</v>
      </c>
      <c r="AW22" s="30">
        <f>AU9/AT6</f>
        <v>0.16666666666666666</v>
      </c>
      <c r="BG22" s="19"/>
      <c r="BI22" s="3"/>
    </row>
    <row r="23" spans="1:98">
      <c r="A23" s="6">
        <f t="shared" si="0"/>
        <v>22</v>
      </c>
      <c r="B23" s="6" t="s">
        <v>261</v>
      </c>
      <c r="C23" s="6">
        <v>2</v>
      </c>
      <c r="D23" s="6" t="s">
        <v>5</v>
      </c>
      <c r="E23" s="6" t="s">
        <v>3</v>
      </c>
      <c r="F23" s="6" t="s">
        <v>2</v>
      </c>
      <c r="G23" s="6" t="s">
        <v>2</v>
      </c>
      <c r="H23" s="6" t="s">
        <v>5</v>
      </c>
      <c r="I23" s="6" t="s">
        <v>5</v>
      </c>
      <c r="J23" s="6" t="s">
        <v>5</v>
      </c>
      <c r="K23" s="6" t="s">
        <v>2</v>
      </c>
      <c r="L23" s="6" t="s">
        <v>2</v>
      </c>
      <c r="M23" s="6" t="s">
        <v>2</v>
      </c>
      <c r="N23" s="6" t="s">
        <v>3</v>
      </c>
      <c r="O23" s="6" t="s">
        <v>2</v>
      </c>
      <c r="P23" s="6" t="s">
        <v>5</v>
      </c>
      <c r="Q23" s="6" t="s">
        <v>3</v>
      </c>
      <c r="R23" s="6" t="s">
        <v>2</v>
      </c>
      <c r="S23" s="6" t="s">
        <v>5</v>
      </c>
      <c r="T23" s="6" t="s">
        <v>2</v>
      </c>
      <c r="U23" s="6" t="s">
        <v>2</v>
      </c>
      <c r="V23" s="6" t="s">
        <v>2</v>
      </c>
      <c r="W23" s="6" t="s">
        <v>4</v>
      </c>
      <c r="X23" s="6" t="s">
        <v>4</v>
      </c>
      <c r="Y23" s="6" t="s">
        <v>4</v>
      </c>
      <c r="Z23" s="6" t="s">
        <v>3</v>
      </c>
      <c r="AA23" s="6" t="s">
        <v>4</v>
      </c>
      <c r="AB23" s="6" t="s">
        <v>4</v>
      </c>
      <c r="AC23" s="6" t="s">
        <v>4</v>
      </c>
      <c r="AD23" s="6" t="s">
        <v>4</v>
      </c>
      <c r="AE23" s="6" t="s">
        <v>4</v>
      </c>
      <c r="AF23" s="6" t="s">
        <v>4</v>
      </c>
      <c r="AG23" s="6" t="s">
        <v>3</v>
      </c>
      <c r="AH23" s="6" t="s">
        <v>4</v>
      </c>
      <c r="AI23" s="6" t="s">
        <v>3</v>
      </c>
      <c r="AJ23" s="6" t="s">
        <v>4</v>
      </c>
      <c r="AK23" s="6" t="s">
        <v>4</v>
      </c>
      <c r="AL23" s="6" t="s">
        <v>3</v>
      </c>
      <c r="AM23" s="6" t="s">
        <v>3</v>
      </c>
      <c r="AS23" s="32" t="s">
        <v>280</v>
      </c>
      <c r="AT23" s="6" t="s">
        <v>481</v>
      </c>
      <c r="AU23" s="8">
        <v>13</v>
      </c>
      <c r="AV23" s="14" t="s">
        <v>502</v>
      </c>
      <c r="AW23" s="30">
        <f>AV9/AT6</f>
        <v>0.16666666666666666</v>
      </c>
      <c r="BG23" s="19"/>
    </row>
    <row r="24" spans="1:98">
      <c r="A24" s="6">
        <f t="shared" si="0"/>
        <v>23</v>
      </c>
      <c r="B24" s="6" t="s">
        <v>262</v>
      </c>
      <c r="C24" s="6">
        <v>2</v>
      </c>
      <c r="D24" s="6" t="s">
        <v>4</v>
      </c>
      <c r="E24" s="6" t="s">
        <v>5</v>
      </c>
      <c r="F24" s="6" t="s">
        <v>3</v>
      </c>
      <c r="G24" s="6" t="s">
        <v>5</v>
      </c>
      <c r="H24" s="6" t="s">
        <v>5</v>
      </c>
      <c r="I24" s="6" t="s">
        <v>5</v>
      </c>
      <c r="J24" s="6" t="s">
        <v>5</v>
      </c>
      <c r="K24" s="6" t="s">
        <v>2</v>
      </c>
      <c r="L24" s="6" t="s">
        <v>3</v>
      </c>
      <c r="M24" s="6" t="s">
        <v>2</v>
      </c>
      <c r="N24" s="6" t="s">
        <v>3</v>
      </c>
      <c r="O24" s="6" t="s">
        <v>2</v>
      </c>
      <c r="P24" s="6" t="s">
        <v>5</v>
      </c>
      <c r="Q24" s="6" t="s">
        <v>3</v>
      </c>
      <c r="R24" s="6" t="s">
        <v>3</v>
      </c>
      <c r="S24" s="6" t="s">
        <v>5</v>
      </c>
      <c r="T24" s="6" t="s">
        <v>5</v>
      </c>
      <c r="U24" s="6" t="s">
        <v>5</v>
      </c>
      <c r="V24" s="6" t="s">
        <v>3</v>
      </c>
      <c r="W24" s="6" t="s">
        <v>4</v>
      </c>
      <c r="X24" s="6" t="s">
        <v>4</v>
      </c>
      <c r="Y24" s="6" t="s">
        <v>2</v>
      </c>
      <c r="Z24" s="6" t="s">
        <v>3</v>
      </c>
      <c r="AA24" s="6" t="s">
        <v>4</v>
      </c>
      <c r="AB24" s="6" t="s">
        <v>4</v>
      </c>
      <c r="AC24" s="6" t="s">
        <v>4</v>
      </c>
      <c r="AD24" s="6" t="s">
        <v>4</v>
      </c>
      <c r="AE24" s="6" t="s">
        <v>4</v>
      </c>
      <c r="AF24" s="6" t="s">
        <v>4</v>
      </c>
      <c r="AG24" s="6" t="s">
        <v>3</v>
      </c>
      <c r="AH24" s="6" t="s">
        <v>4</v>
      </c>
      <c r="AI24" s="6" t="s">
        <v>4</v>
      </c>
      <c r="AJ24" s="6" t="s">
        <v>4</v>
      </c>
      <c r="AK24" s="6" t="s">
        <v>4</v>
      </c>
      <c r="AL24" s="6" t="s">
        <v>4</v>
      </c>
      <c r="AM24" s="6" t="s">
        <v>3</v>
      </c>
      <c r="AS24" s="32" t="s">
        <v>281</v>
      </c>
      <c r="AT24" s="6" t="s">
        <v>290</v>
      </c>
      <c r="AU24" s="8">
        <v>13</v>
      </c>
      <c r="AV24" s="14" t="s">
        <v>502</v>
      </c>
      <c r="AW24" s="30">
        <f>AW9/AT6</f>
        <v>0.16666666666666666</v>
      </c>
      <c r="BG24" s="19"/>
      <c r="BI24" s="3"/>
    </row>
    <row r="25" spans="1:98">
      <c r="A25" s="6">
        <f t="shared" si="0"/>
        <v>24</v>
      </c>
      <c r="B25" s="6" t="s">
        <v>461</v>
      </c>
      <c r="C25" s="6">
        <v>2</v>
      </c>
      <c r="D25" s="6" t="s">
        <v>5</v>
      </c>
      <c r="E25" s="6" t="s">
        <v>5</v>
      </c>
      <c r="F25" s="6" t="s">
        <v>2</v>
      </c>
      <c r="G25" s="6" t="s">
        <v>2</v>
      </c>
      <c r="H25" s="6" t="s">
        <v>5</v>
      </c>
      <c r="I25" s="6" t="s">
        <v>3</v>
      </c>
      <c r="J25" s="6" t="s">
        <v>2</v>
      </c>
      <c r="K25" s="6" t="s">
        <v>2</v>
      </c>
      <c r="L25" s="6" t="s">
        <v>3</v>
      </c>
      <c r="M25" s="6" t="s">
        <v>3</v>
      </c>
      <c r="N25" s="6" t="s">
        <v>4</v>
      </c>
      <c r="O25" s="6" t="s">
        <v>5</v>
      </c>
      <c r="P25" s="6" t="s">
        <v>5</v>
      </c>
      <c r="Q25" s="6" t="s">
        <v>4</v>
      </c>
      <c r="R25" s="6" t="s">
        <v>5</v>
      </c>
      <c r="S25" s="6" t="s">
        <v>5</v>
      </c>
      <c r="T25" s="6" t="s">
        <v>2</v>
      </c>
      <c r="U25" s="6" t="s">
        <v>5</v>
      </c>
      <c r="V25" s="6" t="s">
        <v>5</v>
      </c>
      <c r="W25" s="6" t="s">
        <v>3</v>
      </c>
      <c r="X25" s="6" t="s">
        <v>4</v>
      </c>
      <c r="Y25" s="6" t="s">
        <v>2</v>
      </c>
      <c r="Z25" s="6" t="s">
        <v>3</v>
      </c>
      <c r="AA25" s="6" t="s">
        <v>3</v>
      </c>
      <c r="AB25" s="6" t="s">
        <v>4</v>
      </c>
      <c r="AC25" s="6" t="s">
        <v>4</v>
      </c>
      <c r="AD25" s="6" t="s">
        <v>4</v>
      </c>
      <c r="AE25" s="6" t="s">
        <v>4</v>
      </c>
      <c r="AF25" s="6" t="s">
        <v>4</v>
      </c>
      <c r="AG25" s="6" t="s">
        <v>3</v>
      </c>
      <c r="AH25" s="6" t="s">
        <v>4</v>
      </c>
      <c r="AI25" s="6" t="s">
        <v>3</v>
      </c>
      <c r="AJ25" s="6" t="s">
        <v>4</v>
      </c>
      <c r="AK25" s="6" t="s">
        <v>4</v>
      </c>
      <c r="AL25" s="6" t="s">
        <v>3</v>
      </c>
      <c r="AM25" s="6" t="s">
        <v>3</v>
      </c>
      <c r="AS25" s="32" t="s">
        <v>282</v>
      </c>
      <c r="AT25" s="6" t="s">
        <v>291</v>
      </c>
      <c r="AU25" s="8">
        <v>13</v>
      </c>
      <c r="AV25" s="14" t="s">
        <v>502</v>
      </c>
      <c r="AW25" s="30">
        <f>AX9/AT6</f>
        <v>0.16666666666666666</v>
      </c>
      <c r="BG25" s="19"/>
    </row>
    <row r="26" spans="1:98">
      <c r="A26" s="6">
        <f t="shared" si="0"/>
        <v>25</v>
      </c>
      <c r="B26" s="6" t="s">
        <v>462</v>
      </c>
      <c r="C26" s="6">
        <v>2</v>
      </c>
      <c r="D26" s="6" t="s">
        <v>5</v>
      </c>
      <c r="E26" s="6" t="s">
        <v>3</v>
      </c>
      <c r="F26" s="6" t="s">
        <v>5</v>
      </c>
      <c r="G26" s="6" t="s">
        <v>5</v>
      </c>
      <c r="H26" s="6" t="s">
        <v>5</v>
      </c>
      <c r="I26" s="6" t="s">
        <v>5</v>
      </c>
      <c r="J26" s="6" t="s">
        <v>5</v>
      </c>
      <c r="K26" s="6" t="s">
        <v>2</v>
      </c>
      <c r="L26" s="6" t="s">
        <v>3</v>
      </c>
      <c r="M26" s="6" t="s">
        <v>3</v>
      </c>
      <c r="N26" s="6" t="s">
        <v>3</v>
      </c>
      <c r="O26" s="6" t="s">
        <v>5</v>
      </c>
      <c r="P26" s="6" t="s">
        <v>5</v>
      </c>
      <c r="Q26" s="6" t="s">
        <v>3</v>
      </c>
      <c r="R26" s="6" t="s">
        <v>5</v>
      </c>
      <c r="S26" s="6" t="s">
        <v>5</v>
      </c>
      <c r="T26" s="6" t="s">
        <v>5</v>
      </c>
      <c r="U26" s="6" t="s">
        <v>5</v>
      </c>
      <c r="V26" s="6" t="s">
        <v>5</v>
      </c>
      <c r="W26" s="6" t="s">
        <v>3</v>
      </c>
      <c r="X26" s="6" t="s">
        <v>4</v>
      </c>
      <c r="Y26" s="6" t="s">
        <v>4</v>
      </c>
      <c r="Z26" s="6" t="s">
        <v>3</v>
      </c>
      <c r="AA26" s="6" t="s">
        <v>3</v>
      </c>
      <c r="AB26" s="6" t="s">
        <v>3</v>
      </c>
      <c r="AC26" s="6" t="s">
        <v>4</v>
      </c>
      <c r="AD26" s="6" t="s">
        <v>4</v>
      </c>
      <c r="AE26" s="6" t="s">
        <v>4</v>
      </c>
      <c r="AF26" s="6" t="s">
        <v>4</v>
      </c>
      <c r="AG26" s="6" t="s">
        <v>3</v>
      </c>
      <c r="AH26" s="6" t="s">
        <v>4</v>
      </c>
      <c r="AI26" s="6" t="s">
        <v>4</v>
      </c>
      <c r="AJ26" s="6" t="s">
        <v>3</v>
      </c>
      <c r="AK26" s="6" t="s">
        <v>4</v>
      </c>
      <c r="AL26" s="6" t="s">
        <v>4</v>
      </c>
      <c r="AM26" s="6" t="s">
        <v>3</v>
      </c>
      <c r="AS26" s="32" t="s">
        <v>283</v>
      </c>
      <c r="AT26" s="6" t="s">
        <v>292</v>
      </c>
      <c r="AU26" s="8">
        <v>13</v>
      </c>
      <c r="AV26" s="14" t="s">
        <v>502</v>
      </c>
      <c r="AW26" s="30">
        <f>AY9/AT6</f>
        <v>0.16666666666666666</v>
      </c>
      <c r="BG26" s="19"/>
      <c r="BI26" s="3"/>
    </row>
    <row r="27" spans="1:98">
      <c r="A27" s="6">
        <f t="shared" si="0"/>
        <v>26</v>
      </c>
      <c r="B27" s="6" t="s">
        <v>491</v>
      </c>
      <c r="C27" s="6">
        <v>2</v>
      </c>
      <c r="D27" s="6" t="s">
        <v>3</v>
      </c>
      <c r="E27" s="6" t="s">
        <v>3</v>
      </c>
      <c r="F27" s="6" t="s">
        <v>3</v>
      </c>
      <c r="G27" s="6" t="s">
        <v>2</v>
      </c>
      <c r="H27" s="6" t="s">
        <v>5</v>
      </c>
      <c r="I27" s="6" t="s">
        <v>5</v>
      </c>
      <c r="J27" s="6" t="s">
        <v>2</v>
      </c>
      <c r="K27" s="6" t="s">
        <v>2</v>
      </c>
      <c r="L27" s="6" t="s">
        <v>2</v>
      </c>
      <c r="M27" s="6" t="s">
        <v>4</v>
      </c>
      <c r="N27" s="6" t="s">
        <v>4</v>
      </c>
      <c r="O27" s="6" t="s">
        <v>4</v>
      </c>
      <c r="P27" s="6" t="s">
        <v>5</v>
      </c>
      <c r="Q27" s="6" t="s">
        <v>4</v>
      </c>
      <c r="R27" s="6" t="s">
        <v>5</v>
      </c>
      <c r="S27" s="6" t="s">
        <v>5</v>
      </c>
      <c r="T27" s="6" t="s">
        <v>5</v>
      </c>
      <c r="U27" s="6" t="s">
        <v>5</v>
      </c>
      <c r="V27" s="6" t="s">
        <v>5</v>
      </c>
      <c r="W27" s="6" t="s">
        <v>4</v>
      </c>
      <c r="X27" s="6" t="s">
        <v>3</v>
      </c>
      <c r="Y27" s="6" t="s">
        <v>2</v>
      </c>
      <c r="Z27" s="6" t="s">
        <v>3</v>
      </c>
      <c r="AA27" s="6" t="s">
        <v>4</v>
      </c>
      <c r="AB27" s="6" t="s">
        <v>4</v>
      </c>
      <c r="AC27" s="6" t="s">
        <v>4</v>
      </c>
      <c r="AD27" s="6" t="s">
        <v>4</v>
      </c>
      <c r="AE27" s="6" t="s">
        <v>4</v>
      </c>
      <c r="AF27" s="6" t="s">
        <v>4</v>
      </c>
      <c r="AG27" s="6" t="s">
        <v>4</v>
      </c>
      <c r="AH27" s="6" t="s">
        <v>4</v>
      </c>
      <c r="AI27" s="6" t="s">
        <v>3</v>
      </c>
      <c r="AJ27" s="6" t="s">
        <v>4</v>
      </c>
      <c r="AK27" s="6" t="s">
        <v>4</v>
      </c>
      <c r="AL27" s="6" t="s">
        <v>4</v>
      </c>
      <c r="AM27" s="6" t="s">
        <v>3</v>
      </c>
      <c r="AS27" s="32" t="s">
        <v>284</v>
      </c>
      <c r="AT27" s="6" t="s">
        <v>293</v>
      </c>
      <c r="AU27" s="32">
        <v>13</v>
      </c>
      <c r="AV27" s="14" t="s">
        <v>502</v>
      </c>
      <c r="AW27" s="30">
        <f>AZ9/AT6</f>
        <v>0.16666666666666666</v>
      </c>
      <c r="BG27" s="19"/>
    </row>
    <row r="28" spans="1:98">
      <c r="A28" s="6">
        <f t="shared" si="0"/>
        <v>27</v>
      </c>
      <c r="B28" s="6" t="s">
        <v>17</v>
      </c>
      <c r="C28" s="6">
        <v>3</v>
      </c>
      <c r="D28" s="6" t="s">
        <v>5</v>
      </c>
      <c r="E28" s="6" t="s">
        <v>3</v>
      </c>
      <c r="F28" s="6" t="s">
        <v>3</v>
      </c>
      <c r="G28" s="6" t="s">
        <v>5</v>
      </c>
      <c r="H28" s="6" t="s">
        <v>5</v>
      </c>
      <c r="I28" s="6" t="s">
        <v>5</v>
      </c>
      <c r="J28" s="6" t="s">
        <v>2</v>
      </c>
      <c r="K28" s="6" t="s">
        <v>2</v>
      </c>
      <c r="L28" s="6" t="s">
        <v>3</v>
      </c>
      <c r="M28" s="6" t="s">
        <v>3</v>
      </c>
      <c r="N28" s="6" t="s">
        <v>4</v>
      </c>
      <c r="O28" s="6" t="s">
        <v>5</v>
      </c>
      <c r="P28" s="6" t="s">
        <v>2</v>
      </c>
      <c r="Q28" s="6" t="s">
        <v>3</v>
      </c>
      <c r="R28" s="6" t="s">
        <v>2</v>
      </c>
      <c r="S28" s="6" t="s">
        <v>5</v>
      </c>
      <c r="T28" s="6" t="s">
        <v>5</v>
      </c>
      <c r="U28" s="6" t="s">
        <v>5</v>
      </c>
      <c r="V28" s="6" t="s">
        <v>5</v>
      </c>
      <c r="W28" s="6" t="s">
        <v>4</v>
      </c>
      <c r="X28" s="6" t="s">
        <v>3</v>
      </c>
      <c r="Y28" s="6" t="s">
        <v>3</v>
      </c>
      <c r="Z28" s="6" t="s">
        <v>3</v>
      </c>
      <c r="AA28" s="6" t="s">
        <v>4</v>
      </c>
      <c r="AB28" s="6" t="s">
        <v>4</v>
      </c>
      <c r="AC28" s="6" t="s">
        <v>4</v>
      </c>
      <c r="AD28" s="6" t="s">
        <v>4</v>
      </c>
      <c r="AE28" s="6" t="s">
        <v>4</v>
      </c>
      <c r="AF28" s="6" t="s">
        <v>4</v>
      </c>
      <c r="AG28" s="6" t="s">
        <v>3</v>
      </c>
      <c r="AH28" s="6" t="s">
        <v>4</v>
      </c>
      <c r="AI28" s="6" t="s">
        <v>3</v>
      </c>
      <c r="AJ28" s="6" t="s">
        <v>4</v>
      </c>
      <c r="AK28" s="6" t="s">
        <v>4</v>
      </c>
      <c r="AL28" s="6" t="s">
        <v>4</v>
      </c>
      <c r="AM28" s="6" t="s">
        <v>3</v>
      </c>
      <c r="AZ28"/>
      <c r="BG28" s="19"/>
      <c r="BI28" s="3"/>
    </row>
    <row r="29" spans="1:98">
      <c r="A29" s="6">
        <f t="shared" si="0"/>
        <v>28</v>
      </c>
      <c r="B29" s="6" t="s">
        <v>18</v>
      </c>
      <c r="C29" s="6">
        <v>3</v>
      </c>
      <c r="D29" s="6" t="s">
        <v>5</v>
      </c>
      <c r="E29" s="6" t="s">
        <v>4</v>
      </c>
      <c r="F29" s="6" t="s">
        <v>4</v>
      </c>
      <c r="G29" s="6" t="s">
        <v>3</v>
      </c>
      <c r="H29" s="6" t="s">
        <v>5</v>
      </c>
      <c r="I29" s="6" t="s">
        <v>5</v>
      </c>
      <c r="J29" s="6" t="s">
        <v>5</v>
      </c>
      <c r="K29" s="6" t="s">
        <v>2</v>
      </c>
      <c r="L29" s="6" t="s">
        <v>2</v>
      </c>
      <c r="M29" s="6" t="s">
        <v>3</v>
      </c>
      <c r="N29" s="6" t="s">
        <v>4</v>
      </c>
      <c r="O29" s="6" t="s">
        <v>2</v>
      </c>
      <c r="P29" s="6" t="s">
        <v>2</v>
      </c>
      <c r="Q29" s="6" t="s">
        <v>2</v>
      </c>
      <c r="R29" s="6" t="s">
        <v>5</v>
      </c>
      <c r="S29" s="6" t="s">
        <v>5</v>
      </c>
      <c r="T29" s="6" t="s">
        <v>3</v>
      </c>
      <c r="U29" s="6" t="s">
        <v>3</v>
      </c>
      <c r="V29" s="6" t="s">
        <v>2</v>
      </c>
      <c r="W29" s="6" t="s">
        <v>4</v>
      </c>
      <c r="X29" s="6" t="s">
        <v>5</v>
      </c>
      <c r="Y29" s="6" t="s">
        <v>3</v>
      </c>
      <c r="Z29" s="6" t="s">
        <v>3</v>
      </c>
      <c r="AA29" s="6" t="s">
        <v>3</v>
      </c>
      <c r="AB29" s="6" t="s">
        <v>3</v>
      </c>
      <c r="AC29" s="6" t="s">
        <v>4</v>
      </c>
      <c r="AD29" s="6" t="s">
        <v>4</v>
      </c>
      <c r="AE29" s="6" t="s">
        <v>4</v>
      </c>
      <c r="AF29" s="6" t="s">
        <v>4</v>
      </c>
      <c r="AG29" s="6" t="s">
        <v>3</v>
      </c>
      <c r="AH29" s="6" t="s">
        <v>4</v>
      </c>
      <c r="AI29" s="6" t="s">
        <v>4</v>
      </c>
      <c r="AJ29" s="6" t="s">
        <v>4</v>
      </c>
      <c r="AK29" s="6" t="s">
        <v>4</v>
      </c>
      <c r="AL29" s="6" t="s">
        <v>4</v>
      </c>
      <c r="AM29" s="6" t="s">
        <v>3</v>
      </c>
      <c r="AR29" s="5" t="s">
        <v>482</v>
      </c>
      <c r="AZ29"/>
      <c r="BG29" s="19"/>
    </row>
    <row r="30" spans="1:98">
      <c r="A30" s="6">
        <f t="shared" si="0"/>
        <v>29</v>
      </c>
      <c r="B30" s="6" t="s">
        <v>19</v>
      </c>
      <c r="C30" s="6">
        <v>3</v>
      </c>
      <c r="D30" s="6" t="s">
        <v>5</v>
      </c>
      <c r="E30" s="6" t="s">
        <v>5</v>
      </c>
      <c r="F30" s="6" t="s">
        <v>4</v>
      </c>
      <c r="G30" s="6" t="s">
        <v>5</v>
      </c>
      <c r="H30" s="6" t="s">
        <v>5</v>
      </c>
      <c r="I30" s="6" t="s">
        <v>2</v>
      </c>
      <c r="J30" s="6" t="s">
        <v>5</v>
      </c>
      <c r="K30" s="6" t="s">
        <v>2</v>
      </c>
      <c r="L30" s="6" t="s">
        <v>3</v>
      </c>
      <c r="M30" s="6" t="s">
        <v>4</v>
      </c>
      <c r="N30" s="6" t="s">
        <v>4</v>
      </c>
      <c r="O30" s="6" t="s">
        <v>2</v>
      </c>
      <c r="P30" s="6" t="s">
        <v>5</v>
      </c>
      <c r="Q30" s="6" t="s">
        <v>5</v>
      </c>
      <c r="R30" s="6" t="s">
        <v>5</v>
      </c>
      <c r="S30" s="6" t="s">
        <v>5</v>
      </c>
      <c r="T30" s="6" t="s">
        <v>5</v>
      </c>
      <c r="U30" s="6" t="s">
        <v>5</v>
      </c>
      <c r="V30" s="6" t="s">
        <v>4</v>
      </c>
      <c r="W30" s="6" t="s">
        <v>4</v>
      </c>
      <c r="X30" s="6" t="s">
        <v>4</v>
      </c>
      <c r="Y30" s="6" t="s">
        <v>5</v>
      </c>
      <c r="Z30" s="6" t="s">
        <v>3</v>
      </c>
      <c r="AA30" s="6" t="s">
        <v>4</v>
      </c>
      <c r="AB30" s="6" t="s">
        <v>4</v>
      </c>
      <c r="AC30" s="6" t="s">
        <v>4</v>
      </c>
      <c r="AD30" s="6" t="s">
        <v>4</v>
      </c>
      <c r="AE30" s="6" t="s">
        <v>4</v>
      </c>
      <c r="AF30" s="6" t="s">
        <v>4</v>
      </c>
      <c r="AG30" s="6" t="s">
        <v>3</v>
      </c>
      <c r="AH30" s="6" t="s">
        <v>4</v>
      </c>
      <c r="AI30" s="6" t="s">
        <v>3</v>
      </c>
      <c r="AJ30" s="6" t="s">
        <v>4</v>
      </c>
      <c r="AK30" s="6" t="s">
        <v>4</v>
      </c>
      <c r="AL30" s="6" t="s">
        <v>4</v>
      </c>
      <c r="AM30" s="6" t="s">
        <v>3</v>
      </c>
      <c r="AS30" s="7" t="s">
        <v>232</v>
      </c>
      <c r="AT30" s="7">
        <v>1</v>
      </c>
      <c r="AU30" s="7">
        <v>2</v>
      </c>
      <c r="AV30" s="7">
        <v>3</v>
      </c>
      <c r="AW30" s="7">
        <v>4</v>
      </c>
      <c r="AX30" s="7">
        <v>5</v>
      </c>
      <c r="AY30" s="7">
        <v>6</v>
      </c>
      <c r="AZ30"/>
      <c r="BA30"/>
      <c r="BB30"/>
      <c r="BC30"/>
      <c r="BD30"/>
      <c r="BE30"/>
      <c r="BF30"/>
    </row>
    <row r="31" spans="1:98">
      <c r="A31" s="6">
        <f t="shared" si="0"/>
        <v>30</v>
      </c>
      <c r="B31" s="6" t="s">
        <v>20</v>
      </c>
      <c r="C31" s="6">
        <v>3</v>
      </c>
      <c r="D31" s="6" t="s">
        <v>2</v>
      </c>
      <c r="E31" s="6" t="s">
        <v>3</v>
      </c>
      <c r="F31" s="6" t="s">
        <v>3</v>
      </c>
      <c r="G31" s="6" t="s">
        <v>2</v>
      </c>
      <c r="H31" s="6" t="s">
        <v>5</v>
      </c>
      <c r="I31" s="6" t="s">
        <v>2</v>
      </c>
      <c r="J31" s="6" t="s">
        <v>5</v>
      </c>
      <c r="K31" s="6" t="s">
        <v>2</v>
      </c>
      <c r="L31" s="6" t="s">
        <v>3</v>
      </c>
      <c r="M31" s="6" t="s">
        <v>4</v>
      </c>
      <c r="N31" s="6" t="s">
        <v>4</v>
      </c>
      <c r="O31" s="6" t="s">
        <v>5</v>
      </c>
      <c r="P31" s="6" t="s">
        <v>5</v>
      </c>
      <c r="Q31" s="6" t="s">
        <v>4</v>
      </c>
      <c r="R31" s="6" t="s">
        <v>5</v>
      </c>
      <c r="S31" s="6" t="s">
        <v>5</v>
      </c>
      <c r="T31" s="6" t="s">
        <v>5</v>
      </c>
      <c r="U31" s="6" t="s">
        <v>5</v>
      </c>
      <c r="V31" s="6" t="s">
        <v>5</v>
      </c>
      <c r="W31" s="6" t="s">
        <v>4</v>
      </c>
      <c r="X31" s="6" t="s">
        <v>4</v>
      </c>
      <c r="Y31" s="6" t="s">
        <v>4</v>
      </c>
      <c r="Z31" s="6" t="s">
        <v>4</v>
      </c>
      <c r="AA31" s="6" t="s">
        <v>4</v>
      </c>
      <c r="AB31" s="6" t="s">
        <v>4</v>
      </c>
      <c r="AC31" s="6" t="s">
        <v>4</v>
      </c>
      <c r="AD31" s="6" t="s">
        <v>4</v>
      </c>
      <c r="AE31" s="6" t="s">
        <v>4</v>
      </c>
      <c r="AF31" s="6" t="s">
        <v>4</v>
      </c>
      <c r="AG31" s="6" t="s">
        <v>4</v>
      </c>
      <c r="AH31" s="6" t="s">
        <v>4</v>
      </c>
      <c r="AI31" s="6" t="s">
        <v>3</v>
      </c>
      <c r="AJ31" s="6" t="s">
        <v>4</v>
      </c>
      <c r="AK31" s="6" t="s">
        <v>4</v>
      </c>
      <c r="AL31" s="6" t="s">
        <v>3</v>
      </c>
      <c r="AM31" s="6" t="s">
        <v>4</v>
      </c>
      <c r="AS31" s="6" t="s">
        <v>65</v>
      </c>
      <c r="AT31" s="6">
        <f>COUNTIFS(D:D,"A",C:C,1)/COUNTIF(C:C,1)</f>
        <v>7.6923076923076927E-2</v>
      </c>
      <c r="AU31" s="6">
        <f>COUNTIFS(D:D,"A",C:C,2)/COUNTIF(C:C,2)</f>
        <v>0.23076923076923078</v>
      </c>
      <c r="AV31" s="6">
        <f>COUNTIFS(D:D,"A",C:C,3)/COUNTIF(C:C,3)</f>
        <v>7.6923076923076927E-2</v>
      </c>
      <c r="AW31" s="6">
        <f>COUNTIFS(D:D,"A",C:C,4)/COUNTIF(C:C,4)</f>
        <v>0</v>
      </c>
      <c r="AX31" s="6">
        <f>COUNTIFS(D:D,"A",C:C,5)/COUNTIF(C:C,5)</f>
        <v>7.6923076923076927E-2</v>
      </c>
      <c r="AY31" s="6">
        <f>COUNTIFS(D:D,"A",C:C,6)/COUNTIF(C:C,6)</f>
        <v>7.6923076923076927E-2</v>
      </c>
      <c r="AZ31"/>
      <c r="BA31"/>
      <c r="BB31"/>
      <c r="BC31"/>
      <c r="BD31"/>
      <c r="BE31"/>
      <c r="BF31"/>
    </row>
    <row r="32" spans="1:98">
      <c r="A32" s="6">
        <f t="shared" si="0"/>
        <v>31</v>
      </c>
      <c r="B32" s="6" t="s">
        <v>21</v>
      </c>
      <c r="C32" s="6">
        <v>3</v>
      </c>
      <c r="D32" s="6" t="s">
        <v>2</v>
      </c>
      <c r="E32" s="6" t="s">
        <v>5</v>
      </c>
      <c r="F32" s="6" t="s">
        <v>3</v>
      </c>
      <c r="G32" s="6" t="s">
        <v>5</v>
      </c>
      <c r="H32" s="6" t="s">
        <v>5</v>
      </c>
      <c r="I32" s="6" t="s">
        <v>5</v>
      </c>
      <c r="J32" s="6" t="s">
        <v>5</v>
      </c>
      <c r="K32" s="6" t="s">
        <v>2</v>
      </c>
      <c r="L32" s="6" t="s">
        <v>2</v>
      </c>
      <c r="M32" s="6" t="s">
        <v>3</v>
      </c>
      <c r="N32" s="6" t="s">
        <v>4</v>
      </c>
      <c r="O32" s="6" t="s">
        <v>2</v>
      </c>
      <c r="P32" s="6" t="s">
        <v>5</v>
      </c>
      <c r="Q32" s="6" t="s">
        <v>3</v>
      </c>
      <c r="R32" s="6" t="s">
        <v>3</v>
      </c>
      <c r="S32" s="6" t="s">
        <v>5</v>
      </c>
      <c r="T32" s="6" t="s">
        <v>5</v>
      </c>
      <c r="U32" s="6" t="s">
        <v>5</v>
      </c>
      <c r="V32" s="6" t="s">
        <v>5</v>
      </c>
      <c r="W32" s="6" t="s">
        <v>4</v>
      </c>
      <c r="X32" s="6" t="s">
        <v>2</v>
      </c>
      <c r="Y32" s="6" t="s">
        <v>2</v>
      </c>
      <c r="Z32" s="6" t="s">
        <v>3</v>
      </c>
      <c r="AA32" s="6" t="s">
        <v>4</v>
      </c>
      <c r="AB32" s="6" t="s">
        <v>4</v>
      </c>
      <c r="AC32" s="6" t="s">
        <v>4</v>
      </c>
      <c r="AD32" s="6" t="s">
        <v>4</v>
      </c>
      <c r="AE32" s="6" t="s">
        <v>4</v>
      </c>
      <c r="AF32" s="6" t="s">
        <v>4</v>
      </c>
      <c r="AG32" s="6" t="s">
        <v>3</v>
      </c>
      <c r="AH32" s="6" t="s">
        <v>4</v>
      </c>
      <c r="AI32" s="6" t="s">
        <v>3</v>
      </c>
      <c r="AJ32" s="6" t="s">
        <v>4</v>
      </c>
      <c r="AK32" s="6" t="s">
        <v>4</v>
      </c>
      <c r="AL32" s="6" t="s">
        <v>4</v>
      </c>
      <c r="AM32" s="6" t="s">
        <v>3</v>
      </c>
      <c r="AS32" s="6" t="s">
        <v>66</v>
      </c>
      <c r="AT32" s="6">
        <f>COUNTIFS(D:D,"B",C:C,1)/COUNTIF(C:C,1)</f>
        <v>0.38461538461538464</v>
      </c>
      <c r="AU32" s="6">
        <f>COUNTIFS(D:D,"B",C:C,2)/COUNTIF(C:C,2)</f>
        <v>0.15384615384615385</v>
      </c>
      <c r="AV32" s="6">
        <f>COUNTIFS(D:D,"B",C:C,3)/COUNTIF(C:C,3)</f>
        <v>0</v>
      </c>
      <c r="AW32" s="6">
        <f>COUNTIFS(D:D,"B",C:C,4)/COUNTIF(C:C,4)</f>
        <v>0.23076923076923078</v>
      </c>
      <c r="AX32" s="6">
        <f>COUNTIFS(D:D,"B",C:C,5)/COUNTIF(C:C,5)</f>
        <v>0</v>
      </c>
      <c r="AY32" s="6">
        <f>COUNTIFS(D:D,"B",C:C,6)/COUNTIF(C:C,6)</f>
        <v>0</v>
      </c>
      <c r="AZ32"/>
      <c r="BA32"/>
      <c r="BB32"/>
      <c r="BC32"/>
      <c r="BD32"/>
      <c r="BE32"/>
      <c r="BF32"/>
    </row>
    <row r="33" spans="1:98">
      <c r="A33" s="6">
        <f t="shared" si="0"/>
        <v>32</v>
      </c>
      <c r="B33" s="6" t="s">
        <v>22</v>
      </c>
      <c r="C33" s="6">
        <v>3</v>
      </c>
      <c r="D33" s="6" t="s">
        <v>4</v>
      </c>
      <c r="E33" s="6" t="s">
        <v>5</v>
      </c>
      <c r="F33" s="6" t="s">
        <v>3</v>
      </c>
      <c r="G33" s="6" t="s">
        <v>5</v>
      </c>
      <c r="H33" s="6" t="s">
        <v>5</v>
      </c>
      <c r="I33" s="6" t="s">
        <v>5</v>
      </c>
      <c r="J33" s="6" t="s">
        <v>5</v>
      </c>
      <c r="K33" s="6" t="s">
        <v>2</v>
      </c>
      <c r="L33" s="6" t="s">
        <v>3</v>
      </c>
      <c r="M33" s="6" t="s">
        <v>2</v>
      </c>
      <c r="N33" s="6" t="s">
        <v>2</v>
      </c>
      <c r="O33" s="6" t="s">
        <v>5</v>
      </c>
      <c r="P33" s="6" t="s">
        <v>3</v>
      </c>
      <c r="Q33" s="6" t="s">
        <v>3</v>
      </c>
      <c r="R33" s="6" t="s">
        <v>2</v>
      </c>
      <c r="S33" s="6" t="s">
        <v>5</v>
      </c>
      <c r="T33" s="6" t="s">
        <v>2</v>
      </c>
      <c r="U33" s="6" t="s">
        <v>2</v>
      </c>
      <c r="V33" s="6" t="s">
        <v>5</v>
      </c>
      <c r="W33" s="6" t="s">
        <v>4</v>
      </c>
      <c r="X33" s="6" t="s">
        <v>3</v>
      </c>
      <c r="Y33" s="6" t="s">
        <v>2</v>
      </c>
      <c r="Z33" s="6" t="s">
        <v>3</v>
      </c>
      <c r="AA33" s="6" t="s">
        <v>4</v>
      </c>
      <c r="AB33" s="6" t="s">
        <v>4</v>
      </c>
      <c r="AC33" s="6" t="s">
        <v>4</v>
      </c>
      <c r="AD33" s="6" t="s">
        <v>4</v>
      </c>
      <c r="AE33" s="6" t="s">
        <v>4</v>
      </c>
      <c r="AF33" s="6" t="s">
        <v>4</v>
      </c>
      <c r="AG33" s="6" t="s">
        <v>3</v>
      </c>
      <c r="AH33" s="6" t="s">
        <v>4</v>
      </c>
      <c r="AI33" s="6" t="s">
        <v>3</v>
      </c>
      <c r="AJ33" s="6" t="s">
        <v>4</v>
      </c>
      <c r="AK33" s="6" t="s">
        <v>4</v>
      </c>
      <c r="AL33" s="6" t="s">
        <v>3</v>
      </c>
      <c r="AM33" s="6" t="s">
        <v>3</v>
      </c>
      <c r="AS33" s="6" t="s">
        <v>67</v>
      </c>
      <c r="AT33" s="6">
        <f>COUNTIFS(D:D,"C",C:C,1)/COUNTIF(C:C,1)</f>
        <v>0.23076923076923078</v>
      </c>
      <c r="AU33" s="6">
        <f>COUNTIFS(D:D,"C",C:C,2)/COUNTIF(C:C,2)</f>
        <v>7.6923076923076927E-2</v>
      </c>
      <c r="AV33" s="6">
        <f>COUNTIFS(D:D,"C",C:C,3)/COUNTIF(C:C,3)</f>
        <v>0.30769230769230771</v>
      </c>
      <c r="AW33" s="6">
        <f>COUNTIFS(D:D,"C",C:C,4)/COUNTIF(C:C,4)</f>
        <v>7.6923076923076927E-2</v>
      </c>
      <c r="AX33" s="6">
        <f>COUNTIFS(D:D,"C",C:C,5)/COUNTIF(C:C,5)</f>
        <v>0.15384615384615385</v>
      </c>
      <c r="AY33" s="6">
        <f>COUNTIFS(D:D,"C",C:C,6)/COUNTIF(C:C,6)</f>
        <v>0</v>
      </c>
      <c r="AZ33"/>
      <c r="BA33"/>
      <c r="BB33"/>
      <c r="BC33"/>
      <c r="BD33"/>
      <c r="BE33"/>
      <c r="BF33"/>
      <c r="BI33" s="75"/>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row>
    <row r="34" spans="1:98">
      <c r="A34" s="6">
        <f t="shared" ref="A34:A65" si="1">ROW()-1</f>
        <v>33</v>
      </c>
      <c r="B34" s="6" t="s">
        <v>263</v>
      </c>
      <c r="C34" s="6">
        <v>3</v>
      </c>
      <c r="D34" s="6" t="s">
        <v>2</v>
      </c>
      <c r="E34" s="6" t="s">
        <v>5</v>
      </c>
      <c r="F34" s="6" t="s">
        <v>3</v>
      </c>
      <c r="G34" s="6" t="s">
        <v>5</v>
      </c>
      <c r="H34" s="6" t="s">
        <v>5</v>
      </c>
      <c r="I34" s="6" t="s">
        <v>5</v>
      </c>
      <c r="J34" s="6" t="s">
        <v>5</v>
      </c>
      <c r="K34" s="6" t="s">
        <v>2</v>
      </c>
      <c r="L34" s="6" t="s">
        <v>2</v>
      </c>
      <c r="M34" s="6" t="s">
        <v>2</v>
      </c>
      <c r="N34" s="6" t="s">
        <v>3</v>
      </c>
      <c r="O34" s="6" t="s">
        <v>5</v>
      </c>
      <c r="P34" s="6" t="s">
        <v>5</v>
      </c>
      <c r="Q34" s="6" t="s">
        <v>3</v>
      </c>
      <c r="R34" s="6" t="s">
        <v>2</v>
      </c>
      <c r="S34" s="6" t="s">
        <v>2</v>
      </c>
      <c r="T34" s="6" t="s">
        <v>5</v>
      </c>
      <c r="U34" s="6" t="s">
        <v>5</v>
      </c>
      <c r="V34" s="6" t="s">
        <v>2</v>
      </c>
      <c r="W34" s="6" t="s">
        <v>4</v>
      </c>
      <c r="X34" s="6" t="s">
        <v>2</v>
      </c>
      <c r="Y34" s="6" t="s">
        <v>2</v>
      </c>
      <c r="Z34" s="6" t="s">
        <v>3</v>
      </c>
      <c r="AA34" s="6" t="s">
        <v>4</v>
      </c>
      <c r="AB34" s="6" t="s">
        <v>4</v>
      </c>
      <c r="AC34" s="6" t="s">
        <v>4</v>
      </c>
      <c r="AD34" s="6" t="s">
        <v>4</v>
      </c>
      <c r="AE34" s="6" t="s">
        <v>4</v>
      </c>
      <c r="AF34" s="6" t="s">
        <v>4</v>
      </c>
      <c r="AG34" s="6" t="s">
        <v>3</v>
      </c>
      <c r="AH34" s="6" t="s">
        <v>4</v>
      </c>
      <c r="AI34" s="6" t="s">
        <v>3</v>
      </c>
      <c r="AJ34" s="6" t="s">
        <v>4</v>
      </c>
      <c r="AK34" s="6" t="s">
        <v>4</v>
      </c>
      <c r="AL34" s="6" t="s">
        <v>4</v>
      </c>
      <c r="AM34" s="6" t="s">
        <v>3</v>
      </c>
      <c r="AS34" s="6" t="s">
        <v>68</v>
      </c>
      <c r="AT34" s="6">
        <f>COUNTIFS(D:D,"D",C:C,1)/COUNTIF(C:C,1)</f>
        <v>0.30769230769230771</v>
      </c>
      <c r="AU34" s="6">
        <f>COUNTIFS(D:D,"D",C:C,2)/COUNTIF(C:C,2)</f>
        <v>0.53846153846153844</v>
      </c>
      <c r="AV34" s="6">
        <f>COUNTIFS(D:D,"D",C:C,3)/COUNTIF(C:C,3)</f>
        <v>0.61538461538461542</v>
      </c>
      <c r="AW34" s="6">
        <f>COUNTIFS(D:D,"D",C:C,4)/COUNTIF(C:C,4)</f>
        <v>0.69230769230769229</v>
      </c>
      <c r="AX34" s="6">
        <f>COUNTIFS(D:D,"D",C:C,5)/COUNTIF(C:C,5)</f>
        <v>0.76923076923076927</v>
      </c>
      <c r="AY34" s="6">
        <f>COUNTIFS(D:D,"D",C:C,6)/COUNTIF(C:C,6)</f>
        <v>0.92307692307692313</v>
      </c>
      <c r="AZ34"/>
      <c r="BA34"/>
      <c r="BB34"/>
      <c r="BC34"/>
      <c r="BD34"/>
      <c r="BE34"/>
      <c r="BF34"/>
      <c r="BI34" s="75"/>
    </row>
    <row r="35" spans="1:98">
      <c r="A35" s="6">
        <f t="shared" si="1"/>
        <v>34</v>
      </c>
      <c r="B35" s="6" t="s">
        <v>264</v>
      </c>
      <c r="C35" s="6">
        <v>3</v>
      </c>
      <c r="D35" s="6" t="s">
        <v>5</v>
      </c>
      <c r="E35" s="6" t="s">
        <v>3</v>
      </c>
      <c r="F35" s="6" t="s">
        <v>3</v>
      </c>
      <c r="G35" s="6" t="s">
        <v>5</v>
      </c>
      <c r="H35" s="6" t="s">
        <v>5</v>
      </c>
      <c r="I35" s="6" t="s">
        <v>5</v>
      </c>
      <c r="J35" s="6" t="s">
        <v>5</v>
      </c>
      <c r="K35" s="6" t="s">
        <v>2</v>
      </c>
      <c r="L35" s="6" t="s">
        <v>2</v>
      </c>
      <c r="M35" s="6" t="s">
        <v>3</v>
      </c>
      <c r="N35" s="6" t="s">
        <v>3</v>
      </c>
      <c r="O35" s="6" t="s">
        <v>2</v>
      </c>
      <c r="P35" s="6" t="s">
        <v>5</v>
      </c>
      <c r="Q35" s="6" t="s">
        <v>3</v>
      </c>
      <c r="R35" s="6" t="s">
        <v>3</v>
      </c>
      <c r="S35" s="6" t="s">
        <v>2</v>
      </c>
      <c r="T35" s="6" t="s">
        <v>5</v>
      </c>
      <c r="U35" s="6" t="s">
        <v>5</v>
      </c>
      <c r="V35" s="6" t="s">
        <v>5</v>
      </c>
      <c r="W35" s="6" t="s">
        <v>4</v>
      </c>
      <c r="X35" s="6" t="s">
        <v>3</v>
      </c>
      <c r="Y35" s="6" t="s">
        <v>2</v>
      </c>
      <c r="Z35" s="6" t="s">
        <v>3</v>
      </c>
      <c r="AA35" s="6" t="s">
        <v>4</v>
      </c>
      <c r="AB35" s="6" t="s">
        <v>4</v>
      </c>
      <c r="AC35" s="6" t="s">
        <v>4</v>
      </c>
      <c r="AD35" s="6" t="s">
        <v>4</v>
      </c>
      <c r="AE35" s="6" t="s">
        <v>4</v>
      </c>
      <c r="AF35" s="6" t="s">
        <v>4</v>
      </c>
      <c r="AG35" s="6" t="s">
        <v>3</v>
      </c>
      <c r="AH35" s="6" t="s">
        <v>4</v>
      </c>
      <c r="AI35" s="6" t="s">
        <v>4</v>
      </c>
      <c r="AJ35" s="6" t="s">
        <v>4</v>
      </c>
      <c r="AK35" s="6" t="s">
        <v>4</v>
      </c>
      <c r="AL35" s="6" t="s">
        <v>3</v>
      </c>
      <c r="AM35" s="6" t="s">
        <v>3</v>
      </c>
      <c r="AZ35"/>
      <c r="BA35" s="34"/>
      <c r="BB35" s="34"/>
      <c r="BC35" s="34"/>
      <c r="BD35" s="34"/>
      <c r="BE35" s="34"/>
      <c r="BF35" s="34"/>
      <c r="BG35" s="34"/>
    </row>
    <row r="36" spans="1:98">
      <c r="A36" s="6">
        <f t="shared" si="1"/>
        <v>35</v>
      </c>
      <c r="B36" s="6" t="s">
        <v>265</v>
      </c>
      <c r="C36" s="6">
        <v>3</v>
      </c>
      <c r="D36" s="6" t="s">
        <v>5</v>
      </c>
      <c r="E36" s="6" t="s">
        <v>3</v>
      </c>
      <c r="F36" s="6" t="s">
        <v>3</v>
      </c>
      <c r="G36" s="6" t="s">
        <v>2</v>
      </c>
      <c r="H36" s="6" t="s">
        <v>5</v>
      </c>
      <c r="I36" s="6" t="s">
        <v>5</v>
      </c>
      <c r="J36" s="6" t="s">
        <v>5</v>
      </c>
      <c r="K36" s="6" t="s">
        <v>2</v>
      </c>
      <c r="L36" s="6" t="s">
        <v>3</v>
      </c>
      <c r="M36" s="6" t="s">
        <v>3</v>
      </c>
      <c r="N36" s="6" t="s">
        <v>3</v>
      </c>
      <c r="O36" s="6" t="s">
        <v>2</v>
      </c>
      <c r="P36" s="6" t="s">
        <v>5</v>
      </c>
      <c r="Q36" s="6" t="s">
        <v>3</v>
      </c>
      <c r="R36" s="6" t="s">
        <v>3</v>
      </c>
      <c r="S36" s="6" t="s">
        <v>5</v>
      </c>
      <c r="T36" s="6" t="s">
        <v>5</v>
      </c>
      <c r="U36" s="6" t="s">
        <v>5</v>
      </c>
      <c r="V36" s="6" t="s">
        <v>5</v>
      </c>
      <c r="W36" s="6" t="s">
        <v>4</v>
      </c>
      <c r="X36" s="6" t="s">
        <v>3</v>
      </c>
      <c r="Y36" s="6" t="s">
        <v>2</v>
      </c>
      <c r="Z36" s="6" t="s">
        <v>3</v>
      </c>
      <c r="AA36" s="6" t="s">
        <v>4</v>
      </c>
      <c r="AB36" s="6" t="s">
        <v>4</v>
      </c>
      <c r="AC36" s="6" t="s">
        <v>4</v>
      </c>
      <c r="AD36" s="6" t="s">
        <v>4</v>
      </c>
      <c r="AE36" s="6" t="s">
        <v>4</v>
      </c>
      <c r="AF36" s="6" t="s">
        <v>4</v>
      </c>
      <c r="AG36" s="6" t="s">
        <v>3</v>
      </c>
      <c r="AH36" s="6" t="s">
        <v>4</v>
      </c>
      <c r="AI36" s="6" t="s">
        <v>3</v>
      </c>
      <c r="AJ36" s="6" t="s">
        <v>4</v>
      </c>
      <c r="AK36" s="6" t="s">
        <v>4</v>
      </c>
      <c r="AL36" s="6" t="s">
        <v>3</v>
      </c>
      <c r="AM36" s="6" t="s">
        <v>3</v>
      </c>
      <c r="AS36" s="7" t="s">
        <v>233</v>
      </c>
      <c r="AT36" s="7">
        <v>1</v>
      </c>
      <c r="AU36" s="7">
        <v>2</v>
      </c>
      <c r="AV36" s="7">
        <v>3</v>
      </c>
      <c r="AW36" s="7">
        <v>4</v>
      </c>
      <c r="AX36" s="7">
        <v>5</v>
      </c>
      <c r="AY36" s="7">
        <v>6</v>
      </c>
      <c r="AZ36"/>
      <c r="BA36" s="34"/>
      <c r="BB36" s="34"/>
      <c r="BC36" s="34"/>
      <c r="BD36" s="34"/>
      <c r="BE36" s="34"/>
      <c r="BF36" s="34"/>
      <c r="BG36" s="34"/>
      <c r="BI36" s="3"/>
    </row>
    <row r="37" spans="1:98">
      <c r="A37" s="6">
        <f t="shared" si="1"/>
        <v>36</v>
      </c>
      <c r="B37" s="6" t="s">
        <v>266</v>
      </c>
      <c r="C37" s="6">
        <v>3</v>
      </c>
      <c r="D37" s="6" t="s">
        <v>5</v>
      </c>
      <c r="E37" s="6" t="s">
        <v>3</v>
      </c>
      <c r="F37" s="6" t="s">
        <v>3</v>
      </c>
      <c r="G37" s="6" t="s">
        <v>5</v>
      </c>
      <c r="H37" s="6" t="s">
        <v>5</v>
      </c>
      <c r="I37" s="6" t="s">
        <v>5</v>
      </c>
      <c r="J37" s="6" t="s">
        <v>2</v>
      </c>
      <c r="K37" s="6" t="s">
        <v>2</v>
      </c>
      <c r="L37" s="6" t="s">
        <v>3</v>
      </c>
      <c r="M37" s="6" t="s">
        <v>4</v>
      </c>
      <c r="N37" s="6" t="s">
        <v>4</v>
      </c>
      <c r="O37" s="6" t="s">
        <v>5</v>
      </c>
      <c r="P37" s="6" t="s">
        <v>2</v>
      </c>
      <c r="Q37" s="6" t="s">
        <v>3</v>
      </c>
      <c r="R37" s="6" t="s">
        <v>2</v>
      </c>
      <c r="S37" s="6" t="s">
        <v>5</v>
      </c>
      <c r="T37" s="6" t="s">
        <v>5</v>
      </c>
      <c r="U37" s="6" t="s">
        <v>5</v>
      </c>
      <c r="V37" s="6" t="s">
        <v>5</v>
      </c>
      <c r="W37" s="6" t="s">
        <v>4</v>
      </c>
      <c r="X37" s="6" t="s">
        <v>3</v>
      </c>
      <c r="Y37" s="6" t="s">
        <v>3</v>
      </c>
      <c r="Z37" s="6" t="s">
        <v>3</v>
      </c>
      <c r="AA37" s="6" t="s">
        <v>4</v>
      </c>
      <c r="AB37" s="6" t="s">
        <v>4</v>
      </c>
      <c r="AC37" s="6" t="s">
        <v>4</v>
      </c>
      <c r="AD37" s="6" t="s">
        <v>4</v>
      </c>
      <c r="AE37" s="6" t="s">
        <v>4</v>
      </c>
      <c r="AF37" s="6" t="s">
        <v>4</v>
      </c>
      <c r="AG37" s="6" t="s">
        <v>3</v>
      </c>
      <c r="AH37" s="6" t="s">
        <v>4</v>
      </c>
      <c r="AI37" s="6" t="s">
        <v>4</v>
      </c>
      <c r="AJ37" s="6" t="s">
        <v>4</v>
      </c>
      <c r="AK37" s="6" t="s">
        <v>4</v>
      </c>
      <c r="AL37" s="6" t="s">
        <v>4</v>
      </c>
      <c r="AM37" s="6" t="s">
        <v>3</v>
      </c>
      <c r="AS37" s="6" t="s">
        <v>69</v>
      </c>
      <c r="AT37" s="6">
        <f>COUNTIFS(E:E,"A",C:C,1)/COUNTIF(C:C,1)</f>
        <v>0</v>
      </c>
      <c r="AU37" s="6">
        <f>COUNTIFS(E:E,"A",C:C,2)/COUNTIF(C:C,2)</f>
        <v>0</v>
      </c>
      <c r="AV37" s="6">
        <f>COUNTIFS(E:E,"A",C:C,3)/COUNTIF(C:C,3)</f>
        <v>7.6923076923076927E-2</v>
      </c>
      <c r="AW37" s="6">
        <f>COUNTIFS(E:E,"A",C:C,4)/COUNTIF(C:C,4)</f>
        <v>0</v>
      </c>
      <c r="AX37" s="6">
        <f>COUNTIFS(E:E,"A",C:C,5)/COUNTIF(C:C,5)</f>
        <v>0</v>
      </c>
      <c r="AY37" s="6">
        <f>COUNTIFS(E:E,"A",C:C,6)/COUNTIF(C:C,6)</f>
        <v>0</v>
      </c>
      <c r="AZ37"/>
      <c r="BA37" s="33"/>
      <c r="BB37" s="33"/>
      <c r="BC37" s="33"/>
      <c r="BD37" s="33"/>
      <c r="BE37" s="33"/>
      <c r="BF37" s="33"/>
      <c r="BG37" s="33"/>
    </row>
    <row r="38" spans="1:98">
      <c r="A38" s="6">
        <f t="shared" si="1"/>
        <v>37</v>
      </c>
      <c r="B38" s="6" t="s">
        <v>465</v>
      </c>
      <c r="C38" s="6">
        <v>3</v>
      </c>
      <c r="D38" s="6" t="s">
        <v>5</v>
      </c>
      <c r="E38" s="6" t="s">
        <v>5</v>
      </c>
      <c r="F38" s="6" t="s">
        <v>5</v>
      </c>
      <c r="G38" s="6" t="s">
        <v>5</v>
      </c>
      <c r="H38" s="6" t="s">
        <v>5</v>
      </c>
      <c r="I38" s="6" t="s">
        <v>5</v>
      </c>
      <c r="J38" s="6" t="s">
        <v>5</v>
      </c>
      <c r="K38" s="6" t="s">
        <v>2</v>
      </c>
      <c r="L38" s="6" t="s">
        <v>2</v>
      </c>
      <c r="M38" s="6" t="s">
        <v>2</v>
      </c>
      <c r="N38" s="6" t="s">
        <v>5</v>
      </c>
      <c r="O38" s="6" t="s">
        <v>2</v>
      </c>
      <c r="P38" s="6" t="s">
        <v>2</v>
      </c>
      <c r="Q38" s="6" t="s">
        <v>2</v>
      </c>
      <c r="R38" s="6" t="s">
        <v>2</v>
      </c>
      <c r="S38" s="6" t="s">
        <v>5</v>
      </c>
      <c r="T38" s="6" t="s">
        <v>5</v>
      </c>
      <c r="U38" s="6" t="s">
        <v>5</v>
      </c>
      <c r="V38" s="6" t="s">
        <v>5</v>
      </c>
      <c r="W38" s="6" t="s">
        <v>3</v>
      </c>
      <c r="X38" s="6" t="s">
        <v>4</v>
      </c>
      <c r="Y38" s="6" t="s">
        <v>4</v>
      </c>
      <c r="Z38" s="6" t="s">
        <v>3</v>
      </c>
      <c r="AA38" s="6" t="s">
        <v>4</v>
      </c>
      <c r="AB38" s="6" t="s">
        <v>3</v>
      </c>
      <c r="AC38" s="6" t="s">
        <v>4</v>
      </c>
      <c r="AD38" s="6" t="s">
        <v>4</v>
      </c>
      <c r="AE38" s="6" t="s">
        <v>4</v>
      </c>
      <c r="AF38" s="6" t="s">
        <v>4</v>
      </c>
      <c r="AG38" s="6" t="s">
        <v>4</v>
      </c>
      <c r="AH38" s="6" t="s">
        <v>4</v>
      </c>
      <c r="AI38" s="6" t="s">
        <v>3</v>
      </c>
      <c r="AJ38" s="6" t="s">
        <v>4</v>
      </c>
      <c r="AK38" s="6" t="s">
        <v>4</v>
      </c>
      <c r="AL38" s="6" t="s">
        <v>4</v>
      </c>
      <c r="AM38" s="6" t="s">
        <v>3</v>
      </c>
      <c r="AS38" s="6" t="s">
        <v>70</v>
      </c>
      <c r="AT38" s="6">
        <f>COUNTIFS(E:E,"B",C:C,1)/COUNTIF(C:C,1)</f>
        <v>0.69230769230769229</v>
      </c>
      <c r="AU38" s="6">
        <f>COUNTIFS(E:E,"B",C:C,2)/COUNTIF(C:C,2)</f>
        <v>0.30769230769230771</v>
      </c>
      <c r="AV38" s="6">
        <f>COUNTIFS(E:E,"B",C:C,3)/COUNTIF(C:C,3)</f>
        <v>0.46153846153846156</v>
      </c>
      <c r="AW38" s="6">
        <f>COUNTIFS(E:E,"B",C:C,4)/COUNTIF(C:C,4)</f>
        <v>0.69230769230769229</v>
      </c>
      <c r="AX38" s="6">
        <f>COUNTIFS(E:E,"B",C:C,5)/COUNTIF(C:C,5)</f>
        <v>0.46153846153846156</v>
      </c>
      <c r="AY38" s="6">
        <f>COUNTIFS(E:E,"B",C:C,6)/COUNTIF(C:C,6)</f>
        <v>0.38461538461538464</v>
      </c>
      <c r="AZ38"/>
      <c r="BA38" s="31"/>
      <c r="BB38" s="31"/>
      <c r="BC38" s="31"/>
      <c r="BD38" s="31"/>
      <c r="BE38" s="31"/>
      <c r="BF38" s="31"/>
      <c r="BG38" s="31"/>
      <c r="BI38" s="3"/>
    </row>
    <row r="39" spans="1:98">
      <c r="A39" s="6">
        <f t="shared" si="1"/>
        <v>38</v>
      </c>
      <c r="B39" s="6" t="s">
        <v>466</v>
      </c>
      <c r="C39" s="6">
        <v>3</v>
      </c>
      <c r="D39" s="6" t="s">
        <v>5</v>
      </c>
      <c r="E39" s="6" t="s">
        <v>3</v>
      </c>
      <c r="F39" s="6" t="s">
        <v>3</v>
      </c>
      <c r="G39" s="6" t="s">
        <v>5</v>
      </c>
      <c r="H39" s="6" t="s">
        <v>5</v>
      </c>
      <c r="I39" s="6" t="s">
        <v>5</v>
      </c>
      <c r="J39" s="6" t="s">
        <v>5</v>
      </c>
      <c r="K39" s="6" t="s">
        <v>2</v>
      </c>
      <c r="L39" s="6" t="s">
        <v>3</v>
      </c>
      <c r="M39" s="6" t="s">
        <v>3</v>
      </c>
      <c r="N39" s="6" t="s">
        <v>4</v>
      </c>
      <c r="O39" s="6" t="s">
        <v>5</v>
      </c>
      <c r="P39" s="6" t="s">
        <v>2</v>
      </c>
      <c r="Q39" s="6" t="s">
        <v>3</v>
      </c>
      <c r="R39" s="6" t="s">
        <v>5</v>
      </c>
      <c r="S39" s="6" t="s">
        <v>5</v>
      </c>
      <c r="T39" s="6" t="s">
        <v>5</v>
      </c>
      <c r="U39" s="6" t="s">
        <v>5</v>
      </c>
      <c r="V39" s="6" t="s">
        <v>4</v>
      </c>
      <c r="W39" s="6" t="s">
        <v>4</v>
      </c>
      <c r="X39" s="6" t="s">
        <v>4</v>
      </c>
      <c r="Y39" s="6" t="s">
        <v>2</v>
      </c>
      <c r="Z39" s="6" t="s">
        <v>3</v>
      </c>
      <c r="AA39" s="6" t="s">
        <v>4</v>
      </c>
      <c r="AB39" s="6" t="s">
        <v>4</v>
      </c>
      <c r="AC39" s="6" t="s">
        <v>4</v>
      </c>
      <c r="AD39" s="6" t="s">
        <v>4</v>
      </c>
      <c r="AE39" s="6" t="s">
        <v>4</v>
      </c>
      <c r="AF39" s="6" t="s">
        <v>4</v>
      </c>
      <c r="AG39" s="6" t="s">
        <v>3</v>
      </c>
      <c r="AH39" s="6" t="s">
        <v>4</v>
      </c>
      <c r="AI39" s="6" t="s">
        <v>3</v>
      </c>
      <c r="AJ39" s="6" t="s">
        <v>4</v>
      </c>
      <c r="AK39" s="6" t="s">
        <v>4</v>
      </c>
      <c r="AL39" s="6" t="s">
        <v>4</v>
      </c>
      <c r="AM39" s="6" t="s">
        <v>4</v>
      </c>
      <c r="AS39" s="6" t="s">
        <v>71</v>
      </c>
      <c r="AT39" s="6">
        <f>COUNTIFS(E:E,"C",C:C,1)/COUNTIF(C:C,1)</f>
        <v>7.6923076923076927E-2</v>
      </c>
      <c r="AU39" s="6">
        <f>COUNTIFS(E:E,"C",C:C,2)/COUNTIF(C:C,2)</f>
        <v>0</v>
      </c>
      <c r="AV39" s="6">
        <f>COUNTIFS(E:E,"C",C:C,3)/COUNTIF(C:C,3)</f>
        <v>0</v>
      </c>
      <c r="AW39" s="6">
        <f>COUNTIFS(E:E,"C",C:C,4)/COUNTIF(C:C,4)</f>
        <v>0</v>
      </c>
      <c r="AX39" s="6">
        <f>COUNTIFS(E:E,"C",C:C,5)/COUNTIF(C:C,5)</f>
        <v>0</v>
      </c>
      <c r="AY39" s="6">
        <f>COUNTIFS(E:E,"C",C:C,6)/COUNTIF(C:C,6)</f>
        <v>0</v>
      </c>
      <c r="AZ39"/>
      <c r="BA39" s="31"/>
      <c r="BB39" s="34"/>
      <c r="BC39" s="31"/>
      <c r="BD39" s="31"/>
      <c r="BE39" s="31"/>
      <c r="BF39" s="31"/>
      <c r="BG39" s="31"/>
    </row>
    <row r="40" spans="1:98">
      <c r="A40" s="6">
        <f t="shared" si="1"/>
        <v>39</v>
      </c>
      <c r="B40" s="6" t="s">
        <v>493</v>
      </c>
      <c r="C40" s="6">
        <v>3</v>
      </c>
      <c r="D40" s="6" t="s">
        <v>2</v>
      </c>
      <c r="E40" s="6" t="s">
        <v>5</v>
      </c>
      <c r="F40" s="6" t="s">
        <v>3</v>
      </c>
      <c r="G40" s="6" t="s">
        <v>2</v>
      </c>
      <c r="H40" s="6" t="s">
        <v>5</v>
      </c>
      <c r="I40" s="6" t="s">
        <v>5</v>
      </c>
      <c r="J40" s="6" t="s">
        <v>5</v>
      </c>
      <c r="K40" s="6" t="s">
        <v>2</v>
      </c>
      <c r="L40" s="6" t="s">
        <v>3</v>
      </c>
      <c r="M40" s="6" t="s">
        <v>4</v>
      </c>
      <c r="N40" s="6" t="s">
        <v>4</v>
      </c>
      <c r="O40" s="6" t="s">
        <v>5</v>
      </c>
      <c r="P40" s="6" t="s">
        <v>5</v>
      </c>
      <c r="Q40" s="6" t="s">
        <v>4</v>
      </c>
      <c r="R40" s="6" t="s">
        <v>5</v>
      </c>
      <c r="S40" s="6" t="s">
        <v>5</v>
      </c>
      <c r="T40" s="6" t="s">
        <v>5</v>
      </c>
      <c r="U40" s="6" t="s">
        <v>5</v>
      </c>
      <c r="V40" s="6" t="s">
        <v>5</v>
      </c>
      <c r="W40" s="6" t="s">
        <v>4</v>
      </c>
      <c r="X40" s="6" t="s">
        <v>4</v>
      </c>
      <c r="Y40" s="6" t="s">
        <v>4</v>
      </c>
      <c r="Z40" s="6" t="s">
        <v>4</v>
      </c>
      <c r="AA40" s="6" t="s">
        <v>4</v>
      </c>
      <c r="AB40" s="6" t="s">
        <v>4</v>
      </c>
      <c r="AC40" s="6" t="s">
        <v>4</v>
      </c>
      <c r="AD40" s="6" t="s">
        <v>4</v>
      </c>
      <c r="AE40" s="6" t="s">
        <v>4</v>
      </c>
      <c r="AF40" s="6" t="s">
        <v>4</v>
      </c>
      <c r="AG40" s="6" t="s">
        <v>4</v>
      </c>
      <c r="AH40" s="6" t="s">
        <v>4</v>
      </c>
      <c r="AI40" s="6" t="s">
        <v>3</v>
      </c>
      <c r="AJ40" s="6" t="s">
        <v>4</v>
      </c>
      <c r="AK40" s="6" t="s">
        <v>4</v>
      </c>
      <c r="AL40" s="6" t="s">
        <v>3</v>
      </c>
      <c r="AM40" s="6" t="s">
        <v>4</v>
      </c>
      <c r="AS40" s="6" t="s">
        <v>72</v>
      </c>
      <c r="AT40" s="6">
        <f>COUNTIFS(E:E,"D",C:C,1)/COUNTIF(C:C,1)</f>
        <v>0.23076923076923078</v>
      </c>
      <c r="AU40" s="6">
        <f>COUNTIFS(E:E,"D",C:C,2)/COUNTIF(C:C,2)</f>
        <v>0.69230769230769229</v>
      </c>
      <c r="AV40" s="6">
        <f>COUNTIFS(E:E,"D",C:C,3)/COUNTIF(C:C,3)</f>
        <v>0.46153846153846156</v>
      </c>
      <c r="AW40" s="6">
        <f>COUNTIFS(E:E,"D",C:C,4)/COUNTIF(C:C,4)</f>
        <v>0.30769230769230771</v>
      </c>
      <c r="AX40" s="6">
        <f>COUNTIFS(E:E,"D",C:C,5)/COUNTIF(C:C,5)</f>
        <v>0.53846153846153844</v>
      </c>
      <c r="AY40" s="6">
        <f>COUNTIFS(E:E,"D",C:C,6)/COUNTIF(C:C,6)</f>
        <v>0.61538461538461542</v>
      </c>
      <c r="AZ40"/>
      <c r="BA40" s="31"/>
      <c r="BB40" s="31"/>
      <c r="BC40" s="31"/>
      <c r="BD40" s="31"/>
      <c r="BE40" s="31"/>
      <c r="BF40" s="31"/>
      <c r="BG40" s="31"/>
      <c r="BI40" s="3"/>
    </row>
    <row r="41" spans="1:98">
      <c r="A41" s="6">
        <f t="shared" si="1"/>
        <v>40</v>
      </c>
      <c r="B41" s="6" t="s">
        <v>23</v>
      </c>
      <c r="C41" s="6">
        <v>4</v>
      </c>
      <c r="D41" s="6" t="s">
        <v>3</v>
      </c>
      <c r="E41" s="6" t="s">
        <v>3</v>
      </c>
      <c r="F41" s="6" t="s">
        <v>4</v>
      </c>
      <c r="G41" s="6" t="s">
        <v>2</v>
      </c>
      <c r="H41" s="6" t="s">
        <v>5</v>
      </c>
      <c r="I41" s="6" t="s">
        <v>5</v>
      </c>
      <c r="J41" s="6" t="s">
        <v>5</v>
      </c>
      <c r="K41" s="6" t="s">
        <v>2</v>
      </c>
      <c r="L41" s="6" t="s">
        <v>2</v>
      </c>
      <c r="M41" s="6" t="s">
        <v>2</v>
      </c>
      <c r="N41" s="6" t="s">
        <v>5</v>
      </c>
      <c r="O41" s="6" t="s">
        <v>2</v>
      </c>
      <c r="P41" s="6" t="s">
        <v>5</v>
      </c>
      <c r="Q41" s="6" t="s">
        <v>3</v>
      </c>
      <c r="R41" s="6" t="s">
        <v>3</v>
      </c>
      <c r="S41" s="6" t="s">
        <v>5</v>
      </c>
      <c r="T41" s="6" t="s">
        <v>5</v>
      </c>
      <c r="U41" s="6" t="s">
        <v>5</v>
      </c>
      <c r="V41" s="6" t="s">
        <v>5</v>
      </c>
      <c r="W41" s="6" t="s">
        <v>4</v>
      </c>
      <c r="X41" s="6" t="s">
        <v>4</v>
      </c>
      <c r="Y41" s="6" t="s">
        <v>2</v>
      </c>
      <c r="Z41" s="6" t="s">
        <v>3</v>
      </c>
      <c r="AA41" s="6" t="s">
        <v>4</v>
      </c>
      <c r="AB41" s="6" t="s">
        <v>4</v>
      </c>
      <c r="AC41" s="6" t="s">
        <v>4</v>
      </c>
      <c r="AD41" s="6" t="s">
        <v>4</v>
      </c>
      <c r="AE41" s="6" t="s">
        <v>4</v>
      </c>
      <c r="AF41" s="6" t="s">
        <v>4</v>
      </c>
      <c r="AG41" s="6" t="s">
        <v>3</v>
      </c>
      <c r="AH41" s="6" t="s">
        <v>4</v>
      </c>
      <c r="AI41" s="6" t="s">
        <v>3</v>
      </c>
      <c r="AJ41" s="6" t="s">
        <v>3</v>
      </c>
      <c r="AK41" s="6" t="s">
        <v>4</v>
      </c>
      <c r="AL41" s="6" t="s">
        <v>3</v>
      </c>
      <c r="AM41" s="6" t="s">
        <v>3</v>
      </c>
      <c r="AZ41"/>
      <c r="BA41" s="31"/>
      <c r="BB41" s="31"/>
      <c r="BC41" s="31"/>
      <c r="BD41" s="31"/>
      <c r="BE41" s="31"/>
      <c r="BF41" s="31"/>
      <c r="BG41" s="31"/>
    </row>
    <row r="42" spans="1:98">
      <c r="A42" s="6">
        <f t="shared" si="1"/>
        <v>41</v>
      </c>
      <c r="B42" s="6" t="s">
        <v>24</v>
      </c>
      <c r="C42" s="6">
        <v>4</v>
      </c>
      <c r="D42" s="6" t="s">
        <v>5</v>
      </c>
      <c r="E42" s="6" t="s">
        <v>3</v>
      </c>
      <c r="F42" s="6" t="s">
        <v>3</v>
      </c>
      <c r="G42" s="6" t="s">
        <v>5</v>
      </c>
      <c r="H42" s="6" t="s">
        <v>5</v>
      </c>
      <c r="I42" s="6" t="s">
        <v>5</v>
      </c>
      <c r="J42" s="6" t="s">
        <v>5</v>
      </c>
      <c r="K42" s="6" t="s">
        <v>2</v>
      </c>
      <c r="L42" s="6" t="s">
        <v>2</v>
      </c>
      <c r="M42" s="6" t="s">
        <v>5</v>
      </c>
      <c r="N42" s="6" t="s">
        <v>3</v>
      </c>
      <c r="O42" s="6" t="s">
        <v>4</v>
      </c>
      <c r="P42" s="6" t="s">
        <v>5</v>
      </c>
      <c r="Q42" s="6" t="s">
        <v>3</v>
      </c>
      <c r="R42" s="6" t="s">
        <v>5</v>
      </c>
      <c r="S42" s="6" t="s">
        <v>5</v>
      </c>
      <c r="T42" s="6" t="s">
        <v>5</v>
      </c>
      <c r="U42" s="6" t="s">
        <v>5</v>
      </c>
      <c r="V42" s="6" t="s">
        <v>5</v>
      </c>
      <c r="W42" s="6" t="s">
        <v>4</v>
      </c>
      <c r="X42" s="6" t="s">
        <v>4</v>
      </c>
      <c r="Y42" s="6" t="s">
        <v>4</v>
      </c>
      <c r="Z42" s="6" t="s">
        <v>3</v>
      </c>
      <c r="AA42" s="6" t="s">
        <v>4</v>
      </c>
      <c r="AB42" s="6" t="s">
        <v>4</v>
      </c>
      <c r="AC42" s="6" t="s">
        <v>4</v>
      </c>
      <c r="AD42" s="6" t="s">
        <v>4</v>
      </c>
      <c r="AE42" s="6" t="s">
        <v>4</v>
      </c>
      <c r="AF42" s="6" t="s">
        <v>4</v>
      </c>
      <c r="AG42" s="6" t="s">
        <v>3</v>
      </c>
      <c r="AH42" s="6" t="s">
        <v>4</v>
      </c>
      <c r="AI42" s="6" t="s">
        <v>3</v>
      </c>
      <c r="AJ42" s="6" t="s">
        <v>4</v>
      </c>
      <c r="AK42" s="6" t="s">
        <v>4</v>
      </c>
      <c r="AL42" s="6" t="s">
        <v>4</v>
      </c>
      <c r="AM42" s="6" t="s">
        <v>3</v>
      </c>
      <c r="AS42" s="7" t="s">
        <v>234</v>
      </c>
      <c r="AT42" s="7">
        <v>1</v>
      </c>
      <c r="AU42" s="7">
        <v>2</v>
      </c>
      <c r="AV42" s="7">
        <v>3</v>
      </c>
      <c r="AW42" s="7">
        <v>4</v>
      </c>
      <c r="AX42" s="7">
        <v>5</v>
      </c>
      <c r="AY42" s="7">
        <v>6</v>
      </c>
      <c r="AZ42"/>
      <c r="BA42" s="31"/>
      <c r="BB42" s="31"/>
      <c r="BC42" s="31"/>
      <c r="BD42" s="31"/>
      <c r="BE42" s="31"/>
      <c r="BF42" s="31"/>
      <c r="BG42" s="31"/>
      <c r="BI42" s="3"/>
    </row>
    <row r="43" spans="1:98">
      <c r="A43" s="6">
        <f t="shared" si="1"/>
        <v>42</v>
      </c>
      <c r="B43" s="6" t="s">
        <v>25</v>
      </c>
      <c r="C43" s="6">
        <v>4</v>
      </c>
      <c r="D43" s="6" t="s">
        <v>5</v>
      </c>
      <c r="E43" s="6" t="s">
        <v>5</v>
      </c>
      <c r="F43" s="6" t="s">
        <v>5</v>
      </c>
      <c r="G43" s="6" t="s">
        <v>5</v>
      </c>
      <c r="H43" s="6" t="s">
        <v>5</v>
      </c>
      <c r="I43" s="6" t="s">
        <v>5</v>
      </c>
      <c r="J43" s="6" t="s">
        <v>5</v>
      </c>
      <c r="K43" s="6" t="s">
        <v>2</v>
      </c>
      <c r="L43" s="6" t="s">
        <v>5</v>
      </c>
      <c r="M43" s="6" t="s">
        <v>5</v>
      </c>
      <c r="N43" s="6" t="s">
        <v>3</v>
      </c>
      <c r="O43" s="6" t="s">
        <v>5</v>
      </c>
      <c r="P43" s="6" t="s">
        <v>5</v>
      </c>
      <c r="Q43" s="6" t="s">
        <v>2</v>
      </c>
      <c r="R43" s="6" t="s">
        <v>2</v>
      </c>
      <c r="S43" s="6" t="s">
        <v>5</v>
      </c>
      <c r="T43" s="6" t="s">
        <v>5</v>
      </c>
      <c r="U43" s="6" t="s">
        <v>5</v>
      </c>
      <c r="V43" s="6" t="s">
        <v>5</v>
      </c>
      <c r="W43" s="6" t="s">
        <v>4</v>
      </c>
      <c r="X43" s="6" t="s">
        <v>3</v>
      </c>
      <c r="Y43" s="6" t="s">
        <v>2</v>
      </c>
      <c r="Z43" s="6" t="s">
        <v>3</v>
      </c>
      <c r="AA43" s="6" t="s">
        <v>4</v>
      </c>
      <c r="AB43" s="6" t="s">
        <v>4</v>
      </c>
      <c r="AC43" s="6" t="s">
        <v>4</v>
      </c>
      <c r="AD43" s="6" t="s">
        <v>4</v>
      </c>
      <c r="AE43" s="6" t="s">
        <v>4</v>
      </c>
      <c r="AF43" s="6" t="s">
        <v>4</v>
      </c>
      <c r="AG43" s="6" t="s">
        <v>3</v>
      </c>
      <c r="AH43" s="6" t="s">
        <v>4</v>
      </c>
      <c r="AI43" s="6" t="s">
        <v>3</v>
      </c>
      <c r="AJ43" s="6" t="s">
        <v>4</v>
      </c>
      <c r="AK43" s="6" t="s">
        <v>4</v>
      </c>
      <c r="AL43" s="6" t="s">
        <v>3</v>
      </c>
      <c r="AM43" s="6" t="s">
        <v>3</v>
      </c>
      <c r="AS43" s="6" t="s">
        <v>73</v>
      </c>
      <c r="AT43" s="6">
        <f>COUNTIFS(F:F,"A",C:C,1)/COUNTIF(C:C,1)</f>
        <v>0.38461538461538464</v>
      </c>
      <c r="AU43" s="6">
        <f>COUNTIFS(F:F,"A",C:C,2)/COUNTIF(C:C,2)</f>
        <v>0.15384615384615385</v>
      </c>
      <c r="AV43" s="6">
        <f>COUNTIFS(F:F,"A",C:C,3)/COUNTIF(C:C,3)</f>
        <v>0.15384615384615385</v>
      </c>
      <c r="AW43" s="6">
        <f>COUNTIFS(F:F,"A",C:C,4)/COUNTIF(C:C,4)</f>
        <v>0.30769230769230771</v>
      </c>
      <c r="AX43" s="6">
        <f>COUNTIFS(F:F,"A",C:C,5)/COUNTIF(C:C,5)</f>
        <v>7.6923076923076927E-2</v>
      </c>
      <c r="AY43" s="6">
        <f>COUNTIFS(F:F,"A",C:C,6)/COUNTIF(C:C,6)</f>
        <v>0.15384615384615385</v>
      </c>
      <c r="AZ43"/>
      <c r="BA43" s="33"/>
      <c r="BB43" s="33"/>
      <c r="BC43" s="33"/>
      <c r="BD43" s="33"/>
      <c r="BE43" s="33"/>
      <c r="BF43" s="33"/>
      <c r="BG43" s="33"/>
    </row>
    <row r="44" spans="1:98">
      <c r="A44" s="6">
        <f t="shared" si="1"/>
        <v>43</v>
      </c>
      <c r="B44" s="6" t="s">
        <v>26</v>
      </c>
      <c r="C44" s="6">
        <v>4</v>
      </c>
      <c r="D44" s="6" t="s">
        <v>3</v>
      </c>
      <c r="E44" s="6" t="s">
        <v>3</v>
      </c>
      <c r="F44" s="6" t="s">
        <v>3</v>
      </c>
      <c r="G44" s="6" t="s">
        <v>5</v>
      </c>
      <c r="H44" s="6" t="s">
        <v>5</v>
      </c>
      <c r="I44" s="6" t="s">
        <v>5</v>
      </c>
      <c r="J44" s="6" t="s">
        <v>5</v>
      </c>
      <c r="K44" s="6" t="s">
        <v>2</v>
      </c>
      <c r="L44" s="6" t="s">
        <v>2</v>
      </c>
      <c r="M44" s="6" t="s">
        <v>4</v>
      </c>
      <c r="N44" s="6" t="s">
        <v>4</v>
      </c>
      <c r="O44" s="6" t="s">
        <v>5</v>
      </c>
      <c r="P44" s="6" t="s">
        <v>5</v>
      </c>
      <c r="Q44" s="6" t="s">
        <v>3</v>
      </c>
      <c r="R44" s="6" t="s">
        <v>2</v>
      </c>
      <c r="S44" s="6" t="s">
        <v>5</v>
      </c>
      <c r="T44" s="6" t="s">
        <v>5</v>
      </c>
      <c r="U44" s="6" t="s">
        <v>5</v>
      </c>
      <c r="V44" s="6" t="s">
        <v>4</v>
      </c>
      <c r="W44" s="6" t="s">
        <v>4</v>
      </c>
      <c r="X44" s="6" t="s">
        <v>3</v>
      </c>
      <c r="Y44" s="6" t="s">
        <v>4</v>
      </c>
      <c r="Z44" s="6" t="s">
        <v>3</v>
      </c>
      <c r="AA44" s="6" t="s">
        <v>4</v>
      </c>
      <c r="AB44" s="6" t="s">
        <v>4</v>
      </c>
      <c r="AC44" s="6" t="s">
        <v>4</v>
      </c>
      <c r="AD44" s="6" t="s">
        <v>4</v>
      </c>
      <c r="AE44" s="6" t="s">
        <v>4</v>
      </c>
      <c r="AF44" s="6" t="s">
        <v>3</v>
      </c>
      <c r="AG44" s="6" t="s">
        <v>3</v>
      </c>
      <c r="AH44" s="6" t="s">
        <v>4</v>
      </c>
      <c r="AI44" s="6" t="s">
        <v>3</v>
      </c>
      <c r="AJ44" s="6" t="s">
        <v>4</v>
      </c>
      <c r="AK44" s="6" t="s">
        <v>4</v>
      </c>
      <c r="AL44" s="6" t="s">
        <v>4</v>
      </c>
      <c r="AM44" s="6" t="s">
        <v>3</v>
      </c>
      <c r="AS44" s="6" t="s">
        <v>74</v>
      </c>
      <c r="AT44" s="6">
        <f>COUNTIFS(F:F,"B",C:C,1)/COUNTIF(C:C,1)</f>
        <v>0.23076923076923078</v>
      </c>
      <c r="AU44" s="6">
        <f>COUNTIFS(F:F,"B",C:C,2)/COUNTIF(C:C,2)</f>
        <v>0.46153846153846156</v>
      </c>
      <c r="AV44" s="6">
        <f>COUNTIFS(F:F,"B",C:C,3)/COUNTIF(C:C,3)</f>
        <v>0.76923076923076927</v>
      </c>
      <c r="AW44" s="6">
        <f>COUNTIFS(F:F,"B",C:C,4)/COUNTIF(C:C,4)</f>
        <v>0.30769230769230771</v>
      </c>
      <c r="AX44" s="6">
        <f>COUNTIFS(F:F,"B",C:C,5)/COUNTIF(C:C,5)</f>
        <v>0.30769230769230771</v>
      </c>
      <c r="AY44" s="6">
        <f>COUNTIFS(F:F,"B",C:C,6)/COUNTIF(C:C,6)</f>
        <v>0.38461538461538464</v>
      </c>
      <c r="AZ44"/>
      <c r="BA44" s="31"/>
      <c r="BB44" s="31"/>
      <c r="BC44" s="31"/>
      <c r="BD44" s="31"/>
      <c r="BE44" s="31"/>
      <c r="BF44" s="31"/>
      <c r="BG44" s="31"/>
      <c r="BH44" s="31"/>
      <c r="BI44" s="3"/>
    </row>
    <row r="45" spans="1:98">
      <c r="A45" s="6">
        <f t="shared" si="1"/>
        <v>44</v>
      </c>
      <c r="B45" s="6" t="s">
        <v>27</v>
      </c>
      <c r="C45" s="6">
        <v>4</v>
      </c>
      <c r="D45" s="6" t="s">
        <v>5</v>
      </c>
      <c r="E45" s="6" t="s">
        <v>3</v>
      </c>
      <c r="F45" s="6" t="s">
        <v>4</v>
      </c>
      <c r="G45" s="6" t="s">
        <v>3</v>
      </c>
      <c r="H45" s="6" t="s">
        <v>5</v>
      </c>
      <c r="I45" s="6" t="s">
        <v>5</v>
      </c>
      <c r="J45" s="6" t="s">
        <v>5</v>
      </c>
      <c r="K45" s="6" t="s">
        <v>2</v>
      </c>
      <c r="L45" s="6" t="s">
        <v>3</v>
      </c>
      <c r="M45" s="6" t="s">
        <v>3</v>
      </c>
      <c r="N45" s="6" t="s">
        <v>4</v>
      </c>
      <c r="O45" s="6" t="s">
        <v>5</v>
      </c>
      <c r="P45" s="6" t="s">
        <v>4</v>
      </c>
      <c r="Q45" s="6" t="s">
        <v>2</v>
      </c>
      <c r="R45" s="6" t="s">
        <v>5</v>
      </c>
      <c r="S45" s="6" t="s">
        <v>5</v>
      </c>
      <c r="T45" s="6" t="s">
        <v>5</v>
      </c>
      <c r="U45" s="6" t="s">
        <v>5</v>
      </c>
      <c r="V45" s="6" t="s">
        <v>4</v>
      </c>
      <c r="W45" s="6" t="s">
        <v>4</v>
      </c>
      <c r="X45" s="6" t="s">
        <v>4</v>
      </c>
      <c r="Y45" s="6" t="s">
        <v>2</v>
      </c>
      <c r="Z45" s="6" t="s">
        <v>3</v>
      </c>
      <c r="AA45" s="6" t="s">
        <v>4</v>
      </c>
      <c r="AB45" s="6" t="s">
        <v>4</v>
      </c>
      <c r="AC45" s="6" t="s">
        <v>4</v>
      </c>
      <c r="AD45" s="6" t="s">
        <v>4</v>
      </c>
      <c r="AE45" s="6" t="s">
        <v>4</v>
      </c>
      <c r="AF45" s="6" t="s">
        <v>4</v>
      </c>
      <c r="AG45" s="6" t="s">
        <v>4</v>
      </c>
      <c r="AH45" s="6" t="s">
        <v>4</v>
      </c>
      <c r="AI45" s="6" t="s">
        <v>3</v>
      </c>
      <c r="AJ45" s="6" t="s">
        <v>4</v>
      </c>
      <c r="AK45" s="6" t="s">
        <v>4</v>
      </c>
      <c r="AL45" s="6" t="s">
        <v>4</v>
      </c>
      <c r="AM45" s="6" t="s">
        <v>3</v>
      </c>
      <c r="AS45" s="6" t="s">
        <v>75</v>
      </c>
      <c r="AT45" s="6">
        <f>COUNTIFS(F:F,"C",C:C,1)/COUNTIF(C:C,1)</f>
        <v>0.38461538461538464</v>
      </c>
      <c r="AU45" s="6">
        <f>COUNTIFS(F:F,"C",C:C,2)/COUNTIF(C:C,2)</f>
        <v>0.30769230769230771</v>
      </c>
      <c r="AV45" s="6">
        <f>COUNTIFS(F:F,"C",C:C,3)/COUNTIF(C:C,3)</f>
        <v>0</v>
      </c>
      <c r="AW45" s="6">
        <f>COUNTIFS(F:F,"C",C:C,4)/COUNTIF(C:C,4)</f>
        <v>0.23076923076923078</v>
      </c>
      <c r="AX45" s="6">
        <f>COUNTIFS(F:F,"C",C:C,5)/COUNTIF(C:C,5)</f>
        <v>0.46153846153846156</v>
      </c>
      <c r="AY45" s="6">
        <f>COUNTIFS(F:F,"C",C:C,6)/COUNTIF(C:C,6)</f>
        <v>0.15384615384615385</v>
      </c>
      <c r="AZ45"/>
      <c r="BA45" s="31"/>
      <c r="BB45" s="31"/>
      <c r="BC45" s="31"/>
      <c r="BD45" s="31"/>
      <c r="BE45" s="31"/>
      <c r="BF45" s="31"/>
      <c r="BG45" s="31"/>
    </row>
    <row r="46" spans="1:98">
      <c r="A46" s="6">
        <f t="shared" si="1"/>
        <v>45</v>
      </c>
      <c r="B46" s="6" t="s">
        <v>28</v>
      </c>
      <c r="C46" s="6">
        <v>4</v>
      </c>
      <c r="D46" s="6" t="s">
        <v>5</v>
      </c>
      <c r="E46" s="6" t="s">
        <v>3</v>
      </c>
      <c r="F46" s="6" t="s">
        <v>2</v>
      </c>
      <c r="G46" s="6" t="s">
        <v>5</v>
      </c>
      <c r="H46" s="6" t="s">
        <v>5</v>
      </c>
      <c r="I46" s="6" t="s">
        <v>5</v>
      </c>
      <c r="J46" s="6" t="s">
        <v>2</v>
      </c>
      <c r="K46" s="6" t="s">
        <v>2</v>
      </c>
      <c r="L46" s="6" t="s">
        <v>3</v>
      </c>
      <c r="M46" s="6" t="s">
        <v>3</v>
      </c>
      <c r="N46" s="6" t="s">
        <v>3</v>
      </c>
      <c r="O46" s="6" t="s">
        <v>3</v>
      </c>
      <c r="P46" s="6" t="s">
        <v>2</v>
      </c>
      <c r="Q46" s="6" t="s">
        <v>2</v>
      </c>
      <c r="R46" s="6" t="s">
        <v>2</v>
      </c>
      <c r="S46" s="6" t="s">
        <v>5</v>
      </c>
      <c r="T46" s="6" t="s">
        <v>2</v>
      </c>
      <c r="U46" s="6" t="s">
        <v>2</v>
      </c>
      <c r="V46" s="6" t="s">
        <v>5</v>
      </c>
      <c r="W46" s="6" t="s">
        <v>3</v>
      </c>
      <c r="X46" s="6" t="s">
        <v>2</v>
      </c>
      <c r="Y46" s="6" t="s">
        <v>2</v>
      </c>
      <c r="Z46" s="6" t="s">
        <v>3</v>
      </c>
      <c r="AA46" s="6" t="s">
        <v>4</v>
      </c>
      <c r="AB46" s="6" t="s">
        <v>4</v>
      </c>
      <c r="AC46" s="6" t="s">
        <v>4</v>
      </c>
      <c r="AD46" s="6" t="s">
        <v>4</v>
      </c>
      <c r="AE46" s="6" t="s">
        <v>4</v>
      </c>
      <c r="AF46" s="6" t="s">
        <v>4</v>
      </c>
      <c r="AG46" s="6" t="s">
        <v>3</v>
      </c>
      <c r="AH46" s="6" t="s">
        <v>4</v>
      </c>
      <c r="AI46" s="6" t="s">
        <v>3</v>
      </c>
      <c r="AJ46" s="6" t="s">
        <v>4</v>
      </c>
      <c r="AK46" s="6" t="s">
        <v>4</v>
      </c>
      <c r="AL46" s="6" t="s">
        <v>4</v>
      </c>
      <c r="AM46" s="6" t="s">
        <v>3</v>
      </c>
      <c r="AS46" s="6" t="s">
        <v>76</v>
      </c>
      <c r="AT46" s="6">
        <f>COUNTIFS(F:F,"D",C:C,1)/COUNTIF(C:C,1)</f>
        <v>0</v>
      </c>
      <c r="AU46" s="6">
        <f>COUNTIFS(F:F,"D",C:C,2)/COUNTIF(C:C,2)</f>
        <v>7.6923076923076927E-2</v>
      </c>
      <c r="AV46" s="6">
        <f>COUNTIFS(F:F,"D",C:C,3)/COUNTIF(C:C,3)</f>
        <v>7.6923076923076927E-2</v>
      </c>
      <c r="AW46" s="6">
        <f>COUNTIFS(F:F,"D",C:C,4)/COUNTIF(C:C,4)</f>
        <v>0.15384615384615385</v>
      </c>
      <c r="AX46" s="6">
        <f>COUNTIFS(F:F,"D",C:C,5)/COUNTIF(C:C,5)</f>
        <v>0.15384615384615385</v>
      </c>
      <c r="AY46" s="6">
        <f>COUNTIFS(F:F,"D",C:C,6)/COUNTIF(C:C,6)</f>
        <v>0.30769230769230771</v>
      </c>
      <c r="AZ46"/>
      <c r="BA46" s="31"/>
      <c r="BB46" s="31"/>
      <c r="BC46" s="31"/>
      <c r="BD46" s="31"/>
      <c r="BE46" s="31"/>
      <c r="BF46" s="31"/>
      <c r="BG46" s="31"/>
      <c r="BI46" s="3"/>
    </row>
    <row r="47" spans="1:98">
      <c r="A47" s="6">
        <f t="shared" si="1"/>
        <v>46</v>
      </c>
      <c r="B47" s="6" t="s">
        <v>267</v>
      </c>
      <c r="C47" s="6">
        <v>4</v>
      </c>
      <c r="D47" s="6" t="s">
        <v>5</v>
      </c>
      <c r="E47" s="6" t="s">
        <v>3</v>
      </c>
      <c r="F47" s="6" t="s">
        <v>3</v>
      </c>
      <c r="G47" s="6" t="s">
        <v>2</v>
      </c>
      <c r="H47" s="6" t="s">
        <v>5</v>
      </c>
      <c r="I47" s="6" t="s">
        <v>5</v>
      </c>
      <c r="J47" s="6" t="s">
        <v>5</v>
      </c>
      <c r="K47" s="6" t="s">
        <v>2</v>
      </c>
      <c r="L47" s="6" t="s">
        <v>2</v>
      </c>
      <c r="M47" s="6" t="s">
        <v>2</v>
      </c>
      <c r="N47" s="6" t="s">
        <v>3</v>
      </c>
      <c r="O47" s="6" t="s">
        <v>5</v>
      </c>
      <c r="P47" s="6" t="s">
        <v>5</v>
      </c>
      <c r="Q47" s="6" t="s">
        <v>2</v>
      </c>
      <c r="R47" s="6" t="s">
        <v>2</v>
      </c>
      <c r="S47" s="6" t="s">
        <v>5</v>
      </c>
      <c r="T47" s="6" t="s">
        <v>5</v>
      </c>
      <c r="U47" s="6" t="s">
        <v>5</v>
      </c>
      <c r="V47" s="6" t="s">
        <v>5</v>
      </c>
      <c r="W47" s="6" t="s">
        <v>3</v>
      </c>
      <c r="X47" s="6" t="s">
        <v>3</v>
      </c>
      <c r="Y47" s="6" t="s">
        <v>2</v>
      </c>
      <c r="Z47" s="6" t="s">
        <v>3</v>
      </c>
      <c r="AA47" s="6" t="s">
        <v>4</v>
      </c>
      <c r="AB47" s="6" t="s">
        <v>4</v>
      </c>
      <c r="AC47" s="6" t="s">
        <v>4</v>
      </c>
      <c r="AD47" s="6" t="s">
        <v>4</v>
      </c>
      <c r="AE47" s="6" t="s">
        <v>4</v>
      </c>
      <c r="AF47" s="6" t="s">
        <v>3</v>
      </c>
      <c r="AG47" s="6" t="s">
        <v>3</v>
      </c>
      <c r="AH47" s="6" t="s">
        <v>4</v>
      </c>
      <c r="AI47" s="6" t="s">
        <v>3</v>
      </c>
      <c r="AJ47" s="6" t="s">
        <v>4</v>
      </c>
      <c r="AK47" s="6" t="s">
        <v>4</v>
      </c>
      <c r="AL47" s="6" t="s">
        <v>3</v>
      </c>
      <c r="AM47" s="6" t="s">
        <v>3</v>
      </c>
      <c r="AZ47"/>
      <c r="BA47" s="31"/>
      <c r="BB47" s="31"/>
      <c r="BC47" s="31"/>
      <c r="BD47" s="31"/>
      <c r="BE47" s="31"/>
      <c r="BF47" s="31"/>
      <c r="BG47" s="31"/>
    </row>
    <row r="48" spans="1:98">
      <c r="A48" s="6">
        <f t="shared" si="1"/>
        <v>47</v>
      </c>
      <c r="B48" s="6" t="s">
        <v>268</v>
      </c>
      <c r="C48" s="6">
        <v>4</v>
      </c>
      <c r="D48" s="6" t="s">
        <v>2</v>
      </c>
      <c r="E48" s="6" t="s">
        <v>3</v>
      </c>
      <c r="F48" s="6" t="s">
        <v>3</v>
      </c>
      <c r="G48" s="6" t="s">
        <v>5</v>
      </c>
      <c r="H48" s="6" t="s">
        <v>5</v>
      </c>
      <c r="I48" s="6" t="s">
        <v>5</v>
      </c>
      <c r="J48" s="6" t="s">
        <v>5</v>
      </c>
      <c r="K48" s="6" t="s">
        <v>2</v>
      </c>
      <c r="L48" s="6" t="s">
        <v>2</v>
      </c>
      <c r="M48" s="6" t="s">
        <v>4</v>
      </c>
      <c r="N48" s="6" t="s">
        <v>4</v>
      </c>
      <c r="O48" s="6" t="s">
        <v>4</v>
      </c>
      <c r="P48" s="6" t="s">
        <v>5</v>
      </c>
      <c r="Q48" s="6" t="s">
        <v>3</v>
      </c>
      <c r="R48" s="6" t="s">
        <v>4</v>
      </c>
      <c r="S48" s="6" t="s">
        <v>5</v>
      </c>
      <c r="T48" s="6" t="s">
        <v>5</v>
      </c>
      <c r="U48" s="6" t="s">
        <v>5</v>
      </c>
      <c r="V48" s="6" t="s">
        <v>4</v>
      </c>
      <c r="W48" s="6" t="s">
        <v>4</v>
      </c>
      <c r="X48" s="6" t="s">
        <v>3</v>
      </c>
      <c r="Y48" s="6" t="s">
        <v>2</v>
      </c>
      <c r="Z48" s="6" t="s">
        <v>3</v>
      </c>
      <c r="AA48" s="6" t="s">
        <v>4</v>
      </c>
      <c r="AB48" s="6" t="s">
        <v>4</v>
      </c>
      <c r="AC48" s="6" t="s">
        <v>4</v>
      </c>
      <c r="AD48" s="6" t="s">
        <v>3</v>
      </c>
      <c r="AE48" s="6" t="s">
        <v>4</v>
      </c>
      <c r="AF48" s="6" t="s">
        <v>4</v>
      </c>
      <c r="AG48" s="6" t="s">
        <v>3</v>
      </c>
      <c r="AH48" s="6" t="s">
        <v>4</v>
      </c>
      <c r="AI48" s="6" t="s">
        <v>3</v>
      </c>
      <c r="AJ48" s="6" t="s">
        <v>3</v>
      </c>
      <c r="AK48" s="6" t="s">
        <v>4</v>
      </c>
      <c r="AL48" s="6" t="s">
        <v>4</v>
      </c>
      <c r="AM48" s="6" t="s">
        <v>3</v>
      </c>
      <c r="AS48" s="7" t="s">
        <v>235</v>
      </c>
      <c r="AT48" s="7">
        <v>1</v>
      </c>
      <c r="AU48" s="7">
        <v>2</v>
      </c>
      <c r="AV48" s="7">
        <v>3</v>
      </c>
      <c r="AW48" s="7">
        <v>4</v>
      </c>
      <c r="AX48" s="7">
        <v>5</v>
      </c>
      <c r="AY48" s="7">
        <v>6</v>
      </c>
      <c r="AZ48"/>
      <c r="BA48" s="31"/>
      <c r="BB48" s="31"/>
      <c r="BC48" s="31"/>
      <c r="BD48" s="31"/>
      <c r="BE48" s="31"/>
      <c r="BF48" s="31"/>
      <c r="BG48" s="31"/>
    </row>
    <row r="49" spans="1:98">
      <c r="A49" s="6">
        <f t="shared" si="1"/>
        <v>48</v>
      </c>
      <c r="B49" s="6" t="s">
        <v>269</v>
      </c>
      <c r="C49" s="6">
        <v>4</v>
      </c>
      <c r="D49" s="6" t="s">
        <v>3</v>
      </c>
      <c r="E49" s="6" t="s">
        <v>3</v>
      </c>
      <c r="F49" s="6" t="s">
        <v>4</v>
      </c>
      <c r="G49" s="6" t="s">
        <v>2</v>
      </c>
      <c r="H49" s="6" t="s">
        <v>5</v>
      </c>
      <c r="I49" s="6" t="s">
        <v>5</v>
      </c>
      <c r="J49" s="6" t="s">
        <v>5</v>
      </c>
      <c r="K49" s="6" t="s">
        <v>2</v>
      </c>
      <c r="L49" s="6" t="s">
        <v>2</v>
      </c>
      <c r="M49" s="6" t="s">
        <v>2</v>
      </c>
      <c r="N49" s="6" t="s">
        <v>5</v>
      </c>
      <c r="O49" s="6" t="s">
        <v>2</v>
      </c>
      <c r="P49" s="6" t="s">
        <v>5</v>
      </c>
      <c r="Q49" s="6" t="s">
        <v>3</v>
      </c>
      <c r="R49" s="6" t="s">
        <v>3</v>
      </c>
      <c r="S49" s="6" t="s">
        <v>5</v>
      </c>
      <c r="T49" s="6" t="s">
        <v>5</v>
      </c>
      <c r="U49" s="6" t="s">
        <v>5</v>
      </c>
      <c r="V49" s="6" t="s">
        <v>5</v>
      </c>
      <c r="W49" s="6" t="s">
        <v>4</v>
      </c>
      <c r="X49" s="6" t="s">
        <v>4</v>
      </c>
      <c r="Y49" s="6" t="s">
        <v>2</v>
      </c>
      <c r="Z49" s="6" t="s">
        <v>3</v>
      </c>
      <c r="AA49" s="6" t="s">
        <v>4</v>
      </c>
      <c r="AB49" s="6" t="s">
        <v>4</v>
      </c>
      <c r="AC49" s="6" t="s">
        <v>4</v>
      </c>
      <c r="AD49" s="6" t="s">
        <v>3</v>
      </c>
      <c r="AE49" s="6" t="s">
        <v>4</v>
      </c>
      <c r="AF49" s="6" t="s">
        <v>4</v>
      </c>
      <c r="AG49" s="6" t="s">
        <v>3</v>
      </c>
      <c r="AH49" s="6" t="s">
        <v>4</v>
      </c>
      <c r="AI49" s="6" t="s">
        <v>3</v>
      </c>
      <c r="AJ49" s="6" t="s">
        <v>3</v>
      </c>
      <c r="AK49" s="6" t="s">
        <v>4</v>
      </c>
      <c r="AL49" s="6" t="s">
        <v>3</v>
      </c>
      <c r="AM49" s="6" t="s">
        <v>3</v>
      </c>
      <c r="AS49" s="6" t="s">
        <v>77</v>
      </c>
      <c r="AT49" s="6">
        <f>COUNTIFS(G:G,"A",C:C,1)/COUNTIF(C:C,1)</f>
        <v>0</v>
      </c>
      <c r="AU49" s="6">
        <f>COUNTIFS(G:G,"A",C:C,2)/COUNTIF(C:C,2)</f>
        <v>0</v>
      </c>
      <c r="AV49" s="6">
        <f>COUNTIFS(G:G,"A",C:C,3)/COUNTIF(C:C,3)</f>
        <v>0</v>
      </c>
      <c r="AW49" s="6">
        <f>COUNTIFS(G:G,"A",C:C,4)/COUNTIF(C:C,4)</f>
        <v>0</v>
      </c>
      <c r="AX49" s="6">
        <f>COUNTIFS(G:G,"A",C:C,5)/COUNTIF(C:C,5)</f>
        <v>0</v>
      </c>
      <c r="AY49" s="6">
        <f>COUNTIFS(G:G,"A",C:C,6)/COUNTIF(C:C,6)</f>
        <v>0</v>
      </c>
      <c r="AZ49"/>
      <c r="BA49" s="31"/>
      <c r="BB49" s="31"/>
      <c r="BC49" s="31"/>
      <c r="BD49" s="31"/>
      <c r="BE49" s="31"/>
      <c r="BF49" s="31"/>
      <c r="BG49" s="31"/>
      <c r="BI49" s="75"/>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row>
    <row r="50" spans="1:98">
      <c r="A50" s="6">
        <f t="shared" si="1"/>
        <v>49</v>
      </c>
      <c r="B50" s="6" t="s">
        <v>270</v>
      </c>
      <c r="C50" s="6">
        <v>4</v>
      </c>
      <c r="D50" s="6" t="s">
        <v>5</v>
      </c>
      <c r="E50" s="6" t="s">
        <v>3</v>
      </c>
      <c r="F50" s="6" t="s">
        <v>2</v>
      </c>
      <c r="G50" s="6" t="s">
        <v>5</v>
      </c>
      <c r="H50" s="6" t="s">
        <v>5</v>
      </c>
      <c r="I50" s="6" t="s">
        <v>5</v>
      </c>
      <c r="J50" s="6" t="s">
        <v>5</v>
      </c>
      <c r="K50" s="6" t="s">
        <v>2</v>
      </c>
      <c r="L50" s="6" t="s">
        <v>2</v>
      </c>
      <c r="M50" s="6" t="s">
        <v>2</v>
      </c>
      <c r="N50" s="6" t="s">
        <v>3</v>
      </c>
      <c r="O50" s="6" t="s">
        <v>5</v>
      </c>
      <c r="P50" s="6" t="s">
        <v>5</v>
      </c>
      <c r="Q50" s="6" t="s">
        <v>2</v>
      </c>
      <c r="R50" s="6" t="s">
        <v>2</v>
      </c>
      <c r="S50" s="6" t="s">
        <v>5</v>
      </c>
      <c r="T50" s="6" t="s">
        <v>5</v>
      </c>
      <c r="U50" s="6" t="s">
        <v>5</v>
      </c>
      <c r="V50" s="6" t="s">
        <v>5</v>
      </c>
      <c r="W50" s="6" t="s">
        <v>3</v>
      </c>
      <c r="X50" s="6" t="s">
        <v>3</v>
      </c>
      <c r="Y50" s="6" t="s">
        <v>2</v>
      </c>
      <c r="Z50" s="6" t="s">
        <v>3</v>
      </c>
      <c r="AA50" s="6" t="s">
        <v>4</v>
      </c>
      <c r="AB50" s="6" t="s">
        <v>4</v>
      </c>
      <c r="AC50" s="6" t="s">
        <v>4</v>
      </c>
      <c r="AD50" s="6" t="s">
        <v>4</v>
      </c>
      <c r="AE50" s="6" t="s">
        <v>4</v>
      </c>
      <c r="AF50" s="6" t="s">
        <v>3</v>
      </c>
      <c r="AG50" s="6" t="s">
        <v>3</v>
      </c>
      <c r="AH50" s="6" t="s">
        <v>4</v>
      </c>
      <c r="AI50" s="6" t="s">
        <v>3</v>
      </c>
      <c r="AJ50" s="6" t="s">
        <v>3</v>
      </c>
      <c r="AK50" s="6" t="s">
        <v>4</v>
      </c>
      <c r="AL50" s="6" t="s">
        <v>3</v>
      </c>
      <c r="AM50" s="6" t="s">
        <v>3</v>
      </c>
      <c r="AS50" s="6" t="s">
        <v>78</v>
      </c>
      <c r="AT50" s="6">
        <f>COUNTIFS(G:G,"B",C:C,1)/COUNTIF(C:C,1)</f>
        <v>0.38461538461538464</v>
      </c>
      <c r="AU50" s="6">
        <f>COUNTIFS(G:G,"B",C:C,2)/COUNTIF(C:C,2)</f>
        <v>0.15384615384615385</v>
      </c>
      <c r="AV50" s="6">
        <f>COUNTIFS(G:G,"B",C:C,3)/COUNTIF(C:C,3)</f>
        <v>7.6923076923076927E-2</v>
      </c>
      <c r="AW50" s="6">
        <f>COUNTIFS(G:G,"B",C:C,4)/COUNTIF(C:C,4)</f>
        <v>0.15384615384615385</v>
      </c>
      <c r="AX50" s="6">
        <f>COUNTIFS(G:G,"B",C:C,5)/COUNTIF(C:C,5)</f>
        <v>0</v>
      </c>
      <c r="AY50" s="6">
        <f>COUNTIFS(G:G,"B",C:C,6)/COUNTIF(C:C,6)</f>
        <v>0</v>
      </c>
      <c r="AZ50"/>
      <c r="BA50" s="31"/>
      <c r="BB50" s="31"/>
      <c r="BC50" s="31"/>
      <c r="BD50" s="31"/>
      <c r="BE50" s="31"/>
      <c r="BF50" s="31"/>
      <c r="BG50" s="31"/>
      <c r="BI50" s="75"/>
    </row>
    <row r="51" spans="1:98">
      <c r="A51" s="6">
        <f t="shared" si="1"/>
        <v>50</v>
      </c>
      <c r="B51" s="6" t="s">
        <v>469</v>
      </c>
      <c r="C51" s="6">
        <v>4</v>
      </c>
      <c r="D51" s="6" t="s">
        <v>5</v>
      </c>
      <c r="E51" s="6" t="s">
        <v>5</v>
      </c>
      <c r="F51" s="6" t="s">
        <v>2</v>
      </c>
      <c r="G51" s="6" t="s">
        <v>3</v>
      </c>
      <c r="H51" s="6" t="s">
        <v>5</v>
      </c>
      <c r="I51" s="6" t="s">
        <v>5</v>
      </c>
      <c r="J51" s="6" t="s">
        <v>5</v>
      </c>
      <c r="K51" s="6" t="s">
        <v>2</v>
      </c>
      <c r="L51" s="6" t="s">
        <v>3</v>
      </c>
      <c r="M51" s="6" t="s">
        <v>3</v>
      </c>
      <c r="N51" s="6" t="s">
        <v>5</v>
      </c>
      <c r="O51" s="6" t="s">
        <v>2</v>
      </c>
      <c r="P51" s="6" t="s">
        <v>5</v>
      </c>
      <c r="Q51" s="6" t="s">
        <v>3</v>
      </c>
      <c r="R51" s="6" t="s">
        <v>2</v>
      </c>
      <c r="S51" s="6" t="s">
        <v>5</v>
      </c>
      <c r="T51" s="6" t="s">
        <v>5</v>
      </c>
      <c r="U51" s="6" t="s">
        <v>5</v>
      </c>
      <c r="V51" s="6" t="s">
        <v>5</v>
      </c>
      <c r="W51" s="6" t="s">
        <v>3</v>
      </c>
      <c r="X51" s="6" t="s">
        <v>4</v>
      </c>
      <c r="Y51" s="6" t="s">
        <v>4</v>
      </c>
      <c r="Z51" s="6" t="s">
        <v>3</v>
      </c>
      <c r="AA51" s="6" t="s">
        <v>4</v>
      </c>
      <c r="AB51" s="6" t="s">
        <v>4</v>
      </c>
      <c r="AC51" s="6" t="s">
        <v>4</v>
      </c>
      <c r="AD51" s="6" t="s">
        <v>4</v>
      </c>
      <c r="AE51" s="6" t="s">
        <v>4</v>
      </c>
      <c r="AF51" s="6" t="s">
        <v>4</v>
      </c>
      <c r="AG51" s="6" t="s">
        <v>3</v>
      </c>
      <c r="AH51" s="6" t="s">
        <v>4</v>
      </c>
      <c r="AI51" s="6" t="s">
        <v>3</v>
      </c>
      <c r="AJ51" s="6" t="s">
        <v>4</v>
      </c>
      <c r="AK51" s="6" t="s">
        <v>4</v>
      </c>
      <c r="AL51" s="6" t="s">
        <v>3</v>
      </c>
      <c r="AM51" s="6" t="s">
        <v>3</v>
      </c>
      <c r="AS51" s="6" t="s">
        <v>79</v>
      </c>
      <c r="AT51" s="6">
        <f>COUNTIFS(G:G,"C",C:C,1)/COUNTIF(C:C,1)</f>
        <v>7.6923076923076927E-2</v>
      </c>
      <c r="AU51" s="6">
        <f>COUNTIFS(G:G,"C",C:C,2)/COUNTIF(C:C,2)</f>
        <v>0.30769230769230771</v>
      </c>
      <c r="AV51" s="6">
        <f>COUNTIFS(G:G,"C",C:C,3)/COUNTIF(C:C,3)</f>
        <v>0.23076923076923078</v>
      </c>
      <c r="AW51" s="6">
        <f>COUNTIFS(G:G,"C",C:C,4)/COUNTIF(C:C,4)</f>
        <v>0.23076923076923078</v>
      </c>
      <c r="AX51" s="6">
        <f>COUNTIFS(G:G,"C",C:C,5)/COUNTIF(C:C,5)</f>
        <v>0</v>
      </c>
      <c r="AY51" s="6">
        <f>COUNTIFS(G:G,"C",C:C,6)/COUNTIF(C:C,6)</f>
        <v>7.6923076923076927E-2</v>
      </c>
      <c r="AZ51"/>
      <c r="BA51" s="33"/>
      <c r="BB51" s="33"/>
      <c r="BC51" s="33"/>
      <c r="BD51" s="34"/>
      <c r="BE51" s="33"/>
      <c r="BF51" s="33"/>
      <c r="BG51" s="33"/>
    </row>
    <row r="52" spans="1:98">
      <c r="A52" s="6">
        <f t="shared" si="1"/>
        <v>51</v>
      </c>
      <c r="B52" s="6" t="s">
        <v>470</v>
      </c>
      <c r="C52" s="6">
        <v>4</v>
      </c>
      <c r="D52" s="6" t="s">
        <v>5</v>
      </c>
      <c r="E52" s="6" t="s">
        <v>5</v>
      </c>
      <c r="F52" s="6" t="s">
        <v>5</v>
      </c>
      <c r="G52" s="6" t="s">
        <v>5</v>
      </c>
      <c r="H52" s="6" t="s">
        <v>5</v>
      </c>
      <c r="I52" s="6" t="s">
        <v>5</v>
      </c>
      <c r="J52" s="6" t="s">
        <v>5</v>
      </c>
      <c r="K52" s="6" t="s">
        <v>2</v>
      </c>
      <c r="L52" s="6" t="s">
        <v>2</v>
      </c>
      <c r="M52" s="6" t="s">
        <v>2</v>
      </c>
      <c r="N52" s="6" t="s">
        <v>3</v>
      </c>
      <c r="O52" s="6" t="s">
        <v>3</v>
      </c>
      <c r="P52" s="6" t="s">
        <v>5</v>
      </c>
      <c r="Q52" s="6" t="s">
        <v>3</v>
      </c>
      <c r="R52" s="6" t="s">
        <v>3</v>
      </c>
      <c r="S52" s="6" t="s">
        <v>5</v>
      </c>
      <c r="T52" s="6" t="s">
        <v>5</v>
      </c>
      <c r="U52" s="6" t="s">
        <v>5</v>
      </c>
      <c r="V52" s="6" t="s">
        <v>5</v>
      </c>
      <c r="W52" s="6" t="s">
        <v>4</v>
      </c>
      <c r="X52" s="6" t="s">
        <v>4</v>
      </c>
      <c r="Y52" s="6" t="s">
        <v>2</v>
      </c>
      <c r="Z52" s="6" t="s">
        <v>3</v>
      </c>
      <c r="AA52" s="6" t="s">
        <v>3</v>
      </c>
      <c r="AB52" s="6" t="s">
        <v>3</v>
      </c>
      <c r="AC52" s="6" t="s">
        <v>4</v>
      </c>
      <c r="AD52" s="6" t="s">
        <v>4</v>
      </c>
      <c r="AE52" s="6" t="s">
        <v>4</v>
      </c>
      <c r="AF52" s="6" t="s">
        <v>4</v>
      </c>
      <c r="AG52" s="6" t="s">
        <v>3</v>
      </c>
      <c r="AH52" s="6" t="s">
        <v>4</v>
      </c>
      <c r="AI52" s="6" t="s">
        <v>3</v>
      </c>
      <c r="AJ52" s="6" t="s">
        <v>3</v>
      </c>
      <c r="AK52" s="6" t="s">
        <v>4</v>
      </c>
      <c r="AL52" s="6" t="s">
        <v>4</v>
      </c>
      <c r="AM52" s="6" t="s">
        <v>3</v>
      </c>
      <c r="AS52" s="6" t="s">
        <v>80</v>
      </c>
      <c r="AT52" s="6">
        <f>COUNTIFS(G:G,"D",C:C,1)/COUNTIF(C:C,1)</f>
        <v>0.53846153846153844</v>
      </c>
      <c r="AU52" s="6">
        <f>COUNTIFS(G:G,"D",C:C,2)/COUNTIF(C:C,2)</f>
        <v>0.53846153846153844</v>
      </c>
      <c r="AV52" s="6">
        <f>COUNTIFS(G:G,"D",C:C,3)/COUNTIF(C:C,3)</f>
        <v>0.69230769230769229</v>
      </c>
      <c r="AW52" s="6">
        <f>COUNTIFS(G:G,"D",C:C,4)/COUNTIF(C:C,4)</f>
        <v>0.61538461538461542</v>
      </c>
      <c r="AX52" s="6">
        <f>COUNTIFS(G:G,"D",C:C,5)/COUNTIF(C:C,5)</f>
        <v>1</v>
      </c>
      <c r="AY52" s="6">
        <f>COUNTIFS(G:G,"D",C:C,6)/COUNTIF(C:C,6)</f>
        <v>0.92307692307692313</v>
      </c>
      <c r="AZ52"/>
      <c r="BA52" s="31"/>
      <c r="BB52" s="31"/>
      <c r="BC52" s="31"/>
      <c r="BD52" s="31"/>
      <c r="BE52" s="31"/>
      <c r="BF52" s="31"/>
      <c r="BG52" s="31"/>
      <c r="BI52" s="3"/>
    </row>
    <row r="53" spans="1:98">
      <c r="A53" s="6">
        <f t="shared" si="1"/>
        <v>52</v>
      </c>
      <c r="B53" s="6" t="s">
        <v>487</v>
      </c>
      <c r="C53" s="6">
        <v>4</v>
      </c>
      <c r="D53" s="6" t="s">
        <v>5</v>
      </c>
      <c r="E53" s="6" t="s">
        <v>5</v>
      </c>
      <c r="F53" s="6" t="s">
        <v>4</v>
      </c>
      <c r="G53" s="6" t="s">
        <v>5</v>
      </c>
      <c r="H53" s="6" t="s">
        <v>5</v>
      </c>
      <c r="I53" s="6" t="s">
        <v>5</v>
      </c>
      <c r="J53" s="6" t="s">
        <v>5</v>
      </c>
      <c r="K53" s="6" t="s">
        <v>2</v>
      </c>
      <c r="L53" s="6" t="s">
        <v>2</v>
      </c>
      <c r="M53" s="6" t="s">
        <v>4</v>
      </c>
      <c r="N53" s="6" t="s">
        <v>4</v>
      </c>
      <c r="O53" s="6" t="s">
        <v>4</v>
      </c>
      <c r="P53" s="6" t="s">
        <v>5</v>
      </c>
      <c r="Q53" s="6" t="s">
        <v>4</v>
      </c>
      <c r="R53" s="6" t="s">
        <v>5</v>
      </c>
      <c r="S53" s="6" t="s">
        <v>5</v>
      </c>
      <c r="T53" s="6" t="s">
        <v>3</v>
      </c>
      <c r="U53" s="6" t="s">
        <v>5</v>
      </c>
      <c r="V53" s="6" t="s">
        <v>3</v>
      </c>
      <c r="W53" s="6" t="s">
        <v>4</v>
      </c>
      <c r="X53" s="6" t="s">
        <v>4</v>
      </c>
      <c r="Y53" s="6" t="s">
        <v>2</v>
      </c>
      <c r="Z53" s="6" t="s">
        <v>3</v>
      </c>
      <c r="AA53" s="6" t="s">
        <v>4</v>
      </c>
      <c r="AB53" s="6" t="s">
        <v>4</v>
      </c>
      <c r="AC53" s="6" t="s">
        <v>4</v>
      </c>
      <c r="AD53" s="6" t="s">
        <v>4</v>
      </c>
      <c r="AE53" s="6" t="s">
        <v>4</v>
      </c>
      <c r="AF53" s="6" t="s">
        <v>3</v>
      </c>
      <c r="AG53" s="6" t="s">
        <v>3</v>
      </c>
      <c r="AH53" s="6" t="s">
        <v>4</v>
      </c>
      <c r="AI53" s="6" t="s">
        <v>3</v>
      </c>
      <c r="AJ53" s="6" t="s">
        <v>4</v>
      </c>
      <c r="AK53" s="6" t="s">
        <v>4</v>
      </c>
      <c r="AL53" s="6" t="s">
        <v>4</v>
      </c>
      <c r="AM53" s="6" t="s">
        <v>3</v>
      </c>
      <c r="AZ53"/>
      <c r="BA53" s="31"/>
      <c r="BB53" s="31"/>
      <c r="BC53" s="31"/>
      <c r="BD53" s="31"/>
      <c r="BE53" s="31"/>
      <c r="BF53" s="31"/>
      <c r="BG53" s="31"/>
    </row>
    <row r="54" spans="1:98">
      <c r="A54" s="6">
        <f t="shared" si="1"/>
        <v>53</v>
      </c>
      <c r="B54" s="6" t="s">
        <v>29</v>
      </c>
      <c r="C54" s="6">
        <v>5</v>
      </c>
      <c r="D54" s="6" t="s">
        <v>5</v>
      </c>
      <c r="E54" s="6" t="s">
        <v>3</v>
      </c>
      <c r="F54" s="6" t="s">
        <v>5</v>
      </c>
      <c r="G54" s="6" t="s">
        <v>5</v>
      </c>
      <c r="H54" s="6" t="s">
        <v>5</v>
      </c>
      <c r="I54" s="6" t="s">
        <v>5</v>
      </c>
      <c r="J54" s="6" t="s">
        <v>5</v>
      </c>
      <c r="K54" s="6" t="s">
        <v>2</v>
      </c>
      <c r="L54" s="6" t="s">
        <v>2</v>
      </c>
      <c r="M54" s="6" t="s">
        <v>4</v>
      </c>
      <c r="N54" s="6" t="s">
        <v>4</v>
      </c>
      <c r="O54" s="6" t="s">
        <v>3</v>
      </c>
      <c r="P54" s="6" t="s">
        <v>5</v>
      </c>
      <c r="Q54" s="6" t="s">
        <v>2</v>
      </c>
      <c r="R54" s="6" t="s">
        <v>5</v>
      </c>
      <c r="S54" s="6" t="s">
        <v>2</v>
      </c>
      <c r="T54" s="6" t="s">
        <v>2</v>
      </c>
      <c r="U54" s="6" t="s">
        <v>5</v>
      </c>
      <c r="V54" s="6" t="s">
        <v>4</v>
      </c>
      <c r="W54" s="6" t="s">
        <v>3</v>
      </c>
      <c r="X54" s="6" t="s">
        <v>3</v>
      </c>
      <c r="Y54" s="6" t="s">
        <v>4</v>
      </c>
      <c r="Z54" s="6" t="s">
        <v>3</v>
      </c>
      <c r="AA54" s="6" t="s">
        <v>4</v>
      </c>
      <c r="AB54" s="6" t="s">
        <v>4</v>
      </c>
      <c r="AC54" s="6" t="s">
        <v>4</v>
      </c>
      <c r="AD54" s="6" t="s">
        <v>4</v>
      </c>
      <c r="AE54" s="6" t="s">
        <v>4</v>
      </c>
      <c r="AF54" s="6" t="s">
        <v>4</v>
      </c>
      <c r="AG54" s="6" t="s">
        <v>3</v>
      </c>
      <c r="AH54" s="6" t="s">
        <v>4</v>
      </c>
      <c r="AI54" s="6" t="s">
        <v>3</v>
      </c>
      <c r="AJ54" s="6" t="s">
        <v>4</v>
      </c>
      <c r="AK54" s="6" t="s">
        <v>4</v>
      </c>
      <c r="AL54" s="6" t="s">
        <v>4</v>
      </c>
      <c r="AM54" s="6" t="s">
        <v>3</v>
      </c>
      <c r="AS54" s="7" t="s">
        <v>236</v>
      </c>
      <c r="AT54" s="7">
        <v>1</v>
      </c>
      <c r="AU54" s="7">
        <v>2</v>
      </c>
      <c r="AV54" s="7">
        <v>3</v>
      </c>
      <c r="AW54" s="7">
        <v>4</v>
      </c>
      <c r="AX54" s="7">
        <v>5</v>
      </c>
      <c r="AY54" s="7">
        <v>6</v>
      </c>
      <c r="AZ54"/>
      <c r="BA54" s="31"/>
      <c r="BB54" s="31"/>
      <c r="BC54" s="31"/>
      <c r="BD54" s="31"/>
      <c r="BE54" s="31"/>
      <c r="BF54" s="31"/>
      <c r="BG54" s="31"/>
      <c r="BI54" s="3"/>
    </row>
    <row r="55" spans="1:98">
      <c r="A55" s="6">
        <f t="shared" si="1"/>
        <v>54</v>
      </c>
      <c r="B55" s="6" t="s">
        <v>30</v>
      </c>
      <c r="C55" s="6">
        <v>5</v>
      </c>
      <c r="D55" s="6" t="s">
        <v>2</v>
      </c>
      <c r="E55" s="6" t="s">
        <v>5</v>
      </c>
      <c r="F55" s="6" t="s">
        <v>3</v>
      </c>
      <c r="G55" s="6" t="s">
        <v>5</v>
      </c>
      <c r="H55" s="6" t="s">
        <v>5</v>
      </c>
      <c r="I55" s="6" t="s">
        <v>3</v>
      </c>
      <c r="J55" s="6" t="s">
        <v>5</v>
      </c>
      <c r="K55" s="6" t="s">
        <v>2</v>
      </c>
      <c r="L55" s="6" t="s">
        <v>2</v>
      </c>
      <c r="M55" s="6" t="s">
        <v>5</v>
      </c>
      <c r="N55" s="6" t="s">
        <v>2</v>
      </c>
      <c r="O55" s="6" t="s">
        <v>2</v>
      </c>
      <c r="P55" s="6" t="s">
        <v>4</v>
      </c>
      <c r="Q55" s="6" t="s">
        <v>3</v>
      </c>
      <c r="R55" s="6" t="s">
        <v>2</v>
      </c>
      <c r="S55" s="6" t="s">
        <v>5</v>
      </c>
      <c r="T55" s="6" t="s">
        <v>5</v>
      </c>
      <c r="U55" s="6" t="s">
        <v>5</v>
      </c>
      <c r="V55" s="6" t="s">
        <v>3</v>
      </c>
      <c r="W55" s="6" t="s">
        <v>3</v>
      </c>
      <c r="X55" s="6" t="s">
        <v>3</v>
      </c>
      <c r="Y55" s="6" t="s">
        <v>4</v>
      </c>
      <c r="Z55" s="6" t="s">
        <v>3</v>
      </c>
      <c r="AA55" s="6" t="s">
        <v>4</v>
      </c>
      <c r="AB55" s="6" t="s">
        <v>4</v>
      </c>
      <c r="AC55" s="6" t="s">
        <v>4</v>
      </c>
      <c r="AD55" s="6" t="s">
        <v>4</v>
      </c>
      <c r="AE55" s="6" t="s">
        <v>4</v>
      </c>
      <c r="AF55" s="6" t="s">
        <v>3</v>
      </c>
      <c r="AG55" s="6" t="s">
        <v>4</v>
      </c>
      <c r="AH55" s="6" t="s">
        <v>4</v>
      </c>
      <c r="AI55" s="6" t="s">
        <v>3</v>
      </c>
      <c r="AJ55" s="6" t="s">
        <v>4</v>
      </c>
      <c r="AK55" s="6" t="s">
        <v>4</v>
      </c>
      <c r="AL55" s="6" t="s">
        <v>4</v>
      </c>
      <c r="AM55" s="6" t="s">
        <v>3</v>
      </c>
      <c r="AS55" s="6" t="s">
        <v>81</v>
      </c>
      <c r="AT55" s="6">
        <f>COUNTIFS(H:H,"A",C:C,1)/COUNTIF(C:C,1)</f>
        <v>0</v>
      </c>
      <c r="AU55" s="6">
        <f>COUNTIFS(H:H,"A",C:C,2)/COUNTIF(C:C,2)</f>
        <v>0</v>
      </c>
      <c r="AV55" s="6">
        <f>COUNTIFS(H:H,"A",C:C,3)/COUNTIF(C:C,3)</f>
        <v>0</v>
      </c>
      <c r="AW55" s="6">
        <f>COUNTIFS(H:H,"A",C:C,4)/COUNTIF(C:C,4)</f>
        <v>0</v>
      </c>
      <c r="AX55" s="6">
        <f>COUNTIFS(H:H,"A",C:C,5)/COUNTIF(C:C,5)</f>
        <v>0</v>
      </c>
      <c r="AY55" s="6">
        <f>COUNTIFS(H:H,"A",C:C,6)/COUNTIF(C:C,6)</f>
        <v>0</v>
      </c>
      <c r="AZ55"/>
      <c r="BA55" s="31"/>
      <c r="BB55" s="31"/>
      <c r="BC55" s="31"/>
      <c r="BD55" s="31"/>
      <c r="BE55" s="31"/>
      <c r="BF55" s="31"/>
      <c r="BG55" s="31"/>
    </row>
    <row r="56" spans="1:98">
      <c r="A56" s="6">
        <f t="shared" si="1"/>
        <v>55</v>
      </c>
      <c r="B56" s="6" t="s">
        <v>31</v>
      </c>
      <c r="C56" s="6">
        <v>5</v>
      </c>
      <c r="D56" s="6" t="s">
        <v>4</v>
      </c>
      <c r="E56" s="6" t="s">
        <v>5</v>
      </c>
      <c r="F56" s="6" t="s">
        <v>2</v>
      </c>
      <c r="G56" s="6" t="s">
        <v>5</v>
      </c>
      <c r="H56" s="6" t="s">
        <v>5</v>
      </c>
      <c r="I56" s="6" t="s">
        <v>5</v>
      </c>
      <c r="J56" s="6" t="s">
        <v>2</v>
      </c>
      <c r="K56" s="6" t="s">
        <v>2</v>
      </c>
      <c r="L56" s="6" t="s">
        <v>2</v>
      </c>
      <c r="M56" s="6" t="s">
        <v>4</v>
      </c>
      <c r="N56" s="6" t="s">
        <v>4</v>
      </c>
      <c r="O56" s="6" t="s">
        <v>4</v>
      </c>
      <c r="P56" s="6" t="s">
        <v>5</v>
      </c>
      <c r="Q56" s="6" t="s">
        <v>4</v>
      </c>
      <c r="R56" s="6" t="s">
        <v>5</v>
      </c>
      <c r="S56" s="6" t="s">
        <v>5</v>
      </c>
      <c r="T56" s="6" t="s">
        <v>5</v>
      </c>
      <c r="U56" s="6" t="s">
        <v>5</v>
      </c>
      <c r="V56" s="6" t="s">
        <v>5</v>
      </c>
      <c r="W56" s="6" t="s">
        <v>4</v>
      </c>
      <c r="X56" s="6" t="s">
        <v>3</v>
      </c>
      <c r="Y56" s="6" t="s">
        <v>3</v>
      </c>
      <c r="Z56" s="6" t="s">
        <v>3</v>
      </c>
      <c r="AA56" s="6" t="s">
        <v>4</v>
      </c>
      <c r="AB56" s="6" t="s">
        <v>4</v>
      </c>
      <c r="AC56" s="6" t="s">
        <v>4</v>
      </c>
      <c r="AD56" s="6" t="s">
        <v>4</v>
      </c>
      <c r="AE56" s="6" t="s">
        <v>4</v>
      </c>
      <c r="AF56" s="6" t="s">
        <v>4</v>
      </c>
      <c r="AG56" s="6" t="s">
        <v>3</v>
      </c>
      <c r="AH56" s="6" t="s">
        <v>4</v>
      </c>
      <c r="AI56" s="6" t="s">
        <v>3</v>
      </c>
      <c r="AJ56" s="6" t="s">
        <v>4</v>
      </c>
      <c r="AK56" s="6" t="s">
        <v>4</v>
      </c>
      <c r="AL56" s="6" t="s">
        <v>4</v>
      </c>
      <c r="AM56" s="6" t="s">
        <v>3</v>
      </c>
      <c r="AS56" s="6" t="s">
        <v>82</v>
      </c>
      <c r="AT56" s="6">
        <f>COUNTIFS(H:H,"B",C:C,1)/COUNTIF(C:C,1)</f>
        <v>0</v>
      </c>
      <c r="AU56" s="6">
        <f>COUNTIFS(H:H,"B",C:C,2)/COUNTIF(C:C,2)</f>
        <v>0</v>
      </c>
      <c r="AV56" s="6">
        <f>COUNTIFS(H:H,"B",C:C,3)/COUNTIF(C:C,3)</f>
        <v>0</v>
      </c>
      <c r="AW56" s="6">
        <f>COUNTIFS(H:H,"B",C:C,4)/COUNTIF(C:C,4)</f>
        <v>0</v>
      </c>
      <c r="AX56" s="6">
        <f>COUNTIFS(H:H,"B",C:C,5)/COUNTIF(C:C,5)</f>
        <v>0</v>
      </c>
      <c r="AY56" s="6">
        <f>COUNTIFS(H:H,"B",C:C,6)/COUNTIF(C:C,6)</f>
        <v>0</v>
      </c>
      <c r="AZ56"/>
      <c r="BA56" s="31"/>
      <c r="BB56" s="31"/>
      <c r="BC56" s="31"/>
      <c r="BD56" s="31"/>
      <c r="BE56" s="31"/>
      <c r="BF56" s="36"/>
      <c r="BG56" s="31"/>
      <c r="BI56" s="3"/>
    </row>
    <row r="57" spans="1:98">
      <c r="A57" s="6">
        <f t="shared" si="1"/>
        <v>56</v>
      </c>
      <c r="B57" s="6" t="s">
        <v>32</v>
      </c>
      <c r="C57" s="6">
        <v>5</v>
      </c>
      <c r="D57" s="6" t="s">
        <v>5</v>
      </c>
      <c r="E57" s="6" t="s">
        <v>3</v>
      </c>
      <c r="F57" s="6" t="s">
        <v>3</v>
      </c>
      <c r="G57" s="6" t="s">
        <v>5</v>
      </c>
      <c r="H57" s="6" t="s">
        <v>5</v>
      </c>
      <c r="I57" s="6" t="s">
        <v>5</v>
      </c>
      <c r="J57" s="6" t="s">
        <v>5</v>
      </c>
      <c r="K57" s="6" t="s">
        <v>2</v>
      </c>
      <c r="L57" s="6" t="s">
        <v>4</v>
      </c>
      <c r="M57" s="6" t="s">
        <v>4</v>
      </c>
      <c r="N57" s="6" t="s">
        <v>4</v>
      </c>
      <c r="O57" s="6" t="s">
        <v>5</v>
      </c>
      <c r="P57" s="6" t="s">
        <v>2</v>
      </c>
      <c r="Q57" s="6" t="s">
        <v>4</v>
      </c>
      <c r="R57" s="6" t="s">
        <v>5</v>
      </c>
      <c r="S57" s="6" t="s">
        <v>5</v>
      </c>
      <c r="T57" s="6" t="s">
        <v>3</v>
      </c>
      <c r="U57" s="6" t="s">
        <v>3</v>
      </c>
      <c r="V57" s="6" t="s">
        <v>3</v>
      </c>
      <c r="W57" s="6" t="s">
        <v>4</v>
      </c>
      <c r="X57" s="6" t="s">
        <v>3</v>
      </c>
      <c r="Y57" s="6" t="s">
        <v>2</v>
      </c>
      <c r="Z57" s="6" t="s">
        <v>3</v>
      </c>
      <c r="AA57" s="6" t="s">
        <v>4</v>
      </c>
      <c r="AB57" s="6" t="s">
        <v>4</v>
      </c>
      <c r="AC57" s="6" t="s">
        <v>4</v>
      </c>
      <c r="AD57" s="6" t="s">
        <v>4</v>
      </c>
      <c r="AE57" s="6" t="s">
        <v>4</v>
      </c>
      <c r="AF57" s="6" t="s">
        <v>4</v>
      </c>
      <c r="AG57" s="6" t="s">
        <v>3</v>
      </c>
      <c r="AH57" s="6" t="s">
        <v>4</v>
      </c>
      <c r="AI57" s="6" t="s">
        <v>3</v>
      </c>
      <c r="AJ57" s="6" t="s">
        <v>4</v>
      </c>
      <c r="AK57" s="6" t="s">
        <v>4</v>
      </c>
      <c r="AL57" s="6" t="s">
        <v>4</v>
      </c>
      <c r="AM57" s="6" t="s">
        <v>3</v>
      </c>
      <c r="AS57" s="6" t="s">
        <v>83</v>
      </c>
      <c r="AT57" s="6">
        <f>COUNTIFS(H:H,"C",C:C,1)/COUNTIF(C:C,1)</f>
        <v>0</v>
      </c>
      <c r="AU57" s="6">
        <f>COUNTIFS(H:H,"C",C:C,2)/COUNTIF(C:C,2)</f>
        <v>0</v>
      </c>
      <c r="AV57" s="6">
        <f>COUNTIFS(H:H,"C",C:C,3)/COUNTIF(C:C,3)</f>
        <v>0</v>
      </c>
      <c r="AW57" s="6">
        <f>COUNTIFS(H:H,"C",C:C,4)/COUNTIF(C:C,4)</f>
        <v>0</v>
      </c>
      <c r="AX57" s="6">
        <f>COUNTIFS(H:H,"C",C:C,5)/COUNTIF(C:C,5)</f>
        <v>0</v>
      </c>
      <c r="AY57" s="6">
        <f>COUNTIFS(H:H,"C",C:C,6)/COUNTIF(C:C,6)</f>
        <v>0</v>
      </c>
      <c r="AZ57"/>
      <c r="BA57" s="33"/>
      <c r="BB57" s="33"/>
      <c r="BC57" s="33"/>
      <c r="BD57" s="33"/>
      <c r="BE57" s="33"/>
      <c r="BF57" s="33"/>
      <c r="BG57" s="33"/>
    </row>
    <row r="58" spans="1:98">
      <c r="A58" s="6">
        <f t="shared" si="1"/>
        <v>57</v>
      </c>
      <c r="B58" s="6" t="s">
        <v>33</v>
      </c>
      <c r="C58" s="6">
        <v>5</v>
      </c>
      <c r="D58" s="6" t="s">
        <v>5</v>
      </c>
      <c r="E58" s="6" t="s">
        <v>3</v>
      </c>
      <c r="F58" s="6" t="s">
        <v>4</v>
      </c>
      <c r="G58" s="6" t="s">
        <v>5</v>
      </c>
      <c r="H58" s="6" t="s">
        <v>5</v>
      </c>
      <c r="I58" s="6" t="s">
        <v>3</v>
      </c>
      <c r="J58" s="6" t="s">
        <v>5</v>
      </c>
      <c r="K58" s="6" t="s">
        <v>2</v>
      </c>
      <c r="L58" s="6" t="s">
        <v>3</v>
      </c>
      <c r="M58" s="6" t="s">
        <v>2</v>
      </c>
      <c r="N58" s="6" t="s">
        <v>2</v>
      </c>
      <c r="O58" s="6" t="s">
        <v>5</v>
      </c>
      <c r="P58" s="6" t="s">
        <v>5</v>
      </c>
      <c r="Q58" s="6" t="s">
        <v>2</v>
      </c>
      <c r="R58" s="6" t="s">
        <v>5</v>
      </c>
      <c r="S58" s="6" t="s">
        <v>5</v>
      </c>
      <c r="T58" s="6" t="s">
        <v>3</v>
      </c>
      <c r="U58" s="6" t="s">
        <v>5</v>
      </c>
      <c r="V58" s="6" t="s">
        <v>2</v>
      </c>
      <c r="W58" s="6" t="s">
        <v>4</v>
      </c>
      <c r="X58" s="6" t="s">
        <v>4</v>
      </c>
      <c r="Y58" s="6" t="s">
        <v>2</v>
      </c>
      <c r="Z58" s="6" t="s">
        <v>3</v>
      </c>
      <c r="AA58" s="6" t="s">
        <v>4</v>
      </c>
      <c r="AB58" s="6" t="s">
        <v>4</v>
      </c>
      <c r="AC58" s="6" t="s">
        <v>4</v>
      </c>
      <c r="AD58" s="6" t="s">
        <v>4</v>
      </c>
      <c r="AE58" s="6" t="s">
        <v>4</v>
      </c>
      <c r="AF58" s="6" t="s">
        <v>4</v>
      </c>
      <c r="AG58" s="6" t="s">
        <v>3</v>
      </c>
      <c r="AH58" s="6" t="s">
        <v>4</v>
      </c>
      <c r="AI58" s="6" t="s">
        <v>3</v>
      </c>
      <c r="AJ58" s="6" t="s">
        <v>4</v>
      </c>
      <c r="AK58" s="6" t="s">
        <v>4</v>
      </c>
      <c r="AL58" s="6" t="s">
        <v>3</v>
      </c>
      <c r="AM58" s="6" t="s">
        <v>3</v>
      </c>
      <c r="AS58" s="6" t="s">
        <v>84</v>
      </c>
      <c r="AT58" s="6">
        <f>COUNTIFS(H:H,"D",C:C,1)/COUNTIF(C:C,1)</f>
        <v>1</v>
      </c>
      <c r="AU58" s="6">
        <f>COUNTIFS(H:H,"D",C:C,2)/COUNTIF(C:C,2)</f>
        <v>1</v>
      </c>
      <c r="AV58" s="6">
        <f>COUNTIFS(H:H,"D",C:C,3)/COUNTIF(C:C,3)</f>
        <v>1</v>
      </c>
      <c r="AW58" s="6">
        <f>COUNTIFS(H:H,"D",C:C,4)/COUNTIF(C:C,4)</f>
        <v>1</v>
      </c>
      <c r="AX58" s="6">
        <f>COUNTIFS(H:H,"D",C:C,5)/COUNTIF(C:C,5)</f>
        <v>1</v>
      </c>
      <c r="AY58" s="6">
        <f>COUNTIFS(H:H,"D",C:C,6)/COUNTIF(C:C,6)</f>
        <v>1</v>
      </c>
      <c r="AZ58"/>
      <c r="BA58" s="33"/>
      <c r="BB58" s="33"/>
      <c r="BC58" s="33"/>
      <c r="BD58" s="33"/>
      <c r="BE58" s="33"/>
      <c r="BF58" s="33"/>
      <c r="BG58" s="33"/>
      <c r="BI58" s="3"/>
    </row>
    <row r="59" spans="1:98">
      <c r="A59" s="6">
        <f t="shared" si="1"/>
        <v>58</v>
      </c>
      <c r="B59" s="6" t="s">
        <v>34</v>
      </c>
      <c r="C59" s="6">
        <v>5</v>
      </c>
      <c r="D59" s="6" t="s">
        <v>5</v>
      </c>
      <c r="E59" s="6" t="s">
        <v>5</v>
      </c>
      <c r="F59" s="6" t="s">
        <v>3</v>
      </c>
      <c r="G59" s="6" t="s">
        <v>5</v>
      </c>
      <c r="H59" s="6" t="s">
        <v>5</v>
      </c>
      <c r="I59" s="6" t="s">
        <v>3</v>
      </c>
      <c r="J59" s="6" t="s">
        <v>5</v>
      </c>
      <c r="K59" s="6" t="s">
        <v>2</v>
      </c>
      <c r="L59" s="6" t="s">
        <v>4</v>
      </c>
      <c r="M59" s="6" t="s">
        <v>4</v>
      </c>
      <c r="N59" s="6" t="s">
        <v>4</v>
      </c>
      <c r="O59" s="6" t="s">
        <v>5</v>
      </c>
      <c r="P59" s="6" t="s">
        <v>2</v>
      </c>
      <c r="Q59" s="6" t="s">
        <v>4</v>
      </c>
      <c r="R59" s="6" t="s">
        <v>5</v>
      </c>
      <c r="S59" s="6" t="s">
        <v>5</v>
      </c>
      <c r="T59" s="6" t="s">
        <v>2</v>
      </c>
      <c r="U59" s="6" t="s">
        <v>5</v>
      </c>
      <c r="V59" s="6" t="s">
        <v>5</v>
      </c>
      <c r="W59" s="6" t="s">
        <v>3</v>
      </c>
      <c r="X59" s="6" t="s">
        <v>3</v>
      </c>
      <c r="Y59" s="6" t="s">
        <v>4</v>
      </c>
      <c r="Z59" s="6" t="s">
        <v>3</v>
      </c>
      <c r="AA59" s="6" t="s">
        <v>4</v>
      </c>
      <c r="AB59" s="6" t="s">
        <v>4</v>
      </c>
      <c r="AC59" s="6" t="s">
        <v>4</v>
      </c>
      <c r="AD59" s="6" t="s">
        <v>4</v>
      </c>
      <c r="AE59" s="6" t="s">
        <v>4</v>
      </c>
      <c r="AF59" s="6" t="s">
        <v>4</v>
      </c>
      <c r="AG59" s="6" t="s">
        <v>4</v>
      </c>
      <c r="AH59" s="6" t="s">
        <v>4</v>
      </c>
      <c r="AI59" s="6" t="s">
        <v>3</v>
      </c>
      <c r="AJ59" s="6" t="s">
        <v>4</v>
      </c>
      <c r="AK59" s="6" t="s">
        <v>4</v>
      </c>
      <c r="AL59" s="6" t="s">
        <v>3</v>
      </c>
      <c r="AM59" s="6" t="s">
        <v>3</v>
      </c>
      <c r="AZ59"/>
      <c r="BA59" s="33"/>
      <c r="BB59" s="33"/>
      <c r="BC59" s="33"/>
      <c r="BD59" s="33"/>
      <c r="BE59" s="33"/>
      <c r="BF59" s="33"/>
      <c r="BG59" s="33"/>
    </row>
    <row r="60" spans="1:98">
      <c r="A60" s="6">
        <f t="shared" si="1"/>
        <v>59</v>
      </c>
      <c r="B60" s="6" t="s">
        <v>271</v>
      </c>
      <c r="C60" s="6">
        <v>5</v>
      </c>
      <c r="D60" s="6" t="s">
        <v>5</v>
      </c>
      <c r="E60" s="6" t="s">
        <v>3</v>
      </c>
      <c r="F60" s="6" t="s">
        <v>2</v>
      </c>
      <c r="G60" s="6" t="s">
        <v>5</v>
      </c>
      <c r="H60" s="6" t="s">
        <v>5</v>
      </c>
      <c r="I60" s="6" t="s">
        <v>5</v>
      </c>
      <c r="J60" s="6" t="s">
        <v>5</v>
      </c>
      <c r="K60" s="6" t="s">
        <v>2</v>
      </c>
      <c r="L60" s="6" t="s">
        <v>2</v>
      </c>
      <c r="M60" s="6" t="s">
        <v>2</v>
      </c>
      <c r="N60" s="6" t="s">
        <v>3</v>
      </c>
      <c r="O60" s="6" t="s">
        <v>2</v>
      </c>
      <c r="P60" s="6" t="s">
        <v>5</v>
      </c>
      <c r="Q60" s="6" t="s">
        <v>2</v>
      </c>
      <c r="R60" s="6" t="s">
        <v>2</v>
      </c>
      <c r="S60" s="6" t="s">
        <v>5</v>
      </c>
      <c r="T60" s="6" t="s">
        <v>5</v>
      </c>
      <c r="U60" s="6" t="s">
        <v>5</v>
      </c>
      <c r="V60" s="6" t="s">
        <v>5</v>
      </c>
      <c r="W60" s="6" t="s">
        <v>3</v>
      </c>
      <c r="X60" s="6" t="s">
        <v>3</v>
      </c>
      <c r="Y60" s="6" t="s">
        <v>2</v>
      </c>
      <c r="Z60" s="6" t="s">
        <v>3</v>
      </c>
      <c r="AA60" s="6" t="s">
        <v>4</v>
      </c>
      <c r="AB60" s="6" t="s">
        <v>4</v>
      </c>
      <c r="AC60" s="6" t="s">
        <v>4</v>
      </c>
      <c r="AD60" s="6" t="s">
        <v>4</v>
      </c>
      <c r="AE60" s="6" t="s">
        <v>4</v>
      </c>
      <c r="AF60" s="6" t="s">
        <v>3</v>
      </c>
      <c r="AG60" s="6" t="s">
        <v>3</v>
      </c>
      <c r="AH60" s="6" t="s">
        <v>4</v>
      </c>
      <c r="AI60" s="6" t="s">
        <v>3</v>
      </c>
      <c r="AJ60" s="6" t="s">
        <v>4</v>
      </c>
      <c r="AK60" s="6" t="s">
        <v>4</v>
      </c>
      <c r="AL60" s="6" t="s">
        <v>3</v>
      </c>
      <c r="AM60" s="6" t="s">
        <v>3</v>
      </c>
      <c r="AS60" s="7" t="s">
        <v>237</v>
      </c>
      <c r="AT60" s="7">
        <v>1</v>
      </c>
      <c r="AU60" s="7">
        <v>2</v>
      </c>
      <c r="AV60" s="7">
        <v>3</v>
      </c>
      <c r="AW60" s="7">
        <v>4</v>
      </c>
      <c r="AX60" s="7">
        <v>5</v>
      </c>
      <c r="AY60" s="7">
        <v>6</v>
      </c>
      <c r="AZ60"/>
      <c r="BA60" s="31"/>
      <c r="BB60" s="31"/>
      <c r="BC60" s="31"/>
      <c r="BD60" s="31"/>
      <c r="BE60" s="31"/>
      <c r="BF60" s="31"/>
      <c r="BG60" s="31"/>
      <c r="BI60" s="3"/>
    </row>
    <row r="61" spans="1:98">
      <c r="A61" s="6">
        <f t="shared" si="1"/>
        <v>60</v>
      </c>
      <c r="B61" s="6" t="s">
        <v>272</v>
      </c>
      <c r="C61" s="6">
        <v>5</v>
      </c>
      <c r="D61" s="6" t="s">
        <v>5</v>
      </c>
      <c r="E61" s="6" t="s">
        <v>5</v>
      </c>
      <c r="F61" s="6" t="s">
        <v>2</v>
      </c>
      <c r="G61" s="6" t="s">
        <v>5</v>
      </c>
      <c r="H61" s="6" t="s">
        <v>5</v>
      </c>
      <c r="I61" s="6" t="s">
        <v>3</v>
      </c>
      <c r="J61" s="6" t="s">
        <v>5</v>
      </c>
      <c r="K61" s="6" t="s">
        <v>2</v>
      </c>
      <c r="L61" s="6" t="s">
        <v>2</v>
      </c>
      <c r="M61" s="6" t="s">
        <v>2</v>
      </c>
      <c r="N61" s="6" t="s">
        <v>2</v>
      </c>
      <c r="O61" s="6" t="s">
        <v>2</v>
      </c>
      <c r="P61" s="6" t="s">
        <v>2</v>
      </c>
      <c r="Q61" s="6" t="s">
        <v>3</v>
      </c>
      <c r="R61" s="6" t="s">
        <v>3</v>
      </c>
      <c r="S61" s="6" t="s">
        <v>5</v>
      </c>
      <c r="T61" s="6" t="s">
        <v>5</v>
      </c>
      <c r="U61" s="6" t="s">
        <v>5</v>
      </c>
      <c r="V61" s="6" t="s">
        <v>5</v>
      </c>
      <c r="W61" s="6" t="s">
        <v>3</v>
      </c>
      <c r="X61" s="6" t="s">
        <v>3</v>
      </c>
      <c r="Y61" s="6" t="s">
        <v>2</v>
      </c>
      <c r="Z61" s="6" t="s">
        <v>3</v>
      </c>
      <c r="AA61" s="6" t="s">
        <v>4</v>
      </c>
      <c r="AB61" s="6" t="s">
        <v>4</v>
      </c>
      <c r="AC61" s="6" t="s">
        <v>4</v>
      </c>
      <c r="AD61" s="6" t="s">
        <v>4</v>
      </c>
      <c r="AE61" s="6" t="s">
        <v>4</v>
      </c>
      <c r="AF61" s="6" t="s">
        <v>3</v>
      </c>
      <c r="AG61" s="6" t="s">
        <v>3</v>
      </c>
      <c r="AH61" s="6" t="s">
        <v>4</v>
      </c>
      <c r="AI61" s="6" t="s">
        <v>3</v>
      </c>
      <c r="AJ61" s="6" t="s">
        <v>3</v>
      </c>
      <c r="AK61" s="6" t="s">
        <v>4</v>
      </c>
      <c r="AL61" s="6" t="s">
        <v>3</v>
      </c>
      <c r="AM61" s="6" t="s">
        <v>3</v>
      </c>
      <c r="AS61" s="6" t="s">
        <v>162</v>
      </c>
      <c r="AT61" s="6">
        <f>COUNTIFS(I:I,"A",C:C,1)/COUNTIF(C:C,1)</f>
        <v>0</v>
      </c>
      <c r="AU61" s="6">
        <f>COUNTIFS(I:I,"A",C:C,2)/COUNTIF(C:C,2)</f>
        <v>0</v>
      </c>
      <c r="AV61" s="6">
        <f>COUNTIFS(I:I,"A",C:C,3)/COUNTIF(C:C,3)</f>
        <v>0</v>
      </c>
      <c r="AW61" s="6">
        <f>COUNTIFS(I:I,"A",C:C,4)/COUNTIF(C:C,4)</f>
        <v>0</v>
      </c>
      <c r="AX61" s="6">
        <f>COUNTIFS(I:I,"A",C:C,5)/COUNTIF(C:C,5)</f>
        <v>0</v>
      </c>
      <c r="AY61" s="6">
        <f>COUNTIFS(I:I,"A",C:C,6)/COUNTIF(C:C,6)</f>
        <v>0</v>
      </c>
      <c r="AZ61"/>
      <c r="BA61" s="31"/>
      <c r="BB61" s="31"/>
      <c r="BC61" s="31"/>
      <c r="BD61" s="31"/>
      <c r="BE61" s="31"/>
      <c r="BF61" s="31"/>
      <c r="BG61" s="31"/>
    </row>
    <row r="62" spans="1:98">
      <c r="A62" s="6">
        <f t="shared" si="1"/>
        <v>61</v>
      </c>
      <c r="B62" s="6" t="s">
        <v>273</v>
      </c>
      <c r="C62" s="6">
        <v>5</v>
      </c>
      <c r="D62" s="6" t="s">
        <v>5</v>
      </c>
      <c r="E62" s="6" t="s">
        <v>5</v>
      </c>
      <c r="F62" s="6" t="s">
        <v>2</v>
      </c>
      <c r="G62" s="6" t="s">
        <v>5</v>
      </c>
      <c r="H62" s="6" t="s">
        <v>5</v>
      </c>
      <c r="I62" s="6" t="s">
        <v>3</v>
      </c>
      <c r="J62" s="6" t="s">
        <v>5</v>
      </c>
      <c r="K62" s="6" t="s">
        <v>2</v>
      </c>
      <c r="L62" s="6" t="s">
        <v>3</v>
      </c>
      <c r="M62" s="6" t="s">
        <v>5</v>
      </c>
      <c r="N62" s="6" t="s">
        <v>2</v>
      </c>
      <c r="O62" s="6" t="s">
        <v>5</v>
      </c>
      <c r="P62" s="6" t="s">
        <v>5</v>
      </c>
      <c r="Q62" s="6" t="s">
        <v>2</v>
      </c>
      <c r="R62" s="6" t="s">
        <v>2</v>
      </c>
      <c r="S62" s="6" t="s">
        <v>5</v>
      </c>
      <c r="T62" s="6" t="s">
        <v>5</v>
      </c>
      <c r="U62" s="6" t="s">
        <v>5</v>
      </c>
      <c r="V62" s="6" t="s">
        <v>5</v>
      </c>
      <c r="W62" s="6" t="s">
        <v>3</v>
      </c>
      <c r="X62" s="6" t="s">
        <v>3</v>
      </c>
      <c r="Y62" s="6" t="s">
        <v>2</v>
      </c>
      <c r="Z62" s="6" t="s">
        <v>3</v>
      </c>
      <c r="AA62" s="6" t="s">
        <v>4</v>
      </c>
      <c r="AB62" s="6" t="s">
        <v>4</v>
      </c>
      <c r="AC62" s="6" t="s">
        <v>4</v>
      </c>
      <c r="AD62" s="6" t="s">
        <v>4</v>
      </c>
      <c r="AE62" s="6" t="s">
        <v>4</v>
      </c>
      <c r="AF62" s="6" t="s">
        <v>4</v>
      </c>
      <c r="AG62" s="6" t="s">
        <v>3</v>
      </c>
      <c r="AH62" s="6" t="s">
        <v>4</v>
      </c>
      <c r="AI62" s="6" t="s">
        <v>3</v>
      </c>
      <c r="AJ62" s="6" t="s">
        <v>3</v>
      </c>
      <c r="AK62" s="6" t="s">
        <v>4</v>
      </c>
      <c r="AL62" s="6" t="s">
        <v>4</v>
      </c>
      <c r="AM62" s="6" t="s">
        <v>3</v>
      </c>
      <c r="AS62" s="6" t="s">
        <v>163</v>
      </c>
      <c r="AT62" s="6">
        <f>COUNTIFS(I:I,"B",C:C,1)/COUNTIF(C:C,1)</f>
        <v>0.23076923076923078</v>
      </c>
      <c r="AU62" s="6">
        <f>COUNTIFS(I:I,"B",C:C,2)/COUNTIF(C:C,2)</f>
        <v>7.6923076923076927E-2</v>
      </c>
      <c r="AV62" s="6">
        <f>COUNTIFS(I:I,"B",C:C,3)/COUNTIF(C:C,3)</f>
        <v>0</v>
      </c>
      <c r="AW62" s="6">
        <f>COUNTIFS(I:I,"B",C:C,4)/COUNTIF(C:C,4)</f>
        <v>0</v>
      </c>
      <c r="AX62" s="6">
        <f>COUNTIFS(I:I,"B",C:C,5)/COUNTIF(C:C,5)</f>
        <v>0.46153846153846156</v>
      </c>
      <c r="AY62" s="6">
        <f>COUNTIFS(I:I,"B",C:C,6)/COUNTIF(C:C,6)</f>
        <v>0.15384615384615385</v>
      </c>
      <c r="AZ62"/>
      <c r="BA62" s="31"/>
      <c r="BB62" s="31"/>
      <c r="BC62" s="31"/>
      <c r="BD62" s="31"/>
      <c r="BE62" s="31"/>
      <c r="BF62" s="31"/>
      <c r="BG62" s="31"/>
      <c r="BI62" s="3"/>
    </row>
    <row r="63" spans="1:98">
      <c r="A63" s="6">
        <f t="shared" si="1"/>
        <v>62</v>
      </c>
      <c r="B63" s="6" t="s">
        <v>274</v>
      </c>
      <c r="C63" s="6">
        <v>5</v>
      </c>
      <c r="D63" s="6" t="s">
        <v>5</v>
      </c>
      <c r="E63" s="6" t="s">
        <v>3</v>
      </c>
      <c r="F63" s="6" t="s">
        <v>3</v>
      </c>
      <c r="G63" s="6" t="s">
        <v>5</v>
      </c>
      <c r="H63" s="6" t="s">
        <v>5</v>
      </c>
      <c r="I63" s="6" t="s">
        <v>5</v>
      </c>
      <c r="J63" s="6" t="s">
        <v>5</v>
      </c>
      <c r="K63" s="6" t="s">
        <v>2</v>
      </c>
      <c r="L63" s="6" t="s">
        <v>2</v>
      </c>
      <c r="M63" s="6" t="s">
        <v>5</v>
      </c>
      <c r="N63" s="6" t="s">
        <v>3</v>
      </c>
      <c r="O63" s="6" t="s">
        <v>2</v>
      </c>
      <c r="P63" s="6" t="s">
        <v>5</v>
      </c>
      <c r="Q63" s="6" t="s">
        <v>2</v>
      </c>
      <c r="R63" s="6" t="s">
        <v>3</v>
      </c>
      <c r="S63" s="6" t="s">
        <v>5</v>
      </c>
      <c r="T63" s="6" t="s">
        <v>5</v>
      </c>
      <c r="U63" s="6" t="s">
        <v>5</v>
      </c>
      <c r="V63" s="6" t="s">
        <v>5</v>
      </c>
      <c r="W63" s="6" t="s">
        <v>3</v>
      </c>
      <c r="X63" s="6" t="s">
        <v>3</v>
      </c>
      <c r="Y63" s="6" t="s">
        <v>2</v>
      </c>
      <c r="Z63" s="6" t="s">
        <v>3</v>
      </c>
      <c r="AA63" s="6" t="s">
        <v>4</v>
      </c>
      <c r="AB63" s="6" t="s">
        <v>4</v>
      </c>
      <c r="AC63" s="6" t="s">
        <v>4</v>
      </c>
      <c r="AD63" s="6" t="s">
        <v>4</v>
      </c>
      <c r="AE63" s="6" t="s">
        <v>4</v>
      </c>
      <c r="AF63" s="6" t="s">
        <v>4</v>
      </c>
      <c r="AG63" s="6" t="s">
        <v>3</v>
      </c>
      <c r="AH63" s="6" t="s">
        <v>4</v>
      </c>
      <c r="AI63" s="6" t="s">
        <v>3</v>
      </c>
      <c r="AJ63" s="6" t="s">
        <v>4</v>
      </c>
      <c r="AK63" s="6" t="s">
        <v>4</v>
      </c>
      <c r="AL63" s="6" t="s">
        <v>4</v>
      </c>
      <c r="AM63" s="6" t="s">
        <v>3</v>
      </c>
      <c r="AS63" s="6" t="s">
        <v>164</v>
      </c>
      <c r="AT63" s="6">
        <f>COUNTIFS(I:I,"C",C:C,1)/COUNTIF(C:C,1)</f>
        <v>0</v>
      </c>
      <c r="AU63" s="6">
        <f>COUNTIFS(I:I,"C",C:C,2)/COUNTIF(C:C,2)</f>
        <v>0</v>
      </c>
      <c r="AV63" s="6">
        <f>COUNTIFS(I:I,"C",C:C,3)/COUNTIF(C:C,3)</f>
        <v>0.15384615384615385</v>
      </c>
      <c r="AW63" s="6">
        <f>COUNTIFS(I:I,"C",C:C,4)/COUNTIF(C:C,4)</f>
        <v>0</v>
      </c>
      <c r="AX63" s="6">
        <f>COUNTIFS(I:I,"C",C:C,5)/COUNTIF(C:C,5)</f>
        <v>0</v>
      </c>
      <c r="AY63" s="6">
        <f>COUNTIFS(I:I,"C",C:C,6)/COUNTIF(C:C,6)</f>
        <v>0</v>
      </c>
      <c r="AZ63"/>
      <c r="BA63" s="31"/>
      <c r="BB63" s="31"/>
      <c r="BC63" s="31"/>
      <c r="BD63" s="31"/>
      <c r="BE63" s="31"/>
      <c r="BF63" s="31"/>
      <c r="BG63" s="31"/>
    </row>
    <row r="64" spans="1:98">
      <c r="A64" s="6">
        <f t="shared" si="1"/>
        <v>63</v>
      </c>
      <c r="B64" s="6" t="s">
        <v>473</v>
      </c>
      <c r="C64" s="6">
        <v>5</v>
      </c>
      <c r="D64" s="6" t="s">
        <v>5</v>
      </c>
      <c r="E64" s="6" t="s">
        <v>3</v>
      </c>
      <c r="F64" s="6" t="s">
        <v>5</v>
      </c>
      <c r="G64" s="6" t="s">
        <v>5</v>
      </c>
      <c r="H64" s="6" t="s">
        <v>5</v>
      </c>
      <c r="I64" s="6" t="s">
        <v>5</v>
      </c>
      <c r="J64" s="6" t="s">
        <v>5</v>
      </c>
      <c r="K64" s="6" t="s">
        <v>2</v>
      </c>
      <c r="L64" s="6" t="s">
        <v>3</v>
      </c>
      <c r="M64" s="6" t="s">
        <v>3</v>
      </c>
      <c r="N64" s="6" t="s">
        <v>5</v>
      </c>
      <c r="O64" s="6" t="s">
        <v>2</v>
      </c>
      <c r="P64" s="6" t="s">
        <v>5</v>
      </c>
      <c r="Q64" s="6" t="s">
        <v>2</v>
      </c>
      <c r="R64" s="6" t="s">
        <v>2</v>
      </c>
      <c r="S64" s="6" t="s">
        <v>5</v>
      </c>
      <c r="T64" s="6" t="s">
        <v>5</v>
      </c>
      <c r="U64" s="6" t="s">
        <v>5</v>
      </c>
      <c r="V64" s="6" t="s">
        <v>3</v>
      </c>
      <c r="W64" s="6" t="s">
        <v>3</v>
      </c>
      <c r="X64" s="6" t="s">
        <v>4</v>
      </c>
      <c r="Y64" s="6" t="s">
        <v>4</v>
      </c>
      <c r="Z64" s="6" t="s">
        <v>3</v>
      </c>
      <c r="AA64" s="6" t="s">
        <v>4</v>
      </c>
      <c r="AB64" s="6" t="s">
        <v>4</v>
      </c>
      <c r="AC64" s="6" t="s">
        <v>4</v>
      </c>
      <c r="AD64" s="6" t="s">
        <v>4</v>
      </c>
      <c r="AE64" s="6" t="s">
        <v>4</v>
      </c>
      <c r="AF64" s="6" t="s">
        <v>3</v>
      </c>
      <c r="AG64" s="6" t="s">
        <v>3</v>
      </c>
      <c r="AH64" s="6" t="s">
        <v>4</v>
      </c>
      <c r="AI64" s="6" t="s">
        <v>3</v>
      </c>
      <c r="AJ64" s="6" t="s">
        <v>4</v>
      </c>
      <c r="AK64" s="6" t="s">
        <v>4</v>
      </c>
      <c r="AL64" s="6" t="s">
        <v>3</v>
      </c>
      <c r="AM64" s="6" t="s">
        <v>3</v>
      </c>
      <c r="AS64" s="6" t="s">
        <v>165</v>
      </c>
      <c r="AT64" s="6">
        <f>COUNTIFS(I:I,"D",C:C,1)/COUNTIF(C:C,1)</f>
        <v>0.76923076923076927</v>
      </c>
      <c r="AU64" s="6">
        <f>COUNTIFS(I:I,"D",C:C,2)/COUNTIF(C:C,2)</f>
        <v>0.92307692307692313</v>
      </c>
      <c r="AV64" s="6">
        <f>COUNTIFS(I:I,"D",C:C,3)/COUNTIF(C:C,3)</f>
        <v>0.84615384615384615</v>
      </c>
      <c r="AW64" s="6">
        <f>COUNTIFS(I:I,"D",C:C,4)/COUNTIF(C:C,4)</f>
        <v>1</v>
      </c>
      <c r="AX64" s="6">
        <f>COUNTIFS(I:I,"D",C:C,5)/COUNTIF(C:C,5)</f>
        <v>0.53846153846153844</v>
      </c>
      <c r="AY64" s="6">
        <f>COUNTIFS(I:I,"D",C:C,6)/COUNTIF(C:C,6)</f>
        <v>0.84615384615384615</v>
      </c>
      <c r="AZ64"/>
      <c r="BA64" s="31"/>
      <c r="BB64" s="31"/>
      <c r="BC64" s="31"/>
      <c r="BD64" s="31"/>
      <c r="BE64" s="31"/>
      <c r="BF64" s="31"/>
      <c r="BG64" s="31"/>
    </row>
    <row r="65" spans="1:98">
      <c r="A65" s="6">
        <f t="shared" si="1"/>
        <v>64</v>
      </c>
      <c r="B65" s="6" t="s">
        <v>478</v>
      </c>
      <c r="C65" s="6">
        <v>5</v>
      </c>
      <c r="D65" s="6" t="s">
        <v>5</v>
      </c>
      <c r="E65" s="6" t="s">
        <v>5</v>
      </c>
      <c r="F65" s="6" t="s">
        <v>2</v>
      </c>
      <c r="G65" s="6" t="s">
        <v>5</v>
      </c>
      <c r="H65" s="6" t="s">
        <v>5</v>
      </c>
      <c r="I65" s="6" t="s">
        <v>3</v>
      </c>
      <c r="J65" s="6" t="s">
        <v>5</v>
      </c>
      <c r="K65" s="6" t="s">
        <v>2</v>
      </c>
      <c r="L65" s="6" t="s">
        <v>3</v>
      </c>
      <c r="M65" s="6" t="s">
        <v>5</v>
      </c>
      <c r="N65" s="6" t="s">
        <v>2</v>
      </c>
      <c r="O65" s="6" t="s">
        <v>5</v>
      </c>
      <c r="P65" s="6" t="s">
        <v>5</v>
      </c>
      <c r="Q65" s="6" t="s">
        <v>2</v>
      </c>
      <c r="R65" s="6" t="s">
        <v>2</v>
      </c>
      <c r="S65" s="6" t="s">
        <v>5</v>
      </c>
      <c r="T65" s="6" t="s">
        <v>5</v>
      </c>
      <c r="U65" s="6" t="s">
        <v>5</v>
      </c>
      <c r="V65" s="6" t="s">
        <v>5</v>
      </c>
      <c r="W65" s="6" t="s">
        <v>3</v>
      </c>
      <c r="X65" s="6" t="s">
        <v>3</v>
      </c>
      <c r="Y65" s="6" t="s">
        <v>2</v>
      </c>
      <c r="Z65" s="6" t="s">
        <v>3</v>
      </c>
      <c r="AA65" s="6" t="s">
        <v>4</v>
      </c>
      <c r="AB65" s="6" t="s">
        <v>4</v>
      </c>
      <c r="AC65" s="6" t="s">
        <v>4</v>
      </c>
      <c r="AD65" s="6" t="s">
        <v>4</v>
      </c>
      <c r="AE65" s="6" t="s">
        <v>4</v>
      </c>
      <c r="AF65" s="6" t="s">
        <v>4</v>
      </c>
      <c r="AG65" s="6" t="s">
        <v>3</v>
      </c>
      <c r="AH65" s="6" t="s">
        <v>4</v>
      </c>
      <c r="AI65" s="6" t="s">
        <v>3</v>
      </c>
      <c r="AJ65" s="6" t="s">
        <v>4</v>
      </c>
      <c r="AK65" s="6" t="s">
        <v>4</v>
      </c>
      <c r="AL65" s="6" t="s">
        <v>3</v>
      </c>
      <c r="AM65" s="6" t="s">
        <v>3</v>
      </c>
      <c r="AZ65"/>
      <c r="BA65" s="33"/>
      <c r="BB65" s="33"/>
      <c r="BC65" s="33"/>
      <c r="BD65" s="33"/>
      <c r="BE65" s="33"/>
      <c r="BF65" s="33"/>
      <c r="BG65" s="33"/>
      <c r="BI65" s="75"/>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row>
    <row r="66" spans="1:98">
      <c r="A66" s="6">
        <f t="shared" ref="A66:A79" si="2">ROW()-1</f>
        <v>65</v>
      </c>
      <c r="B66" s="6" t="s">
        <v>494</v>
      </c>
      <c r="C66" s="6">
        <v>5</v>
      </c>
      <c r="D66" s="6" t="s">
        <v>2</v>
      </c>
      <c r="E66" s="6" t="s">
        <v>5</v>
      </c>
      <c r="F66" s="6" t="s">
        <v>2</v>
      </c>
      <c r="G66" s="6" t="s">
        <v>5</v>
      </c>
      <c r="H66" s="6" t="s">
        <v>5</v>
      </c>
      <c r="I66" s="6" t="s">
        <v>5</v>
      </c>
      <c r="J66" s="6" t="s">
        <v>2</v>
      </c>
      <c r="K66" s="6" t="s">
        <v>2</v>
      </c>
      <c r="L66" s="6" t="s">
        <v>2</v>
      </c>
      <c r="M66" s="6" t="s">
        <v>4</v>
      </c>
      <c r="N66" s="6" t="s">
        <v>4</v>
      </c>
      <c r="O66" s="6" t="s">
        <v>4</v>
      </c>
      <c r="P66" s="6" t="s">
        <v>5</v>
      </c>
      <c r="Q66" s="6" t="s">
        <v>4</v>
      </c>
      <c r="R66" s="6" t="s">
        <v>5</v>
      </c>
      <c r="S66" s="6" t="s">
        <v>5</v>
      </c>
      <c r="T66" s="6" t="s">
        <v>5</v>
      </c>
      <c r="U66" s="6" t="s">
        <v>5</v>
      </c>
      <c r="V66" s="6" t="s">
        <v>5</v>
      </c>
      <c r="W66" s="6" t="s">
        <v>4</v>
      </c>
      <c r="X66" s="6" t="s">
        <v>3</v>
      </c>
      <c r="Y66" s="6" t="s">
        <v>3</v>
      </c>
      <c r="Z66" s="6" t="s">
        <v>3</v>
      </c>
      <c r="AA66" s="6" t="s">
        <v>4</v>
      </c>
      <c r="AB66" s="6" t="s">
        <v>4</v>
      </c>
      <c r="AC66" s="6" t="s">
        <v>4</v>
      </c>
      <c r="AD66" s="6" t="s">
        <v>4</v>
      </c>
      <c r="AE66" s="6" t="s">
        <v>3</v>
      </c>
      <c r="AF66" s="6" t="s">
        <v>3</v>
      </c>
      <c r="AG66" s="6" t="s">
        <v>3</v>
      </c>
      <c r="AH66" s="6" t="s">
        <v>4</v>
      </c>
      <c r="AI66" s="6" t="s">
        <v>3</v>
      </c>
      <c r="AJ66" s="6" t="s">
        <v>4</v>
      </c>
      <c r="AK66" s="6" t="s">
        <v>4</v>
      </c>
      <c r="AL66" s="6" t="s">
        <v>4</v>
      </c>
      <c r="AM66" s="6" t="s">
        <v>3</v>
      </c>
      <c r="AS66" s="7" t="s">
        <v>238</v>
      </c>
      <c r="AT66" s="7">
        <v>1</v>
      </c>
      <c r="AU66" s="7">
        <v>2</v>
      </c>
      <c r="AV66" s="7">
        <v>3</v>
      </c>
      <c r="AW66" s="7">
        <v>4</v>
      </c>
      <c r="AX66" s="7">
        <v>5</v>
      </c>
      <c r="AY66" s="7">
        <v>6</v>
      </c>
      <c r="AZ66"/>
      <c r="BA66" s="31"/>
      <c r="BB66" s="31"/>
      <c r="BC66" s="31"/>
      <c r="BD66" s="31"/>
      <c r="BE66" s="31"/>
      <c r="BF66" s="31"/>
      <c r="BG66" s="31"/>
      <c r="BI66" s="75"/>
    </row>
    <row r="67" spans="1:98">
      <c r="A67" s="6">
        <f t="shared" si="2"/>
        <v>66</v>
      </c>
      <c r="B67" s="6" t="s">
        <v>35</v>
      </c>
      <c r="C67" s="52">
        <v>6</v>
      </c>
      <c r="D67" s="6" t="s">
        <v>5</v>
      </c>
      <c r="E67" s="6" t="s">
        <v>3</v>
      </c>
      <c r="F67" s="6" t="s">
        <v>3</v>
      </c>
      <c r="G67" s="6" t="s">
        <v>5</v>
      </c>
      <c r="H67" s="6" t="s">
        <v>5</v>
      </c>
      <c r="I67" s="6" t="s">
        <v>5</v>
      </c>
      <c r="J67" s="6" t="s">
        <v>5</v>
      </c>
      <c r="K67" s="6" t="s">
        <v>5</v>
      </c>
      <c r="L67" s="6" t="s">
        <v>2</v>
      </c>
      <c r="M67" s="6" t="s">
        <v>3</v>
      </c>
      <c r="N67" s="6" t="s">
        <v>2</v>
      </c>
      <c r="O67" s="6" t="s">
        <v>3</v>
      </c>
      <c r="P67" s="6" t="s">
        <v>2</v>
      </c>
      <c r="Q67" s="6" t="s">
        <v>2</v>
      </c>
      <c r="R67" s="6" t="s">
        <v>3</v>
      </c>
      <c r="S67" s="6" t="s">
        <v>5</v>
      </c>
      <c r="T67" s="6" t="s">
        <v>2</v>
      </c>
      <c r="U67" s="6" t="s">
        <v>5</v>
      </c>
      <c r="V67" s="6" t="s">
        <v>3</v>
      </c>
      <c r="W67" s="6" t="s">
        <v>3</v>
      </c>
      <c r="X67" s="6" t="s">
        <v>3</v>
      </c>
      <c r="Y67" s="6" t="s">
        <v>2</v>
      </c>
      <c r="Z67" s="6" t="s">
        <v>3</v>
      </c>
      <c r="AA67" s="6" t="s">
        <v>4</v>
      </c>
      <c r="AB67" s="6" t="s">
        <v>4</v>
      </c>
      <c r="AC67" s="6" t="s">
        <v>3</v>
      </c>
      <c r="AD67" s="6" t="s">
        <v>4</v>
      </c>
      <c r="AE67" s="6" t="s">
        <v>4</v>
      </c>
      <c r="AF67" s="6" t="s">
        <v>3</v>
      </c>
      <c r="AG67" s="6" t="s">
        <v>3</v>
      </c>
      <c r="AH67" s="6" t="s">
        <v>4</v>
      </c>
      <c r="AI67" s="6" t="s">
        <v>3</v>
      </c>
      <c r="AJ67" s="6" t="s">
        <v>4</v>
      </c>
      <c r="AK67" s="6" t="s">
        <v>4</v>
      </c>
      <c r="AL67" s="6" t="s">
        <v>3</v>
      </c>
      <c r="AM67" s="6" t="s">
        <v>3</v>
      </c>
      <c r="AS67" s="6" t="s">
        <v>166</v>
      </c>
      <c r="AT67" s="6">
        <f>COUNTIFS(J:J,"A",C:C,1)/COUNTIF(C:C,1)</f>
        <v>0</v>
      </c>
      <c r="AU67" s="6">
        <f>COUNTIFS(J:J,"A",C:C,2)/COUNTIF(C:C,2)</f>
        <v>0</v>
      </c>
      <c r="AV67" s="6">
        <f>COUNTIFS(J:J,"A",C:C,3)/COUNTIF(C:C,3)</f>
        <v>0</v>
      </c>
      <c r="AW67" s="6">
        <f>COUNTIFS(J:J,"A",C:C,4)/COUNTIF(C:C,4)</f>
        <v>0</v>
      </c>
      <c r="AX67" s="6">
        <f>COUNTIFS(J:J,"A",C:C,5)/COUNTIF(C:C,5)</f>
        <v>0</v>
      </c>
      <c r="AY67" s="6">
        <f>COUNTIFS(J:J,"A",C:C,6)/COUNTIF(C:C,6)</f>
        <v>0</v>
      </c>
      <c r="AZ67"/>
      <c r="BA67" s="31"/>
      <c r="BB67" s="31"/>
      <c r="BC67" s="31"/>
      <c r="BD67" s="31"/>
      <c r="BE67" s="31"/>
      <c r="BF67" s="31"/>
      <c r="BG67" s="31"/>
    </row>
    <row r="68" spans="1:98">
      <c r="A68" s="6">
        <f t="shared" si="2"/>
        <v>67</v>
      </c>
      <c r="B68" s="6" t="s">
        <v>36</v>
      </c>
      <c r="C68" s="52">
        <v>6</v>
      </c>
      <c r="D68" s="6" t="s">
        <v>5</v>
      </c>
      <c r="E68" s="6" t="s">
        <v>5</v>
      </c>
      <c r="F68" s="6" t="s">
        <v>5</v>
      </c>
      <c r="G68" s="6" t="s">
        <v>5</v>
      </c>
      <c r="H68" s="6" t="s">
        <v>5</v>
      </c>
      <c r="I68" s="6" t="s">
        <v>5</v>
      </c>
      <c r="J68" s="6" t="s">
        <v>5</v>
      </c>
      <c r="K68" s="6" t="s">
        <v>2</v>
      </c>
      <c r="L68" s="6" t="s">
        <v>4</v>
      </c>
      <c r="M68" s="6" t="s">
        <v>4</v>
      </c>
      <c r="N68" s="6" t="s">
        <v>4</v>
      </c>
      <c r="O68" s="6" t="s">
        <v>5</v>
      </c>
      <c r="P68" s="6" t="s">
        <v>5</v>
      </c>
      <c r="Q68" s="6" t="s">
        <v>3</v>
      </c>
      <c r="R68" s="6" t="s">
        <v>5</v>
      </c>
      <c r="S68" s="6" t="s">
        <v>5</v>
      </c>
      <c r="T68" s="6" t="s">
        <v>2</v>
      </c>
      <c r="U68" s="6" t="s">
        <v>5</v>
      </c>
      <c r="V68" s="6" t="s">
        <v>3</v>
      </c>
      <c r="W68" s="6" t="s">
        <v>3</v>
      </c>
      <c r="X68" s="6" t="s">
        <v>3</v>
      </c>
      <c r="Y68" s="6" t="s">
        <v>2</v>
      </c>
      <c r="Z68" s="6" t="s">
        <v>3</v>
      </c>
      <c r="AA68" s="6" t="s">
        <v>4</v>
      </c>
      <c r="AB68" s="6" t="s">
        <v>4</v>
      </c>
      <c r="AC68" s="6" t="s">
        <v>4</v>
      </c>
      <c r="AD68" s="6" t="s">
        <v>4</v>
      </c>
      <c r="AE68" s="6" t="s">
        <v>3</v>
      </c>
      <c r="AF68" s="6" t="s">
        <v>3</v>
      </c>
      <c r="AG68" s="6" t="s">
        <v>3</v>
      </c>
      <c r="AH68" s="6" t="s">
        <v>4</v>
      </c>
      <c r="AI68" s="6" t="s">
        <v>3</v>
      </c>
      <c r="AJ68" s="6" t="s">
        <v>3</v>
      </c>
      <c r="AK68" s="6" t="s">
        <v>3</v>
      </c>
      <c r="AL68" s="6" t="s">
        <v>3</v>
      </c>
      <c r="AM68" s="6" t="s">
        <v>3</v>
      </c>
      <c r="AS68" s="6" t="s">
        <v>167</v>
      </c>
      <c r="AT68" s="6">
        <f>COUNTIFS(J:J,"B",C:C,1)/COUNTIF(C:C,1)</f>
        <v>0</v>
      </c>
      <c r="AU68" s="6">
        <f>COUNTIFS(J:J,"B",C:C,2)/COUNTIF(C:C,2)</f>
        <v>7.6923076923076927E-2</v>
      </c>
      <c r="AV68" s="6">
        <f>COUNTIFS(J:J,"B",C:C,3)/COUNTIF(C:C,3)</f>
        <v>0</v>
      </c>
      <c r="AW68" s="6">
        <f>COUNTIFS(J:J,"B",C:C,4)/COUNTIF(C:C,4)</f>
        <v>0</v>
      </c>
      <c r="AX68" s="6">
        <f>COUNTIFS(J:J,"B",C:C,5)/COUNTIF(C:C,5)</f>
        <v>0</v>
      </c>
      <c r="AY68" s="6">
        <f>COUNTIFS(J:J,"B",C:C,6)/COUNTIF(C:C,6)</f>
        <v>0</v>
      </c>
      <c r="AZ68"/>
      <c r="BA68" s="31"/>
      <c r="BB68" s="31"/>
      <c r="BC68" s="31"/>
      <c r="BD68" s="31"/>
      <c r="BE68" s="31"/>
      <c r="BF68" s="31"/>
      <c r="BG68" s="31"/>
      <c r="BI68" s="3"/>
    </row>
    <row r="69" spans="1:98">
      <c r="A69" s="6">
        <f t="shared" si="2"/>
        <v>68</v>
      </c>
      <c r="B69" s="6" t="s">
        <v>37</v>
      </c>
      <c r="C69" s="52">
        <v>6</v>
      </c>
      <c r="D69" s="6" t="s">
        <v>5</v>
      </c>
      <c r="E69" s="6" t="s">
        <v>3</v>
      </c>
      <c r="F69" s="6" t="s">
        <v>2</v>
      </c>
      <c r="G69" s="6" t="s">
        <v>5</v>
      </c>
      <c r="H69" s="6" t="s">
        <v>5</v>
      </c>
      <c r="I69" s="6" t="s">
        <v>5</v>
      </c>
      <c r="J69" s="6" t="s">
        <v>5</v>
      </c>
      <c r="K69" s="6" t="s">
        <v>2</v>
      </c>
      <c r="L69" s="6" t="s">
        <v>2</v>
      </c>
      <c r="M69" s="6" t="s">
        <v>4</v>
      </c>
      <c r="N69" s="6" t="s">
        <v>4</v>
      </c>
      <c r="O69" s="6" t="s">
        <v>5</v>
      </c>
      <c r="P69" s="6" t="s">
        <v>5</v>
      </c>
      <c r="Q69" s="6" t="s">
        <v>4</v>
      </c>
      <c r="R69" s="6" t="s">
        <v>5</v>
      </c>
      <c r="S69" s="6" t="s">
        <v>5</v>
      </c>
      <c r="T69" s="6" t="s">
        <v>2</v>
      </c>
      <c r="U69" s="6" t="s">
        <v>5</v>
      </c>
      <c r="V69" s="6" t="s">
        <v>5</v>
      </c>
      <c r="W69" s="6" t="s">
        <v>4</v>
      </c>
      <c r="X69" s="6" t="s">
        <v>3</v>
      </c>
      <c r="Y69" s="6" t="s">
        <v>2</v>
      </c>
      <c r="Z69" s="6" t="s">
        <v>3</v>
      </c>
      <c r="AA69" s="6" t="s">
        <v>3</v>
      </c>
      <c r="AB69" s="6" t="s">
        <v>4</v>
      </c>
      <c r="AC69" s="6" t="s">
        <v>4</v>
      </c>
      <c r="AD69" s="6" t="s">
        <v>4</v>
      </c>
      <c r="AE69" s="6" t="s">
        <v>4</v>
      </c>
      <c r="AF69" s="6" t="s">
        <v>4</v>
      </c>
      <c r="AG69" s="6" t="s">
        <v>3</v>
      </c>
      <c r="AH69" s="6" t="s">
        <v>4</v>
      </c>
      <c r="AI69" s="6" t="s">
        <v>3</v>
      </c>
      <c r="AJ69" s="6" t="s">
        <v>4</v>
      </c>
      <c r="AK69" s="6" t="s">
        <v>4</v>
      </c>
      <c r="AL69" s="6" t="s">
        <v>4</v>
      </c>
      <c r="AM69" s="6" t="s">
        <v>3</v>
      </c>
      <c r="AS69" s="6" t="s">
        <v>168</v>
      </c>
      <c r="AT69" s="6">
        <f>COUNTIFS(J:J,"C",C:C,1)/COUNTIF(C:C,1)</f>
        <v>0.23076923076923078</v>
      </c>
      <c r="AU69" s="6">
        <f>COUNTIFS(J:J,"C",C:C,2)/COUNTIF(C:C,2)</f>
        <v>0.46153846153846156</v>
      </c>
      <c r="AV69" s="6">
        <f>COUNTIFS(J:J,"C",C:C,3)/COUNTIF(C:C,3)</f>
        <v>0.15384615384615385</v>
      </c>
      <c r="AW69" s="6">
        <f>COUNTIFS(J:J,"C",C:C,4)/COUNTIF(C:C,4)</f>
        <v>7.6923076923076927E-2</v>
      </c>
      <c r="AX69" s="6">
        <f>COUNTIFS(J:J,"C",C:C,5)/COUNTIF(C:C,5)</f>
        <v>0.15384615384615385</v>
      </c>
      <c r="AY69" s="6">
        <f>COUNTIFS(J:J,"C",C:C,6)/COUNTIF(C:C,6)</f>
        <v>0.23076923076923078</v>
      </c>
      <c r="AZ69"/>
      <c r="BA69" s="31"/>
      <c r="BB69" s="31"/>
      <c r="BC69" s="31"/>
      <c r="BD69" s="31"/>
      <c r="BE69" s="31"/>
      <c r="BF69" s="31"/>
      <c r="BG69" s="31"/>
    </row>
    <row r="70" spans="1:98">
      <c r="A70" s="6">
        <f t="shared" si="2"/>
        <v>69</v>
      </c>
      <c r="B70" s="6" t="s">
        <v>38</v>
      </c>
      <c r="C70" s="52">
        <v>6</v>
      </c>
      <c r="D70" s="6" t="s">
        <v>5</v>
      </c>
      <c r="E70" s="6" t="s">
        <v>3</v>
      </c>
      <c r="F70" s="6" t="s">
        <v>5</v>
      </c>
      <c r="G70" s="6" t="s">
        <v>5</v>
      </c>
      <c r="H70" s="6" t="s">
        <v>5</v>
      </c>
      <c r="I70" s="6" t="s">
        <v>5</v>
      </c>
      <c r="J70" s="6" t="s">
        <v>5</v>
      </c>
      <c r="K70" s="6" t="s">
        <v>2</v>
      </c>
      <c r="L70" s="6" t="s">
        <v>2</v>
      </c>
      <c r="M70" s="6" t="s">
        <v>4</v>
      </c>
      <c r="N70" s="6" t="s">
        <v>3</v>
      </c>
      <c r="O70" s="6" t="s">
        <v>5</v>
      </c>
      <c r="P70" s="6" t="s">
        <v>2</v>
      </c>
      <c r="Q70" s="6" t="s">
        <v>3</v>
      </c>
      <c r="R70" s="6" t="s">
        <v>2</v>
      </c>
      <c r="S70" s="6" t="s">
        <v>5</v>
      </c>
      <c r="T70" s="6" t="s">
        <v>5</v>
      </c>
      <c r="U70" s="6" t="s">
        <v>5</v>
      </c>
      <c r="V70" s="6" t="s">
        <v>5</v>
      </c>
      <c r="W70" s="6" t="s">
        <v>2</v>
      </c>
      <c r="X70" s="6" t="s">
        <v>2</v>
      </c>
      <c r="Y70" s="6" t="s">
        <v>2</v>
      </c>
      <c r="Z70" s="6" t="s">
        <v>3</v>
      </c>
      <c r="AA70" s="6" t="s">
        <v>4</v>
      </c>
      <c r="AB70" s="6" t="s">
        <v>4</v>
      </c>
      <c r="AC70" s="6" t="s">
        <v>4</v>
      </c>
      <c r="AD70" s="6" t="s">
        <v>4</v>
      </c>
      <c r="AE70" s="6" t="s">
        <v>4</v>
      </c>
      <c r="AF70" s="6" t="s">
        <v>3</v>
      </c>
      <c r="AG70" s="6" t="s">
        <v>4</v>
      </c>
      <c r="AH70" s="6" t="s">
        <v>4</v>
      </c>
      <c r="AI70" s="6" t="s">
        <v>4</v>
      </c>
      <c r="AJ70" s="6" t="s">
        <v>4</v>
      </c>
      <c r="AK70" s="6" t="s">
        <v>4</v>
      </c>
      <c r="AL70" s="6" t="s">
        <v>4</v>
      </c>
      <c r="AM70" s="6" t="s">
        <v>3</v>
      </c>
      <c r="AS70" s="6" t="s">
        <v>169</v>
      </c>
      <c r="AT70" s="6">
        <f>COUNTIFS(J:J,"D",C:C,1)/COUNTIF(C:C,1)</f>
        <v>0.76923076923076927</v>
      </c>
      <c r="AU70" s="6">
        <f>COUNTIFS(J:J,"D",C:C,2)/COUNTIF(C:C,2)</f>
        <v>0.46153846153846156</v>
      </c>
      <c r="AV70" s="6">
        <f>COUNTIFS(J:J,"D",C:C,3)/COUNTIF(C:C,3)</f>
        <v>0.84615384615384615</v>
      </c>
      <c r="AW70" s="6">
        <f>COUNTIFS(J:J,"D",C:C,4)/COUNTIF(C:C,4)</f>
        <v>0.92307692307692313</v>
      </c>
      <c r="AX70" s="6">
        <f>COUNTIFS(J:J,"D",C:C,5)/COUNTIF(C:C,5)</f>
        <v>0.84615384615384615</v>
      </c>
      <c r="AY70" s="6">
        <f>COUNTIFS(J:J,"D",C:C,6)/COUNTIF(C:C,6)</f>
        <v>0.76923076923076927</v>
      </c>
      <c r="AZ70"/>
      <c r="BA70" s="31"/>
      <c r="BB70" s="31"/>
      <c r="BC70" s="31"/>
      <c r="BD70" s="31"/>
      <c r="BE70" s="31"/>
      <c r="BF70" s="31"/>
      <c r="BG70" s="31"/>
      <c r="BI70" s="3"/>
    </row>
    <row r="71" spans="1:98">
      <c r="A71" s="6">
        <f t="shared" si="2"/>
        <v>70</v>
      </c>
      <c r="B71" s="6" t="s">
        <v>254</v>
      </c>
      <c r="C71" s="52">
        <v>6</v>
      </c>
      <c r="D71" s="6" t="s">
        <v>4</v>
      </c>
      <c r="E71" s="6" t="s">
        <v>5</v>
      </c>
      <c r="F71" s="6" t="s">
        <v>2</v>
      </c>
      <c r="G71" s="6" t="s">
        <v>5</v>
      </c>
      <c r="H71" s="6" t="s">
        <v>5</v>
      </c>
      <c r="I71" s="6" t="s">
        <v>5</v>
      </c>
      <c r="J71" s="6" t="s">
        <v>2</v>
      </c>
      <c r="K71" s="6" t="s">
        <v>2</v>
      </c>
      <c r="L71" s="6" t="s">
        <v>2</v>
      </c>
      <c r="M71" s="6" t="s">
        <v>4</v>
      </c>
      <c r="N71" s="6" t="s">
        <v>3</v>
      </c>
      <c r="O71" s="6" t="s">
        <v>5</v>
      </c>
      <c r="P71" s="6" t="s">
        <v>5</v>
      </c>
      <c r="Q71" s="6" t="s">
        <v>4</v>
      </c>
      <c r="R71" s="6" t="s">
        <v>5</v>
      </c>
      <c r="S71" s="6" t="s">
        <v>5</v>
      </c>
      <c r="T71" s="6" t="s">
        <v>5</v>
      </c>
      <c r="U71" s="6" t="s">
        <v>5</v>
      </c>
      <c r="V71" s="6" t="s">
        <v>5</v>
      </c>
      <c r="W71" s="6" t="s">
        <v>4</v>
      </c>
      <c r="X71" s="6" t="s">
        <v>3</v>
      </c>
      <c r="Y71" s="6" t="s">
        <v>2</v>
      </c>
      <c r="Z71" s="6" t="s">
        <v>3</v>
      </c>
      <c r="AA71" s="6" t="s">
        <v>4</v>
      </c>
      <c r="AB71" s="6" t="s">
        <v>4</v>
      </c>
      <c r="AC71" s="6" t="s">
        <v>4</v>
      </c>
      <c r="AD71" s="6" t="s">
        <v>3</v>
      </c>
      <c r="AE71" s="6" t="s">
        <v>4</v>
      </c>
      <c r="AF71" s="6" t="s">
        <v>3</v>
      </c>
      <c r="AG71" s="6" t="s">
        <v>3</v>
      </c>
      <c r="AH71" s="6" t="s">
        <v>3</v>
      </c>
      <c r="AI71" s="6" t="s">
        <v>3</v>
      </c>
      <c r="AJ71" s="6" t="s">
        <v>3</v>
      </c>
      <c r="AK71" s="6" t="s">
        <v>3</v>
      </c>
      <c r="AL71" s="6" t="s">
        <v>3</v>
      </c>
      <c r="AM71" s="6" t="s">
        <v>3</v>
      </c>
      <c r="AZ71"/>
      <c r="BA71" s="33"/>
      <c r="BB71" s="33"/>
      <c r="BC71" s="33"/>
      <c r="BD71" s="33"/>
      <c r="BE71" s="33"/>
      <c r="BF71" s="33"/>
      <c r="BG71" s="33"/>
    </row>
    <row r="72" spans="1:98">
      <c r="A72" s="6">
        <f t="shared" si="2"/>
        <v>71</v>
      </c>
      <c r="B72" s="6" t="s">
        <v>253</v>
      </c>
      <c r="C72" s="52">
        <v>6</v>
      </c>
      <c r="D72" s="6" t="s">
        <v>5</v>
      </c>
      <c r="E72" s="6" t="s">
        <v>5</v>
      </c>
      <c r="F72" s="6" t="s">
        <v>3</v>
      </c>
      <c r="G72" s="6" t="s">
        <v>2</v>
      </c>
      <c r="H72" s="6" t="s">
        <v>5</v>
      </c>
      <c r="I72" s="6" t="s">
        <v>5</v>
      </c>
      <c r="J72" s="6" t="s">
        <v>5</v>
      </c>
      <c r="K72" s="6" t="s">
        <v>5</v>
      </c>
      <c r="L72" s="6" t="s">
        <v>2</v>
      </c>
      <c r="M72" s="6" t="s">
        <v>4</v>
      </c>
      <c r="N72" s="6" t="s">
        <v>4</v>
      </c>
      <c r="O72" s="6" t="s">
        <v>2</v>
      </c>
      <c r="P72" s="6" t="s">
        <v>5</v>
      </c>
      <c r="Q72" s="6" t="s">
        <v>2</v>
      </c>
      <c r="R72" s="6" t="s">
        <v>2</v>
      </c>
      <c r="S72" s="6" t="s">
        <v>5</v>
      </c>
      <c r="T72" s="6" t="s">
        <v>3</v>
      </c>
      <c r="U72" s="6" t="s">
        <v>5</v>
      </c>
      <c r="V72" s="6" t="s">
        <v>3</v>
      </c>
      <c r="W72" s="6" t="s">
        <v>2</v>
      </c>
      <c r="X72" s="6" t="s">
        <v>2</v>
      </c>
      <c r="Y72" s="6" t="s">
        <v>5</v>
      </c>
      <c r="Z72" s="6" t="s">
        <v>3</v>
      </c>
      <c r="AA72" s="6" t="s">
        <v>4</v>
      </c>
      <c r="AB72" s="6" t="s">
        <v>4</v>
      </c>
      <c r="AC72" s="6" t="s">
        <v>4</v>
      </c>
      <c r="AD72" s="6" t="s">
        <v>3</v>
      </c>
      <c r="AE72" s="6" t="s">
        <v>4</v>
      </c>
      <c r="AF72" s="6" t="s">
        <v>3</v>
      </c>
      <c r="AG72" s="6" t="s">
        <v>3</v>
      </c>
      <c r="AH72" s="6" t="s">
        <v>3</v>
      </c>
      <c r="AI72" s="6" t="s">
        <v>3</v>
      </c>
      <c r="AJ72" s="6" t="s">
        <v>3</v>
      </c>
      <c r="AK72" s="6" t="s">
        <v>3</v>
      </c>
      <c r="AL72" s="6" t="s">
        <v>4</v>
      </c>
      <c r="AM72" s="6" t="s">
        <v>3</v>
      </c>
      <c r="AS72" s="7" t="s">
        <v>239</v>
      </c>
      <c r="AT72" s="7">
        <v>1</v>
      </c>
      <c r="AU72" s="7">
        <v>2</v>
      </c>
      <c r="AV72" s="7">
        <v>3</v>
      </c>
      <c r="AW72" s="7">
        <v>4</v>
      </c>
      <c r="AX72" s="7">
        <v>5</v>
      </c>
      <c r="AY72" s="7">
        <v>6</v>
      </c>
      <c r="AZ72"/>
      <c r="BA72" s="31"/>
      <c r="BB72" s="31"/>
      <c r="BC72" s="31"/>
      <c r="BD72" s="31"/>
      <c r="BE72" s="31"/>
      <c r="BF72" s="31"/>
      <c r="BG72" s="31"/>
      <c r="BI72" s="3"/>
    </row>
    <row r="73" spans="1:98">
      <c r="A73" s="6">
        <f t="shared" si="2"/>
        <v>72</v>
      </c>
      <c r="B73" s="6" t="s">
        <v>275</v>
      </c>
      <c r="C73" s="52">
        <v>6</v>
      </c>
      <c r="D73" s="6" t="s">
        <v>5</v>
      </c>
      <c r="E73" s="6" t="s">
        <v>3</v>
      </c>
      <c r="F73" s="6" t="s">
        <v>3</v>
      </c>
      <c r="G73" s="6" t="s">
        <v>5</v>
      </c>
      <c r="H73" s="6" t="s">
        <v>5</v>
      </c>
      <c r="I73" s="6" t="s">
        <v>5</v>
      </c>
      <c r="J73" s="6" t="s">
        <v>5</v>
      </c>
      <c r="K73" s="6" t="s">
        <v>2</v>
      </c>
      <c r="L73" s="6" t="s">
        <v>2</v>
      </c>
      <c r="M73" s="6" t="s">
        <v>5</v>
      </c>
      <c r="N73" s="6" t="s">
        <v>3</v>
      </c>
      <c r="O73" s="6" t="s">
        <v>5</v>
      </c>
      <c r="P73" s="6" t="s">
        <v>5</v>
      </c>
      <c r="Q73" s="6" t="s">
        <v>3</v>
      </c>
      <c r="R73" s="6" t="s">
        <v>2</v>
      </c>
      <c r="S73" s="6" t="s">
        <v>5</v>
      </c>
      <c r="T73" s="6" t="s">
        <v>5</v>
      </c>
      <c r="U73" s="6" t="s">
        <v>5</v>
      </c>
      <c r="V73" s="6" t="s">
        <v>5</v>
      </c>
      <c r="W73" s="6" t="s">
        <v>4</v>
      </c>
      <c r="X73" s="6" t="s">
        <v>4</v>
      </c>
      <c r="Y73" s="6" t="s">
        <v>4</v>
      </c>
      <c r="Z73" s="6" t="s">
        <v>3</v>
      </c>
      <c r="AA73" s="6" t="s">
        <v>4</v>
      </c>
      <c r="AB73" s="6" t="s">
        <v>4</v>
      </c>
      <c r="AC73" s="6" t="s">
        <v>4</v>
      </c>
      <c r="AD73" s="6" t="s">
        <v>4</v>
      </c>
      <c r="AE73" s="6" t="s">
        <v>4</v>
      </c>
      <c r="AF73" s="6" t="s">
        <v>4</v>
      </c>
      <c r="AG73" s="6" t="s">
        <v>3</v>
      </c>
      <c r="AH73" s="6" t="s">
        <v>4</v>
      </c>
      <c r="AI73" s="6" t="s">
        <v>3</v>
      </c>
      <c r="AJ73" s="6" t="s">
        <v>3</v>
      </c>
      <c r="AK73" s="6" t="s">
        <v>3</v>
      </c>
      <c r="AL73" s="6" t="s">
        <v>4</v>
      </c>
      <c r="AM73" s="6" t="s">
        <v>3</v>
      </c>
      <c r="AS73" s="6" t="s">
        <v>170</v>
      </c>
      <c r="AT73" s="6">
        <f>COUNTIFS(K:K,"A",C:C,1)/COUNTIF(C:C,1)</f>
        <v>0</v>
      </c>
      <c r="AU73" s="6">
        <f>COUNTIFS(K:K,"A",C:C,2)/COUNTIF(C:C,2)</f>
        <v>7.6923076923076927E-2</v>
      </c>
      <c r="AV73" s="6">
        <f>COUNTIFS(K:K,"A",C:C,3)/COUNTIF(C:C,3)</f>
        <v>0</v>
      </c>
      <c r="AW73" s="6">
        <f>COUNTIFS(K:K,"A",C:C,4)/COUNTIF(C:C,4)</f>
        <v>0</v>
      </c>
      <c r="AX73" s="6">
        <f>COUNTIFS(K:K,"A",C:C,5)/COUNTIF(C:C,5)</f>
        <v>0</v>
      </c>
      <c r="AY73" s="6">
        <f>COUNTIFS(K:K,"A",C:C,6)/COUNTIF(C:C,6)</f>
        <v>0</v>
      </c>
      <c r="AZ73"/>
      <c r="BA73" s="31"/>
      <c r="BB73" s="31"/>
      <c r="BC73" s="31"/>
      <c r="BD73" s="31"/>
      <c r="BE73" s="31"/>
      <c r="BF73" s="31"/>
      <c r="BG73" s="31"/>
    </row>
    <row r="74" spans="1:98">
      <c r="A74" s="6">
        <f t="shared" si="2"/>
        <v>73</v>
      </c>
      <c r="B74" s="6" t="s">
        <v>276</v>
      </c>
      <c r="C74" s="52">
        <v>6</v>
      </c>
      <c r="D74" s="6" t="s">
        <v>5</v>
      </c>
      <c r="E74" s="6" t="s">
        <v>5</v>
      </c>
      <c r="F74" s="6" t="s">
        <v>5</v>
      </c>
      <c r="G74" s="6" t="s">
        <v>5</v>
      </c>
      <c r="H74" s="6" t="s">
        <v>5</v>
      </c>
      <c r="I74" s="6" t="s">
        <v>5</v>
      </c>
      <c r="J74" s="6" t="s">
        <v>5</v>
      </c>
      <c r="K74" s="6" t="s">
        <v>2</v>
      </c>
      <c r="L74" s="6" t="s">
        <v>3</v>
      </c>
      <c r="M74" s="6" t="s">
        <v>5</v>
      </c>
      <c r="N74" s="6" t="s">
        <v>4</v>
      </c>
      <c r="O74" s="6" t="s">
        <v>5</v>
      </c>
      <c r="P74" s="6" t="s">
        <v>2</v>
      </c>
      <c r="Q74" s="6" t="s">
        <v>2</v>
      </c>
      <c r="R74" s="6" t="s">
        <v>2</v>
      </c>
      <c r="S74" s="6" t="s">
        <v>5</v>
      </c>
      <c r="T74" s="6" t="s">
        <v>3</v>
      </c>
      <c r="U74" s="6" t="s">
        <v>5</v>
      </c>
      <c r="V74" s="6" t="s">
        <v>5</v>
      </c>
      <c r="W74" s="6" t="s">
        <v>3</v>
      </c>
      <c r="X74" s="6" t="s">
        <v>2</v>
      </c>
      <c r="Y74" s="6" t="s">
        <v>2</v>
      </c>
      <c r="Z74" s="6" t="s">
        <v>3</v>
      </c>
      <c r="AA74" s="6" t="s">
        <v>4</v>
      </c>
      <c r="AB74" s="6" t="s">
        <v>4</v>
      </c>
      <c r="AC74" s="6" t="s">
        <v>4</v>
      </c>
      <c r="AD74" s="6" t="s">
        <v>4</v>
      </c>
      <c r="AE74" s="6" t="s">
        <v>4</v>
      </c>
      <c r="AF74" s="6" t="s">
        <v>4</v>
      </c>
      <c r="AG74" s="6" t="s">
        <v>4</v>
      </c>
      <c r="AH74" s="6" t="s">
        <v>4</v>
      </c>
      <c r="AI74" s="6" t="s">
        <v>3</v>
      </c>
      <c r="AJ74" s="6" t="s">
        <v>3</v>
      </c>
      <c r="AK74" s="6" t="s">
        <v>4</v>
      </c>
      <c r="AL74" s="6" t="s">
        <v>4</v>
      </c>
      <c r="AM74" s="6" t="s">
        <v>3</v>
      </c>
      <c r="AS74" s="6" t="s">
        <v>171</v>
      </c>
      <c r="AT74" s="6">
        <f>COUNTIFS(K:K,"B",C:C,1)/COUNTIF(C:C,1)</f>
        <v>0</v>
      </c>
      <c r="AU74" s="6">
        <f>COUNTIFS(K:K,"B",C:C,2)/COUNTIF(C:C,2)</f>
        <v>0</v>
      </c>
      <c r="AV74" s="6">
        <f>COUNTIFS(K:K,"B",C:C,3)/COUNTIF(C:C,3)</f>
        <v>0</v>
      </c>
      <c r="AW74" s="6">
        <f>COUNTIFS(K:K,"B",C:C,4)/COUNTIF(C:C,4)</f>
        <v>0</v>
      </c>
      <c r="AX74" s="6">
        <f>COUNTIFS(K:K,"B",C:C,5)/COUNTIF(C:C,5)</f>
        <v>0</v>
      </c>
      <c r="AY74" s="6">
        <f>COUNTIFS(K:K,"B",C:C,6)/COUNTIF(C:C,6)</f>
        <v>0</v>
      </c>
      <c r="AZ74"/>
      <c r="BA74" s="31"/>
      <c r="BB74" s="31"/>
      <c r="BC74" s="31"/>
      <c r="BD74" s="31"/>
      <c r="BE74" s="31"/>
      <c r="BF74" s="31"/>
      <c r="BG74" s="31"/>
      <c r="BI74" s="3"/>
    </row>
    <row r="75" spans="1:98">
      <c r="A75" s="6">
        <f t="shared" si="2"/>
        <v>74</v>
      </c>
      <c r="B75" s="6" t="s">
        <v>277</v>
      </c>
      <c r="C75" s="52">
        <v>6</v>
      </c>
      <c r="D75" s="6" t="s">
        <v>5</v>
      </c>
      <c r="E75" s="6" t="s">
        <v>3</v>
      </c>
      <c r="F75" s="6" t="s">
        <v>4</v>
      </c>
      <c r="G75" s="6" t="s">
        <v>5</v>
      </c>
      <c r="H75" s="6" t="s">
        <v>5</v>
      </c>
      <c r="I75" s="6" t="s">
        <v>3</v>
      </c>
      <c r="J75" s="6" t="s">
        <v>2</v>
      </c>
      <c r="K75" s="6" t="s">
        <v>2</v>
      </c>
      <c r="L75" s="6" t="s">
        <v>3</v>
      </c>
      <c r="M75" s="6" t="s">
        <v>3</v>
      </c>
      <c r="N75" s="6" t="s">
        <v>4</v>
      </c>
      <c r="O75" s="6" t="s">
        <v>5</v>
      </c>
      <c r="P75" s="6" t="s">
        <v>5</v>
      </c>
      <c r="Q75" s="6" t="s">
        <v>3</v>
      </c>
      <c r="R75" s="6" t="s">
        <v>5</v>
      </c>
      <c r="S75" s="6" t="s">
        <v>5</v>
      </c>
      <c r="T75" s="6" t="s">
        <v>5</v>
      </c>
      <c r="U75" s="6" t="s">
        <v>5</v>
      </c>
      <c r="V75" s="6" t="s">
        <v>4</v>
      </c>
      <c r="W75" s="6" t="s">
        <v>4</v>
      </c>
      <c r="X75" s="6" t="s">
        <v>3</v>
      </c>
      <c r="Y75" s="6" t="s">
        <v>4</v>
      </c>
      <c r="Z75" s="6" t="s">
        <v>3</v>
      </c>
      <c r="AA75" s="6" t="s">
        <v>3</v>
      </c>
      <c r="AB75" s="6" t="s">
        <v>3</v>
      </c>
      <c r="AC75" s="6" t="s">
        <v>4</v>
      </c>
      <c r="AD75" s="6" t="s">
        <v>4</v>
      </c>
      <c r="AE75" s="6" t="s">
        <v>4</v>
      </c>
      <c r="AF75" s="6" t="s">
        <v>4</v>
      </c>
      <c r="AG75" s="6" t="s">
        <v>4</v>
      </c>
      <c r="AH75" s="6" t="s">
        <v>4</v>
      </c>
      <c r="AI75" s="6" t="s">
        <v>4</v>
      </c>
      <c r="AJ75" s="6" t="s">
        <v>4</v>
      </c>
      <c r="AK75" s="6" t="s">
        <v>4</v>
      </c>
      <c r="AL75" s="6" t="s">
        <v>4</v>
      </c>
      <c r="AM75" s="6" t="s">
        <v>4</v>
      </c>
      <c r="AS75" s="6" t="s">
        <v>172</v>
      </c>
      <c r="AT75" s="6">
        <f>COUNTIFS(K:K,"C",C:C,1)/COUNTIF(C:C,1)</f>
        <v>1</v>
      </c>
      <c r="AU75" s="6">
        <f>COUNTIFS(K:K,"C",C:C,2)/COUNTIF(C:C,2)</f>
        <v>0.92307692307692313</v>
      </c>
      <c r="AV75" s="6">
        <f>COUNTIFS(K:K,"C",C:C,3)/COUNTIF(C:C,3)</f>
        <v>1</v>
      </c>
      <c r="AW75" s="6">
        <f>COUNTIFS(K:K,"C",C:C,4)/COUNTIF(C:C,4)</f>
        <v>1</v>
      </c>
      <c r="AX75" s="6">
        <f>COUNTIFS(K:K,"C",C:C,5)/COUNTIF(C:C,5)</f>
        <v>1</v>
      </c>
      <c r="AY75" s="6">
        <f>COUNTIFS(K:K,"C",C:C,6)/COUNTIF(C:C,6)</f>
        <v>0.84615384615384615</v>
      </c>
      <c r="AZ75"/>
      <c r="BA75" s="31"/>
      <c r="BB75" s="31"/>
      <c r="BC75" s="31"/>
      <c r="BD75" s="31"/>
      <c r="BE75" s="31"/>
      <c r="BF75" s="31"/>
      <c r="BG75" s="31"/>
    </row>
    <row r="76" spans="1:98">
      <c r="A76" s="6">
        <f t="shared" si="2"/>
        <v>75</v>
      </c>
      <c r="B76" s="6" t="s">
        <v>278</v>
      </c>
      <c r="C76" s="52">
        <v>6</v>
      </c>
      <c r="D76" s="6" t="s">
        <v>5</v>
      </c>
      <c r="E76" s="6" t="s">
        <v>5</v>
      </c>
      <c r="F76" s="6" t="s">
        <v>3</v>
      </c>
      <c r="G76" s="6" t="s">
        <v>5</v>
      </c>
      <c r="H76" s="6" t="s">
        <v>5</v>
      </c>
      <c r="I76" s="6" t="s">
        <v>5</v>
      </c>
      <c r="J76" s="6" t="s">
        <v>5</v>
      </c>
      <c r="K76" s="6" t="s">
        <v>2</v>
      </c>
      <c r="L76" s="6" t="s">
        <v>2</v>
      </c>
      <c r="M76" s="6" t="s">
        <v>4</v>
      </c>
      <c r="N76" s="6" t="s">
        <v>4</v>
      </c>
      <c r="O76" s="6" t="s">
        <v>4</v>
      </c>
      <c r="P76" s="6" t="s">
        <v>5</v>
      </c>
      <c r="Q76" s="6" t="s">
        <v>4</v>
      </c>
      <c r="R76" s="6" t="s">
        <v>5</v>
      </c>
      <c r="S76" s="6" t="s">
        <v>5</v>
      </c>
      <c r="T76" s="6" t="s">
        <v>5</v>
      </c>
      <c r="U76" s="6" t="s">
        <v>5</v>
      </c>
      <c r="V76" s="6" t="s">
        <v>3</v>
      </c>
      <c r="W76" s="6" t="s">
        <v>5</v>
      </c>
      <c r="X76" s="6" t="s">
        <v>2</v>
      </c>
      <c r="Y76" s="6" t="s">
        <v>4</v>
      </c>
      <c r="Z76" s="6" t="s">
        <v>3</v>
      </c>
      <c r="AA76" s="6" t="s">
        <v>4</v>
      </c>
      <c r="AB76" s="6" t="s">
        <v>4</v>
      </c>
      <c r="AC76" s="6" t="s">
        <v>4</v>
      </c>
      <c r="AD76" s="6" t="s">
        <v>4</v>
      </c>
      <c r="AE76" s="6" t="s">
        <v>4</v>
      </c>
      <c r="AF76" s="6" t="s">
        <v>4</v>
      </c>
      <c r="AG76" s="6" t="s">
        <v>3</v>
      </c>
      <c r="AH76" s="6" t="s">
        <v>4</v>
      </c>
      <c r="AI76" s="6" t="s">
        <v>3</v>
      </c>
      <c r="AJ76" s="6" t="s">
        <v>3</v>
      </c>
      <c r="AK76" s="6" t="s">
        <v>4</v>
      </c>
      <c r="AL76" s="6" t="s">
        <v>4</v>
      </c>
      <c r="AM76" s="6" t="s">
        <v>3</v>
      </c>
      <c r="AS76" s="6" t="s">
        <v>173</v>
      </c>
      <c r="AT76" s="6">
        <f>COUNTIFS(K:K,"D",C:C,1)/COUNTIF(C:C,1)</f>
        <v>0</v>
      </c>
      <c r="AU76" s="6">
        <f>COUNTIFS(K:K,"D",C:C,2)/COUNTIF(C:C,2)</f>
        <v>0</v>
      </c>
      <c r="AV76" s="6">
        <f>COUNTIFS(K:K,"D",C:C,3)/COUNTIF(C:C,3)</f>
        <v>0</v>
      </c>
      <c r="AW76" s="6">
        <f>COUNTIFS(K:K,"D",C:C,4)/COUNTIF(C:C,4)</f>
        <v>0</v>
      </c>
      <c r="AX76" s="6">
        <f>COUNTIFS(K:K,"D",C:C,5)/COUNTIF(C:C,5)</f>
        <v>0</v>
      </c>
      <c r="AY76" s="6">
        <f>COUNTIFS(K:K,"D",C:C,6)/COUNTIF(C:C,6)</f>
        <v>0.15384615384615385</v>
      </c>
      <c r="AZ76"/>
      <c r="BA76" s="31"/>
      <c r="BB76" s="31"/>
      <c r="BC76" s="31"/>
      <c r="BD76" s="31"/>
      <c r="BE76" s="31"/>
      <c r="BF76" s="31"/>
      <c r="BG76" s="31"/>
      <c r="BI76" s="3"/>
    </row>
    <row r="77" spans="1:98">
      <c r="A77" s="6">
        <f t="shared" si="2"/>
        <v>76</v>
      </c>
      <c r="B77" s="6" t="s">
        <v>474</v>
      </c>
      <c r="C77" s="6">
        <v>6</v>
      </c>
      <c r="D77" s="6" t="s">
        <v>5</v>
      </c>
      <c r="E77" s="6" t="s">
        <v>5</v>
      </c>
      <c r="F77" s="6" t="s">
        <v>3</v>
      </c>
      <c r="G77" s="6" t="s">
        <v>5</v>
      </c>
      <c r="H77" s="6" t="s">
        <v>5</v>
      </c>
      <c r="I77" s="6" t="s">
        <v>5</v>
      </c>
      <c r="J77" s="6" t="s">
        <v>2</v>
      </c>
      <c r="K77" s="6" t="s">
        <v>2</v>
      </c>
      <c r="L77" s="6" t="s">
        <v>2</v>
      </c>
      <c r="M77" s="6" t="s">
        <v>2</v>
      </c>
      <c r="N77" s="6" t="s">
        <v>4</v>
      </c>
      <c r="O77" s="6" t="s">
        <v>5</v>
      </c>
      <c r="P77" s="6" t="s">
        <v>2</v>
      </c>
      <c r="Q77" s="6" t="s">
        <v>3</v>
      </c>
      <c r="R77" s="6" t="s">
        <v>3</v>
      </c>
      <c r="S77" s="6" t="s">
        <v>5</v>
      </c>
      <c r="T77" s="6" t="s">
        <v>3</v>
      </c>
      <c r="U77" s="6" t="s">
        <v>2</v>
      </c>
      <c r="V77" s="6" t="s">
        <v>3</v>
      </c>
      <c r="W77" s="6" t="s">
        <v>4</v>
      </c>
      <c r="X77" s="6" t="s">
        <v>4</v>
      </c>
      <c r="Y77" s="6" t="s">
        <v>4</v>
      </c>
      <c r="Z77" s="6" t="s">
        <v>3</v>
      </c>
      <c r="AA77" s="6" t="s">
        <v>4</v>
      </c>
      <c r="AB77" s="6" t="s">
        <v>4</v>
      </c>
      <c r="AC77" s="6" t="s">
        <v>4</v>
      </c>
      <c r="AD77" s="6" t="s">
        <v>4</v>
      </c>
      <c r="AE77" s="6" t="s">
        <v>4</v>
      </c>
      <c r="AF77" s="6" t="s">
        <v>4</v>
      </c>
      <c r="AG77" s="6" t="s">
        <v>3</v>
      </c>
      <c r="AH77" s="6" t="s">
        <v>4</v>
      </c>
      <c r="AI77" s="6" t="s">
        <v>3</v>
      </c>
      <c r="AJ77" s="6" t="s">
        <v>4</v>
      </c>
      <c r="AK77" s="6" t="s">
        <v>3</v>
      </c>
      <c r="AL77" s="6" t="s">
        <v>3</v>
      </c>
      <c r="AM77" s="6" t="s">
        <v>3</v>
      </c>
      <c r="AZ77"/>
      <c r="BA77" s="33"/>
      <c r="BB77" s="33"/>
      <c r="BC77" s="33"/>
      <c r="BD77" s="33"/>
      <c r="BE77" s="33"/>
      <c r="BF77" s="33"/>
      <c r="BG77" s="33"/>
    </row>
    <row r="78" spans="1:98">
      <c r="A78" s="6">
        <f t="shared" si="2"/>
        <v>77</v>
      </c>
      <c r="B78" s="6" t="s">
        <v>476</v>
      </c>
      <c r="C78" s="6">
        <v>6</v>
      </c>
      <c r="D78" s="6" t="s">
        <v>5</v>
      </c>
      <c r="E78" s="6" t="s">
        <v>5</v>
      </c>
      <c r="F78" s="6" t="s">
        <v>5</v>
      </c>
      <c r="G78" s="6" t="s">
        <v>5</v>
      </c>
      <c r="H78" s="6" t="s">
        <v>5</v>
      </c>
      <c r="I78" s="6" t="s">
        <v>5</v>
      </c>
      <c r="J78" s="6" t="s">
        <v>5</v>
      </c>
      <c r="K78" s="6" t="s">
        <v>2</v>
      </c>
      <c r="L78" s="6" t="s">
        <v>3</v>
      </c>
      <c r="M78" s="6" t="s">
        <v>3</v>
      </c>
      <c r="N78" s="6" t="s">
        <v>4</v>
      </c>
      <c r="O78" s="6" t="s">
        <v>3</v>
      </c>
      <c r="P78" s="6" t="s">
        <v>5</v>
      </c>
      <c r="Q78" s="6" t="s">
        <v>3</v>
      </c>
      <c r="R78" s="6" t="s">
        <v>3</v>
      </c>
      <c r="S78" s="6" t="s">
        <v>5</v>
      </c>
      <c r="T78" s="6" t="s">
        <v>3</v>
      </c>
      <c r="U78" s="6" t="s">
        <v>5</v>
      </c>
      <c r="V78" s="6" t="s">
        <v>4</v>
      </c>
      <c r="W78" s="6" t="s">
        <v>2</v>
      </c>
      <c r="X78" s="6" t="s">
        <v>5</v>
      </c>
      <c r="Y78" s="6" t="s">
        <v>4</v>
      </c>
      <c r="Z78" s="6" t="s">
        <v>3</v>
      </c>
      <c r="AA78" s="6" t="s">
        <v>4</v>
      </c>
      <c r="AB78" s="6" t="s">
        <v>4</v>
      </c>
      <c r="AC78" s="6" t="s">
        <v>4</v>
      </c>
      <c r="AD78" s="6" t="s">
        <v>4</v>
      </c>
      <c r="AE78" s="6" t="s">
        <v>3</v>
      </c>
      <c r="AF78" s="6" t="s">
        <v>4</v>
      </c>
      <c r="AG78" s="6" t="s">
        <v>3</v>
      </c>
      <c r="AH78" s="6" t="s">
        <v>4</v>
      </c>
      <c r="AI78" s="6" t="s">
        <v>3</v>
      </c>
      <c r="AJ78" s="6" t="s">
        <v>4</v>
      </c>
      <c r="AK78" s="6" t="s">
        <v>3</v>
      </c>
      <c r="AL78" s="6" t="s">
        <v>3</v>
      </c>
      <c r="AM78" s="6" t="s">
        <v>3</v>
      </c>
      <c r="AS78" s="7" t="s">
        <v>240</v>
      </c>
      <c r="AT78" s="7">
        <v>1</v>
      </c>
      <c r="AU78" s="7">
        <v>2</v>
      </c>
      <c r="AV78" s="7">
        <v>3</v>
      </c>
      <c r="AW78" s="7">
        <v>4</v>
      </c>
      <c r="AX78" s="7">
        <v>5</v>
      </c>
      <c r="AY78" s="7">
        <v>6</v>
      </c>
      <c r="AZ78"/>
      <c r="BA78" s="31"/>
      <c r="BB78" s="31"/>
      <c r="BC78" s="31"/>
      <c r="BD78" s="31"/>
      <c r="BE78" s="31"/>
      <c r="BF78" s="31"/>
      <c r="BG78" s="31"/>
      <c r="BI78" s="3"/>
    </row>
    <row r="79" spans="1:98">
      <c r="A79" s="6">
        <f t="shared" si="2"/>
        <v>78</v>
      </c>
      <c r="B79" s="6" t="s">
        <v>489</v>
      </c>
      <c r="C79" s="6">
        <v>6</v>
      </c>
      <c r="D79" s="6" t="s">
        <v>5</v>
      </c>
      <c r="E79" s="6" t="s">
        <v>5</v>
      </c>
      <c r="F79" s="6" t="s">
        <v>4</v>
      </c>
      <c r="G79" s="6" t="s">
        <v>5</v>
      </c>
      <c r="H79" s="6" t="s">
        <v>5</v>
      </c>
      <c r="I79" s="6" t="s">
        <v>3</v>
      </c>
      <c r="J79" s="6" t="s">
        <v>5</v>
      </c>
      <c r="K79" s="6" t="s">
        <v>2</v>
      </c>
      <c r="L79" s="6" t="s">
        <v>2</v>
      </c>
      <c r="M79" s="6" t="s">
        <v>4</v>
      </c>
      <c r="N79" s="6" t="s">
        <v>3</v>
      </c>
      <c r="O79" s="6" t="s">
        <v>5</v>
      </c>
      <c r="P79" s="6" t="s">
        <v>5</v>
      </c>
      <c r="Q79" s="6" t="s">
        <v>4</v>
      </c>
      <c r="R79" s="6" t="s">
        <v>5</v>
      </c>
      <c r="S79" s="6" t="s">
        <v>5</v>
      </c>
      <c r="T79" s="6" t="s">
        <v>5</v>
      </c>
      <c r="U79" s="6" t="s">
        <v>5</v>
      </c>
      <c r="V79" s="6" t="s">
        <v>2</v>
      </c>
      <c r="W79" s="6" t="s">
        <v>4</v>
      </c>
      <c r="X79" s="6" t="s">
        <v>5</v>
      </c>
      <c r="Y79" s="6" t="s">
        <v>2</v>
      </c>
      <c r="Z79" s="6" t="s">
        <v>3</v>
      </c>
      <c r="AA79" s="6" t="s">
        <v>4</v>
      </c>
      <c r="AB79" s="6" t="s">
        <v>4</v>
      </c>
      <c r="AC79" s="6" t="s">
        <v>4</v>
      </c>
      <c r="AD79" s="6" t="s">
        <v>4</v>
      </c>
      <c r="AE79" s="6" t="s">
        <v>4</v>
      </c>
      <c r="AF79" s="6" t="s">
        <v>4</v>
      </c>
      <c r="AG79" s="6" t="s">
        <v>3</v>
      </c>
      <c r="AH79" s="6" t="s">
        <v>4</v>
      </c>
      <c r="AI79" s="6" t="s">
        <v>4</v>
      </c>
      <c r="AJ79" s="6" t="s">
        <v>4</v>
      </c>
      <c r="AK79" s="6" t="s">
        <v>3</v>
      </c>
      <c r="AL79" s="6" t="s">
        <v>4</v>
      </c>
      <c r="AM79" s="6" t="s">
        <v>3</v>
      </c>
      <c r="AS79" s="6" t="s">
        <v>174</v>
      </c>
      <c r="AT79" s="6">
        <f>COUNTIFS(L:L,"A",C:C,1)/COUNTIF(C:C,1)</f>
        <v>0</v>
      </c>
      <c r="AU79" s="6">
        <f>COUNTIFS(L:L,"A",C:C,2)/COUNTIF(C:C,2)</f>
        <v>0</v>
      </c>
      <c r="AV79" s="6">
        <f>COUNTIFS(L:L,"A",C:C,3)/COUNTIF(C:C,3)</f>
        <v>0</v>
      </c>
      <c r="AW79" s="6">
        <f>COUNTIFS(L:L,"A",C:C,4)/COUNTIF(C:C,4)</f>
        <v>0</v>
      </c>
      <c r="AX79" s="6">
        <f>COUNTIFS(L:L,"A",C:C,5)/COUNTIF(C:C,5)</f>
        <v>0.15384615384615385</v>
      </c>
      <c r="AY79" s="6">
        <f>COUNTIFS(L:L,"A",C:C,6)/COUNTIF(C:C,6)</f>
        <v>7.6923076923076927E-2</v>
      </c>
      <c r="AZ79"/>
      <c r="BA79" s="31"/>
      <c r="BB79" s="31"/>
      <c r="BC79" s="31"/>
      <c r="BD79" s="31"/>
      <c r="BE79" s="31"/>
      <c r="BF79" s="31"/>
      <c r="BG79" s="31"/>
    </row>
    <row r="80" spans="1:98">
      <c r="AS80" s="6" t="s">
        <v>175</v>
      </c>
      <c r="AT80" s="6">
        <f>COUNTIFS(L:L,"B",C:C,1)/COUNTIF(C:C,1)</f>
        <v>0.61538461538461542</v>
      </c>
      <c r="AU80" s="6">
        <f>COUNTIFS(L:L,"B",C:C,2)/COUNTIF(C:C,2)</f>
        <v>0.53846153846153844</v>
      </c>
      <c r="AV80" s="6">
        <f>COUNTIFS(L:L,"B",C:C,3)/COUNTIF(C:C,3)</f>
        <v>0.61538461538461542</v>
      </c>
      <c r="AW80" s="6">
        <f>COUNTIFS(L:L,"B",C:C,4)/COUNTIF(C:C,4)</f>
        <v>0.23076923076923078</v>
      </c>
      <c r="AX80" s="6">
        <f>COUNTIFS(L:L,"B",C:C,5)/COUNTIF(C:C,5)</f>
        <v>0.30769230769230771</v>
      </c>
      <c r="AY80" s="6">
        <f>COUNTIFS(L:L,"B",C:C,6)/COUNTIF(C:C,6)</f>
        <v>0.23076923076923078</v>
      </c>
      <c r="AZ80"/>
      <c r="BA80" s="31"/>
      <c r="BB80" s="31"/>
      <c r="BC80" s="31"/>
      <c r="BD80" s="31"/>
      <c r="BE80" s="31"/>
      <c r="BF80" s="31"/>
      <c r="BG80" s="31"/>
    </row>
    <row r="81" spans="45:98">
      <c r="AS81" s="6" t="s">
        <v>176</v>
      </c>
      <c r="AT81" s="6">
        <f>COUNTIFS(L:L,"C",C:C,1)/COUNTIF(C:C,1)</f>
        <v>0.38461538461538464</v>
      </c>
      <c r="AU81" s="6">
        <f>COUNTIFS(L:L,"C",C:C,2)/COUNTIF(C:C,2)</f>
        <v>0.46153846153846156</v>
      </c>
      <c r="AV81" s="6">
        <f>COUNTIFS(L:L,"C",C:C,3)/COUNTIF(C:C,3)</f>
        <v>0.38461538461538464</v>
      </c>
      <c r="AW81" s="6">
        <f>COUNTIFS(L:L,"C",C:C,4)/COUNTIF(C:C,4)</f>
        <v>0.69230769230769229</v>
      </c>
      <c r="AX81" s="6">
        <f>COUNTIFS(L:L,"C",C:C,5)/COUNTIF(C:C,5)</f>
        <v>0.53846153846153844</v>
      </c>
      <c r="AY81" s="6">
        <f>COUNTIFS(L:L,"C",C:C,6)/COUNTIF(C:C,6)</f>
        <v>0.69230769230769229</v>
      </c>
      <c r="AZ81"/>
      <c r="BA81" s="31"/>
      <c r="BB81" s="31"/>
      <c r="BC81" s="31"/>
      <c r="BD81" s="31"/>
      <c r="BE81" s="31"/>
      <c r="BF81" s="31"/>
      <c r="BG81" s="31"/>
      <c r="BI81" s="75"/>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row>
    <row r="82" spans="45:98">
      <c r="AS82" s="6" t="s">
        <v>177</v>
      </c>
      <c r="AT82" s="6">
        <f>COUNTIFS(L:L,"D",C:C,1)/COUNTIF(C:C,1)</f>
        <v>0</v>
      </c>
      <c r="AU82" s="6">
        <f>COUNTIFS(L:L,"D",C:C,2)/COUNTIF(C:C,2)</f>
        <v>0</v>
      </c>
      <c r="AV82" s="6">
        <f>COUNTIFS(L:L,"D",C:C,3)/COUNTIF(C:C,3)</f>
        <v>0</v>
      </c>
      <c r="AW82" s="6">
        <f>COUNTIFS(L:L,"D",C:C,4)/COUNTIF(C:C,4)</f>
        <v>7.6923076923076927E-2</v>
      </c>
      <c r="AX82" s="6">
        <f>COUNTIFS(L:L,"D",C:C,5)/COUNTIF(C:C,5)</f>
        <v>0</v>
      </c>
      <c r="AY82" s="6">
        <f>COUNTIFS(L:L,"D",C:C,6)/COUNTIF(C:C,6)</f>
        <v>0</v>
      </c>
      <c r="AZ82"/>
      <c r="BA82" s="31"/>
      <c r="BB82" s="31"/>
      <c r="BC82" s="31"/>
      <c r="BD82" s="31"/>
      <c r="BE82" s="31"/>
      <c r="BF82" s="31"/>
      <c r="BG82" s="31"/>
      <c r="BI82" s="75"/>
    </row>
    <row r="83" spans="45:98">
      <c r="AZ83"/>
      <c r="BA83" s="33"/>
      <c r="BB83" s="33"/>
      <c r="BC83" s="33"/>
      <c r="BD83" s="33"/>
      <c r="BE83" s="33"/>
      <c r="BF83" s="33"/>
      <c r="BG83" s="33"/>
    </row>
    <row r="84" spans="45:98">
      <c r="AS84" s="7" t="s">
        <v>241</v>
      </c>
      <c r="AT84" s="7">
        <v>1</v>
      </c>
      <c r="AU84" s="7">
        <v>2</v>
      </c>
      <c r="AV84" s="7">
        <v>3</v>
      </c>
      <c r="AW84" s="7">
        <v>4</v>
      </c>
      <c r="AX84" s="7">
        <v>5</v>
      </c>
      <c r="AY84" s="7">
        <v>6</v>
      </c>
      <c r="AZ84"/>
      <c r="BA84" s="31"/>
      <c r="BB84" s="31"/>
      <c r="BC84" s="31"/>
      <c r="BD84" s="31"/>
      <c r="BE84" s="31"/>
      <c r="BF84" s="31"/>
      <c r="BG84" s="31"/>
      <c r="BI84" s="3"/>
    </row>
    <row r="85" spans="45:98">
      <c r="AS85" s="6" t="s">
        <v>178</v>
      </c>
      <c r="AT85" s="6">
        <f>COUNTIFS(M:M,"A",C:C,1)/COUNTIF(C:C,1)</f>
        <v>7.6923076923076927E-2</v>
      </c>
      <c r="AU85" s="6">
        <f>COUNTIFS(M:M,"A",C:C,2)/COUNTIF(C:C,2)</f>
        <v>0.30769230769230771</v>
      </c>
      <c r="AV85" s="6">
        <f>COUNTIFS(M:M,"A",C:C,3)/COUNTIF(C:C,3)</f>
        <v>0.30769230769230771</v>
      </c>
      <c r="AW85" s="6">
        <f>COUNTIFS(M:M,"A",C:C,4)/COUNTIF(C:C,4)</f>
        <v>0.23076923076923078</v>
      </c>
      <c r="AX85" s="6">
        <f>COUNTIFS(M:M,"A",C:C,5)/COUNTIF(C:C,5)</f>
        <v>0.38461538461538464</v>
      </c>
      <c r="AY85" s="6">
        <f>COUNTIFS(M:M,"A",C:C,6)/COUNTIF(C:C,6)</f>
        <v>0.53846153846153844</v>
      </c>
      <c r="AZ85"/>
      <c r="BA85" s="31"/>
      <c r="BB85" s="31"/>
      <c r="BC85" s="31"/>
      <c r="BD85" s="31"/>
      <c r="BE85" s="31"/>
      <c r="BF85" s="31"/>
      <c r="BG85" s="31"/>
    </row>
    <row r="86" spans="45:98">
      <c r="AS86" s="6" t="s">
        <v>179</v>
      </c>
      <c r="AT86" s="6">
        <f>COUNTIFS(M:M,"B",C:C,1)/COUNTIF(C:C,1)</f>
        <v>0.69230769230769229</v>
      </c>
      <c r="AU86" s="6">
        <f>COUNTIFS(M:M,"B",C:C,2)/COUNTIF(C:C,2)</f>
        <v>0.30769230769230771</v>
      </c>
      <c r="AV86" s="6">
        <f>COUNTIFS(M:M,"B",C:C,3)/COUNTIF(C:C,3)</f>
        <v>0.46153846153846156</v>
      </c>
      <c r="AW86" s="6">
        <f>COUNTIFS(M:M,"B",C:C,4)/COUNTIF(C:C,4)</f>
        <v>0.23076923076923078</v>
      </c>
      <c r="AX86" s="6">
        <f>COUNTIFS(M:M,"B",C:C,5)/COUNTIF(C:C,5)</f>
        <v>7.6923076923076927E-2</v>
      </c>
      <c r="AY86" s="6">
        <f>COUNTIFS(M:M,"B",C:C,6)/COUNTIF(C:C,6)</f>
        <v>0.23076923076923078</v>
      </c>
      <c r="AZ86"/>
      <c r="BA86" s="31"/>
      <c r="BB86" s="31"/>
      <c r="BC86" s="31"/>
      <c r="BD86" s="31"/>
      <c r="BE86" s="31"/>
      <c r="BF86" s="31"/>
      <c r="BG86" s="31"/>
      <c r="BI86" s="3"/>
    </row>
    <row r="87" spans="45:98">
      <c r="AS87" s="6" t="s">
        <v>180</v>
      </c>
      <c r="AT87" s="6">
        <f>COUNTIFS(M:M,"C",C:C,1)/COUNTIF(C:C,1)</f>
        <v>0.23076923076923078</v>
      </c>
      <c r="AU87" s="6">
        <f>COUNTIFS(M:M,"C",C:C,2)/COUNTIF(C:C,2)</f>
        <v>0.38461538461538464</v>
      </c>
      <c r="AV87" s="6">
        <f>COUNTIFS(M:M,"C",C:C,3)/COUNTIF(C:C,3)</f>
        <v>0.23076923076923078</v>
      </c>
      <c r="AW87" s="6">
        <f>COUNTIFS(M:M,"C",C:C,4)/COUNTIF(C:C,4)</f>
        <v>0.38461538461538464</v>
      </c>
      <c r="AX87" s="6">
        <f>COUNTIFS(M:M,"C",C:C,5)/COUNTIF(C:C,5)</f>
        <v>0.23076923076923078</v>
      </c>
      <c r="AY87" s="6">
        <f>COUNTIFS(M:M,"C",C:C,6)/COUNTIF(C:C,6)</f>
        <v>7.6923076923076927E-2</v>
      </c>
      <c r="AZ87"/>
      <c r="BA87" s="31"/>
      <c r="BB87" s="31"/>
      <c r="BC87" s="31"/>
      <c r="BD87" s="31"/>
      <c r="BE87" s="31"/>
      <c r="BF87" s="31"/>
      <c r="BG87" s="31"/>
    </row>
    <row r="88" spans="45:98">
      <c r="AS88" s="6" t="s">
        <v>181</v>
      </c>
      <c r="AT88" s="6">
        <f>COUNTIFS(M:M,"D",C:C,1)/COUNTIF(C:C,1)</f>
        <v>0</v>
      </c>
      <c r="AU88" s="6">
        <f>COUNTIFS(M:M,"D",C:C,2)/COUNTIF(C:C,2)</f>
        <v>0</v>
      </c>
      <c r="AV88" s="6">
        <f>COUNTIFS(M:M,"D",C:C,3)/COUNTIF(C:C,3)</f>
        <v>0</v>
      </c>
      <c r="AW88" s="6">
        <f>COUNTIFS(M:M,"D",C:C,4)/COUNTIF(C:C,4)</f>
        <v>0.15384615384615385</v>
      </c>
      <c r="AX88" s="6">
        <f>COUNTIFS(M:M,"D",C:C,5)/COUNTIF(C:C,5)</f>
        <v>0.30769230769230771</v>
      </c>
      <c r="AY88" s="6">
        <f>COUNTIFS(M:M,"D",C:C,6)/COUNTIF(C:C,6)</f>
        <v>0.15384615384615385</v>
      </c>
      <c r="AZ88"/>
      <c r="BA88" s="31"/>
      <c r="BB88" s="31"/>
      <c r="BC88" s="31"/>
      <c r="BD88" s="31"/>
      <c r="BE88" s="31"/>
      <c r="BF88" s="31"/>
      <c r="BG88" s="31"/>
      <c r="BI88" s="3"/>
    </row>
    <row r="89" spans="45:98">
      <c r="AZ89"/>
      <c r="BA89" s="33"/>
      <c r="BB89" s="33"/>
      <c r="BC89" s="33"/>
      <c r="BD89" s="33"/>
      <c r="BE89" s="33"/>
      <c r="BF89" s="33"/>
      <c r="BG89" s="33"/>
    </row>
    <row r="90" spans="45:98">
      <c r="AS90" s="7" t="s">
        <v>242</v>
      </c>
      <c r="AT90" s="7">
        <v>1</v>
      </c>
      <c r="AU90" s="7">
        <v>2</v>
      </c>
      <c r="AV90" s="7">
        <v>3</v>
      </c>
      <c r="AW90" s="7">
        <v>4</v>
      </c>
      <c r="AX90" s="7">
        <v>5</v>
      </c>
      <c r="AY90" s="7">
        <v>6</v>
      </c>
      <c r="AZ90"/>
      <c r="BA90" s="31"/>
      <c r="BB90" s="31"/>
      <c r="BC90" s="31"/>
      <c r="BD90" s="31"/>
      <c r="BE90" s="31"/>
      <c r="BF90" s="31"/>
      <c r="BG90" s="31"/>
      <c r="BI90" s="3"/>
    </row>
    <row r="91" spans="45:98">
      <c r="AS91" s="6" t="s">
        <v>182</v>
      </c>
      <c r="AT91" s="6">
        <f>COUNTIFS(N:N,"A",C:C,1)/COUNTIF(C:C,1)</f>
        <v>0.46153846153846156</v>
      </c>
      <c r="AU91" s="6">
        <f>COUNTIFS(N:N,"A",C:C,2)/COUNTIF(C:C,2)</f>
        <v>0.53846153846153844</v>
      </c>
      <c r="AV91" s="6">
        <f>COUNTIFS(N:N,"A",C:C,3)/COUNTIF(C:C,3)</f>
        <v>0.61538461538461542</v>
      </c>
      <c r="AW91" s="6">
        <f>COUNTIFS(N:N,"A",C:C,4)/COUNTIF(C:C,4)</f>
        <v>0.30769230769230771</v>
      </c>
      <c r="AX91" s="6">
        <f>COUNTIFS(N:N,"A",C:C,5)/COUNTIF(C:C,5)</f>
        <v>0.38461538461538464</v>
      </c>
      <c r="AY91" s="6">
        <f>COUNTIFS(N:N,"A",C:C,6)/COUNTIF(C:C,6)</f>
        <v>0.61538461538461542</v>
      </c>
      <c r="AZ91"/>
      <c r="BA91" s="31"/>
      <c r="BB91" s="31"/>
      <c r="BC91" s="31"/>
      <c r="BD91" s="31"/>
      <c r="BE91" s="31"/>
      <c r="BF91" s="31"/>
      <c r="BG91" s="31"/>
    </row>
    <row r="92" spans="45:98">
      <c r="AS92" s="6" t="s">
        <v>183</v>
      </c>
      <c r="AT92" s="6">
        <f>COUNTIFS(N:N,"B",C:C,1)/COUNTIF(C:C,1)</f>
        <v>0.46153846153846156</v>
      </c>
      <c r="AU92" s="6">
        <f>COUNTIFS(N:N,"B",C:C,2)/COUNTIF(C:C,2)</f>
        <v>0.30769230769230771</v>
      </c>
      <c r="AV92" s="6">
        <f>COUNTIFS(N:N,"B",C:C,3)/COUNTIF(C:C,3)</f>
        <v>0.23076923076923078</v>
      </c>
      <c r="AW92" s="6">
        <f>COUNTIFS(N:N,"B",C:C,4)/COUNTIF(C:C,4)</f>
        <v>0.46153846153846156</v>
      </c>
      <c r="AX92" s="6">
        <f>COUNTIFS(N:N,"B",C:C,5)/COUNTIF(C:C,5)</f>
        <v>0.15384615384615385</v>
      </c>
      <c r="AY92" s="6">
        <f>COUNTIFS(N:N,"B",C:C,6)/COUNTIF(C:C,6)</f>
        <v>0.30769230769230771</v>
      </c>
      <c r="AZ92"/>
      <c r="BA92" s="31"/>
      <c r="BB92" s="31"/>
      <c r="BC92" s="31"/>
      <c r="BD92" s="31"/>
      <c r="BE92" s="31"/>
      <c r="BF92" s="31"/>
      <c r="BG92" s="31"/>
      <c r="BI92" s="3"/>
    </row>
    <row r="93" spans="45:98">
      <c r="AS93" s="6" t="s">
        <v>184</v>
      </c>
      <c r="AT93" s="6">
        <f>COUNTIFS(N:N,"C",C:C,1)/COUNTIF(C:C,1)</f>
        <v>7.6923076923076927E-2</v>
      </c>
      <c r="AU93" s="6">
        <f>COUNTIFS(N:N,"C",C:C,2)/COUNTIF(C:C,2)</f>
        <v>0.15384615384615385</v>
      </c>
      <c r="AV93" s="6">
        <f>COUNTIFS(N:N,"C",C:C,3)/COUNTIF(C:C,3)</f>
        <v>7.6923076923076927E-2</v>
      </c>
      <c r="AW93" s="6">
        <f>COUNTIFS(N:N,"C",C:C,4)/COUNTIF(C:C,4)</f>
        <v>0</v>
      </c>
      <c r="AX93" s="6">
        <f>COUNTIFS(N:N,"C",C:C,5)/COUNTIF(C:C,5)</f>
        <v>0.38461538461538464</v>
      </c>
      <c r="AY93" s="6">
        <f>COUNTIFS(N:N,"C",C:C,6)/COUNTIF(C:C,6)</f>
        <v>7.6923076923076927E-2</v>
      </c>
      <c r="AZ93"/>
      <c r="BA93" s="31"/>
      <c r="BB93" s="31"/>
      <c r="BC93" s="31"/>
      <c r="BD93" s="31"/>
      <c r="BE93" s="31"/>
      <c r="BF93" s="31"/>
      <c r="BG93" s="31"/>
    </row>
    <row r="94" spans="45:98">
      <c r="AS94" s="6" t="s">
        <v>185</v>
      </c>
      <c r="AT94" s="6">
        <f>COUNTIFS(N:N,"D",C:C,1)/COUNTIF(C:C,1)</f>
        <v>0</v>
      </c>
      <c r="AU94" s="6">
        <f>COUNTIFS(N:N,"D",C:C,2)/COUNTIF(C:C,2)</f>
        <v>0</v>
      </c>
      <c r="AV94" s="6">
        <f>COUNTIFS(N:N,"D",C:C,3)/COUNTIF(C:C,3)</f>
        <v>7.6923076923076927E-2</v>
      </c>
      <c r="AW94" s="6">
        <f>COUNTIFS(N:N,"D",C:C,4)/COUNTIF(C:C,4)</f>
        <v>0.23076923076923078</v>
      </c>
      <c r="AX94" s="6">
        <f>COUNTIFS(N:N,"D",C:C,5)/COUNTIF(C:C,5)</f>
        <v>7.6923076923076927E-2</v>
      </c>
      <c r="AY94" s="6">
        <f>COUNTIFS(N:N,"D",C:C,6)/COUNTIF(C:C,6)</f>
        <v>0</v>
      </c>
      <c r="AZ94"/>
      <c r="BA94" s="31"/>
      <c r="BB94" s="31"/>
      <c r="BC94" s="31"/>
      <c r="BD94" s="31"/>
      <c r="BE94" s="31"/>
      <c r="BF94" s="31"/>
      <c r="BG94" s="31"/>
      <c r="BI94" s="3"/>
    </row>
    <row r="95" spans="45:98">
      <c r="AZ95"/>
      <c r="BA95" s="33"/>
      <c r="BB95" s="33"/>
      <c r="BC95" s="33"/>
      <c r="BD95" s="33"/>
      <c r="BE95" s="33"/>
      <c r="BF95" s="33"/>
      <c r="BG95" s="33"/>
    </row>
    <row r="96" spans="45:98">
      <c r="AS96" s="7" t="s">
        <v>243</v>
      </c>
      <c r="AT96" s="7">
        <v>1</v>
      </c>
      <c r="AU96" s="7">
        <v>2</v>
      </c>
      <c r="AV96" s="7">
        <v>3</v>
      </c>
      <c r="AW96" s="7">
        <v>4</v>
      </c>
      <c r="AX96" s="7">
        <v>5</v>
      </c>
      <c r="AY96" s="7">
        <v>6</v>
      </c>
      <c r="AZ96"/>
      <c r="BA96" s="31"/>
      <c r="BB96" s="31"/>
      <c r="BC96" s="31"/>
      <c r="BD96" s="31"/>
      <c r="BE96" s="31"/>
      <c r="BF96" s="31"/>
      <c r="BG96" s="31"/>
    </row>
    <row r="97" spans="45:98">
      <c r="AS97" s="6" t="s">
        <v>186</v>
      </c>
      <c r="AT97" s="6">
        <f>COUNTIFS(O:O,"A",C:C,1)/COUNTIF(C:C,1)</f>
        <v>0.30769230769230771</v>
      </c>
      <c r="AU97" s="6">
        <f>COUNTIFS(O:O,"A",C:C,2)/COUNTIF(C:C,2)</f>
        <v>0.23076923076923078</v>
      </c>
      <c r="AV97" s="6">
        <f>COUNTIFS(O:O,"A",C:C,3)/COUNTIF(C:C,3)</f>
        <v>0</v>
      </c>
      <c r="AW97" s="6">
        <f>COUNTIFS(O:O,"A",C:C,4)/COUNTIF(C:C,4)</f>
        <v>0.23076923076923078</v>
      </c>
      <c r="AX97" s="6">
        <f>COUNTIFS(O:O,"A",C:C,5)/COUNTIF(C:C,5)</f>
        <v>0.15384615384615385</v>
      </c>
      <c r="AY97" s="6">
        <f>COUNTIFS(O:O,"A",C:C,6)/COUNTIF(C:C,6)</f>
        <v>7.6923076923076927E-2</v>
      </c>
      <c r="AZ97"/>
      <c r="BA97" s="31"/>
      <c r="BB97" s="31"/>
      <c r="BC97" s="31"/>
      <c r="BD97" s="31"/>
      <c r="BE97" s="31"/>
      <c r="BF97" s="31"/>
      <c r="BG97" s="31"/>
      <c r="BI97" s="75"/>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row>
    <row r="98" spans="45:98">
      <c r="AS98" s="6" t="s">
        <v>188</v>
      </c>
      <c r="AT98" s="6">
        <f>COUNTIFS(O:O,"B",C:C,1)/COUNTIF(C:C,1)</f>
        <v>0.23076923076923078</v>
      </c>
      <c r="AU98" s="6">
        <f>COUNTIFS(O:O,"B",C:C,2)/COUNTIF(C:C,2)</f>
        <v>7.6923076923076927E-2</v>
      </c>
      <c r="AV98" s="6">
        <f>COUNTIFS(O:O,"B",C:C,3)/COUNTIF(C:C,3)</f>
        <v>0</v>
      </c>
      <c r="AW98" s="6">
        <f>COUNTIFS(O:O,"B",C:C,4)/COUNTIF(C:C,4)</f>
        <v>0.15384615384615385</v>
      </c>
      <c r="AX98" s="6">
        <f>COUNTIFS(O:O,"B",C:C,5)/COUNTIF(C:C,5)</f>
        <v>7.6923076923076927E-2</v>
      </c>
      <c r="AY98" s="6">
        <f>COUNTIFS(O:O,"B",C:C,6)/COUNTIF(C:C,6)</f>
        <v>0.15384615384615385</v>
      </c>
      <c r="AZ98"/>
      <c r="BA98" s="31"/>
      <c r="BB98" s="31"/>
      <c r="BC98" s="31"/>
      <c r="BD98" s="31"/>
      <c r="BE98" s="31"/>
      <c r="BF98" s="31"/>
      <c r="BG98" s="31"/>
      <c r="BI98" s="75"/>
    </row>
    <row r="99" spans="45:98">
      <c r="AS99" s="6" t="s">
        <v>189</v>
      </c>
      <c r="AT99" s="6">
        <f>COUNTIFS(O:O,"C",C:C,1)/COUNTIF(C:C,1)</f>
        <v>0.30769230769230771</v>
      </c>
      <c r="AU99" s="6">
        <f>COUNTIFS(O:O,"C",C:C,2)/COUNTIF(C:C,2)</f>
        <v>0.38461538461538464</v>
      </c>
      <c r="AV99" s="6">
        <f>COUNTIFS(O:O,"C",C:C,3)/COUNTIF(C:C,3)</f>
        <v>0.46153846153846156</v>
      </c>
      <c r="AW99" s="6">
        <f>COUNTIFS(O:O,"C",C:C,4)/COUNTIF(C:C,4)</f>
        <v>0.23076923076923078</v>
      </c>
      <c r="AX99" s="6">
        <f>COUNTIFS(O:O,"C",C:C,5)/COUNTIF(C:C,5)</f>
        <v>0.38461538461538464</v>
      </c>
      <c r="AY99" s="6">
        <f>COUNTIFS(O:O,"C",C:C,6)/COUNTIF(C:C,6)</f>
        <v>7.6923076923076927E-2</v>
      </c>
      <c r="AZ99"/>
      <c r="BA99" s="31"/>
      <c r="BB99" s="31"/>
      <c r="BC99" s="31"/>
      <c r="BD99" s="31"/>
      <c r="BE99" s="31"/>
      <c r="BF99" s="31"/>
      <c r="BG99" s="31"/>
    </row>
    <row r="100" spans="45:98">
      <c r="AS100" s="6" t="s">
        <v>190</v>
      </c>
      <c r="AT100" s="6">
        <f>COUNTIFS(O:O,"D",C:C,1)/COUNTIF(C:C,1)</f>
        <v>0.15384615384615385</v>
      </c>
      <c r="AU100" s="6">
        <f>COUNTIFS(O:O,"D",C:C,2)/COUNTIF(C:C,2)</f>
        <v>0.30769230769230771</v>
      </c>
      <c r="AV100" s="6">
        <f>COUNTIFS(O:O,"D",C:C,3)/COUNTIF(C:C,3)</f>
        <v>0.53846153846153844</v>
      </c>
      <c r="AW100" s="6">
        <f>COUNTIFS(O:O,"D",C:C,4)/COUNTIF(C:C,4)</f>
        <v>0.38461538461538464</v>
      </c>
      <c r="AX100" s="6">
        <f>COUNTIFS(O:O,"D",C:C,5)/COUNTIF(C:C,5)</f>
        <v>0.38461538461538464</v>
      </c>
      <c r="AY100" s="6">
        <f>COUNTIFS(O:O,"D",C:C,6)/COUNTIF(C:C,6)</f>
        <v>0.69230769230769229</v>
      </c>
      <c r="AZ100"/>
      <c r="BA100" s="31"/>
      <c r="BB100" s="31"/>
      <c r="BC100" s="31"/>
      <c r="BD100" s="31"/>
      <c r="BE100" s="31"/>
      <c r="BF100" s="31"/>
      <c r="BG100" s="31"/>
      <c r="BI100" s="3"/>
    </row>
    <row r="101" spans="45:98">
      <c r="AZ101"/>
      <c r="BA101" s="33"/>
      <c r="BB101" s="33"/>
      <c r="BC101" s="33"/>
      <c r="BD101" s="33"/>
      <c r="BE101" s="33"/>
      <c r="BF101" s="33"/>
      <c r="BG101" s="33"/>
    </row>
    <row r="102" spans="45:98">
      <c r="AS102" s="7" t="s">
        <v>244</v>
      </c>
      <c r="AT102" s="7">
        <v>1</v>
      </c>
      <c r="AU102" s="7">
        <v>2</v>
      </c>
      <c r="AV102" s="7">
        <v>3</v>
      </c>
      <c r="AW102" s="7">
        <v>4</v>
      </c>
      <c r="AX102" s="7">
        <v>5</v>
      </c>
      <c r="AY102" s="7">
        <v>6</v>
      </c>
      <c r="AZ102"/>
      <c r="BA102" s="31"/>
      <c r="BB102" s="31"/>
      <c r="BC102" s="31"/>
      <c r="BD102" s="31"/>
      <c r="BE102" s="31"/>
      <c r="BF102" s="31"/>
      <c r="BG102" s="31"/>
      <c r="BI102" s="3"/>
    </row>
    <row r="103" spans="45:98">
      <c r="AS103" s="6" t="s">
        <v>191</v>
      </c>
      <c r="AT103" s="6">
        <f>COUNTIFS(P:P,"A",C:C,1)/COUNTIF(C:C,1)</f>
        <v>0.15384615384615385</v>
      </c>
      <c r="AU103" s="6">
        <f>COUNTIFS(P:P,"A",C:C,2)/COUNTIF(C:C,2)</f>
        <v>0</v>
      </c>
      <c r="AV103" s="6">
        <f>COUNTIFS(P:P,"A",C:C,3)/COUNTIF(C:C,3)</f>
        <v>0</v>
      </c>
      <c r="AW103" s="6">
        <f>COUNTIFS(P:P,"A",C:C,4)/COUNTIF(C:C,4)</f>
        <v>7.6923076923076927E-2</v>
      </c>
      <c r="AX103" s="6">
        <f>COUNTIFS(P:P,"A",C:C,5)/COUNTIF(C:C,5)</f>
        <v>7.6923076923076927E-2</v>
      </c>
      <c r="AY103" s="6">
        <f>COUNTIFS(P:P,"A",C:C,6)/COUNTIF(C:C,6)</f>
        <v>0</v>
      </c>
      <c r="AZ103"/>
      <c r="BA103" s="31"/>
      <c r="BB103" s="31"/>
      <c r="BC103" s="31"/>
      <c r="BD103" s="31"/>
      <c r="BE103" s="31"/>
      <c r="BF103" s="31"/>
      <c r="BG103" s="31"/>
    </row>
    <row r="104" spans="45:98">
      <c r="AS104" s="6" t="s">
        <v>187</v>
      </c>
      <c r="AT104" s="6">
        <f>COUNTIFS(P:P,"B",C:C,1)/COUNTIF(C:C,1)</f>
        <v>0</v>
      </c>
      <c r="AU104" s="6">
        <f>COUNTIFS(P:P,"B",C:C,2)/COUNTIF(C:C,2)</f>
        <v>0</v>
      </c>
      <c r="AV104" s="6">
        <f>COUNTIFS(P:P,"B",C:C,3)/COUNTIF(C:C,3)</f>
        <v>7.6923076923076927E-2</v>
      </c>
      <c r="AW104" s="6">
        <f>COUNTIFS(P:P,"B",C:C,4)/COUNTIF(C:C,4)</f>
        <v>0</v>
      </c>
      <c r="AX104" s="6">
        <f>COUNTIFS(P:P,"B",C:C,5)/COUNTIF(C:C,5)</f>
        <v>0</v>
      </c>
      <c r="AY104" s="6">
        <f>COUNTIFS(P:P,"B",C:C,6)/COUNTIF(C:C,6)</f>
        <v>0</v>
      </c>
      <c r="AZ104"/>
      <c r="BA104" s="31"/>
      <c r="BB104" s="31"/>
      <c r="BC104" s="31"/>
      <c r="BD104" s="31"/>
      <c r="BE104" s="31"/>
      <c r="BF104" s="31"/>
      <c r="BG104" s="31"/>
      <c r="BI104" s="3"/>
    </row>
    <row r="105" spans="45:98">
      <c r="AS105" s="6" t="s">
        <v>192</v>
      </c>
      <c r="AT105" s="6">
        <f>COUNTIFS(P:P,"C",C:C,1)/COUNTIF(C:C,1)</f>
        <v>0</v>
      </c>
      <c r="AU105" s="6">
        <f>COUNTIFS(P:P,"C",C:C,2)/COUNTIF(C:C,2)</f>
        <v>0</v>
      </c>
      <c r="AV105" s="6">
        <f>COUNTIFS(P:P,"C",C:C,3)/COUNTIF(C:C,3)</f>
        <v>0.38461538461538464</v>
      </c>
      <c r="AW105" s="6">
        <f>COUNTIFS(P:P,"C",C:C,4)/COUNTIF(C:C,4)</f>
        <v>7.6923076923076927E-2</v>
      </c>
      <c r="AX105" s="6">
        <f>COUNTIFS(P:P,"C",C:C,5)/COUNTIF(C:C,5)</f>
        <v>0.23076923076923078</v>
      </c>
      <c r="AY105" s="6">
        <f>COUNTIFS(P:P,"C",C:C,6)/COUNTIF(C:C,6)</f>
        <v>0.30769230769230771</v>
      </c>
      <c r="AZ105"/>
      <c r="BA105" s="31"/>
      <c r="BB105" s="31"/>
      <c r="BC105" s="31"/>
      <c r="BD105" s="31"/>
      <c r="BE105" s="31"/>
      <c r="BF105" s="31"/>
      <c r="BG105" s="31"/>
    </row>
    <row r="106" spans="45:98">
      <c r="AS106" s="6" t="s">
        <v>193</v>
      </c>
      <c r="AT106" s="6">
        <f>COUNTIFS(P:P,"D",C:C,1)/COUNTIF(C:C,1)</f>
        <v>0.84615384615384615</v>
      </c>
      <c r="AU106" s="6">
        <f>COUNTIFS(P:P,"D",C:C,2)/COUNTIF(C:C,2)</f>
        <v>1</v>
      </c>
      <c r="AV106" s="6">
        <f>COUNTIFS(P:P,"D",C:C,3)/COUNTIF(C:C,3)</f>
        <v>0.53846153846153844</v>
      </c>
      <c r="AW106" s="6">
        <f>COUNTIFS(P:P,"D",C:C,4)/COUNTIF(C:C,4)</f>
        <v>0.84615384615384615</v>
      </c>
      <c r="AX106" s="6">
        <f>COUNTIFS(P:P,"D",C:C,5)/COUNTIF(C:C,5)</f>
        <v>0.69230769230769229</v>
      </c>
      <c r="AY106" s="6">
        <f>COUNTIFS(P:P,"D",C:C,6)/COUNTIF(C:C,6)</f>
        <v>0.69230769230769229</v>
      </c>
      <c r="AZ106"/>
      <c r="BA106" s="31"/>
      <c r="BB106" s="31"/>
      <c r="BC106" s="31"/>
      <c r="BD106" s="31"/>
      <c r="BE106" s="31"/>
      <c r="BF106" s="31"/>
      <c r="BG106" s="31"/>
      <c r="BI106" s="3"/>
    </row>
    <row r="107" spans="45:98">
      <c r="AZ107"/>
      <c r="BA107" s="33"/>
      <c r="BB107" s="33"/>
      <c r="BC107" s="33"/>
      <c r="BD107" s="33"/>
      <c r="BE107" s="33"/>
      <c r="BF107" s="33"/>
      <c r="BG107" s="33"/>
    </row>
    <row r="108" spans="45:98">
      <c r="AS108" s="7" t="s">
        <v>245</v>
      </c>
      <c r="AT108" s="7">
        <v>1</v>
      </c>
      <c r="AU108" s="7">
        <v>2</v>
      </c>
      <c r="AV108" s="7">
        <v>3</v>
      </c>
      <c r="AW108" s="7">
        <v>4</v>
      </c>
      <c r="AX108" s="7">
        <v>5</v>
      </c>
      <c r="AY108" s="7">
        <v>6</v>
      </c>
      <c r="AZ108"/>
      <c r="BA108" s="31"/>
      <c r="BB108" s="31"/>
      <c r="BC108" s="31"/>
      <c r="BD108" s="31"/>
      <c r="BE108" s="31"/>
      <c r="BF108" s="31"/>
      <c r="BG108" s="31"/>
      <c r="BI108" s="3"/>
    </row>
    <row r="109" spans="45:98">
      <c r="AS109" s="6" t="s">
        <v>194</v>
      </c>
      <c r="AT109" s="6">
        <f>COUNTIFS(Q:Q,"A",C:C,1)/COUNTIF(C:C,1)</f>
        <v>0</v>
      </c>
      <c r="AU109" s="6">
        <f>COUNTIFS(Q:Q,"A",C:C,2)/COUNTIF(C:C,2)</f>
        <v>0.38461538461538464</v>
      </c>
      <c r="AV109" s="6">
        <f>COUNTIFS(Q:Q,"A",C:C,3)/COUNTIF(C:C,3)</f>
        <v>0.15384615384615385</v>
      </c>
      <c r="AW109" s="6">
        <f>COUNTIFS(Q:Q,"A",C:C,4)/COUNTIF(C:C,4)</f>
        <v>7.6923076923076927E-2</v>
      </c>
      <c r="AX109" s="6">
        <f>COUNTIFS(Q:Q,"A",C:C,5)/COUNTIF(C:C,5)</f>
        <v>0.30769230769230771</v>
      </c>
      <c r="AY109" s="6">
        <f>COUNTIFS(Q:Q,"A",C:C,6)/COUNTIF(C:C,6)</f>
        <v>0.30769230769230771</v>
      </c>
      <c r="AZ109"/>
      <c r="BA109" s="31"/>
      <c r="BB109" s="31"/>
      <c r="BC109" s="31"/>
      <c r="BD109" s="31"/>
      <c r="BE109" s="31"/>
      <c r="BF109" s="31"/>
      <c r="BG109" s="31"/>
    </row>
    <row r="110" spans="45:98">
      <c r="AS110" s="6" t="s">
        <v>195</v>
      </c>
      <c r="AT110" s="6">
        <f>COUNTIFS(Q:Q,"B",C:C,1)/COUNTIF(C:C,1)</f>
        <v>1</v>
      </c>
      <c r="AU110" s="6">
        <f>COUNTIFS(Q:Q,"B",C:C,2)/COUNTIF(C:C,2)</f>
        <v>0.61538461538461542</v>
      </c>
      <c r="AV110" s="6">
        <f>COUNTIFS(Q:Q,"B",C:C,3)/COUNTIF(C:C,3)</f>
        <v>0.61538461538461542</v>
      </c>
      <c r="AW110" s="6">
        <f>COUNTIFS(Q:Q,"B",C:C,4)/COUNTIF(C:C,4)</f>
        <v>0.53846153846153844</v>
      </c>
      <c r="AX110" s="6">
        <f>COUNTIFS(Q:Q,"B",C:C,5)/COUNTIF(C:C,5)</f>
        <v>0.15384615384615385</v>
      </c>
      <c r="AY110" s="6">
        <f>COUNTIFS(Q:Q,"B",C:C,6)/COUNTIF(C:C,6)</f>
        <v>0.46153846153846156</v>
      </c>
      <c r="AZ110"/>
      <c r="BA110" s="31"/>
      <c r="BB110" s="31"/>
      <c r="BC110" s="31"/>
      <c r="BD110" s="31"/>
      <c r="BE110" s="31"/>
      <c r="BF110" s="31"/>
      <c r="BG110" s="31"/>
      <c r="BI110" s="3"/>
    </row>
    <row r="111" spans="45:98">
      <c r="AS111" s="6" t="s">
        <v>196</v>
      </c>
      <c r="AT111" s="6">
        <f>COUNTIFS(Q:Q,"C",C:C,1)/COUNTIF(C:C,1)</f>
        <v>0</v>
      </c>
      <c r="AU111" s="6">
        <f>COUNTIFS(Q:Q,"C",C:C,2)/COUNTIF(C:C,2)</f>
        <v>0</v>
      </c>
      <c r="AV111" s="6">
        <f>COUNTIFS(Q:Q,"C",C:C,3)/COUNTIF(C:C,3)</f>
        <v>0.15384615384615385</v>
      </c>
      <c r="AW111" s="6">
        <f>COUNTIFS(Q:Q,"C",C:C,4)/COUNTIF(C:C,4)</f>
        <v>0.38461538461538464</v>
      </c>
      <c r="AX111" s="6">
        <f>COUNTIFS(Q:Q,"C",C:C,5)/COUNTIF(C:C,5)</f>
        <v>0.53846153846153844</v>
      </c>
      <c r="AY111" s="6">
        <f>COUNTIFS(Q:Q,"C",C:C,6)/COUNTIF(C:C,6)</f>
        <v>0.23076923076923078</v>
      </c>
      <c r="AZ111"/>
      <c r="BA111" s="31"/>
      <c r="BB111" s="31"/>
      <c r="BC111" s="31"/>
      <c r="BD111" s="31"/>
      <c r="BE111" s="31"/>
      <c r="BF111" s="31"/>
      <c r="BG111" s="31"/>
    </row>
    <row r="112" spans="45:98">
      <c r="AS112" s="6" t="s">
        <v>197</v>
      </c>
      <c r="AT112" s="6">
        <f>COUNTIFS(Q:Q,"D",C:C,1)/COUNTIF(C:C,1)</f>
        <v>0</v>
      </c>
      <c r="AU112" s="6">
        <f>COUNTIFS(Q:Q,"D",C:C,2)/COUNTIF(C:C,2)</f>
        <v>0</v>
      </c>
      <c r="AV112" s="6">
        <f>COUNTIFS(Q:Q,"D",C:C,3)/COUNTIF(C:C,3)</f>
        <v>7.6923076923076927E-2</v>
      </c>
      <c r="AW112" s="6">
        <f>COUNTIFS(Q:Q,"D",C:C,4)/COUNTIF(C:C,4)</f>
        <v>0</v>
      </c>
      <c r="AX112" s="6">
        <f>COUNTIFS(Q:Q,"D",C:C,5)/COUNTIF(C:C,5)</f>
        <v>0</v>
      </c>
      <c r="AY112" s="6">
        <f>COUNTIFS(Q:Q,"D",C:C,6)/COUNTIF(C:C,6)</f>
        <v>0</v>
      </c>
      <c r="AZ112"/>
      <c r="BA112" s="31"/>
      <c r="BB112" s="31"/>
      <c r="BC112" s="31"/>
      <c r="BD112" s="31"/>
      <c r="BE112" s="31"/>
      <c r="BF112" s="31"/>
      <c r="BG112" s="31"/>
    </row>
    <row r="113" spans="45:98">
      <c r="AZ113"/>
      <c r="BA113" s="33"/>
      <c r="BB113" s="33"/>
      <c r="BC113" s="33"/>
      <c r="BD113" s="33"/>
      <c r="BE113" s="33"/>
      <c r="BF113" s="33"/>
      <c r="BG113" s="33"/>
      <c r="BI113" s="75"/>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row>
    <row r="114" spans="45:98">
      <c r="AS114" s="7" t="s">
        <v>246</v>
      </c>
      <c r="AT114" s="7">
        <v>1</v>
      </c>
      <c r="AU114" s="7">
        <v>2</v>
      </c>
      <c r="AV114" s="7">
        <v>3</v>
      </c>
      <c r="AW114" s="7">
        <v>4</v>
      </c>
      <c r="AX114" s="7">
        <v>5</v>
      </c>
      <c r="AY114" s="7">
        <v>6</v>
      </c>
      <c r="AZ114"/>
      <c r="BA114" s="31"/>
      <c r="BB114" s="31"/>
      <c r="BC114" s="31"/>
      <c r="BD114" s="31"/>
      <c r="BE114" s="31"/>
      <c r="BF114" s="31"/>
      <c r="BG114" s="31"/>
      <c r="BI114" s="75"/>
    </row>
    <row r="115" spans="45:98">
      <c r="AS115" s="6" t="s">
        <v>198</v>
      </c>
      <c r="AT115" s="6">
        <f>COUNTIFS(R:R,"A",C:C,1)/COUNTIF(C:C,1)</f>
        <v>0.15384615384615385</v>
      </c>
      <c r="AU115" s="6">
        <f>COUNTIFS(R:R,"A",C:C,2)/COUNTIF(C:C,2)</f>
        <v>0.23076923076923078</v>
      </c>
      <c r="AV115" s="6">
        <f>COUNTIFS(R:R,"A",C:C,3)/COUNTIF(C:C,3)</f>
        <v>0</v>
      </c>
      <c r="AW115" s="6">
        <f>COUNTIFS(R:R,"A",C:C,4)/COUNTIF(C:C,4)</f>
        <v>7.6923076923076927E-2</v>
      </c>
      <c r="AX115" s="6">
        <f>COUNTIFS(R:R,"A",C:C,5)/COUNTIF(C:C,5)</f>
        <v>0</v>
      </c>
      <c r="AY115" s="6">
        <f>COUNTIFS(R:R,"A",C:C,6)/COUNTIF(C:C,6)</f>
        <v>0</v>
      </c>
      <c r="AZ115"/>
      <c r="BA115" s="31"/>
      <c r="BB115" s="31"/>
      <c r="BC115" s="31"/>
      <c r="BD115" s="31"/>
      <c r="BE115" s="31"/>
      <c r="BF115" s="31"/>
      <c r="BG115" s="31"/>
    </row>
    <row r="116" spans="45:98">
      <c r="AS116" s="6" t="s">
        <v>199</v>
      </c>
      <c r="AT116" s="6">
        <f>COUNTIFS(R:R,"B",C:C,1)/COUNTIF(C:C,1)</f>
        <v>0.53846153846153844</v>
      </c>
      <c r="AU116" s="6">
        <f>COUNTIFS(R:R,"B",C:C,2)/COUNTIF(C:C,2)</f>
        <v>0.23076923076923078</v>
      </c>
      <c r="AV116" s="6">
        <f>COUNTIFS(R:R,"B",C:C,3)/COUNTIF(C:C,3)</f>
        <v>0.23076923076923078</v>
      </c>
      <c r="AW116" s="6">
        <f>COUNTIFS(R:R,"B",C:C,4)/COUNTIF(C:C,4)</f>
        <v>0.23076923076923078</v>
      </c>
      <c r="AX116" s="6">
        <f>COUNTIFS(R:R,"B",C:C,5)/COUNTIF(C:C,5)</f>
        <v>0.15384615384615385</v>
      </c>
      <c r="AY116" s="6">
        <f>COUNTIFS(R:R,"B",C:C,6)/COUNTIF(C:C,6)</f>
        <v>0.23076923076923078</v>
      </c>
      <c r="AZ116"/>
      <c r="BA116" s="31"/>
      <c r="BB116" s="31"/>
      <c r="BC116" s="31"/>
      <c r="BD116" s="31"/>
      <c r="BE116" s="31"/>
      <c r="BF116" s="31"/>
      <c r="BG116" s="31"/>
      <c r="BI116" s="3"/>
    </row>
    <row r="117" spans="45:98">
      <c r="AS117" s="6" t="s">
        <v>200</v>
      </c>
      <c r="AT117" s="6">
        <f>COUNTIFS(R:R,"C",C:C,1)/COUNTIF(C:C,1)</f>
        <v>0.23076923076923078</v>
      </c>
      <c r="AU117" s="6">
        <f>COUNTIFS(R:R,"C",C:C,2)/COUNTIF(C:C,2)</f>
        <v>0.15384615384615385</v>
      </c>
      <c r="AV117" s="6">
        <f>COUNTIFS(R:R,"C",C:C,3)/COUNTIF(C:C,3)</f>
        <v>0.38461538461538464</v>
      </c>
      <c r="AW117" s="6">
        <f>COUNTIFS(R:R,"C",C:C,4)/COUNTIF(C:C,4)</f>
        <v>0.46153846153846156</v>
      </c>
      <c r="AX117" s="6">
        <f>COUNTIFS(R:R,"C",C:C,5)/COUNTIF(C:C,5)</f>
        <v>0.38461538461538464</v>
      </c>
      <c r="AY117" s="6">
        <f>COUNTIFS(R:R,"C",C:C,6)/COUNTIF(C:C,6)</f>
        <v>0.30769230769230771</v>
      </c>
      <c r="AZ117"/>
      <c r="BA117" s="31"/>
      <c r="BB117" s="31"/>
      <c r="BC117" s="31"/>
      <c r="BD117" s="31"/>
      <c r="BE117" s="31"/>
      <c r="BF117" s="31"/>
      <c r="BG117" s="31"/>
    </row>
    <row r="118" spans="45:98">
      <c r="AS118" s="6" t="s">
        <v>201</v>
      </c>
      <c r="AT118" s="6">
        <f>COUNTIFS(R:R,"D",C:C,1)/COUNTIF(C:C,1)</f>
        <v>7.6923076923076927E-2</v>
      </c>
      <c r="AU118" s="6">
        <f>COUNTIFS(R:R,"D",C:C,2)/COUNTIF(C:C,2)</f>
        <v>0.38461538461538464</v>
      </c>
      <c r="AV118" s="6">
        <f>COUNTIFS(R:R,"D",C:C,3)/COUNTIF(C:C,3)</f>
        <v>0.38461538461538464</v>
      </c>
      <c r="AW118" s="6">
        <f>COUNTIFS(R:R,"D",C:C,4)/COUNTIF(C:C,4)</f>
        <v>0.23076923076923078</v>
      </c>
      <c r="AX118" s="6">
        <f>COUNTIFS(R:R,"D",C:C,5)/COUNTIF(C:C,5)</f>
        <v>0.46153846153846156</v>
      </c>
      <c r="AY118" s="6">
        <f>COUNTIFS(R:R,"D",C:C,6)/COUNTIF(C:C,6)</f>
        <v>0.46153846153846156</v>
      </c>
      <c r="AZ118"/>
      <c r="BA118" s="31"/>
      <c r="BB118" s="31"/>
      <c r="BC118" s="31"/>
      <c r="BD118" s="31"/>
      <c r="BE118" s="31"/>
      <c r="BF118" s="31"/>
      <c r="BG118" s="31"/>
      <c r="BI118" s="3"/>
    </row>
    <row r="119" spans="45:98">
      <c r="AZ119"/>
      <c r="BA119" s="33"/>
      <c r="BB119" s="33"/>
      <c r="BC119" s="33"/>
      <c r="BD119" s="33"/>
      <c r="BE119" s="33"/>
      <c r="BF119" s="33"/>
      <c r="BG119" s="33"/>
    </row>
    <row r="120" spans="45:98">
      <c r="AS120" s="7" t="s">
        <v>247</v>
      </c>
      <c r="AT120" s="7">
        <v>1</v>
      </c>
      <c r="AU120" s="7">
        <v>2</v>
      </c>
      <c r="AV120" s="7">
        <v>3</v>
      </c>
      <c r="AW120" s="7">
        <v>4</v>
      </c>
      <c r="AX120" s="7">
        <v>5</v>
      </c>
      <c r="AY120" s="7">
        <v>6</v>
      </c>
      <c r="AZ120"/>
      <c r="BA120" s="31"/>
      <c r="BB120" s="31"/>
      <c r="BC120" s="31"/>
      <c r="BD120" s="31"/>
      <c r="BE120" s="31"/>
      <c r="BF120" s="31"/>
      <c r="BG120" s="31"/>
      <c r="BI120" s="3"/>
    </row>
    <row r="121" spans="45:98">
      <c r="AS121" s="6" t="s">
        <v>202</v>
      </c>
      <c r="AT121" s="6">
        <f>COUNTIFS(S:S,"A",C:C,1)/COUNTIF(C:C,1)</f>
        <v>0</v>
      </c>
      <c r="AU121" s="6">
        <f>COUNTIFS(S:S,"A",C:C,2)/COUNTIF(C:C,2)</f>
        <v>0</v>
      </c>
      <c r="AV121" s="6">
        <f>COUNTIFS(S:S,"A",C:C,3)/COUNTIF(C:C,3)</f>
        <v>0</v>
      </c>
      <c r="AW121" s="6">
        <f>COUNTIFS(S:S,"A",C:C,4)/COUNTIF(C:C,4)</f>
        <v>0</v>
      </c>
      <c r="AX121" s="6">
        <f>COUNTIFS(S:S,"A",C:C,5)/COUNTIF(C:C,5)</f>
        <v>0</v>
      </c>
      <c r="AY121" s="6">
        <f>COUNTIFS(S:S,"A",C:C,6)/COUNTIF(C:C,6)</f>
        <v>0</v>
      </c>
      <c r="AZ121"/>
      <c r="BA121" s="31"/>
      <c r="BB121" s="31"/>
      <c r="BC121" s="31"/>
      <c r="BD121" s="31"/>
      <c r="BE121" s="31"/>
      <c r="BF121" s="31"/>
      <c r="BG121" s="31"/>
    </row>
    <row r="122" spans="45:98">
      <c r="AS122" s="6" t="s">
        <v>203</v>
      </c>
      <c r="AT122" s="6">
        <f>COUNTIFS(S:S,"B",C:C,1)/COUNTIF(C:C,1)</f>
        <v>0</v>
      </c>
      <c r="AU122" s="6">
        <f>COUNTIFS(S:S,"B",C:C,2)/COUNTIF(C:C,2)</f>
        <v>0</v>
      </c>
      <c r="AV122" s="6">
        <f>COUNTIFS(S:S,"B",C:C,3)/COUNTIF(C:C,3)</f>
        <v>0</v>
      </c>
      <c r="AW122" s="6">
        <f>COUNTIFS(S:S,"B",C:C,4)/COUNTIF(C:C,4)</f>
        <v>0</v>
      </c>
      <c r="AX122" s="6">
        <f>COUNTIFS(S:S,"B",C:C,5)/COUNTIF(C:C,5)</f>
        <v>0</v>
      </c>
      <c r="AY122" s="6">
        <f>COUNTIFS(S:S,"B",C:C,6)/COUNTIF(C:C,6)</f>
        <v>0</v>
      </c>
      <c r="AZ122"/>
      <c r="BA122" s="31"/>
      <c r="BB122" s="31"/>
      <c r="BC122" s="31"/>
      <c r="BD122" s="31"/>
      <c r="BE122" s="31"/>
      <c r="BF122" s="31"/>
      <c r="BG122" s="31"/>
      <c r="BI122" s="3"/>
    </row>
    <row r="123" spans="45:98">
      <c r="AS123" s="6" t="s">
        <v>204</v>
      </c>
      <c r="AT123" s="6">
        <f>COUNTIFS(S:S,"C",C:C,1)/COUNTIF(C:C,1)</f>
        <v>0.15384615384615385</v>
      </c>
      <c r="AU123" s="6">
        <f>COUNTIFS(S:S,"C",C:C,2)/COUNTIF(C:C,2)</f>
        <v>0</v>
      </c>
      <c r="AV123" s="6">
        <f>COUNTIFS(S:S,"C",C:C,3)/COUNTIF(C:C,3)</f>
        <v>0.15384615384615385</v>
      </c>
      <c r="AW123" s="6">
        <f>COUNTIFS(S:S,"C",C:C,4)/COUNTIF(C:C,4)</f>
        <v>0</v>
      </c>
      <c r="AX123" s="6">
        <f>COUNTIFS(S:S,"C",C:C,5)/COUNTIF(C:C,5)</f>
        <v>7.6923076923076927E-2</v>
      </c>
      <c r="AY123" s="6">
        <f>COUNTIFS(S:S,"C",C:C,6)/COUNTIF(C:C,6)</f>
        <v>0</v>
      </c>
      <c r="AZ123"/>
      <c r="BA123" s="31"/>
      <c r="BB123" s="31"/>
      <c r="BC123" s="31"/>
      <c r="BD123" s="31"/>
      <c r="BE123" s="31"/>
      <c r="BF123" s="31"/>
      <c r="BG123" s="31"/>
    </row>
    <row r="124" spans="45:98">
      <c r="AS124" s="6" t="s">
        <v>205</v>
      </c>
      <c r="AT124" s="6">
        <f>COUNTIFS(S:S,"D",C:C,1)/COUNTIF(C:C,1)</f>
        <v>0.84615384615384615</v>
      </c>
      <c r="AU124" s="6">
        <f>COUNTIFS(S:S,"D",C:C,2)/COUNTIF(C:C,2)</f>
        <v>1</v>
      </c>
      <c r="AV124" s="6">
        <f>COUNTIFS(S:S,"D",C:C,3)/COUNTIF(C:C,3)</f>
        <v>0.84615384615384615</v>
      </c>
      <c r="AW124" s="6">
        <f>COUNTIFS(S:S,"D",C:C,4)/COUNTIF(C:C,4)</f>
        <v>1</v>
      </c>
      <c r="AX124" s="6">
        <f>COUNTIFS(S:S,"D",C:C,5)/COUNTIF(C:C,5)</f>
        <v>0.92307692307692313</v>
      </c>
      <c r="AY124" s="6">
        <f>COUNTIFS(S:S,"D",C:C,6)/COUNTIF(C:C,6)</f>
        <v>1</v>
      </c>
      <c r="AZ124"/>
      <c r="BA124" s="31"/>
      <c r="BB124" s="31"/>
      <c r="BC124" s="31"/>
      <c r="BD124" s="31"/>
      <c r="BE124" s="31"/>
      <c r="BF124" s="31"/>
      <c r="BG124" s="31"/>
      <c r="BI124" s="3"/>
    </row>
    <row r="125" spans="45:98">
      <c r="AZ125"/>
      <c r="BA125" s="33"/>
      <c r="BB125" s="33"/>
      <c r="BC125" s="33"/>
      <c r="BD125" s="33"/>
      <c r="BE125" s="33"/>
      <c r="BF125" s="33"/>
      <c r="BG125" s="33"/>
    </row>
    <row r="126" spans="45:98">
      <c r="AS126" s="7" t="s">
        <v>248</v>
      </c>
      <c r="AT126" s="7">
        <v>1</v>
      </c>
      <c r="AU126" s="7">
        <v>2</v>
      </c>
      <c r="AV126" s="7">
        <v>3</v>
      </c>
      <c r="AW126" s="7">
        <v>4</v>
      </c>
      <c r="AX126" s="7">
        <v>5</v>
      </c>
      <c r="AY126" s="7">
        <v>6</v>
      </c>
      <c r="AZ126"/>
      <c r="BA126" s="31"/>
      <c r="BB126" s="31"/>
      <c r="BC126" s="31"/>
      <c r="BD126" s="31"/>
      <c r="BE126" s="31"/>
      <c r="BF126" s="31"/>
      <c r="BG126" s="31"/>
      <c r="BI126" s="3"/>
    </row>
    <row r="127" spans="45:98">
      <c r="AS127" s="6" t="s">
        <v>206</v>
      </c>
      <c r="AT127" s="6">
        <f>COUNTIFS(T:T,"A",C:C,1)/COUNTIF(C:C,1)</f>
        <v>0</v>
      </c>
      <c r="AU127" s="6">
        <f>COUNTIFS(T:T,"A",C:C,2)/COUNTIF(C:C,2)</f>
        <v>0</v>
      </c>
      <c r="AV127" s="6">
        <f>COUNTIFS(T:T,"A",C:C,3)/COUNTIF(C:C,3)</f>
        <v>0</v>
      </c>
      <c r="AW127" s="6">
        <f>COUNTIFS(T:T,"A",C:C,4)/COUNTIF(C:C,4)</f>
        <v>0</v>
      </c>
      <c r="AX127" s="6">
        <f>COUNTIFS(T:T,"A",C:C,5)/COUNTIF(C:C,5)</f>
        <v>0</v>
      </c>
      <c r="AY127" s="6">
        <f>COUNTIFS(T:T,"A",C:C,6)/COUNTIF(C:C,6)</f>
        <v>0</v>
      </c>
      <c r="AZ127"/>
      <c r="BA127" s="31"/>
      <c r="BB127" s="31"/>
      <c r="BC127" s="31"/>
      <c r="BD127" s="31"/>
      <c r="BE127" s="31"/>
      <c r="BF127" s="31"/>
      <c r="BG127" s="31"/>
    </row>
    <row r="128" spans="45:98">
      <c r="AS128" s="6" t="s">
        <v>207</v>
      </c>
      <c r="AT128" s="6">
        <f>COUNTIFS(T:T,"B",C:C,1)/COUNTIF(C:C,1)</f>
        <v>7.6923076923076927E-2</v>
      </c>
      <c r="AU128" s="6">
        <f>COUNTIFS(T:T,"B",C:C,2)/COUNTIF(C:C,2)</f>
        <v>7.6923076923076927E-2</v>
      </c>
      <c r="AV128" s="6">
        <f>COUNTIFS(T:T,"B",C:C,3)/COUNTIF(C:C,3)</f>
        <v>7.6923076923076927E-2</v>
      </c>
      <c r="AW128" s="6">
        <f>COUNTIFS(T:T,"B",C:C,4)/COUNTIF(C:C,4)</f>
        <v>7.6923076923076927E-2</v>
      </c>
      <c r="AX128" s="6">
        <f>COUNTIFS(T:T,"B",C:C,5)/COUNTIF(C:C,5)</f>
        <v>0.15384615384615385</v>
      </c>
      <c r="AY128" s="6">
        <f>COUNTIFS(T:T,"B",C:C,6)/COUNTIF(C:C,6)</f>
        <v>0.30769230769230771</v>
      </c>
      <c r="AZ128"/>
      <c r="BA128" s="31"/>
      <c r="BB128" s="31"/>
      <c r="BC128" s="31"/>
      <c r="BD128" s="31"/>
      <c r="BE128" s="31"/>
      <c r="BF128" s="31"/>
      <c r="BG128" s="31"/>
    </row>
    <row r="129" spans="45:98">
      <c r="AS129" s="6" t="s">
        <v>208</v>
      </c>
      <c r="AT129" s="6">
        <f>COUNTIFS(T:T,"C",C:C,1)/COUNTIF(C:C,1)</f>
        <v>0.30769230769230771</v>
      </c>
      <c r="AU129" s="6">
        <f>COUNTIFS(T:T,"C",C:C,2)/COUNTIF(C:C,2)</f>
        <v>0.23076923076923078</v>
      </c>
      <c r="AV129" s="6">
        <f>COUNTIFS(T:T,"C",C:C,3)/COUNTIF(C:C,3)</f>
        <v>7.6923076923076927E-2</v>
      </c>
      <c r="AW129" s="6">
        <f>COUNTIFS(T:T,"C",C:C,4)/COUNTIF(C:C,4)</f>
        <v>7.6923076923076927E-2</v>
      </c>
      <c r="AX129" s="6">
        <f>COUNTIFS(T:T,"C",C:C,5)/COUNTIF(C:C,5)</f>
        <v>0.15384615384615385</v>
      </c>
      <c r="AY129" s="6">
        <f>COUNTIFS(T:T,"C",C:C,6)/COUNTIF(C:C,6)</f>
        <v>0.23076923076923078</v>
      </c>
      <c r="AZ129"/>
      <c r="BA129" s="31"/>
      <c r="BB129" s="31"/>
      <c r="BC129" s="31"/>
      <c r="BD129" s="31"/>
      <c r="BE129" s="31"/>
      <c r="BF129" s="31"/>
      <c r="BG129" s="31"/>
      <c r="BI129" s="75"/>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row>
    <row r="130" spans="45:98">
      <c r="AS130" s="6" t="s">
        <v>209</v>
      </c>
      <c r="AT130" s="6">
        <f>COUNTIFS(T:T,"D",C:C,1)/COUNTIF(C:C,1)</f>
        <v>0.61538461538461542</v>
      </c>
      <c r="AU130" s="6">
        <f>COUNTIFS(T:T,"D",C:C,2)/COUNTIF(C:C,2)</f>
        <v>0.69230769230769229</v>
      </c>
      <c r="AV130" s="6">
        <f>COUNTIFS(T:T,"D",C:C,3)/COUNTIF(C:C,3)</f>
        <v>0.84615384615384615</v>
      </c>
      <c r="AW130" s="6">
        <f>COUNTIFS(T:T,"D",C:C,4)/COUNTIF(C:C,4)</f>
        <v>0.84615384615384615</v>
      </c>
      <c r="AX130" s="6">
        <f>COUNTIFS(T:T,"D",C:C,5)/COUNTIF(C:C,5)</f>
        <v>0.69230769230769229</v>
      </c>
      <c r="AY130" s="6">
        <f>COUNTIFS(T:T,"D",C:C,6)/COUNTIF(C:C,6)</f>
        <v>0.46153846153846156</v>
      </c>
      <c r="AZ130"/>
      <c r="BA130" s="31"/>
      <c r="BB130" s="31"/>
      <c r="BC130" s="31"/>
      <c r="BD130" s="31"/>
      <c r="BE130" s="31"/>
      <c r="BF130" s="31"/>
      <c r="BG130" s="31"/>
      <c r="BI130" s="75"/>
    </row>
    <row r="131" spans="45:98">
      <c r="AZ131"/>
      <c r="BA131" s="33"/>
      <c r="BB131" s="33"/>
      <c r="BC131" s="33"/>
      <c r="BD131" s="33"/>
      <c r="BE131" s="33"/>
      <c r="BF131" s="33"/>
      <c r="BG131" s="33"/>
    </row>
    <row r="132" spans="45:98">
      <c r="AS132" s="7" t="s">
        <v>249</v>
      </c>
      <c r="AT132" s="7">
        <v>1</v>
      </c>
      <c r="AU132" s="7">
        <v>2</v>
      </c>
      <c r="AV132" s="7">
        <v>3</v>
      </c>
      <c r="AW132" s="7">
        <v>4</v>
      </c>
      <c r="AX132" s="7">
        <v>5</v>
      </c>
      <c r="AY132" s="7">
        <v>6</v>
      </c>
      <c r="AZ132"/>
      <c r="BA132" s="31"/>
      <c r="BB132" s="31"/>
      <c r="BC132" s="31"/>
      <c r="BD132" s="31"/>
      <c r="BE132" s="31"/>
      <c r="BF132" s="31"/>
      <c r="BG132" s="31"/>
      <c r="BI132" s="3"/>
    </row>
    <row r="133" spans="45:98">
      <c r="AS133" s="6" t="s">
        <v>210</v>
      </c>
      <c r="AT133" s="6">
        <f>COUNTIFS(U:U,"A",C:C,1)/COUNTIF(C:C,1)</f>
        <v>0</v>
      </c>
      <c r="AU133" s="6">
        <f>COUNTIFS(U:U,"A",C:C,2)/COUNTIF(C:C,2)</f>
        <v>7.6923076923076927E-2</v>
      </c>
      <c r="AV133" s="6">
        <f>COUNTIFS(U:U,"A",C:C,3)/COUNTIF(C:C,3)</f>
        <v>0</v>
      </c>
      <c r="AW133" s="6">
        <f>COUNTIFS(U:U,"A",C:C,4)/COUNTIF(C:C,4)</f>
        <v>0</v>
      </c>
      <c r="AX133" s="6">
        <f>COUNTIFS(U:U,"A",C:C,5)/COUNTIF(C:C,5)</f>
        <v>0</v>
      </c>
      <c r="AY133" s="6">
        <f>COUNTIFS(U:U,"A",C:C,6)/COUNTIF(C:C,6)</f>
        <v>0</v>
      </c>
      <c r="AZ133"/>
      <c r="BA133" s="31"/>
      <c r="BB133" s="31"/>
      <c r="BC133" s="31"/>
      <c r="BD133" s="31"/>
      <c r="BE133" s="31"/>
      <c r="BF133" s="31"/>
      <c r="BG133" s="31"/>
    </row>
    <row r="134" spans="45:98">
      <c r="AS134" s="6" t="s">
        <v>211</v>
      </c>
      <c r="AT134" s="6">
        <f>COUNTIFS(U:U,"B",C:C,1)/COUNTIF(C:C,1)</f>
        <v>7.6923076923076927E-2</v>
      </c>
      <c r="AU134" s="6">
        <f>COUNTIFS(U:U,"B",C:C,2)/COUNTIF(C:C,2)</f>
        <v>0</v>
      </c>
      <c r="AV134" s="6">
        <f>COUNTIFS(U:U,"B",C:C,3)/COUNTIF(C:C,3)</f>
        <v>7.6923076923076927E-2</v>
      </c>
      <c r="AW134" s="6">
        <f>COUNTIFS(U:U,"B",C:C,4)/COUNTIF(C:C,4)</f>
        <v>0</v>
      </c>
      <c r="AX134" s="6">
        <f>COUNTIFS(U:U,"B",C:C,5)/COUNTIF(C:C,5)</f>
        <v>7.6923076923076927E-2</v>
      </c>
      <c r="AY134" s="6">
        <f>COUNTIFS(U:U,"B",C:C,6)/COUNTIF(C:C,6)</f>
        <v>0</v>
      </c>
      <c r="AZ134"/>
      <c r="BA134" s="31"/>
      <c r="BB134" s="31"/>
      <c r="BC134" s="31"/>
      <c r="BD134" s="31"/>
      <c r="BE134" s="31"/>
      <c r="BF134" s="31"/>
      <c r="BG134" s="31"/>
      <c r="BI134" s="3"/>
    </row>
    <row r="135" spans="45:98">
      <c r="AS135" s="6" t="s">
        <v>212</v>
      </c>
      <c r="AT135" s="6">
        <f>COUNTIFS(U:U,"C",C:C,1)/COUNTIF(C:C,1)</f>
        <v>0.23076923076923078</v>
      </c>
      <c r="AU135" s="6">
        <f>COUNTIFS(U:U,"C",C:C,2)/COUNTIF(C:C,2)</f>
        <v>7.6923076923076927E-2</v>
      </c>
      <c r="AV135" s="6">
        <f>COUNTIFS(U:U,"C",C:C,3)/COUNTIF(C:C,3)</f>
        <v>7.6923076923076927E-2</v>
      </c>
      <c r="AW135" s="6">
        <f>COUNTIFS(U:U,"C",C:C,4)/COUNTIF(C:C,4)</f>
        <v>7.6923076923076927E-2</v>
      </c>
      <c r="AX135" s="6">
        <f>COUNTIFS(U:U,"C",C:C,5)/COUNTIF(C:C,5)</f>
        <v>0</v>
      </c>
      <c r="AY135" s="6">
        <f>COUNTIFS(U:U,"C",C:C,6)/COUNTIF(C:C,6)</f>
        <v>7.6923076923076927E-2</v>
      </c>
      <c r="AZ135"/>
      <c r="BA135" s="31"/>
      <c r="BB135" s="31"/>
      <c r="BC135" s="31"/>
      <c r="BD135" s="31"/>
      <c r="BE135" s="31"/>
      <c r="BF135" s="31"/>
      <c r="BG135" s="31"/>
    </row>
    <row r="136" spans="45:98">
      <c r="AS136" s="6" t="s">
        <v>213</v>
      </c>
      <c r="AT136" s="6">
        <f>COUNTIFS(U:U,"D",C:C,1)/COUNTIF(C:C,1)</f>
        <v>0.69230769230769229</v>
      </c>
      <c r="AU136" s="6">
        <f>COUNTIFS(U:U,"D",C:C,2)/COUNTIF(C:C,2)</f>
        <v>0.84615384615384615</v>
      </c>
      <c r="AV136" s="6">
        <f>COUNTIFS(U:U,"D",C:C,3)/COUNTIF(C:C,3)</f>
        <v>0.84615384615384615</v>
      </c>
      <c r="AW136" s="6">
        <f>COUNTIFS(U:U,"D",C:C,4)/COUNTIF(C:C,4)</f>
        <v>0.92307692307692313</v>
      </c>
      <c r="AX136" s="6">
        <f>COUNTIFS(U:U,"D",C:C,5)/COUNTIF(C:C,5)</f>
        <v>0.92307692307692313</v>
      </c>
      <c r="AY136" s="6">
        <f>COUNTIFS(U:U,"D",C:C,6)/COUNTIF(C:C,6)</f>
        <v>0.92307692307692313</v>
      </c>
      <c r="AZ136"/>
      <c r="BA136" s="31"/>
      <c r="BB136" s="31"/>
      <c r="BC136" s="31"/>
      <c r="BD136" s="31"/>
      <c r="BE136" s="31"/>
      <c r="BF136" s="31"/>
      <c r="BG136" s="31"/>
      <c r="BI136" s="3"/>
    </row>
    <row r="137" spans="45:98">
      <c r="AZ137"/>
      <c r="BA137" s="33"/>
      <c r="BB137" s="33"/>
      <c r="BC137" s="33"/>
      <c r="BD137" s="33"/>
      <c r="BE137" s="33"/>
      <c r="BF137" s="33"/>
      <c r="BG137" s="33"/>
    </row>
    <row r="138" spans="45:98">
      <c r="AS138" s="7" t="s">
        <v>250</v>
      </c>
      <c r="AT138" s="7">
        <v>1</v>
      </c>
      <c r="AU138" s="7">
        <v>2</v>
      </c>
      <c r="AV138" s="7">
        <v>3</v>
      </c>
      <c r="AW138" s="7">
        <v>4</v>
      </c>
      <c r="AX138" s="7">
        <v>5</v>
      </c>
      <c r="AY138" s="7">
        <v>6</v>
      </c>
      <c r="AZ138"/>
      <c r="BA138" s="31"/>
      <c r="BB138" s="31"/>
      <c r="BC138" s="31"/>
      <c r="BD138" s="31"/>
      <c r="BE138" s="31"/>
      <c r="BF138" s="31"/>
      <c r="BG138" s="31"/>
      <c r="BI138" s="3"/>
    </row>
    <row r="139" spans="45:98">
      <c r="AS139" s="6" t="s">
        <v>214</v>
      </c>
      <c r="AT139" s="6">
        <f>COUNTIFS(V:V,"A",C:C,1)/COUNTIF(C:C,1)</f>
        <v>0.15384615384615385</v>
      </c>
      <c r="AU139" s="6">
        <f>COUNTIFS(V:V,"A",C:C,2)/COUNTIF(C:C,2)</f>
        <v>0.15384615384615385</v>
      </c>
      <c r="AV139" s="6">
        <f>COUNTIFS(V:V,"A",C:C,3)/COUNTIF(C:C,3)</f>
        <v>0.15384615384615385</v>
      </c>
      <c r="AW139" s="6">
        <f>COUNTIFS(V:V,"A",C:C,4)/COUNTIF(C:C,4)</f>
        <v>0.23076923076923078</v>
      </c>
      <c r="AX139" s="6">
        <f>COUNTIFS(V:V,"A",C:C,5)/COUNTIF(C:C,5)</f>
        <v>7.6923076923076927E-2</v>
      </c>
      <c r="AY139" s="6">
        <f>COUNTIFS(V:V,"A",C:C,6)/COUNTIF(C:C,6)</f>
        <v>0.15384615384615385</v>
      </c>
      <c r="AZ139"/>
      <c r="BA139" s="31"/>
      <c r="BB139" s="31"/>
      <c r="BC139" s="31"/>
      <c r="BD139" s="31"/>
      <c r="BE139" s="31"/>
      <c r="BF139" s="31"/>
      <c r="BG139" s="31"/>
    </row>
    <row r="140" spans="45:98">
      <c r="AS140" s="6" t="s">
        <v>215</v>
      </c>
      <c r="AT140" s="6">
        <f>COUNTIFS(V:V,"B",C:C,1)/COUNTIF(C:C,1)</f>
        <v>0.15384615384615385</v>
      </c>
      <c r="AU140" s="6">
        <f>COUNTIFS(V:V,"B",C:C,2)/COUNTIF(C:C,2)</f>
        <v>7.6923076923076927E-2</v>
      </c>
      <c r="AV140" s="6">
        <f>COUNTIFS(V:V,"B",C:C,3)/COUNTIF(C:C,3)</f>
        <v>0</v>
      </c>
      <c r="AW140" s="6">
        <f>COUNTIFS(V:V,"B",C:C,4)/COUNTIF(C:C,4)</f>
        <v>7.6923076923076927E-2</v>
      </c>
      <c r="AX140" s="6">
        <f>COUNTIFS(V:V,"B",C:C,5)/COUNTIF(C:C,5)</f>
        <v>0.23076923076923078</v>
      </c>
      <c r="AY140" s="6">
        <f>COUNTIFS(V:V,"B",C:C,6)/COUNTIF(C:C,6)</f>
        <v>0.38461538461538464</v>
      </c>
      <c r="AZ140"/>
      <c r="BA140" s="31"/>
      <c r="BB140" s="31"/>
      <c r="BC140" s="31"/>
      <c r="BD140" s="31"/>
      <c r="BE140" s="31"/>
      <c r="BF140" s="31"/>
      <c r="BG140" s="31"/>
      <c r="BI140" s="3"/>
    </row>
    <row r="141" spans="45:98">
      <c r="AS141" s="6" t="s">
        <v>216</v>
      </c>
      <c r="AT141" s="6">
        <f>COUNTIFS(V:V,"C",C:C,1)/COUNTIF(C:C,1)</f>
        <v>0.23076923076923078</v>
      </c>
      <c r="AU141" s="6">
        <f>COUNTIFS(V:V,"C",C:C,2)/COUNTIF(C:C,2)</f>
        <v>7.6923076923076927E-2</v>
      </c>
      <c r="AV141" s="6">
        <f>COUNTIFS(V:V,"C",C:C,3)/COUNTIF(C:C,3)</f>
        <v>0.15384615384615385</v>
      </c>
      <c r="AW141" s="6">
        <f>COUNTIFS(V:V,"C",C:C,4)/COUNTIF(C:C,4)</f>
        <v>0</v>
      </c>
      <c r="AX141" s="6">
        <f>COUNTIFS(V:V,"C",C:C,5)/COUNTIF(C:C,5)</f>
        <v>7.6923076923076927E-2</v>
      </c>
      <c r="AY141" s="6">
        <f>COUNTIFS(V:V,"C",C:C,6)/COUNTIF(C:C,6)</f>
        <v>7.6923076923076927E-2</v>
      </c>
      <c r="AZ141"/>
      <c r="BA141" s="31"/>
      <c r="BB141" s="31"/>
      <c r="BC141" s="31"/>
      <c r="BD141" s="31"/>
      <c r="BE141" s="31"/>
      <c r="BF141" s="31"/>
      <c r="BG141" s="31"/>
    </row>
    <row r="142" spans="45:98">
      <c r="AS142" s="6" t="s">
        <v>217</v>
      </c>
      <c r="AT142" s="6">
        <f>COUNTIFS(V:V,"D",C:C,1)/COUNTIF(C:C,1)</f>
        <v>0.46153846153846156</v>
      </c>
      <c r="AU142" s="6">
        <f>COUNTIFS(V:V,"D",C:C,2)/COUNTIF(C:C,2)</f>
        <v>0.69230769230769229</v>
      </c>
      <c r="AV142" s="6">
        <f>COUNTIFS(V:V,"D",C:C,3)/COUNTIF(C:C,3)</f>
        <v>0.69230769230769229</v>
      </c>
      <c r="AW142" s="6">
        <f>COUNTIFS(V:V,"D",C:C,4)/COUNTIF(C:C,4)</f>
        <v>0.69230769230769229</v>
      </c>
      <c r="AX142" s="6">
        <f>COUNTIFS(V:V,"D",C:C,5)/COUNTIF(C:C,5)</f>
        <v>0.61538461538461542</v>
      </c>
      <c r="AY142" s="6">
        <f>COUNTIFS(V:V,"D",C:C,6)/COUNTIF(C:C,6)</f>
        <v>0.38461538461538464</v>
      </c>
      <c r="AZ142"/>
      <c r="BA142" s="31"/>
      <c r="BB142" s="31"/>
      <c r="BC142" s="31"/>
      <c r="BD142" s="31"/>
      <c r="BE142" s="31"/>
      <c r="BF142" s="31"/>
      <c r="BG142" s="31"/>
      <c r="BI142" s="3"/>
    </row>
    <row r="143" spans="45:98">
      <c r="AZ143"/>
      <c r="BA143" s="33"/>
      <c r="BB143" s="33"/>
      <c r="BC143" s="33"/>
      <c r="BD143" s="33"/>
      <c r="BE143" s="33"/>
      <c r="BF143" s="33"/>
      <c r="BG143" s="33"/>
    </row>
    <row r="144" spans="45:98">
      <c r="AS144" s="7" t="s">
        <v>251</v>
      </c>
      <c r="AT144" s="7">
        <v>1</v>
      </c>
      <c r="AU144" s="7">
        <v>2</v>
      </c>
      <c r="AV144" s="7">
        <v>3</v>
      </c>
      <c r="AW144" s="7">
        <v>4</v>
      </c>
      <c r="AX144" s="7">
        <v>5</v>
      </c>
      <c r="AY144" s="7">
        <v>6</v>
      </c>
      <c r="AZ144"/>
      <c r="BA144" s="31"/>
      <c r="BB144" s="31"/>
      <c r="BC144" s="31"/>
      <c r="BD144" s="31"/>
      <c r="BE144" s="31"/>
      <c r="BF144" s="31"/>
      <c r="BG144" s="31"/>
    </row>
    <row r="145" spans="45:98">
      <c r="AS145" s="6" t="s">
        <v>218</v>
      </c>
      <c r="AT145" s="6">
        <f>COUNTIFS(W:W,"A",C:C,1)/COUNTIF(C:C,1)</f>
        <v>1</v>
      </c>
      <c r="AU145" s="6">
        <f>COUNTIFS(W:W,"A",C:C,2)/COUNTIF(C:C,2)</f>
        <v>0.76923076923076927</v>
      </c>
      <c r="AV145" s="6">
        <f>COUNTIFS(W:W,"A",C:C,3)/COUNTIF(C:C,3)</f>
        <v>0.92307692307692313</v>
      </c>
      <c r="AW145" s="6">
        <f>COUNTIFS(W:W,"A",C:C,4)/COUNTIF(C:C,4)</f>
        <v>0.69230769230769229</v>
      </c>
      <c r="AX145" s="6">
        <f>COUNTIFS(W:W,"A",C:C,5)/COUNTIF(C:C,5)</f>
        <v>0.30769230769230771</v>
      </c>
      <c r="AY145" s="6">
        <f>COUNTIFS(W:W,"A",C:C,6)/COUNTIF(C:C,6)</f>
        <v>0.46153846153846156</v>
      </c>
      <c r="AZ145"/>
      <c r="BA145" s="31"/>
      <c r="BB145" s="31"/>
      <c r="BC145" s="31"/>
      <c r="BD145" s="31"/>
      <c r="BE145" s="31"/>
      <c r="BF145" s="31"/>
      <c r="BG145" s="31"/>
      <c r="BI145" s="75"/>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row>
    <row r="146" spans="45:98">
      <c r="AS146" s="6" t="s">
        <v>219</v>
      </c>
      <c r="AT146" s="6">
        <f>COUNTIFS(W:W,"B",C:C,1)/COUNTIF(C:C,1)</f>
        <v>0</v>
      </c>
      <c r="AU146" s="6">
        <f>COUNTIFS(W:W,"B",C:C,2)/COUNTIF(C:C,2)</f>
        <v>0.15384615384615385</v>
      </c>
      <c r="AV146" s="6">
        <f>COUNTIFS(W:W,"B",C:C,3)/COUNTIF(C:C,3)</f>
        <v>7.6923076923076927E-2</v>
      </c>
      <c r="AW146" s="6">
        <f>COUNTIFS(W:W,"B",C:C,4)/COUNTIF(C:C,4)</f>
        <v>0.30769230769230771</v>
      </c>
      <c r="AX146" s="6">
        <f>COUNTIFS(W:W,"B",C:C,5)/COUNTIF(C:C,5)</f>
        <v>0.69230769230769229</v>
      </c>
      <c r="AY146" s="6">
        <f>COUNTIFS(W:W,"B",C:C,6)/COUNTIF(C:C,6)</f>
        <v>0.23076923076923078</v>
      </c>
      <c r="AZ146"/>
      <c r="BA146" s="31"/>
      <c r="BB146" s="31"/>
      <c r="BC146" s="31"/>
      <c r="BD146" s="31"/>
      <c r="BE146" s="31"/>
      <c r="BF146" s="31"/>
      <c r="BG146" s="31"/>
      <c r="BI146" s="75"/>
    </row>
    <row r="147" spans="45:98">
      <c r="AS147" s="6" t="s">
        <v>220</v>
      </c>
      <c r="AT147" s="6">
        <f>COUNTIFS(W:W,"C",C:C,1)/COUNTIF(C:C,1)</f>
        <v>0</v>
      </c>
      <c r="AU147" s="6">
        <f>COUNTIFS(W:W,"C",C:C,2)/COUNTIF(C:C,2)</f>
        <v>7.6923076923076927E-2</v>
      </c>
      <c r="AV147" s="6">
        <f>COUNTIFS(W:W,"C",C:C,3)/COUNTIF(C:C,3)</f>
        <v>0</v>
      </c>
      <c r="AW147" s="6">
        <f>COUNTIFS(W:W,"C",C:C,4)/COUNTIF(C:C,4)</f>
        <v>0</v>
      </c>
      <c r="AX147" s="6">
        <f>COUNTIFS(W:W,"C",C:C,5)/COUNTIF(C:C,5)</f>
        <v>0</v>
      </c>
      <c r="AY147" s="6">
        <f>COUNTIFS(W:W,"C",C:C,6)/COUNTIF(C:C,6)</f>
        <v>0.23076923076923078</v>
      </c>
      <c r="AZ147"/>
      <c r="BA147" s="31"/>
      <c r="BB147" s="31"/>
      <c r="BC147" s="31"/>
      <c r="BD147" s="31"/>
      <c r="BE147" s="31"/>
      <c r="BF147" s="31"/>
      <c r="BG147" s="31"/>
    </row>
    <row r="148" spans="45:98">
      <c r="AS148" s="6" t="s">
        <v>221</v>
      </c>
      <c r="AT148" s="6">
        <f>COUNTIFS(W:W,"D",C:C,1)/COUNTIF(C:C,1)</f>
        <v>0</v>
      </c>
      <c r="AU148" s="6">
        <f>COUNTIFS(W:W,"D",C:C,2)/COUNTIF(C:C,2)</f>
        <v>0</v>
      </c>
      <c r="AV148" s="6">
        <f>COUNTIFS(W:W,"D",C:C,3)/COUNTIF(C:C,3)</f>
        <v>0</v>
      </c>
      <c r="AW148" s="6">
        <f>COUNTIFS(W:W,"D",C:C,4)/COUNTIF(C:C,4)</f>
        <v>0</v>
      </c>
      <c r="AX148" s="6">
        <f>COUNTIFS(W:W,"D",C:C,5)/COUNTIF(C:C,5)</f>
        <v>0</v>
      </c>
      <c r="AY148" s="6">
        <f>COUNTIFS(W:W,"D",C:C,6)/COUNTIF(C:C,6)</f>
        <v>7.6923076923076927E-2</v>
      </c>
      <c r="AZ148"/>
      <c r="BA148" s="31"/>
      <c r="BB148" s="31"/>
      <c r="BC148" s="31"/>
      <c r="BD148" s="31"/>
      <c r="BE148" s="31"/>
      <c r="BF148" s="31"/>
      <c r="BG148" s="31"/>
      <c r="BI148" s="3"/>
    </row>
    <row r="149" spans="45:98">
      <c r="AZ149"/>
      <c r="BA149" s="33"/>
      <c r="BB149" s="33"/>
      <c r="BC149" s="33"/>
      <c r="BD149" s="33"/>
      <c r="BE149" s="33"/>
      <c r="BF149" s="33"/>
      <c r="BG149" s="33"/>
    </row>
    <row r="150" spans="45:98">
      <c r="AS150" s="7" t="s">
        <v>252</v>
      </c>
      <c r="AT150" s="7">
        <v>1</v>
      </c>
      <c r="AU150" s="7">
        <v>2</v>
      </c>
      <c r="AV150" s="7">
        <v>3</v>
      </c>
      <c r="AW150" s="7">
        <v>4</v>
      </c>
      <c r="AX150" s="7">
        <v>5</v>
      </c>
      <c r="AY150" s="7">
        <v>6</v>
      </c>
      <c r="AZ150"/>
      <c r="BA150" s="31"/>
      <c r="BB150" s="31"/>
      <c r="BC150" s="31"/>
      <c r="BD150" s="31"/>
      <c r="BE150" s="31"/>
      <c r="BF150" s="31"/>
      <c r="BG150" s="31"/>
      <c r="BI150" s="3"/>
    </row>
    <row r="151" spans="45:98">
      <c r="AS151" s="6" t="s">
        <v>222</v>
      </c>
      <c r="AT151" s="6">
        <f>COUNTIFS(X:X,"A",C:C,1)/COUNTIF(C:C,1)</f>
        <v>0.38461538461538464</v>
      </c>
      <c r="AU151" s="6">
        <f>COUNTIFS(X:X,"A",C:C,2)/COUNTIF(C:C,2)</f>
        <v>0.76923076923076927</v>
      </c>
      <c r="AV151" s="6">
        <f>COUNTIFS(X:X,"A",C:C,3)/COUNTIF(C:C,3)</f>
        <v>0.38461538461538464</v>
      </c>
      <c r="AW151" s="6">
        <f>COUNTIFS(X:X,"A",C:C,4)/COUNTIF(C:C,4)</f>
        <v>0.53846153846153844</v>
      </c>
      <c r="AX151" s="6">
        <f>COUNTIFS(X:X,"A",C:C,5)/COUNTIF(C:C,5)</f>
        <v>0.15384615384615385</v>
      </c>
      <c r="AY151" s="6">
        <f>COUNTIFS(X:X,"A",C:C,6)/COUNTIF(C:C,6)</f>
        <v>0.15384615384615385</v>
      </c>
      <c r="AZ151"/>
      <c r="BA151" s="31"/>
      <c r="BB151" s="31"/>
      <c r="BC151" s="31"/>
      <c r="BD151" s="31"/>
      <c r="BE151" s="31"/>
      <c r="BF151" s="31"/>
      <c r="BG151" s="31"/>
    </row>
    <row r="152" spans="45:98">
      <c r="AS152" s="6" t="s">
        <v>223</v>
      </c>
      <c r="AT152" s="6">
        <f>COUNTIFS(X:X,"B",C:C,1)/COUNTIF(C:C,1)</f>
        <v>0.61538461538461542</v>
      </c>
      <c r="AU152" s="6">
        <f>COUNTIFS(X:X,"B",C:C,2)/COUNTIF(C:C,2)</f>
        <v>0.23076923076923078</v>
      </c>
      <c r="AV152" s="6">
        <f>COUNTIFS(X:X,"B",C:C,3)/COUNTIF(C:C,3)</f>
        <v>0.38461538461538464</v>
      </c>
      <c r="AW152" s="6">
        <f>COUNTIFS(X:X,"B",C:C,4)/COUNTIF(C:C,4)</f>
        <v>0.38461538461538464</v>
      </c>
      <c r="AX152" s="6">
        <f>COUNTIFS(X:X,"B",C:C,5)/COUNTIF(C:C,5)</f>
        <v>0.84615384615384615</v>
      </c>
      <c r="AY152" s="6">
        <f>COUNTIFS(X:X,"B",C:C,6)/COUNTIF(C:C,6)</f>
        <v>0.38461538461538464</v>
      </c>
      <c r="AZ152"/>
      <c r="BA152" s="31"/>
      <c r="BB152" s="31"/>
      <c r="BC152" s="31"/>
      <c r="BD152" s="31"/>
      <c r="BE152" s="31"/>
      <c r="BF152" s="31"/>
      <c r="BG152" s="31"/>
      <c r="BI152" s="3"/>
    </row>
    <row r="153" spans="45:98">
      <c r="AS153" s="6" t="s">
        <v>224</v>
      </c>
      <c r="AT153" s="6">
        <f>COUNTIFS(X:X,"C",C:C,1)/COUNTIF(C:C,1)</f>
        <v>0</v>
      </c>
      <c r="AU153" s="6">
        <f>COUNTIFS(X:X,"C",C:C,2)/COUNTIF(C:C,2)</f>
        <v>0</v>
      </c>
      <c r="AV153" s="6">
        <f>COUNTIFS(X:X,"C",C:C,3)/COUNTIF(C:C,3)</f>
        <v>0.15384615384615385</v>
      </c>
      <c r="AW153" s="6">
        <f>COUNTIFS(X:X,"C",C:C,4)/COUNTIF(C:C,4)</f>
        <v>7.6923076923076927E-2</v>
      </c>
      <c r="AX153" s="6">
        <f>COUNTIFS(X:X,"C",C:C,5)/COUNTIF(C:C,5)</f>
        <v>0</v>
      </c>
      <c r="AY153" s="6">
        <f>COUNTIFS(X:X,"C",C:C,6)/COUNTIF(C:C,6)</f>
        <v>0.30769230769230771</v>
      </c>
      <c r="AZ153"/>
      <c r="BA153" s="31"/>
      <c r="BB153" s="31"/>
      <c r="BC153" s="31"/>
      <c r="BD153" s="31"/>
      <c r="BE153" s="31"/>
      <c r="BF153" s="31"/>
      <c r="BG153" s="31"/>
    </row>
    <row r="154" spans="45:98">
      <c r="AS154" s="6" t="s">
        <v>225</v>
      </c>
      <c r="AT154" s="6">
        <f>COUNTIFS(X:X,"D",C:C,1)/COUNTIF(C:C,1)</f>
        <v>0</v>
      </c>
      <c r="AU154" s="6">
        <f>COUNTIFS(X:X,"D",C:C,2)/COUNTIF(C:C,2)</f>
        <v>0</v>
      </c>
      <c r="AV154" s="6">
        <f>COUNTIFS(X:X,"D",C:C,3)/COUNTIF(C:C,3)</f>
        <v>7.6923076923076927E-2</v>
      </c>
      <c r="AW154" s="6">
        <f>COUNTIFS(X:X,"D",C:C,4)/COUNTIF(C:C,4)</f>
        <v>0</v>
      </c>
      <c r="AX154" s="6">
        <f>COUNTIFS(X:X,"D",C:C,5)/COUNTIF(C:C,5)</f>
        <v>0</v>
      </c>
      <c r="AY154" s="6">
        <f>COUNTIFS(X:X,"D",C:C,6)/COUNTIF(C:C,6)</f>
        <v>0.15384615384615385</v>
      </c>
      <c r="AZ154"/>
      <c r="BA154" s="31"/>
      <c r="BB154" s="31"/>
      <c r="BC154" s="31"/>
      <c r="BD154" s="31"/>
      <c r="BE154" s="31"/>
      <c r="BF154" s="31"/>
      <c r="BG154" s="31"/>
      <c r="BI154" s="3"/>
    </row>
    <row r="155" spans="45:98">
      <c r="AZ155"/>
      <c r="BA155" s="33"/>
      <c r="BB155" s="33"/>
      <c r="BC155" s="33"/>
      <c r="BD155" s="33"/>
      <c r="BE155" s="33"/>
      <c r="BF155" s="33"/>
      <c r="BG155" s="33"/>
    </row>
    <row r="156" spans="45:98">
      <c r="AS156" s="7" t="s">
        <v>344</v>
      </c>
      <c r="AT156" s="7">
        <v>1</v>
      </c>
      <c r="AU156" s="7">
        <v>2</v>
      </c>
      <c r="AV156" s="7">
        <v>3</v>
      </c>
      <c r="AW156" s="7">
        <v>4</v>
      </c>
      <c r="AX156" s="7">
        <v>5</v>
      </c>
      <c r="AY156" s="7">
        <v>6</v>
      </c>
      <c r="AZ156"/>
      <c r="BA156" s="31"/>
      <c r="BB156" s="31"/>
      <c r="BC156" s="31"/>
      <c r="BD156" s="31"/>
      <c r="BE156" s="31"/>
      <c r="BF156" s="31"/>
      <c r="BG156" s="31"/>
      <c r="BI156" s="3"/>
    </row>
    <row r="157" spans="45:98">
      <c r="AS157" s="6" t="s">
        <v>345</v>
      </c>
      <c r="AT157" s="6">
        <f>COUNTIFS(Y:Y,"A",C:C,1)/COUNTIF(C:C,1)</f>
        <v>0.30769230769230771</v>
      </c>
      <c r="AU157" s="6">
        <f>COUNTIFS(Y:Y,"A",C:C,2)/COUNTIF(C:C,2)</f>
        <v>0.53846153846153844</v>
      </c>
      <c r="AV157" s="6">
        <f>COUNTIFS(Y:Y,"A",C:C,3)/COUNTIF(C:C,3)</f>
        <v>0.23076923076923078</v>
      </c>
      <c r="AW157" s="6">
        <f>COUNTIFS(Y:Y,"A",C:C,4)/COUNTIF(C:C,4)</f>
        <v>0.23076923076923078</v>
      </c>
      <c r="AX157" s="6">
        <f>COUNTIFS(Y:Y,"A",C:C,5)/COUNTIF(C:C,5)</f>
        <v>0.30769230769230771</v>
      </c>
      <c r="AY157" s="6">
        <f>COUNTIFS(Y:Y,"A",C:C,6)/COUNTIF(C:C,6)</f>
        <v>0.38461538461538464</v>
      </c>
      <c r="AZ157"/>
      <c r="BA157" s="31"/>
      <c r="BB157" s="31"/>
      <c r="BC157" s="31"/>
      <c r="BD157" s="31"/>
      <c r="BE157" s="31"/>
      <c r="BF157" s="31"/>
      <c r="BG157" s="31"/>
    </row>
    <row r="158" spans="45:98">
      <c r="AS158" s="6" t="s">
        <v>346</v>
      </c>
      <c r="AT158" s="6">
        <f>COUNTIFS(Y:Y,"B",C:C,1)/COUNTIF(C:C,1)</f>
        <v>7.6923076923076927E-2</v>
      </c>
      <c r="AU158" s="6">
        <f>COUNTIFS(Y:Y,"B",C:C,2)/COUNTIF(C:C,2)</f>
        <v>0</v>
      </c>
      <c r="AV158" s="6">
        <f>COUNTIFS(Y:Y,"B",C:C,3)/COUNTIF(C:C,3)</f>
        <v>0.23076923076923078</v>
      </c>
      <c r="AW158" s="6">
        <f>COUNTIFS(Y:Y,"B",C:C,4)/COUNTIF(C:C,4)</f>
        <v>0</v>
      </c>
      <c r="AX158" s="6">
        <f>COUNTIFS(Y:Y,"B",C:C,5)/COUNTIF(C:C,5)</f>
        <v>0.15384615384615385</v>
      </c>
      <c r="AY158" s="6">
        <f>COUNTIFS(Y:Y,"B",C:C,6)/COUNTIF(C:C,6)</f>
        <v>0</v>
      </c>
      <c r="AZ158"/>
      <c r="BA158" s="31"/>
      <c r="BB158" s="31"/>
      <c r="BC158" s="31"/>
      <c r="BD158" s="31"/>
      <c r="BE158" s="31"/>
      <c r="BF158" s="31"/>
      <c r="BG158" s="31"/>
      <c r="BI158" s="3"/>
    </row>
    <row r="159" spans="45:98">
      <c r="AS159" s="6" t="s">
        <v>347</v>
      </c>
      <c r="AT159" s="6">
        <f>COUNTIFS(Y:Y,"C",C:C,1)/COUNTIF(C:C,1)</f>
        <v>0.53846153846153844</v>
      </c>
      <c r="AU159" s="6">
        <f>COUNTIFS(Y:Y,"C",C:C,2)/COUNTIF(C:C,2)</f>
        <v>0.46153846153846156</v>
      </c>
      <c r="AV159" s="6">
        <f>COUNTIFS(Y:Y,"C",C:C,3)/COUNTIF(C:C,3)</f>
        <v>0.46153846153846156</v>
      </c>
      <c r="AW159" s="6">
        <f>COUNTIFS(Y:Y,"C",C:C,4)/COUNTIF(C:C,4)</f>
        <v>0.76923076923076927</v>
      </c>
      <c r="AX159" s="6">
        <f>COUNTIFS(Y:Y,"C",C:C,5)/COUNTIF(C:C,5)</f>
        <v>0.53846153846153844</v>
      </c>
      <c r="AY159" s="6">
        <f>COUNTIFS(Y:Y,"C",C:C,6)/COUNTIF(C:C,6)</f>
        <v>0.53846153846153844</v>
      </c>
      <c r="AZ159"/>
      <c r="BA159" s="31"/>
      <c r="BB159" s="31"/>
      <c r="BC159" s="31"/>
      <c r="BD159" s="31"/>
      <c r="BE159" s="31"/>
      <c r="BF159" s="31"/>
      <c r="BG159" s="31"/>
    </row>
    <row r="160" spans="45:98">
      <c r="AS160" s="6" t="s">
        <v>348</v>
      </c>
      <c r="AT160" s="6">
        <f>COUNTIFS(Y:Y,"D",C:C,1)/COUNTIF(C:C,1)</f>
        <v>7.6923076923076927E-2</v>
      </c>
      <c r="AU160" s="6">
        <f>COUNTIFS(Y:Y,"D",C:C,2)/COUNTIF(C:C,2)</f>
        <v>0</v>
      </c>
      <c r="AV160" s="6">
        <f>COUNTIFS(Y:Y,"D",C:C,3)/COUNTIF(C:C,3)</f>
        <v>7.6923076923076927E-2</v>
      </c>
      <c r="AW160" s="6">
        <f>COUNTIFS(Y:Y,"D",C:C,4)/COUNTIF(C:C,4)</f>
        <v>0</v>
      </c>
      <c r="AX160" s="6">
        <f>COUNTIFS(Y:Y,"D",C:C,5)/COUNTIF(C:C,5)</f>
        <v>0</v>
      </c>
      <c r="AY160" s="6">
        <f>COUNTIFS(Y:Y,"D",C:C,6)/COUNTIF(C:C,6)</f>
        <v>7.6923076923076927E-2</v>
      </c>
      <c r="AZ160"/>
      <c r="BA160" s="31"/>
      <c r="BB160" s="31"/>
      <c r="BC160" s="31"/>
      <c r="BD160" s="31"/>
      <c r="BE160" s="31"/>
      <c r="BF160" s="31"/>
      <c r="BG160" s="31"/>
    </row>
    <row r="161" spans="45:98">
      <c r="AZ161"/>
      <c r="BA161" s="33"/>
      <c r="BB161" s="33"/>
      <c r="BC161" s="33"/>
      <c r="BD161" s="33"/>
      <c r="BE161" s="33"/>
      <c r="BF161" s="33"/>
      <c r="BG161" s="33"/>
      <c r="BI161" s="75"/>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row>
    <row r="162" spans="45:98">
      <c r="AS162" s="7" t="s">
        <v>349</v>
      </c>
      <c r="AT162" s="7">
        <v>1</v>
      </c>
      <c r="AU162" s="7">
        <v>2</v>
      </c>
      <c r="AV162" s="7">
        <v>3</v>
      </c>
      <c r="AW162" s="7">
        <v>4</v>
      </c>
      <c r="AX162" s="7">
        <v>5</v>
      </c>
      <c r="AY162" s="7">
        <v>6</v>
      </c>
      <c r="AZ162"/>
      <c r="BA162"/>
      <c r="BB162"/>
      <c r="BC162"/>
      <c r="BD162"/>
      <c r="BE162"/>
      <c r="BF162"/>
      <c r="BI162" s="75"/>
    </row>
    <row r="163" spans="45:98">
      <c r="AS163" s="6" t="s">
        <v>350</v>
      </c>
      <c r="AT163" s="6">
        <f>COUNTIFS(Z:Z,"A",C:C,1)/COUNTIF(C:C,1)</f>
        <v>7.6923076923076927E-2</v>
      </c>
      <c r="AU163" s="6">
        <f>COUNTIFS(Z:Z,"A",C:C,2)/COUNTIF(C:C,2)</f>
        <v>0</v>
      </c>
      <c r="AV163" s="6">
        <f>COUNTIFS(Z:Z,"A",C:C,3)/COUNTIF(C:C,3)</f>
        <v>0.15384615384615385</v>
      </c>
      <c r="AW163" s="6">
        <f>COUNTIFS(Z:Z,"A",C:C,4)/COUNTIF(C:C,4)</f>
        <v>0</v>
      </c>
      <c r="AX163" s="6">
        <f>COUNTIFS(Z:Z,"A",C:C,5)/COUNTIF(C:C,5)</f>
        <v>0</v>
      </c>
      <c r="AY163" s="6">
        <f>COUNTIFS(Z:Z,"A",C:C,6)/COUNTIF(C:C,6)</f>
        <v>0</v>
      </c>
      <c r="AZ163"/>
      <c r="BA163"/>
      <c r="BB163"/>
      <c r="BC163"/>
      <c r="BD163"/>
      <c r="BE163"/>
      <c r="BF163"/>
    </row>
    <row r="164" spans="45:98">
      <c r="AS164" s="6" t="s">
        <v>351</v>
      </c>
      <c r="AT164" s="6">
        <f>COUNTIFS(Z:Z,"B",C:C,1)/COUNTIF(C:C,1)</f>
        <v>0.92307692307692313</v>
      </c>
      <c r="AU164" s="6">
        <f>COUNTIFS(Z:Z,"B",C:C,2)/COUNTIF(C:C,2)</f>
        <v>1</v>
      </c>
      <c r="AV164" s="6">
        <f>COUNTIFS(Z:Z,"B",C:C,3)/COUNTIF(C:C,3)</f>
        <v>0.84615384615384615</v>
      </c>
      <c r="AW164" s="6">
        <f>COUNTIFS(Z:Z,"B",C:C,4)/COUNTIF(C:C,4)</f>
        <v>1</v>
      </c>
      <c r="AX164" s="6">
        <f>COUNTIFS(Z:Z,"B",C:C,5)/COUNTIF(C:C,5)</f>
        <v>1</v>
      </c>
      <c r="AY164" s="6">
        <f>COUNTIFS(Z:Z,"B",C:C,6)/COUNTIF(C:C,6)</f>
        <v>1</v>
      </c>
      <c r="AZ164"/>
      <c r="BA164"/>
      <c r="BB164"/>
      <c r="BC164"/>
      <c r="BD164"/>
      <c r="BE164"/>
      <c r="BF164"/>
      <c r="BI164" s="3"/>
    </row>
    <row r="165" spans="45:98">
      <c r="AZ165"/>
      <c r="BA165"/>
      <c r="BB165"/>
      <c r="BC165"/>
      <c r="BD165"/>
      <c r="BE165"/>
      <c r="BF165"/>
    </row>
    <row r="166" spans="45:98">
      <c r="AS166" s="7" t="s">
        <v>352</v>
      </c>
      <c r="AT166" s="7">
        <v>1</v>
      </c>
      <c r="AU166" s="7">
        <v>2</v>
      </c>
      <c r="AV166" s="7">
        <v>3</v>
      </c>
      <c r="AW166" s="7">
        <v>4</v>
      </c>
      <c r="AX166" s="7">
        <v>5</v>
      </c>
      <c r="AY166" s="7">
        <v>6</v>
      </c>
      <c r="AZ166"/>
      <c r="BA166"/>
      <c r="BB166"/>
      <c r="BC166"/>
      <c r="BD166"/>
      <c r="BE166"/>
      <c r="BF166"/>
      <c r="BI166" s="3"/>
    </row>
    <row r="167" spans="45:98">
      <c r="AS167" s="6" t="s">
        <v>353</v>
      </c>
      <c r="AT167" s="6">
        <f>COUNTIFS(AA:AA,"A",C:C,1)/COUNTIF(C:C,1)</f>
        <v>0.76923076923076927</v>
      </c>
      <c r="AU167" s="6">
        <f>COUNTIFS(AA:AA,"A",C:C,2)/COUNTIF(C:C,2)</f>
        <v>0.84615384615384615</v>
      </c>
      <c r="AV167" s="6">
        <f>COUNTIFS(AA:AA,"A",C:C,3)/COUNTIF(C:C,3)</f>
        <v>0.92307692307692313</v>
      </c>
      <c r="AW167" s="6">
        <f>COUNTIFS(AA:AA,"A",C:C,4)/COUNTIF(C:C,4)</f>
        <v>0.92307692307692313</v>
      </c>
      <c r="AX167" s="6">
        <f>COUNTIFS(AA:AA,"A",C:C,5)/COUNTIF(C:C,5)</f>
        <v>1</v>
      </c>
      <c r="AY167" s="6">
        <f>COUNTIFS(AA:AA,"A",C:C,6)/COUNTIF(C:C,6)</f>
        <v>0.84615384615384615</v>
      </c>
      <c r="AZ167"/>
      <c r="BB167" s="33"/>
      <c r="BC167" s="33"/>
      <c r="BD167" s="33"/>
      <c r="BE167" s="33"/>
      <c r="BF167" s="33"/>
      <c r="BG167" s="33"/>
    </row>
    <row r="168" spans="45:98">
      <c r="AS168" s="6" t="s">
        <v>354</v>
      </c>
      <c r="AT168" s="6">
        <f>COUNTIFS(AA:AA,"B",C:C,1)/COUNTIF(C:C,1)</f>
        <v>0.23076923076923078</v>
      </c>
      <c r="AU168" s="6">
        <f>COUNTIFS(AA:AA,"B",C:C,2)/COUNTIF(C:C,2)</f>
        <v>0.15384615384615385</v>
      </c>
      <c r="AV168" s="6">
        <f>COUNTIFS(AA:AA,"B",C:C,3)/COUNTIF(C:C,3)</f>
        <v>7.6923076923076927E-2</v>
      </c>
      <c r="AW168" s="6">
        <f>COUNTIFS(AA:AA,"B",C:C,4)/COUNTIF(C:C,4)</f>
        <v>7.6923076923076927E-2</v>
      </c>
      <c r="AX168" s="6">
        <f>COUNTIFS(AA:AA,"B",C:C,5)/COUNTIF(C:C,5)</f>
        <v>0</v>
      </c>
      <c r="AY168" s="6">
        <f>COUNTIFS(AA:AA,"B",C:C,6)/COUNTIF(C:C,6)</f>
        <v>0.15384615384615385</v>
      </c>
      <c r="AZ168"/>
      <c r="BA168"/>
      <c r="BB168"/>
      <c r="BC168"/>
      <c r="BD168"/>
      <c r="BE168"/>
      <c r="BF168"/>
      <c r="BI168" s="3"/>
    </row>
    <row r="169" spans="45:98">
      <c r="AZ169"/>
      <c r="BA169"/>
      <c r="BB169"/>
      <c r="BC169"/>
      <c r="BD169"/>
      <c r="BE169"/>
      <c r="BF169"/>
    </row>
    <row r="170" spans="45:98">
      <c r="AS170" s="7" t="s">
        <v>355</v>
      </c>
      <c r="AT170" s="7">
        <v>1</v>
      </c>
      <c r="AU170" s="7">
        <v>2</v>
      </c>
      <c r="AV170" s="7">
        <v>3</v>
      </c>
      <c r="AW170" s="7">
        <v>4</v>
      </c>
      <c r="AX170" s="7">
        <v>5</v>
      </c>
      <c r="AY170" s="7">
        <v>6</v>
      </c>
      <c r="AZ170"/>
      <c r="BA170"/>
      <c r="BB170"/>
      <c r="BC170"/>
      <c r="BD170"/>
      <c r="BE170"/>
      <c r="BF170"/>
      <c r="BI170" s="3"/>
    </row>
    <row r="171" spans="45:98">
      <c r="AS171" s="6" t="s">
        <v>353</v>
      </c>
      <c r="AT171" s="6">
        <f>COUNTIFS(AB:AB,"A",C:C,1)/COUNTIF(C:C,1)</f>
        <v>0.76923076923076927</v>
      </c>
      <c r="AU171" s="6">
        <f>COUNTIFS(AB:AB,"A",C:C,2)/COUNTIF(C:C,2)</f>
        <v>0.92307692307692313</v>
      </c>
      <c r="AV171" s="6">
        <f>COUNTIFS(AB:AB,"A",C:C,3)/COUNTIF(C:C,3)</f>
        <v>0.84615384615384615</v>
      </c>
      <c r="AW171" s="6">
        <f>COUNTIFS(AB:AB,"A",C:C,4)/COUNTIF(C:C,4)</f>
        <v>0.92307692307692313</v>
      </c>
      <c r="AX171" s="6">
        <f>COUNTIFS(AB:AB,"A",C:C,5)/COUNTIF(C:C,5)</f>
        <v>1</v>
      </c>
      <c r="AY171" s="6">
        <f>COUNTIFS(AB:AB,"A",C:C,6)/COUNTIF(C:C,6)</f>
        <v>0.92307692307692313</v>
      </c>
      <c r="AZ171"/>
      <c r="BB171" s="33"/>
      <c r="BC171" s="33"/>
      <c r="BD171" s="33"/>
      <c r="BE171" s="33"/>
      <c r="BF171" s="33"/>
      <c r="BG171" s="33"/>
    </row>
    <row r="172" spans="45:98">
      <c r="AS172" s="6" t="s">
        <v>356</v>
      </c>
      <c r="AT172" s="6">
        <f>COUNTIFS(AB:AB,"B",C:C,1)/COUNTIF(C:C,1)</f>
        <v>0.23076923076923078</v>
      </c>
      <c r="AU172" s="6">
        <f>COUNTIFS(AB:AB,"B",C:C,2)/COUNTIF(C:C,2)</f>
        <v>7.6923076923076927E-2</v>
      </c>
      <c r="AV172" s="6">
        <f>COUNTIFS(AB:AB,"B",C:C,3)/COUNTIF(C:C,3)</f>
        <v>0.15384615384615385</v>
      </c>
      <c r="AW172" s="6">
        <f>COUNTIFS(AB:AB,"B",C:C,4)/COUNTIF(C:C,4)</f>
        <v>7.6923076923076927E-2</v>
      </c>
      <c r="AX172" s="6">
        <f>COUNTIFS(AB:AB,"B",C:C,5)/COUNTIF(C:C,5)</f>
        <v>0</v>
      </c>
      <c r="AY172" s="6">
        <f>COUNTIFS(AB:AB,"B",C:C,6)/COUNTIF(C:C,6)</f>
        <v>7.6923076923076927E-2</v>
      </c>
      <c r="AZ172"/>
      <c r="BA172"/>
      <c r="BB172"/>
      <c r="BC172"/>
      <c r="BD172"/>
      <c r="BE172"/>
      <c r="BF172"/>
      <c r="BI172" s="3"/>
    </row>
    <row r="173" spans="45:98">
      <c r="AZ173"/>
      <c r="BA173"/>
      <c r="BB173"/>
      <c r="BC173"/>
      <c r="BD173"/>
      <c r="BE173"/>
      <c r="BF173"/>
    </row>
    <row r="174" spans="45:98">
      <c r="AS174" s="7" t="s">
        <v>357</v>
      </c>
      <c r="AT174" s="7">
        <v>1</v>
      </c>
      <c r="AU174" s="7">
        <v>2</v>
      </c>
      <c r="AV174" s="7">
        <v>3</v>
      </c>
      <c r="AW174" s="7">
        <v>4</v>
      </c>
      <c r="AX174" s="7">
        <v>5</v>
      </c>
      <c r="AY174" s="7">
        <v>6</v>
      </c>
      <c r="AZ174"/>
      <c r="BA174"/>
      <c r="BB174"/>
      <c r="BC174"/>
      <c r="BD174"/>
      <c r="BE174"/>
      <c r="BF174"/>
      <c r="BI174" s="3"/>
    </row>
    <row r="175" spans="45:98">
      <c r="AS175" s="6" t="s">
        <v>358</v>
      </c>
      <c r="AT175" s="6">
        <f>COUNTIFS(AC:AC,"A",C:C,1)/COUNTIF(C:C,1)</f>
        <v>1</v>
      </c>
      <c r="AU175" s="6">
        <f>COUNTIFS(AC:AC,"A",C:C,2)/COUNTIF(C:C,2)</f>
        <v>1</v>
      </c>
      <c r="AV175" s="6">
        <f>COUNTIFS(AC:AC,"A",C:C,3)/COUNTIF(C:C,3)</f>
        <v>1</v>
      </c>
      <c r="AW175" s="6">
        <f>COUNTIFS(AC:AC,"A",C:C,4)/COUNTIF(C:C,4)</f>
        <v>1</v>
      </c>
      <c r="AX175" s="6">
        <f>COUNTIFS(AC:AC,"A",C:C,5)/COUNTIF(C:C,5)</f>
        <v>1</v>
      </c>
      <c r="AY175" s="6">
        <f>COUNTIFS(AC:AC,"A",C:C,6)/COUNTIF(C:C,6)</f>
        <v>0.92307692307692313</v>
      </c>
      <c r="AZ175"/>
      <c r="BB175" s="33"/>
      <c r="BC175" s="33"/>
      <c r="BD175" s="33"/>
      <c r="BE175" s="33"/>
      <c r="BF175" s="33"/>
      <c r="BG175" s="33"/>
    </row>
    <row r="176" spans="45:98">
      <c r="AS176" s="6" t="s">
        <v>359</v>
      </c>
      <c r="AT176" s="6">
        <f>COUNTIFS(AC:AC,"B",C:C,1)/COUNTIF(C:C,1)</f>
        <v>0</v>
      </c>
      <c r="AU176" s="6">
        <f>COUNTIFS(AC:AC,"B",C:C,2)/COUNTIF(C:C,2)</f>
        <v>0</v>
      </c>
      <c r="AV176" s="6">
        <f>COUNTIFS(AC:AC,"B",C:C,3)/COUNTIF(C:C,3)</f>
        <v>0</v>
      </c>
      <c r="AW176" s="6">
        <f>COUNTIFS(AC:AC,"B",C:C,4)/COUNTIF(C:C,4)</f>
        <v>0</v>
      </c>
      <c r="AX176" s="6">
        <f>COUNTIFS(AC:AC,"B",C:C,5)/COUNTIF(C:C,5)</f>
        <v>0</v>
      </c>
      <c r="AY176" s="6">
        <f>COUNTIFS(AC:AC,"B",C:C,6)/COUNTIF(C:C,6)</f>
        <v>7.6923076923076927E-2</v>
      </c>
      <c r="AZ176"/>
      <c r="BA176"/>
      <c r="BB176"/>
      <c r="BC176"/>
      <c r="BD176"/>
      <c r="BE176"/>
      <c r="BF176"/>
    </row>
    <row r="177" spans="45:98">
      <c r="AZ177"/>
      <c r="BA177"/>
      <c r="BB177"/>
      <c r="BC177"/>
      <c r="BD177"/>
      <c r="BE177"/>
      <c r="BF177"/>
      <c r="BI177" s="75"/>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row>
    <row r="178" spans="45:98">
      <c r="AS178" s="7" t="s">
        <v>361</v>
      </c>
      <c r="AT178" s="7">
        <v>1</v>
      </c>
      <c r="AU178" s="7">
        <v>2</v>
      </c>
      <c r="AV178" s="7">
        <v>3</v>
      </c>
      <c r="AW178" s="7">
        <v>4</v>
      </c>
      <c r="AX178" s="7">
        <v>5</v>
      </c>
      <c r="AY178" s="7">
        <v>6</v>
      </c>
      <c r="AZ178"/>
      <c r="BA178"/>
      <c r="BB178"/>
      <c r="BC178"/>
      <c r="BD178"/>
      <c r="BE178"/>
      <c r="BF178"/>
      <c r="BI178" s="75"/>
    </row>
    <row r="179" spans="45:98">
      <c r="AS179" s="6" t="s">
        <v>362</v>
      </c>
      <c r="AT179" s="6">
        <f>COUNTIFS(AD:AD,"A",C:C,1)/COUNTIF(C:C,1)</f>
        <v>1</v>
      </c>
      <c r="AU179" s="6">
        <f>COUNTIFS(AD:AD,"A",C:C,2)/COUNTIF(C:C,2)</f>
        <v>1</v>
      </c>
      <c r="AV179" s="6">
        <f>COUNTIFS(AD:AD,"A",C:C,3)/COUNTIF(C:C,3)</f>
        <v>1</v>
      </c>
      <c r="AW179" s="6">
        <f>COUNTIFS(AD:AD,"A",C:C,4)/COUNTIF(C:C,4)</f>
        <v>0.84615384615384615</v>
      </c>
      <c r="AX179" s="6">
        <f>COUNTIFS(AD:AD,"A",C:C,5)/COUNTIF(C:C,5)</f>
        <v>1</v>
      </c>
      <c r="AY179" s="6">
        <f>COUNTIFS(AD:AD,"A",C:C,6)/COUNTIF(C:C,6)</f>
        <v>0.84615384615384615</v>
      </c>
      <c r="AZ179"/>
      <c r="BB179" s="33"/>
      <c r="BC179" s="33"/>
      <c r="BD179" s="33"/>
      <c r="BE179" s="33"/>
      <c r="BF179" s="33"/>
      <c r="BG179" s="33"/>
    </row>
    <row r="180" spans="45:98">
      <c r="AS180" s="6" t="s">
        <v>363</v>
      </c>
      <c r="AT180" s="6">
        <f>COUNTIFS(AD:AD,"B",C:C,1)/COUNTIF(C:C,1)</f>
        <v>0</v>
      </c>
      <c r="AU180" s="6">
        <f>COUNTIFS(AD:AD,"B",C:C,2)/COUNTIF(C:C,2)</f>
        <v>0</v>
      </c>
      <c r="AV180" s="6">
        <f>COUNTIFS(AD:AD,"B",C:C,3)/COUNTIF(C:C,3)</f>
        <v>0</v>
      </c>
      <c r="AW180" s="6">
        <f>COUNTIFS(AD:AD,"B",C:C,4)/COUNTIF(C:C,4)</f>
        <v>0.15384615384615385</v>
      </c>
      <c r="AX180" s="6">
        <f>COUNTIFS(AD:AD,"B",C:C,5)/COUNTIF(C:C,5)</f>
        <v>0</v>
      </c>
      <c r="AY180" s="6">
        <f>COUNTIFS(AD:AD,"B",C:C,6)/COUNTIF(C:C,6)</f>
        <v>0.15384615384615385</v>
      </c>
      <c r="AZ180"/>
      <c r="BA180"/>
      <c r="BB180"/>
      <c r="BC180"/>
      <c r="BD180"/>
      <c r="BE180"/>
      <c r="BF180"/>
      <c r="BI180" s="3"/>
    </row>
    <row r="181" spans="45:98">
      <c r="AZ181"/>
      <c r="BA181"/>
      <c r="BB181"/>
      <c r="BC181"/>
      <c r="BD181"/>
      <c r="BE181"/>
      <c r="BF181"/>
    </row>
    <row r="182" spans="45:98">
      <c r="AS182" s="7" t="s">
        <v>364</v>
      </c>
      <c r="AT182" s="7">
        <v>1</v>
      </c>
      <c r="AU182" s="7">
        <v>2</v>
      </c>
      <c r="AV182" s="7">
        <v>3</v>
      </c>
      <c r="AW182" s="7">
        <v>4</v>
      </c>
      <c r="AX182" s="7">
        <v>5</v>
      </c>
      <c r="AY182" s="7">
        <v>6</v>
      </c>
      <c r="AZ182"/>
      <c r="BA182"/>
      <c r="BB182"/>
      <c r="BC182"/>
      <c r="BD182"/>
      <c r="BE182"/>
      <c r="BF182"/>
      <c r="BI182" s="3"/>
    </row>
    <row r="183" spans="45:98">
      <c r="AS183" s="6" t="s">
        <v>365</v>
      </c>
      <c r="AT183" s="6">
        <f>COUNTIFS(AE:AE,"A",C:C,1)/COUNTIF(C:C,1)</f>
        <v>1</v>
      </c>
      <c r="AU183" s="6">
        <f>COUNTIFS(AE:AE,"A",C:C,2)/COUNTIF(C:C,2)</f>
        <v>1</v>
      </c>
      <c r="AV183" s="6">
        <f>COUNTIFS(AE:AE,"A",C:C,3)/COUNTIF(C:C,3)</f>
        <v>1</v>
      </c>
      <c r="AW183" s="6">
        <f>COUNTIFS(AE:AE,"A",C:C,4)/COUNTIF(C:C,4)</f>
        <v>1</v>
      </c>
      <c r="AX183" s="6">
        <f>COUNTIFS(AE:AE,"A",C:C,5)/COUNTIF(C:C,5)</f>
        <v>0.92307692307692313</v>
      </c>
      <c r="AY183" s="6">
        <f>COUNTIFS(AE:AE,"A",C:C,6)/COUNTIF(C:C,6)</f>
        <v>0.84615384615384615</v>
      </c>
      <c r="AZ183"/>
      <c r="BB183" s="33"/>
      <c r="BC183" s="33"/>
      <c r="BD183" s="33"/>
      <c r="BE183" s="33"/>
      <c r="BF183" s="33"/>
      <c r="BG183" s="33"/>
    </row>
    <row r="184" spans="45:98">
      <c r="AS184" s="6" t="s">
        <v>366</v>
      </c>
      <c r="AT184" s="6">
        <f>COUNTIFS(AE:AE,"B",C:C,1)/COUNTIF(C:C,1)</f>
        <v>0</v>
      </c>
      <c r="AU184" s="6">
        <f>COUNTIFS(AE:AE,"B",C:C,2)/COUNTIF(C:C,2)</f>
        <v>0</v>
      </c>
      <c r="AV184" s="6">
        <f>COUNTIFS(AE:AE,"B",C:C,3)/COUNTIF(C:C,3)</f>
        <v>0</v>
      </c>
      <c r="AW184" s="6">
        <f>COUNTIFS(AE:AE,"B",C:C,4)/COUNTIF(C:C,4)</f>
        <v>0</v>
      </c>
      <c r="AX184" s="6">
        <f>COUNTIFS(AE:AE,"B",C:C,5)/COUNTIF(C:C,5)</f>
        <v>7.6923076923076927E-2</v>
      </c>
      <c r="AY184" s="6">
        <f>COUNTIFS(AE:AE,"B",C:C,6)/COUNTIF(C:C,6)</f>
        <v>0.15384615384615385</v>
      </c>
      <c r="AZ184"/>
      <c r="BA184"/>
      <c r="BB184"/>
      <c r="BC184"/>
      <c r="BD184"/>
      <c r="BE184"/>
      <c r="BF184"/>
      <c r="BI184" s="3"/>
    </row>
    <row r="185" spans="45:98">
      <c r="AZ185"/>
      <c r="BA185"/>
      <c r="BB185"/>
      <c r="BC185"/>
      <c r="BD185"/>
      <c r="BE185"/>
      <c r="BF185"/>
    </row>
    <row r="186" spans="45:98">
      <c r="AS186" s="7" t="s">
        <v>367</v>
      </c>
      <c r="AT186" s="7">
        <v>1</v>
      </c>
      <c r="AU186" s="7">
        <v>2</v>
      </c>
      <c r="AV186" s="7">
        <v>3</v>
      </c>
      <c r="AW186" s="7">
        <v>4</v>
      </c>
      <c r="AX186" s="7">
        <v>5</v>
      </c>
      <c r="AY186" s="7">
        <v>6</v>
      </c>
      <c r="AZ186"/>
      <c r="BA186"/>
      <c r="BB186"/>
      <c r="BC186"/>
      <c r="BD186"/>
      <c r="BE186"/>
      <c r="BF186"/>
      <c r="BI186" s="3"/>
    </row>
    <row r="187" spans="45:98">
      <c r="AS187" s="6" t="s">
        <v>368</v>
      </c>
      <c r="AT187" s="6">
        <f>COUNTIFS(AF:AF,"A",C:C,1)/COUNTIF(C:C,1)</f>
        <v>0.84615384615384615</v>
      </c>
      <c r="AU187" s="6">
        <f>COUNTIFS(AF:AF,"A",C:C,2)/COUNTIF(C:C,2)</f>
        <v>1</v>
      </c>
      <c r="AV187" s="6">
        <f>COUNTIFS(AF:AF,"A",C:C,3)/COUNTIF(C:C,3)</f>
        <v>1</v>
      </c>
      <c r="AW187" s="6">
        <f>COUNTIFS(AF:AF,"A",C:C,4)/COUNTIF(C:C,4)</f>
        <v>0.69230769230769229</v>
      </c>
      <c r="AX187" s="6">
        <f>COUNTIFS(AF:AF,"A",C:C,5)/COUNTIF(C:C,5)</f>
        <v>0.61538461538461542</v>
      </c>
      <c r="AY187" s="6">
        <f>COUNTIFS(AF:AF,"A",C:C,6)/COUNTIF(C:C,6)</f>
        <v>0.61538461538461542</v>
      </c>
      <c r="AZ187"/>
      <c r="BB187" s="33"/>
      <c r="BC187" s="33"/>
      <c r="BD187" s="33"/>
      <c r="BE187" s="33"/>
      <c r="BF187" s="33"/>
      <c r="BG187" s="33"/>
    </row>
    <row r="188" spans="45:98">
      <c r="AS188" s="6" t="s">
        <v>369</v>
      </c>
      <c r="AT188" s="6">
        <f>COUNTIFS(AF:AF,"B",C:C,1)/COUNTIF(C:C,1)</f>
        <v>0.15384615384615385</v>
      </c>
      <c r="AU188" s="6">
        <f>COUNTIFS(AF:AF,"B",C:C,2)/COUNTIF(C:C,2)</f>
        <v>0</v>
      </c>
      <c r="AV188" s="6">
        <f>COUNTIFS(AF:AF,"B",C:C,3)/COUNTIF(C:C,3)</f>
        <v>0</v>
      </c>
      <c r="AW188" s="6">
        <f>COUNTIFS(AF:AF,"B",C:C,4)/COUNTIF(C:C,4)</f>
        <v>0.30769230769230771</v>
      </c>
      <c r="AX188" s="6">
        <f>COUNTIFS(AF:AF,"B",C:C,5)/COUNTIF(C:C,5)</f>
        <v>0.38461538461538464</v>
      </c>
      <c r="AY188" s="6">
        <f>COUNTIFS(AF:AF,"B",C:C,6)/COUNTIF(C:C,6)</f>
        <v>0.38461538461538464</v>
      </c>
      <c r="AZ188"/>
      <c r="BA188"/>
      <c r="BB188" s="35"/>
      <c r="BC188" s="35"/>
      <c r="BD188" s="35"/>
      <c r="BE188" s="35"/>
      <c r="BF188" s="35"/>
      <c r="BG188" s="35"/>
      <c r="BI188" s="3"/>
    </row>
    <row r="189" spans="45:98">
      <c r="AZ189"/>
      <c r="BA189"/>
      <c r="BB189" s="35"/>
      <c r="BC189" s="35"/>
      <c r="BD189" s="35"/>
      <c r="BE189" s="35"/>
      <c r="BF189" s="35"/>
      <c r="BG189" s="35"/>
    </row>
    <row r="190" spans="45:98">
      <c r="AS190" s="7" t="s">
        <v>370</v>
      </c>
      <c r="AT190" s="7">
        <v>1</v>
      </c>
      <c r="AU190" s="7">
        <v>2</v>
      </c>
      <c r="AV190" s="7">
        <v>3</v>
      </c>
      <c r="AW190" s="7">
        <v>4</v>
      </c>
      <c r="AX190" s="7">
        <v>5</v>
      </c>
      <c r="AY190" s="7">
        <v>6</v>
      </c>
      <c r="AZ190"/>
      <c r="BA190"/>
      <c r="BB190" s="35"/>
      <c r="BC190" s="35"/>
      <c r="BD190" s="35"/>
      <c r="BE190" s="35"/>
      <c r="BF190" s="35"/>
      <c r="BG190" s="35"/>
      <c r="BI190" s="3"/>
    </row>
    <row r="191" spans="45:98">
      <c r="AS191" s="6" t="s">
        <v>371</v>
      </c>
      <c r="AT191" s="6">
        <f>COUNTIFS(AG:AG,"A",C:C,1)/COUNTIF(C:C,1)</f>
        <v>0.15384615384615385</v>
      </c>
      <c r="AU191" s="6">
        <f>COUNTIFS(AG:AG,"A",C:C,2)/COUNTIF(C:C,2)</f>
        <v>0.15384615384615385</v>
      </c>
      <c r="AV191" s="6">
        <f>COUNTIFS(AG:AG,"A",C:C,3)/COUNTIF(C:C,3)</f>
        <v>0.23076923076923078</v>
      </c>
      <c r="AW191" s="6">
        <f>COUNTIFS(AG:AG,"A",C:C,4)/COUNTIF(C:C,4)</f>
        <v>7.6923076923076927E-2</v>
      </c>
      <c r="AX191" s="6">
        <f>COUNTIFS(AG:AG,"A",C:C,5)/COUNTIF(C:C,5)</f>
        <v>0.15384615384615385</v>
      </c>
      <c r="AY191" s="6">
        <f>COUNTIFS(AG:AG,"A",C:C,6)/COUNTIF(C:C,6)</f>
        <v>0.23076923076923078</v>
      </c>
      <c r="AZ191"/>
      <c r="BB191" s="33"/>
      <c r="BC191" s="33"/>
      <c r="BD191" s="33"/>
      <c r="BE191" s="33"/>
      <c r="BF191" s="33"/>
      <c r="BG191" s="33"/>
    </row>
    <row r="192" spans="45:98">
      <c r="AS192" s="6" t="s">
        <v>372</v>
      </c>
      <c r="AT192" s="6">
        <f>COUNTIFS(AG:AG,"B",C:C,1)/COUNTIF(C:C,1)</f>
        <v>0.84615384615384615</v>
      </c>
      <c r="AU192" s="6">
        <f>COUNTIFS(AG:AG,"B",C:C,2)/COUNTIF(C:C,2)</f>
        <v>0.84615384615384615</v>
      </c>
      <c r="AV192" s="6">
        <f>COUNTIFS(AG:AG,"B",C:C,3)/COUNTIF(C:C,3)</f>
        <v>0.76923076923076927</v>
      </c>
      <c r="AW192" s="6">
        <f>COUNTIFS(AG:AG,"B",C:C,4)/COUNTIF(C:C,4)</f>
        <v>0.92307692307692313</v>
      </c>
      <c r="AX192" s="6">
        <f>COUNTIFS(AG:AG,"B",C:C,5)/COUNTIF(C:C,5)</f>
        <v>0.84615384615384615</v>
      </c>
      <c r="AY192" s="6">
        <f>COUNTIFS(AG:AG,"B",C:C,6)/COUNTIF(C:C,6)</f>
        <v>0.76923076923076927</v>
      </c>
      <c r="AZ192"/>
      <c r="BA192"/>
      <c r="BB192"/>
      <c r="BC192"/>
      <c r="BD192"/>
      <c r="BE192"/>
      <c r="BF192"/>
    </row>
    <row r="193" spans="45:98">
      <c r="AZ193"/>
      <c r="BA193"/>
      <c r="BB193"/>
      <c r="BC193"/>
      <c r="BD193"/>
      <c r="BE193"/>
      <c r="BF193"/>
      <c r="BI193" s="75"/>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row>
    <row r="194" spans="45:98">
      <c r="AS194" s="7" t="s">
        <v>373</v>
      </c>
      <c r="AT194" s="7">
        <v>1</v>
      </c>
      <c r="AU194" s="7">
        <v>2</v>
      </c>
      <c r="AV194" s="7">
        <v>3</v>
      </c>
      <c r="AW194" s="7">
        <v>4</v>
      </c>
      <c r="AX194" s="7">
        <v>5</v>
      </c>
      <c r="AY194" s="7">
        <v>6</v>
      </c>
      <c r="AZ194"/>
      <c r="BA194"/>
      <c r="BB194"/>
      <c r="BC194"/>
      <c r="BD194"/>
      <c r="BE194"/>
      <c r="BF194"/>
      <c r="BI194" s="75"/>
    </row>
    <row r="195" spans="45:98">
      <c r="AS195" s="6" t="s">
        <v>374</v>
      </c>
      <c r="AT195" s="6">
        <f>COUNTIFS(AH:AH,"A",C:C,1)/COUNTIF(C:C,1)</f>
        <v>1</v>
      </c>
      <c r="AU195" s="6">
        <f>COUNTIFS(AH:AH,"A",C:C,2)/COUNTIF(C:C,2)</f>
        <v>1</v>
      </c>
      <c r="AV195" s="6">
        <f>COUNTIFS(AH:AH,"A",C:C,3)/COUNTIF(C:C,3)</f>
        <v>1</v>
      </c>
      <c r="AW195" s="6">
        <f>COUNTIFS(AH:AH,"A",C:C,4)/COUNTIF(C:C,4)</f>
        <v>1</v>
      </c>
      <c r="AX195" s="6">
        <f>COUNTIFS(AH:AH,"A",C:C,5)/COUNTIF(C:C,5)</f>
        <v>1</v>
      </c>
      <c r="AY195" s="6">
        <f>COUNTIFS(AH:AH,"A",C:C,6)/COUNTIF(C:C,6)</f>
        <v>0.84615384615384615</v>
      </c>
      <c r="AZ195"/>
      <c r="BB195" s="33"/>
      <c r="BC195" s="33"/>
      <c r="BD195" s="33"/>
      <c r="BE195" s="33"/>
      <c r="BF195" s="33"/>
      <c r="BG195" s="33"/>
    </row>
    <row r="196" spans="45:98">
      <c r="AS196" s="6" t="s">
        <v>375</v>
      </c>
      <c r="AT196" s="6">
        <f>COUNTIFS(AH:AH,"B",C:C,1)/COUNTIF(C:C,1)</f>
        <v>0</v>
      </c>
      <c r="AU196" s="6">
        <f>COUNTIFS(AH:AH,"B",C:C,2)/COUNTIF(C:C,2)</f>
        <v>0</v>
      </c>
      <c r="AV196" s="6">
        <f>COUNTIFS(AH:AH,"B",C:C,3)/COUNTIF(C:C,3)</f>
        <v>0</v>
      </c>
      <c r="AW196" s="6">
        <f>COUNTIFS(AH:AH,"B",C:C,4)/COUNTIF(C:C,4)</f>
        <v>0</v>
      </c>
      <c r="AX196" s="6">
        <f>COUNTIFS(AH:AH,"B",C:C,5)/COUNTIF(C:C,5)</f>
        <v>0</v>
      </c>
      <c r="AY196" s="6">
        <f>COUNTIFS(AH:AH,"B",C:C,6)/COUNTIF(C:C,6)</f>
        <v>0.15384615384615385</v>
      </c>
      <c r="AZ196"/>
      <c r="BA196"/>
      <c r="BB196"/>
      <c r="BC196"/>
      <c r="BD196"/>
      <c r="BE196"/>
      <c r="BF196"/>
      <c r="BI196" s="3"/>
    </row>
    <row r="197" spans="45:98">
      <c r="AZ197"/>
      <c r="BA197"/>
      <c r="BB197"/>
      <c r="BC197"/>
      <c r="BD197"/>
      <c r="BE197"/>
      <c r="BF197"/>
    </row>
    <row r="198" spans="45:98">
      <c r="AS198" s="7" t="s">
        <v>360</v>
      </c>
      <c r="AT198" s="7">
        <v>1</v>
      </c>
      <c r="AU198" s="7">
        <v>2</v>
      </c>
      <c r="AV198" s="7">
        <v>3</v>
      </c>
      <c r="AW198" s="7">
        <v>4</v>
      </c>
      <c r="AX198" s="7">
        <v>5</v>
      </c>
      <c r="AY198" s="7">
        <v>6</v>
      </c>
      <c r="AZ198"/>
      <c r="BA198"/>
      <c r="BB198"/>
      <c r="BC198"/>
      <c r="BD198"/>
      <c r="BE198"/>
      <c r="BF198"/>
      <c r="BI198" s="3"/>
    </row>
    <row r="199" spans="45:98">
      <c r="AS199" s="6" t="s">
        <v>377</v>
      </c>
      <c r="AT199" s="6">
        <f>COUNTIFS(AI:AI,"A",C:C,1)/COUNTIF(C:C,1)</f>
        <v>0.15384615384615385</v>
      </c>
      <c r="AU199" s="6">
        <f>COUNTIFS(AI:AI,"A",C:C,2)/COUNTIF(C:C,2)</f>
        <v>0.30769230769230771</v>
      </c>
      <c r="AV199" s="6">
        <f>COUNTIFS(AI:AI,"A",C:C,3)/COUNTIF(C:C,3)</f>
        <v>0.23076923076923078</v>
      </c>
      <c r="AW199" s="6">
        <f>COUNTIFS(AI:AI,"A",C:C,4)/COUNTIF(C:C,4)</f>
        <v>0</v>
      </c>
      <c r="AX199" s="6">
        <f>COUNTIFS(AI:AI,"A",C:C,5)/COUNTIF(C:C,5)</f>
        <v>0</v>
      </c>
      <c r="AY199" s="6">
        <f>COUNTIFS(AI:AI,"A",C:C,6)/COUNTIF(C:C,6)</f>
        <v>0.23076923076923078</v>
      </c>
      <c r="AZ199"/>
      <c r="BB199" s="33"/>
      <c r="BC199" s="33"/>
      <c r="BD199" s="33"/>
      <c r="BE199" s="33"/>
      <c r="BF199" s="33"/>
      <c r="BG199" s="33"/>
    </row>
    <row r="200" spans="45:98">
      <c r="AS200" s="6" t="s">
        <v>376</v>
      </c>
      <c r="AT200" s="6">
        <f>COUNTIFS(AI:AI,"B",C:C,1)/COUNTIF(C:C,1)</f>
        <v>0.84615384615384615</v>
      </c>
      <c r="AU200" s="6">
        <f>COUNTIFS(AI:AI,"B",C:C,2)/COUNTIF(C:C,2)</f>
        <v>0.69230769230769229</v>
      </c>
      <c r="AV200" s="6">
        <f>COUNTIFS(AI:AI,"B",C:C,3)/COUNTIF(C:C,3)</f>
        <v>0.76923076923076927</v>
      </c>
      <c r="AW200" s="6">
        <f>COUNTIFS(AI:AI,"B",C:C,4)/COUNTIF(C:C,4)</f>
        <v>1</v>
      </c>
      <c r="AX200" s="6">
        <f>COUNTIFS(AI:AI,"B",C:C,5)/COUNTIF(C:C,5)</f>
        <v>1</v>
      </c>
      <c r="AY200" s="6">
        <f>COUNTIFS(AI:AI,"B",C:C,6)/COUNTIF(C:C,6)</f>
        <v>0.76923076923076927</v>
      </c>
      <c r="AZ200"/>
      <c r="BA200"/>
      <c r="BB200"/>
      <c r="BC200"/>
      <c r="BD200"/>
      <c r="BE200"/>
      <c r="BF200"/>
      <c r="BI200" s="3"/>
    </row>
    <row r="201" spans="45:98">
      <c r="AZ201"/>
      <c r="BA201"/>
      <c r="BB201"/>
      <c r="BC201"/>
      <c r="BD201"/>
      <c r="BE201"/>
      <c r="BF201"/>
    </row>
    <row r="202" spans="45:98">
      <c r="AS202" s="7" t="s">
        <v>378</v>
      </c>
      <c r="AT202" s="7">
        <v>1</v>
      </c>
      <c r="AU202" s="7">
        <v>2</v>
      </c>
      <c r="AV202" s="7">
        <v>3</v>
      </c>
      <c r="AW202" s="7">
        <v>4</v>
      </c>
      <c r="AX202" s="7">
        <v>5</v>
      </c>
      <c r="AY202" s="7">
        <v>6</v>
      </c>
      <c r="AZ202"/>
      <c r="BA202"/>
      <c r="BB202"/>
      <c r="BC202"/>
      <c r="BD202"/>
      <c r="BE202"/>
      <c r="BF202"/>
      <c r="BI202" s="3"/>
    </row>
    <row r="203" spans="45:98">
      <c r="AS203" s="6" t="s">
        <v>379</v>
      </c>
      <c r="AT203" s="6">
        <f>COUNTIFS(AJ:AJ,"A",C:C,1)/COUNTIF(C:C,1)</f>
        <v>0.92307692307692313</v>
      </c>
      <c r="AU203" s="6">
        <f>COUNTIFS(AJ:AJ,"A",C:C,2)/COUNTIF(C:C,2)</f>
        <v>0.92307692307692313</v>
      </c>
      <c r="AV203" s="6">
        <f>COUNTIFS(AJ:AJ,"A",C:C,3)/COUNTIF(C:C,3)</f>
        <v>1</v>
      </c>
      <c r="AW203" s="6">
        <f>COUNTIFS(AJ:AJ,"A",C:C,4)/COUNTIF(C:C,4)</f>
        <v>0.61538461538461542</v>
      </c>
      <c r="AX203" s="6">
        <f>COUNTIFS(AJ:AJ,"A",C:C,5)/COUNTIF(C:C,5)</f>
        <v>0.84615384615384615</v>
      </c>
      <c r="AY203" s="6">
        <f>COUNTIFS(AJ:AJ,"A",C:C,6)/COUNTIF(C:C,6)</f>
        <v>0.53846153846153844</v>
      </c>
      <c r="AZ203"/>
      <c r="BB203" s="33"/>
      <c r="BC203" s="33"/>
      <c r="BD203" s="33"/>
      <c r="BE203" s="33"/>
      <c r="BF203" s="33"/>
      <c r="BG203" s="33"/>
    </row>
    <row r="204" spans="45:98">
      <c r="AS204" s="6" t="s">
        <v>380</v>
      </c>
      <c r="AT204" s="6">
        <f>COUNTIFS(AJ:AJ,"B",C:C,1)/COUNTIF(C:C,1)</f>
        <v>7.6923076923076927E-2</v>
      </c>
      <c r="AU204" s="6">
        <f>COUNTIFS(AJ:AJ,"B",C:C,2)/COUNTIF(C:C,2)</f>
        <v>7.6923076923076927E-2</v>
      </c>
      <c r="AV204" s="6">
        <f>COUNTIFS(AJ:AJ,"B",C:C,3)/COUNTIF(C:C,3)</f>
        <v>0</v>
      </c>
      <c r="AW204" s="6">
        <f>COUNTIFS(AJ:AJ,"B",C:C,4)/COUNTIF(C:C,4)</f>
        <v>0.38461538461538464</v>
      </c>
      <c r="AX204" s="6">
        <f>COUNTIFS(AJ:AJ,"B",C:C,5)/COUNTIF(C:C,5)</f>
        <v>0.15384615384615385</v>
      </c>
      <c r="AY204" s="6">
        <f>COUNTIFS(AJ:AJ,"B",C:C,6)/COUNTIF(C:C,6)</f>
        <v>0.46153846153846156</v>
      </c>
      <c r="AZ204"/>
      <c r="BA204"/>
      <c r="BB204"/>
      <c r="BC204"/>
      <c r="BD204"/>
      <c r="BE204"/>
      <c r="BF204"/>
      <c r="BI204" s="3"/>
    </row>
    <row r="205" spans="45:98">
      <c r="AZ205"/>
      <c r="BA205"/>
      <c r="BB205"/>
      <c r="BC205"/>
      <c r="BD205"/>
      <c r="BE205"/>
      <c r="BF205"/>
    </row>
    <row r="206" spans="45:98">
      <c r="AS206" s="7" t="s">
        <v>381</v>
      </c>
      <c r="AT206" s="7">
        <v>1</v>
      </c>
      <c r="AU206" s="7">
        <v>2</v>
      </c>
      <c r="AV206" s="7">
        <v>3</v>
      </c>
      <c r="AW206" s="7">
        <v>4</v>
      </c>
      <c r="AX206" s="7">
        <v>5</v>
      </c>
      <c r="AY206" s="7">
        <v>6</v>
      </c>
      <c r="AZ206"/>
      <c r="BA206"/>
      <c r="BB206"/>
      <c r="BC206"/>
      <c r="BD206"/>
      <c r="BE206"/>
      <c r="BF206"/>
      <c r="BI206" s="3"/>
    </row>
    <row r="207" spans="45:98">
      <c r="AS207" s="6" t="s">
        <v>382</v>
      </c>
      <c r="AT207" s="6">
        <f>COUNTIFS(AK:AK,"A",C:C,1)/COUNTIF(C:C,1)</f>
        <v>0.92307692307692313</v>
      </c>
      <c r="AU207" s="6">
        <f>COUNTIFS(AK:AK,"A",C:C,2)/COUNTIF(C:C,2)</f>
        <v>1</v>
      </c>
      <c r="AV207" s="6">
        <f>COUNTIFS(AK:AK,"A",C:C,3)/COUNTIF(C:C,3)</f>
        <v>1</v>
      </c>
      <c r="AW207" s="6">
        <f>COUNTIFS(AK:AK,"A",C:C,4)/COUNTIF(C:C,4)</f>
        <v>1</v>
      </c>
      <c r="AX207" s="6">
        <f>COUNTIFS(AK:AK,"A",C:C,5)/COUNTIF(C:C,5)</f>
        <v>1</v>
      </c>
      <c r="AY207" s="6">
        <f>COUNTIFS(AK:AK,"A",C:C,6)/COUNTIF(C:C,6)</f>
        <v>0.46153846153846156</v>
      </c>
      <c r="AZ207"/>
      <c r="BB207" s="33"/>
      <c r="BC207" s="33"/>
      <c r="BD207" s="33"/>
      <c r="BE207" s="33"/>
      <c r="BF207" s="33"/>
      <c r="BG207" s="33"/>
    </row>
    <row r="208" spans="45:98">
      <c r="AS208" s="6" t="s">
        <v>383</v>
      </c>
      <c r="AT208" s="6">
        <f>COUNTIFS(AK:AK,"B",C:C,1)/COUNTIF(C:C,1)</f>
        <v>7.6923076923076927E-2</v>
      </c>
      <c r="AU208" s="6">
        <f>COUNTIFS(AK:AK,"B",C:C,2)/COUNTIF(C:C,2)</f>
        <v>0</v>
      </c>
      <c r="AV208" s="6">
        <f>COUNTIFS(AK:AK,"B",C:C,3)/COUNTIF(C:C,3)</f>
        <v>0</v>
      </c>
      <c r="AW208" s="6">
        <f>COUNTIFS(AK:AK,"B",C:C,4)/COUNTIF(C:C,4)</f>
        <v>0</v>
      </c>
      <c r="AX208" s="6">
        <f>COUNTIFS(AK:AK,"B",C:C,5)/COUNTIF(C:C,5)</f>
        <v>0</v>
      </c>
      <c r="AY208" s="6">
        <f>COUNTIFS(AK:AK,"B",C:C,6)/COUNTIF(C:C,6)</f>
        <v>0.53846153846153844</v>
      </c>
      <c r="AZ208"/>
      <c r="BA208"/>
      <c r="BB208"/>
      <c r="BC208"/>
      <c r="BD208"/>
      <c r="BE208"/>
      <c r="BF208"/>
    </row>
    <row r="209" spans="45:98">
      <c r="AZ209"/>
      <c r="BA209"/>
      <c r="BB209"/>
      <c r="BC209"/>
      <c r="BD209"/>
      <c r="BE209"/>
      <c r="BF209"/>
      <c r="BI209" s="75"/>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row>
    <row r="210" spans="45:98">
      <c r="AS210" s="7" t="s">
        <v>384</v>
      </c>
      <c r="AT210" s="7">
        <v>1</v>
      </c>
      <c r="AU210" s="7">
        <v>2</v>
      </c>
      <c r="AV210" s="7">
        <v>3</v>
      </c>
      <c r="AW210" s="7">
        <v>4</v>
      </c>
      <c r="AX210" s="7">
        <v>5</v>
      </c>
      <c r="AY210" s="7">
        <v>6</v>
      </c>
      <c r="AZ210"/>
      <c r="BA210"/>
      <c r="BB210"/>
      <c r="BC210"/>
      <c r="BD210"/>
      <c r="BE210"/>
      <c r="BF210"/>
      <c r="BI210" s="75"/>
    </row>
    <row r="211" spans="45:98">
      <c r="AS211" s="6" t="s">
        <v>385</v>
      </c>
      <c r="AT211" s="6">
        <f>COUNTIFS(AL:AL,"A",C:C,1)/COUNTIF(C:C,1)</f>
        <v>0.76923076923076927</v>
      </c>
      <c r="AU211" s="6">
        <f>COUNTIFS(AL:AL,"A",C:C,2)/COUNTIF(C:C,2)</f>
        <v>0.61538461538461542</v>
      </c>
      <c r="AV211" s="6">
        <f>COUNTIFS(AL:AL,"A",C:C,3)/COUNTIF(C:C,3)</f>
        <v>0.61538461538461542</v>
      </c>
      <c r="AW211" s="6">
        <f>COUNTIFS(AL:AL,"A",C:C,4)/COUNTIF(C:C,4)</f>
        <v>0.53846153846153844</v>
      </c>
      <c r="AX211" s="6">
        <f>COUNTIFS(AL:AL,"A",C:C,5)/COUNTIF(C:C,5)</f>
        <v>0.53846153846153844</v>
      </c>
      <c r="AY211" s="6">
        <f>COUNTIFS(AL:AL,"A",C:C,6)/COUNTIF(C:C,6)</f>
        <v>0.61538461538461542</v>
      </c>
      <c r="AZ211"/>
      <c r="BA211"/>
      <c r="BB211" s="35"/>
      <c r="BC211" s="35"/>
      <c r="BD211" s="35"/>
      <c r="BE211" s="35"/>
      <c r="BF211" s="35"/>
      <c r="BG211" s="35"/>
    </row>
    <row r="212" spans="45:98">
      <c r="AS212" s="6" t="s">
        <v>386</v>
      </c>
      <c r="AT212" s="6">
        <f>COUNTIFS(AL:AL,"B",C:C,1)/COUNTIF(C:C,1)</f>
        <v>0.23076923076923078</v>
      </c>
      <c r="AU212" s="6">
        <f>COUNTIFS(AL:AL,"B",C:C,2)/COUNTIF(C:C,2)</f>
        <v>0.38461538461538464</v>
      </c>
      <c r="AV212" s="6">
        <f>COUNTIFS(AL:AL,"B",C:C,3)/COUNTIF(C:C,3)</f>
        <v>0.38461538461538464</v>
      </c>
      <c r="AW212" s="6">
        <f>COUNTIFS(AL:AL,"B",C:C,4)/COUNTIF(C:C,4)</f>
        <v>0.46153846153846156</v>
      </c>
      <c r="AX212" s="6">
        <f>COUNTIFS(AL:AL,"B",C:C,5)/COUNTIF(C:C,5)</f>
        <v>0.46153846153846156</v>
      </c>
      <c r="AY212" s="6">
        <f>COUNTIFS(AL:AL,"B",C:C,6)/COUNTIF(C:C,6)</f>
        <v>0.38461538461538464</v>
      </c>
      <c r="AZ212"/>
      <c r="BA212"/>
      <c r="BB212"/>
      <c r="BC212"/>
      <c r="BD212"/>
      <c r="BE212"/>
      <c r="BF212"/>
      <c r="BI212" s="3"/>
    </row>
    <row r="213" spans="45:98">
      <c r="AZ213"/>
      <c r="BA213"/>
      <c r="BB213"/>
      <c r="BC213"/>
      <c r="BD213"/>
      <c r="BE213"/>
      <c r="BF213"/>
    </row>
    <row r="214" spans="45:98">
      <c r="AS214" s="7" t="s">
        <v>387</v>
      </c>
      <c r="AT214" s="7">
        <v>1</v>
      </c>
      <c r="AU214" s="7">
        <v>2</v>
      </c>
      <c r="AV214" s="7">
        <v>3</v>
      </c>
      <c r="AW214" s="7">
        <v>4</v>
      </c>
      <c r="AX214" s="7">
        <v>5</v>
      </c>
      <c r="AY214" s="7">
        <v>6</v>
      </c>
      <c r="AZ214"/>
      <c r="BA214"/>
      <c r="BB214"/>
      <c r="BC214"/>
      <c r="BD214"/>
      <c r="BE214"/>
      <c r="BF214"/>
      <c r="BI214" s="3"/>
    </row>
    <row r="215" spans="45:98">
      <c r="AS215" s="6" t="s">
        <v>388</v>
      </c>
      <c r="AT215" s="6">
        <f>COUNTIFS(AM:AM,"A",C:C,1)/COUNTIF(C:C,1)</f>
        <v>0</v>
      </c>
      <c r="AU215" s="6">
        <f>COUNTIFS(AM:AM,"A",C:C,2)/COUNTIF(C:C,2)</f>
        <v>0.15384615384615385</v>
      </c>
      <c r="AV215" s="6">
        <f>COUNTIFS(AM:AM,"A",C:C,3)/COUNTIF(C:C,3)</f>
        <v>0.23076923076923078</v>
      </c>
      <c r="AW215" s="6">
        <f>COUNTIFS(AM:AM,"A",C:C,4)/COUNTIF(C:C,4)</f>
        <v>0</v>
      </c>
      <c r="AX215" s="6">
        <f>COUNTIFS(AM:AM,"A",C:C,5)/COUNTIF(C:C,5)</f>
        <v>0</v>
      </c>
      <c r="AY215" s="6">
        <f>COUNTIFS(AM:AM,"A",C:C,6)/COUNTIF(C:C,6)</f>
        <v>7.6923076923076927E-2</v>
      </c>
      <c r="AZ215"/>
      <c r="BA215"/>
      <c r="BB215" s="35"/>
      <c r="BC215" s="35"/>
      <c r="BD215" s="35"/>
      <c r="BE215" s="35"/>
      <c r="BF215" s="35"/>
      <c r="BG215" s="35"/>
    </row>
    <row r="216" spans="45:98">
      <c r="AS216" s="6" t="s">
        <v>389</v>
      </c>
      <c r="AT216" s="6">
        <f>COUNTIFS(AM:AM,"B",C:C,1)/COUNTIF(C:C,1)</f>
        <v>1</v>
      </c>
      <c r="AU216" s="6">
        <f>COUNTIFS(AM:AM,"B",C:C,2)/COUNTIF(C:C,2)</f>
        <v>0.84615384615384615</v>
      </c>
      <c r="AV216" s="6">
        <f>COUNTIFS(AM:AM,"B",C:C,3)/COUNTIF(C:C,3)</f>
        <v>0.76923076923076927</v>
      </c>
      <c r="AW216" s="6">
        <f>COUNTIFS(AM:AM,"B",C:C,4)/COUNTIF(C:C,4)</f>
        <v>1</v>
      </c>
      <c r="AX216" s="6">
        <f>COUNTIFS(AM:AM,"B",C:C,5)/COUNTIF(C:C,5)</f>
        <v>1</v>
      </c>
      <c r="AY216" s="6">
        <f>COUNTIFS(AM:AM,"B",C:C,6)/COUNTIF(C:C,6)</f>
        <v>0.92307692307692313</v>
      </c>
      <c r="AZ216"/>
      <c r="BA216"/>
      <c r="BB216"/>
      <c r="BC216"/>
      <c r="BD216"/>
      <c r="BE216"/>
      <c r="BF216"/>
      <c r="BI216" s="3"/>
    </row>
    <row r="217" spans="45:98">
      <c r="AZ217"/>
      <c r="BA217"/>
      <c r="BB217"/>
      <c r="BC217"/>
      <c r="BD217"/>
      <c r="BE217"/>
      <c r="BF217"/>
    </row>
    <row r="218" spans="45:98">
      <c r="AZ218"/>
      <c r="BA218"/>
      <c r="BB218"/>
      <c r="BC218"/>
      <c r="BD218"/>
      <c r="BE218"/>
      <c r="BF218"/>
      <c r="BI218" s="3"/>
    </row>
    <row r="219" spans="45:98">
      <c r="AS219" s="42"/>
      <c r="AT219" s="42"/>
      <c r="AU219" s="42"/>
      <c r="AV219" s="42"/>
      <c r="AW219" s="42"/>
      <c r="AX219" s="42"/>
      <c r="AY219" s="23"/>
      <c r="AZ219"/>
      <c r="BA219"/>
      <c r="BB219" s="35"/>
      <c r="BC219" s="35"/>
      <c r="BD219" s="35"/>
      <c r="BE219" s="35"/>
      <c r="BF219" s="35"/>
      <c r="BG219" s="35"/>
    </row>
    <row r="220" spans="45:98">
      <c r="AZ220"/>
      <c r="BA220"/>
      <c r="BB220"/>
      <c r="BC220"/>
      <c r="BD220"/>
      <c r="BE220"/>
      <c r="BF220"/>
      <c r="BI220" s="3"/>
    </row>
    <row r="221" spans="45:98">
      <c r="AZ221"/>
      <c r="BA221"/>
      <c r="BB221"/>
      <c r="BC221"/>
      <c r="BD221"/>
      <c r="BE221"/>
      <c r="BF221"/>
    </row>
    <row r="222" spans="45:98">
      <c r="AZ222"/>
      <c r="BA222"/>
      <c r="BB222"/>
      <c r="BC222"/>
      <c r="BD222"/>
      <c r="BE222"/>
      <c r="BF222"/>
      <c r="BI222" s="3"/>
    </row>
    <row r="223" spans="45:98">
      <c r="AZ223"/>
    </row>
    <row r="224" spans="45:98">
      <c r="BG224" s="19"/>
    </row>
    <row r="225" spans="44:98">
      <c r="AR225" s="42"/>
      <c r="AZ225" s="23"/>
      <c r="BA225" s="23"/>
      <c r="BC225" s="23"/>
      <c r="BG225" s="19"/>
      <c r="BI225" s="75"/>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row>
    <row r="226" spans="44:98">
      <c r="AZ226"/>
      <c r="BA226"/>
      <c r="BG226" s="19"/>
      <c r="BI226" s="75"/>
    </row>
    <row r="227" spans="44:98">
      <c r="AZ227"/>
      <c r="BA227"/>
      <c r="BG227" s="19"/>
    </row>
    <row r="228" spans="44:98">
      <c r="AZ228"/>
      <c r="BA228"/>
      <c r="BG228" s="19"/>
      <c r="BI228" s="3"/>
    </row>
    <row r="229" spans="44:98">
      <c r="AZ229"/>
      <c r="BA229"/>
      <c r="BG229" s="19"/>
    </row>
    <row r="230" spans="44:98">
      <c r="AZ230"/>
      <c r="BA230"/>
      <c r="BG230" s="19"/>
      <c r="BI230" s="3"/>
    </row>
    <row r="231" spans="44:98">
      <c r="AZ231"/>
      <c r="BA231"/>
      <c r="BG231" s="19"/>
    </row>
    <row r="232" spans="44:98">
      <c r="AZ232"/>
      <c r="BA232"/>
      <c r="BG232" s="19"/>
      <c r="BI232" s="3"/>
    </row>
    <row r="233" spans="44:98">
      <c r="AZ233"/>
      <c r="BA233"/>
      <c r="BG233" s="19"/>
    </row>
    <row r="234" spans="44:98">
      <c r="AZ234"/>
      <c r="BA234"/>
      <c r="BG234" s="19"/>
      <c r="BI234" s="3"/>
    </row>
    <row r="235" spans="44:98">
      <c r="AZ235"/>
      <c r="BA235"/>
      <c r="BG235" s="19"/>
    </row>
    <row r="236" spans="44:98">
      <c r="AZ236"/>
      <c r="BA236"/>
      <c r="BG236" s="19"/>
      <c r="BI236" s="3"/>
    </row>
    <row r="237" spans="44:98">
      <c r="AZ237"/>
      <c r="BA237"/>
      <c r="BG237" s="19"/>
    </row>
    <row r="238" spans="44:98">
      <c r="AZ238"/>
      <c r="BA238"/>
      <c r="BG238" s="19"/>
      <c r="BI238" s="3"/>
    </row>
    <row r="239" spans="44:98">
      <c r="AZ239"/>
      <c r="BA239"/>
      <c r="BG239" s="19"/>
    </row>
    <row r="240" spans="44:98">
      <c r="AZ240"/>
      <c r="BA240"/>
      <c r="BG240" s="19"/>
    </row>
    <row r="241" spans="52:98">
      <c r="AZ241"/>
      <c r="BA241"/>
      <c r="BG241" s="19"/>
      <c r="BI241" s="75"/>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row>
    <row r="242" spans="52:98">
      <c r="AZ242"/>
      <c r="BA242"/>
      <c r="BG242" s="19"/>
      <c r="BI242" s="75"/>
    </row>
    <row r="243" spans="52:98">
      <c r="AZ243"/>
      <c r="BA243"/>
      <c r="BG243" s="19"/>
    </row>
    <row r="244" spans="52:98">
      <c r="AZ244"/>
      <c r="BA244"/>
      <c r="BG244" s="19"/>
      <c r="BI244" s="3"/>
    </row>
    <row r="245" spans="52:98">
      <c r="AZ245"/>
      <c r="BA245"/>
      <c r="BG245" s="19"/>
    </row>
    <row r="246" spans="52:98">
      <c r="AZ246"/>
      <c r="BA246"/>
      <c r="BG246" s="19"/>
      <c r="BI246" s="3"/>
    </row>
    <row r="247" spans="52:98">
      <c r="AZ247"/>
      <c r="BA247"/>
      <c r="BG247" s="19"/>
    </row>
    <row r="248" spans="52:98">
      <c r="AZ248"/>
      <c r="BA248"/>
      <c r="BG248" s="19"/>
      <c r="BI248" s="3"/>
    </row>
    <row r="249" spans="52:98">
      <c r="AZ249"/>
      <c r="BA249"/>
    </row>
    <row r="250" spans="52:98">
      <c r="AZ250"/>
      <c r="BA250"/>
      <c r="BI250" s="3"/>
    </row>
    <row r="251" spans="52:98">
      <c r="AZ251"/>
      <c r="BA251"/>
    </row>
    <row r="252" spans="52:98">
      <c r="AZ252"/>
      <c r="BA252"/>
      <c r="BI252" s="3"/>
    </row>
    <row r="253" spans="52:98">
      <c r="AZ253"/>
      <c r="BA253"/>
    </row>
    <row r="254" spans="52:98">
      <c r="AZ254"/>
      <c r="BA254"/>
      <c r="BI254" s="3"/>
    </row>
    <row r="255" spans="52:98">
      <c r="AZ255"/>
      <c r="BA255"/>
    </row>
    <row r="256" spans="52:98">
      <c r="AZ256"/>
      <c r="BA256"/>
    </row>
    <row r="257" spans="52:98">
      <c r="AZ257"/>
      <c r="BA257"/>
      <c r="BI257" s="75"/>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row>
    <row r="258" spans="52:98">
      <c r="AZ258"/>
      <c r="BA258"/>
      <c r="BI258" s="75"/>
    </row>
    <row r="259" spans="52:98">
      <c r="AZ259"/>
      <c r="BA259"/>
    </row>
    <row r="260" spans="52:98">
      <c r="AZ260"/>
      <c r="BA260"/>
      <c r="BI260" s="3"/>
    </row>
    <row r="261" spans="52:98">
      <c r="AZ261"/>
      <c r="BA261"/>
    </row>
    <row r="262" spans="52:98">
      <c r="AZ262"/>
      <c r="BA262"/>
      <c r="BI262" s="3"/>
    </row>
    <row r="263" spans="52:98">
      <c r="AZ263"/>
      <c r="BA263"/>
    </row>
    <row r="264" spans="52:98">
      <c r="AZ264"/>
      <c r="BA264"/>
      <c r="BI264" s="3"/>
    </row>
    <row r="265" spans="52:98">
      <c r="AZ265"/>
      <c r="BA265"/>
    </row>
    <row r="266" spans="52:98">
      <c r="AZ266"/>
      <c r="BA266"/>
      <c r="BI266" s="3"/>
    </row>
    <row r="267" spans="52:98">
      <c r="AZ267"/>
      <c r="BA267"/>
    </row>
    <row r="268" spans="52:98">
      <c r="AZ268"/>
      <c r="BA268"/>
      <c r="BI268" s="3"/>
    </row>
    <row r="269" spans="52:98">
      <c r="AZ269"/>
      <c r="BA269"/>
    </row>
    <row r="270" spans="52:98">
      <c r="AZ270"/>
      <c r="BA270"/>
      <c r="BI270" s="3"/>
    </row>
    <row r="271" spans="52:98">
      <c r="AZ271"/>
      <c r="BA271"/>
    </row>
    <row r="272" spans="52:98">
      <c r="AZ272"/>
      <c r="BA272"/>
    </row>
    <row r="273" spans="44:98">
      <c r="AZ273"/>
      <c r="BA273"/>
      <c r="BI273" s="75"/>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row>
    <row r="274" spans="44:98">
      <c r="AZ274"/>
      <c r="BA274"/>
      <c r="BI274" s="75"/>
    </row>
    <row r="275" spans="44:98">
      <c r="AZ275"/>
      <c r="BA275"/>
    </row>
    <row r="276" spans="44:98">
      <c r="AZ276"/>
      <c r="BA276"/>
      <c r="BI276" s="3"/>
    </row>
    <row r="277" spans="44:98">
      <c r="AZ277"/>
      <c r="BA277"/>
    </row>
    <row r="278" spans="44:98">
      <c r="AZ278"/>
      <c r="BA278"/>
      <c r="BI278" s="3"/>
    </row>
    <row r="279" spans="44:98">
      <c r="AZ279"/>
      <c r="BA279"/>
    </row>
    <row r="280" spans="44:98">
      <c r="AZ280"/>
      <c r="BA280"/>
      <c r="BI280" s="3"/>
    </row>
    <row r="281" spans="44:98">
      <c r="AZ281"/>
      <c r="BA281"/>
    </row>
    <row r="282" spans="44:98">
      <c r="AS282" s="75"/>
      <c r="AT282" s="75"/>
      <c r="AU282" s="75"/>
      <c r="AV282" s="75"/>
      <c r="AW282" s="75"/>
      <c r="AX282" s="75"/>
      <c r="AY282" s="75"/>
      <c r="AZ282"/>
      <c r="BA282"/>
      <c r="BI282" s="3"/>
    </row>
    <row r="283" spans="44:98">
      <c r="AY283" s="75"/>
      <c r="AZ283"/>
      <c r="BA283"/>
    </row>
    <row r="284" spans="44:98">
      <c r="AZ284"/>
      <c r="BA284"/>
      <c r="BI284" s="3"/>
    </row>
    <row r="285" spans="44:98">
      <c r="AZ285"/>
      <c r="BA285"/>
    </row>
    <row r="286" spans="44:98">
      <c r="BI286" s="3"/>
    </row>
    <row r="288" spans="44:98">
      <c r="AR288" s="75"/>
    </row>
    <row r="289" spans="44:98">
      <c r="AR289" s="75"/>
      <c r="BI289" s="75"/>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row>
    <row r="290" spans="44:98">
      <c r="BI290" s="75"/>
    </row>
    <row r="292" spans="44:98">
      <c r="BI292" s="3"/>
    </row>
    <row r="293" spans="44:98">
      <c r="AS293" s="5"/>
    </row>
    <row r="294" spans="44:98">
      <c r="AS294" s="43"/>
      <c r="BI294" s="3"/>
    </row>
    <row r="296" spans="44:98">
      <c r="BI296" s="3"/>
    </row>
    <row r="297" spans="44:98">
      <c r="AS297" s="76"/>
      <c r="AT297" s="76"/>
      <c r="AU297" s="76"/>
      <c r="AV297" s="76"/>
    </row>
    <row r="298" spans="44:98">
      <c r="AS298" s="42"/>
      <c r="AT298" s="42"/>
      <c r="AU298" s="42"/>
      <c r="AV298" s="42"/>
      <c r="BI298" s="3"/>
    </row>
    <row r="299" spans="44:98">
      <c r="AR299" s="5"/>
      <c r="AV299" s="25"/>
      <c r="AZ299"/>
      <c r="BG299" s="19"/>
    </row>
    <row r="300" spans="44:98">
      <c r="AR300" s="5"/>
      <c r="AV300" s="25"/>
      <c r="BI300" s="3"/>
    </row>
    <row r="301" spans="44:98">
      <c r="AV301" s="25"/>
    </row>
    <row r="302" spans="44:98">
      <c r="AV302" s="25"/>
      <c r="BI302" s="3"/>
    </row>
    <row r="303" spans="44:98">
      <c r="AR303" s="5"/>
      <c r="AV303" s="25"/>
    </row>
    <row r="304" spans="44:98">
      <c r="AV304" s="25"/>
    </row>
    <row r="305" spans="44:98">
      <c r="AR305" s="5"/>
      <c r="BI305" s="75"/>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row>
    <row r="306" spans="44:98">
      <c r="AS306" s="76"/>
      <c r="AT306" s="76"/>
      <c r="AU306" s="76"/>
      <c r="AV306" s="76"/>
      <c r="BI306" s="75"/>
    </row>
    <row r="307" spans="44:98">
      <c r="AS307" s="42"/>
      <c r="AT307" s="42"/>
      <c r="AU307" s="42"/>
      <c r="AV307" s="42"/>
    </row>
    <row r="308" spans="44:98">
      <c r="AV308" s="25"/>
      <c r="BI308" s="3"/>
    </row>
    <row r="309" spans="44:98">
      <c r="AV309" s="25"/>
    </row>
    <row r="310" spans="44:98">
      <c r="AV310" s="25"/>
      <c r="BI310" s="3"/>
    </row>
    <row r="311" spans="44:98">
      <c r="AV311" s="25"/>
    </row>
    <row r="312" spans="44:98">
      <c r="AR312" s="5"/>
      <c r="AV312" s="25"/>
      <c r="BI312" s="3"/>
    </row>
    <row r="313" spans="44:98">
      <c r="AV313" s="25"/>
    </row>
    <row r="314" spans="44:98">
      <c r="BI314" s="3"/>
    </row>
    <row r="316" spans="44:98">
      <c r="BI316" s="3"/>
    </row>
    <row r="318" spans="44:98">
      <c r="BI318" s="3"/>
    </row>
    <row r="321" spans="45:98">
      <c r="AS321" s="5"/>
      <c r="BI321" s="75"/>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row>
    <row r="322" spans="45:98">
      <c r="AS322" s="5"/>
      <c r="BI322" s="75"/>
    </row>
    <row r="323" spans="45:98">
      <c r="AS323" s="5"/>
    </row>
    <row r="324" spans="45:98">
      <c r="AS324" s="5"/>
      <c r="BI324" s="3"/>
    </row>
    <row r="325" spans="45:98">
      <c r="AS325" s="5"/>
    </row>
    <row r="326" spans="45:98">
      <c r="AS326" s="5"/>
      <c r="BI326" s="3"/>
    </row>
    <row r="327" spans="45:98">
      <c r="AS327" s="5"/>
    </row>
    <row r="328" spans="45:98">
      <c r="BI328" s="3"/>
    </row>
    <row r="330" spans="45:98">
      <c r="BI330" s="3"/>
    </row>
    <row r="332" spans="45:98">
      <c r="BI332" s="3"/>
    </row>
    <row r="334" spans="45:98">
      <c r="BI334" s="3"/>
    </row>
    <row r="337" spans="52:98">
      <c r="BI337" s="75"/>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row>
    <row r="338" spans="52:98">
      <c r="BI338" s="75"/>
    </row>
    <row r="340" spans="52:98">
      <c r="BI340" s="3"/>
    </row>
    <row r="342" spans="52:98">
      <c r="BI342" s="3"/>
    </row>
    <row r="343" spans="52:98">
      <c r="AZ343"/>
      <c r="BA343"/>
      <c r="BB343"/>
      <c r="BC343"/>
      <c r="BD343"/>
      <c r="BE343"/>
      <c r="BF343"/>
    </row>
    <row r="344" spans="52:98">
      <c r="AZ344"/>
      <c r="BA344"/>
      <c r="BB344"/>
      <c r="BC344"/>
      <c r="BD344"/>
      <c r="BE344"/>
      <c r="BF344"/>
      <c r="BI344" s="3"/>
    </row>
    <row r="345" spans="52:98">
      <c r="AZ345"/>
      <c r="BA345"/>
      <c r="BB345"/>
      <c r="BC345"/>
      <c r="BD345"/>
      <c r="BE345"/>
      <c r="BF345"/>
    </row>
    <row r="346" spans="52:98">
      <c r="AZ346"/>
      <c r="BA346"/>
      <c r="BB346"/>
      <c r="BC346"/>
      <c r="BD346"/>
      <c r="BE346"/>
      <c r="BF346"/>
      <c r="BI346" s="3"/>
    </row>
    <row r="347" spans="52:98">
      <c r="AZ347"/>
      <c r="BA347"/>
      <c r="BB347"/>
      <c r="BC347"/>
      <c r="BD347"/>
      <c r="BE347"/>
      <c r="BF347"/>
    </row>
    <row r="348" spans="52:98">
      <c r="BI348" s="3"/>
    </row>
    <row r="349" spans="52:98">
      <c r="AZ349"/>
      <c r="BA349"/>
      <c r="BB349"/>
      <c r="BC349"/>
      <c r="BD349"/>
      <c r="BE349"/>
      <c r="BF349"/>
    </row>
    <row r="350" spans="52:98">
      <c r="AZ350"/>
      <c r="BA350"/>
      <c r="BB350"/>
      <c r="BC350"/>
      <c r="BD350"/>
      <c r="BE350"/>
      <c r="BF350"/>
      <c r="BI350" s="3"/>
    </row>
    <row r="351" spans="52:98">
      <c r="AZ351"/>
      <c r="BA351"/>
      <c r="BB351"/>
      <c r="BC351"/>
      <c r="BD351"/>
      <c r="BE351"/>
      <c r="BF351"/>
    </row>
    <row r="352" spans="52:98">
      <c r="AZ352"/>
      <c r="BA352"/>
      <c r="BB352"/>
      <c r="BC352"/>
      <c r="BD352"/>
      <c r="BE352"/>
      <c r="BF352"/>
    </row>
    <row r="353" spans="52:98">
      <c r="AZ353"/>
      <c r="BA353"/>
      <c r="BB353"/>
      <c r="BC353"/>
      <c r="BD353"/>
      <c r="BE353"/>
      <c r="BF353"/>
      <c r="BI353" s="75"/>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row>
    <row r="354" spans="52:98">
      <c r="AZ354"/>
      <c r="BA354"/>
      <c r="BB354"/>
      <c r="BC354"/>
      <c r="BD354"/>
      <c r="BE354"/>
      <c r="BF354"/>
      <c r="BI354" s="75"/>
    </row>
    <row r="355" spans="52:98">
      <c r="AZ355"/>
      <c r="BA355"/>
      <c r="BB355"/>
      <c r="BC355"/>
      <c r="BD355"/>
      <c r="BE355"/>
      <c r="BF355"/>
    </row>
    <row r="356" spans="52:98">
      <c r="AZ356"/>
      <c r="BA356"/>
      <c r="BB356"/>
      <c r="BC356"/>
      <c r="BD356"/>
      <c r="BE356"/>
      <c r="BF356"/>
      <c r="BI356" s="3"/>
    </row>
    <row r="357" spans="52:98">
      <c r="AZ357"/>
      <c r="BA357"/>
      <c r="BB357"/>
      <c r="BC357"/>
      <c r="BD357"/>
      <c r="BE357"/>
      <c r="BF357"/>
    </row>
    <row r="358" spans="52:98">
      <c r="AZ358"/>
      <c r="BA358"/>
      <c r="BB358"/>
      <c r="BC358"/>
      <c r="BD358"/>
      <c r="BE358"/>
      <c r="BF358"/>
      <c r="BI358" s="3"/>
    </row>
    <row r="359" spans="52:98">
      <c r="AZ359"/>
      <c r="BA359"/>
      <c r="BB359"/>
      <c r="BC359"/>
      <c r="BD359"/>
      <c r="BE359"/>
      <c r="BF359"/>
    </row>
    <row r="360" spans="52:98">
      <c r="AZ360"/>
      <c r="BA360"/>
      <c r="BB360"/>
      <c r="BC360"/>
      <c r="BD360"/>
      <c r="BE360"/>
      <c r="BF360"/>
      <c r="BI360" s="3"/>
    </row>
    <row r="361" spans="52:98">
      <c r="AZ361"/>
      <c r="BA361"/>
      <c r="BB361"/>
      <c r="BC361"/>
      <c r="BD361"/>
      <c r="BE361"/>
      <c r="BF361"/>
    </row>
    <row r="362" spans="52:98">
      <c r="AZ362"/>
      <c r="BA362"/>
      <c r="BB362"/>
      <c r="BC362"/>
      <c r="BD362"/>
      <c r="BE362"/>
      <c r="BF362"/>
      <c r="BI362" s="3"/>
    </row>
    <row r="363" spans="52:98">
      <c r="AZ363"/>
      <c r="BA363"/>
      <c r="BB363"/>
      <c r="BC363"/>
      <c r="BD363"/>
      <c r="BE363"/>
      <c r="BF363"/>
    </row>
    <row r="364" spans="52:98">
      <c r="BI364" s="3"/>
    </row>
    <row r="365" spans="52:98">
      <c r="AZ365"/>
      <c r="BA365"/>
      <c r="BB365"/>
      <c r="BC365"/>
      <c r="BD365"/>
      <c r="BE365"/>
      <c r="BF365"/>
    </row>
    <row r="366" spans="52:98">
      <c r="AZ366"/>
      <c r="BA366"/>
      <c r="BB366"/>
      <c r="BC366"/>
      <c r="BD366"/>
      <c r="BE366"/>
      <c r="BF366"/>
      <c r="BI366" s="3"/>
    </row>
    <row r="367" spans="52:98">
      <c r="AZ367"/>
      <c r="BA367"/>
      <c r="BB367"/>
      <c r="BC367"/>
      <c r="BD367"/>
      <c r="BE367"/>
      <c r="BF367"/>
    </row>
    <row r="368" spans="52:98">
      <c r="AZ368"/>
      <c r="BA368"/>
      <c r="BB368"/>
      <c r="BC368"/>
      <c r="BD368"/>
      <c r="BE368"/>
      <c r="BF368"/>
    </row>
    <row r="369" spans="52:98">
      <c r="AZ369"/>
      <c r="BA369"/>
      <c r="BB369"/>
      <c r="BC369"/>
      <c r="BD369"/>
      <c r="BE369"/>
      <c r="BF369"/>
      <c r="BI369" s="75"/>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row>
    <row r="370" spans="52:98">
      <c r="AZ370"/>
      <c r="BA370"/>
      <c r="BB370"/>
      <c r="BC370"/>
      <c r="BD370"/>
      <c r="BE370"/>
      <c r="BF370"/>
      <c r="BI370" s="75"/>
    </row>
    <row r="371" spans="52:98">
      <c r="AZ371"/>
      <c r="BA371"/>
      <c r="BB371"/>
      <c r="BC371"/>
      <c r="BD371"/>
      <c r="BE371"/>
      <c r="BF371"/>
    </row>
    <row r="372" spans="52:98">
      <c r="AZ372"/>
      <c r="BA372"/>
      <c r="BB372"/>
      <c r="BC372"/>
      <c r="BD372"/>
      <c r="BE372"/>
      <c r="BF372"/>
      <c r="BI372" s="3"/>
    </row>
    <row r="373" spans="52:98">
      <c r="AZ373"/>
      <c r="BA373"/>
      <c r="BB373"/>
      <c r="BC373"/>
      <c r="BD373"/>
      <c r="BE373"/>
      <c r="BF373"/>
    </row>
    <row r="374" spans="52:98">
      <c r="AZ374"/>
      <c r="BA374"/>
      <c r="BB374"/>
      <c r="BC374"/>
      <c r="BD374"/>
      <c r="BE374"/>
      <c r="BF374"/>
      <c r="BI374" s="3"/>
    </row>
    <row r="375" spans="52:98">
      <c r="AZ375"/>
      <c r="BA375"/>
      <c r="BB375"/>
      <c r="BC375"/>
      <c r="BD375"/>
      <c r="BE375"/>
      <c r="BF375"/>
    </row>
    <row r="376" spans="52:98">
      <c r="AZ376"/>
      <c r="BA376"/>
      <c r="BB376"/>
      <c r="BC376"/>
      <c r="BD376"/>
      <c r="BE376"/>
      <c r="BF376"/>
      <c r="BI376" s="3"/>
    </row>
    <row r="377" spans="52:98">
      <c r="AZ377"/>
      <c r="BA377"/>
      <c r="BB377"/>
      <c r="BC377"/>
      <c r="BD377"/>
      <c r="BE377"/>
      <c r="BF377"/>
    </row>
    <row r="378" spans="52:98">
      <c r="AZ378"/>
      <c r="BA378"/>
      <c r="BB378"/>
      <c r="BC378"/>
      <c r="BD378"/>
      <c r="BE378"/>
      <c r="BF378"/>
      <c r="BI378" s="3"/>
    </row>
    <row r="379" spans="52:98">
      <c r="AZ379"/>
      <c r="BA379"/>
      <c r="BB379"/>
      <c r="BC379"/>
      <c r="BD379"/>
      <c r="BE379"/>
      <c r="BF379"/>
    </row>
    <row r="380" spans="52:98">
      <c r="BI380" s="3"/>
    </row>
    <row r="381" spans="52:98">
      <c r="AZ381"/>
      <c r="BA381"/>
      <c r="BB381"/>
      <c r="BC381"/>
      <c r="BD381"/>
      <c r="BE381"/>
      <c r="BF381"/>
    </row>
    <row r="382" spans="52:98">
      <c r="AZ382"/>
      <c r="BA382"/>
      <c r="BB382"/>
      <c r="BC382"/>
      <c r="BD382"/>
      <c r="BE382"/>
      <c r="BF382"/>
      <c r="BI382" s="3"/>
    </row>
    <row r="383" spans="52:98">
      <c r="AZ383"/>
      <c r="BA383"/>
      <c r="BB383"/>
      <c r="BC383"/>
      <c r="BD383"/>
      <c r="BE383"/>
      <c r="BF383"/>
    </row>
    <row r="384" spans="52:98">
      <c r="AZ384"/>
      <c r="BA384"/>
      <c r="BB384"/>
      <c r="BC384"/>
      <c r="BD384"/>
      <c r="BE384"/>
      <c r="BF384"/>
    </row>
    <row r="385" spans="52:98">
      <c r="AZ385"/>
      <c r="BA385"/>
      <c r="BB385"/>
      <c r="BC385"/>
      <c r="BD385"/>
      <c r="BE385"/>
      <c r="BF385"/>
      <c r="BI385" s="75"/>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row>
    <row r="386" spans="52:98">
      <c r="AZ386"/>
      <c r="BA386"/>
      <c r="BB386"/>
      <c r="BC386"/>
      <c r="BD386"/>
      <c r="BE386"/>
      <c r="BF386"/>
      <c r="BI386" s="75"/>
    </row>
    <row r="387" spans="52:98">
      <c r="AZ387"/>
      <c r="BA387"/>
      <c r="BB387"/>
      <c r="BC387"/>
      <c r="BD387"/>
      <c r="BE387"/>
      <c r="BF387"/>
    </row>
    <row r="388" spans="52:98">
      <c r="AZ388"/>
      <c r="BA388"/>
      <c r="BB388"/>
      <c r="BC388"/>
      <c r="BD388"/>
      <c r="BE388"/>
      <c r="BF388"/>
      <c r="BI388" s="3"/>
    </row>
    <row r="389" spans="52:98">
      <c r="AZ389"/>
      <c r="BA389"/>
      <c r="BB389"/>
      <c r="BC389"/>
      <c r="BD389"/>
      <c r="BE389"/>
      <c r="BF389"/>
    </row>
    <row r="390" spans="52:98">
      <c r="AZ390"/>
      <c r="BA390"/>
      <c r="BB390"/>
      <c r="BC390"/>
      <c r="BD390"/>
      <c r="BE390"/>
      <c r="BF390"/>
      <c r="BI390" s="3"/>
    </row>
    <row r="391" spans="52:98">
      <c r="AZ391"/>
      <c r="BA391"/>
      <c r="BB391"/>
      <c r="BC391"/>
      <c r="BD391"/>
      <c r="BE391"/>
      <c r="BF391"/>
    </row>
    <row r="392" spans="52:98">
      <c r="AZ392"/>
      <c r="BA392"/>
      <c r="BB392"/>
      <c r="BC392"/>
      <c r="BD392"/>
      <c r="BE392"/>
      <c r="BF392"/>
      <c r="BI392" s="3"/>
    </row>
    <row r="393" spans="52:98">
      <c r="AZ393"/>
      <c r="BA393"/>
      <c r="BB393"/>
      <c r="BC393"/>
      <c r="BD393"/>
      <c r="BE393"/>
      <c r="BF393"/>
    </row>
    <row r="394" spans="52:98">
      <c r="AZ394"/>
      <c r="BA394"/>
      <c r="BB394"/>
      <c r="BC394"/>
      <c r="BD394"/>
      <c r="BE394"/>
      <c r="BF394"/>
      <c r="BI394" s="3"/>
    </row>
    <row r="395" spans="52:98">
      <c r="AZ395"/>
      <c r="BA395"/>
      <c r="BB395"/>
      <c r="BC395"/>
      <c r="BD395"/>
      <c r="BE395"/>
      <c r="BF395"/>
    </row>
    <row r="396" spans="52:98">
      <c r="BI396" s="3"/>
    </row>
    <row r="397" spans="52:98">
      <c r="AZ397"/>
      <c r="BA397"/>
      <c r="BB397"/>
      <c r="BC397"/>
      <c r="BD397"/>
      <c r="BE397"/>
      <c r="BF397"/>
    </row>
    <row r="398" spans="52:98">
      <c r="AZ398"/>
      <c r="BA398"/>
      <c r="BB398"/>
      <c r="BC398"/>
      <c r="BD398"/>
      <c r="BE398"/>
      <c r="BF398"/>
      <c r="BI398" s="3"/>
    </row>
    <row r="399" spans="52:98">
      <c r="AZ399"/>
      <c r="BA399"/>
      <c r="BB399"/>
      <c r="BC399"/>
      <c r="BD399"/>
      <c r="BE399"/>
      <c r="BF399"/>
    </row>
    <row r="400" spans="52:98">
      <c r="AZ400"/>
      <c r="BA400"/>
      <c r="BB400"/>
      <c r="BC400"/>
      <c r="BD400"/>
      <c r="BE400"/>
      <c r="BF400"/>
    </row>
    <row r="401" spans="52:98">
      <c r="AZ401"/>
      <c r="BA401"/>
      <c r="BB401"/>
      <c r="BC401"/>
      <c r="BD401"/>
      <c r="BE401"/>
      <c r="BF401"/>
      <c r="BI401" s="75"/>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row>
    <row r="402" spans="52:98">
      <c r="AZ402"/>
      <c r="BA402"/>
      <c r="BB402"/>
      <c r="BC402"/>
      <c r="BD402"/>
      <c r="BE402"/>
      <c r="BF402"/>
      <c r="BI402" s="75"/>
    </row>
    <row r="403" spans="52:98">
      <c r="AZ403"/>
      <c r="BA403"/>
      <c r="BB403"/>
      <c r="BC403"/>
      <c r="BD403"/>
      <c r="BE403"/>
      <c r="BF403"/>
    </row>
    <row r="404" spans="52:98">
      <c r="AZ404"/>
      <c r="BA404"/>
      <c r="BB404"/>
      <c r="BC404"/>
      <c r="BD404"/>
      <c r="BE404"/>
      <c r="BF404"/>
      <c r="BI404" s="3"/>
    </row>
    <row r="405" spans="52:98">
      <c r="AZ405"/>
      <c r="BA405"/>
      <c r="BB405"/>
      <c r="BC405"/>
      <c r="BD405"/>
      <c r="BE405"/>
      <c r="BF405"/>
    </row>
    <row r="406" spans="52:98">
      <c r="AZ406"/>
      <c r="BA406"/>
      <c r="BB406"/>
      <c r="BC406"/>
      <c r="BD406"/>
      <c r="BE406"/>
      <c r="BF406"/>
      <c r="BI406" s="3"/>
    </row>
    <row r="407" spans="52:98">
      <c r="AZ407"/>
      <c r="BA407"/>
      <c r="BB407"/>
      <c r="BC407"/>
      <c r="BD407"/>
      <c r="BE407"/>
      <c r="BF407"/>
    </row>
    <row r="408" spans="52:98">
      <c r="AZ408"/>
      <c r="BA408"/>
      <c r="BB408"/>
      <c r="BC408"/>
      <c r="BD408"/>
      <c r="BE408"/>
      <c r="BF408"/>
      <c r="BI408" s="3"/>
    </row>
    <row r="409" spans="52:98">
      <c r="AZ409"/>
      <c r="BA409"/>
      <c r="BB409"/>
      <c r="BC409"/>
      <c r="BD409"/>
      <c r="BE409"/>
      <c r="BF409"/>
    </row>
    <row r="410" spans="52:98">
      <c r="AZ410"/>
      <c r="BA410"/>
      <c r="BB410"/>
      <c r="BC410"/>
      <c r="BD410"/>
      <c r="BE410"/>
      <c r="BF410"/>
      <c r="BI410" s="3"/>
    </row>
    <row r="411" spans="52:98">
      <c r="AZ411"/>
      <c r="BA411"/>
      <c r="BB411"/>
      <c r="BC411"/>
      <c r="BD411"/>
      <c r="BE411"/>
      <c r="BF411"/>
    </row>
    <row r="412" spans="52:98">
      <c r="BI412" s="3"/>
    </row>
    <row r="413" spans="52:98">
      <c r="AZ413"/>
      <c r="BA413"/>
      <c r="BB413"/>
      <c r="BC413"/>
      <c r="BD413"/>
      <c r="BE413"/>
      <c r="BF413"/>
    </row>
    <row r="414" spans="52:98">
      <c r="AZ414"/>
      <c r="BA414"/>
      <c r="BB414"/>
      <c r="BC414"/>
      <c r="BD414"/>
      <c r="BE414"/>
      <c r="BF414"/>
      <c r="BI414" s="3"/>
    </row>
    <row r="415" spans="52:98">
      <c r="AZ415"/>
      <c r="BA415"/>
      <c r="BB415"/>
      <c r="BC415"/>
      <c r="BD415"/>
      <c r="BE415"/>
      <c r="BF415"/>
    </row>
    <row r="416" spans="52:98">
      <c r="AZ416"/>
      <c r="BA416"/>
      <c r="BB416"/>
      <c r="BC416"/>
      <c r="BD416"/>
      <c r="BE416"/>
      <c r="BF416"/>
    </row>
    <row r="417" spans="52:98">
      <c r="AZ417"/>
      <c r="BA417"/>
      <c r="BB417"/>
      <c r="BC417"/>
      <c r="BD417"/>
      <c r="BE417"/>
      <c r="BF417"/>
      <c r="BI417" s="75"/>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row>
    <row r="418" spans="52:98">
      <c r="AZ418"/>
      <c r="BA418"/>
      <c r="BB418"/>
      <c r="BC418"/>
      <c r="BD418"/>
      <c r="BE418"/>
      <c r="BF418"/>
      <c r="BI418" s="75"/>
    </row>
    <row r="419" spans="52:98">
      <c r="AZ419"/>
      <c r="BA419"/>
      <c r="BB419"/>
      <c r="BC419"/>
      <c r="BD419"/>
      <c r="BE419"/>
      <c r="BF419"/>
    </row>
    <row r="420" spans="52:98">
      <c r="AZ420"/>
      <c r="BA420"/>
      <c r="BB420"/>
      <c r="BC420"/>
      <c r="BD420"/>
      <c r="BE420"/>
      <c r="BF420"/>
      <c r="BI420" s="3"/>
    </row>
    <row r="421" spans="52:98">
      <c r="AZ421"/>
      <c r="BA421"/>
      <c r="BB421"/>
      <c r="BC421"/>
      <c r="BD421"/>
      <c r="BE421"/>
      <c r="BF421"/>
    </row>
    <row r="422" spans="52:98">
      <c r="AZ422"/>
      <c r="BA422"/>
      <c r="BB422"/>
      <c r="BC422"/>
      <c r="BD422"/>
      <c r="BE422"/>
      <c r="BF422"/>
      <c r="BI422" s="3"/>
    </row>
    <row r="423" spans="52:98">
      <c r="AZ423"/>
      <c r="BA423"/>
      <c r="BB423"/>
      <c r="BC423"/>
      <c r="BD423"/>
      <c r="BE423"/>
      <c r="BF423"/>
    </row>
    <row r="424" spans="52:98">
      <c r="AZ424"/>
      <c r="BA424"/>
      <c r="BB424"/>
      <c r="BC424"/>
      <c r="BD424"/>
      <c r="BE424"/>
      <c r="BF424"/>
      <c r="BI424" s="3"/>
    </row>
    <row r="425" spans="52:98">
      <c r="AZ425"/>
      <c r="BA425"/>
      <c r="BB425"/>
      <c r="BC425"/>
      <c r="BD425"/>
      <c r="BE425"/>
      <c r="BF425"/>
    </row>
    <row r="426" spans="52:98">
      <c r="AZ426"/>
      <c r="BA426"/>
      <c r="BB426"/>
      <c r="BC426"/>
      <c r="BD426"/>
      <c r="BE426"/>
      <c r="BF426"/>
      <c r="BI426" s="3"/>
    </row>
    <row r="427" spans="52:98">
      <c r="AZ427"/>
      <c r="BA427"/>
      <c r="BB427"/>
      <c r="BC427"/>
      <c r="BD427"/>
      <c r="BE427"/>
      <c r="BF427"/>
    </row>
    <row r="428" spans="52:98">
      <c r="BI428" s="3"/>
    </row>
    <row r="429" spans="52:98">
      <c r="AZ429"/>
      <c r="BA429"/>
      <c r="BB429"/>
      <c r="BC429"/>
      <c r="BD429"/>
      <c r="BE429"/>
      <c r="BF429"/>
    </row>
    <row r="430" spans="52:98">
      <c r="AZ430"/>
      <c r="BA430"/>
      <c r="BB430"/>
      <c r="BC430"/>
      <c r="BD430"/>
      <c r="BE430"/>
      <c r="BF430"/>
      <c r="BI430" s="3"/>
    </row>
    <row r="431" spans="52:98">
      <c r="AZ431"/>
      <c r="BA431"/>
      <c r="BB431"/>
      <c r="BC431"/>
      <c r="BD431"/>
      <c r="BE431"/>
      <c r="BF431"/>
    </row>
    <row r="432" spans="52:98">
      <c r="AZ432"/>
      <c r="BA432"/>
      <c r="BB432"/>
      <c r="BC432"/>
      <c r="BD432"/>
      <c r="BE432"/>
      <c r="BF432"/>
    </row>
    <row r="433" spans="52:98">
      <c r="AZ433"/>
      <c r="BA433"/>
      <c r="BB433"/>
      <c r="BC433"/>
      <c r="BD433"/>
      <c r="BE433"/>
      <c r="BF433"/>
      <c r="BI433" s="75"/>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row>
    <row r="434" spans="52:98">
      <c r="AZ434"/>
      <c r="BA434"/>
      <c r="BB434"/>
      <c r="BC434"/>
      <c r="BD434"/>
      <c r="BE434"/>
      <c r="BF434"/>
      <c r="BI434" s="75"/>
    </row>
    <row r="435" spans="52:98">
      <c r="AZ435"/>
      <c r="BA435"/>
      <c r="BB435"/>
      <c r="BC435"/>
      <c r="BD435"/>
      <c r="BE435"/>
      <c r="BF435"/>
    </row>
    <row r="436" spans="52:98">
      <c r="AZ436"/>
      <c r="BA436"/>
      <c r="BB436"/>
      <c r="BC436"/>
      <c r="BD436"/>
      <c r="BE436"/>
      <c r="BF436"/>
      <c r="BI436" s="3"/>
    </row>
    <row r="437" spans="52:98">
      <c r="AZ437"/>
      <c r="BA437"/>
      <c r="BB437"/>
      <c r="BC437"/>
      <c r="BD437"/>
      <c r="BE437"/>
      <c r="BF437"/>
    </row>
    <row r="438" spans="52:98">
      <c r="AZ438"/>
      <c r="BA438"/>
      <c r="BB438"/>
      <c r="BC438"/>
      <c r="BD438"/>
      <c r="BE438"/>
      <c r="BF438"/>
      <c r="BI438" s="3"/>
    </row>
    <row r="439" spans="52:98">
      <c r="AZ439"/>
      <c r="BA439"/>
      <c r="BB439"/>
      <c r="BC439"/>
      <c r="BD439"/>
      <c r="BE439"/>
      <c r="BF439"/>
    </row>
    <row r="440" spans="52:98">
      <c r="AZ440"/>
      <c r="BA440"/>
      <c r="BB440"/>
      <c r="BC440"/>
      <c r="BD440"/>
      <c r="BE440"/>
      <c r="BF440"/>
      <c r="BI440" s="3"/>
    </row>
    <row r="441" spans="52:98">
      <c r="AZ441"/>
      <c r="BA441"/>
      <c r="BB441"/>
      <c r="BC441"/>
      <c r="BD441"/>
      <c r="BE441"/>
      <c r="BF441"/>
    </row>
    <row r="442" spans="52:98">
      <c r="AZ442"/>
      <c r="BA442"/>
      <c r="BB442"/>
      <c r="BC442"/>
      <c r="BD442"/>
      <c r="BE442"/>
      <c r="BF442"/>
      <c r="BI442" s="3"/>
    </row>
    <row r="443" spans="52:98">
      <c r="AZ443"/>
      <c r="BA443"/>
      <c r="BB443"/>
      <c r="BC443"/>
      <c r="BD443"/>
      <c r="BE443"/>
      <c r="BF443"/>
    </row>
    <row r="444" spans="52:98">
      <c r="BI444" s="3"/>
    </row>
    <row r="445" spans="52:98">
      <c r="AZ445"/>
      <c r="BA445"/>
      <c r="BB445"/>
      <c r="BC445"/>
      <c r="BD445"/>
      <c r="BE445"/>
      <c r="BF445"/>
    </row>
    <row r="446" spans="52:98">
      <c r="AZ446"/>
      <c r="BA446"/>
      <c r="BB446"/>
      <c r="BC446"/>
      <c r="BD446"/>
      <c r="BE446"/>
      <c r="BF446"/>
      <c r="BI446" s="3"/>
    </row>
    <row r="447" spans="52:98">
      <c r="AZ447"/>
      <c r="BA447"/>
      <c r="BB447"/>
      <c r="BC447"/>
      <c r="BD447"/>
      <c r="BE447"/>
      <c r="BF447"/>
    </row>
    <row r="448" spans="52:98">
      <c r="AZ448"/>
      <c r="BA448"/>
      <c r="BB448"/>
      <c r="BC448"/>
      <c r="BD448"/>
      <c r="BE448"/>
      <c r="BF448"/>
    </row>
    <row r="449" spans="52:98">
      <c r="AZ449"/>
      <c r="BA449"/>
      <c r="BB449"/>
      <c r="BC449"/>
      <c r="BD449"/>
      <c r="BE449"/>
      <c r="BF449"/>
      <c r="BI449" s="75"/>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row>
    <row r="450" spans="52:98">
      <c r="AZ450"/>
      <c r="BA450"/>
      <c r="BB450"/>
      <c r="BC450"/>
      <c r="BD450"/>
      <c r="BE450"/>
      <c r="BF450"/>
      <c r="BI450" s="75"/>
    </row>
    <row r="451" spans="52:98">
      <c r="AZ451"/>
      <c r="BA451"/>
      <c r="BB451"/>
      <c r="BC451"/>
      <c r="BD451"/>
      <c r="BE451"/>
      <c r="BF451"/>
    </row>
    <row r="452" spans="52:98">
      <c r="AZ452"/>
      <c r="BA452"/>
      <c r="BB452"/>
      <c r="BC452"/>
      <c r="BD452"/>
      <c r="BE452"/>
      <c r="BF452"/>
      <c r="BI452" s="3"/>
    </row>
    <row r="453" spans="52:98">
      <c r="AZ453"/>
      <c r="BA453"/>
      <c r="BB453"/>
      <c r="BC453"/>
      <c r="BD453"/>
      <c r="BE453"/>
      <c r="BF453"/>
    </row>
    <row r="454" spans="52:98">
      <c r="AZ454"/>
      <c r="BA454"/>
      <c r="BB454"/>
      <c r="BC454"/>
      <c r="BD454"/>
      <c r="BE454"/>
      <c r="BF454"/>
      <c r="BI454" s="3"/>
    </row>
    <row r="455" spans="52:98">
      <c r="AZ455"/>
      <c r="BA455"/>
      <c r="BB455"/>
      <c r="BC455"/>
      <c r="BD455"/>
      <c r="BE455"/>
      <c r="BF455"/>
    </row>
    <row r="456" spans="52:98">
      <c r="AZ456"/>
      <c r="BA456"/>
      <c r="BB456"/>
      <c r="BC456"/>
      <c r="BD456"/>
      <c r="BE456"/>
      <c r="BF456"/>
      <c r="BI456" s="3"/>
    </row>
    <row r="457" spans="52:98">
      <c r="AZ457"/>
      <c r="BA457"/>
      <c r="BB457"/>
      <c r="BC457"/>
      <c r="BD457"/>
      <c r="BE457"/>
      <c r="BF457"/>
    </row>
    <row r="458" spans="52:98">
      <c r="AZ458"/>
      <c r="BA458"/>
      <c r="BB458"/>
      <c r="BC458"/>
      <c r="BD458"/>
      <c r="BE458"/>
      <c r="BF458"/>
      <c r="BI458" s="3"/>
    </row>
    <row r="459" spans="52:98">
      <c r="AZ459"/>
      <c r="BA459"/>
      <c r="BB459"/>
      <c r="BC459"/>
      <c r="BD459"/>
      <c r="BE459"/>
      <c r="BF459"/>
    </row>
    <row r="460" spans="52:98">
      <c r="BI460" s="3"/>
    </row>
    <row r="461" spans="52:98">
      <c r="AZ461"/>
      <c r="BA461"/>
      <c r="BB461"/>
      <c r="BC461"/>
      <c r="BD461"/>
      <c r="BE461"/>
      <c r="BF461"/>
    </row>
    <row r="462" spans="52:98">
      <c r="AZ462"/>
      <c r="BA462"/>
      <c r="BB462"/>
      <c r="BC462"/>
      <c r="BD462"/>
      <c r="BE462"/>
      <c r="BF462"/>
      <c r="BI462" s="3"/>
    </row>
    <row r="463" spans="52:98">
      <c r="AZ463"/>
      <c r="BA463"/>
      <c r="BB463"/>
      <c r="BC463"/>
      <c r="BD463"/>
      <c r="BE463"/>
      <c r="BF463"/>
    </row>
    <row r="464" spans="52:98">
      <c r="AZ464"/>
      <c r="BA464"/>
      <c r="BB464"/>
      <c r="BC464"/>
      <c r="BD464"/>
      <c r="BE464"/>
      <c r="BF464"/>
    </row>
    <row r="465" spans="52:98">
      <c r="AZ465"/>
      <c r="BA465"/>
      <c r="BB465"/>
      <c r="BC465"/>
      <c r="BD465"/>
      <c r="BE465"/>
      <c r="BF465"/>
      <c r="BI465" s="75"/>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row>
    <row r="466" spans="52:98">
      <c r="AZ466"/>
      <c r="BA466"/>
      <c r="BB466"/>
      <c r="BC466"/>
      <c r="BD466"/>
      <c r="BE466"/>
      <c r="BF466"/>
      <c r="BI466" s="75"/>
    </row>
    <row r="467" spans="52:98">
      <c r="AZ467"/>
      <c r="BA467"/>
      <c r="BB467"/>
      <c r="BC467"/>
      <c r="BD467"/>
      <c r="BE467"/>
      <c r="BF467"/>
    </row>
    <row r="468" spans="52:98">
      <c r="AZ468"/>
      <c r="BA468"/>
      <c r="BB468"/>
      <c r="BC468"/>
      <c r="BD468"/>
      <c r="BE468"/>
      <c r="BF468"/>
      <c r="BI468" s="3"/>
    </row>
    <row r="469" spans="52:98">
      <c r="AZ469"/>
      <c r="BA469"/>
      <c r="BB469"/>
      <c r="BC469"/>
      <c r="BD469"/>
      <c r="BE469"/>
      <c r="BF469"/>
    </row>
    <row r="470" spans="52:98">
      <c r="AZ470"/>
      <c r="BA470"/>
      <c r="BB470"/>
      <c r="BC470"/>
      <c r="BD470"/>
      <c r="BE470"/>
      <c r="BF470"/>
      <c r="BI470" s="3"/>
    </row>
    <row r="471" spans="52:98">
      <c r="AZ471"/>
      <c r="BA471"/>
      <c r="BB471"/>
      <c r="BC471"/>
      <c r="BD471"/>
      <c r="BE471"/>
      <c r="BF471"/>
    </row>
    <row r="472" spans="52:98">
      <c r="AZ472"/>
      <c r="BA472"/>
      <c r="BB472"/>
      <c r="BC472"/>
      <c r="BD472"/>
      <c r="BE472"/>
      <c r="BF472"/>
      <c r="BI472" s="3"/>
    </row>
    <row r="473" spans="52:98">
      <c r="AZ473"/>
      <c r="BA473"/>
      <c r="BB473"/>
      <c r="BC473"/>
      <c r="BD473"/>
      <c r="BE473"/>
      <c r="BF473"/>
    </row>
    <row r="474" spans="52:98">
      <c r="AZ474"/>
      <c r="BA474"/>
      <c r="BB474"/>
      <c r="BC474"/>
      <c r="BD474"/>
      <c r="BE474"/>
      <c r="BF474"/>
      <c r="BI474" s="3"/>
    </row>
    <row r="475" spans="52:98">
      <c r="AZ475"/>
      <c r="BA475"/>
      <c r="BB475"/>
      <c r="BC475"/>
      <c r="BD475"/>
      <c r="BE475"/>
      <c r="BF475"/>
    </row>
    <row r="476" spans="52:98">
      <c r="BI476" s="3"/>
    </row>
    <row r="477" spans="52:98">
      <c r="AZ477"/>
      <c r="BA477"/>
      <c r="BB477"/>
      <c r="BC477"/>
      <c r="BD477"/>
      <c r="BE477"/>
      <c r="BF477"/>
    </row>
    <row r="478" spans="52:98">
      <c r="AZ478"/>
      <c r="BA478"/>
      <c r="BB478"/>
      <c r="BC478"/>
      <c r="BD478"/>
      <c r="BE478"/>
      <c r="BF478"/>
      <c r="BI478" s="3"/>
    </row>
    <row r="479" spans="52:98">
      <c r="AZ479"/>
      <c r="BA479"/>
      <c r="BB479"/>
      <c r="BC479"/>
      <c r="BD479"/>
      <c r="BE479"/>
      <c r="BF479"/>
    </row>
    <row r="480" spans="52:98">
      <c r="AZ480"/>
      <c r="BA480"/>
      <c r="BB480"/>
      <c r="BC480"/>
      <c r="BD480"/>
      <c r="BE480"/>
      <c r="BF480"/>
    </row>
    <row r="481" spans="52:98">
      <c r="AZ481"/>
      <c r="BA481"/>
      <c r="BB481"/>
      <c r="BC481"/>
      <c r="BD481"/>
      <c r="BE481"/>
      <c r="BF481"/>
      <c r="BI481" s="75"/>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row>
    <row r="482" spans="52:98">
      <c r="AZ482"/>
      <c r="BA482"/>
      <c r="BB482"/>
      <c r="BC482"/>
      <c r="BD482"/>
      <c r="BE482"/>
      <c r="BF482"/>
      <c r="BI482" s="75"/>
    </row>
    <row r="483" spans="52:98">
      <c r="AZ483"/>
      <c r="BA483"/>
      <c r="BB483"/>
      <c r="BC483"/>
      <c r="BD483"/>
      <c r="BE483"/>
      <c r="BF483"/>
    </row>
    <row r="484" spans="52:98">
      <c r="AZ484"/>
      <c r="BA484"/>
      <c r="BB484"/>
      <c r="BC484"/>
      <c r="BD484"/>
      <c r="BE484"/>
      <c r="BF484"/>
      <c r="BI484" s="3"/>
    </row>
    <row r="485" spans="52:98">
      <c r="AZ485"/>
      <c r="BA485"/>
      <c r="BB485"/>
      <c r="BC485"/>
      <c r="BD485"/>
      <c r="BE485"/>
      <c r="BF485"/>
    </row>
    <row r="486" spans="52:98">
      <c r="AZ486"/>
      <c r="BA486"/>
      <c r="BB486"/>
      <c r="BC486"/>
      <c r="BD486"/>
      <c r="BE486"/>
      <c r="BF486"/>
      <c r="BI486" s="3"/>
    </row>
    <row r="487" spans="52:98">
      <c r="AZ487"/>
      <c r="BA487"/>
      <c r="BB487"/>
      <c r="BC487"/>
      <c r="BD487"/>
      <c r="BE487"/>
      <c r="BF487"/>
    </row>
    <row r="488" spans="52:98">
      <c r="AZ488"/>
      <c r="BA488"/>
      <c r="BB488"/>
      <c r="BC488"/>
      <c r="BD488"/>
      <c r="BE488"/>
      <c r="BF488"/>
      <c r="BI488" s="3"/>
    </row>
    <row r="489" spans="52:98">
      <c r="AZ489"/>
      <c r="BA489"/>
      <c r="BB489"/>
      <c r="BC489"/>
      <c r="BD489"/>
      <c r="BE489"/>
      <c r="BF489"/>
    </row>
    <row r="490" spans="52:98">
      <c r="AZ490"/>
      <c r="BA490"/>
      <c r="BB490"/>
      <c r="BC490"/>
      <c r="BD490"/>
      <c r="BE490"/>
      <c r="BF490"/>
      <c r="BI490" s="3"/>
    </row>
    <row r="491" spans="52:98">
      <c r="AZ491"/>
      <c r="BA491"/>
      <c r="BB491"/>
      <c r="BC491"/>
      <c r="BD491"/>
      <c r="BE491"/>
      <c r="BF491"/>
    </row>
    <row r="492" spans="52:98">
      <c r="BI492" s="3"/>
    </row>
    <row r="493" spans="52:98">
      <c r="AZ493"/>
      <c r="BA493"/>
      <c r="BB493"/>
      <c r="BC493"/>
      <c r="BD493"/>
      <c r="BE493"/>
      <c r="BF493"/>
    </row>
    <row r="494" spans="52:98">
      <c r="AZ494"/>
      <c r="BA494"/>
      <c r="BB494"/>
      <c r="BC494"/>
      <c r="BD494"/>
      <c r="BE494"/>
      <c r="BF494"/>
      <c r="BI494" s="3"/>
    </row>
    <row r="495" spans="52:98">
      <c r="AZ495"/>
      <c r="BA495"/>
      <c r="BB495"/>
      <c r="BC495"/>
      <c r="BD495"/>
      <c r="BE495"/>
      <c r="BF495"/>
    </row>
    <row r="496" spans="52:98">
      <c r="AZ496"/>
      <c r="BA496"/>
      <c r="BB496"/>
      <c r="BC496"/>
      <c r="BD496"/>
      <c r="BE496"/>
      <c r="BF496"/>
    </row>
    <row r="497" spans="52:98">
      <c r="AZ497"/>
      <c r="BA497"/>
      <c r="BB497"/>
      <c r="BC497"/>
      <c r="BD497"/>
      <c r="BE497"/>
      <c r="BF497"/>
      <c r="BI497" s="75"/>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row>
    <row r="498" spans="52:98">
      <c r="AZ498"/>
      <c r="BA498"/>
      <c r="BB498"/>
      <c r="BC498"/>
      <c r="BD498"/>
      <c r="BE498"/>
      <c r="BF498"/>
      <c r="BI498" s="75"/>
    </row>
    <row r="499" spans="52:98">
      <c r="AZ499"/>
      <c r="BA499"/>
      <c r="BB499"/>
      <c r="BC499"/>
      <c r="BD499"/>
      <c r="BE499"/>
      <c r="BF499"/>
    </row>
    <row r="500" spans="52:98">
      <c r="AZ500"/>
      <c r="BA500"/>
      <c r="BB500"/>
      <c r="BC500"/>
      <c r="BD500"/>
      <c r="BE500"/>
      <c r="BF500"/>
      <c r="BI500" s="3"/>
    </row>
    <row r="501" spans="52:98">
      <c r="AZ501"/>
      <c r="BA501"/>
      <c r="BB501"/>
      <c r="BC501"/>
      <c r="BD501"/>
      <c r="BE501"/>
      <c r="BF501"/>
    </row>
    <row r="502" spans="52:98">
      <c r="AZ502"/>
      <c r="BA502"/>
      <c r="BB502"/>
      <c r="BC502"/>
      <c r="BD502"/>
      <c r="BE502"/>
      <c r="BF502"/>
      <c r="BI502" s="3"/>
    </row>
    <row r="503" spans="52:98">
      <c r="AZ503"/>
      <c r="BA503"/>
      <c r="BB503"/>
      <c r="BC503"/>
      <c r="BD503"/>
      <c r="BE503"/>
      <c r="BF503"/>
    </row>
    <row r="504" spans="52:98">
      <c r="AZ504"/>
      <c r="BA504"/>
      <c r="BB504"/>
      <c r="BC504"/>
      <c r="BD504"/>
      <c r="BE504"/>
      <c r="BF504"/>
      <c r="BI504" s="3"/>
    </row>
    <row r="505" spans="52:98">
      <c r="AZ505"/>
      <c r="BA505"/>
      <c r="BB505"/>
      <c r="BC505"/>
      <c r="BD505"/>
      <c r="BE505"/>
      <c r="BF505"/>
    </row>
    <row r="506" spans="52:98">
      <c r="AZ506"/>
      <c r="BA506"/>
      <c r="BB506"/>
      <c r="BC506"/>
      <c r="BD506"/>
      <c r="BE506"/>
      <c r="BF506"/>
      <c r="BI506" s="3"/>
    </row>
    <row r="507" spans="52:98">
      <c r="AZ507"/>
      <c r="BA507"/>
      <c r="BB507"/>
      <c r="BC507"/>
      <c r="BD507"/>
      <c r="BE507"/>
      <c r="BF507"/>
    </row>
    <row r="508" spans="52:98">
      <c r="BI508" s="3"/>
    </row>
    <row r="509" spans="52:98">
      <c r="AZ509"/>
      <c r="BA509"/>
      <c r="BB509"/>
      <c r="BC509"/>
      <c r="BD509"/>
      <c r="BE509"/>
      <c r="BF509"/>
    </row>
    <row r="510" spans="52:98">
      <c r="AZ510"/>
      <c r="BA510"/>
      <c r="BB510"/>
      <c r="BC510"/>
      <c r="BD510"/>
      <c r="BE510"/>
      <c r="BF510"/>
      <c r="BI510" s="3"/>
    </row>
    <row r="511" spans="52:98">
      <c r="AZ511"/>
      <c r="BA511"/>
      <c r="BB511"/>
      <c r="BC511"/>
      <c r="BD511"/>
      <c r="BE511"/>
      <c r="BF511"/>
    </row>
    <row r="512" spans="52:98">
      <c r="AZ512"/>
      <c r="BA512"/>
      <c r="BB512"/>
      <c r="BC512"/>
      <c r="BD512"/>
      <c r="BE512"/>
      <c r="BF512"/>
    </row>
    <row r="513" spans="52:98">
      <c r="AZ513"/>
      <c r="BA513"/>
      <c r="BB513"/>
      <c r="BC513"/>
      <c r="BD513"/>
      <c r="BE513"/>
      <c r="BF513"/>
      <c r="BI513" s="75"/>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row>
    <row r="514" spans="52:98">
      <c r="AZ514"/>
      <c r="BA514"/>
      <c r="BB514"/>
      <c r="BC514"/>
      <c r="BD514"/>
      <c r="BE514"/>
      <c r="BF514"/>
      <c r="BI514" s="75"/>
    </row>
    <row r="515" spans="52:98">
      <c r="AZ515"/>
      <c r="BA515"/>
      <c r="BB515"/>
      <c r="BC515"/>
      <c r="BD515"/>
      <c r="BE515"/>
      <c r="BF515"/>
    </row>
    <row r="516" spans="52:98">
      <c r="AZ516"/>
      <c r="BA516"/>
      <c r="BB516"/>
      <c r="BC516"/>
      <c r="BD516"/>
      <c r="BE516"/>
      <c r="BF516"/>
      <c r="BI516" s="3"/>
    </row>
    <row r="517" spans="52:98">
      <c r="AZ517"/>
      <c r="BA517"/>
      <c r="BB517"/>
      <c r="BC517"/>
      <c r="BD517"/>
      <c r="BE517"/>
      <c r="BF517"/>
    </row>
    <row r="518" spans="52:98">
      <c r="AZ518"/>
      <c r="BA518"/>
      <c r="BB518"/>
      <c r="BC518"/>
      <c r="BD518"/>
      <c r="BE518"/>
      <c r="BF518"/>
      <c r="BI518" s="3"/>
    </row>
    <row r="519" spans="52:98">
      <c r="AZ519"/>
      <c r="BA519"/>
      <c r="BB519"/>
      <c r="BC519"/>
      <c r="BD519"/>
      <c r="BE519"/>
      <c r="BF519"/>
    </row>
    <row r="520" spans="52:98">
      <c r="AZ520"/>
      <c r="BA520"/>
      <c r="BB520"/>
      <c r="BC520"/>
      <c r="BD520"/>
      <c r="BE520"/>
      <c r="BF520"/>
      <c r="BI520" s="3"/>
    </row>
    <row r="521" spans="52:98">
      <c r="AZ521"/>
      <c r="BA521"/>
      <c r="BB521"/>
      <c r="BC521"/>
      <c r="BD521"/>
      <c r="BE521"/>
      <c r="BF521"/>
    </row>
    <row r="522" spans="52:98">
      <c r="AZ522"/>
      <c r="BA522"/>
      <c r="BB522"/>
      <c r="BC522"/>
      <c r="BD522"/>
      <c r="BE522"/>
      <c r="BF522"/>
    </row>
    <row r="523" spans="52:98">
      <c r="AZ523"/>
      <c r="BA523"/>
      <c r="BB523"/>
      <c r="BC523"/>
      <c r="BD523"/>
      <c r="BE523"/>
      <c r="BF523"/>
    </row>
    <row r="525" spans="52:98">
      <c r="AZ525"/>
      <c r="BA525"/>
      <c r="BB525"/>
      <c r="BC525"/>
      <c r="BD525"/>
      <c r="BE525"/>
      <c r="BF525"/>
    </row>
    <row r="526" spans="52:98">
      <c r="AZ526"/>
      <c r="BA526"/>
      <c r="BB526"/>
      <c r="BC526"/>
      <c r="BD526"/>
      <c r="BE526"/>
      <c r="BF526"/>
    </row>
    <row r="527" spans="52:98">
      <c r="AZ527"/>
      <c r="BA527"/>
      <c r="BB527"/>
      <c r="BC527"/>
      <c r="BD527"/>
      <c r="BE527"/>
      <c r="BF527"/>
    </row>
    <row r="528" spans="52:98">
      <c r="AZ528"/>
      <c r="BA528"/>
      <c r="BB528"/>
      <c r="BC528"/>
      <c r="BD528"/>
      <c r="BE528"/>
      <c r="BF528"/>
    </row>
    <row r="529" spans="52:98">
      <c r="AZ529"/>
      <c r="BA529"/>
      <c r="BB529"/>
      <c r="BC529"/>
      <c r="BD529"/>
      <c r="BE529"/>
      <c r="BF529"/>
      <c r="BI529" s="75"/>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row>
    <row r="530" spans="52:98">
      <c r="AZ530"/>
      <c r="BA530"/>
      <c r="BB530"/>
      <c r="BC530"/>
      <c r="BD530"/>
      <c r="BE530"/>
      <c r="BF530"/>
      <c r="BI530" s="75"/>
    </row>
    <row r="531" spans="52:98">
      <c r="AZ531"/>
      <c r="BA531"/>
      <c r="BB531"/>
      <c r="BC531"/>
      <c r="BD531"/>
      <c r="BE531"/>
      <c r="BF531"/>
    </row>
    <row r="532" spans="52:98">
      <c r="AZ532"/>
      <c r="BA532"/>
      <c r="BB532"/>
      <c r="BC532"/>
      <c r="BD532"/>
      <c r="BE532"/>
      <c r="BF532"/>
      <c r="BI532" s="3"/>
    </row>
    <row r="533" spans="52:98">
      <c r="AZ533"/>
      <c r="BA533"/>
      <c r="BB533"/>
      <c r="BC533"/>
      <c r="BD533"/>
      <c r="BE533"/>
      <c r="BF533"/>
    </row>
    <row r="534" spans="52:98">
      <c r="AZ534"/>
      <c r="BA534"/>
      <c r="BB534"/>
      <c r="BC534"/>
      <c r="BD534"/>
      <c r="BE534"/>
      <c r="BF534"/>
      <c r="BI534" s="3"/>
    </row>
    <row r="535" spans="52:98">
      <c r="AZ535"/>
      <c r="BA535"/>
      <c r="BB535"/>
      <c r="BC535"/>
      <c r="BD535"/>
      <c r="BE535"/>
      <c r="BF535"/>
    </row>
    <row r="536" spans="52:98">
      <c r="AZ536"/>
      <c r="BA536"/>
      <c r="BB536"/>
      <c r="BC536"/>
      <c r="BD536"/>
      <c r="BE536"/>
      <c r="BF536"/>
      <c r="BI536" s="3"/>
    </row>
    <row r="537" spans="52:98">
      <c r="AZ537"/>
      <c r="BA537"/>
      <c r="BB537"/>
      <c r="BC537"/>
      <c r="BD537"/>
      <c r="BE537"/>
      <c r="BF537"/>
    </row>
    <row r="538" spans="52:98">
      <c r="AZ538"/>
      <c r="BA538"/>
      <c r="BB538"/>
      <c r="BC538"/>
      <c r="BD538"/>
      <c r="BE538"/>
      <c r="BF538"/>
      <c r="BI538" s="3"/>
    </row>
    <row r="539" spans="52:98">
      <c r="AZ539"/>
      <c r="BA539"/>
      <c r="BB539"/>
      <c r="BC539"/>
      <c r="BD539"/>
      <c r="BE539"/>
      <c r="BF539"/>
    </row>
    <row r="540" spans="52:98">
      <c r="BI540" s="3"/>
    </row>
    <row r="541" spans="52:98">
      <c r="AZ541"/>
      <c r="BA541"/>
      <c r="BB541"/>
      <c r="BC541"/>
      <c r="BD541"/>
      <c r="BE541"/>
      <c r="BF541"/>
    </row>
    <row r="542" spans="52:98">
      <c r="AZ542"/>
      <c r="BA542"/>
      <c r="BB542"/>
      <c r="BC542"/>
      <c r="BD542"/>
      <c r="BE542"/>
      <c r="BF542"/>
      <c r="BI542" s="3"/>
    </row>
    <row r="543" spans="52:98">
      <c r="AZ543"/>
      <c r="BA543"/>
      <c r="BB543"/>
      <c r="BC543"/>
      <c r="BD543"/>
      <c r="BE543"/>
      <c r="BF543"/>
    </row>
    <row r="544" spans="52:98">
      <c r="AZ544"/>
      <c r="BA544"/>
      <c r="BB544"/>
      <c r="BC544"/>
      <c r="BD544"/>
      <c r="BE544"/>
      <c r="BF544"/>
    </row>
    <row r="545" spans="52:98">
      <c r="AZ545"/>
      <c r="BA545"/>
      <c r="BB545"/>
      <c r="BC545"/>
      <c r="BD545"/>
      <c r="BE545"/>
      <c r="BF545"/>
      <c r="BI545" s="75"/>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row>
    <row r="546" spans="52:98">
      <c r="AZ546"/>
      <c r="BA546"/>
      <c r="BB546"/>
      <c r="BC546"/>
      <c r="BD546"/>
      <c r="BE546"/>
      <c r="BF546"/>
      <c r="BI546" s="75"/>
    </row>
    <row r="547" spans="52:98">
      <c r="AZ547"/>
      <c r="BA547"/>
      <c r="BB547"/>
      <c r="BC547"/>
      <c r="BD547"/>
      <c r="BE547"/>
      <c r="BF547"/>
    </row>
    <row r="548" spans="52:98">
      <c r="AZ548"/>
      <c r="BA548"/>
      <c r="BB548"/>
      <c r="BC548"/>
      <c r="BD548"/>
      <c r="BE548"/>
      <c r="BF548"/>
      <c r="BI548" s="3"/>
    </row>
    <row r="549" spans="52:98">
      <c r="AZ549"/>
      <c r="BA549"/>
      <c r="BB549"/>
      <c r="BC549"/>
      <c r="BD549"/>
      <c r="BE549"/>
      <c r="BF549"/>
    </row>
    <row r="550" spans="52:98">
      <c r="AZ550"/>
      <c r="BA550"/>
      <c r="BB550"/>
      <c r="BC550"/>
      <c r="BD550"/>
      <c r="BE550"/>
      <c r="BF550"/>
      <c r="BI550" s="3"/>
    </row>
    <row r="551" spans="52:98">
      <c r="AZ551"/>
      <c r="BA551"/>
      <c r="BB551"/>
      <c r="BC551"/>
      <c r="BD551"/>
      <c r="BE551"/>
      <c r="BF551"/>
    </row>
    <row r="552" spans="52:98">
      <c r="AZ552"/>
      <c r="BA552"/>
      <c r="BB552"/>
      <c r="BC552"/>
      <c r="BD552"/>
      <c r="BE552"/>
      <c r="BF552"/>
      <c r="BI552" s="3"/>
    </row>
    <row r="553" spans="52:98">
      <c r="AZ553"/>
      <c r="BA553"/>
      <c r="BB553"/>
      <c r="BC553"/>
      <c r="BD553"/>
      <c r="BE553"/>
      <c r="BF553"/>
    </row>
    <row r="554" spans="52:98">
      <c r="AZ554"/>
      <c r="BA554"/>
      <c r="BB554"/>
      <c r="BC554"/>
      <c r="BD554"/>
      <c r="BE554"/>
      <c r="BF554"/>
      <c r="BI554" s="3"/>
    </row>
    <row r="555" spans="52:98">
      <c r="AZ555"/>
      <c r="BA555"/>
      <c r="BB555"/>
      <c r="BC555"/>
      <c r="BD555"/>
      <c r="BE555"/>
      <c r="BF555"/>
    </row>
    <row r="556" spans="52:98">
      <c r="BI556" s="3"/>
    </row>
    <row r="557" spans="52:98">
      <c r="AZ557"/>
      <c r="BA557"/>
      <c r="BB557"/>
      <c r="BC557"/>
      <c r="BD557"/>
      <c r="BE557"/>
      <c r="BF557"/>
    </row>
    <row r="558" spans="52:98">
      <c r="AZ558"/>
      <c r="BA558"/>
      <c r="BB558"/>
      <c r="BC558"/>
      <c r="BD558"/>
      <c r="BE558"/>
      <c r="BF558"/>
      <c r="BI558" s="3"/>
    </row>
    <row r="559" spans="52:98">
      <c r="AZ559"/>
      <c r="BA559"/>
      <c r="BB559"/>
      <c r="BC559"/>
      <c r="BD559"/>
      <c r="BE559"/>
      <c r="BF559"/>
    </row>
    <row r="560" spans="52:98">
      <c r="AZ560"/>
      <c r="BA560"/>
      <c r="BB560"/>
      <c r="BC560"/>
      <c r="BD560"/>
      <c r="BE560"/>
      <c r="BF560"/>
    </row>
    <row r="561" spans="52:98">
      <c r="AZ561"/>
      <c r="BA561"/>
      <c r="BB561"/>
      <c r="BC561"/>
      <c r="BD561"/>
      <c r="BE561"/>
      <c r="BF561"/>
      <c r="BI561" s="75"/>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row>
    <row r="562" spans="52:98">
      <c r="AZ562"/>
      <c r="BA562"/>
      <c r="BB562"/>
      <c r="BC562"/>
      <c r="BD562"/>
      <c r="BE562"/>
      <c r="BF562"/>
      <c r="BI562" s="75"/>
    </row>
    <row r="563" spans="52:98">
      <c r="AZ563"/>
      <c r="BA563"/>
      <c r="BB563"/>
      <c r="BC563"/>
      <c r="BD563"/>
      <c r="BE563"/>
      <c r="BF563"/>
    </row>
    <row r="564" spans="52:98">
      <c r="AZ564"/>
      <c r="BA564"/>
      <c r="BB564"/>
      <c r="BC564"/>
      <c r="BD564"/>
      <c r="BE564"/>
      <c r="BF564"/>
      <c r="BI564" s="3"/>
    </row>
    <row r="565" spans="52:98">
      <c r="AZ565"/>
      <c r="BA565"/>
      <c r="BB565"/>
      <c r="BC565"/>
      <c r="BD565"/>
      <c r="BE565"/>
      <c r="BF565"/>
    </row>
    <row r="566" spans="52:98">
      <c r="AZ566"/>
      <c r="BA566"/>
      <c r="BB566"/>
      <c r="BC566"/>
      <c r="BD566"/>
      <c r="BE566"/>
      <c r="BF566"/>
      <c r="BI566" s="3"/>
    </row>
    <row r="567" spans="52:98">
      <c r="AZ567"/>
      <c r="BA567"/>
      <c r="BB567"/>
      <c r="BC567"/>
      <c r="BD567"/>
      <c r="BE567"/>
      <c r="BF567"/>
    </row>
    <row r="568" spans="52:98">
      <c r="AZ568"/>
      <c r="BA568"/>
      <c r="BB568"/>
      <c r="BC568"/>
      <c r="BD568"/>
      <c r="BE568"/>
      <c r="BF568"/>
      <c r="BI568" s="3"/>
    </row>
    <row r="569" spans="52:98">
      <c r="AZ569"/>
      <c r="BA569"/>
      <c r="BB569"/>
      <c r="BC569"/>
      <c r="BD569"/>
      <c r="BE569"/>
      <c r="BF569"/>
    </row>
    <row r="570" spans="52:98">
      <c r="AZ570"/>
      <c r="BA570"/>
      <c r="BB570"/>
      <c r="BC570"/>
      <c r="BD570"/>
      <c r="BE570"/>
      <c r="BF570"/>
      <c r="BI570" s="3"/>
    </row>
    <row r="571" spans="52:98">
      <c r="AZ571"/>
      <c r="BA571"/>
      <c r="BB571"/>
      <c r="BC571"/>
      <c r="BD571"/>
      <c r="BE571"/>
      <c r="BF571"/>
    </row>
    <row r="572" spans="52:98">
      <c r="BI572" s="3"/>
    </row>
    <row r="573" spans="52:98">
      <c r="AZ573"/>
      <c r="BA573"/>
      <c r="BB573"/>
      <c r="BC573"/>
      <c r="BD573"/>
      <c r="BE573"/>
      <c r="BF573"/>
    </row>
    <row r="574" spans="52:98">
      <c r="AZ574"/>
      <c r="BA574"/>
      <c r="BB574"/>
      <c r="BC574"/>
      <c r="BD574"/>
      <c r="BE574"/>
      <c r="BF574"/>
      <c r="BI574" s="3"/>
    </row>
    <row r="575" spans="52:98">
      <c r="AZ575"/>
      <c r="BA575"/>
      <c r="BB575"/>
      <c r="BC575"/>
      <c r="BD575"/>
      <c r="BE575"/>
      <c r="BF575"/>
    </row>
    <row r="576" spans="52:98">
      <c r="AZ576"/>
      <c r="BA576"/>
      <c r="BB576"/>
      <c r="BC576"/>
      <c r="BD576"/>
      <c r="BE576"/>
      <c r="BF576"/>
    </row>
    <row r="577" spans="52:98">
      <c r="AZ577"/>
      <c r="BA577"/>
      <c r="BB577"/>
      <c r="BC577"/>
      <c r="BD577"/>
      <c r="BE577"/>
      <c r="BF577"/>
      <c r="BI577" s="75"/>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row>
    <row r="578" spans="52:98">
      <c r="AZ578"/>
      <c r="BA578"/>
      <c r="BB578"/>
      <c r="BC578"/>
      <c r="BD578"/>
      <c r="BE578"/>
      <c r="BF578"/>
      <c r="BI578" s="75"/>
    </row>
    <row r="579" spans="52:98">
      <c r="AZ579"/>
      <c r="BA579"/>
      <c r="BB579"/>
      <c r="BC579"/>
      <c r="BD579"/>
      <c r="BE579"/>
      <c r="BF579"/>
    </row>
    <row r="580" spans="52:98">
      <c r="AZ580"/>
      <c r="BA580"/>
      <c r="BB580"/>
      <c r="BC580"/>
      <c r="BD580"/>
      <c r="BE580"/>
      <c r="BF580"/>
      <c r="BI580" s="3"/>
    </row>
    <row r="581" spans="52:98">
      <c r="AZ581"/>
      <c r="BA581"/>
      <c r="BB581"/>
      <c r="BC581"/>
      <c r="BD581"/>
      <c r="BE581"/>
      <c r="BF581"/>
    </row>
    <row r="582" spans="52:98">
      <c r="AZ582"/>
      <c r="BA582"/>
      <c r="BB582"/>
      <c r="BC582"/>
      <c r="BD582"/>
      <c r="BE582"/>
      <c r="BF582"/>
      <c r="BI582" s="3"/>
    </row>
    <row r="583" spans="52:98">
      <c r="AZ583"/>
      <c r="BA583"/>
      <c r="BB583"/>
      <c r="BC583"/>
      <c r="BD583"/>
      <c r="BE583"/>
      <c r="BF583"/>
    </row>
    <row r="584" spans="52:98">
      <c r="AZ584"/>
      <c r="BA584"/>
      <c r="BB584"/>
      <c r="BC584"/>
      <c r="BD584"/>
      <c r="BE584"/>
      <c r="BF584"/>
      <c r="BI584" s="3"/>
    </row>
    <row r="585" spans="52:98">
      <c r="AZ585"/>
      <c r="BA585"/>
      <c r="BB585"/>
      <c r="BC585"/>
      <c r="BD585"/>
      <c r="BE585"/>
      <c r="BF585"/>
    </row>
    <row r="586" spans="52:98">
      <c r="AZ586"/>
      <c r="BA586"/>
      <c r="BB586"/>
      <c r="BC586"/>
      <c r="BD586"/>
      <c r="BE586"/>
      <c r="BF586"/>
      <c r="BI586" s="3"/>
    </row>
    <row r="587" spans="52:98">
      <c r="AZ587"/>
      <c r="BA587"/>
      <c r="BB587"/>
      <c r="BC587"/>
      <c r="BD587"/>
      <c r="BE587"/>
      <c r="BF587"/>
    </row>
    <row r="588" spans="52:98">
      <c r="BI588" s="3"/>
    </row>
    <row r="589" spans="52:98">
      <c r="AZ589"/>
      <c r="BA589"/>
      <c r="BB589"/>
      <c r="BC589"/>
      <c r="BD589"/>
      <c r="BE589"/>
      <c r="BF589"/>
    </row>
    <row r="590" spans="52:98">
      <c r="AZ590"/>
      <c r="BA590"/>
      <c r="BB590"/>
      <c r="BC590"/>
      <c r="BD590"/>
      <c r="BE590"/>
      <c r="BF590"/>
      <c r="BI590" s="3"/>
    </row>
    <row r="591" spans="52:98">
      <c r="AZ591"/>
      <c r="BA591"/>
      <c r="BB591"/>
      <c r="BC591"/>
      <c r="BD591"/>
      <c r="BE591"/>
      <c r="BF591"/>
    </row>
    <row r="592" spans="52:98">
      <c r="AZ592"/>
      <c r="BA592"/>
      <c r="BB592"/>
      <c r="BC592"/>
      <c r="BD592"/>
      <c r="BE592"/>
      <c r="BF592"/>
    </row>
    <row r="593" spans="52:98">
      <c r="AZ593"/>
      <c r="BA593"/>
      <c r="BB593"/>
      <c r="BC593"/>
      <c r="BD593"/>
      <c r="BE593"/>
      <c r="BF593"/>
      <c r="BI593" s="75"/>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row>
    <row r="594" spans="52:98">
      <c r="AZ594"/>
      <c r="BA594"/>
      <c r="BB594"/>
      <c r="BC594"/>
      <c r="BD594"/>
      <c r="BE594"/>
      <c r="BF594"/>
      <c r="BI594" s="75"/>
    </row>
    <row r="595" spans="52:98">
      <c r="AZ595"/>
      <c r="BA595"/>
      <c r="BB595"/>
      <c r="BC595"/>
      <c r="BD595"/>
      <c r="BE595"/>
      <c r="BF595"/>
    </row>
    <row r="596" spans="52:98">
      <c r="AZ596"/>
      <c r="BA596"/>
      <c r="BB596"/>
      <c r="BC596"/>
      <c r="BD596"/>
      <c r="BE596"/>
      <c r="BF596"/>
      <c r="BI596" s="3"/>
    </row>
    <row r="597" spans="52:98">
      <c r="AZ597"/>
      <c r="BA597"/>
      <c r="BB597"/>
      <c r="BC597"/>
      <c r="BD597"/>
      <c r="BE597"/>
      <c r="BF597"/>
    </row>
    <row r="598" spans="52:98">
      <c r="AZ598"/>
      <c r="BA598"/>
      <c r="BB598"/>
      <c r="BC598"/>
      <c r="BD598"/>
      <c r="BE598"/>
      <c r="BF598"/>
      <c r="BI598" s="3"/>
    </row>
    <row r="599" spans="52:98">
      <c r="AZ599"/>
      <c r="BA599"/>
      <c r="BB599"/>
      <c r="BC599"/>
      <c r="BD599"/>
      <c r="BE599"/>
      <c r="BF599"/>
    </row>
    <row r="600" spans="52:98">
      <c r="AZ600"/>
      <c r="BA600"/>
      <c r="BB600"/>
      <c r="BC600"/>
      <c r="BD600"/>
      <c r="BE600"/>
      <c r="BF600"/>
      <c r="BI600" s="3"/>
    </row>
    <row r="601" spans="52:98">
      <c r="AZ601"/>
      <c r="BA601"/>
      <c r="BB601"/>
      <c r="BC601"/>
      <c r="BD601"/>
      <c r="BE601"/>
      <c r="BF601"/>
    </row>
    <row r="602" spans="52:98">
      <c r="AZ602"/>
      <c r="BA602"/>
      <c r="BB602"/>
      <c r="BC602"/>
      <c r="BD602"/>
      <c r="BE602"/>
      <c r="BF602"/>
      <c r="BI602" s="3"/>
    </row>
    <row r="603" spans="52:98">
      <c r="AZ603"/>
      <c r="BA603"/>
      <c r="BB603"/>
      <c r="BC603"/>
      <c r="BD603"/>
      <c r="BE603"/>
      <c r="BF603"/>
    </row>
    <row r="604" spans="52:98">
      <c r="BI604" s="3"/>
    </row>
    <row r="605" spans="52:98">
      <c r="AZ605"/>
      <c r="BA605"/>
      <c r="BB605"/>
      <c r="BC605"/>
      <c r="BD605"/>
      <c r="BE605"/>
      <c r="BF605"/>
    </row>
    <row r="606" spans="52:98">
      <c r="AZ606"/>
      <c r="BA606"/>
      <c r="BB606"/>
      <c r="BC606"/>
      <c r="BD606"/>
      <c r="BE606"/>
      <c r="BF606"/>
      <c r="BI606" s="3"/>
    </row>
    <row r="607" spans="52:98">
      <c r="AZ607"/>
      <c r="BA607"/>
      <c r="BB607"/>
      <c r="BC607"/>
      <c r="BD607"/>
      <c r="BE607"/>
      <c r="BF607"/>
    </row>
    <row r="608" spans="52:98">
      <c r="AZ608"/>
      <c r="BA608"/>
      <c r="BB608"/>
      <c r="BC608"/>
      <c r="BD608"/>
      <c r="BE608"/>
      <c r="BF608"/>
    </row>
    <row r="609" spans="52:98">
      <c r="AZ609"/>
      <c r="BA609"/>
      <c r="BB609"/>
      <c r="BC609"/>
      <c r="BD609"/>
      <c r="BE609"/>
      <c r="BF609"/>
      <c r="BI609" s="75"/>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row>
    <row r="610" spans="52:98">
      <c r="AZ610"/>
      <c r="BA610"/>
      <c r="BB610"/>
      <c r="BC610"/>
      <c r="BD610"/>
      <c r="BE610"/>
      <c r="BF610"/>
      <c r="BI610" s="75"/>
    </row>
    <row r="611" spans="52:98">
      <c r="AZ611"/>
      <c r="BA611"/>
      <c r="BB611"/>
      <c r="BC611"/>
      <c r="BD611"/>
      <c r="BE611"/>
      <c r="BF611"/>
    </row>
    <row r="612" spans="52:98">
      <c r="AZ612"/>
      <c r="BA612"/>
      <c r="BB612"/>
      <c r="BC612"/>
      <c r="BD612"/>
      <c r="BE612"/>
      <c r="BF612"/>
      <c r="BI612" s="3"/>
    </row>
    <row r="613" spans="52:98">
      <c r="AZ613"/>
      <c r="BA613"/>
      <c r="BB613"/>
      <c r="BC613"/>
      <c r="BD613"/>
      <c r="BE613"/>
      <c r="BF613"/>
    </row>
    <row r="614" spans="52:98">
      <c r="AZ614"/>
      <c r="BA614"/>
      <c r="BB614"/>
      <c r="BC614"/>
      <c r="BD614"/>
      <c r="BE614"/>
      <c r="BF614"/>
      <c r="BI614" s="3"/>
    </row>
    <row r="615" spans="52:98">
      <c r="AZ615"/>
      <c r="BA615"/>
      <c r="BB615"/>
      <c r="BC615"/>
      <c r="BD615"/>
      <c r="BE615"/>
      <c r="BF615"/>
    </row>
    <row r="616" spans="52:98">
      <c r="AZ616"/>
      <c r="BA616"/>
      <c r="BB616"/>
      <c r="BC616"/>
      <c r="BD616"/>
      <c r="BE616"/>
      <c r="BF616"/>
      <c r="BI616" s="3"/>
    </row>
    <row r="617" spans="52:98">
      <c r="AZ617"/>
      <c r="BA617"/>
      <c r="BB617"/>
      <c r="BC617"/>
      <c r="BD617"/>
      <c r="BE617"/>
      <c r="BF617"/>
    </row>
    <row r="618" spans="52:98">
      <c r="AZ618"/>
      <c r="BA618"/>
      <c r="BB618"/>
      <c r="BC618"/>
      <c r="BD618"/>
      <c r="BE618"/>
      <c r="BF618"/>
      <c r="BI618" s="3"/>
    </row>
    <row r="619" spans="52:98">
      <c r="AZ619"/>
      <c r="BA619"/>
      <c r="BB619"/>
      <c r="BC619"/>
      <c r="BD619"/>
      <c r="BE619"/>
      <c r="BF619"/>
    </row>
    <row r="620" spans="52:98">
      <c r="BI620" s="3"/>
    </row>
    <row r="621" spans="52:98">
      <c r="AZ621"/>
      <c r="BA621"/>
      <c r="BB621"/>
      <c r="BC621"/>
      <c r="BD621"/>
      <c r="BE621"/>
      <c r="BF621"/>
    </row>
    <row r="622" spans="52:98">
      <c r="AZ622"/>
      <c r="BA622"/>
      <c r="BB622"/>
      <c r="BC622"/>
      <c r="BD622"/>
      <c r="BE622"/>
      <c r="BF622"/>
      <c r="BI622" s="3"/>
    </row>
    <row r="623" spans="52:98">
      <c r="AZ623"/>
      <c r="BA623"/>
      <c r="BB623"/>
      <c r="BC623"/>
      <c r="BD623"/>
      <c r="BE623"/>
      <c r="BF623"/>
    </row>
    <row r="624" spans="52:98">
      <c r="AZ624"/>
      <c r="BA624"/>
      <c r="BB624"/>
      <c r="BC624"/>
      <c r="BD624"/>
      <c r="BE624"/>
      <c r="BF624"/>
    </row>
    <row r="625" spans="52:98">
      <c r="AZ625"/>
      <c r="BA625"/>
      <c r="BB625"/>
      <c r="BC625"/>
      <c r="BD625"/>
      <c r="BE625"/>
      <c r="BF625"/>
      <c r="BI625" s="75"/>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row>
    <row r="626" spans="52:98">
      <c r="AZ626"/>
      <c r="BA626"/>
      <c r="BB626"/>
      <c r="BC626"/>
      <c r="BD626"/>
      <c r="BE626"/>
      <c r="BF626"/>
      <c r="BI626" s="75"/>
    </row>
    <row r="627" spans="52:98">
      <c r="AZ627"/>
      <c r="BA627"/>
      <c r="BB627"/>
      <c r="BC627"/>
      <c r="BD627"/>
      <c r="BE627"/>
      <c r="BF627"/>
    </row>
    <row r="628" spans="52:98">
      <c r="AZ628"/>
      <c r="BA628"/>
      <c r="BB628"/>
      <c r="BC628"/>
      <c r="BD628"/>
      <c r="BE628"/>
      <c r="BF628"/>
      <c r="BI628" s="3"/>
    </row>
    <row r="629" spans="52:98">
      <c r="AZ629"/>
      <c r="BA629"/>
      <c r="BB629"/>
      <c r="BC629"/>
      <c r="BD629"/>
      <c r="BE629"/>
      <c r="BF629"/>
    </row>
    <row r="630" spans="52:98">
      <c r="AZ630"/>
      <c r="BA630"/>
      <c r="BB630"/>
      <c r="BC630"/>
      <c r="BD630"/>
      <c r="BE630"/>
      <c r="BF630"/>
      <c r="BI630" s="3"/>
    </row>
    <row r="631" spans="52:98">
      <c r="AZ631"/>
      <c r="BA631"/>
      <c r="BB631"/>
      <c r="BC631"/>
      <c r="BD631"/>
      <c r="BE631"/>
      <c r="BF631"/>
    </row>
    <row r="632" spans="52:98">
      <c r="AZ632"/>
      <c r="BA632"/>
      <c r="BB632"/>
      <c r="BC632"/>
      <c r="BD632"/>
      <c r="BE632"/>
      <c r="BF632"/>
      <c r="BI632" s="3"/>
    </row>
    <row r="633" spans="52:98">
      <c r="AZ633"/>
      <c r="BA633"/>
      <c r="BB633"/>
      <c r="BC633"/>
      <c r="BD633"/>
      <c r="BE633"/>
      <c r="BF633"/>
    </row>
    <row r="634" spans="52:98">
      <c r="AZ634"/>
      <c r="BA634"/>
      <c r="BB634"/>
      <c r="BC634"/>
      <c r="BD634"/>
      <c r="BE634"/>
      <c r="BF634"/>
      <c r="BI634" s="3"/>
    </row>
    <row r="635" spans="52:98">
      <c r="AZ635"/>
      <c r="BA635"/>
      <c r="BB635"/>
      <c r="BC635"/>
      <c r="BD635"/>
      <c r="BE635"/>
      <c r="BF635"/>
    </row>
    <row r="636" spans="52:98">
      <c r="BI636" s="3"/>
    </row>
    <row r="637" spans="52:98">
      <c r="AZ637"/>
      <c r="BA637"/>
      <c r="BB637"/>
      <c r="BC637"/>
      <c r="BD637"/>
      <c r="BE637"/>
      <c r="BF637"/>
    </row>
    <row r="638" spans="52:98">
      <c r="AZ638"/>
      <c r="BA638"/>
      <c r="BB638"/>
      <c r="BC638"/>
      <c r="BD638"/>
      <c r="BE638"/>
      <c r="BF638"/>
      <c r="BI638" s="3"/>
    </row>
    <row r="639" spans="52:98">
      <c r="AZ639"/>
      <c r="BA639"/>
      <c r="BB639"/>
      <c r="BC639"/>
      <c r="BD639"/>
      <c r="BE639"/>
      <c r="BF639"/>
    </row>
    <row r="640" spans="52:98">
      <c r="AZ640"/>
      <c r="BA640"/>
      <c r="BB640"/>
      <c r="BC640"/>
      <c r="BD640"/>
      <c r="BE640"/>
      <c r="BF640"/>
    </row>
    <row r="641" spans="52:98">
      <c r="AZ641"/>
      <c r="BA641"/>
      <c r="BB641"/>
      <c r="BC641"/>
      <c r="BD641"/>
      <c r="BE641"/>
      <c r="BF641"/>
      <c r="BI641" s="75"/>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row>
    <row r="642" spans="52:98">
      <c r="AZ642"/>
      <c r="BA642"/>
      <c r="BB642"/>
      <c r="BC642"/>
      <c r="BD642"/>
      <c r="BE642"/>
      <c r="BF642"/>
      <c r="BI642" s="75"/>
    </row>
    <row r="643" spans="52:98">
      <c r="AZ643"/>
      <c r="BA643"/>
      <c r="BB643"/>
      <c r="BC643"/>
      <c r="BD643"/>
      <c r="BE643"/>
      <c r="BF643"/>
    </row>
    <row r="644" spans="52:98">
      <c r="AZ644"/>
      <c r="BA644"/>
      <c r="BB644"/>
      <c r="BC644"/>
      <c r="BD644"/>
      <c r="BE644"/>
      <c r="BF644"/>
      <c r="BI644" s="3"/>
    </row>
    <row r="645" spans="52:98">
      <c r="AZ645"/>
      <c r="BA645"/>
      <c r="BB645"/>
      <c r="BC645"/>
      <c r="BD645"/>
      <c r="BE645"/>
      <c r="BF645"/>
    </row>
    <row r="646" spans="52:98">
      <c r="AZ646"/>
      <c r="BA646"/>
      <c r="BB646"/>
      <c r="BC646"/>
      <c r="BD646"/>
      <c r="BE646"/>
      <c r="BF646"/>
      <c r="BI646" s="3"/>
    </row>
    <row r="647" spans="52:98">
      <c r="AZ647"/>
      <c r="BA647"/>
      <c r="BB647"/>
      <c r="BC647"/>
      <c r="BD647"/>
      <c r="BE647"/>
      <c r="BF647"/>
    </row>
    <row r="648" spans="52:98">
      <c r="AZ648"/>
      <c r="BA648"/>
      <c r="BB648"/>
      <c r="BC648"/>
      <c r="BD648"/>
      <c r="BE648"/>
      <c r="BF648"/>
      <c r="BI648" s="3"/>
    </row>
    <row r="649" spans="52:98">
      <c r="AZ649"/>
      <c r="BA649"/>
      <c r="BB649"/>
      <c r="BC649"/>
      <c r="BD649"/>
      <c r="BE649"/>
      <c r="BF649"/>
    </row>
    <row r="650" spans="52:98">
      <c r="AZ650"/>
      <c r="BA650"/>
      <c r="BB650"/>
      <c r="BC650"/>
      <c r="BD650"/>
      <c r="BE650"/>
      <c r="BF650"/>
      <c r="BI650" s="3"/>
    </row>
    <row r="651" spans="52:98">
      <c r="AZ651"/>
      <c r="BA651"/>
      <c r="BB651"/>
      <c r="BC651"/>
      <c r="BD651"/>
      <c r="BE651"/>
      <c r="BF651"/>
    </row>
    <row r="652" spans="52:98">
      <c r="BI652" s="3"/>
    </row>
    <row r="653" spans="52:98">
      <c r="AZ653"/>
      <c r="BA653"/>
      <c r="BB653"/>
      <c r="BC653"/>
      <c r="BD653"/>
      <c r="BE653"/>
      <c r="BF653"/>
    </row>
    <row r="654" spans="52:98">
      <c r="AZ654"/>
      <c r="BA654"/>
      <c r="BB654"/>
      <c r="BC654"/>
      <c r="BD654"/>
      <c r="BE654"/>
      <c r="BF654"/>
      <c r="BI654" s="3"/>
    </row>
    <row r="655" spans="52:98">
      <c r="AZ655"/>
      <c r="BA655"/>
      <c r="BB655"/>
      <c r="BC655"/>
      <c r="BD655"/>
      <c r="BE655"/>
      <c r="BF655"/>
    </row>
    <row r="656" spans="52:98">
      <c r="AZ656"/>
      <c r="BA656"/>
      <c r="BB656"/>
      <c r="BC656"/>
      <c r="BD656"/>
      <c r="BE656"/>
      <c r="BF656"/>
    </row>
    <row r="657" spans="52:98">
      <c r="AZ657"/>
      <c r="BA657"/>
      <c r="BB657"/>
      <c r="BC657"/>
      <c r="BD657"/>
      <c r="BE657"/>
      <c r="BF657"/>
      <c r="BI657" s="75"/>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row>
    <row r="658" spans="52:98">
      <c r="AZ658"/>
      <c r="BA658"/>
      <c r="BB658"/>
      <c r="BC658"/>
      <c r="BD658"/>
      <c r="BE658"/>
      <c r="BF658"/>
      <c r="BI658" s="75"/>
    </row>
    <row r="659" spans="52:98">
      <c r="AZ659"/>
      <c r="BA659"/>
      <c r="BB659"/>
      <c r="BC659"/>
      <c r="BD659"/>
      <c r="BE659"/>
      <c r="BF659"/>
    </row>
    <row r="660" spans="52:98">
      <c r="AZ660"/>
      <c r="BA660"/>
      <c r="BB660"/>
      <c r="BC660"/>
      <c r="BD660"/>
      <c r="BE660"/>
      <c r="BF660"/>
      <c r="BI660" s="3"/>
    </row>
    <row r="661" spans="52:98">
      <c r="AZ661"/>
      <c r="BA661"/>
      <c r="BB661"/>
      <c r="BC661"/>
      <c r="BD661"/>
      <c r="BE661"/>
      <c r="BF661"/>
    </row>
    <row r="662" spans="52:98">
      <c r="AZ662"/>
      <c r="BA662"/>
      <c r="BB662"/>
      <c r="BC662"/>
      <c r="BD662"/>
      <c r="BE662"/>
      <c r="BF662"/>
      <c r="BI662" s="3"/>
    </row>
    <row r="663" spans="52:98">
      <c r="AZ663"/>
      <c r="BA663"/>
      <c r="BB663"/>
      <c r="BC663"/>
      <c r="BD663"/>
      <c r="BE663"/>
      <c r="BF663"/>
    </row>
    <row r="664" spans="52:98">
      <c r="AZ664"/>
      <c r="BA664"/>
      <c r="BB664"/>
      <c r="BC664"/>
      <c r="BD664"/>
      <c r="BE664"/>
      <c r="BF664"/>
      <c r="BI664" s="3"/>
    </row>
    <row r="665" spans="52:98">
      <c r="AZ665"/>
      <c r="BA665"/>
      <c r="BB665"/>
      <c r="BC665"/>
      <c r="BD665"/>
      <c r="BE665"/>
      <c r="BF665"/>
    </row>
    <row r="666" spans="52:98">
      <c r="AZ666"/>
      <c r="BA666"/>
      <c r="BB666"/>
      <c r="BC666"/>
      <c r="BD666"/>
      <c r="BE666"/>
      <c r="BF666"/>
      <c r="BI666" s="3"/>
    </row>
    <row r="667" spans="52:98">
      <c r="AZ667"/>
      <c r="BA667"/>
      <c r="BB667"/>
      <c r="BC667"/>
      <c r="BD667"/>
      <c r="BE667"/>
      <c r="BF667"/>
    </row>
    <row r="668" spans="52:98">
      <c r="BI668" s="3"/>
    </row>
    <row r="669" spans="52:98">
      <c r="AZ669"/>
      <c r="BA669"/>
      <c r="BB669"/>
      <c r="BC669"/>
      <c r="BD669"/>
      <c r="BE669"/>
      <c r="BF669"/>
    </row>
    <row r="670" spans="52:98">
      <c r="AZ670"/>
      <c r="BA670"/>
      <c r="BB670"/>
      <c r="BC670"/>
      <c r="BD670"/>
      <c r="BE670"/>
      <c r="BF670"/>
      <c r="BI670" s="3"/>
    </row>
    <row r="671" spans="52:98">
      <c r="AZ671"/>
      <c r="BA671"/>
      <c r="BB671"/>
      <c r="BC671"/>
      <c r="BD671"/>
      <c r="BE671"/>
      <c r="BF671"/>
    </row>
    <row r="672" spans="52:98">
      <c r="AZ672"/>
      <c r="BA672"/>
      <c r="BB672"/>
      <c r="BC672"/>
      <c r="BD672"/>
      <c r="BE672"/>
      <c r="BF672"/>
    </row>
    <row r="673" spans="52:98">
      <c r="AZ673"/>
      <c r="BA673"/>
      <c r="BB673"/>
      <c r="BC673"/>
      <c r="BD673"/>
      <c r="BE673"/>
      <c r="BF673"/>
      <c r="BI673" s="75"/>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row>
    <row r="674" spans="52:98">
      <c r="AZ674"/>
      <c r="BA674"/>
      <c r="BB674"/>
      <c r="BC674"/>
      <c r="BD674"/>
      <c r="BE674"/>
      <c r="BF674"/>
      <c r="BI674" s="75"/>
    </row>
    <row r="675" spans="52:98">
      <c r="AZ675"/>
      <c r="BA675"/>
      <c r="BB675"/>
      <c r="BC675"/>
      <c r="BD675"/>
      <c r="BE675"/>
      <c r="BF675"/>
    </row>
    <row r="676" spans="52:98">
      <c r="AZ676"/>
      <c r="BA676"/>
      <c r="BB676"/>
      <c r="BC676"/>
      <c r="BD676"/>
      <c r="BE676"/>
      <c r="BF676"/>
      <c r="BI676" s="3"/>
    </row>
    <row r="677" spans="52:98">
      <c r="AZ677"/>
      <c r="BA677"/>
      <c r="BB677"/>
      <c r="BC677"/>
      <c r="BD677"/>
      <c r="BE677"/>
      <c r="BF677"/>
    </row>
    <row r="678" spans="52:98">
      <c r="AZ678"/>
      <c r="BA678"/>
      <c r="BB678"/>
      <c r="BC678"/>
      <c r="BD678"/>
      <c r="BE678"/>
      <c r="BF678"/>
      <c r="BI678" s="3"/>
    </row>
    <row r="679" spans="52:98">
      <c r="AZ679"/>
      <c r="BA679"/>
      <c r="BB679"/>
      <c r="BC679"/>
      <c r="BD679"/>
      <c r="BE679"/>
      <c r="BF679"/>
    </row>
    <row r="680" spans="52:98">
      <c r="AZ680"/>
      <c r="BA680"/>
      <c r="BB680"/>
      <c r="BC680"/>
      <c r="BD680"/>
      <c r="BE680"/>
      <c r="BF680"/>
      <c r="BI680" s="3"/>
    </row>
    <row r="681" spans="52:98">
      <c r="AZ681"/>
      <c r="BA681"/>
      <c r="BB681"/>
      <c r="BC681"/>
      <c r="BD681"/>
      <c r="BE681"/>
      <c r="BF681"/>
    </row>
    <row r="682" spans="52:98">
      <c r="AZ682"/>
      <c r="BA682"/>
      <c r="BB682"/>
      <c r="BC682"/>
      <c r="BD682"/>
      <c r="BE682"/>
      <c r="BF682"/>
      <c r="BI682" s="3"/>
    </row>
    <row r="683" spans="52:98">
      <c r="AZ683"/>
      <c r="BA683"/>
      <c r="BB683"/>
      <c r="BC683"/>
      <c r="BD683"/>
      <c r="BE683"/>
      <c r="BF683"/>
    </row>
    <row r="684" spans="52:98">
      <c r="BI684" s="3"/>
    </row>
    <row r="685" spans="52:98">
      <c r="AZ685"/>
      <c r="BA685"/>
      <c r="BB685"/>
      <c r="BC685"/>
      <c r="BD685"/>
      <c r="BE685"/>
      <c r="BF685"/>
    </row>
    <row r="686" spans="52:98">
      <c r="AZ686"/>
      <c r="BA686"/>
      <c r="BB686"/>
      <c r="BC686"/>
      <c r="BD686"/>
      <c r="BE686"/>
      <c r="BF686"/>
      <c r="BI686" s="3"/>
    </row>
    <row r="687" spans="52:98">
      <c r="AZ687"/>
      <c r="BA687"/>
      <c r="BB687"/>
      <c r="BC687"/>
      <c r="BD687"/>
      <c r="BE687"/>
      <c r="BF687"/>
    </row>
    <row r="688" spans="52:98">
      <c r="AZ688"/>
      <c r="BA688"/>
      <c r="BB688"/>
      <c r="BC688"/>
      <c r="BD688"/>
      <c r="BE688"/>
      <c r="BF688"/>
    </row>
    <row r="689" spans="52:98">
      <c r="AZ689"/>
      <c r="BA689"/>
      <c r="BB689"/>
      <c r="BC689"/>
      <c r="BD689"/>
      <c r="BE689"/>
      <c r="BF689"/>
      <c r="BI689" s="75"/>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row>
    <row r="690" spans="52:98">
      <c r="AZ690"/>
      <c r="BA690"/>
      <c r="BB690"/>
      <c r="BC690"/>
      <c r="BD690"/>
      <c r="BE690"/>
      <c r="BF690"/>
      <c r="BI690" s="75"/>
    </row>
    <row r="691" spans="52:98">
      <c r="AZ691"/>
      <c r="BA691"/>
      <c r="BB691"/>
      <c r="BC691"/>
      <c r="BD691"/>
      <c r="BE691"/>
      <c r="BF691"/>
    </row>
    <row r="692" spans="52:98">
      <c r="AZ692"/>
      <c r="BA692"/>
      <c r="BB692"/>
      <c r="BC692"/>
      <c r="BD692"/>
      <c r="BE692"/>
      <c r="BF692"/>
      <c r="BI692" s="3"/>
    </row>
    <row r="693" spans="52:98">
      <c r="AZ693"/>
      <c r="BA693"/>
      <c r="BB693"/>
      <c r="BC693"/>
      <c r="BD693"/>
      <c r="BE693"/>
      <c r="BF693"/>
    </row>
    <row r="694" spans="52:98">
      <c r="AZ694"/>
      <c r="BA694"/>
      <c r="BB694"/>
      <c r="BC694"/>
      <c r="BD694"/>
      <c r="BE694"/>
      <c r="BF694"/>
      <c r="BI694" s="3"/>
    </row>
    <row r="695" spans="52:98">
      <c r="AZ695"/>
      <c r="BA695"/>
      <c r="BB695"/>
      <c r="BC695"/>
      <c r="BD695"/>
      <c r="BE695"/>
      <c r="BF695"/>
    </row>
    <row r="696" spans="52:98">
      <c r="AZ696"/>
      <c r="BA696"/>
      <c r="BB696"/>
      <c r="BC696"/>
      <c r="BD696"/>
      <c r="BE696"/>
      <c r="BF696"/>
      <c r="BI696" s="3"/>
    </row>
    <row r="697" spans="52:98">
      <c r="AZ697"/>
      <c r="BA697"/>
      <c r="BB697"/>
      <c r="BC697"/>
      <c r="BD697"/>
      <c r="BE697"/>
      <c r="BF697"/>
    </row>
    <row r="698" spans="52:98">
      <c r="AZ698"/>
      <c r="BA698"/>
      <c r="BB698"/>
      <c r="BC698"/>
      <c r="BD698"/>
      <c r="BE698"/>
      <c r="BF698"/>
      <c r="BI698" s="3"/>
    </row>
    <row r="699" spans="52:98">
      <c r="AZ699"/>
      <c r="BA699"/>
      <c r="BB699"/>
      <c r="BC699"/>
      <c r="BD699"/>
      <c r="BE699"/>
      <c r="BF699"/>
    </row>
    <row r="700" spans="52:98">
      <c r="BI700" s="3"/>
    </row>
    <row r="701" spans="52:98">
      <c r="AZ701"/>
      <c r="BA701"/>
      <c r="BB701"/>
      <c r="BC701"/>
      <c r="BD701"/>
      <c r="BE701"/>
      <c r="BF701"/>
    </row>
    <row r="702" spans="52:98">
      <c r="AZ702"/>
      <c r="BA702"/>
      <c r="BB702"/>
      <c r="BC702"/>
      <c r="BD702"/>
      <c r="BE702"/>
      <c r="BF702"/>
      <c r="BI702" s="3"/>
    </row>
    <row r="703" spans="52:98">
      <c r="AZ703"/>
      <c r="BA703"/>
      <c r="BB703"/>
      <c r="BC703"/>
      <c r="BD703"/>
      <c r="BE703"/>
      <c r="BF703"/>
    </row>
    <row r="704" spans="52:98">
      <c r="AZ704"/>
      <c r="BA704"/>
      <c r="BB704"/>
      <c r="BC704"/>
      <c r="BD704"/>
      <c r="BE704"/>
      <c r="BF704"/>
    </row>
    <row r="705" spans="52:98">
      <c r="AZ705"/>
      <c r="BA705"/>
      <c r="BB705"/>
      <c r="BC705"/>
      <c r="BD705"/>
      <c r="BE705"/>
      <c r="BF705"/>
      <c r="BI705" s="75"/>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row>
    <row r="706" spans="52:98">
      <c r="AZ706"/>
      <c r="BA706"/>
      <c r="BB706"/>
      <c r="BC706"/>
      <c r="BD706"/>
      <c r="BE706"/>
      <c r="BF706"/>
      <c r="BI706" s="75"/>
    </row>
    <row r="707" spans="52:98">
      <c r="AZ707"/>
      <c r="BA707"/>
      <c r="BB707"/>
      <c r="BC707"/>
      <c r="BD707"/>
      <c r="BE707"/>
      <c r="BF707"/>
    </row>
    <row r="708" spans="52:98">
      <c r="AZ708"/>
      <c r="BA708"/>
      <c r="BB708"/>
      <c r="BC708"/>
      <c r="BD708"/>
      <c r="BE708"/>
      <c r="BF708"/>
      <c r="BI708" s="3"/>
    </row>
    <row r="709" spans="52:98">
      <c r="AZ709"/>
      <c r="BA709"/>
      <c r="BB709"/>
      <c r="BC709"/>
      <c r="BD709"/>
      <c r="BE709"/>
      <c r="BF709"/>
    </row>
    <row r="710" spans="52:98">
      <c r="AZ710"/>
      <c r="BA710"/>
      <c r="BB710"/>
      <c r="BC710"/>
      <c r="BD710"/>
      <c r="BE710"/>
      <c r="BF710"/>
      <c r="BI710" s="3"/>
    </row>
    <row r="711" spans="52:98">
      <c r="AZ711"/>
      <c r="BA711"/>
      <c r="BB711"/>
      <c r="BC711"/>
      <c r="BD711"/>
      <c r="BE711"/>
      <c r="BF711"/>
    </row>
    <row r="712" spans="52:98">
      <c r="AZ712"/>
      <c r="BA712"/>
      <c r="BB712"/>
      <c r="BC712"/>
      <c r="BD712"/>
      <c r="BE712"/>
      <c r="BF712"/>
      <c r="BI712" s="3"/>
    </row>
    <row r="713" spans="52:98">
      <c r="AZ713"/>
      <c r="BA713"/>
      <c r="BB713"/>
      <c r="BC713"/>
      <c r="BD713"/>
      <c r="BE713"/>
      <c r="BF713"/>
    </row>
    <row r="714" spans="52:98">
      <c r="AZ714"/>
      <c r="BA714"/>
      <c r="BB714"/>
      <c r="BC714"/>
      <c r="BD714"/>
      <c r="BE714"/>
      <c r="BF714"/>
      <c r="BI714" s="3"/>
    </row>
    <row r="715" spans="52:98">
      <c r="AZ715"/>
      <c r="BA715"/>
      <c r="BB715"/>
      <c r="BC715"/>
      <c r="BD715"/>
      <c r="BE715"/>
      <c r="BF715"/>
    </row>
    <row r="716" spans="52:98">
      <c r="BI716" s="3"/>
    </row>
    <row r="717" spans="52:98">
      <c r="AZ717"/>
      <c r="BA717"/>
      <c r="BB717"/>
      <c r="BC717"/>
      <c r="BD717"/>
      <c r="BE717"/>
      <c r="BF717"/>
    </row>
    <row r="718" spans="52:98">
      <c r="AZ718"/>
      <c r="BA718"/>
      <c r="BB718"/>
      <c r="BC718"/>
      <c r="BD718"/>
      <c r="BE718"/>
      <c r="BF718"/>
      <c r="BI718" s="3"/>
    </row>
    <row r="719" spans="52:98">
      <c r="AZ719"/>
      <c r="BA719"/>
      <c r="BB719"/>
      <c r="BC719"/>
      <c r="BD719"/>
      <c r="BE719"/>
      <c r="BF719"/>
    </row>
    <row r="720" spans="52:98">
      <c r="AZ720"/>
      <c r="BA720"/>
      <c r="BB720"/>
      <c r="BC720"/>
      <c r="BD720"/>
      <c r="BE720"/>
      <c r="BF720"/>
    </row>
    <row r="721" spans="52:98">
      <c r="AZ721"/>
      <c r="BA721"/>
      <c r="BB721"/>
      <c r="BC721"/>
      <c r="BD721"/>
      <c r="BE721"/>
      <c r="BF721"/>
      <c r="BI721" s="75"/>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row>
    <row r="722" spans="52:98">
      <c r="AZ722"/>
      <c r="BA722"/>
      <c r="BB722"/>
      <c r="BC722"/>
      <c r="BD722"/>
      <c r="BE722"/>
      <c r="BF722"/>
      <c r="BI722" s="75"/>
    </row>
    <row r="723" spans="52:98">
      <c r="AZ723"/>
      <c r="BA723"/>
      <c r="BB723"/>
      <c r="BC723"/>
      <c r="BD723"/>
      <c r="BE723"/>
      <c r="BF723"/>
    </row>
    <row r="724" spans="52:98">
      <c r="AZ724"/>
      <c r="BA724"/>
      <c r="BB724"/>
      <c r="BC724"/>
      <c r="BD724"/>
      <c r="BE724"/>
      <c r="BF724"/>
      <c r="BI724" s="3"/>
    </row>
    <row r="725" spans="52:98">
      <c r="AZ725"/>
      <c r="BA725"/>
      <c r="BB725"/>
      <c r="BC725"/>
      <c r="BD725"/>
      <c r="BE725"/>
      <c r="BF725"/>
    </row>
    <row r="726" spans="52:98">
      <c r="AZ726"/>
      <c r="BA726"/>
      <c r="BB726"/>
      <c r="BC726"/>
      <c r="BD726"/>
      <c r="BE726"/>
      <c r="BF726"/>
      <c r="BI726" s="3"/>
    </row>
    <row r="727" spans="52:98">
      <c r="AZ727"/>
      <c r="BA727"/>
      <c r="BB727"/>
      <c r="BC727"/>
      <c r="BD727"/>
      <c r="BE727"/>
      <c r="BF727"/>
    </row>
    <row r="728" spans="52:98">
      <c r="AZ728"/>
      <c r="BA728"/>
      <c r="BB728"/>
      <c r="BC728"/>
      <c r="BD728"/>
      <c r="BE728"/>
      <c r="BF728"/>
      <c r="BI728" s="3"/>
    </row>
    <row r="729" spans="52:98">
      <c r="AZ729"/>
      <c r="BA729"/>
      <c r="BB729"/>
      <c r="BC729"/>
      <c r="BD729"/>
      <c r="BE729"/>
      <c r="BF729"/>
    </row>
    <row r="730" spans="52:98">
      <c r="AZ730"/>
      <c r="BA730"/>
      <c r="BB730"/>
      <c r="BC730"/>
      <c r="BD730"/>
      <c r="BE730"/>
      <c r="BF730"/>
      <c r="BI730" s="3"/>
    </row>
    <row r="731" spans="52:98">
      <c r="AZ731"/>
      <c r="BA731"/>
      <c r="BB731"/>
      <c r="BC731"/>
      <c r="BD731"/>
      <c r="BE731"/>
      <c r="BF731"/>
    </row>
    <row r="732" spans="52:98">
      <c r="BI732" s="3"/>
    </row>
    <row r="733" spans="52:98">
      <c r="AZ733"/>
      <c r="BA733"/>
      <c r="BB733"/>
      <c r="BC733"/>
      <c r="BD733"/>
      <c r="BE733"/>
      <c r="BF733"/>
    </row>
    <row r="734" spans="52:98">
      <c r="AZ734"/>
      <c r="BA734"/>
      <c r="BB734"/>
      <c r="BC734"/>
      <c r="BD734"/>
      <c r="BE734"/>
      <c r="BF734"/>
      <c r="BI734" s="3"/>
    </row>
    <row r="735" spans="52:98">
      <c r="AZ735"/>
      <c r="BA735"/>
      <c r="BB735"/>
      <c r="BC735"/>
      <c r="BD735"/>
      <c r="BE735"/>
      <c r="BF735"/>
    </row>
    <row r="736" spans="52:98">
      <c r="AZ736"/>
      <c r="BA736"/>
      <c r="BB736"/>
      <c r="BC736"/>
      <c r="BD736"/>
      <c r="BE736"/>
      <c r="BF736"/>
    </row>
    <row r="737" spans="52:98">
      <c r="AZ737"/>
      <c r="BA737"/>
      <c r="BB737"/>
      <c r="BC737"/>
      <c r="BD737"/>
      <c r="BE737"/>
      <c r="BF737"/>
      <c r="BI737" s="75"/>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row>
    <row r="738" spans="52:98">
      <c r="AZ738"/>
      <c r="BA738"/>
      <c r="BB738"/>
      <c r="BC738"/>
      <c r="BD738"/>
      <c r="BE738"/>
      <c r="BF738"/>
      <c r="BI738" s="75"/>
    </row>
    <row r="739" spans="52:98">
      <c r="AZ739"/>
      <c r="BA739"/>
      <c r="BB739"/>
      <c r="BC739"/>
      <c r="BD739"/>
      <c r="BE739"/>
      <c r="BF739"/>
    </row>
    <row r="740" spans="52:98">
      <c r="AZ740"/>
      <c r="BA740"/>
      <c r="BB740"/>
      <c r="BC740"/>
      <c r="BD740"/>
      <c r="BE740"/>
      <c r="BF740"/>
      <c r="BI740" s="3"/>
    </row>
    <row r="741" spans="52:98">
      <c r="AZ741"/>
      <c r="BA741"/>
      <c r="BB741"/>
      <c r="BC741"/>
      <c r="BD741"/>
      <c r="BE741"/>
      <c r="BF741"/>
    </row>
    <row r="742" spans="52:98">
      <c r="AZ742"/>
      <c r="BA742"/>
      <c r="BB742"/>
      <c r="BC742"/>
      <c r="BD742"/>
      <c r="BE742"/>
      <c r="BF742"/>
      <c r="BI742" s="3"/>
    </row>
    <row r="743" spans="52:98">
      <c r="AZ743"/>
      <c r="BA743"/>
      <c r="BB743"/>
      <c r="BC743"/>
      <c r="BD743"/>
      <c r="BE743"/>
      <c r="BF743"/>
    </row>
    <row r="744" spans="52:98">
      <c r="AZ744"/>
      <c r="BA744"/>
      <c r="BB744"/>
      <c r="BC744"/>
      <c r="BD744"/>
      <c r="BE744"/>
      <c r="BF744"/>
      <c r="BI744" s="3"/>
    </row>
    <row r="745" spans="52:98">
      <c r="AZ745"/>
      <c r="BA745"/>
      <c r="BB745"/>
      <c r="BC745"/>
      <c r="BD745"/>
      <c r="BE745"/>
      <c r="BF745"/>
    </row>
    <row r="746" spans="52:98">
      <c r="AZ746"/>
      <c r="BA746"/>
      <c r="BB746"/>
      <c r="BC746"/>
      <c r="BD746"/>
      <c r="BE746"/>
      <c r="BF746"/>
      <c r="BI746" s="3"/>
    </row>
    <row r="747" spans="52:98">
      <c r="AZ747"/>
      <c r="BA747"/>
      <c r="BB747"/>
      <c r="BC747"/>
      <c r="BD747"/>
      <c r="BE747"/>
      <c r="BF747"/>
    </row>
    <row r="748" spans="52:98">
      <c r="BI748" s="3"/>
    </row>
    <row r="749" spans="52:98">
      <c r="AZ749"/>
      <c r="BA749"/>
      <c r="BB749"/>
      <c r="BC749"/>
      <c r="BD749"/>
      <c r="BE749"/>
      <c r="BF749"/>
    </row>
    <row r="750" spans="52:98">
      <c r="AZ750"/>
      <c r="BA750"/>
      <c r="BB750"/>
      <c r="BC750"/>
      <c r="BD750"/>
      <c r="BE750"/>
      <c r="BF750"/>
      <c r="BI750" s="3"/>
    </row>
    <row r="751" spans="52:98">
      <c r="AZ751"/>
      <c r="BA751"/>
      <c r="BB751"/>
      <c r="BC751"/>
      <c r="BD751"/>
      <c r="BE751"/>
      <c r="BF751"/>
    </row>
    <row r="752" spans="52:98">
      <c r="AZ752"/>
      <c r="BA752"/>
      <c r="BB752"/>
      <c r="BC752"/>
      <c r="BD752"/>
      <c r="BE752"/>
      <c r="BF752"/>
    </row>
    <row r="753" spans="52:98">
      <c r="AZ753"/>
      <c r="BA753"/>
      <c r="BB753"/>
      <c r="BC753"/>
      <c r="BD753"/>
      <c r="BE753"/>
      <c r="BF753"/>
      <c r="BI753" s="75"/>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row>
    <row r="754" spans="52:98">
      <c r="AZ754"/>
      <c r="BA754"/>
      <c r="BB754"/>
      <c r="BC754"/>
      <c r="BD754"/>
      <c r="BE754"/>
      <c r="BF754"/>
      <c r="BI754" s="75"/>
    </row>
    <row r="755" spans="52:98">
      <c r="AZ755"/>
      <c r="BA755"/>
      <c r="BB755"/>
      <c r="BC755"/>
      <c r="BD755"/>
      <c r="BE755"/>
      <c r="BF755"/>
    </row>
    <row r="756" spans="52:98">
      <c r="AZ756"/>
      <c r="BA756"/>
      <c r="BB756"/>
      <c r="BC756"/>
      <c r="BD756"/>
      <c r="BE756"/>
      <c r="BF756"/>
      <c r="BI756" s="3"/>
    </row>
    <row r="757" spans="52:98">
      <c r="AZ757"/>
      <c r="BA757"/>
      <c r="BB757"/>
      <c r="BC757"/>
      <c r="BD757"/>
      <c r="BE757"/>
      <c r="BF757"/>
    </row>
    <row r="758" spans="52:98">
      <c r="AZ758"/>
      <c r="BA758"/>
      <c r="BB758"/>
      <c r="BC758"/>
      <c r="BD758"/>
      <c r="BE758"/>
      <c r="BF758"/>
      <c r="BI758" s="3"/>
    </row>
    <row r="759" spans="52:98">
      <c r="AZ759"/>
      <c r="BA759"/>
      <c r="BB759"/>
      <c r="BC759"/>
      <c r="BD759"/>
      <c r="BE759"/>
      <c r="BF759"/>
    </row>
    <row r="760" spans="52:98">
      <c r="AZ760"/>
      <c r="BA760"/>
      <c r="BB760"/>
      <c r="BC760"/>
      <c r="BD760"/>
      <c r="BE760"/>
      <c r="BF760"/>
      <c r="BI760" s="3"/>
    </row>
    <row r="761" spans="52:98">
      <c r="AZ761"/>
      <c r="BA761"/>
      <c r="BB761"/>
      <c r="BC761"/>
      <c r="BD761"/>
      <c r="BE761"/>
      <c r="BF761"/>
    </row>
    <row r="762" spans="52:98">
      <c r="AZ762"/>
      <c r="BA762"/>
      <c r="BB762"/>
      <c r="BC762"/>
      <c r="BD762"/>
      <c r="BE762"/>
      <c r="BF762"/>
      <c r="BI762" s="3"/>
    </row>
    <row r="763" spans="52:98">
      <c r="AZ763"/>
      <c r="BA763"/>
      <c r="BB763"/>
      <c r="BC763"/>
      <c r="BD763"/>
      <c r="BE763"/>
      <c r="BF763"/>
    </row>
    <row r="764" spans="52:98">
      <c r="BI764" s="3"/>
    </row>
    <row r="765" spans="52:98">
      <c r="AZ765"/>
      <c r="BA765"/>
      <c r="BB765"/>
      <c r="BC765"/>
      <c r="BD765"/>
      <c r="BE765"/>
      <c r="BF765"/>
    </row>
    <row r="766" spans="52:98">
      <c r="AZ766"/>
      <c r="BA766"/>
      <c r="BB766"/>
      <c r="BC766"/>
      <c r="BD766"/>
      <c r="BE766"/>
      <c r="BF766"/>
      <c r="BI766" s="3"/>
    </row>
    <row r="767" spans="52:98">
      <c r="AZ767"/>
      <c r="BA767"/>
      <c r="BB767"/>
      <c r="BC767"/>
      <c r="BD767"/>
      <c r="BE767"/>
      <c r="BF767"/>
    </row>
    <row r="768" spans="52:98">
      <c r="AZ768"/>
      <c r="BA768"/>
      <c r="BB768"/>
      <c r="BC768"/>
      <c r="BD768"/>
      <c r="BE768"/>
      <c r="BF768"/>
    </row>
    <row r="769" spans="52:98">
      <c r="AZ769"/>
      <c r="BA769"/>
      <c r="BB769"/>
      <c r="BC769"/>
      <c r="BD769"/>
      <c r="BE769"/>
      <c r="BF769"/>
      <c r="BI769" s="75"/>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row>
    <row r="770" spans="52:98">
      <c r="AZ770"/>
      <c r="BA770"/>
      <c r="BB770"/>
      <c r="BC770"/>
      <c r="BD770"/>
      <c r="BE770"/>
      <c r="BF770"/>
      <c r="BI770" s="75"/>
    </row>
    <row r="771" spans="52:98">
      <c r="AZ771"/>
      <c r="BA771"/>
      <c r="BB771"/>
      <c r="BC771"/>
      <c r="BD771"/>
      <c r="BE771"/>
      <c r="BF771"/>
    </row>
    <row r="772" spans="52:98">
      <c r="AZ772"/>
      <c r="BA772"/>
      <c r="BB772"/>
      <c r="BC772"/>
      <c r="BD772"/>
      <c r="BE772"/>
      <c r="BF772"/>
      <c r="BI772" s="3"/>
    </row>
    <row r="773" spans="52:98">
      <c r="AZ773"/>
      <c r="BA773"/>
      <c r="BB773"/>
      <c r="BC773"/>
      <c r="BD773"/>
      <c r="BE773"/>
      <c r="BF773"/>
    </row>
    <row r="774" spans="52:98">
      <c r="AZ774"/>
      <c r="BA774"/>
      <c r="BB774"/>
      <c r="BC774"/>
      <c r="BD774"/>
      <c r="BE774"/>
      <c r="BF774"/>
      <c r="BI774" s="3"/>
    </row>
    <row r="775" spans="52:98">
      <c r="AZ775"/>
      <c r="BA775"/>
      <c r="BB775"/>
      <c r="BC775"/>
      <c r="BD775"/>
      <c r="BE775"/>
      <c r="BF775"/>
    </row>
    <row r="776" spans="52:98">
      <c r="AZ776"/>
      <c r="BA776"/>
      <c r="BB776"/>
      <c r="BC776"/>
      <c r="BD776"/>
      <c r="BE776"/>
      <c r="BF776"/>
      <c r="BI776" s="3"/>
    </row>
    <row r="777" spans="52:98">
      <c r="AZ777"/>
      <c r="BA777"/>
      <c r="BB777"/>
      <c r="BC777"/>
      <c r="BD777"/>
      <c r="BE777"/>
      <c r="BF777"/>
    </row>
    <row r="778" spans="52:98">
      <c r="AZ778"/>
      <c r="BA778"/>
      <c r="BB778"/>
      <c r="BC778"/>
      <c r="BD778"/>
      <c r="BE778"/>
      <c r="BF778"/>
      <c r="BI778" s="3"/>
    </row>
    <row r="779" spans="52:98">
      <c r="AZ779"/>
      <c r="BA779"/>
      <c r="BB779"/>
      <c r="BC779"/>
      <c r="BD779"/>
      <c r="BE779"/>
      <c r="BF779"/>
    </row>
    <row r="780" spans="52:98">
      <c r="BI780" s="3"/>
    </row>
    <row r="781" spans="52:98">
      <c r="AZ781"/>
      <c r="BA781"/>
      <c r="BB781"/>
      <c r="BC781"/>
      <c r="BD781"/>
      <c r="BE781"/>
      <c r="BF781"/>
    </row>
    <row r="782" spans="52:98">
      <c r="AZ782"/>
      <c r="BA782"/>
      <c r="BB782"/>
      <c r="BC782"/>
      <c r="BD782"/>
      <c r="BE782"/>
      <c r="BF782"/>
      <c r="BI782" s="3"/>
    </row>
    <row r="783" spans="52:98">
      <c r="AZ783"/>
      <c r="BA783"/>
      <c r="BB783"/>
      <c r="BC783"/>
      <c r="BD783"/>
      <c r="BE783"/>
      <c r="BF783"/>
    </row>
    <row r="784" spans="52:98">
      <c r="AZ784"/>
      <c r="BA784"/>
      <c r="BB784"/>
      <c r="BC784"/>
      <c r="BD784"/>
      <c r="BE784"/>
      <c r="BF784"/>
    </row>
    <row r="785" spans="52:98">
      <c r="AZ785"/>
      <c r="BA785"/>
      <c r="BB785"/>
      <c r="BC785"/>
      <c r="BD785"/>
      <c r="BE785"/>
      <c r="BF785"/>
      <c r="BI785" s="75"/>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row>
    <row r="786" spans="52:98">
      <c r="AZ786"/>
      <c r="BA786"/>
      <c r="BB786"/>
      <c r="BC786"/>
      <c r="BD786"/>
      <c r="BE786"/>
      <c r="BF786"/>
      <c r="BI786" s="75"/>
    </row>
    <row r="787" spans="52:98">
      <c r="AZ787"/>
      <c r="BA787"/>
      <c r="BB787"/>
      <c r="BC787"/>
      <c r="BD787"/>
      <c r="BE787"/>
      <c r="BF787"/>
    </row>
    <row r="788" spans="52:98">
      <c r="AZ788"/>
      <c r="BA788"/>
      <c r="BB788"/>
      <c r="BC788"/>
      <c r="BD788"/>
      <c r="BE788"/>
      <c r="BF788"/>
      <c r="BI788" s="3"/>
    </row>
    <row r="789" spans="52:98">
      <c r="AZ789"/>
      <c r="BA789"/>
      <c r="BB789"/>
      <c r="BC789"/>
      <c r="BD789"/>
      <c r="BE789"/>
      <c r="BF789"/>
    </row>
    <row r="790" spans="52:98">
      <c r="AZ790"/>
      <c r="BA790"/>
      <c r="BB790"/>
      <c r="BC790"/>
      <c r="BD790"/>
      <c r="BE790"/>
      <c r="BF790"/>
      <c r="BI790" s="3"/>
    </row>
    <row r="791" spans="52:98">
      <c r="AZ791"/>
      <c r="BA791"/>
      <c r="BB791"/>
      <c r="BC791"/>
      <c r="BD791"/>
      <c r="BE791"/>
      <c r="BF791"/>
    </row>
    <row r="792" spans="52:98">
      <c r="AZ792"/>
      <c r="BA792"/>
      <c r="BB792"/>
      <c r="BC792"/>
      <c r="BD792"/>
      <c r="BE792"/>
      <c r="BF792"/>
      <c r="BI792" s="3"/>
    </row>
    <row r="793" spans="52:98">
      <c r="AZ793"/>
      <c r="BA793"/>
      <c r="BB793"/>
      <c r="BC793"/>
      <c r="BD793"/>
      <c r="BE793"/>
      <c r="BF793"/>
    </row>
    <row r="794" spans="52:98">
      <c r="AZ794"/>
      <c r="BA794"/>
      <c r="BB794"/>
      <c r="BC794"/>
      <c r="BD794"/>
      <c r="BE794"/>
      <c r="BF794"/>
      <c r="BI794" s="3"/>
    </row>
    <row r="795" spans="52:98">
      <c r="AZ795"/>
      <c r="BA795"/>
      <c r="BB795"/>
      <c r="BC795"/>
      <c r="BD795"/>
      <c r="BE795"/>
      <c r="BF795"/>
    </row>
    <row r="796" spans="52:98">
      <c r="BI796" s="3"/>
    </row>
    <row r="797" spans="52:98">
      <c r="AZ797"/>
      <c r="BA797"/>
      <c r="BB797"/>
      <c r="BC797"/>
      <c r="BD797"/>
      <c r="BE797"/>
      <c r="BF797"/>
    </row>
    <row r="798" spans="52:98">
      <c r="AZ798"/>
      <c r="BA798"/>
      <c r="BB798"/>
      <c r="BC798"/>
      <c r="BD798"/>
      <c r="BE798"/>
      <c r="BF798"/>
      <c r="BI798" s="3"/>
    </row>
    <row r="799" spans="52:98">
      <c r="AZ799"/>
      <c r="BA799"/>
      <c r="BB799"/>
      <c r="BC799"/>
      <c r="BD799"/>
      <c r="BE799"/>
      <c r="BF799"/>
      <c r="BI799" s="53"/>
    </row>
    <row r="800" spans="52:98">
      <c r="AZ800"/>
      <c r="BA800"/>
      <c r="BB800"/>
      <c r="BC800"/>
      <c r="BD800"/>
      <c r="BE800"/>
      <c r="BF800"/>
      <c r="BI800" s="3"/>
    </row>
    <row r="801" spans="52:98">
      <c r="AZ801"/>
      <c r="BA801"/>
      <c r="BB801"/>
      <c r="BC801"/>
      <c r="BD801"/>
      <c r="BE801"/>
      <c r="BF801"/>
      <c r="BI801" s="75"/>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row>
    <row r="802" spans="52:98">
      <c r="AZ802"/>
      <c r="BA802"/>
      <c r="BB802"/>
      <c r="BC802"/>
      <c r="BD802"/>
      <c r="BE802"/>
      <c r="BF802"/>
      <c r="BI802" s="75"/>
    </row>
    <row r="803" spans="52:98">
      <c r="AZ803"/>
      <c r="BA803"/>
      <c r="BB803"/>
      <c r="BC803"/>
      <c r="BD803"/>
      <c r="BE803"/>
      <c r="BF803"/>
    </row>
    <row r="804" spans="52:98">
      <c r="AZ804"/>
      <c r="BA804"/>
      <c r="BB804"/>
      <c r="BC804"/>
      <c r="BD804"/>
      <c r="BE804"/>
      <c r="BF804"/>
      <c r="BI804" s="3"/>
    </row>
    <row r="805" spans="52:98">
      <c r="AZ805"/>
      <c r="BA805"/>
      <c r="BB805"/>
      <c r="BC805"/>
      <c r="BD805"/>
      <c r="BE805"/>
      <c r="BF805"/>
    </row>
    <row r="806" spans="52:98">
      <c r="AZ806"/>
      <c r="BA806"/>
      <c r="BB806"/>
      <c r="BC806"/>
      <c r="BD806"/>
      <c r="BE806"/>
      <c r="BF806"/>
      <c r="BI806" s="3"/>
    </row>
    <row r="807" spans="52:98">
      <c r="AZ807"/>
      <c r="BA807"/>
      <c r="BB807"/>
      <c r="BC807"/>
      <c r="BD807"/>
      <c r="BE807"/>
      <c r="BF807"/>
    </row>
    <row r="808" spans="52:98">
      <c r="AZ808"/>
      <c r="BA808"/>
      <c r="BB808"/>
      <c r="BC808"/>
      <c r="BD808"/>
      <c r="BE808"/>
      <c r="BF808"/>
      <c r="BI808" s="3"/>
    </row>
    <row r="809" spans="52:98">
      <c r="AZ809"/>
      <c r="BA809"/>
      <c r="BB809"/>
      <c r="BC809"/>
      <c r="BD809"/>
      <c r="BE809"/>
      <c r="BF809"/>
    </row>
    <row r="810" spans="52:98">
      <c r="AZ810"/>
      <c r="BA810"/>
      <c r="BB810"/>
      <c r="BC810"/>
      <c r="BD810"/>
      <c r="BE810"/>
      <c r="BF810"/>
      <c r="BI810" s="3"/>
    </row>
    <row r="811" spans="52:98">
      <c r="AZ811"/>
      <c r="BA811"/>
      <c r="BB811"/>
      <c r="BC811"/>
      <c r="BD811"/>
      <c r="BE811"/>
      <c r="BF811"/>
    </row>
    <row r="812" spans="52:98">
      <c r="AZ812"/>
      <c r="BA812"/>
      <c r="BB812"/>
      <c r="BC812"/>
      <c r="BD812"/>
      <c r="BE812"/>
      <c r="BF812"/>
      <c r="BI812" s="3"/>
    </row>
    <row r="813" spans="52:98">
      <c r="AZ813"/>
      <c r="BA813"/>
      <c r="BB813"/>
      <c r="BC813"/>
      <c r="BD813"/>
      <c r="BE813"/>
      <c r="BF813"/>
    </row>
    <row r="814" spans="52:98">
      <c r="AZ814"/>
      <c r="BA814"/>
      <c r="BB814"/>
      <c r="BC814"/>
      <c r="BD814"/>
      <c r="BE814"/>
      <c r="BF814"/>
      <c r="BI814" s="3"/>
    </row>
    <row r="815" spans="52:98">
      <c r="AZ815"/>
      <c r="BA815"/>
      <c r="BB815"/>
      <c r="BC815"/>
      <c r="BD815"/>
      <c r="BE815"/>
      <c r="BF815"/>
      <c r="BI815" s="53"/>
    </row>
    <row r="816" spans="52:98">
      <c r="AZ816"/>
      <c r="BA816"/>
      <c r="BB816"/>
      <c r="BC816"/>
      <c r="BD816"/>
      <c r="BE816"/>
      <c r="BF816"/>
    </row>
    <row r="817" spans="52:98">
      <c r="AZ817"/>
      <c r="BA817"/>
      <c r="BB817"/>
      <c r="BC817"/>
      <c r="BD817"/>
      <c r="BE817"/>
      <c r="BF817"/>
      <c r="BI817" s="75"/>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row>
    <row r="818" spans="52:98">
      <c r="AZ818"/>
      <c r="BA818"/>
      <c r="BB818"/>
      <c r="BC818"/>
      <c r="BD818"/>
      <c r="BE818"/>
      <c r="BF818"/>
      <c r="BI818" s="75"/>
    </row>
    <row r="819" spans="52:98">
      <c r="AZ819"/>
      <c r="BA819"/>
      <c r="BB819"/>
      <c r="BC819"/>
      <c r="BD819"/>
      <c r="BE819"/>
      <c r="BF819"/>
    </row>
    <row r="820" spans="52:98">
      <c r="AZ820"/>
      <c r="BA820"/>
      <c r="BB820"/>
      <c r="BC820"/>
      <c r="BD820"/>
      <c r="BE820"/>
      <c r="BF820"/>
      <c r="BI820" s="3"/>
    </row>
    <row r="821" spans="52:98">
      <c r="AZ821"/>
      <c r="BA821"/>
      <c r="BB821"/>
      <c r="BC821"/>
      <c r="BD821"/>
      <c r="BE821"/>
      <c r="BF821"/>
    </row>
    <row r="822" spans="52:98">
      <c r="AZ822"/>
      <c r="BA822"/>
      <c r="BB822"/>
      <c r="BC822"/>
      <c r="BD822"/>
      <c r="BE822"/>
      <c r="BF822"/>
      <c r="BI822" s="3"/>
    </row>
    <row r="823" spans="52:98">
      <c r="AZ823"/>
      <c r="BA823"/>
      <c r="BB823"/>
      <c r="BC823"/>
      <c r="BD823"/>
      <c r="BE823"/>
      <c r="BF823"/>
    </row>
    <row r="824" spans="52:98">
      <c r="AZ824"/>
      <c r="BA824"/>
      <c r="BB824"/>
      <c r="BC824"/>
      <c r="BD824"/>
      <c r="BE824"/>
      <c r="BF824"/>
      <c r="BI824" s="3"/>
    </row>
    <row r="825" spans="52:98">
      <c r="AZ825"/>
      <c r="BA825"/>
      <c r="BB825"/>
      <c r="BC825"/>
      <c r="BD825"/>
      <c r="BE825"/>
      <c r="BF825"/>
    </row>
    <row r="826" spans="52:98">
      <c r="AZ826"/>
      <c r="BA826"/>
      <c r="BB826"/>
      <c r="BC826"/>
      <c r="BD826"/>
      <c r="BE826"/>
      <c r="BF826"/>
      <c r="BI826" s="3"/>
    </row>
    <row r="827" spans="52:98">
      <c r="AZ827"/>
      <c r="BA827"/>
      <c r="BB827"/>
      <c r="BC827"/>
      <c r="BD827"/>
      <c r="BE827"/>
      <c r="BF827"/>
    </row>
    <row r="828" spans="52:98">
      <c r="BI828" s="3"/>
    </row>
    <row r="829" spans="52:98">
      <c r="AZ829"/>
      <c r="BA829"/>
      <c r="BB829"/>
      <c r="BC829"/>
      <c r="BD829"/>
      <c r="BE829"/>
      <c r="BF829"/>
    </row>
    <row r="830" spans="52:98">
      <c r="AZ830"/>
      <c r="BA830"/>
      <c r="BB830"/>
      <c r="BC830"/>
      <c r="BD830"/>
      <c r="BE830"/>
      <c r="BF830"/>
      <c r="BI830" s="3"/>
    </row>
    <row r="831" spans="52:98">
      <c r="AZ831"/>
      <c r="BA831"/>
      <c r="BB831"/>
      <c r="BC831"/>
      <c r="BD831"/>
      <c r="BE831"/>
      <c r="BF831"/>
    </row>
    <row r="832" spans="52:98">
      <c r="AZ832"/>
      <c r="BA832"/>
      <c r="BB832"/>
      <c r="BC832"/>
      <c r="BD832"/>
      <c r="BE832"/>
      <c r="BF832"/>
    </row>
    <row r="833" spans="52:98">
      <c r="AZ833"/>
      <c r="BA833"/>
      <c r="BB833"/>
      <c r="BC833"/>
      <c r="BD833"/>
      <c r="BE833"/>
      <c r="BF833"/>
      <c r="BI833" s="75"/>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row>
    <row r="834" spans="52:98">
      <c r="AZ834"/>
      <c r="BA834"/>
      <c r="BB834"/>
      <c r="BC834"/>
      <c r="BD834"/>
      <c r="BE834"/>
      <c r="BF834"/>
      <c r="BI834" s="75"/>
    </row>
    <row r="835" spans="52:98">
      <c r="AZ835"/>
      <c r="BA835"/>
      <c r="BB835"/>
      <c r="BC835"/>
      <c r="BD835"/>
      <c r="BE835"/>
      <c r="BF835"/>
    </row>
    <row r="836" spans="52:98">
      <c r="AZ836"/>
      <c r="BA836"/>
      <c r="BB836"/>
      <c r="BC836"/>
      <c r="BD836"/>
      <c r="BE836"/>
      <c r="BF836"/>
      <c r="BI836" s="3"/>
    </row>
    <row r="837" spans="52:98">
      <c r="AZ837"/>
      <c r="BA837"/>
      <c r="BB837"/>
      <c r="BC837"/>
      <c r="BD837"/>
      <c r="BE837"/>
      <c r="BF837"/>
    </row>
    <row r="838" spans="52:98">
      <c r="AZ838"/>
      <c r="BA838"/>
      <c r="BB838"/>
      <c r="BC838"/>
      <c r="BD838"/>
      <c r="BE838"/>
      <c r="BF838"/>
      <c r="BI838" s="3"/>
    </row>
    <row r="839" spans="52:98">
      <c r="AZ839"/>
      <c r="BA839"/>
      <c r="BB839"/>
      <c r="BC839"/>
      <c r="BD839"/>
      <c r="BE839"/>
      <c r="BF839"/>
    </row>
    <row r="840" spans="52:98">
      <c r="AZ840"/>
      <c r="BA840"/>
      <c r="BB840"/>
      <c r="BC840"/>
      <c r="BD840"/>
      <c r="BE840"/>
      <c r="BF840"/>
      <c r="BI840" s="3"/>
    </row>
    <row r="841" spans="52:98">
      <c r="AZ841"/>
      <c r="BA841"/>
      <c r="BB841"/>
      <c r="BC841"/>
      <c r="BD841"/>
      <c r="BE841"/>
      <c r="BF841"/>
    </row>
    <row r="842" spans="52:98">
      <c r="AZ842"/>
      <c r="BA842"/>
      <c r="BB842"/>
      <c r="BC842"/>
      <c r="BD842"/>
      <c r="BE842"/>
      <c r="BF842"/>
      <c r="BI842" s="3"/>
    </row>
    <row r="843" spans="52:98">
      <c r="AZ843"/>
      <c r="BA843"/>
      <c r="BB843"/>
      <c r="BC843"/>
      <c r="BD843"/>
      <c r="BE843"/>
      <c r="BF843"/>
    </row>
    <row r="844" spans="52:98">
      <c r="BI844" s="3"/>
    </row>
    <row r="845" spans="52:98">
      <c r="AZ845"/>
      <c r="BA845"/>
      <c r="BB845"/>
      <c r="BC845"/>
      <c r="BD845"/>
      <c r="BE845"/>
      <c r="BF845"/>
    </row>
    <row r="846" spans="52:98">
      <c r="AZ846"/>
      <c r="BA846"/>
      <c r="BB846"/>
      <c r="BC846"/>
      <c r="BD846"/>
      <c r="BE846"/>
      <c r="BF846"/>
      <c r="BI846" s="3"/>
    </row>
    <row r="847" spans="52:98">
      <c r="AZ847"/>
      <c r="BA847"/>
      <c r="BB847"/>
      <c r="BC847"/>
      <c r="BD847"/>
      <c r="BE847"/>
      <c r="BF847"/>
    </row>
    <row r="848" spans="52:98">
      <c r="AZ848"/>
      <c r="BA848"/>
      <c r="BB848"/>
      <c r="BC848"/>
      <c r="BD848"/>
      <c r="BE848"/>
      <c r="BF848"/>
    </row>
    <row r="849" spans="52:98">
      <c r="AZ849"/>
      <c r="BA849"/>
      <c r="BB849"/>
      <c r="BC849"/>
      <c r="BD849"/>
      <c r="BE849"/>
      <c r="BF849"/>
      <c r="BI849" s="75"/>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row>
    <row r="850" spans="52:98">
      <c r="AZ850"/>
      <c r="BA850"/>
      <c r="BB850"/>
      <c r="BC850"/>
      <c r="BD850"/>
      <c r="BE850"/>
      <c r="BF850"/>
      <c r="BI850" s="75"/>
    </row>
    <row r="851" spans="52:98">
      <c r="AZ851"/>
      <c r="BA851"/>
      <c r="BB851"/>
      <c r="BC851"/>
      <c r="BD851"/>
      <c r="BE851"/>
      <c r="BF851"/>
    </row>
    <row r="852" spans="52:98">
      <c r="AZ852"/>
      <c r="BA852"/>
      <c r="BB852"/>
      <c r="BC852"/>
      <c r="BD852"/>
      <c r="BE852"/>
      <c r="BF852"/>
      <c r="BI852" s="3"/>
    </row>
    <row r="853" spans="52:98">
      <c r="AZ853"/>
      <c r="BA853"/>
      <c r="BB853"/>
      <c r="BC853"/>
      <c r="BD853"/>
      <c r="BE853"/>
      <c r="BF853"/>
    </row>
    <row r="854" spans="52:98">
      <c r="AZ854"/>
      <c r="BA854"/>
      <c r="BB854"/>
      <c r="BC854"/>
      <c r="BD854"/>
      <c r="BE854"/>
      <c r="BF854"/>
      <c r="BI854" s="3"/>
    </row>
    <row r="855" spans="52:98">
      <c r="AZ855"/>
      <c r="BA855"/>
      <c r="BB855"/>
      <c r="BC855"/>
      <c r="BD855"/>
      <c r="BE855"/>
      <c r="BF855"/>
    </row>
    <row r="856" spans="52:98">
      <c r="AZ856"/>
      <c r="BA856"/>
      <c r="BB856"/>
      <c r="BC856"/>
      <c r="BD856"/>
      <c r="BE856"/>
      <c r="BF856"/>
      <c r="BI856" s="3"/>
    </row>
    <row r="857" spans="52:98">
      <c r="AZ857"/>
      <c r="BA857"/>
      <c r="BB857"/>
      <c r="BC857"/>
      <c r="BD857"/>
      <c r="BE857"/>
      <c r="BF857"/>
    </row>
    <row r="858" spans="52:98">
      <c r="AZ858"/>
      <c r="BA858"/>
      <c r="BB858"/>
      <c r="BC858"/>
      <c r="BD858"/>
      <c r="BE858"/>
      <c r="BF858"/>
      <c r="BI858" s="3"/>
    </row>
    <row r="859" spans="52:98">
      <c r="AZ859"/>
      <c r="BA859"/>
      <c r="BB859"/>
      <c r="BC859"/>
      <c r="BD859"/>
      <c r="BE859"/>
      <c r="BF859"/>
    </row>
    <row r="860" spans="52:98">
      <c r="BI860" s="3"/>
    </row>
    <row r="861" spans="52:98">
      <c r="AZ861"/>
      <c r="BA861"/>
      <c r="BB861"/>
      <c r="BC861"/>
      <c r="BD861"/>
      <c r="BE861"/>
      <c r="BF861"/>
    </row>
    <row r="862" spans="52:98">
      <c r="AZ862"/>
      <c r="BA862"/>
      <c r="BB862"/>
      <c r="BC862"/>
      <c r="BD862"/>
      <c r="BE862"/>
      <c r="BF862"/>
      <c r="BI862" s="3"/>
    </row>
    <row r="863" spans="52:98">
      <c r="AZ863"/>
      <c r="BA863"/>
      <c r="BB863"/>
      <c r="BC863"/>
      <c r="BD863"/>
      <c r="BE863"/>
      <c r="BF863"/>
    </row>
    <row r="864" spans="52:98">
      <c r="AZ864"/>
      <c r="BA864"/>
      <c r="BB864"/>
      <c r="BC864"/>
      <c r="BD864"/>
      <c r="BE864"/>
      <c r="BF864"/>
    </row>
    <row r="865" spans="52:98">
      <c r="AZ865"/>
      <c r="BA865"/>
      <c r="BB865"/>
      <c r="BC865"/>
      <c r="BD865"/>
      <c r="BE865"/>
      <c r="BF865"/>
      <c r="BI865" s="75"/>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row>
    <row r="866" spans="52:98">
      <c r="AZ866"/>
      <c r="BA866"/>
      <c r="BB866"/>
      <c r="BC866"/>
      <c r="BD866"/>
      <c r="BE866"/>
      <c r="BF866"/>
      <c r="BI866" s="75"/>
    </row>
    <row r="867" spans="52:98">
      <c r="AZ867"/>
      <c r="BA867"/>
      <c r="BB867"/>
      <c r="BC867"/>
      <c r="BD867"/>
      <c r="BE867"/>
      <c r="BF867"/>
    </row>
    <row r="868" spans="52:98">
      <c r="AZ868"/>
      <c r="BA868"/>
      <c r="BB868"/>
      <c r="BC868"/>
      <c r="BD868"/>
      <c r="BE868"/>
      <c r="BF868"/>
      <c r="BI868" s="3"/>
    </row>
    <row r="869" spans="52:98">
      <c r="AZ869"/>
      <c r="BA869"/>
      <c r="BB869"/>
      <c r="BC869"/>
      <c r="BD869"/>
      <c r="BE869"/>
      <c r="BF869"/>
    </row>
    <row r="870" spans="52:98">
      <c r="AZ870"/>
      <c r="BA870"/>
      <c r="BB870"/>
      <c r="BC870"/>
      <c r="BD870"/>
      <c r="BE870"/>
      <c r="BF870"/>
      <c r="BI870" s="3"/>
    </row>
    <row r="871" spans="52:98">
      <c r="AZ871"/>
      <c r="BA871"/>
      <c r="BB871"/>
      <c r="BC871"/>
      <c r="BD871"/>
      <c r="BE871"/>
      <c r="BF871"/>
    </row>
    <row r="872" spans="52:98">
      <c r="AZ872"/>
      <c r="BA872"/>
      <c r="BB872"/>
      <c r="BC872"/>
      <c r="BD872"/>
      <c r="BE872"/>
      <c r="BF872"/>
      <c r="BI872" s="3"/>
    </row>
    <row r="873" spans="52:98">
      <c r="AZ873"/>
      <c r="BA873"/>
      <c r="BB873"/>
      <c r="BC873"/>
      <c r="BD873"/>
      <c r="BE873"/>
      <c r="BF873"/>
    </row>
    <row r="874" spans="52:98">
      <c r="AZ874"/>
      <c r="BA874"/>
      <c r="BB874"/>
      <c r="BC874"/>
      <c r="BD874"/>
      <c r="BE874"/>
      <c r="BF874"/>
      <c r="BI874" s="3"/>
    </row>
    <row r="875" spans="52:98">
      <c r="AZ875"/>
      <c r="BA875"/>
      <c r="BB875"/>
      <c r="BC875"/>
      <c r="BD875"/>
      <c r="BE875"/>
      <c r="BF875"/>
    </row>
    <row r="876" spans="52:98">
      <c r="BI876" s="3"/>
    </row>
    <row r="877" spans="52:98">
      <c r="AZ877"/>
      <c r="BA877"/>
      <c r="BB877"/>
      <c r="BC877"/>
      <c r="BD877"/>
      <c r="BE877"/>
      <c r="BF877"/>
    </row>
    <row r="878" spans="52:98">
      <c r="AZ878"/>
      <c r="BA878"/>
      <c r="BB878"/>
      <c r="BC878"/>
      <c r="BD878"/>
      <c r="BE878"/>
      <c r="BF878"/>
      <c r="BI878" s="3"/>
    </row>
    <row r="879" spans="52:98">
      <c r="AZ879"/>
      <c r="BA879"/>
      <c r="BB879"/>
      <c r="BC879"/>
      <c r="BD879"/>
      <c r="BE879"/>
      <c r="BF879"/>
    </row>
    <row r="880" spans="52:98">
      <c r="AZ880"/>
      <c r="BA880"/>
      <c r="BB880"/>
      <c r="BC880"/>
      <c r="BD880"/>
      <c r="BE880"/>
      <c r="BF880"/>
    </row>
    <row r="881" spans="52:98">
      <c r="AZ881"/>
      <c r="BA881"/>
      <c r="BB881"/>
      <c r="BC881"/>
      <c r="BD881"/>
      <c r="BE881"/>
      <c r="BF881"/>
      <c r="BI881" s="75"/>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row>
    <row r="882" spans="52:98">
      <c r="AZ882"/>
      <c r="BA882"/>
      <c r="BB882"/>
      <c r="BC882"/>
      <c r="BD882"/>
      <c r="BE882"/>
      <c r="BF882"/>
      <c r="BI882" s="75"/>
    </row>
    <row r="883" spans="52:98">
      <c r="AZ883"/>
      <c r="BA883"/>
      <c r="BB883"/>
      <c r="BC883"/>
      <c r="BD883"/>
      <c r="BE883"/>
      <c r="BF883"/>
    </row>
    <row r="884" spans="52:98">
      <c r="AZ884"/>
      <c r="BA884"/>
      <c r="BB884"/>
      <c r="BC884"/>
      <c r="BD884"/>
      <c r="BE884"/>
      <c r="BF884"/>
      <c r="BI884" s="3"/>
    </row>
    <row r="885" spans="52:98">
      <c r="AZ885"/>
      <c r="BA885"/>
      <c r="BB885"/>
      <c r="BC885"/>
      <c r="BD885"/>
      <c r="BE885"/>
      <c r="BF885"/>
    </row>
    <row r="886" spans="52:98">
      <c r="AZ886"/>
      <c r="BA886"/>
      <c r="BB886"/>
      <c r="BC886"/>
      <c r="BD886"/>
      <c r="BE886"/>
      <c r="BF886"/>
      <c r="BI886" s="3"/>
    </row>
    <row r="887" spans="52:98">
      <c r="AZ887"/>
      <c r="BA887"/>
      <c r="BB887"/>
      <c r="BC887"/>
      <c r="BD887"/>
      <c r="BE887"/>
      <c r="BF887"/>
    </row>
    <row r="888" spans="52:98">
      <c r="AZ888"/>
      <c r="BA888"/>
      <c r="BB888"/>
      <c r="BC888"/>
      <c r="BD888"/>
      <c r="BE888"/>
      <c r="BF888"/>
      <c r="BI888" s="3"/>
    </row>
    <row r="889" spans="52:98">
      <c r="AZ889"/>
      <c r="BA889"/>
      <c r="BB889"/>
      <c r="BC889"/>
      <c r="BD889"/>
      <c r="BE889"/>
      <c r="BF889"/>
    </row>
    <row r="890" spans="52:98">
      <c r="AZ890"/>
      <c r="BA890"/>
      <c r="BB890"/>
      <c r="BC890"/>
      <c r="BD890"/>
      <c r="BE890"/>
      <c r="BF890"/>
      <c r="BI890" s="3"/>
    </row>
    <row r="891" spans="52:98">
      <c r="AZ891"/>
      <c r="BA891"/>
      <c r="BB891"/>
      <c r="BC891"/>
      <c r="BD891"/>
      <c r="BE891"/>
      <c r="BF891"/>
    </row>
    <row r="892" spans="52:98">
      <c r="BI892" s="3"/>
    </row>
    <row r="893" spans="52:98">
      <c r="AZ893"/>
      <c r="BA893"/>
      <c r="BB893"/>
      <c r="BC893"/>
      <c r="BD893"/>
      <c r="BE893"/>
      <c r="BF893"/>
    </row>
    <row r="894" spans="52:98">
      <c r="AZ894"/>
      <c r="BA894"/>
      <c r="BB894"/>
      <c r="BC894"/>
      <c r="BD894"/>
      <c r="BE894"/>
      <c r="BF894"/>
      <c r="BI894" s="3"/>
    </row>
    <row r="895" spans="52:98">
      <c r="AZ895"/>
      <c r="BA895"/>
      <c r="BB895"/>
      <c r="BC895"/>
      <c r="BD895"/>
      <c r="BE895"/>
      <c r="BF895"/>
    </row>
    <row r="896" spans="52:98">
      <c r="AZ896"/>
      <c r="BA896"/>
      <c r="BB896"/>
      <c r="BC896"/>
      <c r="BD896"/>
      <c r="BE896"/>
      <c r="BF896"/>
    </row>
    <row r="897" spans="52:98">
      <c r="AZ897"/>
      <c r="BA897"/>
      <c r="BB897"/>
      <c r="BC897"/>
      <c r="BD897"/>
      <c r="BE897"/>
      <c r="BF897"/>
      <c r="BI897" s="75"/>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row>
    <row r="898" spans="52:98">
      <c r="AZ898"/>
      <c r="BA898"/>
      <c r="BB898"/>
      <c r="BC898"/>
      <c r="BD898"/>
      <c r="BE898"/>
      <c r="BF898"/>
      <c r="BI898" s="75"/>
    </row>
    <row r="899" spans="52:98">
      <c r="AZ899"/>
      <c r="BA899"/>
      <c r="BB899"/>
      <c r="BC899"/>
      <c r="BD899"/>
      <c r="BE899"/>
      <c r="BF899"/>
    </row>
    <row r="900" spans="52:98">
      <c r="AZ900"/>
      <c r="BA900"/>
      <c r="BB900"/>
      <c r="BC900"/>
      <c r="BD900"/>
      <c r="BE900"/>
      <c r="BF900"/>
      <c r="BI900" s="3"/>
    </row>
    <row r="901" spans="52:98">
      <c r="AZ901"/>
      <c r="BA901"/>
      <c r="BB901"/>
      <c r="BC901"/>
      <c r="BD901"/>
      <c r="BE901"/>
      <c r="BF901"/>
    </row>
    <row r="902" spans="52:98">
      <c r="AZ902"/>
      <c r="BA902"/>
      <c r="BB902"/>
      <c r="BC902"/>
      <c r="BD902"/>
      <c r="BE902"/>
      <c r="BF902"/>
      <c r="BI902" s="3"/>
    </row>
    <row r="903" spans="52:98">
      <c r="AZ903"/>
      <c r="BA903"/>
      <c r="BB903"/>
      <c r="BC903"/>
      <c r="BD903"/>
      <c r="BE903"/>
      <c r="BF903"/>
    </row>
    <row r="904" spans="52:98">
      <c r="AZ904"/>
      <c r="BA904"/>
      <c r="BB904"/>
      <c r="BC904"/>
      <c r="BD904"/>
      <c r="BE904"/>
      <c r="BF904"/>
      <c r="BI904" s="3"/>
    </row>
    <row r="905" spans="52:98">
      <c r="AZ905"/>
      <c r="BA905"/>
      <c r="BB905"/>
      <c r="BC905"/>
      <c r="BD905"/>
      <c r="BE905"/>
      <c r="BF905"/>
    </row>
    <row r="906" spans="52:98">
      <c r="AZ906"/>
      <c r="BA906"/>
      <c r="BB906"/>
      <c r="BC906"/>
      <c r="BD906"/>
      <c r="BE906"/>
      <c r="BF906"/>
      <c r="BI906" s="3"/>
    </row>
    <row r="907" spans="52:98">
      <c r="AZ907"/>
      <c r="BA907"/>
      <c r="BB907"/>
      <c r="BC907"/>
      <c r="BD907"/>
      <c r="BE907"/>
      <c r="BF907"/>
    </row>
    <row r="908" spans="52:98">
      <c r="BI908" s="3"/>
    </row>
    <row r="909" spans="52:98">
      <c r="AZ909"/>
      <c r="BA909"/>
      <c r="BB909"/>
      <c r="BC909"/>
      <c r="BD909"/>
      <c r="BE909"/>
      <c r="BF909"/>
    </row>
    <row r="910" spans="52:98">
      <c r="AZ910"/>
      <c r="BA910"/>
      <c r="BB910"/>
      <c r="BC910"/>
      <c r="BD910"/>
      <c r="BE910"/>
      <c r="BF910"/>
      <c r="BI910" s="3"/>
    </row>
    <row r="911" spans="52:98">
      <c r="AZ911"/>
      <c r="BA911"/>
      <c r="BB911"/>
      <c r="BC911"/>
      <c r="BD911"/>
      <c r="BE911"/>
      <c r="BF911"/>
    </row>
    <row r="912" spans="52:98">
      <c r="AZ912"/>
      <c r="BA912"/>
      <c r="BB912"/>
      <c r="BC912"/>
      <c r="BD912"/>
      <c r="BE912"/>
      <c r="BF912"/>
      <c r="BI912" s="3"/>
    </row>
    <row r="913" spans="52:98">
      <c r="AZ913"/>
      <c r="BA913"/>
      <c r="BB913"/>
      <c r="BC913"/>
      <c r="BD913"/>
      <c r="BE913"/>
      <c r="BF913"/>
      <c r="BI913" s="75"/>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row>
    <row r="914" spans="52:98">
      <c r="AZ914"/>
      <c r="BA914"/>
      <c r="BB914"/>
      <c r="BC914"/>
      <c r="BD914"/>
      <c r="BE914"/>
      <c r="BF914"/>
      <c r="BI914" s="75"/>
    </row>
    <row r="915" spans="52:98">
      <c r="AZ915"/>
      <c r="BA915"/>
      <c r="BB915"/>
      <c r="BC915"/>
      <c r="BD915"/>
      <c r="BE915"/>
      <c r="BF915"/>
    </row>
    <row r="916" spans="52:98">
      <c r="AZ916"/>
      <c r="BA916"/>
      <c r="BB916"/>
      <c r="BC916"/>
      <c r="BD916"/>
      <c r="BE916"/>
      <c r="BF916"/>
      <c r="BI916" s="3"/>
    </row>
    <row r="917" spans="52:98">
      <c r="AZ917"/>
      <c r="BA917"/>
      <c r="BB917"/>
      <c r="BC917"/>
      <c r="BD917"/>
      <c r="BE917"/>
      <c r="BF917"/>
    </row>
    <row r="918" spans="52:98">
      <c r="AZ918"/>
      <c r="BA918"/>
      <c r="BB918"/>
      <c r="BC918"/>
      <c r="BD918"/>
      <c r="BE918"/>
      <c r="BF918"/>
      <c r="BI918" s="3"/>
    </row>
    <row r="919" spans="52:98">
      <c r="AZ919"/>
      <c r="BA919"/>
      <c r="BB919"/>
      <c r="BC919"/>
      <c r="BD919"/>
      <c r="BE919"/>
      <c r="BF919"/>
    </row>
    <row r="920" spans="52:98">
      <c r="AZ920"/>
      <c r="BA920"/>
      <c r="BB920"/>
      <c r="BC920"/>
      <c r="BD920"/>
      <c r="BE920"/>
      <c r="BF920"/>
      <c r="BI920" s="3"/>
    </row>
    <row r="921" spans="52:98">
      <c r="AZ921"/>
      <c r="BA921"/>
      <c r="BB921"/>
      <c r="BC921"/>
      <c r="BD921"/>
      <c r="BE921"/>
      <c r="BF921"/>
    </row>
    <row r="922" spans="52:98">
      <c r="AZ922"/>
      <c r="BA922"/>
      <c r="BB922"/>
      <c r="BC922"/>
      <c r="BD922"/>
      <c r="BE922"/>
      <c r="BF922"/>
      <c r="BI922" s="3"/>
    </row>
    <row r="923" spans="52:98">
      <c r="AZ923"/>
      <c r="BA923"/>
      <c r="BB923"/>
      <c r="BC923"/>
      <c r="BD923"/>
      <c r="BE923"/>
      <c r="BF923"/>
    </row>
    <row r="924" spans="52:98">
      <c r="AZ924"/>
      <c r="BA924"/>
      <c r="BB924"/>
      <c r="BC924"/>
      <c r="BD924"/>
      <c r="BE924"/>
      <c r="BF924"/>
      <c r="BI924" s="3"/>
    </row>
    <row r="925" spans="52:98">
      <c r="AZ925"/>
      <c r="BA925"/>
      <c r="BB925"/>
      <c r="BC925"/>
      <c r="BD925"/>
      <c r="BE925"/>
      <c r="BF925"/>
    </row>
    <row r="926" spans="52:98">
      <c r="AZ926"/>
      <c r="BA926"/>
      <c r="BB926"/>
      <c r="BC926"/>
      <c r="BD926"/>
      <c r="BE926"/>
      <c r="BF926"/>
      <c r="BI926" s="3"/>
    </row>
    <row r="927" spans="52:98">
      <c r="AZ927"/>
      <c r="BA927"/>
      <c r="BB927"/>
      <c r="BC927"/>
      <c r="BD927"/>
      <c r="BE927"/>
      <c r="BF927"/>
    </row>
    <row r="928" spans="52:98">
      <c r="AZ928"/>
      <c r="BA928"/>
      <c r="BB928"/>
      <c r="BC928"/>
      <c r="BD928"/>
      <c r="BE928"/>
      <c r="BF928"/>
    </row>
    <row r="929" spans="52:98">
      <c r="AZ929"/>
      <c r="BA929"/>
      <c r="BB929"/>
      <c r="BC929"/>
      <c r="BD929"/>
      <c r="BE929"/>
      <c r="BF929"/>
      <c r="BI929" s="75"/>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row>
    <row r="930" spans="52:98">
      <c r="AZ930"/>
      <c r="BA930"/>
      <c r="BB930"/>
      <c r="BC930"/>
      <c r="BD930"/>
      <c r="BE930"/>
      <c r="BF930"/>
      <c r="BI930" s="75"/>
    </row>
    <row r="931" spans="52:98">
      <c r="AZ931"/>
      <c r="BA931"/>
      <c r="BB931"/>
      <c r="BC931"/>
      <c r="BD931"/>
      <c r="BE931"/>
      <c r="BF931"/>
    </row>
    <row r="932" spans="52:98">
      <c r="AZ932"/>
      <c r="BA932"/>
      <c r="BB932"/>
      <c r="BC932"/>
      <c r="BD932"/>
      <c r="BE932"/>
      <c r="BF932"/>
      <c r="BI932" s="3"/>
    </row>
    <row r="933" spans="52:98">
      <c r="AZ933"/>
      <c r="BA933"/>
      <c r="BB933"/>
      <c r="BC933"/>
      <c r="BD933"/>
      <c r="BE933"/>
      <c r="BF933"/>
    </row>
    <row r="934" spans="52:98">
      <c r="AZ934"/>
      <c r="BA934"/>
      <c r="BB934"/>
      <c r="BC934"/>
      <c r="BD934"/>
      <c r="BE934"/>
      <c r="BF934"/>
      <c r="BI934" s="3"/>
    </row>
    <row r="935" spans="52:98">
      <c r="AZ935"/>
      <c r="BA935"/>
      <c r="BB935"/>
      <c r="BC935"/>
      <c r="BD935"/>
      <c r="BE935"/>
      <c r="BF935"/>
    </row>
    <row r="936" spans="52:98">
      <c r="AZ936"/>
      <c r="BA936"/>
      <c r="BB936"/>
      <c r="BC936"/>
      <c r="BD936"/>
      <c r="BE936"/>
      <c r="BF936"/>
      <c r="BI936" s="3"/>
    </row>
    <row r="937" spans="52:98">
      <c r="AZ937"/>
      <c r="BA937"/>
      <c r="BB937"/>
      <c r="BC937"/>
      <c r="BD937"/>
      <c r="BE937"/>
      <c r="BF937"/>
    </row>
    <row r="938" spans="52:98">
      <c r="AZ938"/>
      <c r="BA938"/>
      <c r="BB938"/>
      <c r="BC938"/>
      <c r="BD938"/>
      <c r="BE938"/>
      <c r="BF938"/>
      <c r="BI938" s="3"/>
    </row>
    <row r="939" spans="52:98">
      <c r="AZ939"/>
      <c r="BA939"/>
      <c r="BB939"/>
      <c r="BC939"/>
      <c r="BD939"/>
      <c r="BE939"/>
      <c r="BF939"/>
    </row>
    <row r="940" spans="52:98">
      <c r="BI940" s="3"/>
    </row>
    <row r="941" spans="52:98">
      <c r="AZ941"/>
      <c r="BA941"/>
      <c r="BB941"/>
      <c r="BC941"/>
      <c r="BD941"/>
      <c r="BE941"/>
      <c r="BF941"/>
    </row>
    <row r="942" spans="52:98">
      <c r="AZ942"/>
      <c r="BA942"/>
      <c r="BB942"/>
      <c r="BC942"/>
      <c r="BD942"/>
      <c r="BE942"/>
      <c r="BF942"/>
      <c r="BI942" s="3"/>
    </row>
    <row r="943" spans="52:98">
      <c r="AZ943"/>
      <c r="BA943"/>
      <c r="BB943"/>
      <c r="BC943"/>
      <c r="BD943"/>
      <c r="BE943"/>
      <c r="BF943"/>
    </row>
    <row r="944" spans="52:98">
      <c r="AZ944"/>
      <c r="BA944"/>
      <c r="BB944"/>
      <c r="BC944"/>
      <c r="BD944"/>
      <c r="BE944"/>
      <c r="BF944"/>
    </row>
    <row r="945" spans="52:98">
      <c r="AZ945"/>
      <c r="BA945"/>
      <c r="BB945"/>
      <c r="BC945"/>
      <c r="BD945"/>
      <c r="BE945"/>
      <c r="BF945"/>
      <c r="BI945" s="75"/>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row>
    <row r="946" spans="52:98">
      <c r="AZ946"/>
      <c r="BA946"/>
      <c r="BB946"/>
      <c r="BC946"/>
      <c r="BD946"/>
      <c r="BE946"/>
      <c r="BF946"/>
      <c r="BI946" s="75"/>
    </row>
    <row r="947" spans="52:98">
      <c r="AZ947"/>
      <c r="BA947"/>
      <c r="BB947"/>
      <c r="BC947"/>
      <c r="BD947"/>
      <c r="BE947"/>
      <c r="BF947"/>
    </row>
    <row r="948" spans="52:98">
      <c r="AZ948"/>
      <c r="BA948"/>
      <c r="BB948"/>
      <c r="BC948"/>
      <c r="BD948"/>
      <c r="BE948"/>
      <c r="BF948"/>
      <c r="BI948" s="3"/>
    </row>
    <row r="949" spans="52:98">
      <c r="AZ949"/>
      <c r="BA949"/>
      <c r="BB949"/>
      <c r="BC949"/>
      <c r="BD949"/>
      <c r="BE949"/>
      <c r="BF949"/>
    </row>
    <row r="950" spans="52:98">
      <c r="AZ950"/>
      <c r="BA950"/>
      <c r="BB950"/>
      <c r="BC950"/>
      <c r="BD950"/>
      <c r="BE950"/>
      <c r="BF950"/>
      <c r="BI950" s="3"/>
    </row>
    <row r="951" spans="52:98">
      <c r="AZ951"/>
      <c r="BA951"/>
      <c r="BB951"/>
      <c r="BC951"/>
      <c r="BD951"/>
      <c r="BE951"/>
      <c r="BF951"/>
    </row>
    <row r="952" spans="52:98">
      <c r="AZ952"/>
      <c r="BA952"/>
      <c r="BB952"/>
      <c r="BC952"/>
      <c r="BD952"/>
      <c r="BE952"/>
      <c r="BF952"/>
      <c r="BI952" s="3"/>
    </row>
    <row r="953" spans="52:98">
      <c r="AZ953"/>
      <c r="BA953"/>
      <c r="BB953"/>
      <c r="BC953"/>
      <c r="BD953"/>
      <c r="BE953"/>
      <c r="BF953"/>
    </row>
    <row r="954" spans="52:98">
      <c r="AZ954"/>
      <c r="BA954"/>
      <c r="BB954"/>
      <c r="BC954"/>
      <c r="BD954"/>
      <c r="BE954"/>
      <c r="BF954"/>
      <c r="BI954" s="3"/>
    </row>
    <row r="955" spans="52:98">
      <c r="AZ955"/>
      <c r="BA955"/>
      <c r="BB955"/>
      <c r="BC955"/>
      <c r="BD955"/>
      <c r="BE955"/>
      <c r="BF955"/>
    </row>
    <row r="956" spans="52:98">
      <c r="BI956" s="3"/>
    </row>
    <row r="957" spans="52:98">
      <c r="AZ957"/>
      <c r="BA957"/>
      <c r="BB957"/>
      <c r="BC957"/>
      <c r="BD957"/>
      <c r="BE957"/>
      <c r="BF957"/>
    </row>
    <row r="958" spans="52:98">
      <c r="AZ958"/>
      <c r="BA958"/>
      <c r="BB958"/>
      <c r="BC958"/>
      <c r="BD958"/>
      <c r="BE958"/>
      <c r="BF958"/>
      <c r="BI958" s="3"/>
    </row>
    <row r="959" spans="52:98">
      <c r="AZ959"/>
      <c r="BA959"/>
      <c r="BB959"/>
      <c r="BC959"/>
      <c r="BD959"/>
      <c r="BE959"/>
      <c r="BF959"/>
    </row>
    <row r="960" spans="52:98">
      <c r="AZ960"/>
      <c r="BA960"/>
      <c r="BB960"/>
      <c r="BC960"/>
      <c r="BD960"/>
      <c r="BE960"/>
      <c r="BF960"/>
    </row>
    <row r="961" spans="45:83">
      <c r="AZ961"/>
      <c r="BA961"/>
      <c r="BB961"/>
      <c r="BC961"/>
      <c r="BD961"/>
      <c r="BE961"/>
      <c r="BF961"/>
    </row>
    <row r="962" spans="45:83">
      <c r="AS962" s="67" t="s">
        <v>497</v>
      </c>
      <c r="AT962" s="67"/>
      <c r="AU962" s="20" t="s">
        <v>64</v>
      </c>
      <c r="AV962" s="1" t="s">
        <v>43</v>
      </c>
      <c r="AW962" s="1" t="s">
        <v>44</v>
      </c>
      <c r="AX962" s="1" t="s">
        <v>45</v>
      </c>
      <c r="AY962" s="1" t="s">
        <v>46</v>
      </c>
      <c r="AZ962" s="1" t="s">
        <v>47</v>
      </c>
      <c r="BA962" s="1" t="s">
        <v>48</v>
      </c>
      <c r="BB962" s="1" t="s">
        <v>49</v>
      </c>
      <c r="BC962" s="1" t="s">
        <v>50</v>
      </c>
      <c r="BD962" s="1" t="s">
        <v>51</v>
      </c>
      <c r="BE962" s="1" t="s">
        <v>52</v>
      </c>
      <c r="BF962" s="1" t="s">
        <v>53</v>
      </c>
      <c r="BG962" s="1" t="s">
        <v>54</v>
      </c>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row>
    <row r="963" spans="45:83">
      <c r="AS963" s="67"/>
      <c r="AT963" s="67"/>
      <c r="AU963" s="20">
        <v>1</v>
      </c>
      <c r="AV963" t="s">
        <v>3</v>
      </c>
      <c r="AW963" t="s">
        <v>5</v>
      </c>
      <c r="AX963" t="s">
        <v>3</v>
      </c>
      <c r="AY963" t="s">
        <v>5</v>
      </c>
      <c r="AZ963" t="s">
        <v>5</v>
      </c>
      <c r="BA963" t="s">
        <v>5</v>
      </c>
      <c r="BB963" t="s">
        <v>2</v>
      </c>
      <c r="BC963" t="s">
        <v>2</v>
      </c>
      <c r="BD963" t="s">
        <v>2</v>
      </c>
      <c r="BE963" t="s">
        <v>2</v>
      </c>
      <c r="BF963" t="s">
        <v>3</v>
      </c>
      <c r="BG963" t="s">
        <v>5</v>
      </c>
    </row>
    <row r="964" spans="45:83">
      <c r="AT964" t="s">
        <v>504</v>
      </c>
      <c r="AU964">
        <f>AW22*AT32*AT40*AT44*AT52*AT58*AT64*AT69*AT75*AT81*AT87*AT92*AT100*AT106*AT110*AT116*AT124*AT130*AT136*AT141*AT145*AT151*AT159*AT163*AT167*AT171*AT175*AT179*AT183*AT187*AT192*AT195*AT200*AT203*AT207*AT211*AT216</f>
        <v>2.9176171581510416E-10</v>
      </c>
      <c r="AZ964"/>
      <c r="BA964"/>
      <c r="BB964"/>
      <c r="BC964"/>
      <c r="BD964"/>
      <c r="BE964"/>
      <c r="BF964"/>
    </row>
    <row r="965" spans="45:83">
      <c r="AT965" t="s">
        <v>505</v>
      </c>
      <c r="AU965">
        <f>AW23*AU32*AU40*AU44*AU52*AU58*AU64*AU69*AU75*AU81*AU87*AU92*AU100*AU106*AU110*AU116*AU124*AU130*AU136*AU141*AU145*AU151*AU159*AU163*AU167*AU171*AU175*AU179*AU183*AU187*AU192*AU195*AU200*AU203*AU207*AU211*AU216</f>
        <v>0</v>
      </c>
      <c r="AZ965"/>
      <c r="BA965"/>
      <c r="BB965"/>
      <c r="BC965"/>
      <c r="BD965"/>
      <c r="BE965"/>
      <c r="BF965"/>
    </row>
    <row r="966" spans="45:83">
      <c r="AT966" t="s">
        <v>506</v>
      </c>
      <c r="AU966">
        <f>AW24*AV32*AV40*AV44*AV52*AV58*AV64*AV69*AV75*AV81*AV87*AV92*AV100*AV106*AV110*AV116*AV124*AV130*AV136*AV141*AV145*AV151*AV159*AV163*AV167*AV171*AV175*AV179*AV183*AV187*AV192*AV195*AV200*AV203*AV207*AV211*AV216</f>
        <v>0</v>
      </c>
      <c r="AZ966"/>
      <c r="BA966"/>
      <c r="BB966"/>
      <c r="BC966"/>
      <c r="BD966"/>
      <c r="BE966"/>
      <c r="BF966"/>
    </row>
    <row r="967" spans="45:83">
      <c r="AT967" t="s">
        <v>507</v>
      </c>
      <c r="AU967">
        <f>AW25*AW32*AW40*AW44*AW52*AW58*AW64*AW69*AW75*AW81*AW87*AW92*AW100*AW106*AW110*AW116*AW124*AW130*AW136*AW141*AW145*AW151*AW159*AW163*AW167*AW171*AW175*AW179*AW183*AW187*AW192*AW195*AW200*AW203*AW207*AW211*AW216</f>
        <v>0</v>
      </c>
      <c r="AZ967"/>
      <c r="BA967"/>
      <c r="BB967"/>
      <c r="BC967"/>
      <c r="BD967"/>
      <c r="BE967"/>
      <c r="BF967"/>
    </row>
    <row r="968" spans="45:83">
      <c r="AT968" t="s">
        <v>508</v>
      </c>
      <c r="AU968">
        <f>AW26*AX32*AX40*AX44*AX52*AX58*AX64*AX69*AX75*AX81*AX87*AX92*AX100*AX106*AX110*AX116*AX124*AX130*AX136*AX141*AX145*AX151*AX159*AX163*AX167*AX171*AX175*AX179*AX183*AX187*AX192*AX195*AX200*AX203*AX207*AX211*AX216</f>
        <v>0</v>
      </c>
      <c r="AZ968"/>
      <c r="BA968"/>
      <c r="BB968"/>
      <c r="BC968"/>
      <c r="BD968"/>
      <c r="BE968"/>
      <c r="BF968"/>
    </row>
    <row r="969" spans="45:83">
      <c r="AT969" t="s">
        <v>509</v>
      </c>
      <c r="AU969">
        <f>AW27*AY32*AY40*AY44*AY52*AY58*AY64*AY69*AY75*AY81*AY87*AY92*AY100*AY106*AY110*AY116*AY124*AY130*AY136*AY141*AY145*AY151*AY159*AY163*AY167*AY171*AY175*AY179*AY183*AY187*AY192*AY195*AY200*AY203*AY207*AY211*AY216</f>
        <v>0</v>
      </c>
      <c r="AZ969"/>
      <c r="BA969"/>
      <c r="BB969"/>
      <c r="BC969"/>
      <c r="BD969"/>
      <c r="BE969"/>
      <c r="BF969"/>
    </row>
    <row r="970" spans="45:83">
      <c r="AT970" s="20" t="s">
        <v>437</v>
      </c>
      <c r="AU970" t="s">
        <v>285</v>
      </c>
      <c r="AV970" s="21" t="s">
        <v>438</v>
      </c>
      <c r="AW970" s="21"/>
      <c r="AZ970"/>
      <c r="BA970"/>
      <c r="BB970"/>
      <c r="BC970"/>
      <c r="BD970"/>
      <c r="BE970"/>
      <c r="BF970"/>
    </row>
    <row r="972" spans="45:83">
      <c r="AS972" s="67" t="s">
        <v>484</v>
      </c>
      <c r="AT972" s="67"/>
      <c r="AU972" s="20" t="s">
        <v>64</v>
      </c>
      <c r="AV972" s="1" t="s">
        <v>43</v>
      </c>
      <c r="AW972" s="1" t="s">
        <v>44</v>
      </c>
      <c r="AX972" s="1" t="s">
        <v>45</v>
      </c>
      <c r="AY972" s="1" t="s">
        <v>46</v>
      </c>
      <c r="AZ972" s="1" t="s">
        <v>47</v>
      </c>
      <c r="BA972" s="1" t="s">
        <v>48</v>
      </c>
      <c r="BB972" s="1" t="s">
        <v>49</v>
      </c>
      <c r="BC972" s="1" t="s">
        <v>50</v>
      </c>
      <c r="BD972" s="1" t="s">
        <v>51</v>
      </c>
      <c r="BE972" s="1" t="s">
        <v>52</v>
      </c>
      <c r="BF972" s="1" t="s">
        <v>53</v>
      </c>
      <c r="BG972" s="1" t="s">
        <v>54</v>
      </c>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row>
    <row r="973" spans="45:83">
      <c r="AS973" s="67"/>
      <c r="AT973" s="67"/>
      <c r="AU973" s="20">
        <v>1</v>
      </c>
      <c r="AV973" t="s">
        <v>5</v>
      </c>
      <c r="AW973" t="s">
        <v>3</v>
      </c>
      <c r="AX973" t="s">
        <v>2</v>
      </c>
      <c r="AY973" t="s">
        <v>3</v>
      </c>
      <c r="AZ973" t="s">
        <v>5</v>
      </c>
      <c r="BA973" t="s">
        <v>5</v>
      </c>
      <c r="BB973" t="s">
        <v>5</v>
      </c>
      <c r="BC973" t="s">
        <v>2</v>
      </c>
      <c r="BD973" t="s">
        <v>2</v>
      </c>
      <c r="BE973" t="s">
        <v>2</v>
      </c>
      <c r="BF973" t="s">
        <v>2</v>
      </c>
      <c r="BG973" t="s">
        <v>5</v>
      </c>
    </row>
    <row r="974" spans="45:83">
      <c r="AT974" t="s">
        <v>504</v>
      </c>
      <c r="AU974">
        <f>AW22*AT34*AT38*AT45*AT50*AT58*AT64*AT70*AT75*AT81*AT87*AT93*AT100*AT106*AT110*AT116*AT124*AT130*AT136*AT142*AT145*AT151*AT157*AT164*AT168*AT172*AT175*AT179*AT183*AT187*AT192*AT195*AT200*AT204*AT207*AT211*AT216</f>
        <v>4.7634565847363974E-11</v>
      </c>
      <c r="AZ974"/>
      <c r="BA974"/>
      <c r="BB974"/>
      <c r="BC974"/>
      <c r="BD974"/>
      <c r="BE974"/>
      <c r="BF974"/>
    </row>
    <row r="975" spans="45:83">
      <c r="AT975" t="s">
        <v>505</v>
      </c>
      <c r="AU975">
        <f>AW23*AU34*AU38*AU45*AU50*AU58*AU64*AU70*AU75*AU81*AU87*AU93*AU100*AU106*AU110*AU116*AU124*AU130*AU136*AU142*AU145*AU151*AU157*AU164*AU168*AU172*AU175*AU179*AU183*AU187*AU192*AU195*AU200*AU204*AU207*AU211*AU216</f>
        <v>2.201047628390461E-11</v>
      </c>
      <c r="AZ975"/>
      <c r="BA975"/>
      <c r="BB975"/>
      <c r="BC975"/>
      <c r="BD975"/>
      <c r="BE975"/>
      <c r="BF975"/>
    </row>
    <row r="976" spans="45:83">
      <c r="AT976" t="s">
        <v>506</v>
      </c>
      <c r="AU976">
        <f>AW24*AV34*AV38*AV45*AV50*AV58*AV64*AV70*AV75*AV81*AV87*AV93*AV100*AV106*AV110*AV116*AV124*AV130*AV136*AV142*AV145*AV151*AV157*AV164*AV168*AV172*AV175*AV179*AV183*AV187*AV192*AV195*AV200*AV204*AV207*AV211*AV216</f>
        <v>0</v>
      </c>
      <c r="AZ976"/>
      <c r="BA976"/>
      <c r="BB976"/>
      <c r="BC976"/>
      <c r="BD976"/>
      <c r="BE976"/>
      <c r="BF976"/>
    </row>
    <row r="977" spans="35:83">
      <c r="AT977" t="s">
        <v>507</v>
      </c>
      <c r="AU977">
        <f>AW25*AW34*AW38*AW45*AW50*AW58*AW64*AW70*AW75*AW81*AW87*AW93*AW100*AW106*AW110*AW116*AW124*AW130*AW136*AW142*AW145*AW151*AW157*AW164*AW168*AW172*AW175*AW179*AW183*AW187*AW192*AW195*AW200*AW204*AW207*AW211*AW216</f>
        <v>0</v>
      </c>
      <c r="AZ977"/>
      <c r="BA977"/>
      <c r="BB977"/>
      <c r="BC977"/>
      <c r="BD977"/>
      <c r="BE977"/>
      <c r="BF977"/>
    </row>
    <row r="978" spans="35:83">
      <c r="AT978" t="s">
        <v>508</v>
      </c>
      <c r="AU978">
        <f>AW26*AX34*AX38*AX45*AX50*AX58*AX64*AX70*AX75*AX81*AX87*AX93*AX100*AX106*AX110*AX116*AX124*AX130*AX136*AX142*AX145*AX151*AX157*AX164*AX168*AX172*AX175*AX179*AX183*AX187*AX192*AX195*AX200*AX204*AX207*AX211*AX216</f>
        <v>0</v>
      </c>
      <c r="AZ978"/>
      <c r="BA978"/>
      <c r="BB978"/>
      <c r="BC978"/>
      <c r="BD978"/>
      <c r="BE978"/>
      <c r="BF978"/>
    </row>
    <row r="979" spans="35:83">
      <c r="AT979" t="s">
        <v>509</v>
      </c>
      <c r="AU979">
        <f>AW27*AY34*AY38*AY45*AY50*AY58*AY64*AY70*AY75*AY81*AY87*AY93*AY100*AY106*AY110*AY116*AY124*AY130*AY136*AY142*AY145*AY151*AY157*AY164*AY168*AY172*AY175*AY179*AY183*AY187*AY192*AY195*AY200*AY204*AY207*AY211*AY216</f>
        <v>0</v>
      </c>
      <c r="AZ979"/>
      <c r="BA979"/>
      <c r="BB979"/>
      <c r="BC979"/>
      <c r="BD979"/>
      <c r="BE979"/>
      <c r="BF979"/>
    </row>
    <row r="980" spans="35:83">
      <c r="AT980" s="20" t="s">
        <v>437</v>
      </c>
      <c r="AU980" t="s">
        <v>285</v>
      </c>
      <c r="AV980" s="74" t="s">
        <v>438</v>
      </c>
      <c r="AW980" s="74"/>
      <c r="AZ980"/>
      <c r="BA980"/>
      <c r="BB980"/>
      <c r="BC980"/>
      <c r="BD980"/>
      <c r="BE980"/>
      <c r="BF980"/>
    </row>
    <row r="982" spans="35:83">
      <c r="AS982" s="67" t="s">
        <v>460</v>
      </c>
      <c r="AT982" s="67"/>
      <c r="AU982" s="20" t="s">
        <v>64</v>
      </c>
      <c r="AV982" s="1" t="s">
        <v>43</v>
      </c>
      <c r="AW982" s="1" t="s">
        <v>44</v>
      </c>
      <c r="AX982" s="1" t="s">
        <v>45</v>
      </c>
      <c r="AY982" s="1" t="s">
        <v>46</v>
      </c>
      <c r="AZ982" s="1" t="s">
        <v>47</v>
      </c>
      <c r="BA982" s="1" t="s">
        <v>48</v>
      </c>
      <c r="BB982" s="1" t="s">
        <v>49</v>
      </c>
      <c r="BC982" s="1" t="s">
        <v>50</v>
      </c>
      <c r="BD982" s="1" t="s">
        <v>51</v>
      </c>
      <c r="BE982" s="1" t="s">
        <v>52</v>
      </c>
      <c r="BF982" s="1" t="s">
        <v>53</v>
      </c>
      <c r="BG982" s="1" t="s">
        <v>54</v>
      </c>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row>
    <row r="983" spans="35:83">
      <c r="AS983" s="67"/>
      <c r="AT983" s="67"/>
      <c r="AU983" s="20">
        <v>1</v>
      </c>
      <c r="AV983" t="s">
        <v>5</v>
      </c>
      <c r="AW983" t="s">
        <v>3</v>
      </c>
      <c r="AX983" t="s">
        <v>4</v>
      </c>
      <c r="AY983" t="s">
        <v>3</v>
      </c>
      <c r="AZ983" t="s">
        <v>5</v>
      </c>
      <c r="BA983" t="s">
        <v>5</v>
      </c>
      <c r="BB983" t="s">
        <v>5</v>
      </c>
      <c r="BC983" t="s">
        <v>2</v>
      </c>
      <c r="BD983" t="s">
        <v>3</v>
      </c>
      <c r="BE983" t="s">
        <v>3</v>
      </c>
      <c r="BF983" t="s">
        <v>2</v>
      </c>
      <c r="BG983" t="s">
        <v>4</v>
      </c>
    </row>
    <row r="984" spans="35:83">
      <c r="AI984" t="s">
        <v>295</v>
      </c>
      <c r="AT984" t="s">
        <v>504</v>
      </c>
      <c r="AU984">
        <f>AW22*AT34*AT38*AT43*AT50*AT58*AT64*AT70*AT75*AT80*AT86*AT93*AT97*AT106*AT110*AT117*AT124*AT130*AT136*AT142*AT145*AT151*AT157*AT164*AT168*AT172*AT175*AT179*AT183*AT187*AT191*AT195*AT199*AT203*AT207*AT211*AT216</f>
        <v>7.7745010421955084E-11</v>
      </c>
      <c r="AZ984"/>
      <c r="BA984"/>
      <c r="BB984"/>
      <c r="BC984"/>
      <c r="BD984"/>
      <c r="BE984"/>
      <c r="BF984"/>
    </row>
    <row r="985" spans="35:83">
      <c r="AT985" t="s">
        <v>505</v>
      </c>
      <c r="AU985">
        <f>AW23*AU34*AU38*AU43*AU50*AU58*AU64*AU70*AU75*AU80*AU86*AU93*AU97*AU106*AU110*AU117*AU124*AU130*AU136*AU142*AU145*AU151*AU157*AU164*AU168*AU172*AU175*AU179*AU183*AU187*AU191*AU195*AU199*AU203*AU207*AU211*AU216</f>
        <v>4.9801481692875086E-12</v>
      </c>
      <c r="AZ985"/>
      <c r="BA985"/>
      <c r="BB985"/>
      <c r="BC985"/>
      <c r="BD985"/>
      <c r="BE985"/>
      <c r="BF985"/>
    </row>
    <row r="986" spans="35:83">
      <c r="AT986" t="s">
        <v>506</v>
      </c>
      <c r="AU986">
        <f>AW24*AV34*AV38*AV43*AV50*AV58*AV64*AV70*AV75*AV80*AV86*AV93*AV97*AV106*AV110*AV117*AV124*AV130*AV136*AV142*AV145*AV151*AV157*AV164*AV168*AV172*AV175*AV179*AV183*AV187*AV191*AV195*AV199*AV203*AV207*AV211*AV216</f>
        <v>0</v>
      </c>
      <c r="AZ986"/>
      <c r="BA986"/>
      <c r="BB986"/>
      <c r="BC986"/>
      <c r="BD986"/>
      <c r="BE986"/>
      <c r="BF986"/>
    </row>
    <row r="987" spans="35:83">
      <c r="AT987" t="s">
        <v>507</v>
      </c>
      <c r="AU987">
        <f>AW25*AW34*AW38*AW43*AW50*AW58*AW64*AW70*AW75*AW80*AW86*AW93*AW97*AW106*AW110*AW117*AW124*AW130*AW136*AW142*AW145*AW151*AW157*AW164*AW168*AW172*AW175*AW179*AW183*AW187*AW191*AW195*AW199*AW203*AW207*AW211*AW216</f>
        <v>0</v>
      </c>
      <c r="AZ987"/>
      <c r="BA987"/>
      <c r="BB987"/>
      <c r="BC987"/>
      <c r="BD987"/>
      <c r="BE987"/>
      <c r="BF987"/>
    </row>
    <row r="988" spans="35:83">
      <c r="AT988" t="s">
        <v>508</v>
      </c>
      <c r="AU988">
        <f>AW26*AX34*AX38*AX43*AX50*AX58*AX64*AX70*AX75*AX80*AX86*AX93*AX97*AX106*AX110*AX117*AX124*AX130*AX136*AX142*AX145*AX151*AX157*AX164*AX168*AX172*AX175*AX179*AX183*AX187*AX191*AX195*AX199*AX203*AX207*AX211*AX216</f>
        <v>0</v>
      </c>
      <c r="AZ988"/>
      <c r="BA988"/>
      <c r="BB988"/>
      <c r="BC988"/>
      <c r="BD988"/>
      <c r="BE988"/>
      <c r="BF988"/>
    </row>
    <row r="989" spans="35:83">
      <c r="AT989" t="s">
        <v>509</v>
      </c>
      <c r="AU989">
        <f>AW27*AY34*AY38*AY43*AY50*AY58*AY64*AY70*AY75*AY80*AY86*AY93*AY97*AY106*AY110*AY117*AY124*AY130*AY136*AY142*AY145*AY151*AY157*AY164*AY168*AY172*AY175*AY179*AY183*AY187*AY191*AY195*AY199*AY203*AY207*AY211*AY216</f>
        <v>0</v>
      </c>
      <c r="AZ989"/>
      <c r="BA989"/>
      <c r="BB989"/>
      <c r="BC989"/>
      <c r="BD989"/>
      <c r="BE989"/>
      <c r="BF989"/>
    </row>
    <row r="990" spans="35:83">
      <c r="AZ990"/>
      <c r="BA990"/>
      <c r="BB990"/>
      <c r="BC990"/>
      <c r="BD990"/>
      <c r="BE990"/>
      <c r="BF990"/>
    </row>
    <row r="991" spans="35:83">
      <c r="AS991" s="67" t="s">
        <v>513</v>
      </c>
      <c r="AT991" s="67"/>
      <c r="AU991" s="20" t="s">
        <v>64</v>
      </c>
      <c r="AV991" s="1" t="s">
        <v>43</v>
      </c>
      <c r="AW991" s="1" t="s">
        <v>44</v>
      </c>
      <c r="AX991" s="1" t="s">
        <v>45</v>
      </c>
      <c r="AY991" s="1" t="s">
        <v>46</v>
      </c>
      <c r="AZ991" s="1" t="s">
        <v>47</v>
      </c>
      <c r="BA991" s="1" t="s">
        <v>48</v>
      </c>
      <c r="BB991" s="1" t="s">
        <v>49</v>
      </c>
      <c r="BC991" s="1" t="s">
        <v>50</v>
      </c>
      <c r="BD991" s="1" t="s">
        <v>51</v>
      </c>
      <c r="BE991" s="1" t="s">
        <v>52</v>
      </c>
      <c r="BF991" s="1" t="s">
        <v>53</v>
      </c>
      <c r="BG991" s="1" t="s">
        <v>54</v>
      </c>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row>
    <row r="992" spans="35:83">
      <c r="AS992" s="67"/>
      <c r="AT992" s="67"/>
      <c r="AU992" s="20">
        <v>1</v>
      </c>
      <c r="AV992" t="s">
        <v>5</v>
      </c>
      <c r="AW992" t="s">
        <v>3</v>
      </c>
      <c r="AX992" t="s">
        <v>2</v>
      </c>
      <c r="AY992" t="s">
        <v>3</v>
      </c>
      <c r="AZ992" t="s">
        <v>5</v>
      </c>
      <c r="BA992" t="s">
        <v>5</v>
      </c>
      <c r="BB992" t="s">
        <v>5</v>
      </c>
      <c r="BC992" t="s">
        <v>2</v>
      </c>
      <c r="BD992" t="s">
        <v>3</v>
      </c>
      <c r="BE992" t="s">
        <v>3</v>
      </c>
      <c r="BF992" t="s">
        <v>2</v>
      </c>
      <c r="BG992" t="s">
        <v>5</v>
      </c>
    </row>
    <row r="993" spans="45:83">
      <c r="AT993" t="s">
        <v>504</v>
      </c>
      <c r="AU993">
        <f>AW22*AT34*AT38*AT45*AT50*AT58*AT64*AT70*AT75*AT80*AT86*AT93*AT100*AT106*AT110*AT117*AT124*AT130*AT136*AT139*AT145*AT151*AT157*AT164*AT168*AT172*AT175*AT179*AT183*AT187*AT192*AT195*AT200*AT203*AT207*AT212*AT216</f>
        <v>1.1758932826320701E-10</v>
      </c>
      <c r="AZ993"/>
      <c r="BA993"/>
      <c r="BB993"/>
      <c r="BC993"/>
      <c r="BD993"/>
      <c r="BE993"/>
      <c r="BF993"/>
    </row>
    <row r="994" spans="45:83">
      <c r="AT994" t="s">
        <v>505</v>
      </c>
      <c r="AU994">
        <f>AW23*AU34*AU38*AU45*AU50*AU58*AU64*AU70*AU75*AU80*AU86*AU93*AU100*AU106*AU110*AU117*AU124*AU130*AU136*AU139*AU145*AU151*AU157*AU164*AU168*AU172*AU175*AU179*AU183*AU187*AU192*AU195*AU200*AU203*AU207*AU212*AU216</f>
        <v>2.2825679109234415E-11</v>
      </c>
      <c r="AZ994"/>
      <c r="BA994"/>
      <c r="BB994"/>
      <c r="BC994"/>
      <c r="BD994"/>
      <c r="BE994"/>
      <c r="BF994"/>
    </row>
    <row r="995" spans="45:83">
      <c r="AT995" t="s">
        <v>506</v>
      </c>
      <c r="AU995">
        <f>AW24*AV34*AV38*AV45*AV50*AV58*AV64*AV70*AV75*AV80*AV86*AV93*AV100*AV106*AV110*AV117*AV124*AV130*AV136*AV139*AV145*AV151*AV157*AV164*AV168*AV172*AV175*AV179*AV183*AV187*AV192*AV195*AV200*AV203*AV207*AV212*AV216</f>
        <v>0</v>
      </c>
      <c r="AZ995"/>
      <c r="BA995"/>
      <c r="BB995"/>
      <c r="BC995"/>
      <c r="BD995"/>
      <c r="BE995"/>
      <c r="BF995"/>
    </row>
    <row r="996" spans="45:83">
      <c r="AT996" t="s">
        <v>507</v>
      </c>
      <c r="AU996">
        <f>AW25*AW34*AW38*AW45*AW50*AW58*AW64*AW70*AW75*AW80*AW86*AW93*AW100*AW106*AW110*AW117*AW124*AW130*AW136*AW139*AW145*AW151*AW157*AW164*AW168*AW172*AW175*AW179*AW183*AW187*AW192*AW195*AW200*AW203*AW207*AW212*AW216</f>
        <v>0</v>
      </c>
      <c r="AZ996"/>
      <c r="BA996"/>
      <c r="BB996"/>
      <c r="BC996"/>
      <c r="BD996"/>
      <c r="BE996"/>
      <c r="BF996"/>
    </row>
    <row r="997" spans="45:83">
      <c r="AT997" t="s">
        <v>508</v>
      </c>
      <c r="AU997">
        <f>AW26*AX34*AX38*AX45*AX50*AX58*AX64*AX70*AX75*AX80*AX86*AX93*AX100*AX106*AX110*AX117*AX124*AX130*AX136*AX139*AX145*AX151*AX157*AX164*AX168*AX172*AX175*AX179*AX183*AX187*AX192*AX195*AX200*AX203*AX207*AX212*AX216</f>
        <v>0</v>
      </c>
      <c r="AZ997"/>
      <c r="BA997"/>
      <c r="BB997"/>
      <c r="BC997"/>
      <c r="BD997"/>
      <c r="BE997"/>
      <c r="BF997"/>
    </row>
    <row r="998" spans="45:83">
      <c r="AT998" t="s">
        <v>509</v>
      </c>
      <c r="AU998">
        <f>AW27*AY34*AY38*AY45*AY50*AY58*AY64*AY70*AY75*AY80*AY86*AY93*AY100*AY106*AY110*AY117*AY124*AY130*AY136*AY139*AY145*AY151*AY157*AY164*AY168*AY172*AY175*AY179*AY183*AY187*AY192*AY195*AY200*AY203*AY207*AY212*AY216</f>
        <v>0</v>
      </c>
      <c r="AZ998"/>
      <c r="BA998"/>
      <c r="BB998"/>
      <c r="BC998"/>
      <c r="BD998"/>
      <c r="BE998"/>
      <c r="BF998"/>
    </row>
    <row r="999" spans="45:83">
      <c r="AZ999"/>
      <c r="BA999"/>
      <c r="BB999"/>
      <c r="BC999"/>
      <c r="BD999"/>
      <c r="BE999"/>
      <c r="BF999"/>
    </row>
    <row r="1000" spans="45:83">
      <c r="AS1000" s="67" t="s">
        <v>500</v>
      </c>
      <c r="AT1000" s="67"/>
      <c r="AU1000" s="20" t="s">
        <v>64</v>
      </c>
      <c r="AV1000" s="1" t="s">
        <v>43</v>
      </c>
      <c r="AW1000" s="1" t="s">
        <v>44</v>
      </c>
      <c r="AX1000" s="1" t="s">
        <v>45</v>
      </c>
      <c r="AY1000" s="1" t="s">
        <v>46</v>
      </c>
      <c r="AZ1000" s="1" t="s">
        <v>47</v>
      </c>
      <c r="BA1000" s="1" t="s">
        <v>48</v>
      </c>
      <c r="BB1000" s="1" t="s">
        <v>49</v>
      </c>
      <c r="BC1000" s="1" t="s">
        <v>50</v>
      </c>
      <c r="BD1000" s="1" t="s">
        <v>51</v>
      </c>
      <c r="BE1000" s="1" t="s">
        <v>52</v>
      </c>
      <c r="BF1000" s="1" t="s">
        <v>53</v>
      </c>
      <c r="BG1000" s="1" t="s">
        <v>54</v>
      </c>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row>
    <row r="1001" spans="45:83">
      <c r="AS1001" s="67"/>
      <c r="AT1001" s="67"/>
      <c r="AU1001" s="20">
        <v>2</v>
      </c>
      <c r="AV1001" t="s">
        <v>5</v>
      </c>
      <c r="AW1001" t="s">
        <v>3</v>
      </c>
      <c r="AX1001" t="s">
        <v>4</v>
      </c>
      <c r="AY1001" t="s">
        <v>3</v>
      </c>
      <c r="AZ1001" t="s">
        <v>5</v>
      </c>
      <c r="BA1001" t="s">
        <v>5</v>
      </c>
      <c r="BB1001" t="s">
        <v>3</v>
      </c>
      <c r="BC1001" t="s">
        <v>4</v>
      </c>
      <c r="BD1001" t="s">
        <v>3</v>
      </c>
      <c r="BE1001" t="s">
        <v>3</v>
      </c>
      <c r="BF1001" t="s">
        <v>4</v>
      </c>
      <c r="BG1001" t="s">
        <v>4</v>
      </c>
    </row>
    <row r="1002" spans="45:83">
      <c r="AT1002" t="s">
        <v>504</v>
      </c>
      <c r="AU1002">
        <f>AW22*AT34*AT38*AT43*AT50*AT58*AT64*AT68*AT73*AT80*AT86*AT91*AT97*AT106*AT110*AT115*AT124*AT130*AT136*AT140*AT145*AT151*AT157*AT164*AT167*AT171*AT175*AT179*AT183*AT187*AT192*AT195*AT200*AT203*AT207*AT211*AT216</f>
        <v>0</v>
      </c>
      <c r="AZ1002"/>
      <c r="BA1002"/>
      <c r="BB1002"/>
      <c r="BC1002"/>
      <c r="BD1002"/>
      <c r="BE1002"/>
      <c r="BF1002"/>
    </row>
    <row r="1003" spans="45:83">
      <c r="AT1003" t="s">
        <v>505</v>
      </c>
      <c r="AU1003">
        <f>AW22*AU34*AU38*AU43*AU50*AU58*AU64*AU68*AU73*AU80*AU86*AU91*AU97*AU106*AU110*AU115*AU124*AU130*AU136*AU140*AU145*AU151*AU157*AU164*AU167*AU171*AU175*AU179*AU183*AU187*AU192*AU195*AU200*AU203*AU207*AU211*AU216</f>
        <v>3.2954574213957171E-11</v>
      </c>
      <c r="AZ1003"/>
      <c r="BA1003"/>
      <c r="BB1003"/>
      <c r="BC1003"/>
      <c r="BD1003"/>
      <c r="BE1003"/>
      <c r="BF1003"/>
    </row>
    <row r="1004" spans="45:83">
      <c r="AT1004" t="s">
        <v>506</v>
      </c>
      <c r="AZ1004"/>
      <c r="BA1004"/>
      <c r="BB1004"/>
      <c r="BC1004"/>
      <c r="BD1004"/>
      <c r="BE1004"/>
      <c r="BF1004"/>
    </row>
    <row r="1005" spans="45:83">
      <c r="AT1005" t="s">
        <v>507</v>
      </c>
      <c r="AZ1005"/>
      <c r="BA1005"/>
      <c r="BB1005"/>
      <c r="BC1005"/>
      <c r="BD1005"/>
      <c r="BE1005"/>
      <c r="BF1005"/>
    </row>
    <row r="1006" spans="45:83">
      <c r="AT1006" t="s">
        <v>508</v>
      </c>
      <c r="AZ1006"/>
      <c r="BA1006"/>
      <c r="BB1006"/>
      <c r="BC1006"/>
      <c r="BD1006"/>
      <c r="BE1006"/>
      <c r="BF1006"/>
    </row>
    <row r="1007" spans="45:83">
      <c r="AT1007" t="s">
        <v>509</v>
      </c>
      <c r="AZ1007"/>
      <c r="BA1007"/>
      <c r="BB1007"/>
      <c r="BC1007"/>
      <c r="BD1007"/>
      <c r="BE1007"/>
      <c r="BF1007"/>
    </row>
    <row r="1008" spans="45:83">
      <c r="AZ1008"/>
      <c r="BA1008"/>
      <c r="BB1008"/>
      <c r="BC1008"/>
      <c r="BD1008"/>
      <c r="BE1008"/>
      <c r="BF1008"/>
    </row>
    <row r="1009" spans="45:83">
      <c r="AS1009" s="67" t="s">
        <v>463</v>
      </c>
      <c r="AT1009" s="67"/>
      <c r="AU1009" s="20" t="s">
        <v>64</v>
      </c>
      <c r="AV1009" s="1" t="s">
        <v>43</v>
      </c>
      <c r="AW1009" s="1" t="s">
        <v>44</v>
      </c>
      <c r="AX1009" s="1" t="s">
        <v>45</v>
      </c>
      <c r="AY1009" s="1" t="s">
        <v>46</v>
      </c>
      <c r="AZ1009" s="1" t="s">
        <v>47</v>
      </c>
      <c r="BA1009" s="1" t="s">
        <v>48</v>
      </c>
      <c r="BB1009" s="1" t="s">
        <v>49</v>
      </c>
      <c r="BC1009" s="1" t="s">
        <v>50</v>
      </c>
      <c r="BD1009" s="1" t="s">
        <v>51</v>
      </c>
      <c r="BE1009" s="1" t="s">
        <v>52</v>
      </c>
      <c r="BF1009" s="1" t="s">
        <v>53</v>
      </c>
      <c r="BG1009" s="1" t="s">
        <v>54</v>
      </c>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row>
    <row r="1010" spans="45:83">
      <c r="AS1010" s="67"/>
      <c r="AT1010" s="67"/>
      <c r="AU1010" s="20">
        <v>2</v>
      </c>
      <c r="AV1010" s="22" t="s">
        <v>2</v>
      </c>
      <c r="AW1010" t="s">
        <v>3</v>
      </c>
      <c r="AX1010" t="s">
        <v>2</v>
      </c>
      <c r="AY1010" t="s">
        <v>5</v>
      </c>
      <c r="AZ1010" t="s">
        <v>5</v>
      </c>
      <c r="BA1010" t="s">
        <v>5</v>
      </c>
      <c r="BB1010" t="s">
        <v>5</v>
      </c>
      <c r="BC1010" t="s">
        <v>2</v>
      </c>
      <c r="BD1010" t="s">
        <v>3</v>
      </c>
      <c r="BE1010" t="s">
        <v>3</v>
      </c>
      <c r="BF1010" s="22" t="s">
        <v>2</v>
      </c>
      <c r="BG1010" t="s">
        <v>5</v>
      </c>
    </row>
    <row r="1011" spans="45:83">
      <c r="AT1011" t="s">
        <v>504</v>
      </c>
      <c r="AU1011">
        <f>AW22*AT33*AT38*AT45*AT52*AT58*AT64*AT70*AT75*AT80*AT86*AT93*AT100*AT106*AT110*AT117*AT124*AT130*AT136*AT142*AT145*AT151*AT157*AT164*AT167*AT171*AT175*AT179*AT183*AT187*AT192*AT195*AT200*AT203*AT207*AT211*AT216</f>
        <v>1.3718754964040826E-8</v>
      </c>
      <c r="AZ1011"/>
      <c r="BA1011"/>
      <c r="BB1011"/>
      <c r="BC1011"/>
      <c r="BD1011"/>
      <c r="BE1011"/>
      <c r="BF1011"/>
    </row>
    <row r="1012" spans="45:83">
      <c r="AT1012" t="s">
        <v>505</v>
      </c>
      <c r="AU1012">
        <f>AW23*AU33*AU38*AU45*AU52*AU58*AU64*AU70*AU75*AU80*AU86*AU93*AU100*AU106*AU110*AU117*AU124*AU130*AU136*AU142*AU145*AU151*AU157*AU164*AU167*AU171*AU175*AU179*AU183*AU187*AU192*AU195*AU200*AU203*AU207*AU211*AU216</f>
        <v>5.4233813563540962E-9</v>
      </c>
      <c r="AZ1012"/>
      <c r="BA1012"/>
      <c r="BB1012"/>
      <c r="BC1012"/>
      <c r="BD1012"/>
      <c r="BE1012"/>
      <c r="BF1012"/>
    </row>
    <row r="1013" spans="45:83">
      <c r="AT1013" t="s">
        <v>506</v>
      </c>
      <c r="AU1013">
        <f>AW24*AV33*AV38*AV45*AV52*AV58*AV64*AV70*AV75*AV80*AV86*AV93*AV100*AV106*AV110*AV117*AV124*AV130*AV136*AV142*AV145*AV151*AV157*AV164*AV167*AV171*AV175*AV179*AV183*AV187*AV192*AV195*AV200*AV203*AV207*AV211*AV216</f>
        <v>0</v>
      </c>
      <c r="AZ1013"/>
      <c r="BA1013"/>
      <c r="BB1013"/>
      <c r="BC1013"/>
      <c r="BD1013"/>
      <c r="BE1013"/>
      <c r="BF1013"/>
    </row>
    <row r="1014" spans="45:83">
      <c r="AT1014" t="s">
        <v>507</v>
      </c>
      <c r="AU1014">
        <f>AW25*AW33*AW38*AW45*AW52*AW58*AW64*AW70*AW75*AW80*AW86*AW93*AW100*AW106*AW110*AW117*AW124*AW130*AW136*AW142*AW145*AW151*AW157*AW164*AW167*AW171*AW175*AW179*AW183*AW187*AW192*AW195*AW200*AW203*AW207*AW211*AW216</f>
        <v>0</v>
      </c>
      <c r="AZ1014"/>
      <c r="BA1014"/>
      <c r="BB1014"/>
      <c r="BC1014"/>
      <c r="BD1014"/>
      <c r="BE1014"/>
      <c r="BF1014"/>
    </row>
    <row r="1015" spans="45:83">
      <c r="AT1015" t="s">
        <v>508</v>
      </c>
      <c r="AU1015">
        <f>AW26*AX33*AX38*AX45*AX52*AX58*AX64*AX70*AX75*AX80*AX86*AX93*AX100*AX106*AX110*AX117*AX124*AX130*AX136*AX142*AX145*AX151*AX157*AX164*AX167*AX171*AX175*AX179*AX183*AX187*AX192*AX195*AX200*AX203*AX207*AX211*AX216</f>
        <v>4.1330783244220867E-10</v>
      </c>
      <c r="AZ1015"/>
      <c r="BA1015"/>
      <c r="BB1015"/>
      <c r="BC1015"/>
      <c r="BD1015"/>
      <c r="BE1015"/>
      <c r="BF1015"/>
    </row>
    <row r="1016" spans="45:83">
      <c r="AT1016" t="s">
        <v>509</v>
      </c>
      <c r="AU1016">
        <f>AW27*AY33*AY38*AY45*AY52*AY58*AY64*AY70*AY75*AY80*AY86*AY93*AY100*AY106*AY110*AY117*AY124*AY130*AY136*AY142*AY145*AY151*AY157*AY164*AY167*AY171*AY175*AY179*AY183*AY187*AY192*AY195*AY200*AY203*AY207*AY211*AY216</f>
        <v>0</v>
      </c>
      <c r="AZ1016"/>
      <c r="BA1016"/>
      <c r="BB1016"/>
      <c r="BC1016"/>
      <c r="BD1016"/>
      <c r="BE1016"/>
      <c r="BF1016"/>
    </row>
    <row r="1017" spans="45:83">
      <c r="AZ1017"/>
      <c r="BA1017"/>
      <c r="BB1017"/>
      <c r="BC1017"/>
      <c r="BD1017"/>
      <c r="BE1017"/>
      <c r="BF1017"/>
    </row>
    <row r="1018" spans="45:83">
      <c r="AS1018" s="67" t="s">
        <v>464</v>
      </c>
      <c r="AT1018" s="67"/>
      <c r="AU1018" s="20" t="s">
        <v>64</v>
      </c>
      <c r="AV1018" s="1" t="s">
        <v>43</v>
      </c>
      <c r="AW1018" s="1" t="s">
        <v>44</v>
      </c>
      <c r="AX1018" s="1" t="s">
        <v>45</v>
      </c>
      <c r="AY1018" s="1" t="s">
        <v>46</v>
      </c>
      <c r="AZ1018" s="1" t="s">
        <v>47</v>
      </c>
      <c r="BA1018" s="1" t="s">
        <v>48</v>
      </c>
      <c r="BB1018" s="1" t="s">
        <v>49</v>
      </c>
      <c r="BC1018" s="1" t="s">
        <v>50</v>
      </c>
      <c r="BD1018" s="1" t="s">
        <v>51</v>
      </c>
      <c r="BE1018" s="1" t="s">
        <v>52</v>
      </c>
      <c r="BF1018" s="1" t="s">
        <v>53</v>
      </c>
      <c r="BG1018" s="1" t="s">
        <v>54</v>
      </c>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row>
    <row r="1019" spans="45:83">
      <c r="AS1019" s="67"/>
      <c r="AT1019" s="67"/>
      <c r="AU1019" s="20">
        <v>2</v>
      </c>
      <c r="AV1019" t="s">
        <v>4</v>
      </c>
      <c r="AW1019" t="s">
        <v>5</v>
      </c>
      <c r="AX1019" t="s">
        <v>5</v>
      </c>
      <c r="AY1019" t="s">
        <v>5</v>
      </c>
      <c r="AZ1019" t="s">
        <v>5</v>
      </c>
      <c r="BA1019" t="s">
        <v>5</v>
      </c>
      <c r="BB1019" t="s">
        <v>5</v>
      </c>
      <c r="BC1019" t="s">
        <v>2</v>
      </c>
      <c r="BD1019" t="s">
        <v>3</v>
      </c>
      <c r="BE1019" t="s">
        <v>4</v>
      </c>
      <c r="BF1019" t="s">
        <v>4</v>
      </c>
      <c r="BG1019" t="s">
        <v>2</v>
      </c>
    </row>
    <row r="1020" spans="45:83">
      <c r="AT1020" t="s">
        <v>504</v>
      </c>
      <c r="AU1020">
        <f>AW22*AT31*AT40*AT46*AT52*AT58*AT64*AT70*AT75*AT80*AT85*AT91*AT99*AT106*AT109*AT117*AT124*AT129*AT136*AT142*AT147*AT153*AT157*AT164*AT167*AT171*AT175*AT179*AT183*AT187*AT191*AT195*AT199*AT203*AT207*AT211*AT216</f>
        <v>0</v>
      </c>
      <c r="AZ1020"/>
      <c r="BA1020"/>
      <c r="BB1020"/>
      <c r="BC1020"/>
      <c r="BD1020"/>
      <c r="BE1020"/>
      <c r="BF1020"/>
    </row>
    <row r="1021" spans="45:83">
      <c r="AT1021" t="s">
        <v>505</v>
      </c>
      <c r="AU1021">
        <f>AW23*AU31*AU40*AU46*AU52*AU58*AU64*AU70*AU75*AU80*AU85*AU91*AU99*AU106*AU109*AU117*AU124*AU129*AU136*AU142*AU147*AU151*AU157*AU164*AU167*AU171*AU175*AU179*AU183*AU187*AU191*AU195*AU199*AU203*AU207*AU211*AU216</f>
        <v>6.7407083619457886E-11</v>
      </c>
      <c r="AZ1021"/>
      <c r="BA1021"/>
      <c r="BB1021"/>
      <c r="BC1021"/>
      <c r="BD1021"/>
      <c r="BE1021"/>
      <c r="BF1021"/>
    </row>
    <row r="1022" spans="45:83">
      <c r="AT1022" t="s">
        <v>506</v>
      </c>
      <c r="AZ1022"/>
      <c r="BA1022"/>
      <c r="BB1022"/>
      <c r="BC1022"/>
      <c r="BD1022"/>
      <c r="BE1022"/>
      <c r="BF1022"/>
    </row>
    <row r="1023" spans="45:83">
      <c r="AT1023" t="s">
        <v>507</v>
      </c>
      <c r="AZ1023"/>
      <c r="BA1023"/>
      <c r="BB1023"/>
      <c r="BC1023"/>
      <c r="BD1023"/>
      <c r="BE1023"/>
      <c r="BF1023"/>
    </row>
    <row r="1024" spans="45:83">
      <c r="AT1024" t="s">
        <v>508</v>
      </c>
      <c r="AZ1024"/>
      <c r="BA1024"/>
      <c r="BB1024"/>
      <c r="BC1024"/>
      <c r="BD1024"/>
      <c r="BE1024"/>
      <c r="BF1024"/>
    </row>
    <row r="1025" spans="45:83">
      <c r="AT1025" t="s">
        <v>509</v>
      </c>
      <c r="AU1025">
        <f>AW27*AY31*AY40*AY46*AY52*AY58*AY64*AY70*AY75*AY80*AY85*AY91*AY99*AY106*AY109*AY117*AY124*AY129*AY136*AY142*AY147*AY151*AY157*AY164*AY167*AY171*AY175*AY179*AY183*AY187*AY191*AY195*AY199*AY203*AY207*AY211*AY216</f>
        <v>1.0756884473246228E-12</v>
      </c>
      <c r="AZ1025"/>
      <c r="BA1025"/>
      <c r="BB1025"/>
      <c r="BC1025"/>
      <c r="BD1025"/>
      <c r="BE1025"/>
      <c r="BF1025"/>
    </row>
    <row r="1026" spans="45:83">
      <c r="AZ1026"/>
      <c r="BA1026"/>
      <c r="BB1026"/>
      <c r="BC1026"/>
      <c r="BD1026"/>
      <c r="BE1026"/>
      <c r="BF1026"/>
    </row>
    <row r="1027" spans="45:83">
      <c r="AS1027" s="67" t="s">
        <v>490</v>
      </c>
      <c r="AT1027" s="67"/>
      <c r="AU1027" s="20" t="s">
        <v>64</v>
      </c>
      <c r="AV1027" s="1" t="s">
        <v>43</v>
      </c>
      <c r="AW1027" s="1" t="s">
        <v>44</v>
      </c>
      <c r="AX1027" s="1" t="s">
        <v>45</v>
      </c>
      <c r="AY1027" s="1" t="s">
        <v>46</v>
      </c>
      <c r="AZ1027" s="1" t="s">
        <v>47</v>
      </c>
      <c r="BA1027" s="1" t="s">
        <v>48</v>
      </c>
      <c r="BB1027" s="1" t="s">
        <v>49</v>
      </c>
      <c r="BC1027" s="1" t="s">
        <v>50</v>
      </c>
      <c r="BD1027" s="1" t="s">
        <v>51</v>
      </c>
      <c r="BE1027" s="1" t="s">
        <v>52</v>
      </c>
      <c r="BF1027" s="1" t="s">
        <v>53</v>
      </c>
      <c r="BG1027" s="1" t="s">
        <v>54</v>
      </c>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row>
    <row r="1028" spans="45:83">
      <c r="AS1028" s="67"/>
      <c r="AT1028" s="67"/>
      <c r="AU1028" s="20">
        <v>2</v>
      </c>
      <c r="AV1028" t="s">
        <v>4</v>
      </c>
      <c r="AW1028" t="s">
        <v>5</v>
      </c>
      <c r="AX1028" t="s">
        <v>3</v>
      </c>
      <c r="AY1028" t="s">
        <v>2</v>
      </c>
      <c r="AZ1028" t="s">
        <v>5</v>
      </c>
      <c r="BA1028" t="s">
        <v>5</v>
      </c>
      <c r="BB1028" t="s">
        <v>5</v>
      </c>
      <c r="BC1028" t="s">
        <v>2</v>
      </c>
      <c r="BD1028" t="s">
        <v>2</v>
      </c>
      <c r="BE1028" t="s">
        <v>3</v>
      </c>
      <c r="BF1028" t="s">
        <v>4</v>
      </c>
      <c r="BG1028" t="s">
        <v>2</v>
      </c>
    </row>
    <row r="1029" spans="45:83">
      <c r="AT1029" t="s">
        <v>504</v>
      </c>
      <c r="AU1029">
        <f>AW22*AT31*AT40*AT44*AT51*AT58*AT64*AT70*AT75*AT81*AT86*AT91*AT99*AT106*AT110*AT115*AT124*AT130*AT136*AT139*AT145*AT152*AT157*AT164*AT167*AT171*AT175*AT179*AT183*AT187*AT192*AT195*AT200*AT203*AT207*AT211*AT215</f>
        <v>0</v>
      </c>
      <c r="AZ1029"/>
      <c r="BA1029"/>
      <c r="BB1029"/>
      <c r="BC1029"/>
      <c r="BD1029"/>
      <c r="BE1029"/>
      <c r="BF1029"/>
    </row>
    <row r="1030" spans="45:83">
      <c r="AT1030" t="s">
        <v>505</v>
      </c>
      <c r="AU1030">
        <f>AW23*AU31*AU40*AU44*AU51*AU58*AU64*AU70*AU75*AU81*AU86*AU91*AU99*AU106*AU110*AU115*AU124*AU130*AU136*AU139*AU145*AU152*AU157*AU164*AU167*AU171*AU175*AU179*AU183*AU187*AU192*AU195*AU200*AU203*AU207*AU211*AU215</f>
        <v>2.139418294795528E-9</v>
      </c>
      <c r="AZ1030"/>
      <c r="BA1030"/>
      <c r="BB1030"/>
      <c r="BC1030"/>
      <c r="BD1030"/>
      <c r="BE1030"/>
      <c r="BF1030"/>
    </row>
    <row r="1031" spans="45:83">
      <c r="AT1031" t="s">
        <v>506</v>
      </c>
      <c r="AZ1031"/>
      <c r="BA1031"/>
      <c r="BB1031"/>
      <c r="BC1031"/>
      <c r="BD1031"/>
      <c r="BE1031"/>
      <c r="BF1031"/>
    </row>
    <row r="1032" spans="45:83">
      <c r="AT1032" t="s">
        <v>507</v>
      </c>
      <c r="AZ1032"/>
      <c r="BA1032"/>
      <c r="BB1032"/>
      <c r="BC1032"/>
      <c r="BD1032"/>
      <c r="BE1032"/>
      <c r="BF1032"/>
    </row>
    <row r="1033" spans="45:83">
      <c r="AT1033" t="s">
        <v>508</v>
      </c>
      <c r="AZ1033"/>
      <c r="BA1033"/>
      <c r="BB1033"/>
      <c r="BC1033"/>
      <c r="BD1033"/>
      <c r="BE1033"/>
      <c r="BF1033"/>
    </row>
    <row r="1034" spans="45:83">
      <c r="AT1034" t="s">
        <v>509</v>
      </c>
      <c r="AZ1034"/>
      <c r="BA1034"/>
      <c r="BB1034"/>
      <c r="BC1034"/>
      <c r="BD1034"/>
      <c r="BE1034"/>
      <c r="BF1034"/>
    </row>
    <row r="1035" spans="45:83">
      <c r="AZ1035"/>
      <c r="BA1035"/>
      <c r="BB1035"/>
      <c r="BC1035"/>
      <c r="BD1035"/>
      <c r="BE1035"/>
      <c r="BF1035"/>
    </row>
    <row r="1036" spans="45:83">
      <c r="AS1036" s="67" t="s">
        <v>319</v>
      </c>
      <c r="AT1036" s="67"/>
      <c r="AU1036" s="20" t="s">
        <v>64</v>
      </c>
      <c r="AV1036" s="1" t="s">
        <v>43</v>
      </c>
      <c r="AW1036" s="1" t="s">
        <v>44</v>
      </c>
      <c r="AX1036" s="1" t="s">
        <v>45</v>
      </c>
      <c r="AY1036" s="1" t="s">
        <v>46</v>
      </c>
      <c r="AZ1036" s="1" t="s">
        <v>47</v>
      </c>
      <c r="BA1036" s="1" t="s">
        <v>48</v>
      </c>
      <c r="BB1036" s="1" t="s">
        <v>49</v>
      </c>
      <c r="BC1036" s="1" t="s">
        <v>50</v>
      </c>
      <c r="BD1036" s="1" t="s">
        <v>51</v>
      </c>
      <c r="BE1036" s="1" t="s">
        <v>52</v>
      </c>
      <c r="BF1036" s="1" t="s">
        <v>53</v>
      </c>
      <c r="BG1036" s="1" t="s">
        <v>54</v>
      </c>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row>
    <row r="1037" spans="45:83">
      <c r="AS1037" s="67"/>
      <c r="AT1037" s="67"/>
      <c r="AU1037" s="20">
        <v>3</v>
      </c>
      <c r="AV1037" s="22" t="s">
        <v>2</v>
      </c>
      <c r="AW1037" t="s">
        <v>3</v>
      </c>
      <c r="AX1037" t="s">
        <v>3</v>
      </c>
      <c r="AY1037" t="s">
        <v>2</v>
      </c>
      <c r="AZ1037" t="s">
        <v>5</v>
      </c>
      <c r="BA1037" t="s">
        <v>5</v>
      </c>
      <c r="BB1037" t="s">
        <v>5</v>
      </c>
      <c r="BC1037" t="s">
        <v>2</v>
      </c>
      <c r="BD1037" t="s">
        <v>3</v>
      </c>
      <c r="BE1037" t="s">
        <v>3</v>
      </c>
      <c r="BF1037" t="s">
        <v>3</v>
      </c>
      <c r="BG1037" t="s">
        <v>2</v>
      </c>
    </row>
    <row r="1038" spans="45:83">
      <c r="AT1038" t="s">
        <v>504</v>
      </c>
      <c r="AU1038">
        <f>AW22*AT33*AT38*AT44*AT51*AT58*AT64*AT70*AT75*AT80*AT86*AT92*AT99*AT106*AT110*AT116*AT124*AT130*AT136*AT142*AT145*AT152*AT159*AT164*AT167*AT171*AT175*AT179*AT183*AT187*AT192*AT195*AT200*AT203*AT207*AT212*AT216</f>
        <v>2.7657010007506294E-8</v>
      </c>
      <c r="AZ1038"/>
      <c r="BA1038"/>
      <c r="BB1038"/>
      <c r="BC1038"/>
      <c r="BD1038"/>
      <c r="BE1038"/>
      <c r="BF1038"/>
    </row>
    <row r="1039" spans="45:83">
      <c r="AT1039" t="s">
        <v>505</v>
      </c>
      <c r="AU1039">
        <f>AW23*AU33*AU38*AU44*AU51*AU58*AU64*AU70*AU75*AU80*AU86*AU92*AU99*AU106*AU110*AU116*AU124*AU130*AU136*AU142*AU145*AU152*AU159*AU164*AU167*AU171*AU175*AU179*AU183*AU187*AU192*AU195*AU200*AU203*AU207*AU212*AU216</f>
        <v>2.8016191955655727E-9</v>
      </c>
      <c r="AZ1039"/>
      <c r="BA1039"/>
      <c r="BB1039"/>
      <c r="BC1039"/>
      <c r="BD1039"/>
      <c r="BE1039"/>
      <c r="BF1039"/>
    </row>
    <row r="1040" spans="45:83">
      <c r="AT1040" t="s">
        <v>506</v>
      </c>
      <c r="AU1040">
        <f>AW24*AV33*AV38*AV44*AV51*AV58*AV64*AV70*AV75*AV80*AV86*AV92*AV99*AV106*AV110*AV116*AV124*AV130*AV136*AV142*AV145*AV152*AV159*AV164*AV167*AV171*AV175*AV179*AV183*AV187*AV192*AV195*AV200*AV203*AV207*AV212*AV216</f>
        <v>5.5332311688297959E-8</v>
      </c>
      <c r="AZ1040"/>
      <c r="BA1040"/>
      <c r="BB1040"/>
      <c r="BC1040"/>
      <c r="BD1040"/>
      <c r="BE1040"/>
      <c r="BF1040"/>
    </row>
    <row r="1041" spans="45:83">
      <c r="AT1041" t="s">
        <v>507</v>
      </c>
      <c r="AU1041">
        <f>AW25*AW33*AW38*AW44*AW51*AW58*AW64*AW70*AW75*AW80*AW86*AW92*AW99*AW106*AW110*AW116*AW124*AW130*AW136*AW142*AW145*AW152*AW159*AW164*AW167*AW171*AW175*AW179*AW183*AW187*AW192*AW195*AW200*AW203*AW207*AW212*AW216</f>
        <v>5.0285880902225259E-9</v>
      </c>
      <c r="AZ1041"/>
      <c r="BA1041"/>
      <c r="BB1041"/>
      <c r="BC1041"/>
      <c r="BD1041"/>
      <c r="BE1041"/>
      <c r="BF1041"/>
    </row>
    <row r="1042" spans="45:83">
      <c r="AT1042" t="s">
        <v>508</v>
      </c>
      <c r="AU1042">
        <f>AW26*AX33*AX38*AX44*AX51*AX58*AX64*AX70*AX75*AX80*AX86*AX92*AX99*AX106*AX110*AX116*AX124*AX130*AX136*AX142*AX145*AX152*AX159*AX164*AX167*AX171*AX175*AX179*AX183*AX187*AX192*AX195*AX200*AX203*AX207*AX212*AX216</f>
        <v>0</v>
      </c>
      <c r="AZ1042"/>
      <c r="BA1042"/>
      <c r="BB1042"/>
      <c r="BC1042"/>
      <c r="BD1042"/>
      <c r="BE1042"/>
      <c r="BF1042"/>
    </row>
    <row r="1043" spans="45:83">
      <c r="AT1043" t="s">
        <v>509</v>
      </c>
      <c r="AU1043">
        <f>AW27*AY33*AY38*AY44*AY51*AY58*AY64*AY70*AY75*AY80*AY86*AY92*AY99*AY106*AY110*AY116*AY124*AY130*AY136*AY142*AY145*AY152*AY159*AY164*AY167*AY171*AY175*AY179*AY183*AY187*AY192*AY195*AY200*AY203*AY207*AY212*AY216</f>
        <v>0</v>
      </c>
      <c r="AZ1043"/>
      <c r="BA1043"/>
      <c r="BB1043"/>
      <c r="BC1043"/>
      <c r="BD1043"/>
      <c r="BE1043"/>
      <c r="BF1043"/>
    </row>
    <row r="1044" spans="45:83">
      <c r="AZ1044"/>
      <c r="BA1044"/>
      <c r="BB1044"/>
      <c r="BC1044"/>
      <c r="BD1044"/>
      <c r="BE1044"/>
      <c r="BF1044"/>
    </row>
    <row r="1045" spans="45:83">
      <c r="AS1045" s="67" t="s">
        <v>501</v>
      </c>
      <c r="AT1045" s="67"/>
      <c r="AU1045" s="20" t="s">
        <v>64</v>
      </c>
      <c r="AV1045" s="1" t="s">
        <v>43</v>
      </c>
      <c r="AW1045" s="1" t="s">
        <v>44</v>
      </c>
      <c r="AX1045" s="1" t="s">
        <v>45</v>
      </c>
      <c r="AY1045" s="1" t="s">
        <v>46</v>
      </c>
      <c r="AZ1045" s="1" t="s">
        <v>47</v>
      </c>
      <c r="BA1045" s="1" t="s">
        <v>48</v>
      </c>
      <c r="BB1045" s="1" t="s">
        <v>49</v>
      </c>
      <c r="BC1045" s="1" t="s">
        <v>50</v>
      </c>
      <c r="BD1045" s="1" t="s">
        <v>51</v>
      </c>
      <c r="BE1045" s="1" t="s">
        <v>52</v>
      </c>
      <c r="BF1045" s="1" t="s">
        <v>53</v>
      </c>
      <c r="BG1045" s="1" t="s">
        <v>54</v>
      </c>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row>
    <row r="1046" spans="45:83">
      <c r="AS1046" s="67"/>
      <c r="AT1046" s="67"/>
      <c r="AU1046" s="20">
        <v>3</v>
      </c>
      <c r="AV1046" t="s">
        <v>2</v>
      </c>
      <c r="AW1046" t="s">
        <v>3</v>
      </c>
      <c r="AX1046" t="s">
        <v>3</v>
      </c>
      <c r="AY1046" t="s">
        <v>2</v>
      </c>
      <c r="AZ1046" t="s">
        <v>5</v>
      </c>
      <c r="BA1046" t="s">
        <v>2</v>
      </c>
      <c r="BB1046" t="s">
        <v>5</v>
      </c>
      <c r="BC1046" t="s">
        <v>2</v>
      </c>
      <c r="BD1046" t="s">
        <v>3</v>
      </c>
      <c r="BE1046" t="s">
        <v>4</v>
      </c>
      <c r="BF1046" t="s">
        <v>4</v>
      </c>
      <c r="BG1046" t="s">
        <v>5</v>
      </c>
    </row>
    <row r="1047" spans="45:83">
      <c r="AT1047" t="s">
        <v>504</v>
      </c>
      <c r="AU1047">
        <f>AW22*AT33*AT38*AT44*AT51*AT58*AT63*AT70*AT75*AT80*AT85*AT91*AT100*AT106*AT109*AT118*AT124*AT130*AT136*AT142*AT145*AT152*AT157*AT163*AT167*AT171*AT175*AT179*AT183*AT187*AT191*AT195*AT200*AT203*AT207*AT212*AT215</f>
        <v>0</v>
      </c>
      <c r="AZ1047"/>
      <c r="BA1047"/>
      <c r="BB1047"/>
      <c r="BC1047"/>
      <c r="BD1047"/>
      <c r="BE1047"/>
      <c r="BF1047"/>
    </row>
    <row r="1048" spans="45:83">
      <c r="AZ1048"/>
      <c r="BA1048"/>
      <c r="BB1048"/>
      <c r="BC1048"/>
      <c r="BD1048"/>
      <c r="BE1048"/>
      <c r="BF1048"/>
    </row>
    <row r="1049" spans="45:83">
      <c r="AT1049" t="s">
        <v>506</v>
      </c>
      <c r="AU1049">
        <f>AW24*AV33*AV38*AV44*AV51*AV58*AV63*AV70*AV75*AV80*AV85*AV91*AV100*AV106*AV109*AV118*AV124*AV130*AV136*AV142*AV145*AV152*AV157*AV163*AV167*AV171*AV175*AV179*AV183*AV187*AV191*AV195*AV200*AV203*AV207*AV212*AV215</f>
        <v>7.1134284998730203E-11</v>
      </c>
      <c r="AZ1049"/>
      <c r="BA1049"/>
      <c r="BB1049"/>
      <c r="BC1049"/>
      <c r="BD1049"/>
      <c r="BE1049"/>
      <c r="BF1049"/>
    </row>
    <row r="1050" spans="45:83">
      <c r="AZ1050"/>
      <c r="BA1050"/>
      <c r="BB1050"/>
      <c r="BC1050"/>
      <c r="BD1050"/>
      <c r="BE1050"/>
      <c r="BF1050"/>
    </row>
    <row r="1051" spans="45:83">
      <c r="AS1051" s="67" t="s">
        <v>320</v>
      </c>
      <c r="AT1051" s="67"/>
      <c r="AU1051" s="20" t="s">
        <v>64</v>
      </c>
      <c r="AV1051" s="1" t="s">
        <v>43</v>
      </c>
      <c r="AW1051" s="1" t="s">
        <v>44</v>
      </c>
      <c r="AX1051" s="1" t="s">
        <v>45</v>
      </c>
      <c r="AY1051" s="1" t="s">
        <v>46</v>
      </c>
      <c r="AZ1051" s="1" t="s">
        <v>47</v>
      </c>
      <c r="BA1051" s="1" t="s">
        <v>48</v>
      </c>
      <c r="BB1051" s="1" t="s">
        <v>49</v>
      </c>
      <c r="BC1051" s="1" t="s">
        <v>50</v>
      </c>
      <c r="BD1051" s="1" t="s">
        <v>51</v>
      </c>
      <c r="BE1051" s="1" t="s">
        <v>52</v>
      </c>
      <c r="BF1051" s="1" t="s">
        <v>53</v>
      </c>
      <c r="BG1051" s="1" t="s">
        <v>54</v>
      </c>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row>
    <row r="1052" spans="45:83">
      <c r="AS1052" s="67"/>
      <c r="AT1052" s="67"/>
      <c r="AU1052" s="20">
        <v>3</v>
      </c>
      <c r="AV1052" s="22" t="s">
        <v>2</v>
      </c>
      <c r="AW1052" t="s">
        <v>3</v>
      </c>
      <c r="AX1052" t="s">
        <v>3</v>
      </c>
      <c r="AY1052" t="s">
        <v>5</v>
      </c>
      <c r="AZ1052" t="s">
        <v>5</v>
      </c>
      <c r="BA1052" t="s">
        <v>5</v>
      </c>
      <c r="BB1052" t="s">
        <v>2</v>
      </c>
      <c r="BC1052" t="s">
        <v>2</v>
      </c>
      <c r="BD1052" t="s">
        <v>3</v>
      </c>
      <c r="BE1052" t="s">
        <v>3</v>
      </c>
      <c r="BF1052" t="s">
        <v>4</v>
      </c>
      <c r="BG1052" t="s">
        <v>5</v>
      </c>
    </row>
    <row r="1053" spans="45:83">
      <c r="AZ1053"/>
      <c r="BA1053"/>
      <c r="BB1053"/>
      <c r="BC1053"/>
      <c r="BD1053"/>
      <c r="BE1053"/>
      <c r="BF1053"/>
    </row>
    <row r="1054" spans="45:83">
      <c r="AZ1054"/>
      <c r="BA1054"/>
      <c r="BB1054"/>
      <c r="BC1054"/>
      <c r="BD1054"/>
      <c r="BE1054"/>
      <c r="BF1054"/>
    </row>
    <row r="1055" spans="45:83">
      <c r="AT1055" t="s">
        <v>506</v>
      </c>
      <c r="AU1055">
        <f>AW24*AV33*AV38*AV44*AV52*AV58*AV64*AV69*AV75*AV80*AV86*AV91*AV100*AV105*AV110*AV117*AV124*AV130*AV136*AV142*AV145*AV152*AV158*AV164*AV167*AV171*AV175*AV179*AV183*AV187*AV192*AV195*AV200*AV203*AV207*AV212*AV216</f>
        <v>5.5891223927573679E-8</v>
      </c>
      <c r="AZ1055"/>
      <c r="BA1055"/>
      <c r="BB1055"/>
      <c r="BC1055"/>
      <c r="BD1055"/>
      <c r="BE1055"/>
      <c r="BF1055"/>
    </row>
    <row r="1056" spans="45:83">
      <c r="AZ1056"/>
      <c r="BA1056"/>
      <c r="BB1056"/>
      <c r="BC1056"/>
      <c r="BD1056"/>
      <c r="BE1056"/>
      <c r="BF1056"/>
    </row>
    <row r="1057" spans="45:83">
      <c r="AT1057" t="s">
        <v>508</v>
      </c>
      <c r="AU1057">
        <f>AW26*AX33*AX38*AX44*AX52*AX58*AX64*AX69*AX75*AX80*AX86*AX91*AX100*AX105*AX110*AX117*AX124*AX130*AX136*AX142*AX145*AX152*AX158*AX164*AX167*AX171*AX175*AX179*AX183*AX187*AX192*AX195*AX200*AX203*AX207*AX212*AX216</f>
        <v>3.9362650708781791E-11</v>
      </c>
      <c r="AZ1057"/>
      <c r="BA1057"/>
      <c r="BB1057"/>
      <c r="BC1057"/>
      <c r="BD1057"/>
      <c r="BE1057"/>
      <c r="BF1057"/>
    </row>
    <row r="1058" spans="45:83">
      <c r="AZ1058"/>
      <c r="BA1058"/>
      <c r="BB1058"/>
      <c r="BC1058"/>
      <c r="BD1058"/>
      <c r="BE1058"/>
      <c r="BF1058"/>
    </row>
    <row r="1059" spans="45:83">
      <c r="AS1059" s="67" t="s">
        <v>515</v>
      </c>
      <c r="AT1059" s="67"/>
      <c r="AU1059" s="20" t="s">
        <v>64</v>
      </c>
      <c r="AV1059" s="1" t="s">
        <v>43</v>
      </c>
      <c r="AW1059" s="1" t="s">
        <v>44</v>
      </c>
      <c r="AX1059" s="1" t="s">
        <v>45</v>
      </c>
      <c r="AY1059" s="1" t="s">
        <v>46</v>
      </c>
      <c r="AZ1059" s="1" t="s">
        <v>47</v>
      </c>
      <c r="BA1059" s="1" t="s">
        <v>48</v>
      </c>
      <c r="BB1059" s="1" t="s">
        <v>49</v>
      </c>
      <c r="BC1059" s="1" t="s">
        <v>50</v>
      </c>
      <c r="BD1059" s="1" t="s">
        <v>51</v>
      </c>
      <c r="BE1059" s="1" t="s">
        <v>52</v>
      </c>
      <c r="BF1059" s="1" t="s">
        <v>53</v>
      </c>
      <c r="BG1059" s="1" t="s">
        <v>54</v>
      </c>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row>
    <row r="1060" spans="45:83">
      <c r="AS1060" s="67"/>
      <c r="AT1060" s="67"/>
      <c r="AU1060" s="20">
        <v>3</v>
      </c>
      <c r="AV1060" t="s">
        <v>2</v>
      </c>
      <c r="AW1060" t="s">
        <v>5</v>
      </c>
      <c r="AX1060" t="s">
        <v>3</v>
      </c>
      <c r="AY1060" t="s">
        <v>3</v>
      </c>
      <c r="AZ1060" t="s">
        <v>5</v>
      </c>
      <c r="BA1060" t="s">
        <v>5</v>
      </c>
      <c r="BB1060" t="s">
        <v>2</v>
      </c>
      <c r="BC1060" t="s">
        <v>2</v>
      </c>
      <c r="BD1060" t="s">
        <v>3</v>
      </c>
      <c r="BE1060" t="s">
        <v>4</v>
      </c>
      <c r="BF1060" t="s">
        <v>4</v>
      </c>
      <c r="BG1060" t="s">
        <v>5</v>
      </c>
    </row>
    <row r="1061" spans="45:83">
      <c r="AT1061" t="s">
        <v>504</v>
      </c>
      <c r="AU1061">
        <f>AW22*AT33*AT40*AT44*AT50*AT58*AT64*AT69*AT75*AT80*AT85*AT91*AT100*AT104*AT110*AT117*AT124*AT128*AT135*AT142*AT145*AT152*AT159*AT164*AT167*AT171*AT175*AT179*AT183*AT187*AT192*AT195*AT200*AT203*AT207*AT211*AT216</f>
        <v>0</v>
      </c>
      <c r="AZ1061"/>
      <c r="BA1061"/>
      <c r="BB1061"/>
      <c r="BC1061"/>
      <c r="BD1061"/>
      <c r="BE1061"/>
      <c r="BF1061"/>
    </row>
    <row r="1062" spans="45:83">
      <c r="AT1062" t="s">
        <v>505</v>
      </c>
      <c r="AU1062">
        <f>AW23*AU33*AU40*AU44*AU50*AU58*AU64*AU69*AU75*AU80*AU85*AU91*AU100*AU104*AU110*AU117*AU124*AU128*AU135*AU142*AU145*AU152*AU159*AU164*AU167*AU171*AU175*AU179*AU183*AU187*AU192*AU195*AU200*AU203*AU207*AU211*AU216</f>
        <v>0</v>
      </c>
      <c r="AZ1062"/>
      <c r="BA1062"/>
      <c r="BB1062"/>
      <c r="BC1062"/>
      <c r="BD1062"/>
      <c r="BE1062"/>
      <c r="BF1062"/>
    </row>
    <row r="1063" spans="45:83">
      <c r="AT1063" t="s">
        <v>506</v>
      </c>
      <c r="AU1063">
        <f>AW24*AV33*AV40*AV44*AV50*AV58*AV64*AV69*AV75*AV80*AV85*AV91*AV100*AV104*AV110*AV117*AV124*AV128*AV135*AV142*AV145*AV152*AV159*AV164*AV167*AV171*AV175*AV179*AV183*AV187*AV192*AV195*AV200*AV203*AV207*AV211*AV216</f>
        <v>2.1898000192009295E-11</v>
      </c>
      <c r="AZ1063"/>
      <c r="BA1063"/>
      <c r="BB1063"/>
      <c r="BC1063"/>
      <c r="BD1063"/>
      <c r="BE1063"/>
      <c r="BF1063"/>
    </row>
    <row r="1064" spans="45:83">
      <c r="AT1064" t="s">
        <v>507</v>
      </c>
      <c r="AU1064">
        <f>AW25*AW33*AW40*AW44*AW50*AW58*AW64*AW69*AW75*AW80*AW85*AW91*AW100*AW104*AW110*AW117*AW124*AW128*AW135*AW142*AW145*AW152*AW159*AW164*AW167*AW171*AW175*AW179*AW183*AW187*AW192*AW195*AW200*AW203*AW207*AW211*AW216</f>
        <v>0</v>
      </c>
      <c r="AZ1064"/>
      <c r="BA1064"/>
      <c r="BB1064"/>
      <c r="BC1064"/>
      <c r="BD1064"/>
      <c r="BE1064"/>
      <c r="BF1064"/>
    </row>
    <row r="1065" spans="45:83">
      <c r="AT1065" t="s">
        <v>508</v>
      </c>
      <c r="AU1065">
        <f>AW26*AX33*AX40*AX44*AX50*AX58*AX64*AX69*AX75*AX80*AX85*AX91*AX100*AX104*AX110*AX117*AX124*AX128*AX135*AX142*AX145*AX152*AX159*AX164*AX167*AX171*AX175*AX179*AX183*AX187*AX192*AX195*AX200*AX203*AX207*AX211*AX216</f>
        <v>0</v>
      </c>
      <c r="AZ1065"/>
      <c r="BA1065"/>
      <c r="BB1065"/>
      <c r="BC1065"/>
      <c r="BD1065"/>
      <c r="BE1065"/>
      <c r="BF1065"/>
    </row>
    <row r="1066" spans="45:83">
      <c r="AT1066" t="s">
        <v>509</v>
      </c>
      <c r="AU1066">
        <f>AW27*AY33*AY40*AY44*AY50*AY58*AY64*AY69*AY75*AY80*AY85*AY91*AY100*AY104*AY110*AY117*AY124*AY128*AY135*AY142*AY145*AY152*AY159*AY164*AY167*AY171*AY175*AY179*AY183*AY187*AY192*AY195*AY200*AY203*AY207*AY211*AY216</f>
        <v>0</v>
      </c>
      <c r="AZ1066"/>
      <c r="BA1066"/>
      <c r="BB1066"/>
      <c r="BC1066"/>
      <c r="BD1066"/>
      <c r="BE1066"/>
      <c r="BF1066"/>
    </row>
    <row r="1067" spans="45:83">
      <c r="AZ1067"/>
      <c r="BA1067"/>
      <c r="BB1067"/>
      <c r="BC1067"/>
      <c r="BD1067"/>
      <c r="BE1067"/>
      <c r="BF1067"/>
    </row>
    <row r="1068" spans="45:83">
      <c r="AS1068" s="67" t="s">
        <v>468</v>
      </c>
      <c r="AT1068" s="67"/>
      <c r="AU1068" s="20" t="s">
        <v>64</v>
      </c>
      <c r="AV1068" s="1" t="s">
        <v>43</v>
      </c>
      <c r="AW1068" s="1" t="s">
        <v>44</v>
      </c>
      <c r="AX1068" s="1" t="s">
        <v>45</v>
      </c>
      <c r="AY1068" s="1" t="s">
        <v>46</v>
      </c>
      <c r="AZ1068" s="1" t="s">
        <v>47</v>
      </c>
      <c r="BA1068" s="1" t="s">
        <v>48</v>
      </c>
      <c r="BB1068" s="1" t="s">
        <v>49</v>
      </c>
      <c r="BC1068" s="1" t="s">
        <v>50</v>
      </c>
      <c r="BD1068" s="1" t="s">
        <v>51</v>
      </c>
      <c r="BE1068" s="1" t="s">
        <v>52</v>
      </c>
      <c r="BF1068" s="1" t="s">
        <v>53</v>
      </c>
      <c r="BG1068" s="1" t="s">
        <v>54</v>
      </c>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row>
    <row r="1069" spans="45:83">
      <c r="AS1069" s="67"/>
      <c r="AT1069" s="67"/>
      <c r="AU1069" s="20">
        <v>3</v>
      </c>
      <c r="AV1069" t="s">
        <v>4</v>
      </c>
      <c r="AW1069" t="s">
        <v>3</v>
      </c>
      <c r="AX1069" t="s">
        <v>5</v>
      </c>
      <c r="AY1069" t="s">
        <v>5</v>
      </c>
      <c r="AZ1069" t="s">
        <v>5</v>
      </c>
      <c r="BA1069" t="s">
        <v>5</v>
      </c>
      <c r="BB1069" t="s">
        <v>5</v>
      </c>
      <c r="BC1069" t="s">
        <v>2</v>
      </c>
      <c r="BD1069" t="s">
        <v>3</v>
      </c>
      <c r="BE1069" t="s">
        <v>3</v>
      </c>
      <c r="BF1069" t="s">
        <v>2</v>
      </c>
      <c r="BG1069" t="s">
        <v>2</v>
      </c>
    </row>
    <row r="1070" spans="45:83">
      <c r="AT1070" t="s">
        <v>504</v>
      </c>
      <c r="AU1070">
        <f xml:space="preserve"> AW22*AT31*AT38*AT46*AT52*AT58*AT64*AT70*AT75*AT80*AT86*AT93*AT99*AT106*AT110*AT117*AT123*AT130*AT136*AT142*AT146*AT154*AT160*AT163*AT167*AT171*AT175*AT179*AT183*AT187*AT192*AT195*AT200*AT203*AT207*AT212*AT216</f>
        <v>0</v>
      </c>
      <c r="AZ1070"/>
      <c r="BA1070"/>
      <c r="BB1070"/>
      <c r="BC1070"/>
      <c r="BD1070"/>
      <c r="BE1070"/>
      <c r="BF1070"/>
    </row>
    <row r="1071" spans="45:83">
      <c r="AT1071" t="s">
        <v>505</v>
      </c>
      <c r="AU1071">
        <f xml:space="preserve"> AW23*AU31*AU38*AU46*AU52*AU58*AU64*AU70*AU75*AU80*AU86*AU93*AU99*AU106*AU110*AU117*AU123*AU130*AU136*AU142*AU146*AU154*AU160*AU163*AU167*AU171*AU175*AU179*AU183*AU187*AU192*AU195*AU200*AU203*AU207*AU212*AU216</f>
        <v>0</v>
      </c>
      <c r="AZ1071"/>
      <c r="BA1071"/>
      <c r="BB1071"/>
      <c r="BC1071"/>
      <c r="BD1071"/>
      <c r="BE1071"/>
      <c r="BF1071"/>
    </row>
    <row r="1072" spans="45:83">
      <c r="AT1072" t="s">
        <v>506</v>
      </c>
      <c r="AU1072">
        <f xml:space="preserve"> AW24*AV31*AV38*AV46*AV52*AV58*AV64*AV70*AV75*AV80*AV86*AV93*AV99*AV106*AV110*AV117*AV123*AV130*AV136*AV142*AV146*AV154*AV160*AV163*AV167*AV171*AV175*AV179*AV183*AV187*AV192*AV195*AV200*AV203*AV207*AV212*AV216</f>
        <v>2.1170918154383975E-13</v>
      </c>
      <c r="AZ1072"/>
      <c r="BA1072"/>
      <c r="BB1072"/>
      <c r="BC1072"/>
      <c r="BD1072"/>
      <c r="BE1072"/>
      <c r="BF1072"/>
    </row>
    <row r="1073" spans="45:83">
      <c r="AT1073" t="s">
        <v>507</v>
      </c>
      <c r="AU1073">
        <f xml:space="preserve"> AW25*AW31*AW38*AW46*AW52*AW58*AW64*AW70*AW75*AW80*AW86*AW93*AW99*AW106*AW110*AW117*AW123*AW130*AW136*AW142*AW146*AW154*AW160*AW163*AW167*AW171*AW175*AW179*AW183*AW187*AW192*AW195*AW200*AW203*AW207*AW212*AW216</f>
        <v>0</v>
      </c>
      <c r="AZ1073"/>
      <c r="BA1073"/>
      <c r="BB1073"/>
      <c r="BC1073"/>
      <c r="BD1073"/>
      <c r="BE1073"/>
      <c r="BF1073"/>
    </row>
    <row r="1074" spans="45:83">
      <c r="AT1074" t="s">
        <v>508</v>
      </c>
      <c r="AU1074">
        <f xml:space="preserve"> AW26*AX31*AX38*AX46*AX52*AX58*AX64*AX70*AX75*AX80*AX86*AX93*AX99*AX106*AX110*AX117*AX123*AX130*AX136*AX142*AX146*AX154*AX160*AX163*AX167*AX171*AX175*AX179*AX183*AX187*AX192*AX195*AX200*AX203*AX207*AX212*AX216</f>
        <v>0</v>
      </c>
      <c r="AZ1074"/>
      <c r="BA1074"/>
      <c r="BB1074"/>
      <c r="BC1074"/>
      <c r="BD1074"/>
      <c r="BE1074"/>
      <c r="BF1074"/>
    </row>
    <row r="1075" spans="45:83">
      <c r="AT1075" t="s">
        <v>509</v>
      </c>
      <c r="AU1075">
        <f xml:space="preserve"> AW27*AY31*AY38*AY46*AY52*AY58*AY64*AY70*AY75*AY80*AY86*AY93*AY99*AY106*AY110*AY117*AY123*AY130*AY136*AY142*AY146*AY154*AY160*AY163*AY167*AY171*AY175*AY179*AY183*AY187*AY192*AY195*AY200*AY203*AY207*AY212*AY216</f>
        <v>0</v>
      </c>
      <c r="AZ1075"/>
      <c r="BA1075"/>
      <c r="BB1075"/>
      <c r="BC1075"/>
      <c r="BD1075"/>
      <c r="BE1075"/>
      <c r="BF1075"/>
    </row>
    <row r="1076" spans="45:83">
      <c r="AZ1076"/>
      <c r="BA1076"/>
      <c r="BB1076"/>
      <c r="BC1076"/>
      <c r="BD1076"/>
      <c r="BE1076"/>
      <c r="BF1076"/>
    </row>
    <row r="1077" spans="45:83">
      <c r="AS1077" s="67" t="s">
        <v>492</v>
      </c>
      <c r="AT1077" s="67"/>
      <c r="AU1077" s="20" t="s">
        <v>64</v>
      </c>
      <c r="AV1077" s="1" t="s">
        <v>43</v>
      </c>
      <c r="AW1077" s="1" t="s">
        <v>44</v>
      </c>
      <c r="AX1077" s="1" t="s">
        <v>45</v>
      </c>
      <c r="AY1077" s="1" t="s">
        <v>46</v>
      </c>
      <c r="AZ1077" s="1" t="s">
        <v>47</v>
      </c>
      <c r="BA1077" s="1" t="s">
        <v>48</v>
      </c>
      <c r="BB1077" s="1" t="s">
        <v>49</v>
      </c>
      <c r="BC1077" s="1" t="s">
        <v>50</v>
      </c>
      <c r="BD1077" s="1" t="s">
        <v>51</v>
      </c>
      <c r="BE1077" s="1" t="s">
        <v>52</v>
      </c>
      <c r="BF1077" s="1" t="s">
        <v>53</v>
      </c>
      <c r="BG1077" s="1" t="s">
        <v>54</v>
      </c>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row>
    <row r="1078" spans="45:83">
      <c r="AS1078" s="67"/>
      <c r="AT1078" s="67"/>
      <c r="AU1078" s="20">
        <v>3</v>
      </c>
      <c r="AV1078" t="s">
        <v>5</v>
      </c>
      <c r="AW1078" t="s">
        <v>4</v>
      </c>
      <c r="AX1078" t="s">
        <v>4</v>
      </c>
      <c r="AY1078" t="s">
        <v>5</v>
      </c>
      <c r="AZ1078" t="s">
        <v>5</v>
      </c>
      <c r="BA1078" t="s">
        <v>5</v>
      </c>
      <c r="BB1078" t="s">
        <v>5</v>
      </c>
      <c r="BC1078" t="s">
        <v>2</v>
      </c>
      <c r="BD1078" t="s">
        <v>2</v>
      </c>
      <c r="BE1078" t="s">
        <v>3</v>
      </c>
      <c r="BF1078" t="s">
        <v>4</v>
      </c>
      <c r="BG1078" t="s">
        <v>2</v>
      </c>
    </row>
    <row r="1079" spans="45:83">
      <c r="AT1079" t="s">
        <v>504</v>
      </c>
      <c r="AU1079">
        <f>AW22*AT34*AT37*AT43*AT52*AT58*AT64*AT70*AT75*AT81*AT86*AT91*AT99*AT105*AT111*AT118*AT124*AT128*AT134*AT141*AT145*AT154*AT158*AT164*AT168*AT172*AT175*AT179*AT183*AT187*AT192*AT195*AT199*AT203*AT207*AT211*AT216</f>
        <v>0</v>
      </c>
      <c r="AZ1079"/>
      <c r="BA1079"/>
      <c r="BB1079"/>
      <c r="BC1079"/>
      <c r="BD1079"/>
      <c r="BE1079"/>
      <c r="BF1079"/>
    </row>
    <row r="1080" spans="45:83">
      <c r="AT1080" t="s">
        <v>505</v>
      </c>
      <c r="AU1080">
        <f>AW23*AU34*AU37*AU43*AU52*AU58*AU64*AU70*AU75*AU81*AU86*AU91*AU99*AU105*AU111*AU118*AU124*AU128*AU134*AU141*AU145*AU154*AU158*AU164*AU168*AU172*AU175*AU179*AU183*AU187*AU192*AU195*AU199*AU203*AU207*AU211*AU216</f>
        <v>0</v>
      </c>
      <c r="AZ1080"/>
      <c r="BA1080"/>
      <c r="BB1080"/>
      <c r="BC1080"/>
      <c r="BD1080"/>
      <c r="BE1080"/>
      <c r="BF1080"/>
    </row>
    <row r="1081" spans="45:83">
      <c r="AT1081" t="s">
        <v>506</v>
      </c>
      <c r="AU1081">
        <f>AW24*AV34*AV37*AV43*AV52*AV58*AV64*AV70*AV75*AV81*AV86*AV91*AV99*AV105*AV111*AV118*AV124*AV128*AV134*AV141*AV145*AV154*AV158*AV164*AV168*AV172*AV175*AV179*AV183*AV187*AV192*AV195*AV199*AV203*AV207*AV211*AV216</f>
        <v>7.3319197071459694E-15</v>
      </c>
      <c r="AZ1081"/>
      <c r="BA1081"/>
      <c r="BB1081"/>
      <c r="BC1081"/>
      <c r="BD1081"/>
      <c r="BE1081"/>
      <c r="BF1081"/>
    </row>
    <row r="1082" spans="45:83">
      <c r="AT1082" t="s">
        <v>507</v>
      </c>
      <c r="AU1082">
        <f>AW25*AW34*AW37*AW43*AW52*AW58*AW64*AW70*AW75*AW81*AW86*AW91*AW99*AW105*AW111*AW118*AW124*AW128*AW134*AW141*AW145*AW154*AW158*AW164*AW168*AW172*AW175*AW179*AW183*AW187*AW192*AW195*AW199*AW203*AW207*AW211*AW216</f>
        <v>0</v>
      </c>
      <c r="AZ1082"/>
      <c r="BA1082"/>
      <c r="BB1082"/>
      <c r="BC1082"/>
      <c r="BD1082"/>
      <c r="BE1082"/>
      <c r="BF1082"/>
    </row>
    <row r="1083" spans="45:83">
      <c r="AT1083" t="s">
        <v>508</v>
      </c>
      <c r="AU1083">
        <f>AW26*AX34*AX37*AX43*AX52*AX58*AX64*AX70*AX75*AX81*AX86*AX91*AX99*AX105*AX111*AX118*AX124*AX128*AX134*AX141*AX145*AX154*AX158*AX164*AX168*AX172*AX175*AX179*AX183*AX187*AX192*AX195*AX199*AX203*AX207*AX211*AX216</f>
        <v>0</v>
      </c>
      <c r="AZ1083"/>
      <c r="BA1083"/>
      <c r="BB1083"/>
      <c r="BC1083"/>
      <c r="BD1083"/>
      <c r="BE1083"/>
      <c r="BF1083"/>
    </row>
    <row r="1084" spans="45:83">
      <c r="AT1084" t="s">
        <v>509</v>
      </c>
      <c r="AU1084">
        <f>AW27*AY34*AY37*AY43*AY52*AY58*AY64*AY70*AY75*AY81*AY86*AY91*AY99*AY105*AY111*AY118*AY124*AY128*AY134*AY141*AY145*AY154*AY158*AY164*AY168*AY172*AY175*AY179*AY183*AY187*AY192*AY195*AY199*AY203*AY207*AY211*AY216</f>
        <v>0</v>
      </c>
      <c r="AZ1084"/>
      <c r="BA1084"/>
      <c r="BB1084"/>
      <c r="BC1084"/>
      <c r="BD1084"/>
      <c r="BE1084"/>
      <c r="BF1084"/>
    </row>
    <row r="1085" spans="45:83">
      <c r="AZ1085"/>
      <c r="BA1085"/>
      <c r="BB1085"/>
      <c r="BC1085"/>
      <c r="BD1085"/>
      <c r="BE1085"/>
      <c r="BF1085"/>
    </row>
    <row r="1086" spans="45:83">
      <c r="AS1086" s="67" t="s">
        <v>321</v>
      </c>
      <c r="AT1086" s="67"/>
      <c r="AU1086" s="20" t="s">
        <v>64</v>
      </c>
      <c r="AV1086" s="1" t="s">
        <v>43</v>
      </c>
      <c r="AW1086" s="1" t="s">
        <v>44</v>
      </c>
      <c r="AX1086" s="1" t="s">
        <v>45</v>
      </c>
      <c r="AY1086" s="1" t="s">
        <v>46</v>
      </c>
      <c r="AZ1086" s="1" t="s">
        <v>47</v>
      </c>
      <c r="BA1086" s="1" t="s">
        <v>48</v>
      </c>
      <c r="BB1086" s="1" t="s">
        <v>49</v>
      </c>
      <c r="BC1086" s="1" t="s">
        <v>50</v>
      </c>
      <c r="BD1086" s="1" t="s">
        <v>51</v>
      </c>
      <c r="BE1086" s="1" t="s">
        <v>52</v>
      </c>
      <c r="BF1086" s="1" t="s">
        <v>53</v>
      </c>
      <c r="BG1086" s="1" t="s">
        <v>54</v>
      </c>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row>
    <row r="1087" spans="45:83">
      <c r="AS1087" s="67"/>
      <c r="AT1087" s="67"/>
      <c r="AU1087" s="20">
        <v>4</v>
      </c>
      <c r="AV1087" s="22" t="s">
        <v>3</v>
      </c>
      <c r="AW1087" t="s">
        <v>3</v>
      </c>
      <c r="AX1087" t="s">
        <v>3</v>
      </c>
      <c r="AY1087" t="s">
        <v>5</v>
      </c>
      <c r="AZ1087" t="s">
        <v>5</v>
      </c>
      <c r="BA1087" t="s">
        <v>5</v>
      </c>
      <c r="BB1087" t="s">
        <v>5</v>
      </c>
      <c r="BC1087" t="s">
        <v>2</v>
      </c>
      <c r="BD1087" t="s">
        <v>2</v>
      </c>
      <c r="BE1087" s="22" t="s">
        <v>3</v>
      </c>
      <c r="BF1087" s="22" t="s">
        <v>3</v>
      </c>
      <c r="BG1087" t="s">
        <v>5</v>
      </c>
    </row>
    <row r="1088" spans="45:83">
      <c r="AT1088" t="s">
        <v>504</v>
      </c>
      <c r="AU1088">
        <f>AW22*AT32*AT38*AT44*AT52*AT58*AT64*AT70*AT75*AT81*AT86*AT92*AT100*AT106*AT110*AT117*AT124*AT130*AT136*AT139*AT145*AT151*AT159*AT164*AT167*AT171*AT175*AT179*AT183*AT188*AT192*AT195*AT200*AT204*AT207*AT211*AT216</f>
        <v>4.5469358308847406E-10</v>
      </c>
      <c r="AZ1088"/>
      <c r="BA1088"/>
      <c r="BB1088"/>
      <c r="BC1088"/>
      <c r="BD1088"/>
      <c r="BE1088"/>
      <c r="BF1088"/>
    </row>
    <row r="1089" spans="45:83">
      <c r="AT1089" t="s">
        <v>505</v>
      </c>
      <c r="AU1089">
        <f>AW23*AU32*AU38*AU44*AU52*AU58*AU64*AU70*AU75*AU81*AU86*AU92*AU100*AU106*AU110*AU117*AU124*AU130*AU136*AU139*AU145*AU151*AU159*AU164*AU167*AU171*AU175*AU179*AU183*AU188*AU192*AU195*AU200*AU204*AU207*AU211*AU216</f>
        <v>0</v>
      </c>
      <c r="AZ1089"/>
      <c r="BA1089"/>
      <c r="BB1089"/>
      <c r="BC1089"/>
      <c r="BD1089"/>
      <c r="BE1089"/>
      <c r="BF1089"/>
    </row>
    <row r="1090" spans="45:83">
      <c r="AT1090" t="s">
        <v>506</v>
      </c>
      <c r="AU1090">
        <f>AW24*AV32*AV38*AV44*AV52*AV58*AV64*AV70*AV75*AV81*AV86*AV92*AV100*AV106*AV110*AV117*AV124*AV130*AV136*AV139*AV145*AV151*AV159*AV164*AV167*AV171*AV175*AV179*AV183*AV188*AV192*AV195*AV200*AV204*AV207*AV211*AV216</f>
        <v>0</v>
      </c>
      <c r="AZ1090"/>
      <c r="BA1090"/>
      <c r="BB1090"/>
      <c r="BC1090"/>
      <c r="BD1090"/>
      <c r="BE1090"/>
      <c r="BF1090"/>
    </row>
    <row r="1091" spans="45:83">
      <c r="AT1091" t="s">
        <v>507</v>
      </c>
      <c r="AU1091">
        <f>AW25*AW32*AW38*AW44*AW52*AW58*AW64*AW70*AW75*AW81*AW86*AW92*AW100*AW106*AW110*AW117*AW124*AW130*AW136*AW139*AW145*AW151*AW159*AW164*AW167*AW171*AW175*AW179*AW183*AW188*AW192*AW195*AW200*AW204*AW207*AW211*AW216</f>
        <v>6.0839707758247844E-8</v>
      </c>
      <c r="AZ1091"/>
      <c r="BA1091"/>
      <c r="BB1091"/>
      <c r="BC1091"/>
      <c r="BD1091"/>
      <c r="BE1091"/>
      <c r="BF1091"/>
    </row>
    <row r="1092" spans="45:83">
      <c r="AT1092" t="s">
        <v>508</v>
      </c>
      <c r="AU1092">
        <f>AW26*AX32*AX38*AX44*AX52*AX58*AX64*AX70*AX75*AX81*AX86*AX92*AX100*AX106*AX110*AX117*AX124*AX130*AX136*AX139*AX145*AX151*AX159*AX164*AX167*AX171*AX175*AX179*AX183*AX188*AX192*AX195*AX200*AX204*AX207*AX211*AX216</f>
        <v>0</v>
      </c>
      <c r="AZ1092"/>
      <c r="BA1092"/>
      <c r="BB1092"/>
      <c r="BC1092"/>
      <c r="BD1092"/>
      <c r="BE1092"/>
      <c r="BF1092"/>
    </row>
    <row r="1093" spans="45:83">
      <c r="AT1093" t="s">
        <v>509</v>
      </c>
      <c r="AU1093">
        <f>AW27*AY32*AY38*AY44*AY52*AY58*AY64*AY70*AY75*AY81*AY86*AY92*AY100*AY106*AY110*AY117*AY124*AY130*AY136*AY139*AY145*AY151*AY159*AY164*AY167*AY171*AY175*AY179*AY183*AY188*AY192*AY195*AY200*AY204*AY207*AY211*AY216</f>
        <v>0</v>
      </c>
      <c r="AZ1093"/>
      <c r="BA1093"/>
      <c r="BB1093"/>
      <c r="BC1093"/>
      <c r="BD1093"/>
      <c r="BE1093"/>
      <c r="BF1093"/>
    </row>
    <row r="1094" spans="45:83">
      <c r="AZ1094"/>
      <c r="BA1094"/>
      <c r="BB1094"/>
      <c r="BC1094"/>
      <c r="BD1094"/>
      <c r="BE1094"/>
      <c r="BF1094"/>
    </row>
    <row r="1095" spans="45:83">
      <c r="AS1095" s="67" t="s">
        <v>471</v>
      </c>
      <c r="AT1095" s="67"/>
      <c r="AU1095" s="20" t="s">
        <v>64</v>
      </c>
      <c r="AV1095" s="1" t="s">
        <v>43</v>
      </c>
      <c r="AW1095" s="1" t="s">
        <v>44</v>
      </c>
      <c r="AX1095" s="1" t="s">
        <v>45</v>
      </c>
      <c r="AY1095" s="1" t="s">
        <v>46</v>
      </c>
      <c r="AZ1095" s="1" t="s">
        <v>47</v>
      </c>
      <c r="BA1095" s="1" t="s">
        <v>48</v>
      </c>
      <c r="BB1095" s="1" t="s">
        <v>49</v>
      </c>
      <c r="BC1095" s="1" t="s">
        <v>50</v>
      </c>
      <c r="BD1095" s="1" t="s">
        <v>51</v>
      </c>
      <c r="BE1095" s="1" t="s">
        <v>52</v>
      </c>
      <c r="BF1095" s="1" t="s">
        <v>53</v>
      </c>
      <c r="BG1095" s="1" t="s">
        <v>54</v>
      </c>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row>
    <row r="1096" spans="45:83">
      <c r="AS1096" s="67"/>
      <c r="AT1096" s="67"/>
      <c r="AU1096" s="20">
        <v>4</v>
      </c>
      <c r="AV1096" t="s">
        <v>5</v>
      </c>
      <c r="AW1096" t="s">
        <v>5</v>
      </c>
      <c r="AX1096" t="s">
        <v>2</v>
      </c>
      <c r="AY1096" t="s">
        <v>5</v>
      </c>
      <c r="AZ1096" t="s">
        <v>5</v>
      </c>
      <c r="BA1096" t="s">
        <v>5</v>
      </c>
      <c r="BB1096" t="s">
        <v>5</v>
      </c>
      <c r="BC1096" t="s">
        <v>2</v>
      </c>
      <c r="BD1096" t="s">
        <v>3</v>
      </c>
      <c r="BE1096" t="s">
        <v>4</v>
      </c>
      <c r="BF1096" t="s">
        <v>4</v>
      </c>
      <c r="BG1096" t="s">
        <v>3</v>
      </c>
    </row>
    <row r="1097" spans="45:83">
      <c r="AT1097" t="s">
        <v>504</v>
      </c>
      <c r="AU1097">
        <f>AW22*AT34*AT40*AT45*AT52*AT58*AT64*AT70*AT75*AT80*AT85*AT91*AT98*AT105*AT111*AT116*AT124*AT128*AT135*AT142*AT146*AT151*AT157*AT164*AT167*AT171*AT175*AT179*AT183*AT187*AT192*AT196*AT200*AT203*AT207*AT212*AT216</f>
        <v>0</v>
      </c>
      <c r="AZ1097"/>
      <c r="BA1097"/>
      <c r="BB1097"/>
      <c r="BC1097"/>
      <c r="BD1097"/>
      <c r="BE1097"/>
      <c r="BF1097"/>
    </row>
    <row r="1098" spans="45:83">
      <c r="AT1098" t="s">
        <v>505</v>
      </c>
      <c r="AU1098">
        <f>AW23*AU34*AU40*AU45*AU52*AU58*AU64*AU70*AU75*AU80*AU85*AU91*AU98*AU105*AU111*AU116*AU124*AU128*AU135*AU142*AU146*AU151*AU157*AU164*AU167*AU171*AU175*AU179*AU183*AU187*AU192*AU196*AU200*AU203*AU207*AU212*AU216</f>
        <v>0</v>
      </c>
      <c r="AZ1098"/>
      <c r="BA1098"/>
      <c r="BB1098"/>
      <c r="BC1098"/>
      <c r="BD1098"/>
      <c r="BE1098"/>
      <c r="BF1098"/>
    </row>
    <row r="1099" spans="45:83">
      <c r="AT1099" t="s">
        <v>506</v>
      </c>
      <c r="AU1099">
        <f>AW24*AV34*AV40*AV45*AV52*AV58*AV64*AV70*AV75*AV80*AV85*AV91*AV98*AV105*AV111*AV116*AV124*AV128*AV135*AV142*AV146*AV151*AV157*AV164*AV167*AV171*AV175*AV179*AV183*AV187*AV192*AV196*AV200*AV203*AV207*AV212*AV216</f>
        <v>0</v>
      </c>
      <c r="AZ1099"/>
      <c r="BA1099"/>
      <c r="BB1099"/>
      <c r="BC1099"/>
      <c r="BD1099"/>
      <c r="BE1099"/>
      <c r="BF1099"/>
    </row>
    <row r="1100" spans="45:83">
      <c r="AT1100" t="s">
        <v>507</v>
      </c>
      <c r="AU1100">
        <f>AW25*AW34*AW40*AW45*AW52*AW58*AW64*AW70*AW75*AW80*AW85*AW91*AW98*AW105*AW111*AW116*AW124*AW128*AW135*AW142*AW146*AW151*AW157*AW164*AW167*AW171*AW175*AW179*AW183*AW187*AW192*AW196*AW200*AW203*AW207*AW212*AW216</f>
        <v>0</v>
      </c>
      <c r="AZ1100"/>
      <c r="BA1100"/>
      <c r="BB1100"/>
      <c r="BC1100"/>
      <c r="BD1100"/>
      <c r="BE1100"/>
      <c r="BF1100"/>
    </row>
    <row r="1101" spans="45:83">
      <c r="AT1101" t="s">
        <v>508</v>
      </c>
      <c r="AU1101">
        <f>AW26*AX34*AX40*AX45*AX52*AX58*AX64*AX70*AX75*AX80*AX85*AX91*AX98*AX105*AX111*AX116*AX124*AX128*AX135*AX142*AX146*AX151*AX157*AX164*AX167*AX171*AX175*AX179*AX183*AX187*AX192*AX196*AX200*AX203*AX207*AX212*AX216</f>
        <v>0</v>
      </c>
      <c r="AZ1101"/>
      <c r="BA1101"/>
      <c r="BB1101"/>
      <c r="BC1101"/>
      <c r="BD1101"/>
      <c r="BE1101"/>
      <c r="BF1101"/>
    </row>
    <row r="1102" spans="45:83">
      <c r="AT1102" t="s">
        <v>509</v>
      </c>
      <c r="AU1102">
        <f>AW27*AY34*AY40*AY45*AY52*AY58*AY64*AY70*AY75*AY80*AY85*AY91*AY98*AY105*AY111*AY116*AY124*AY128*AY135*AY142*AY146*AY151*AY157*AY164*AY167*AY171*AY175*AY179*AY183*AY187*AY192*AY196*AY200*AY203*AY207*AY212*AY216</f>
        <v>4.5273082799857859E-13</v>
      </c>
      <c r="AZ1102"/>
      <c r="BA1102"/>
      <c r="BB1102"/>
      <c r="BC1102"/>
      <c r="BD1102"/>
      <c r="BE1102"/>
      <c r="BF1102"/>
    </row>
    <row r="1103" spans="45:83">
      <c r="AZ1103"/>
      <c r="BA1103"/>
      <c r="BB1103"/>
      <c r="BC1103"/>
      <c r="BD1103"/>
      <c r="BE1103"/>
      <c r="BF1103"/>
    </row>
    <row r="1104" spans="45:83">
      <c r="AS1104" s="67" t="s">
        <v>516</v>
      </c>
      <c r="AT1104" s="67"/>
      <c r="AU1104" s="20" t="s">
        <v>64</v>
      </c>
      <c r="AV1104" s="1" t="s">
        <v>43</v>
      </c>
      <c r="AW1104" s="1" t="s">
        <v>44</v>
      </c>
      <c r="AX1104" s="1" t="s">
        <v>45</v>
      </c>
      <c r="AY1104" s="1" t="s">
        <v>46</v>
      </c>
      <c r="AZ1104" s="1" t="s">
        <v>47</v>
      </c>
      <c r="BA1104" s="1" t="s">
        <v>48</v>
      </c>
      <c r="BB1104" s="1" t="s">
        <v>49</v>
      </c>
      <c r="BC1104" s="1" t="s">
        <v>50</v>
      </c>
      <c r="BD1104" s="1" t="s">
        <v>51</v>
      </c>
      <c r="BE1104" s="1" t="s">
        <v>52</v>
      </c>
      <c r="BF1104" s="1" t="s">
        <v>53</v>
      </c>
      <c r="BG1104" s="1" t="s">
        <v>54</v>
      </c>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row>
    <row r="1105" spans="45:83">
      <c r="AS1105" s="67"/>
      <c r="AT1105" s="67"/>
      <c r="AU1105" s="20">
        <v>4</v>
      </c>
      <c r="AV1105" t="s">
        <v>2</v>
      </c>
      <c r="AW1105" t="s">
        <v>5</v>
      </c>
      <c r="AX1105" t="s">
        <v>2</v>
      </c>
      <c r="AY1105" t="s">
        <v>5</v>
      </c>
      <c r="AZ1105" t="s">
        <v>5</v>
      </c>
      <c r="BA1105" t="s">
        <v>5</v>
      </c>
      <c r="BB1105" t="s">
        <v>5</v>
      </c>
      <c r="BC1105" t="s">
        <v>2</v>
      </c>
      <c r="BD1105" t="s">
        <v>2</v>
      </c>
      <c r="BE1105" t="s">
        <v>2</v>
      </c>
      <c r="BF1105" t="s">
        <v>5</v>
      </c>
      <c r="BG1105" t="s">
        <v>4</v>
      </c>
    </row>
    <row r="1106" spans="45:83">
      <c r="AT1106" t="s">
        <v>504</v>
      </c>
      <c r="AU1106">
        <f>AW22*AT33*AT40*AT45*AT52*AT58*AT64*AT70*AT75*AT81*AT87*AT94*AT97*AT106*AT111*AT115*AT124*AT130*AT136*AT139*AT146*AT151*AT157*AT164*AT167*AT171*AT175*AT179*AT183*AT187*AT192*AT195*AT200*AT203*AT207*AT212*AT216</f>
        <v>0</v>
      </c>
      <c r="AZ1106"/>
      <c r="BA1106"/>
      <c r="BB1106"/>
      <c r="BC1106"/>
      <c r="BD1106"/>
      <c r="BE1106"/>
      <c r="BF1106"/>
    </row>
    <row r="1107" spans="45:83">
      <c r="AT1107" t="s">
        <v>505</v>
      </c>
      <c r="AU1107">
        <f>AW23*AU33*AU40*AU45*AU52*AU58*AU64*AU70*AU75*AU81*AU87*AU94*AU97*AU106*AU111*AU115*AU124*AU130*AU136*AU139*AU146*AU151*AU157*AU164*AU167*AU171*AU175*AU179*AU183*AU187*AU192*AU195*AU200*AU203*AU207*AU212*AU216</f>
        <v>0</v>
      </c>
      <c r="AZ1107"/>
      <c r="BA1107"/>
      <c r="BB1107"/>
      <c r="BC1107"/>
      <c r="BD1107"/>
      <c r="BE1107"/>
      <c r="BF1107"/>
    </row>
    <row r="1108" spans="45:83">
      <c r="AT1108" t="s">
        <v>506</v>
      </c>
      <c r="AU1108">
        <f>AW24*AV33*AV40*AV45*AV52*AV58*AV64*AV70*AV75*AV81*AV87*AV94*AV97*AV106*AV111*AV115*AV124*AV130*AV136*AV139*AV146*AV151*AV157*AV164*AV167*AV171*AV175*AV179*AV183*AV187*AV192*AV195*AV200*AV203*AV207*AV212*AV216</f>
        <v>0</v>
      </c>
      <c r="AZ1108"/>
      <c r="BA1108"/>
      <c r="BB1108"/>
      <c r="BC1108"/>
      <c r="BD1108"/>
      <c r="BE1108"/>
      <c r="BF1108"/>
    </row>
    <row r="1109" spans="45:83">
      <c r="AT1109" t="s">
        <v>507</v>
      </c>
      <c r="AU1109">
        <f>AW25*AW33*AW40*AW45*AW52*AW58*AW64*AW70*AW75*AW81*AW87*AW94*AW97*AW106*AW111*AW115*AW124*AW130*AW136*AW139*AW146*AW151*AW157*AW164*AW167*AW171*AW175*AW179*AW183*AW187*AW192*AW195*AW200*AW203*AW207*AW212*AW216</f>
        <v>1.6555022519251112E-10</v>
      </c>
      <c r="AZ1109"/>
      <c r="BA1109"/>
      <c r="BB1109"/>
      <c r="BC1109"/>
      <c r="BD1109"/>
      <c r="BE1109"/>
      <c r="BF1109"/>
    </row>
    <row r="1110" spans="45:83">
      <c r="AT1110" t="s">
        <v>508</v>
      </c>
      <c r="AU1110">
        <f>AW26*AX33*AX40*AX45*AX52*AX58*AX64*AX70*AX75*AX81*AX87*AX94*AX97*AX106*AX111*AX115*AX124*AX130*AX136*AX139*AX146*AX151*AX157*AX164*AX167*AX171*AX175*AX179*AX183*AX187*AX192*AX195*AX200*AX203*AX207*AX212*AX216</f>
        <v>0</v>
      </c>
      <c r="AZ1110"/>
      <c r="BA1110"/>
      <c r="BB1110"/>
      <c r="BC1110"/>
      <c r="BD1110"/>
      <c r="BE1110"/>
      <c r="BF1110"/>
    </row>
    <row r="1111" spans="45:83">
      <c r="AT1111" t="s">
        <v>509</v>
      </c>
      <c r="AU1111">
        <f>AW27*AY33*AY40*AY45*AY52*AY58*AY64*AY70*AY75*AY81*AY87*AY94*AY97*AY106*AY111*AY115*AY124*AY130*AY136*AY139*AY146*AY151*AY157*AY164*AY167*AY171*AY175*AY179*AY183*AY187*AY192*AY195*AY200*AY203*AY207*AY212*AY216</f>
        <v>0</v>
      </c>
      <c r="AZ1111"/>
      <c r="BA1111"/>
      <c r="BB1111"/>
      <c r="BC1111"/>
      <c r="BD1111"/>
      <c r="BE1111"/>
      <c r="BF1111"/>
    </row>
    <row r="1112" spans="45:83">
      <c r="AZ1112"/>
      <c r="BA1112"/>
      <c r="BB1112"/>
      <c r="BC1112"/>
      <c r="BD1112"/>
      <c r="BE1112"/>
      <c r="BF1112"/>
    </row>
    <row r="1113" spans="45:83">
      <c r="AS1113" s="67" t="s">
        <v>486</v>
      </c>
      <c r="AT1113" s="67"/>
      <c r="AU1113" s="20" t="s">
        <v>64</v>
      </c>
      <c r="AV1113" s="1" t="s">
        <v>43</v>
      </c>
      <c r="AW1113" s="1" t="s">
        <v>44</v>
      </c>
      <c r="AX1113" s="1" t="s">
        <v>45</v>
      </c>
      <c r="AY1113" s="1" t="s">
        <v>46</v>
      </c>
      <c r="AZ1113" s="1" t="s">
        <v>47</v>
      </c>
      <c r="BA1113" s="1" t="s">
        <v>48</v>
      </c>
      <c r="BB1113" s="1" t="s">
        <v>49</v>
      </c>
      <c r="BC1113" s="1" t="s">
        <v>50</v>
      </c>
      <c r="BD1113" s="1" t="s">
        <v>51</v>
      </c>
      <c r="BE1113" s="1" t="s">
        <v>52</v>
      </c>
      <c r="BF1113" s="1" t="s">
        <v>53</v>
      </c>
      <c r="BG1113" s="1" t="s">
        <v>54</v>
      </c>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row>
    <row r="1114" spans="45:83">
      <c r="AS1114" s="67"/>
      <c r="AT1114" s="67"/>
      <c r="AU1114" s="20">
        <v>4</v>
      </c>
      <c r="AV1114" t="s">
        <v>3</v>
      </c>
      <c r="AW1114" t="s">
        <v>5</v>
      </c>
      <c r="AX1114" t="s">
        <v>4</v>
      </c>
      <c r="AY1114" t="s">
        <v>5</v>
      </c>
      <c r="AZ1114" t="s">
        <v>5</v>
      </c>
      <c r="BA1114" t="s">
        <v>5</v>
      </c>
      <c r="BB1114" t="s">
        <v>5</v>
      </c>
      <c r="BC1114" t="s">
        <v>2</v>
      </c>
      <c r="BD1114" t="s">
        <v>2</v>
      </c>
      <c r="BE1114" t="s">
        <v>4</v>
      </c>
      <c r="BF1114" t="s">
        <v>4</v>
      </c>
      <c r="BG1114" t="s">
        <v>5</v>
      </c>
    </row>
    <row r="1115" spans="45:83">
      <c r="AT1115" t="s">
        <v>504</v>
      </c>
      <c r="AU1115">
        <f>AW22*AT32*AT40*AT43*AT52*AT58*AT64*AT70*AT75*AT81*AT85*AT91*AT100*AT105*AT110*AT118*AT124*AT129*AT136*AT142*AT145*AT151*AT159*AT164*AT167*AT171*AT175*AT179*AT183*AT187*AT192*AT195*AT200*AT203*AT207*AT211*AT216</f>
        <v>0</v>
      </c>
      <c r="AZ1115"/>
      <c r="BA1115"/>
      <c r="BB1115"/>
      <c r="BC1115"/>
      <c r="BD1115"/>
      <c r="BE1115"/>
      <c r="BF1115"/>
    </row>
    <row r="1116" spans="45:83">
      <c r="AT1116" t="s">
        <v>505</v>
      </c>
      <c r="AU1116">
        <f>AW23*AU32*AU40*AU43*AU52*AU58*AU64*AU70*AU75*AU81*AU85*AU91*AU100*AU105*AU110*AU118*AU124*AU129*AU136*AU142*AU145*AU151*AU159*AU164*AU167*AU171*AU175*AU179*AU183*AU187*AU192*AU195*AU200*AU203*AU207*AU211*AU216</f>
        <v>0</v>
      </c>
      <c r="AZ1116"/>
      <c r="BA1116"/>
      <c r="BB1116"/>
      <c r="BC1116"/>
      <c r="BD1116"/>
      <c r="BE1116"/>
      <c r="BF1116"/>
    </row>
    <row r="1117" spans="45:83">
      <c r="AT1117" t="s">
        <v>506</v>
      </c>
      <c r="AU1117">
        <f>AW24*AV32*AV40*AV43*AV52*AV58*AV64*AV70*AV75*AV81*AV85*AV91*AV100*AV105*AV110*AV118*AV124*AV129*AV136*AV142*AV145*AV151*AV159*AV164*AV167*AV171*AV175*AV179*AV183*AV187*AV192*AV195*AV200*AV203*AV207*AV211*AV216</f>
        <v>0</v>
      </c>
      <c r="AZ1117"/>
      <c r="BA1117"/>
      <c r="BB1117"/>
      <c r="BC1117"/>
      <c r="BD1117"/>
      <c r="BE1117"/>
      <c r="BF1117"/>
    </row>
    <row r="1118" spans="45:83">
      <c r="AT1118" t="s">
        <v>507</v>
      </c>
      <c r="AU1118">
        <f>AW25*AW32*AW40*AW43*AW52*AW58*AW64*AW70*AW75*AW81*AW85*AW91*AW100*AW105*AW110*AW118*AW124*AW129*AW136*AW142*AW145*AW151*AW159*AW164*AW167*AW171*AW175*AW179*AW183*AW187*AW192*AW195*AW200*AW203*AW207*AW211*AW216</f>
        <v>8.0449200341484734E-10</v>
      </c>
      <c r="AZ1118"/>
      <c r="BA1118"/>
      <c r="BB1118"/>
      <c r="BC1118"/>
      <c r="BD1118"/>
      <c r="BE1118"/>
      <c r="BF1118"/>
    </row>
    <row r="1119" spans="45:83">
      <c r="AT1119" t="s">
        <v>508</v>
      </c>
      <c r="AU1119">
        <f>AW26*AX32*AX40*AX43*AX52*AX58*AX64*AX70*AX75*AX81*AX85*AX91*AX100*AX105*AX110*AX118*AX124*AX129*AX136*AX142*AX145*AX151*AX159*AX164*AX167*AX171*AX175*AX179*AX183*AX187*AX192*AX195*AX200*AX203*AX207*AX211*AX216</f>
        <v>0</v>
      </c>
      <c r="AZ1119"/>
      <c r="BA1119"/>
      <c r="BB1119"/>
      <c r="BC1119"/>
      <c r="BD1119"/>
      <c r="BE1119"/>
      <c r="BF1119"/>
    </row>
    <row r="1120" spans="45:83">
      <c r="AT1120" t="s">
        <v>509</v>
      </c>
      <c r="AU1120">
        <f>AW27 * AY32 * AY40 * AY43 * AY52 * AY58 * AY64 * AY70 * AY75 * AY81 * AY85 * AY91 * AY100 * AY105 * AY110 * AY118 * AY124 * AY129 * AY136 * AY142 * AY145 * AY151 * AY159 * AY164 * AY167 * AY171 * AY175 * AY179 * AY183 * AY187 * AY192 * AY195 * AY200 * AY203 * AY207 * AY211 * AY216</f>
        <v>0</v>
      </c>
      <c r="AZ1120"/>
      <c r="BA1120"/>
      <c r="BB1120"/>
      <c r="BC1120"/>
      <c r="BD1120"/>
      <c r="BE1120"/>
      <c r="BF1120"/>
    </row>
    <row r="1121" spans="45:83">
      <c r="AZ1121"/>
      <c r="BA1121"/>
      <c r="BB1121"/>
      <c r="BC1121"/>
      <c r="BD1121"/>
      <c r="BE1121"/>
      <c r="BF1121"/>
    </row>
    <row r="1122" spans="45:83">
      <c r="AS1122" s="67" t="s">
        <v>479</v>
      </c>
      <c r="AT1122" s="67"/>
      <c r="AU1122" s="20" t="s">
        <v>64</v>
      </c>
      <c r="AV1122" s="1" t="s">
        <v>43</v>
      </c>
      <c r="AW1122" s="1" t="s">
        <v>44</v>
      </c>
      <c r="AX1122" s="1" t="s">
        <v>45</v>
      </c>
      <c r="AY1122" s="1" t="s">
        <v>46</v>
      </c>
      <c r="AZ1122" s="1" t="s">
        <v>47</v>
      </c>
      <c r="BA1122" s="1" t="s">
        <v>48</v>
      </c>
      <c r="BB1122" s="1" t="s">
        <v>49</v>
      </c>
      <c r="BC1122" s="1" t="s">
        <v>50</v>
      </c>
      <c r="BD1122" s="1" t="s">
        <v>51</v>
      </c>
      <c r="BE1122" s="1" t="s">
        <v>52</v>
      </c>
      <c r="BF1122" s="1" t="s">
        <v>53</v>
      </c>
      <c r="BG1122" s="1" t="s">
        <v>54</v>
      </c>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row>
    <row r="1123" spans="45:83">
      <c r="AS1123" s="67"/>
      <c r="AT1123" s="67"/>
      <c r="AU1123" s="20">
        <v>5</v>
      </c>
      <c r="AV1123" t="s">
        <v>2</v>
      </c>
      <c r="AW1123" t="s">
        <v>3</v>
      </c>
      <c r="AX1123" t="s">
        <v>5</v>
      </c>
      <c r="AY1123" t="s">
        <v>5</v>
      </c>
      <c r="AZ1123" t="s">
        <v>5</v>
      </c>
      <c r="BA1123" t="s">
        <v>5</v>
      </c>
      <c r="BB1123" t="s">
        <v>5</v>
      </c>
      <c r="BC1123" t="s">
        <v>2</v>
      </c>
      <c r="BD1123" t="s">
        <v>3</v>
      </c>
      <c r="BE1123" t="s">
        <v>3</v>
      </c>
      <c r="BF1123" t="s">
        <v>5</v>
      </c>
      <c r="BG1123" t="s">
        <v>2</v>
      </c>
    </row>
    <row r="1124" spans="45:83">
      <c r="AT1124" t="s">
        <v>504</v>
      </c>
      <c r="AU1124">
        <f>AW22*AT33*AT38*AT46*AT52*AT58*AT64*AT70*AT75*AT80*AT86*AT94*AT99*AT106*AT111*AT117*AT124*AT130*AT136*AT140*AT146*AT151*AT159*AT164*AT167*AT171*AT175*AT179*AT183*AT188*AT192*AT195*AT200*AT203*AT207*AT211*AT216</f>
        <v>0</v>
      </c>
      <c r="AZ1124"/>
      <c r="BA1124"/>
      <c r="BB1124"/>
      <c r="BC1124"/>
      <c r="BD1124"/>
      <c r="BE1124"/>
      <c r="BF1124"/>
    </row>
    <row r="1125" spans="45:83">
      <c r="AT1125" t="s">
        <v>505</v>
      </c>
      <c r="AU1125">
        <f>AW23 * AU33 * AU38 * AU46 * AU52 * AU58 * AU64 * AU70 * AU75 * AU80 * AU86 * AU94 * AU99 * AU106 * AU111 * AU117 * AU124 * AU130 * AU136 * AU140 * AU146 * AU151 * AU159 * AU164 * AU167 * AU171 * AU175 * AU179 * AU183 * AU188 * AU192 * AU195 * AU200 * AU203 * AU207 * AU211 * AU216</f>
        <v>0</v>
      </c>
      <c r="AZ1125"/>
      <c r="BA1125"/>
      <c r="BB1125"/>
      <c r="BC1125"/>
      <c r="BD1125"/>
      <c r="BE1125"/>
      <c r="BF1125"/>
    </row>
    <row r="1126" spans="45:83">
      <c r="AT1126" t="s">
        <v>506</v>
      </c>
      <c r="AU1126">
        <f>AW24 * AV33 * AV38 * AV46 * AV52 * AV58 * AV64 * AV70 * AV75 * AV80 * AV86 * AV94 * AV99 * AV106 * AV111 * AV117 * AV124 * AV130 * AV136 * AV140 * AV146 * AV151 * AV159 * AV164 * AV167 * AV171 * AV175 * AV179 * AV183 * AV188 * AV192 * AV195 * AV200 * AV203 * AV207 * AV211 * AV216</f>
        <v>0</v>
      </c>
      <c r="AZ1126"/>
      <c r="BA1126"/>
      <c r="BB1126"/>
      <c r="BC1126"/>
      <c r="BD1126"/>
      <c r="BE1126"/>
      <c r="BF1126"/>
    </row>
    <row r="1127" spans="45:83">
      <c r="AT1127" t="s">
        <v>507</v>
      </c>
      <c r="AU1127">
        <f>AW25 * AW33 * AW38 * AW46 * AW52 * AW58 * AW64 * AW70 * AW75 * AW80 * AW86 * AW94 * AW99 * AW106 * AW111 * AW117 * AW124 * AW130 * AW136 * AW140 * AW146 * AW151 * AW159 * AW164 * AW167 * AW171 * AW175 * AW179 * AW183 * AW188 * AW192 * AW195 * AW200 * AW203 * AW207 * AW211 * AW216</f>
        <v>1.7168171501445595E-10</v>
      </c>
      <c r="AZ1127"/>
      <c r="BA1127"/>
      <c r="BB1127"/>
      <c r="BC1127"/>
      <c r="BD1127"/>
      <c r="BE1127"/>
      <c r="BF1127"/>
    </row>
    <row r="1128" spans="45:83">
      <c r="AT1128" t="s">
        <v>508</v>
      </c>
      <c r="AU1128">
        <f>AW26 * AX33 * AX38 * AX46 * AX52 * AX58 * AX64 * AX70 * AX75 * AX80 * AX86 * AX94 * AX99 * AX106 * AX111 * AX117 * AX124 * AX130 * AX136 * AX140 * AX146 * AX151 * AX159 * AX164 * AX167 * AX171 * AX175 * AX179 * AX183 * AX188 * AX192 * AX195 * AX200 * AX203 * AX207 * AX211 * AX216</f>
        <v>8.8998415091315388E-11</v>
      </c>
      <c r="AZ1128"/>
      <c r="BA1128"/>
      <c r="BB1128"/>
      <c r="BC1128"/>
      <c r="BD1128"/>
      <c r="BE1128"/>
      <c r="BF1128"/>
    </row>
    <row r="1129" spans="45:83">
      <c r="AT1129" t="s">
        <v>509</v>
      </c>
      <c r="AU1129">
        <f>AW27 * AY33 * AY38 * AY46 * AY52 * AY58 * AY64 * AY70 * AY75 * AY80 * AY86 * AY94 * AY99 * AY106 * AY111 * AY117 * AY124 * AY130 * AY136 * AY140 * AY146 * AY151 * AY159 * AY164 * AY167 * AY171 * AY175 * AY179 * AY183 * AY188 * AY192 * AY195 * AY200 * AY203 * AY207 * AY211 * AY216</f>
        <v>0</v>
      </c>
      <c r="AZ1129"/>
      <c r="BA1129"/>
      <c r="BB1129"/>
      <c r="BC1129"/>
      <c r="BD1129"/>
      <c r="BE1129"/>
      <c r="BF1129"/>
    </row>
    <row r="1130" spans="45:83">
      <c r="AZ1130"/>
      <c r="BA1130"/>
      <c r="BB1130"/>
      <c r="BC1130"/>
      <c r="BD1130"/>
      <c r="BE1130"/>
      <c r="BF1130"/>
    </row>
    <row r="1131" spans="45:83">
      <c r="AS1131" s="67" t="s">
        <v>480</v>
      </c>
      <c r="AT1131" s="67"/>
      <c r="AU1131" s="20" t="s">
        <v>64</v>
      </c>
      <c r="AV1131" s="1" t="s">
        <v>43</v>
      </c>
      <c r="AW1131" s="1" t="s">
        <v>44</v>
      </c>
      <c r="AX1131" s="1" t="s">
        <v>45</v>
      </c>
      <c r="AY1131" s="1" t="s">
        <v>46</v>
      </c>
      <c r="AZ1131" s="1" t="s">
        <v>47</v>
      </c>
      <c r="BA1131" s="1" t="s">
        <v>48</v>
      </c>
      <c r="BB1131" s="1" t="s">
        <v>49</v>
      </c>
      <c r="BC1131" s="1" t="s">
        <v>50</v>
      </c>
      <c r="BD1131" s="1" t="s">
        <v>51</v>
      </c>
      <c r="BE1131" s="1" t="s">
        <v>52</v>
      </c>
      <c r="BF1131" s="1" t="s">
        <v>53</v>
      </c>
      <c r="BG1131" s="1" t="s">
        <v>54</v>
      </c>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row>
    <row r="1132" spans="45:83">
      <c r="AS1132" s="67"/>
      <c r="AT1132" s="67"/>
      <c r="AU1132" s="20">
        <v>5</v>
      </c>
      <c r="AV1132" s="22" t="s">
        <v>2</v>
      </c>
      <c r="AW1132" s="22" t="s">
        <v>3</v>
      </c>
      <c r="AX1132" t="s">
        <v>4</v>
      </c>
      <c r="AY1132" t="s">
        <v>5</v>
      </c>
      <c r="AZ1132" t="s">
        <v>5</v>
      </c>
      <c r="BA1132" t="s">
        <v>3</v>
      </c>
      <c r="BB1132" t="s">
        <v>5</v>
      </c>
      <c r="BC1132" t="s">
        <v>2</v>
      </c>
      <c r="BD1132" t="s">
        <v>3</v>
      </c>
      <c r="BE1132" t="s">
        <v>2</v>
      </c>
      <c r="BF1132" t="s">
        <v>2</v>
      </c>
      <c r="BG1132" t="s">
        <v>5</v>
      </c>
    </row>
    <row r="1133" spans="45:83">
      <c r="AT1133" t="s">
        <v>504</v>
      </c>
      <c r="AU1133">
        <f>AW22*AT34*AT38*AT43*AT52*AT58*AT62*AT70*AT75*AT80*AT87*AT93*AT100*AT106*AT111*AT118*AT124*AT128*AT136*AT141*AT145*AT151*AT159*AT164*AT167*AT171*AT175*AT179*AT183*AT187*AT192*AT195*AT200*AT203*AT207*AT212*AT216</f>
        <v>0</v>
      </c>
      <c r="AZ1133"/>
      <c r="BA1133"/>
      <c r="BB1133"/>
      <c r="BC1133"/>
      <c r="BD1133"/>
      <c r="BE1133"/>
      <c r="BF1133"/>
    </row>
    <row r="1134" spans="45:83">
      <c r="AT1134" t="s">
        <v>505</v>
      </c>
      <c r="AZ1134"/>
      <c r="BA1134"/>
      <c r="BB1134"/>
      <c r="BC1134"/>
      <c r="BD1134"/>
      <c r="BE1134"/>
      <c r="BF1134"/>
    </row>
    <row r="1135" spans="45:83">
      <c r="AT1135" t="s">
        <v>506</v>
      </c>
      <c r="AZ1135"/>
      <c r="BA1135"/>
      <c r="BB1135"/>
      <c r="BC1135"/>
      <c r="BD1135"/>
      <c r="BE1135"/>
      <c r="BF1135"/>
    </row>
    <row r="1136" spans="45:83">
      <c r="AT1136" t="s">
        <v>507</v>
      </c>
      <c r="AZ1136"/>
      <c r="BA1136"/>
      <c r="BB1136"/>
      <c r="BC1136"/>
      <c r="BD1136"/>
      <c r="BE1136"/>
      <c r="BF1136"/>
    </row>
    <row r="1137" spans="45:83">
      <c r="AT1137" t="s">
        <v>508</v>
      </c>
      <c r="AU1137">
        <f>AW26* AX33 * AX38* AX43 * AX52 * AX58 * AX62 * AX70 * AX75 * AX80 * AX87 * AX93 * AX100 * AX106 * AX111 * AX118 * AX124 * AX128 * AX136 * AX141 * AX145 * AX151 * AX159 * AX164 * AX167 * AX171 * AX175 * AX179 * AX183 * AX187 * AX192 * AX195 * AX200 * AX203 * AX207 * AX212 * AX216</f>
        <v>3.0998087433165655E-11</v>
      </c>
      <c r="AZ1137"/>
      <c r="BA1137"/>
      <c r="BB1137"/>
      <c r="BC1137"/>
      <c r="BD1137"/>
      <c r="BE1137"/>
      <c r="BF1137"/>
    </row>
    <row r="1138" spans="45:83">
      <c r="AT1138" t="s">
        <v>509</v>
      </c>
      <c r="AU1138">
        <f>AW27 * AY33 * AY38* AY43 * AY52 * AY58 * AY62 * AY70 * AY75 * AY80 * AY87 * AY93 * AY100 * AY106 * AY111 * AY118* AY124 * AY128 * AY136 * AY141 * AY145 * AY151 * AY159 * AY164 * AY167 * AY171 * AY175 * AY179 * AY183 * AY187 * AY192 * AY195 * AY200 * AY203 * AY207 * AY212 * AY216</f>
        <v>0</v>
      </c>
      <c r="AZ1138"/>
      <c r="BA1138"/>
      <c r="BB1138"/>
      <c r="BC1138"/>
      <c r="BD1138"/>
      <c r="BE1138"/>
      <c r="BF1138"/>
    </row>
    <row r="1139" spans="45:83">
      <c r="AZ1139"/>
      <c r="BA1139"/>
      <c r="BB1139"/>
      <c r="BC1139"/>
      <c r="BD1139"/>
      <c r="BE1139"/>
      <c r="BF1139"/>
    </row>
    <row r="1140" spans="45:83">
      <c r="AS1140" s="67" t="s">
        <v>495</v>
      </c>
      <c r="AT1140" s="67"/>
      <c r="AU1140" s="20" t="s">
        <v>64</v>
      </c>
      <c r="AV1140" s="1" t="s">
        <v>43</v>
      </c>
      <c r="AW1140" s="1" t="s">
        <v>44</v>
      </c>
      <c r="AX1140" s="1" t="s">
        <v>45</v>
      </c>
      <c r="AY1140" s="1" t="s">
        <v>46</v>
      </c>
      <c r="AZ1140" s="1" t="s">
        <v>47</v>
      </c>
      <c r="BA1140" s="1" t="s">
        <v>48</v>
      </c>
      <c r="BB1140" s="1" t="s">
        <v>49</v>
      </c>
      <c r="BC1140" s="1" t="s">
        <v>50</v>
      </c>
      <c r="BD1140" s="1" t="s">
        <v>51</v>
      </c>
      <c r="BE1140" s="1" t="s">
        <v>52</v>
      </c>
      <c r="BF1140" s="1" t="s">
        <v>53</v>
      </c>
      <c r="BG1140" s="1" t="s">
        <v>54</v>
      </c>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row>
    <row r="1141" spans="45:83">
      <c r="AS1141" s="67"/>
      <c r="AT1141" s="67"/>
      <c r="AU1141" s="20">
        <v>5</v>
      </c>
      <c r="AV1141" t="s">
        <v>5</v>
      </c>
      <c r="AW1141" t="s">
        <v>5</v>
      </c>
      <c r="AX1141" t="s">
        <v>3</v>
      </c>
      <c r="AY1141" t="s">
        <v>5</v>
      </c>
      <c r="AZ1141" t="s">
        <v>5</v>
      </c>
      <c r="BA1141" t="s">
        <v>5</v>
      </c>
      <c r="BB1141" t="s">
        <v>5</v>
      </c>
      <c r="BC1141" t="s">
        <v>2</v>
      </c>
      <c r="BD1141" t="s">
        <v>2</v>
      </c>
      <c r="BE1141" t="s">
        <v>5</v>
      </c>
      <c r="BF1141" t="s">
        <v>2</v>
      </c>
      <c r="BG1141" t="s">
        <v>2</v>
      </c>
    </row>
    <row r="1142" spans="45:83">
      <c r="AT1142" t="s">
        <v>504</v>
      </c>
      <c r="AU1142">
        <f>AW22 * AT34 * AT40 * AT44 * AT52 * AT58 * AT64 * AT70 * AT75 * AT81 * AT88 * AT93 * AT99 * AT103 * AT110 * AT117 * AT124 * AT130 * AT136 * AT140 * AT146 * AT152 * AT157 * AT164 * AT167 * AT171 * AT175 * AT179 * AT183 * AT188 * AT192 * AT195 * AT200 * AT203 * AT207 * AT212 * AT216</f>
        <v>0</v>
      </c>
      <c r="AZ1142"/>
      <c r="BA1142"/>
      <c r="BB1142"/>
      <c r="BC1142"/>
      <c r="BD1142"/>
      <c r="BE1142"/>
      <c r="BF1142"/>
    </row>
    <row r="1143" spans="45:83">
      <c r="AT1143" t="s">
        <v>505</v>
      </c>
      <c r="AU1143">
        <f>AW23 * AU34 * AU40 * AU44 * AU52 * AU58 * AU64 * AU70 * AU75 * AU81 * AU88 * AU93 * AU99 * AU103 * AU110 * AU117 * AU124 * AU130 * AU136 * AU140 * AU146 * AU152 * AU157 * AU164 * AU167 * AU171 * AU175 * AU179 * AU183 * AU188 * AU192 * AU195 * AU200 * AU203 * AU207 * AU212 * AU216</f>
        <v>0</v>
      </c>
      <c r="AZ1143"/>
      <c r="BA1143"/>
      <c r="BB1143"/>
      <c r="BC1143"/>
      <c r="BD1143"/>
      <c r="BE1143"/>
      <c r="BF1143"/>
    </row>
    <row r="1144" spans="45:83">
      <c r="AT1144" t="s">
        <v>506</v>
      </c>
      <c r="AU1144">
        <f>AW24 * AV34 * AV40 * AV44 * AV52 * AV58 * AV64 * AV70 * AV75 * AV81 * AV88 * AV93 * AV99 * AV103 * AV110 * AV117 * AV124 * AV130 * AV136 * AV140 * AV146 * AV152 * AV157 * AV164 * AV167 * AV171 * AV175 * AV179 * AV183 * AV188 * AV192 * AV195 * AV200 * AV203 * AV207 * AV212 * AV216</f>
        <v>0</v>
      </c>
      <c r="AZ1144"/>
      <c r="BA1144"/>
      <c r="BB1144"/>
      <c r="BC1144"/>
      <c r="BD1144"/>
      <c r="BE1144"/>
      <c r="BF1144"/>
    </row>
    <row r="1145" spans="45:83">
      <c r="AT1145" t="s">
        <v>507</v>
      </c>
      <c r="AU1145">
        <f>AW25 * AW34 * AW40 * AW44 * AW52 * AW58 * AW64 * AW70 * AW75 * AW81 * AW88 * AW93 * AW99 * AW103 * AW110 * AW117 * AW124 * AW130 * AW136 * AW140 * AW146 * AW152 * AW157 * AW164 * AW167 * AW171 * AW175 * AW179 * AW183 * AW188 * AW192 * AW195 * AW200 * AW203 * AW207 * AW212 * AW216</f>
        <v>0</v>
      </c>
      <c r="AZ1145"/>
      <c r="BA1145"/>
      <c r="BB1145"/>
      <c r="BC1145"/>
      <c r="BD1145"/>
      <c r="BE1145"/>
      <c r="BF1145"/>
    </row>
    <row r="1146" spans="45:83">
      <c r="AT1146" t="s">
        <v>508</v>
      </c>
      <c r="AU1146">
        <f>AW26*AX34*AX40*AX44*AX52*AX58*AX64*AX70*AX75*AX81*AX88*AX93*AX99*AX103*AX110*AX117*AX124*AX130*AX136*AX140*AX146*AX152*AX157*AX164*AX167*AX171*AX175*AX179*AX183*AX188*AX192*AX195*AX200*AX203*AX207*AX212*AX216</f>
        <v>3.1078811619189511E-9</v>
      </c>
      <c r="AZ1146"/>
      <c r="BA1146"/>
      <c r="BB1146"/>
      <c r="BC1146"/>
      <c r="BD1146"/>
      <c r="BE1146"/>
      <c r="BF1146"/>
    </row>
    <row r="1147" spans="45:83">
      <c r="AT1147" t="s">
        <v>509</v>
      </c>
      <c r="AU1147">
        <f>AW27 * AY34 * AY40 * AY44 * AY52 * AY58 * AY64 * AY70 * AY75 * AY81 * AY88 * AY93 * AY99 * AY103 * AY110 * AY117 * AY124 * AY130 * AY136 * AY140 * AY146 * AY152 * AY157 * AY164 * AY167 * AY171 * AY175 * AY179 * AY183 * AY188 * AY192 * AY195 * AY200 * AY203 * AY207 * AY212 * AY216</f>
        <v>0</v>
      </c>
      <c r="AZ1147"/>
      <c r="BA1147"/>
      <c r="BB1147"/>
      <c r="BC1147"/>
      <c r="BD1147"/>
      <c r="BE1147"/>
      <c r="BF1147"/>
    </row>
    <row r="1148" spans="45:83">
      <c r="AZ1148"/>
      <c r="BA1148"/>
      <c r="BB1148"/>
      <c r="BC1148"/>
      <c r="BD1148"/>
      <c r="BE1148"/>
      <c r="BF1148"/>
    </row>
    <row r="1149" spans="45:83">
      <c r="AS1149" s="67" t="s">
        <v>475</v>
      </c>
      <c r="AT1149" s="67"/>
      <c r="AU1149" s="20" t="s">
        <v>64</v>
      </c>
      <c r="AV1149" s="1" t="s">
        <v>43</v>
      </c>
      <c r="AW1149" s="1" t="s">
        <v>44</v>
      </c>
      <c r="AX1149" s="1" t="s">
        <v>45</v>
      </c>
      <c r="AY1149" s="1" t="s">
        <v>46</v>
      </c>
      <c r="AZ1149" s="1" t="s">
        <v>47</v>
      </c>
      <c r="BA1149" s="1" t="s">
        <v>48</v>
      </c>
      <c r="BB1149" s="1" t="s">
        <v>49</v>
      </c>
      <c r="BC1149" s="1" t="s">
        <v>50</v>
      </c>
      <c r="BD1149" s="1" t="s">
        <v>51</v>
      </c>
      <c r="BE1149" s="1" t="s">
        <v>52</v>
      </c>
      <c r="BF1149" s="1" t="s">
        <v>53</v>
      </c>
      <c r="BG1149" s="1" t="s">
        <v>54</v>
      </c>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row>
    <row r="1150" spans="45:83">
      <c r="AS1150" s="67"/>
      <c r="AT1150" s="67"/>
      <c r="AU1150" s="20">
        <v>6</v>
      </c>
      <c r="AV1150" t="s">
        <v>5</v>
      </c>
      <c r="AW1150" t="s">
        <v>5</v>
      </c>
      <c r="AX1150" t="s">
        <v>2</v>
      </c>
      <c r="AY1150" t="s">
        <v>5</v>
      </c>
      <c r="AZ1150" t="s">
        <v>5</v>
      </c>
      <c r="BA1150" t="s">
        <v>5</v>
      </c>
      <c r="BB1150" t="s">
        <v>5</v>
      </c>
      <c r="BC1150" t="s">
        <v>5</v>
      </c>
      <c r="BD1150" t="s">
        <v>2</v>
      </c>
      <c r="BE1150" t="s">
        <v>4</v>
      </c>
      <c r="BF1150" t="s">
        <v>4</v>
      </c>
      <c r="BG1150" t="s">
        <v>5</v>
      </c>
    </row>
    <row r="1151" spans="45:83">
      <c r="AT1151" t="s">
        <v>504</v>
      </c>
      <c r="AU1151">
        <f>AW22*AT34*AT40*AT45*AT52*AT58*AT64*AT70*AT76*AT81*AT85*AT91*AT100*AT105*AT110*AT118*AT124*AT128*AT136*AT142*AT145*AT152*AT159*AT164*AT167*AT171*AT176*AT179*AT183*AT187*AT192*AT195*AT200*AT203*AT207*AT211*AT216</f>
        <v>0</v>
      </c>
      <c r="AZ1151"/>
      <c r="BA1151"/>
      <c r="BB1151"/>
      <c r="BC1151"/>
      <c r="BD1151"/>
      <c r="BE1151"/>
      <c r="BF1151"/>
    </row>
    <row r="1152" spans="45:83">
      <c r="AT1152" t="s">
        <v>505</v>
      </c>
      <c r="AZ1152"/>
      <c r="BA1152"/>
      <c r="BB1152"/>
      <c r="BC1152"/>
      <c r="BD1152"/>
      <c r="BE1152"/>
      <c r="BF1152"/>
    </row>
    <row r="1153" spans="45:83">
      <c r="AT1153" t="s">
        <v>506</v>
      </c>
      <c r="AZ1153"/>
      <c r="BA1153"/>
      <c r="BB1153"/>
      <c r="BC1153"/>
      <c r="BD1153"/>
      <c r="BE1153"/>
      <c r="BF1153"/>
    </row>
    <row r="1154" spans="45:83">
      <c r="AT1154" t="s">
        <v>507</v>
      </c>
      <c r="AZ1154"/>
      <c r="BA1154"/>
      <c r="BB1154"/>
      <c r="BC1154"/>
      <c r="BD1154"/>
      <c r="BE1154"/>
      <c r="BF1154"/>
    </row>
    <row r="1155" spans="45:83">
      <c r="AT1155" t="s">
        <v>508</v>
      </c>
      <c r="AZ1155"/>
      <c r="BA1155"/>
      <c r="BB1155"/>
      <c r="BC1155"/>
      <c r="BD1155"/>
      <c r="BE1155"/>
      <c r="BF1155"/>
    </row>
    <row r="1156" spans="45:83">
      <c r="AT1156" t="s">
        <v>509</v>
      </c>
      <c r="AZ1156"/>
      <c r="BA1156"/>
      <c r="BB1156"/>
      <c r="BC1156"/>
      <c r="BD1156"/>
      <c r="BE1156"/>
      <c r="BF1156"/>
    </row>
    <row r="1157" spans="45:83">
      <c r="AZ1157"/>
      <c r="BA1157"/>
      <c r="BB1157"/>
      <c r="BC1157"/>
      <c r="BD1157"/>
      <c r="BE1157"/>
      <c r="BF1157"/>
    </row>
    <row r="1158" spans="45:83">
      <c r="AS1158" s="67" t="s">
        <v>477</v>
      </c>
      <c r="AT1158" s="67"/>
      <c r="AU1158" s="20" t="s">
        <v>64</v>
      </c>
      <c r="AV1158" s="1" t="s">
        <v>43</v>
      </c>
      <c r="AW1158" s="1" t="s">
        <v>44</v>
      </c>
      <c r="AX1158" s="1" t="s">
        <v>45</v>
      </c>
      <c r="AY1158" s="1" t="s">
        <v>46</v>
      </c>
      <c r="AZ1158" s="1" t="s">
        <v>47</v>
      </c>
      <c r="BA1158" s="1" t="s">
        <v>48</v>
      </c>
      <c r="BB1158" s="1" t="s">
        <v>49</v>
      </c>
      <c r="BC1158" s="1" t="s">
        <v>50</v>
      </c>
      <c r="BD1158" s="1" t="s">
        <v>51</v>
      </c>
      <c r="BE1158" s="1" t="s">
        <v>52</v>
      </c>
      <c r="BF1158" s="1" t="s">
        <v>53</v>
      </c>
      <c r="BG1158" s="1" t="s">
        <v>54</v>
      </c>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row>
    <row r="1159" spans="45:83">
      <c r="AS1159" s="67"/>
      <c r="AT1159" s="67"/>
      <c r="AU1159" s="20">
        <v>6</v>
      </c>
      <c r="AV1159" t="s">
        <v>5</v>
      </c>
      <c r="AW1159" t="s">
        <v>5</v>
      </c>
      <c r="AX1159" t="s">
        <v>3</v>
      </c>
      <c r="AY1159" t="s">
        <v>5</v>
      </c>
      <c r="AZ1159" t="s">
        <v>5</v>
      </c>
      <c r="BA1159" t="s">
        <v>5</v>
      </c>
      <c r="BB1159" t="s">
        <v>5</v>
      </c>
      <c r="BC1159" t="s">
        <v>2</v>
      </c>
      <c r="BD1159" t="s">
        <v>2</v>
      </c>
      <c r="BE1159" t="s">
        <v>2</v>
      </c>
      <c r="BF1159" t="s">
        <v>2</v>
      </c>
      <c r="BG1159" t="s">
        <v>3</v>
      </c>
    </row>
    <row r="1160" spans="45:83">
      <c r="AT1160" t="s">
        <v>504</v>
      </c>
      <c r="AU1160">
        <f>AW22*AT34*AT40*AT44*AT52*AT58*AT64*AT70*AT75*AT81*AT87*AT93*AT98*AT106*AT110*AT116*AT124*AT130*AT136*AT141*AT146*AT151*AT157*AT164*AT167*AT171*AT175*AT180*AT183*AT187*AT192*AT196*AT200*AT204*AT208*AT212*AT216</f>
        <v>0</v>
      </c>
      <c r="AZ1160"/>
      <c r="BA1160"/>
      <c r="BB1160"/>
      <c r="BC1160"/>
      <c r="BD1160"/>
      <c r="BE1160"/>
      <c r="BF1160"/>
    </row>
    <row r="1161" spans="45:83">
      <c r="AT1161" t="s">
        <v>505</v>
      </c>
      <c r="AZ1161"/>
      <c r="BA1161"/>
      <c r="BB1161"/>
      <c r="BC1161"/>
      <c r="BD1161"/>
      <c r="BE1161"/>
      <c r="BF1161"/>
    </row>
    <row r="1162" spans="45:83">
      <c r="AT1162" t="s">
        <v>506</v>
      </c>
      <c r="AZ1162"/>
      <c r="BA1162"/>
      <c r="BB1162"/>
      <c r="BC1162"/>
      <c r="BD1162"/>
      <c r="BE1162"/>
      <c r="BF1162"/>
    </row>
    <row r="1163" spans="45:83">
      <c r="AT1163" t="s">
        <v>507</v>
      </c>
      <c r="AZ1163"/>
      <c r="BA1163"/>
      <c r="BB1163"/>
      <c r="BC1163"/>
      <c r="BD1163"/>
      <c r="BE1163"/>
      <c r="BF1163"/>
    </row>
    <row r="1164" spans="45:83">
      <c r="AT1164" t="s">
        <v>508</v>
      </c>
      <c r="AZ1164"/>
      <c r="BA1164"/>
      <c r="BB1164"/>
      <c r="BC1164"/>
      <c r="BD1164"/>
      <c r="BE1164"/>
      <c r="BF1164"/>
    </row>
    <row r="1165" spans="45:83">
      <c r="AT1165" t="s">
        <v>509</v>
      </c>
      <c r="AU1165">
        <f>AW27 * AY34 * AY40 * AY44 * AY52 * AY58 * AY64 * AY70 * AY75 * AY81 * AY87 * AY93 * AY98 * AY106 * AY110 * AY116 * AY124 * AY130 * AY136 * AY141 * AY146 * AY151 * AY157 * AY164 * AY167 * AY171 * AY175 * AY180 * AY183 * AY187 * AY192 * AY196 * AY200 * AY204 * AY208 * AY212 * AY216</f>
        <v>1.7859349221372509E-13</v>
      </c>
      <c r="AZ1165"/>
      <c r="BA1165"/>
      <c r="BB1165"/>
      <c r="BC1165"/>
      <c r="BD1165"/>
      <c r="BE1165"/>
      <c r="BF1165"/>
    </row>
    <row r="1166" spans="45:83">
      <c r="AZ1166"/>
      <c r="BA1166"/>
      <c r="BB1166"/>
      <c r="BC1166"/>
      <c r="BD1166"/>
      <c r="BE1166"/>
      <c r="BF1166"/>
    </row>
    <row r="1167" spans="45:83">
      <c r="AS1167" s="67" t="s">
        <v>488</v>
      </c>
      <c r="AT1167" s="67"/>
      <c r="AU1167" s="20" t="s">
        <v>64</v>
      </c>
      <c r="AV1167" s="1" t="s">
        <v>43</v>
      </c>
      <c r="AW1167" s="1" t="s">
        <v>44</v>
      </c>
      <c r="AX1167" s="1" t="s">
        <v>45</v>
      </c>
      <c r="AY1167" s="1" t="s">
        <v>46</v>
      </c>
      <c r="AZ1167" s="1" t="s">
        <v>47</v>
      </c>
      <c r="BA1167" s="1" t="s">
        <v>48</v>
      </c>
      <c r="BB1167" s="1" t="s">
        <v>49</v>
      </c>
      <c r="BC1167" s="1" t="s">
        <v>50</v>
      </c>
      <c r="BD1167" s="1" t="s">
        <v>51</v>
      </c>
      <c r="BE1167" s="1" t="s">
        <v>52</v>
      </c>
      <c r="BF1167" s="1" t="s">
        <v>53</v>
      </c>
      <c r="BG1167" s="1" t="s">
        <v>54</v>
      </c>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row>
    <row r="1168" spans="45:83">
      <c r="AS1168" s="67"/>
      <c r="AT1168" s="67"/>
      <c r="AU1168" s="20">
        <v>6</v>
      </c>
      <c r="AV1168" t="s">
        <v>5</v>
      </c>
      <c r="AW1168" t="s">
        <v>5</v>
      </c>
      <c r="AX1168" t="s">
        <v>4</v>
      </c>
      <c r="AY1168" t="s">
        <v>5</v>
      </c>
      <c r="AZ1168" t="s">
        <v>5</v>
      </c>
      <c r="BA1168" t="s">
        <v>5</v>
      </c>
      <c r="BB1168" t="s">
        <v>5</v>
      </c>
      <c r="BC1168" t="s">
        <v>2</v>
      </c>
      <c r="BD1168" t="s">
        <v>3</v>
      </c>
      <c r="BE1168" t="s">
        <v>4</v>
      </c>
      <c r="BF1168" t="s">
        <v>3</v>
      </c>
      <c r="BG1168" t="s">
        <v>5</v>
      </c>
    </row>
    <row r="1169" spans="45:83">
      <c r="AT1169" t="s">
        <v>504</v>
      </c>
      <c r="AU1169">
        <f>AW22*AT34*AT40*AT43*AT52*AT58*AT64*AT70*AT75*AT80*AT85*AT92*AT100*AT106*AT110*AT118*AT124*AT128*AT136*AT140*AT145*AT153*AT159*AT163*AT167*AT171*AT175*AT179*AT183*AT187*AT192*AT195*AT200*AT204*AT207*AT212*AT216</f>
        <v>0</v>
      </c>
      <c r="AZ1169"/>
      <c r="BA1169"/>
      <c r="BB1169"/>
      <c r="BC1169"/>
      <c r="BD1169"/>
      <c r="BE1169"/>
      <c r="BF1169"/>
    </row>
    <row r="1170" spans="45:83">
      <c r="AT1170" t="s">
        <v>505</v>
      </c>
      <c r="AZ1170"/>
      <c r="BA1170"/>
      <c r="BB1170"/>
      <c r="BC1170"/>
      <c r="BD1170"/>
      <c r="BE1170"/>
      <c r="BF1170"/>
    </row>
    <row r="1171" spans="45:83">
      <c r="AT1171" t="s">
        <v>506</v>
      </c>
      <c r="AZ1171"/>
      <c r="BA1171"/>
      <c r="BB1171"/>
      <c r="BC1171"/>
      <c r="BD1171"/>
      <c r="BE1171"/>
      <c r="BF1171"/>
    </row>
    <row r="1172" spans="45:83">
      <c r="AT1172" t="s">
        <v>507</v>
      </c>
      <c r="AZ1172"/>
      <c r="BA1172"/>
      <c r="BB1172"/>
      <c r="BC1172"/>
      <c r="BD1172"/>
      <c r="BE1172"/>
      <c r="BF1172"/>
    </row>
    <row r="1173" spans="45:83">
      <c r="AT1173" t="s">
        <v>508</v>
      </c>
      <c r="AZ1173"/>
      <c r="BA1173"/>
      <c r="BB1173"/>
      <c r="BC1173"/>
      <c r="BD1173"/>
      <c r="BE1173"/>
      <c r="BF1173"/>
    </row>
    <row r="1174" spans="45:83">
      <c r="AT1174" t="s">
        <v>509</v>
      </c>
      <c r="AU1174">
        <f>AW27 * AY34 * AY40 * AY43 * AY52 * AY58 * AY64 * AY70 * AY75 * AY80 * AY85 * AY92 * AY100 * AY106 * AY110 * AY118 * AY124 * AY128 * AY136 * AY140 * AY145 * AY153 * AY159 * AY164 * AY167 * AY171 * AY175 * AY179 * AY183 * AY187 * AY192 * AY195 * AY200 * AY204 * AY207 * AY212 * AY216</f>
        <v>2.9043588077764822E-9</v>
      </c>
      <c r="AZ1174"/>
      <c r="BA1174"/>
      <c r="BB1174"/>
      <c r="BC1174"/>
      <c r="BD1174"/>
      <c r="BE1174"/>
      <c r="BF1174"/>
    </row>
    <row r="1175" spans="45:83">
      <c r="AZ1175"/>
      <c r="BA1175"/>
      <c r="BB1175"/>
      <c r="BC1175"/>
      <c r="BD1175"/>
      <c r="BE1175"/>
      <c r="BF1175"/>
    </row>
    <row r="1176" spans="45:83">
      <c r="AS1176" s="67" t="s">
        <v>457</v>
      </c>
      <c r="AT1176" s="67"/>
      <c r="AU1176" s="20" t="s">
        <v>64</v>
      </c>
      <c r="AV1176" s="1" t="s">
        <v>43</v>
      </c>
      <c r="AW1176" s="1" t="s">
        <v>44</v>
      </c>
      <c r="AX1176" s="1" t="s">
        <v>45</v>
      </c>
      <c r="AY1176" s="1" t="s">
        <v>46</v>
      </c>
      <c r="AZ1176" s="1" t="s">
        <v>47</v>
      </c>
      <c r="BA1176" s="1" t="s">
        <v>48</v>
      </c>
      <c r="BB1176" s="1" t="s">
        <v>49</v>
      </c>
      <c r="BC1176" s="1" t="s">
        <v>50</v>
      </c>
      <c r="BD1176" s="1" t="s">
        <v>51</v>
      </c>
      <c r="BE1176" s="1" t="s">
        <v>52</v>
      </c>
      <c r="BF1176" s="1" t="s">
        <v>53</v>
      </c>
      <c r="BG1176" s="1" t="s">
        <v>54</v>
      </c>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row>
    <row r="1177" spans="45:83">
      <c r="AS1177" s="67"/>
      <c r="AT1177" s="67"/>
      <c r="AU1177" s="20">
        <v>1</v>
      </c>
      <c r="AV1177" t="s">
        <v>4</v>
      </c>
      <c r="AW1177" t="s">
        <v>2</v>
      </c>
      <c r="AX1177" t="s">
        <v>3</v>
      </c>
      <c r="AY1177" t="s">
        <v>3</v>
      </c>
      <c r="AZ1177" t="s">
        <v>5</v>
      </c>
      <c r="BA1177" t="s">
        <v>5</v>
      </c>
      <c r="BB1177" t="s">
        <v>5</v>
      </c>
      <c r="BC1177" t="s">
        <v>2</v>
      </c>
      <c r="BD1177" t="s">
        <v>3</v>
      </c>
      <c r="BE1177" t="s">
        <v>3</v>
      </c>
      <c r="BF1177" t="s">
        <v>4</v>
      </c>
      <c r="BG1177" t="s">
        <v>4</v>
      </c>
    </row>
    <row r="1178" spans="45:83">
      <c r="AT1178" t="s">
        <v>504</v>
      </c>
      <c r="AU1178">
        <f>AW22*AT31*AT39*AT44*AT50*AT58*AT64*AT70*AT75*AT80*AT86*AT91*AT97*AT106*AT110*AT118*AT124*AT130*AT136*AT139*AT145*AT151*AT157*AT164*AT168*AT172*AT175*AT179*AT183*AT187*AT192*AT195*AT200*AT203*AT207*AT211*AT216</f>
        <v>2.6130961836268235E-11</v>
      </c>
      <c r="AZ1178"/>
      <c r="BA1178"/>
      <c r="BB1178"/>
      <c r="BC1178"/>
      <c r="BD1178"/>
      <c r="BE1178"/>
      <c r="BF1178"/>
    </row>
    <row r="1179" spans="45:83">
      <c r="AT1179" t="s">
        <v>505</v>
      </c>
      <c r="AZ1179"/>
      <c r="BA1179"/>
      <c r="BB1179"/>
      <c r="BC1179"/>
      <c r="BD1179"/>
      <c r="BE1179"/>
      <c r="BF1179"/>
    </row>
    <row r="1180" spans="45:83">
      <c r="AT1180" t="s">
        <v>506</v>
      </c>
      <c r="AZ1180"/>
      <c r="BA1180"/>
      <c r="BB1180"/>
      <c r="BC1180"/>
      <c r="BD1180"/>
      <c r="BE1180"/>
      <c r="BF1180"/>
    </row>
    <row r="1181" spans="45:83">
      <c r="AT1181" t="s">
        <v>507</v>
      </c>
      <c r="AZ1181"/>
      <c r="BA1181"/>
      <c r="BB1181"/>
      <c r="BC1181"/>
      <c r="BD1181"/>
      <c r="BE1181"/>
      <c r="BF1181"/>
    </row>
    <row r="1182" spans="45:83">
      <c r="AT1182" t="s">
        <v>508</v>
      </c>
      <c r="AZ1182"/>
      <c r="BA1182"/>
      <c r="BB1182"/>
      <c r="BC1182"/>
      <c r="BD1182"/>
      <c r="BE1182"/>
      <c r="BF1182"/>
    </row>
    <row r="1183" spans="45:83">
      <c r="AT1183" t="s">
        <v>509</v>
      </c>
      <c r="AZ1183"/>
      <c r="BA1183"/>
      <c r="BB1183"/>
      <c r="BC1183"/>
      <c r="BD1183"/>
      <c r="BE1183"/>
      <c r="BF1183"/>
    </row>
    <row r="1184" spans="45:83">
      <c r="AZ1184"/>
      <c r="BA1184"/>
      <c r="BB1184"/>
      <c r="BC1184"/>
      <c r="BD1184"/>
      <c r="BE1184"/>
      <c r="BF1184"/>
    </row>
    <row r="1185" spans="45:83">
      <c r="AS1185" s="67" t="s">
        <v>462</v>
      </c>
      <c r="AT1185" s="67"/>
      <c r="AU1185" s="20" t="s">
        <v>64</v>
      </c>
      <c r="AV1185" s="1" t="s">
        <v>43</v>
      </c>
      <c r="AW1185" s="1" t="s">
        <v>44</v>
      </c>
      <c r="AX1185" s="1" t="s">
        <v>45</v>
      </c>
      <c r="AY1185" s="1" t="s">
        <v>46</v>
      </c>
      <c r="AZ1185" s="1" t="s">
        <v>47</v>
      </c>
      <c r="BA1185" s="1" t="s">
        <v>48</v>
      </c>
      <c r="BB1185" s="1" t="s">
        <v>49</v>
      </c>
      <c r="BC1185" s="1" t="s">
        <v>50</v>
      </c>
      <c r="BD1185" s="1" t="s">
        <v>51</v>
      </c>
      <c r="BE1185" s="1" t="s">
        <v>52</v>
      </c>
      <c r="BF1185" s="1" t="s">
        <v>53</v>
      </c>
      <c r="BG1185" s="1" t="s">
        <v>54</v>
      </c>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row>
    <row r="1186" spans="45:83">
      <c r="AS1186" s="67"/>
      <c r="AT1186" s="67"/>
      <c r="AU1186" s="20">
        <v>2</v>
      </c>
      <c r="AV1186" t="s">
        <v>5</v>
      </c>
      <c r="AW1186" t="s">
        <v>3</v>
      </c>
      <c r="AX1186" t="s">
        <v>5</v>
      </c>
      <c r="AY1186" t="s">
        <v>5</v>
      </c>
      <c r="AZ1186" t="s">
        <v>5</v>
      </c>
      <c r="BA1186" t="s">
        <v>5</v>
      </c>
      <c r="BB1186" t="s">
        <v>5</v>
      </c>
      <c r="BC1186" t="s">
        <v>2</v>
      </c>
      <c r="BD1186" t="s">
        <v>3</v>
      </c>
      <c r="BE1186" t="s">
        <v>3</v>
      </c>
      <c r="BF1186" t="s">
        <v>3</v>
      </c>
      <c r="BG1186" t="s">
        <v>5</v>
      </c>
    </row>
    <row r="1187" spans="45:83">
      <c r="AT1187" t="s">
        <v>504</v>
      </c>
      <c r="AU1187">
        <f>AW22*AT34*AT38*AT46*AT52*AT58*AT64*AT70*AT75*AT80*AT86*AT92*AT100*AT106*AT110*AT118*AT124*AT130*AT136*AT142*AT146*AT151*AT157*AT164*AT168*AT172*AT175*AT179*AT183*AT187*AT192*AT195*AT199*AT204*AT207*AT211*AT216</f>
        <v>0</v>
      </c>
      <c r="AZ1187"/>
      <c r="BA1187"/>
      <c r="BB1187"/>
      <c r="BC1187"/>
      <c r="BD1187"/>
      <c r="BE1187"/>
      <c r="BF1187"/>
    </row>
    <row r="1188" spans="45:83">
      <c r="AT1188" t="s">
        <v>505</v>
      </c>
      <c r="AZ1188"/>
      <c r="BA1188"/>
      <c r="BB1188"/>
      <c r="BC1188"/>
      <c r="BD1188"/>
      <c r="BE1188"/>
      <c r="BF1188"/>
    </row>
    <row r="1189" spans="45:83">
      <c r="AT1189" t="s">
        <v>506</v>
      </c>
      <c r="AZ1189"/>
      <c r="BA1189"/>
      <c r="BB1189"/>
      <c r="BC1189"/>
      <c r="BD1189"/>
      <c r="BE1189"/>
      <c r="BF1189"/>
    </row>
    <row r="1190" spans="45:83">
      <c r="AT1190" t="s">
        <v>507</v>
      </c>
      <c r="AZ1190"/>
      <c r="BA1190"/>
      <c r="BB1190"/>
      <c r="BC1190"/>
      <c r="BD1190"/>
      <c r="BE1190"/>
      <c r="BF1190"/>
    </row>
    <row r="1191" spans="45:83">
      <c r="AT1191" t="s">
        <v>508</v>
      </c>
      <c r="AZ1191"/>
      <c r="BA1191"/>
      <c r="BB1191"/>
      <c r="BC1191"/>
      <c r="BD1191"/>
      <c r="BE1191"/>
      <c r="BF1191"/>
    </row>
    <row r="1192" spans="45:83">
      <c r="AT1192" t="s">
        <v>509</v>
      </c>
      <c r="AZ1192"/>
      <c r="BA1192"/>
      <c r="BB1192"/>
      <c r="BC1192"/>
      <c r="BD1192"/>
      <c r="BE1192"/>
      <c r="BF1192"/>
    </row>
    <row r="1193" spans="45:83">
      <c r="AZ1193"/>
      <c r="BA1193"/>
      <c r="BB1193"/>
      <c r="BC1193"/>
      <c r="BD1193"/>
      <c r="BE1193"/>
      <c r="BF1193"/>
    </row>
    <row r="1194" spans="45:83">
      <c r="AS1194" s="68" t="s">
        <v>466</v>
      </c>
      <c r="AT1194" s="68"/>
      <c r="AU1194" s="20" t="s">
        <v>64</v>
      </c>
      <c r="AV1194" s="1" t="s">
        <v>43</v>
      </c>
      <c r="AW1194" s="1" t="s">
        <v>44</v>
      </c>
      <c r="AX1194" s="1" t="s">
        <v>45</v>
      </c>
      <c r="AY1194" s="1" t="s">
        <v>46</v>
      </c>
      <c r="AZ1194" s="1" t="s">
        <v>47</v>
      </c>
      <c r="BA1194" s="1" t="s">
        <v>48</v>
      </c>
      <c r="BB1194" s="1" t="s">
        <v>49</v>
      </c>
      <c r="BC1194" s="1" t="s">
        <v>50</v>
      </c>
      <c r="BD1194" s="1" t="s">
        <v>51</v>
      </c>
      <c r="BE1194" s="1" t="s">
        <v>52</v>
      </c>
      <c r="BF1194" s="1" t="s">
        <v>53</v>
      </c>
      <c r="BG1194" s="1" t="s">
        <v>54</v>
      </c>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row>
    <row r="1195" spans="45:83">
      <c r="AS1195" s="68"/>
      <c r="AT1195" s="68"/>
      <c r="AU1195" s="20">
        <v>3</v>
      </c>
      <c r="AV1195" t="s">
        <v>5</v>
      </c>
      <c r="AW1195" t="s">
        <v>3</v>
      </c>
      <c r="AX1195" t="s">
        <v>3</v>
      </c>
      <c r="AY1195" t="s">
        <v>5</v>
      </c>
      <c r="AZ1195" t="s">
        <v>5</v>
      </c>
      <c r="BA1195" t="s">
        <v>5</v>
      </c>
      <c r="BB1195" t="s">
        <v>5</v>
      </c>
      <c r="BC1195" t="s">
        <v>2</v>
      </c>
      <c r="BD1195" t="s">
        <v>3</v>
      </c>
      <c r="BE1195" t="s">
        <v>3</v>
      </c>
      <c r="BF1195" t="s">
        <v>4</v>
      </c>
      <c r="BG1195" t="s">
        <v>5</v>
      </c>
    </row>
    <row r="1196" spans="45:83">
      <c r="AT1196" t="s">
        <v>504</v>
      </c>
      <c r="AU1196">
        <f>AW22*AT34*AT38*AT44*AT52*AT58*AT64*AT70*AT75*AT80*AT86*AT91*AT100*AT105*AT110*AT118*AT124*AT130*AT136*AT139*AT145*AT151*AT159*AT164*AT167*AT171*AT175*AT179*AT183*AT187*AT192*AT195*AT200*AT203*AT207*AT211*AT215</f>
        <v>0</v>
      </c>
      <c r="AZ1196"/>
      <c r="BA1196"/>
      <c r="BB1196"/>
      <c r="BC1196"/>
      <c r="BD1196"/>
      <c r="BE1196"/>
      <c r="BF1196"/>
    </row>
    <row r="1197" spans="45:83">
      <c r="AT1197" t="s">
        <v>505</v>
      </c>
      <c r="AZ1197"/>
      <c r="BA1197"/>
      <c r="BB1197"/>
      <c r="BC1197"/>
      <c r="BD1197"/>
      <c r="BE1197"/>
      <c r="BF1197"/>
    </row>
    <row r="1198" spans="45:83">
      <c r="AT1198" t="s">
        <v>506</v>
      </c>
      <c r="AZ1198"/>
      <c r="BA1198"/>
      <c r="BB1198"/>
      <c r="BC1198"/>
      <c r="BD1198"/>
      <c r="BE1198"/>
      <c r="BF1198"/>
    </row>
    <row r="1199" spans="45:83">
      <c r="AT1199" t="s">
        <v>507</v>
      </c>
      <c r="AZ1199"/>
      <c r="BA1199"/>
      <c r="BB1199"/>
      <c r="BC1199"/>
      <c r="BD1199"/>
      <c r="BE1199"/>
      <c r="BF1199"/>
    </row>
    <row r="1200" spans="45:83">
      <c r="AT1200" t="s">
        <v>508</v>
      </c>
      <c r="AZ1200"/>
      <c r="BA1200"/>
      <c r="BB1200"/>
      <c r="BC1200"/>
      <c r="BD1200"/>
      <c r="BE1200"/>
      <c r="BF1200"/>
    </row>
    <row r="1201" spans="45:83">
      <c r="AT1201" t="s">
        <v>509</v>
      </c>
      <c r="AZ1201"/>
      <c r="BA1201"/>
      <c r="BB1201"/>
      <c r="BC1201"/>
      <c r="BD1201"/>
      <c r="BE1201"/>
      <c r="BF1201"/>
    </row>
    <row r="1202" spans="45:83">
      <c r="AZ1202"/>
      <c r="BA1202"/>
      <c r="BB1202"/>
      <c r="BC1202"/>
      <c r="BD1202"/>
      <c r="BE1202"/>
      <c r="BF1202"/>
    </row>
    <row r="1203" spans="45:83">
      <c r="AS1203" s="67" t="s">
        <v>517</v>
      </c>
      <c r="AT1203" s="67"/>
      <c r="AU1203" s="20" t="s">
        <v>64</v>
      </c>
      <c r="AV1203" s="1" t="s">
        <v>43</v>
      </c>
      <c r="AW1203" s="1" t="s">
        <v>44</v>
      </c>
      <c r="AX1203" s="1" t="s">
        <v>45</v>
      </c>
      <c r="AY1203" s="1" t="s">
        <v>46</v>
      </c>
      <c r="AZ1203" s="1" t="s">
        <v>47</v>
      </c>
      <c r="BA1203" s="1" t="s">
        <v>48</v>
      </c>
      <c r="BB1203" s="1" t="s">
        <v>49</v>
      </c>
      <c r="BC1203" s="1" t="s">
        <v>50</v>
      </c>
      <c r="BD1203" s="1" t="s">
        <v>51</v>
      </c>
      <c r="BE1203" s="1" t="s">
        <v>52</v>
      </c>
      <c r="BF1203" s="1" t="s">
        <v>53</v>
      </c>
      <c r="BG1203" s="1" t="s">
        <v>54</v>
      </c>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row>
    <row r="1204" spans="45:83">
      <c r="AS1204" s="67"/>
      <c r="AT1204" s="67"/>
      <c r="AU1204" s="20">
        <v>6</v>
      </c>
      <c r="AV1204" t="s">
        <v>5</v>
      </c>
      <c r="AW1204" t="s">
        <v>5</v>
      </c>
      <c r="AX1204" t="s">
        <v>3</v>
      </c>
      <c r="AY1204" t="s">
        <v>5</v>
      </c>
      <c r="AZ1204" t="s">
        <v>5</v>
      </c>
      <c r="BA1204" t="s">
        <v>5</v>
      </c>
      <c r="BB1204" t="s">
        <v>5</v>
      </c>
      <c r="BC1204" t="s">
        <v>2</v>
      </c>
      <c r="BD1204" t="s">
        <v>2</v>
      </c>
      <c r="BE1204" t="s">
        <v>4</v>
      </c>
      <c r="BF1204" t="s">
        <v>4</v>
      </c>
      <c r="BG1204" t="s">
        <v>4</v>
      </c>
    </row>
    <row r="1205" spans="45:83">
      <c r="AT1205" t="s">
        <v>504</v>
      </c>
      <c r="AU1205">
        <f>AW22*AT34*AT40*AT44*AT52*AT58*AT64*AT70*AT75*AT81*AT85*AT91*AT97*AT106*AT109*AT118*AT124*AT130*AT136*AT140*AT148*AT153*AT157*AT164*AT167*AT171*AT175*AT179*AT183*AT187*AT192*AT195*AT200*AT204*AT207*AT211*AT216</f>
        <v>0</v>
      </c>
      <c r="AZ1205"/>
      <c r="BA1205"/>
      <c r="BB1205"/>
      <c r="BC1205"/>
      <c r="BD1205"/>
      <c r="BE1205"/>
      <c r="BF1205"/>
    </row>
    <row r="1206" spans="45:83">
      <c r="AT1206" t="s">
        <v>505</v>
      </c>
      <c r="AZ1206"/>
      <c r="BA1206"/>
      <c r="BB1206"/>
      <c r="BC1206"/>
      <c r="BD1206"/>
      <c r="BE1206"/>
      <c r="BF1206"/>
    </row>
    <row r="1207" spans="45:83">
      <c r="AT1207" t="s">
        <v>506</v>
      </c>
      <c r="AZ1207"/>
      <c r="BA1207"/>
      <c r="BB1207"/>
      <c r="BC1207"/>
      <c r="BD1207"/>
      <c r="BE1207"/>
      <c r="BF1207"/>
    </row>
    <row r="1208" spans="45:83">
      <c r="AT1208" t="s">
        <v>507</v>
      </c>
      <c r="AZ1208"/>
      <c r="BA1208"/>
      <c r="BB1208"/>
      <c r="BC1208"/>
      <c r="BD1208"/>
      <c r="BE1208"/>
      <c r="BF1208"/>
    </row>
    <row r="1209" spans="45:83">
      <c r="AT1209" t="s">
        <v>508</v>
      </c>
      <c r="AZ1209"/>
      <c r="BA1209"/>
      <c r="BB1209"/>
      <c r="BC1209"/>
      <c r="BD1209"/>
      <c r="BE1209"/>
      <c r="BF1209"/>
    </row>
    <row r="1210" spans="45:83">
      <c r="AT1210" t="s">
        <v>509</v>
      </c>
      <c r="AZ1210"/>
      <c r="BA1210"/>
      <c r="BB1210"/>
      <c r="BC1210"/>
      <c r="BD1210"/>
      <c r="BE1210"/>
      <c r="BF1210"/>
    </row>
    <row r="1211" spans="45:83">
      <c r="AZ1211"/>
      <c r="BA1211"/>
      <c r="BB1211"/>
      <c r="BC1211"/>
      <c r="BD1211"/>
      <c r="BE1211"/>
      <c r="BF1211"/>
    </row>
    <row r="1212" spans="45:83">
      <c r="AS1212" s="67" t="s">
        <v>473</v>
      </c>
      <c r="AT1212" s="67"/>
      <c r="AU1212" s="20" t="s">
        <v>64</v>
      </c>
      <c r="AV1212" s="1" t="s">
        <v>43</v>
      </c>
      <c r="AW1212" s="1" t="s">
        <v>44</v>
      </c>
      <c r="AX1212" s="1" t="s">
        <v>45</v>
      </c>
      <c r="AY1212" s="1" t="s">
        <v>46</v>
      </c>
      <c r="AZ1212" s="1" t="s">
        <v>47</v>
      </c>
      <c r="BA1212" s="1" t="s">
        <v>48</v>
      </c>
      <c r="BB1212" s="1" t="s">
        <v>49</v>
      </c>
      <c r="BC1212" s="1" t="s">
        <v>50</v>
      </c>
      <c r="BD1212" s="1" t="s">
        <v>51</v>
      </c>
      <c r="BE1212" s="1" t="s">
        <v>52</v>
      </c>
      <c r="BF1212" s="1" t="s">
        <v>53</v>
      </c>
      <c r="BG1212" s="1" t="s">
        <v>54</v>
      </c>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row>
    <row r="1213" spans="45:83">
      <c r="AS1213" s="67"/>
      <c r="AT1213" s="67"/>
      <c r="AU1213" s="20">
        <v>5</v>
      </c>
      <c r="AV1213" t="s">
        <v>5</v>
      </c>
      <c r="AW1213" t="s">
        <v>3</v>
      </c>
      <c r="AX1213" t="s">
        <v>5</v>
      </c>
      <c r="AY1213" t="s">
        <v>5</v>
      </c>
      <c r="AZ1213" t="s">
        <v>5</v>
      </c>
      <c r="BA1213" t="s">
        <v>5</v>
      </c>
      <c r="BB1213" t="s">
        <v>5</v>
      </c>
      <c r="BC1213" t="s">
        <v>2</v>
      </c>
      <c r="BD1213" t="s">
        <v>3</v>
      </c>
      <c r="BE1213" t="s">
        <v>3</v>
      </c>
      <c r="BF1213" t="s">
        <v>5</v>
      </c>
      <c r="BG1213" t="s">
        <v>2</v>
      </c>
    </row>
    <row r="1214" spans="45:83">
      <c r="AT1214" t="s">
        <v>504</v>
      </c>
      <c r="AU1214">
        <f>AW22*AT34*AT38*AT46*AT52*AT58*AT64*AT70*AT75*AT80*AT86*AT94*AT99*AT106*AT111*AT117*AT124*AT130*AT136*AT140*AT146*AT151*AT157*AT164*AT167*AT171*AT175*AT179*AT183*AT188*AT192*AT195*AT200*AT203*AT207*AT212*AT216</f>
        <v>0</v>
      </c>
      <c r="AZ1214"/>
      <c r="BA1214"/>
      <c r="BB1214"/>
      <c r="BC1214"/>
      <c r="BD1214"/>
      <c r="BE1214"/>
      <c r="BF1214"/>
    </row>
    <row r="1215" spans="45:83">
      <c r="AT1215" t="s">
        <v>505</v>
      </c>
      <c r="AZ1215"/>
      <c r="BA1215"/>
      <c r="BB1215"/>
      <c r="BC1215"/>
      <c r="BD1215"/>
      <c r="BE1215"/>
      <c r="BF1215"/>
    </row>
    <row r="1216" spans="45:83">
      <c r="AT1216" t="s">
        <v>506</v>
      </c>
      <c r="AZ1216"/>
      <c r="BA1216"/>
      <c r="BB1216"/>
      <c r="BC1216"/>
      <c r="BD1216"/>
      <c r="BE1216"/>
      <c r="BF1216"/>
    </row>
    <row r="1217" spans="45:83">
      <c r="AT1217" t="s">
        <v>507</v>
      </c>
      <c r="AZ1217"/>
      <c r="BA1217"/>
      <c r="BB1217"/>
      <c r="BC1217"/>
      <c r="BD1217"/>
      <c r="BE1217"/>
      <c r="BF1217"/>
    </row>
    <row r="1218" spans="45:83">
      <c r="AT1218" t="s">
        <v>508</v>
      </c>
      <c r="AZ1218"/>
      <c r="BA1218"/>
      <c r="BB1218"/>
      <c r="BC1218"/>
      <c r="BD1218"/>
      <c r="BE1218"/>
      <c r="BF1218"/>
    </row>
    <row r="1219" spans="45:83">
      <c r="AT1219" t="s">
        <v>509</v>
      </c>
      <c r="AZ1219"/>
      <c r="BA1219"/>
      <c r="BB1219"/>
      <c r="BC1219"/>
      <c r="BD1219"/>
      <c r="BE1219"/>
      <c r="BF1219"/>
    </row>
    <row r="1220" spans="45:83">
      <c r="AZ1220"/>
      <c r="BA1220"/>
      <c r="BB1220"/>
      <c r="BC1220"/>
      <c r="BD1220"/>
      <c r="BE1220"/>
      <c r="BF1220"/>
    </row>
    <row r="1221" spans="45:83">
      <c r="AS1221" s="67" t="s">
        <v>470</v>
      </c>
      <c r="AT1221" s="67"/>
      <c r="AU1221" s="20" t="s">
        <v>64</v>
      </c>
      <c r="AV1221" s="1" t="s">
        <v>43</v>
      </c>
      <c r="AW1221" s="1" t="s">
        <v>44</v>
      </c>
      <c r="AX1221" s="1" t="s">
        <v>45</v>
      </c>
      <c r="AY1221" s="1" t="s">
        <v>46</v>
      </c>
      <c r="AZ1221" s="1" t="s">
        <v>47</v>
      </c>
      <c r="BA1221" s="1" t="s">
        <v>48</v>
      </c>
      <c r="BB1221" s="1" t="s">
        <v>49</v>
      </c>
      <c r="BC1221" s="1" t="s">
        <v>50</v>
      </c>
      <c r="BD1221" s="1" t="s">
        <v>51</v>
      </c>
      <c r="BE1221" s="1" t="s">
        <v>52</v>
      </c>
      <c r="BF1221" s="1" t="s">
        <v>53</v>
      </c>
      <c r="BG1221" s="1" t="s">
        <v>54</v>
      </c>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row>
    <row r="1222" spans="45:83">
      <c r="AS1222" s="67"/>
      <c r="AT1222" s="67"/>
      <c r="AU1222" s="20">
        <v>4</v>
      </c>
      <c r="AV1222" t="s">
        <v>5</v>
      </c>
      <c r="AW1222" t="s">
        <v>5</v>
      </c>
      <c r="AX1222" t="s">
        <v>5</v>
      </c>
      <c r="AY1222" t="s">
        <v>5</v>
      </c>
      <c r="AZ1222" t="s">
        <v>5</v>
      </c>
      <c r="BA1222" t="s">
        <v>5</v>
      </c>
      <c r="BB1222" t="s">
        <v>5</v>
      </c>
      <c r="BC1222" t="s">
        <v>2</v>
      </c>
      <c r="BD1222" t="s">
        <v>2</v>
      </c>
      <c r="BE1222" t="s">
        <v>2</v>
      </c>
      <c r="BF1222" t="s">
        <v>3</v>
      </c>
      <c r="BG1222" t="s">
        <v>3</v>
      </c>
    </row>
    <row r="1223" spans="45:83">
      <c r="AT1223" t="s">
        <v>504</v>
      </c>
      <c r="AU1223">
        <f>AW22*AT34*AT40*AT46*AT52*AT58*AT64*AT70*AT75*AT81*AT87*AT92*AT98*AT106*AT110*AT116*AT124*AT130*AT136*AT142*AT145*AT151*AT159*AT164*AT168*AT172*AT175*AT179*AT183*AT187*AT192*AT195*AT200*AT204*AT207*AT211*AT216</f>
        <v>0</v>
      </c>
      <c r="AZ1223"/>
      <c r="BA1223"/>
      <c r="BB1223"/>
      <c r="BC1223"/>
      <c r="BD1223"/>
      <c r="BE1223"/>
      <c r="BF1223"/>
    </row>
    <row r="1224" spans="45:83">
      <c r="AT1224" t="s">
        <v>505</v>
      </c>
      <c r="AZ1224"/>
      <c r="BA1224"/>
      <c r="BB1224"/>
      <c r="BC1224"/>
      <c r="BD1224"/>
      <c r="BE1224"/>
      <c r="BF1224"/>
    </row>
    <row r="1225" spans="45:83">
      <c r="AT1225" t="s">
        <v>506</v>
      </c>
      <c r="AZ1225"/>
      <c r="BA1225"/>
      <c r="BB1225"/>
      <c r="BC1225"/>
      <c r="BD1225"/>
      <c r="BE1225"/>
      <c r="BF1225"/>
    </row>
    <row r="1226" spans="45:83">
      <c r="AT1226" t="s">
        <v>507</v>
      </c>
      <c r="AZ1226"/>
      <c r="BA1226"/>
      <c r="BB1226"/>
      <c r="BC1226"/>
      <c r="BD1226"/>
      <c r="BE1226"/>
      <c r="BF1226"/>
    </row>
    <row r="1227" spans="45:83">
      <c r="AT1227" t="s">
        <v>508</v>
      </c>
      <c r="AZ1227"/>
      <c r="BA1227"/>
      <c r="BB1227"/>
      <c r="BC1227"/>
      <c r="BD1227"/>
      <c r="BE1227"/>
      <c r="BF1227"/>
    </row>
    <row r="1228" spans="45:83">
      <c r="AT1228" t="s">
        <v>509</v>
      </c>
      <c r="AZ1228"/>
      <c r="BA1228"/>
      <c r="BB1228"/>
      <c r="BC1228"/>
      <c r="BD1228"/>
      <c r="BE1228"/>
      <c r="BF1228"/>
    </row>
    <row r="1229" spans="45:83">
      <c r="AZ1229"/>
      <c r="BA1229"/>
      <c r="BB1229"/>
      <c r="BC1229"/>
      <c r="BD1229"/>
      <c r="BE1229"/>
      <c r="BF1229"/>
    </row>
    <row r="1230" spans="45:83">
      <c r="AS1230" s="68" t="s">
        <v>323</v>
      </c>
      <c r="AT1230" s="68"/>
      <c r="AU1230" s="20" t="s">
        <v>64</v>
      </c>
      <c r="AV1230" s="1" t="s">
        <v>43</v>
      </c>
      <c r="AW1230" s="1" t="s">
        <v>44</v>
      </c>
      <c r="AX1230" s="1" t="s">
        <v>45</v>
      </c>
      <c r="AY1230" s="1" t="s">
        <v>46</v>
      </c>
      <c r="AZ1230" s="1" t="s">
        <v>47</v>
      </c>
      <c r="BA1230" s="1" t="s">
        <v>48</v>
      </c>
      <c r="BB1230" s="1" t="s">
        <v>49</v>
      </c>
      <c r="BC1230" s="1" t="s">
        <v>50</v>
      </c>
      <c r="BD1230" s="1" t="s">
        <v>51</v>
      </c>
      <c r="BE1230" s="1" t="s">
        <v>52</v>
      </c>
      <c r="BF1230" s="1" t="s">
        <v>53</v>
      </c>
      <c r="BG1230" s="1" t="s">
        <v>54</v>
      </c>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row>
    <row r="1231" spans="45:83">
      <c r="AS1231" s="68"/>
      <c r="AT1231" s="68"/>
      <c r="AU1231" s="20">
        <v>4</v>
      </c>
      <c r="AV1231" t="s">
        <v>5</v>
      </c>
      <c r="AW1231" t="s">
        <v>3</v>
      </c>
      <c r="AX1231" t="s">
        <v>2</v>
      </c>
      <c r="AY1231" t="s">
        <v>5</v>
      </c>
      <c r="AZ1231" t="s">
        <v>5</v>
      </c>
      <c r="BA1231" t="s">
        <v>5</v>
      </c>
      <c r="BB1231" t="s">
        <v>2</v>
      </c>
      <c r="BC1231" t="s">
        <v>2</v>
      </c>
      <c r="BD1231" t="s">
        <v>3</v>
      </c>
      <c r="BE1231" t="s">
        <v>3</v>
      </c>
      <c r="BF1231" t="s">
        <v>3</v>
      </c>
      <c r="BG1231" s="22" t="s">
        <v>4</v>
      </c>
    </row>
    <row r="1232" spans="45:83">
      <c r="AT1232" t="s">
        <v>504</v>
      </c>
      <c r="AU1232" s="44">
        <f>AW22*AT34*AT38*AT45*AT52*AT58*AT64*AT69*AT75*AT80*AT86*AT92*AT97*AT105*AT111*AT116*AT124*AT129*AT135*AT142*AT146*AT153*AT159*AT164*AT167*AT171*AT175*AT179*AT183*AT188*AT192*AT195*AT200*AT203*AT207*AT211*AT216</f>
        <v>0</v>
      </c>
      <c r="AZ1232"/>
      <c r="BA1232"/>
      <c r="BB1232"/>
      <c r="BC1232"/>
      <c r="BD1232"/>
      <c r="BE1232"/>
      <c r="BF1232"/>
    </row>
    <row r="1233" spans="39:58">
      <c r="AT1233" t="s">
        <v>505</v>
      </c>
      <c r="AU1233">
        <f>AW23*AU34*AU38*AU45*AU52*AU58*AU64*AU69*AU75*AU80*AU86*AU92*AU97*AU105*AU111*AU116*AU124*AU129*AU135*AU142*AU146*AU153*AU159*AU164*AU167*AU171*AU175*AU179*AU183*AU188*AU192*AU195*AU200*AU203*AU207*AU211*AU216</f>
        <v>0</v>
      </c>
      <c r="AZ1233"/>
      <c r="BA1233"/>
      <c r="BB1233"/>
      <c r="BC1233"/>
      <c r="BD1233"/>
      <c r="BE1233"/>
      <c r="BF1233"/>
    </row>
    <row r="1234" spans="39:58">
      <c r="AT1234" t="s">
        <v>506</v>
      </c>
      <c r="AU1234">
        <f>AW24*AV34*AV38*AV45*AV52*AV58*AV64*AV69*AV75*AV80*AV86*AV92*AV97*AV105*AV111*AV116*AV124*AV129*AV135*AV142*AV146*AV153*AV159*AV164*AV167*AV171*AV175*AV179*AV183*AV188*AV192*AV195*AV200*AV203*AV207*AV211*AV216</f>
        <v>0</v>
      </c>
      <c r="AZ1234"/>
      <c r="BA1234"/>
      <c r="BB1234"/>
      <c r="BC1234"/>
      <c r="BD1234"/>
      <c r="BE1234"/>
      <c r="BF1234"/>
    </row>
    <row r="1235" spans="39:58">
      <c r="AT1235" t="s">
        <v>507</v>
      </c>
      <c r="AU1235">
        <f>AW25*AW34*AW38*AW45*AW52*AW58*AW64*AW69*AW75*AW80*AW86*AW92*AW97*AW105*AW111*AW116*AW124*AW129*AW135*AW142*AW146*AW153*AW159*AW164*AW167*AW171*AW175*AW179*AW183*AW188*AW192*AW195*AW200*AW203*AW207*AW211*AW216</f>
        <v>1.7102295990961887E-13</v>
      </c>
      <c r="AZ1235"/>
      <c r="BA1235"/>
      <c r="BB1235"/>
      <c r="BC1235"/>
      <c r="BD1235"/>
      <c r="BE1235"/>
      <c r="BF1235"/>
    </row>
    <row r="1236" spans="39:58">
      <c r="AT1236" t="s">
        <v>508</v>
      </c>
      <c r="AU1236">
        <f>AW26*AX34*AX38*AX45*AX52*AX58*AX64*AX69*AX75*AX80*AX86*AX92*AX97*AX105*AX111*AX116*AX124*AX129*AX135*AX142*AX146*AX153*AX159*AX164*AX167*AX171*AX175*AX179*AX183*AX188*AX192*AX195*AX200*AX203*AX207*AX211*AX216</f>
        <v>0</v>
      </c>
      <c r="AZ1236"/>
      <c r="BA1236"/>
      <c r="BB1236"/>
      <c r="BC1236"/>
      <c r="BD1236"/>
      <c r="BE1236"/>
      <c r="BF1236"/>
    </row>
    <row r="1237" spans="39:58">
      <c r="AT1237" t="s">
        <v>509</v>
      </c>
      <c r="AU1237">
        <f>AW27*AY34*AY38*AY45*AY52*AY58*AY64*AY69*AY75*AY80*AY86*AY92*AY97*AY105*AY111*AY116*AY124*AY129*AY135*AY142*AY146*AY153*AY159*AY164*AY167*AY171*AY175*AY179*AY183*AY188*AY192*AY195*AY200*AY203*AY207*AY211*AY216</f>
        <v>1.0504769993404522E-13</v>
      </c>
      <c r="AZ1237"/>
      <c r="BA1237"/>
      <c r="BB1237"/>
      <c r="BC1237"/>
      <c r="BD1237"/>
      <c r="BE1237"/>
      <c r="BF1237"/>
    </row>
    <row r="1238" spans="39:58">
      <c r="AZ1238"/>
      <c r="BA1238"/>
      <c r="BB1238"/>
      <c r="BC1238"/>
      <c r="BD1238"/>
      <c r="BE1238"/>
      <c r="BF1238"/>
    </row>
    <row r="1239" spans="39:58">
      <c r="AZ1239"/>
      <c r="BA1239"/>
      <c r="BB1239"/>
      <c r="BC1239"/>
      <c r="BD1239"/>
      <c r="BE1239"/>
      <c r="BF1239"/>
    </row>
    <row r="1240" spans="39:58">
      <c r="AZ1240"/>
      <c r="BA1240"/>
      <c r="BB1240"/>
      <c r="BC1240"/>
      <c r="BD1240"/>
      <c r="BE1240"/>
      <c r="BF1240"/>
    </row>
    <row r="1241" spans="39:58">
      <c r="AZ1241"/>
      <c r="BA1241"/>
      <c r="BB1241"/>
      <c r="BC1241"/>
      <c r="BD1241"/>
      <c r="BE1241"/>
      <c r="BF1241"/>
    </row>
    <row r="1242" spans="39:58">
      <c r="AZ1242"/>
      <c r="BA1242"/>
      <c r="BB1242"/>
      <c r="BC1242"/>
      <c r="BD1242"/>
      <c r="BE1242"/>
      <c r="BF1242"/>
    </row>
    <row r="1243" spans="39:58">
      <c r="AZ1243"/>
      <c r="BA1243"/>
      <c r="BB1243"/>
      <c r="BC1243"/>
      <c r="BD1243"/>
      <c r="BE1243"/>
      <c r="BF1243"/>
    </row>
    <row r="1244" spans="39:58">
      <c r="AZ1244"/>
      <c r="BA1244"/>
      <c r="BB1244"/>
      <c r="BC1244"/>
      <c r="BD1244"/>
      <c r="BE1244"/>
      <c r="BF1244"/>
    </row>
    <row r="1245" spans="39:58">
      <c r="AZ1245"/>
      <c r="BA1245"/>
      <c r="BB1245"/>
      <c r="BC1245"/>
      <c r="BD1245"/>
      <c r="BE1245"/>
      <c r="BF1245"/>
    </row>
    <row r="1246" spans="39:58">
      <c r="AZ1246"/>
      <c r="BA1246"/>
      <c r="BB1246"/>
      <c r="BC1246"/>
      <c r="BD1246"/>
      <c r="BE1246"/>
      <c r="BF1246"/>
    </row>
    <row r="1247" spans="39:58">
      <c r="AM1247" s="2"/>
      <c r="AZ1247"/>
      <c r="BA1247"/>
      <c r="BB1247"/>
      <c r="BC1247"/>
      <c r="BD1247"/>
      <c r="BE1247"/>
      <c r="BF1247"/>
    </row>
    <row r="1248" spans="39:58">
      <c r="AZ1248"/>
      <c r="BA1248"/>
      <c r="BB1248"/>
      <c r="BC1248"/>
      <c r="BD1248"/>
      <c r="BE1248"/>
      <c r="BF1248"/>
    </row>
    <row r="1249" spans="39:58">
      <c r="AZ1249"/>
      <c r="BA1249"/>
      <c r="BB1249"/>
      <c r="BC1249"/>
      <c r="BD1249"/>
      <c r="BE1249"/>
      <c r="BF1249"/>
    </row>
    <row r="1250" spans="39:58">
      <c r="AZ1250"/>
      <c r="BA1250"/>
      <c r="BB1250"/>
      <c r="BC1250"/>
      <c r="BD1250"/>
      <c r="BE1250"/>
      <c r="BF1250"/>
    </row>
    <row r="1251" spans="39:58">
      <c r="AZ1251"/>
      <c r="BA1251"/>
      <c r="BB1251"/>
      <c r="BC1251"/>
      <c r="BD1251"/>
      <c r="BE1251"/>
      <c r="BF1251"/>
    </row>
    <row r="1252" spans="39:58">
      <c r="AZ1252"/>
      <c r="BA1252"/>
      <c r="BB1252"/>
      <c r="BC1252"/>
      <c r="BD1252"/>
      <c r="BE1252"/>
      <c r="BF1252"/>
    </row>
    <row r="1253" spans="39:58">
      <c r="AZ1253"/>
      <c r="BA1253"/>
      <c r="BB1253"/>
      <c r="BC1253"/>
      <c r="BD1253"/>
      <c r="BE1253"/>
      <c r="BF1253"/>
    </row>
    <row r="1254" spans="39:58">
      <c r="AZ1254"/>
      <c r="BA1254"/>
      <c r="BB1254"/>
      <c r="BC1254"/>
      <c r="BD1254"/>
      <c r="BE1254"/>
      <c r="BF1254"/>
    </row>
    <row r="1255" spans="39:58">
      <c r="AZ1255"/>
      <c r="BA1255"/>
      <c r="BB1255"/>
      <c r="BC1255"/>
      <c r="BD1255"/>
      <c r="BE1255"/>
      <c r="BF1255"/>
    </row>
    <row r="1256" spans="39:58">
      <c r="AZ1256"/>
      <c r="BA1256"/>
      <c r="BB1256"/>
      <c r="BC1256"/>
      <c r="BD1256"/>
      <c r="BE1256"/>
      <c r="BF1256"/>
    </row>
    <row r="1257" spans="39:58">
      <c r="AZ1257"/>
      <c r="BA1257"/>
      <c r="BB1257"/>
      <c r="BC1257"/>
      <c r="BD1257"/>
      <c r="BE1257"/>
      <c r="BF1257"/>
    </row>
    <row r="1258" spans="39:58">
      <c r="AZ1258"/>
      <c r="BA1258"/>
      <c r="BB1258"/>
      <c r="BC1258"/>
      <c r="BD1258"/>
      <c r="BE1258"/>
      <c r="BF1258"/>
    </row>
    <row r="1259" spans="39:58">
      <c r="AZ1259"/>
      <c r="BA1259"/>
      <c r="BB1259"/>
      <c r="BC1259"/>
      <c r="BD1259"/>
      <c r="BE1259"/>
      <c r="BF1259"/>
    </row>
    <row r="1260" spans="39:58">
      <c r="AZ1260"/>
      <c r="BA1260"/>
      <c r="BB1260"/>
      <c r="BC1260"/>
      <c r="BD1260"/>
      <c r="BE1260"/>
      <c r="BF1260"/>
    </row>
    <row r="1261" spans="39:58">
      <c r="AZ1261"/>
      <c r="BA1261"/>
      <c r="BB1261"/>
      <c r="BC1261"/>
      <c r="BD1261"/>
      <c r="BE1261"/>
      <c r="BF1261"/>
    </row>
    <row r="1262" spans="39:58">
      <c r="AZ1262"/>
      <c r="BA1262"/>
      <c r="BB1262"/>
      <c r="BC1262"/>
      <c r="BD1262"/>
      <c r="BE1262"/>
      <c r="BF1262"/>
    </row>
    <row r="1263" spans="39:58">
      <c r="AM1263" s="2"/>
      <c r="AZ1263"/>
      <c r="BA1263"/>
      <c r="BB1263"/>
      <c r="BC1263"/>
      <c r="BD1263"/>
      <c r="BE1263"/>
      <c r="BF1263"/>
    </row>
    <row r="1264" spans="39:58">
      <c r="AZ1264"/>
      <c r="BA1264"/>
      <c r="BB1264"/>
      <c r="BC1264"/>
      <c r="BD1264"/>
      <c r="BE1264"/>
      <c r="BF1264"/>
    </row>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spans="40:58">
      <c r="AZ1281"/>
      <c r="BA1281"/>
      <c r="BB1281"/>
      <c r="BC1281"/>
      <c r="BD1281"/>
      <c r="BE1281"/>
      <c r="BF1281"/>
    </row>
    <row r="1282" spans="40:58">
      <c r="AZ1282"/>
      <c r="BA1282"/>
      <c r="BB1282"/>
      <c r="BC1282"/>
      <c r="BD1282"/>
      <c r="BE1282"/>
      <c r="BF1282"/>
    </row>
    <row r="1283" spans="40:58">
      <c r="AZ1283"/>
      <c r="BA1283"/>
      <c r="BB1283"/>
      <c r="BC1283"/>
      <c r="BD1283"/>
      <c r="BE1283"/>
      <c r="BF1283"/>
    </row>
    <row r="1284" spans="40:58">
      <c r="AZ1284"/>
      <c r="BA1284"/>
      <c r="BB1284"/>
      <c r="BC1284"/>
      <c r="BD1284"/>
      <c r="BE1284"/>
      <c r="BF1284"/>
    </row>
    <row r="1285" spans="40:58">
      <c r="AZ1285"/>
      <c r="BA1285"/>
      <c r="BB1285"/>
      <c r="BC1285"/>
      <c r="BD1285"/>
      <c r="BE1285"/>
      <c r="BF1285"/>
    </row>
    <row r="1286" spans="40:58">
      <c r="AZ1286"/>
      <c r="BA1286"/>
      <c r="BB1286"/>
      <c r="BC1286"/>
      <c r="BD1286"/>
      <c r="BE1286"/>
      <c r="BF1286"/>
    </row>
    <row r="1287" spans="40:58">
      <c r="AZ1287"/>
      <c r="BA1287"/>
      <c r="BB1287"/>
      <c r="BC1287"/>
      <c r="BD1287"/>
      <c r="BE1287"/>
      <c r="BF1287"/>
    </row>
    <row r="1288" spans="40:58">
      <c r="AS1288" s="19"/>
      <c r="AT1288" s="19"/>
      <c r="AZ1288"/>
      <c r="BA1288"/>
      <c r="BB1288"/>
      <c r="BC1288"/>
      <c r="BD1288"/>
      <c r="BE1288"/>
      <c r="BF1288"/>
    </row>
    <row r="1289" spans="40:58">
      <c r="AS1289" s="19"/>
      <c r="AT1289" s="19"/>
      <c r="AZ1289"/>
      <c r="BA1289"/>
      <c r="BB1289"/>
      <c r="BC1289"/>
      <c r="BD1289"/>
      <c r="BE1289"/>
      <c r="BF1289"/>
    </row>
    <row r="1290" spans="40:58">
      <c r="AS1290" s="19"/>
      <c r="AT1290" s="19"/>
      <c r="AZ1290"/>
      <c r="BA1290"/>
      <c r="BB1290"/>
      <c r="BC1290"/>
      <c r="BD1290"/>
      <c r="BE1290"/>
      <c r="BF1290"/>
    </row>
    <row r="1291" spans="40:58">
      <c r="AS1291" s="19"/>
      <c r="AT1291" s="19"/>
      <c r="AZ1291"/>
      <c r="BA1291"/>
      <c r="BB1291"/>
      <c r="BC1291"/>
      <c r="BD1291"/>
      <c r="BE1291"/>
      <c r="BF1291"/>
    </row>
    <row r="1292" spans="40:58">
      <c r="AS1292" s="19"/>
      <c r="AT1292" s="19"/>
      <c r="AZ1292"/>
      <c r="BA1292"/>
      <c r="BB1292"/>
      <c r="BC1292"/>
      <c r="BD1292"/>
      <c r="BE1292"/>
      <c r="BF1292"/>
    </row>
    <row r="1293" spans="40:58">
      <c r="AS1293" s="19"/>
      <c r="AT1293" s="19"/>
      <c r="AZ1293"/>
      <c r="BA1293"/>
      <c r="BB1293"/>
      <c r="BC1293"/>
      <c r="BD1293"/>
      <c r="BE1293"/>
      <c r="BF1293"/>
    </row>
    <row r="1294" spans="40:58">
      <c r="AN1294" s="19"/>
      <c r="AO1294" s="19"/>
      <c r="AP1294" s="19"/>
      <c r="AQ1294" s="19"/>
      <c r="AR1294" s="19"/>
      <c r="AS1294" s="19"/>
      <c r="AT1294" s="19"/>
      <c r="AZ1294"/>
      <c r="BA1294"/>
      <c r="BB1294"/>
      <c r="BC1294"/>
      <c r="BD1294"/>
      <c r="BE1294"/>
      <c r="BF1294"/>
    </row>
    <row r="1295" spans="40:58">
      <c r="AN1295" s="19"/>
      <c r="AO1295" s="19"/>
      <c r="AP1295" s="19"/>
      <c r="AQ1295" s="19"/>
      <c r="AR1295" s="19"/>
      <c r="AS1295" s="19"/>
      <c r="AT1295" s="19"/>
      <c r="AZ1295"/>
      <c r="BA1295"/>
      <c r="BB1295"/>
      <c r="BC1295"/>
      <c r="BD1295"/>
      <c r="BE1295"/>
      <c r="BF1295"/>
    </row>
    <row r="1296" spans="40:58">
      <c r="AN1296" s="19"/>
      <c r="AO1296" s="19"/>
      <c r="AP1296" s="19"/>
      <c r="AQ1296" s="19"/>
      <c r="AR1296" s="19"/>
      <c r="AS1296" s="19"/>
      <c r="AT1296" s="19"/>
      <c r="AZ1296"/>
      <c r="BA1296"/>
      <c r="BB1296"/>
      <c r="BC1296"/>
      <c r="BD1296"/>
      <c r="BE1296"/>
      <c r="BF1296"/>
    </row>
    <row r="1297" spans="40:58">
      <c r="AN1297" s="19"/>
      <c r="AO1297" s="19"/>
      <c r="AP1297" s="19"/>
      <c r="AQ1297" s="19"/>
      <c r="AR1297" s="19"/>
      <c r="AS1297" s="19"/>
      <c r="AT1297" s="19"/>
      <c r="AZ1297"/>
      <c r="BA1297"/>
      <c r="BB1297"/>
      <c r="BC1297"/>
      <c r="BD1297"/>
      <c r="BE1297"/>
      <c r="BF1297"/>
    </row>
    <row r="1298" spans="40:58">
      <c r="AN1298" s="19"/>
      <c r="AO1298" s="19"/>
      <c r="AP1298" s="19"/>
      <c r="AQ1298" s="19"/>
      <c r="AR1298" s="19"/>
      <c r="AS1298" s="19"/>
      <c r="AT1298" s="19"/>
      <c r="AZ1298"/>
      <c r="BA1298"/>
      <c r="BB1298"/>
      <c r="BC1298"/>
      <c r="BD1298"/>
      <c r="BE1298"/>
      <c r="BF1298"/>
    </row>
    <row r="1299" spans="40:58">
      <c r="AN1299" s="19"/>
      <c r="AO1299" s="19"/>
      <c r="AP1299" s="19"/>
      <c r="AQ1299" s="19"/>
      <c r="AR1299" s="19"/>
      <c r="AS1299" s="19"/>
      <c r="AT1299" s="19"/>
      <c r="AZ1299"/>
      <c r="BA1299"/>
      <c r="BB1299"/>
      <c r="BC1299"/>
      <c r="BD1299"/>
      <c r="BE1299"/>
      <c r="BF1299"/>
    </row>
    <row r="1300" spans="40:58">
      <c r="AN1300" s="19"/>
      <c r="AO1300" s="19"/>
      <c r="AP1300" s="19"/>
      <c r="AQ1300" s="19"/>
      <c r="AR1300" s="19"/>
      <c r="AS1300" s="19"/>
      <c r="AT1300" s="19"/>
      <c r="AZ1300"/>
      <c r="BA1300"/>
      <c r="BB1300"/>
      <c r="BC1300"/>
      <c r="BD1300"/>
      <c r="BE1300"/>
      <c r="BF1300"/>
    </row>
    <row r="1301" spans="40:58">
      <c r="AN1301" s="19"/>
      <c r="AO1301" s="19"/>
      <c r="AP1301" s="19"/>
      <c r="AQ1301" s="19"/>
      <c r="AR1301" s="19"/>
      <c r="AS1301" s="19"/>
      <c r="AT1301" s="19"/>
      <c r="AZ1301"/>
      <c r="BA1301"/>
      <c r="BB1301"/>
      <c r="BC1301"/>
      <c r="BD1301"/>
      <c r="BE1301"/>
      <c r="BF1301"/>
    </row>
    <row r="1302" spans="40:58">
      <c r="AN1302" s="19"/>
      <c r="AO1302" s="19"/>
      <c r="AP1302" s="19"/>
      <c r="AQ1302" s="19"/>
      <c r="AR1302" s="19"/>
      <c r="AS1302" s="19"/>
      <c r="AT1302" s="19"/>
      <c r="AZ1302"/>
      <c r="BA1302"/>
      <c r="BB1302"/>
      <c r="BC1302"/>
      <c r="BD1302"/>
      <c r="BE1302"/>
      <c r="BF1302"/>
    </row>
    <row r="1303" spans="40:58">
      <c r="AN1303" s="19"/>
      <c r="AO1303" s="19"/>
      <c r="AP1303" s="19"/>
      <c r="AQ1303" s="19"/>
      <c r="AR1303" s="19"/>
      <c r="AS1303" s="19"/>
      <c r="AT1303" s="19"/>
      <c r="AZ1303"/>
      <c r="BA1303"/>
      <c r="BB1303"/>
      <c r="BC1303"/>
      <c r="BD1303"/>
      <c r="BE1303"/>
      <c r="BF1303"/>
    </row>
    <row r="1304" spans="40:58">
      <c r="AN1304" s="19"/>
      <c r="AO1304" s="19"/>
      <c r="AP1304" s="19"/>
      <c r="AQ1304" s="19"/>
      <c r="AR1304" s="19"/>
      <c r="AS1304" s="19"/>
      <c r="AT1304" s="19"/>
      <c r="AZ1304"/>
      <c r="BA1304"/>
      <c r="BB1304"/>
      <c r="BC1304"/>
      <c r="BD1304"/>
      <c r="BE1304"/>
      <c r="BF1304"/>
    </row>
    <row r="1305" spans="40:58">
      <c r="AN1305" s="19"/>
      <c r="AO1305" s="19"/>
      <c r="AP1305" s="19"/>
      <c r="AQ1305" s="19"/>
      <c r="AR1305" s="19"/>
      <c r="AS1305" s="19"/>
      <c r="AT1305" s="19"/>
      <c r="AZ1305"/>
      <c r="BA1305"/>
      <c r="BB1305"/>
      <c r="BC1305"/>
      <c r="BD1305"/>
      <c r="BE1305"/>
      <c r="BF1305"/>
    </row>
    <row r="1306" spans="40:58">
      <c r="AN1306" s="19"/>
      <c r="AO1306" s="19"/>
      <c r="AP1306" s="19"/>
      <c r="AQ1306" s="19"/>
      <c r="AR1306" s="19"/>
      <c r="AS1306" s="19"/>
      <c r="AT1306" s="19"/>
      <c r="AZ1306"/>
      <c r="BA1306"/>
      <c r="BB1306"/>
      <c r="BC1306"/>
      <c r="BD1306"/>
      <c r="BE1306"/>
      <c r="BF1306"/>
    </row>
    <row r="1307" spans="40:58">
      <c r="AN1307" s="19"/>
      <c r="AO1307" s="19"/>
      <c r="AP1307" s="19"/>
      <c r="AQ1307" s="19"/>
      <c r="AR1307" s="19"/>
      <c r="AS1307" s="19"/>
      <c r="AT1307" s="19"/>
      <c r="AZ1307"/>
      <c r="BA1307"/>
      <c r="BB1307"/>
      <c r="BC1307"/>
      <c r="BD1307"/>
      <c r="BE1307"/>
      <c r="BF1307"/>
    </row>
    <row r="1308" spans="40:58">
      <c r="AN1308" s="19"/>
      <c r="AO1308" s="19"/>
      <c r="AP1308" s="19"/>
      <c r="AQ1308" s="19"/>
      <c r="AR1308" s="19"/>
      <c r="AS1308" s="19"/>
      <c r="AT1308" s="19"/>
      <c r="AZ1308"/>
      <c r="BA1308"/>
      <c r="BB1308"/>
      <c r="BC1308"/>
      <c r="BD1308"/>
      <c r="BE1308"/>
      <c r="BF1308"/>
    </row>
    <row r="1309" spans="40:58">
      <c r="AN1309" s="19"/>
      <c r="AO1309" s="19"/>
      <c r="AP1309" s="19"/>
      <c r="AQ1309" s="19"/>
      <c r="AR1309" s="19"/>
      <c r="AS1309" s="19"/>
      <c r="AT1309" s="19"/>
      <c r="AZ1309"/>
      <c r="BA1309"/>
      <c r="BB1309"/>
      <c r="BC1309"/>
      <c r="BD1309"/>
      <c r="BE1309"/>
      <c r="BF1309"/>
    </row>
    <row r="1310" spans="40:58">
      <c r="AN1310" s="19"/>
      <c r="AO1310" s="19"/>
      <c r="AP1310" s="19"/>
      <c r="AQ1310" s="19"/>
      <c r="AR1310" s="19"/>
      <c r="AS1310" s="19"/>
      <c r="AT1310" s="19"/>
      <c r="AZ1310"/>
      <c r="BA1310"/>
      <c r="BB1310"/>
      <c r="BC1310"/>
      <c r="BD1310"/>
      <c r="BE1310"/>
      <c r="BF1310"/>
    </row>
    <row r="1311" spans="40:58">
      <c r="AN1311" s="19"/>
      <c r="AO1311" s="19"/>
      <c r="AP1311" s="19"/>
      <c r="AQ1311" s="19"/>
      <c r="AR1311" s="19"/>
      <c r="AS1311" s="19"/>
      <c r="AT1311" s="19"/>
      <c r="AZ1311"/>
      <c r="BA1311"/>
      <c r="BB1311"/>
      <c r="BC1311"/>
      <c r="BD1311"/>
      <c r="BE1311"/>
      <c r="BF1311"/>
    </row>
    <row r="1312" spans="40:58">
      <c r="AN1312" s="19"/>
      <c r="AO1312" s="19"/>
      <c r="AP1312" s="19"/>
      <c r="AQ1312" s="19"/>
      <c r="AR1312" s="19"/>
      <c r="AS1312" s="19"/>
      <c r="AT1312" s="19"/>
      <c r="AZ1312"/>
      <c r="BA1312"/>
      <c r="BB1312"/>
      <c r="BC1312"/>
      <c r="BD1312"/>
      <c r="BE1312"/>
      <c r="BF1312"/>
    </row>
    <row r="1313" spans="40:58">
      <c r="AN1313" s="19"/>
      <c r="AO1313" s="19"/>
      <c r="AP1313" s="19"/>
      <c r="AQ1313" s="19"/>
      <c r="AR1313" s="19"/>
      <c r="AS1313" s="19"/>
      <c r="AT1313" s="19"/>
      <c r="AZ1313"/>
      <c r="BA1313"/>
      <c r="BB1313"/>
      <c r="BC1313"/>
      <c r="BD1313"/>
      <c r="BE1313"/>
      <c r="BF1313"/>
    </row>
    <row r="1314" spans="40:58">
      <c r="AN1314" s="19"/>
      <c r="AO1314" s="19"/>
      <c r="AP1314" s="19"/>
      <c r="AQ1314" s="19"/>
      <c r="AR1314" s="19"/>
      <c r="AS1314" s="19"/>
      <c r="AT1314" s="19"/>
      <c r="AZ1314"/>
      <c r="BA1314"/>
      <c r="BB1314"/>
      <c r="BC1314"/>
      <c r="BD1314"/>
      <c r="BE1314"/>
      <c r="BF1314"/>
    </row>
    <row r="1315" spans="40:58">
      <c r="AN1315" s="19"/>
      <c r="AO1315" s="19"/>
      <c r="AP1315" s="19"/>
      <c r="AQ1315" s="19"/>
      <c r="AR1315" s="19"/>
      <c r="AS1315" s="19"/>
      <c r="AT1315" s="19"/>
      <c r="AZ1315"/>
      <c r="BA1315"/>
      <c r="BB1315"/>
      <c r="BC1315"/>
      <c r="BD1315"/>
      <c r="BE1315"/>
      <c r="BF1315"/>
    </row>
    <row r="1316" spans="40:58">
      <c r="AN1316" s="19"/>
      <c r="AO1316" s="19"/>
      <c r="AP1316" s="19"/>
      <c r="AQ1316" s="19"/>
      <c r="AR1316" s="19"/>
      <c r="AS1316" s="19"/>
      <c r="AT1316" s="19"/>
      <c r="AZ1316"/>
      <c r="BA1316"/>
      <c r="BB1316"/>
      <c r="BC1316"/>
      <c r="BD1316"/>
      <c r="BE1316"/>
      <c r="BF1316"/>
    </row>
    <row r="1317" spans="40:58">
      <c r="AN1317" s="19"/>
      <c r="AO1317" s="19"/>
      <c r="AP1317" s="19"/>
      <c r="AQ1317" s="19"/>
      <c r="AR1317" s="19"/>
      <c r="AS1317" s="19"/>
      <c r="AT1317" s="19"/>
      <c r="AZ1317"/>
      <c r="BA1317"/>
      <c r="BB1317"/>
      <c r="BC1317"/>
      <c r="BD1317"/>
      <c r="BE1317"/>
      <c r="BF1317"/>
    </row>
    <row r="1318" spans="40:58">
      <c r="AN1318" s="19"/>
      <c r="AO1318" s="19"/>
      <c r="AP1318" s="19"/>
      <c r="AQ1318" s="19"/>
      <c r="AR1318" s="19"/>
      <c r="AS1318" s="19"/>
      <c r="AT1318" s="19"/>
      <c r="AZ1318"/>
      <c r="BA1318"/>
      <c r="BB1318"/>
      <c r="BC1318"/>
      <c r="BD1318"/>
      <c r="BE1318"/>
      <c r="BF1318"/>
    </row>
    <row r="1319" spans="40:58">
      <c r="AN1319" s="19"/>
      <c r="AO1319" s="19"/>
      <c r="AP1319" s="19"/>
      <c r="AQ1319" s="19"/>
      <c r="AR1319" s="19"/>
      <c r="AS1319" s="19"/>
      <c r="AT1319" s="19"/>
      <c r="AZ1319"/>
      <c r="BA1319"/>
      <c r="BB1319"/>
      <c r="BC1319"/>
      <c r="BD1319"/>
      <c r="BE1319"/>
      <c r="BF1319"/>
    </row>
    <row r="1320" spans="40:58">
      <c r="AN1320" s="19"/>
      <c r="AO1320" s="19"/>
      <c r="AP1320" s="19"/>
      <c r="AQ1320" s="19"/>
      <c r="AR1320" s="19"/>
      <c r="AS1320" s="19"/>
      <c r="AT1320" s="19"/>
      <c r="AZ1320"/>
      <c r="BA1320"/>
      <c r="BB1320"/>
      <c r="BC1320"/>
      <c r="BD1320"/>
      <c r="BE1320"/>
      <c r="BF1320"/>
    </row>
    <row r="1321" spans="40:58">
      <c r="AN1321" s="19"/>
      <c r="AO1321" s="19"/>
      <c r="AP1321" s="19"/>
      <c r="AQ1321" s="19"/>
      <c r="AR1321" s="19"/>
      <c r="AS1321" s="19"/>
      <c r="AT1321" s="19"/>
      <c r="AZ1321"/>
      <c r="BA1321"/>
      <c r="BB1321"/>
      <c r="BC1321"/>
      <c r="BD1321"/>
      <c r="BE1321"/>
      <c r="BF1321"/>
    </row>
    <row r="1322" spans="40:58">
      <c r="AN1322" s="19"/>
      <c r="AO1322" s="19"/>
      <c r="AP1322" s="19"/>
      <c r="AQ1322" s="19"/>
      <c r="AR1322" s="19"/>
      <c r="AS1322" s="19"/>
      <c r="AT1322" s="19"/>
      <c r="AZ1322"/>
      <c r="BA1322"/>
      <c r="BB1322"/>
      <c r="BC1322"/>
      <c r="BD1322"/>
      <c r="BE1322"/>
      <c r="BF1322"/>
    </row>
    <row r="1323" spans="40:58">
      <c r="AN1323" s="19"/>
      <c r="AO1323" s="19"/>
      <c r="AP1323" s="19"/>
      <c r="AQ1323" s="19"/>
      <c r="AR1323" s="19"/>
      <c r="AS1323" s="19"/>
      <c r="AT1323" s="19"/>
      <c r="AZ1323"/>
      <c r="BA1323"/>
      <c r="BB1323"/>
      <c r="BC1323"/>
      <c r="BD1323"/>
      <c r="BE1323"/>
      <c r="BF1323"/>
    </row>
    <row r="1324" spans="40:58">
      <c r="AN1324" s="19"/>
      <c r="AO1324" s="19"/>
      <c r="AP1324" s="19"/>
      <c r="AQ1324" s="19"/>
      <c r="AR1324" s="19"/>
      <c r="AS1324" s="19"/>
      <c r="AT1324" s="19"/>
      <c r="AZ1324"/>
      <c r="BA1324"/>
      <c r="BB1324"/>
      <c r="BC1324"/>
      <c r="BD1324"/>
      <c r="BE1324"/>
      <c r="BF1324"/>
    </row>
    <row r="1325" spans="40:58">
      <c r="AN1325" s="19"/>
      <c r="AO1325" s="19"/>
      <c r="AP1325" s="19"/>
      <c r="AQ1325" s="19"/>
      <c r="AR1325" s="19"/>
      <c r="AZ1325"/>
      <c r="BA1325"/>
      <c r="BB1325"/>
      <c r="BC1325"/>
      <c r="BD1325"/>
      <c r="BE1325"/>
      <c r="BF1325"/>
    </row>
    <row r="1326" spans="40:58">
      <c r="AN1326" s="19"/>
      <c r="AO1326" s="19"/>
      <c r="AP1326" s="19"/>
      <c r="AQ1326" s="19"/>
      <c r="AR1326" s="19"/>
      <c r="AZ1326"/>
      <c r="BA1326"/>
      <c r="BB1326"/>
      <c r="BC1326"/>
      <c r="BD1326"/>
      <c r="BE1326"/>
      <c r="BF1326"/>
    </row>
    <row r="1327" spans="40:58">
      <c r="AN1327" s="19"/>
      <c r="AO1327" s="19"/>
      <c r="AP1327" s="19"/>
      <c r="AQ1327" s="19"/>
      <c r="AR1327" s="19"/>
      <c r="AZ1327"/>
      <c r="BA1327"/>
      <c r="BB1327"/>
      <c r="BC1327"/>
      <c r="BD1327"/>
      <c r="BE1327"/>
      <c r="BF1327"/>
    </row>
    <row r="1328" spans="40:58">
      <c r="AN1328" s="19"/>
      <c r="AO1328" s="19"/>
      <c r="AP1328" s="19"/>
      <c r="AQ1328" s="19"/>
      <c r="AR1328" s="19"/>
      <c r="AZ1328"/>
      <c r="BA1328"/>
      <c r="BB1328"/>
      <c r="BC1328"/>
      <c r="BD1328"/>
      <c r="BE1328"/>
      <c r="BF1328"/>
    </row>
    <row r="1329" spans="40:58">
      <c r="AN1329" s="19"/>
      <c r="AO1329" s="19"/>
      <c r="AP1329" s="19"/>
      <c r="AQ1329" s="19"/>
      <c r="AR1329" s="19"/>
      <c r="AZ1329"/>
      <c r="BA1329"/>
      <c r="BB1329"/>
      <c r="BC1329"/>
      <c r="BD1329"/>
      <c r="BE1329"/>
      <c r="BF1329"/>
    </row>
    <row r="1330" spans="40:58">
      <c r="AN1330" s="19"/>
      <c r="AO1330" s="19"/>
      <c r="AP1330" s="19"/>
      <c r="AQ1330" s="19"/>
      <c r="AR1330" s="19"/>
      <c r="AZ1330"/>
      <c r="BA1330"/>
      <c r="BB1330"/>
      <c r="BC1330"/>
      <c r="BD1330"/>
      <c r="BE1330"/>
      <c r="BF1330"/>
    </row>
    <row r="1331" spans="40:58">
      <c r="AR1331" s="25"/>
    </row>
    <row r="1332" spans="40:58">
      <c r="AO1332" s="5"/>
    </row>
    <row r="1333" spans="40:58">
      <c r="AO1333" s="5"/>
    </row>
    <row r="1334" spans="40:58">
      <c r="AO1334" s="5"/>
    </row>
    <row r="1335" spans="40:58">
      <c r="AO1335" s="5"/>
    </row>
    <row r="1336" spans="40:58">
      <c r="AO1336" s="5"/>
    </row>
    <row r="1337" spans="40:58">
      <c r="AO1337" s="5"/>
    </row>
    <row r="1338" spans="40:58">
      <c r="AO1338" s="5"/>
    </row>
  </sheetData>
  <autoFilter ref="C1:AM79" xr:uid="{1AF52CBA-F168-49C9-A683-1C341679A7D5}"/>
  <mergeCells count="105">
    <mergeCell ref="AS1203:AT1204"/>
    <mergeCell ref="AS1212:AT1213"/>
    <mergeCell ref="AS1158:AT1159"/>
    <mergeCell ref="AS1167:AT1168"/>
    <mergeCell ref="AS1176:AT1177"/>
    <mergeCell ref="AS1185:AT1186"/>
    <mergeCell ref="AS1194:AT1195"/>
    <mergeCell ref="BI625:BI626"/>
    <mergeCell ref="BI641:BI642"/>
    <mergeCell ref="BI465:BI466"/>
    <mergeCell ref="BI657:BI658"/>
    <mergeCell ref="BI673:BI674"/>
    <mergeCell ref="AS1077:AT1078"/>
    <mergeCell ref="AS1086:AT1087"/>
    <mergeCell ref="AS1140:AT1141"/>
    <mergeCell ref="AS1149:AT1150"/>
    <mergeCell ref="AS1131:AT1132"/>
    <mergeCell ref="AS1113:AT1114"/>
    <mergeCell ref="AS1122:AT1123"/>
    <mergeCell ref="BI897:BI898"/>
    <mergeCell ref="BI913:BI914"/>
    <mergeCell ref="BI513:BI514"/>
    <mergeCell ref="BI497:BI498"/>
    <mergeCell ref="BI545:BI546"/>
    <mergeCell ref="BI945:BI946"/>
    <mergeCell ref="BI833:BI834"/>
    <mergeCell ref="BI81:BI82"/>
    <mergeCell ref="BI97:BI98"/>
    <mergeCell ref="BI113:BI114"/>
    <mergeCell ref="BI129:BI130"/>
    <mergeCell ref="BI145:BI146"/>
    <mergeCell ref="BI305:BI306"/>
    <mergeCell ref="BI401:BI402"/>
    <mergeCell ref="BI417:BI418"/>
    <mergeCell ref="BI785:BI786"/>
    <mergeCell ref="BI801:BI802"/>
    <mergeCell ref="BI817:BI818"/>
    <mergeCell ref="BI769:BI770"/>
    <mergeCell ref="BI689:BI690"/>
    <mergeCell ref="BI705:BI706"/>
    <mergeCell ref="BI721:BI722"/>
    <mergeCell ref="BI737:BI738"/>
    <mergeCell ref="BI753:BI754"/>
    <mergeCell ref="BI3:BI4"/>
    <mergeCell ref="BI19:BI20"/>
    <mergeCell ref="BI33:BI34"/>
    <mergeCell ref="BI49:BI50"/>
    <mergeCell ref="BI65:BI66"/>
    <mergeCell ref="BI241:BI242"/>
    <mergeCell ref="BI257:BI258"/>
    <mergeCell ref="BI273:BI274"/>
    <mergeCell ref="BI289:BI290"/>
    <mergeCell ref="BI161:BI162"/>
    <mergeCell ref="BI177:BI178"/>
    <mergeCell ref="BI193:BI194"/>
    <mergeCell ref="BI209:BI210"/>
    <mergeCell ref="BI225:BI226"/>
    <mergeCell ref="AV980:AW980"/>
    <mergeCell ref="AS982:AT983"/>
    <mergeCell ref="AS282:AX282"/>
    <mergeCell ref="AR288:AR289"/>
    <mergeCell ref="AY282:AY283"/>
    <mergeCell ref="AS297:AV297"/>
    <mergeCell ref="AS306:AV306"/>
    <mergeCell ref="BI321:BI322"/>
    <mergeCell ref="BI881:BI882"/>
    <mergeCell ref="BI449:BI450"/>
    <mergeCell ref="BI561:BI562"/>
    <mergeCell ref="BI577:BI578"/>
    <mergeCell ref="BI593:BI594"/>
    <mergeCell ref="BI609:BI610"/>
    <mergeCell ref="BI529:BI530"/>
    <mergeCell ref="BI337:BI338"/>
    <mergeCell ref="BI929:BI930"/>
    <mergeCell ref="BI353:BI354"/>
    <mergeCell ref="BI369:BI370"/>
    <mergeCell ref="BI385:BI386"/>
    <mergeCell ref="BI433:BI434"/>
    <mergeCell ref="BI481:BI482"/>
    <mergeCell ref="BI849:BI850"/>
    <mergeCell ref="BI865:BI866"/>
    <mergeCell ref="AS1221:AT1222"/>
    <mergeCell ref="AS1230:AT1231"/>
    <mergeCell ref="AR9:AS9"/>
    <mergeCell ref="AR10:AS10"/>
    <mergeCell ref="AR11:AS11"/>
    <mergeCell ref="AR12:AS12"/>
    <mergeCell ref="AR13:AS13"/>
    <mergeCell ref="AR14:AS14"/>
    <mergeCell ref="AR15:AS15"/>
    <mergeCell ref="AT8:AT9"/>
    <mergeCell ref="AS1018:AT1019"/>
    <mergeCell ref="AS1027:AT1028"/>
    <mergeCell ref="AS1036:AT1037"/>
    <mergeCell ref="AS1045:AT1046"/>
    <mergeCell ref="AS1104:AT1105"/>
    <mergeCell ref="AS1095:AT1096"/>
    <mergeCell ref="AS1051:AT1052"/>
    <mergeCell ref="AS1059:AT1060"/>
    <mergeCell ref="AS991:AT992"/>
    <mergeCell ref="AS1000:AT1001"/>
    <mergeCell ref="AS962:AT963"/>
    <mergeCell ref="AS972:AT973"/>
    <mergeCell ref="AS1009:AT1010"/>
    <mergeCell ref="AS1068:AT1069"/>
  </mergeCells>
  <phoneticPr fontId="3"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22DF5-C6DB-47A0-BC69-DF494CFD8C72}">
  <dimension ref="A1:CA545"/>
  <sheetViews>
    <sheetView zoomScale="97" workbookViewId="0">
      <pane ySplit="1" topLeftCell="A2" activePane="bottomLeft" state="frozen"/>
      <selection pane="bottomLeft" activeCell="C9" sqref="C9"/>
    </sheetView>
  </sheetViews>
  <sheetFormatPr defaultRowHeight="14.4"/>
  <cols>
    <col min="1" max="1" width="3.44140625" bestFit="1" customWidth="1"/>
    <col min="2" max="2" width="21.5546875" bestFit="1" customWidth="1"/>
    <col min="3" max="3" width="17.44140625" bestFit="1" customWidth="1"/>
    <col min="42" max="42" width="9" bestFit="1" customWidth="1"/>
    <col min="43" max="43" width="18.77734375" bestFit="1" customWidth="1"/>
    <col min="47" max="47" width="4.88671875" bestFit="1" customWidth="1"/>
  </cols>
  <sheetData>
    <row r="1" spans="1:79">
      <c r="A1" s="51" t="s">
        <v>288</v>
      </c>
      <c r="B1" s="51" t="s">
        <v>0</v>
      </c>
      <c r="C1" s="51" t="s">
        <v>64</v>
      </c>
      <c r="D1" s="51" t="s">
        <v>43</v>
      </c>
      <c r="E1" s="51" t="s">
        <v>44</v>
      </c>
      <c r="F1" s="51" t="s">
        <v>45</v>
      </c>
      <c r="G1" s="51" t="s">
        <v>46</v>
      </c>
      <c r="H1" s="51" t="s">
        <v>47</v>
      </c>
      <c r="I1" s="51" t="s">
        <v>48</v>
      </c>
      <c r="J1" s="51" t="s">
        <v>49</v>
      </c>
      <c r="K1" s="51" t="s">
        <v>50</v>
      </c>
      <c r="L1" s="51" t="s">
        <v>51</v>
      </c>
      <c r="M1" s="51" t="s">
        <v>52</v>
      </c>
      <c r="N1" s="51" t="s">
        <v>53</v>
      </c>
      <c r="O1" s="51" t="s">
        <v>54</v>
      </c>
      <c r="P1" s="51" t="s">
        <v>55</v>
      </c>
      <c r="Q1" s="51" t="s">
        <v>56</v>
      </c>
      <c r="R1" s="51" t="s">
        <v>57</v>
      </c>
      <c r="S1" s="51" t="s">
        <v>58</v>
      </c>
      <c r="T1" s="51" t="s">
        <v>59</v>
      </c>
      <c r="U1" s="51" t="s">
        <v>60</v>
      </c>
      <c r="V1" s="51" t="s">
        <v>61</v>
      </c>
      <c r="W1" s="51" t="s">
        <v>62</v>
      </c>
      <c r="X1" s="51" t="s">
        <v>63</v>
      </c>
      <c r="Y1" s="51" t="s">
        <v>330</v>
      </c>
      <c r="Z1" s="51" t="s">
        <v>331</v>
      </c>
      <c r="AA1" s="51" t="s">
        <v>332</v>
      </c>
      <c r="AB1" s="51" t="s">
        <v>333</v>
      </c>
      <c r="AC1" s="51" t="s">
        <v>334</v>
      </c>
      <c r="AD1" s="51" t="s">
        <v>335</v>
      </c>
      <c r="AE1" s="51" t="s">
        <v>336</v>
      </c>
      <c r="AF1" s="51" t="s">
        <v>337</v>
      </c>
      <c r="AG1" s="51" t="s">
        <v>338</v>
      </c>
      <c r="AH1" s="51" t="s">
        <v>339</v>
      </c>
      <c r="AI1" s="51" t="s">
        <v>340</v>
      </c>
      <c r="AJ1" s="51" t="s">
        <v>341</v>
      </c>
      <c r="AK1" s="51" t="s">
        <v>342</v>
      </c>
      <c r="AL1" s="51" t="s">
        <v>343</v>
      </c>
      <c r="AM1" s="51" t="s">
        <v>390</v>
      </c>
      <c r="AO1" s="77" t="s">
        <v>436</v>
      </c>
      <c r="AP1" s="77"/>
      <c r="AQ1" s="77"/>
      <c r="AR1" s="77"/>
      <c r="AS1" s="77"/>
      <c r="AT1" s="77"/>
      <c r="AU1" s="77"/>
      <c r="AV1" s="77"/>
      <c r="AW1" s="77"/>
      <c r="AX1" s="77"/>
      <c r="AY1" s="77"/>
      <c r="AZ1" s="77"/>
      <c r="BA1" s="77"/>
      <c r="BB1" s="77"/>
      <c r="BC1" s="77"/>
      <c r="BD1" s="77"/>
      <c r="BE1" s="77"/>
      <c r="BF1" s="77"/>
      <c r="BG1" s="77"/>
      <c r="BH1" s="77"/>
      <c r="BI1" s="77"/>
      <c r="BJ1" s="77"/>
      <c r="BK1" s="77"/>
      <c r="BL1" s="77"/>
      <c r="BM1" s="77"/>
      <c r="BN1" s="77"/>
      <c r="BO1" s="77"/>
      <c r="BP1" s="77"/>
      <c r="BQ1" s="77"/>
      <c r="BR1" s="77"/>
      <c r="BS1" s="77"/>
      <c r="BT1" s="77"/>
      <c r="BU1" s="77"/>
      <c r="BV1" s="77"/>
      <c r="BW1" s="77"/>
      <c r="BX1" s="77"/>
      <c r="BY1" s="77"/>
      <c r="BZ1" s="77"/>
      <c r="CA1" s="77"/>
    </row>
    <row r="2" spans="1:79">
      <c r="A2" s="6">
        <f t="shared" ref="A2:A33" si="0">ROW()-1</f>
        <v>1</v>
      </c>
      <c r="B2" s="6" t="s">
        <v>317</v>
      </c>
      <c r="C2" s="6">
        <v>1</v>
      </c>
      <c r="D2" s="6" t="s">
        <v>4</v>
      </c>
      <c r="E2" s="6" t="s">
        <v>5</v>
      </c>
      <c r="F2" s="6" t="s">
        <v>3</v>
      </c>
      <c r="G2" s="6" t="s">
        <v>5</v>
      </c>
      <c r="H2" s="6" t="s">
        <v>5</v>
      </c>
      <c r="I2" s="6" t="s">
        <v>5</v>
      </c>
      <c r="J2" s="6" t="s">
        <v>2</v>
      </c>
      <c r="K2" s="6" t="s">
        <v>2</v>
      </c>
      <c r="L2" s="6" t="s">
        <v>2</v>
      </c>
      <c r="M2" s="6" t="s">
        <v>2</v>
      </c>
      <c r="N2" s="6" t="s">
        <v>3</v>
      </c>
      <c r="O2" s="6" t="s">
        <v>5</v>
      </c>
      <c r="P2" s="6" t="s">
        <v>5</v>
      </c>
      <c r="Q2" s="6" t="s">
        <v>3</v>
      </c>
      <c r="R2" s="6" t="s">
        <v>3</v>
      </c>
      <c r="S2" s="6" t="s">
        <v>5</v>
      </c>
      <c r="T2" s="6" t="s">
        <v>5</v>
      </c>
      <c r="U2" s="6" t="s">
        <v>5</v>
      </c>
      <c r="V2" s="6" t="s">
        <v>2</v>
      </c>
      <c r="W2" s="6" t="s">
        <v>4</v>
      </c>
      <c r="X2" s="6" t="s">
        <v>4</v>
      </c>
      <c r="Y2" s="6" t="s">
        <v>2</v>
      </c>
      <c r="Z2" s="6" t="s">
        <v>4</v>
      </c>
      <c r="AA2" s="6" t="s">
        <v>4</v>
      </c>
      <c r="AB2" s="6" t="s">
        <v>4</v>
      </c>
      <c r="AC2" s="6" t="s">
        <v>4</v>
      </c>
      <c r="AD2" s="6" t="s">
        <v>4</v>
      </c>
      <c r="AE2" s="6" t="s">
        <v>4</v>
      </c>
      <c r="AF2" s="6" t="s">
        <v>4</v>
      </c>
      <c r="AG2" s="6" t="s">
        <v>3</v>
      </c>
      <c r="AH2" s="6" t="s">
        <v>4</v>
      </c>
      <c r="AI2" s="6" t="s">
        <v>3</v>
      </c>
      <c r="AJ2" s="6" t="s">
        <v>4</v>
      </c>
      <c r="AK2" s="6" t="s">
        <v>4</v>
      </c>
      <c r="AL2" s="6" t="s">
        <v>4</v>
      </c>
      <c r="AM2" s="6" t="s">
        <v>3</v>
      </c>
      <c r="AO2" s="84" t="s">
        <v>497</v>
      </c>
      <c r="AP2" s="84"/>
      <c r="AQ2" s="7" t="s">
        <v>64</v>
      </c>
      <c r="AR2" s="51" t="s">
        <v>43</v>
      </c>
      <c r="AS2" s="51" t="s">
        <v>44</v>
      </c>
      <c r="AT2" s="51" t="s">
        <v>45</v>
      </c>
      <c r="AU2" s="51" t="s">
        <v>46</v>
      </c>
      <c r="AV2" s="51" t="s">
        <v>47</v>
      </c>
      <c r="AW2" s="51" t="s">
        <v>48</v>
      </c>
      <c r="AX2" s="51" t="s">
        <v>49</v>
      </c>
      <c r="AY2" s="51" t="s">
        <v>50</v>
      </c>
      <c r="AZ2" s="51" t="s">
        <v>51</v>
      </c>
      <c r="BA2" s="51" t="s">
        <v>52</v>
      </c>
      <c r="BB2" s="51" t="s">
        <v>53</v>
      </c>
      <c r="BC2" s="51" t="s">
        <v>54</v>
      </c>
      <c r="BD2" s="51" t="s">
        <v>55</v>
      </c>
      <c r="BE2" s="51" t="s">
        <v>56</v>
      </c>
      <c r="BF2" s="51" t="s">
        <v>57</v>
      </c>
      <c r="BG2" s="51" t="s">
        <v>58</v>
      </c>
      <c r="BH2" s="51" t="s">
        <v>59</v>
      </c>
      <c r="BI2" s="51" t="s">
        <v>60</v>
      </c>
      <c r="BJ2" s="51" t="s">
        <v>61</v>
      </c>
      <c r="BK2" s="51" t="s">
        <v>62</v>
      </c>
      <c r="BL2" s="51" t="s">
        <v>63</v>
      </c>
      <c r="BM2" s="51" t="s">
        <v>330</v>
      </c>
      <c r="BN2" s="51" t="s">
        <v>331</v>
      </c>
      <c r="BO2" s="51" t="s">
        <v>332</v>
      </c>
      <c r="BP2" s="51" t="s">
        <v>333</v>
      </c>
      <c r="BQ2" s="51" t="s">
        <v>334</v>
      </c>
      <c r="BR2" s="51" t="s">
        <v>335</v>
      </c>
      <c r="BS2" s="51" t="s">
        <v>336</v>
      </c>
      <c r="BT2" s="51" t="s">
        <v>337</v>
      </c>
      <c r="BU2" s="51" t="s">
        <v>338</v>
      </c>
      <c r="BV2" s="51" t="s">
        <v>339</v>
      </c>
      <c r="BW2" s="51" t="s">
        <v>340</v>
      </c>
      <c r="BX2" s="51" t="s">
        <v>341</v>
      </c>
      <c r="BY2" s="51" t="s">
        <v>342</v>
      </c>
      <c r="BZ2" s="51" t="s">
        <v>343</v>
      </c>
      <c r="CA2" s="51" t="s">
        <v>390</v>
      </c>
    </row>
    <row r="3" spans="1:79">
      <c r="A3" s="6">
        <f t="shared" si="0"/>
        <v>2</v>
      </c>
      <c r="B3" s="6" t="s">
        <v>313</v>
      </c>
      <c r="C3" s="6">
        <v>1</v>
      </c>
      <c r="D3" s="6" t="s">
        <v>2</v>
      </c>
      <c r="E3" s="6" t="s">
        <v>3</v>
      </c>
      <c r="F3" s="6" t="s">
        <v>4</v>
      </c>
      <c r="G3" s="6" t="s">
        <v>5</v>
      </c>
      <c r="H3" s="6" t="s">
        <v>5</v>
      </c>
      <c r="I3" s="6" t="s">
        <v>5</v>
      </c>
      <c r="J3" s="6" t="s">
        <v>5</v>
      </c>
      <c r="K3" s="6" t="s">
        <v>2</v>
      </c>
      <c r="L3" s="6" t="s">
        <v>3</v>
      </c>
      <c r="M3" s="6" t="s">
        <v>3</v>
      </c>
      <c r="N3" s="6" t="s">
        <v>4</v>
      </c>
      <c r="O3" s="6" t="s">
        <v>3</v>
      </c>
      <c r="P3" s="6" t="s">
        <v>5</v>
      </c>
      <c r="Q3" s="6" t="s">
        <v>3</v>
      </c>
      <c r="R3" s="6" t="s">
        <v>3</v>
      </c>
      <c r="S3" s="6" t="s">
        <v>5</v>
      </c>
      <c r="T3" s="6" t="s">
        <v>5</v>
      </c>
      <c r="U3" s="6" t="s">
        <v>5</v>
      </c>
      <c r="V3" s="6" t="s">
        <v>2</v>
      </c>
      <c r="W3" s="6" t="s">
        <v>4</v>
      </c>
      <c r="X3" s="6" t="s">
        <v>3</v>
      </c>
      <c r="Y3" s="6" t="s">
        <v>2</v>
      </c>
      <c r="Z3" s="6" t="s">
        <v>3</v>
      </c>
      <c r="AA3" s="6" t="s">
        <v>4</v>
      </c>
      <c r="AB3" s="6" t="s">
        <v>4</v>
      </c>
      <c r="AC3" s="6" t="s">
        <v>4</v>
      </c>
      <c r="AD3" s="6" t="s">
        <v>4</v>
      </c>
      <c r="AE3" s="6" t="s">
        <v>4</v>
      </c>
      <c r="AF3" s="6" t="s">
        <v>4</v>
      </c>
      <c r="AG3" s="6" t="s">
        <v>4</v>
      </c>
      <c r="AH3" s="6" t="s">
        <v>4</v>
      </c>
      <c r="AI3" s="6" t="s">
        <v>4</v>
      </c>
      <c r="AJ3" s="6" t="s">
        <v>4</v>
      </c>
      <c r="AK3" s="6" t="s">
        <v>4</v>
      </c>
      <c r="AL3" s="6" t="s">
        <v>3</v>
      </c>
      <c r="AM3" s="6" t="s">
        <v>3</v>
      </c>
      <c r="AO3" s="84"/>
      <c r="AP3" s="84"/>
      <c r="AQ3" s="7">
        <v>1</v>
      </c>
      <c r="AR3" s="28" t="s">
        <v>4</v>
      </c>
      <c r="AS3" s="28" t="s">
        <v>5</v>
      </c>
      <c r="AT3" s="28" t="s">
        <v>3</v>
      </c>
      <c r="AU3" s="28" t="s">
        <v>5</v>
      </c>
      <c r="AV3" s="28" t="s">
        <v>5</v>
      </c>
      <c r="AW3" s="28" t="s">
        <v>5</v>
      </c>
      <c r="AX3" s="28" t="s">
        <v>2</v>
      </c>
      <c r="AY3" s="28" t="s">
        <v>2</v>
      </c>
      <c r="AZ3" s="28" t="s">
        <v>2</v>
      </c>
      <c r="BA3" s="28" t="s">
        <v>2</v>
      </c>
      <c r="BB3" s="28" t="s">
        <v>3</v>
      </c>
      <c r="BC3" s="28" t="s">
        <v>5</v>
      </c>
      <c r="BD3" s="28" t="s">
        <v>5</v>
      </c>
      <c r="BE3" s="28" t="s">
        <v>3</v>
      </c>
      <c r="BF3" s="28" t="s">
        <v>3</v>
      </c>
      <c r="BG3" s="28" t="s">
        <v>5</v>
      </c>
      <c r="BH3" s="28" t="s">
        <v>5</v>
      </c>
      <c r="BI3" s="28" t="s">
        <v>5</v>
      </c>
      <c r="BJ3" s="28" t="s">
        <v>2</v>
      </c>
      <c r="BK3" s="28" t="s">
        <v>4</v>
      </c>
      <c r="BL3" s="28" t="s">
        <v>4</v>
      </c>
      <c r="BM3" s="28" t="s">
        <v>2</v>
      </c>
      <c r="BN3" s="28" t="s">
        <v>4</v>
      </c>
      <c r="BO3" s="28" t="s">
        <v>4</v>
      </c>
      <c r="BP3" s="28" t="s">
        <v>4</v>
      </c>
      <c r="BQ3" s="28" t="s">
        <v>4</v>
      </c>
      <c r="BR3" s="28" t="s">
        <v>4</v>
      </c>
      <c r="BS3" s="28" t="s">
        <v>4</v>
      </c>
      <c r="BT3" s="28" t="s">
        <v>4</v>
      </c>
      <c r="BU3" s="28" t="s">
        <v>3</v>
      </c>
      <c r="BV3" s="28" t="s">
        <v>4</v>
      </c>
      <c r="BW3" s="28" t="s">
        <v>3</v>
      </c>
      <c r="BX3" s="28" t="s">
        <v>4</v>
      </c>
      <c r="BY3" s="28" t="s">
        <v>4</v>
      </c>
      <c r="BZ3" s="28" t="s">
        <v>4</v>
      </c>
      <c r="CA3" s="28" t="s">
        <v>3</v>
      </c>
    </row>
    <row r="4" spans="1:79">
      <c r="A4" s="6">
        <f t="shared" si="0"/>
        <v>3</v>
      </c>
      <c r="B4" s="6" t="s">
        <v>316</v>
      </c>
      <c r="C4" s="6">
        <v>1</v>
      </c>
      <c r="D4" s="6" t="s">
        <v>2</v>
      </c>
      <c r="E4" s="6" t="s">
        <v>5</v>
      </c>
      <c r="F4" s="6" t="s">
        <v>3</v>
      </c>
      <c r="G4" s="6" t="s">
        <v>5</v>
      </c>
      <c r="H4" s="6" t="s">
        <v>5</v>
      </c>
      <c r="I4" s="6" t="s">
        <v>3</v>
      </c>
      <c r="J4" s="6" t="s">
        <v>2</v>
      </c>
      <c r="K4" s="6" t="s">
        <v>2</v>
      </c>
      <c r="L4" s="6" t="s">
        <v>2</v>
      </c>
      <c r="M4" s="6" t="s">
        <v>3</v>
      </c>
      <c r="N4" s="6" t="s">
        <v>4</v>
      </c>
      <c r="O4" s="6" t="s">
        <v>5</v>
      </c>
      <c r="P4" s="6" t="s">
        <v>5</v>
      </c>
      <c r="Q4" s="6" t="s">
        <v>3</v>
      </c>
      <c r="R4" s="6" t="s">
        <v>3</v>
      </c>
      <c r="S4" s="6" t="s">
        <v>5</v>
      </c>
      <c r="T4" s="6" t="s">
        <v>5</v>
      </c>
      <c r="U4" s="6" t="s">
        <v>5</v>
      </c>
      <c r="V4" s="6" t="s">
        <v>5</v>
      </c>
      <c r="W4" s="6" t="s">
        <v>4</v>
      </c>
      <c r="X4" s="6" t="s">
        <v>3</v>
      </c>
      <c r="Y4" s="6" t="s">
        <v>2</v>
      </c>
      <c r="Z4" s="6" t="s">
        <v>3</v>
      </c>
      <c r="AA4" s="6" t="s">
        <v>4</v>
      </c>
      <c r="AB4" s="6" t="s">
        <v>4</v>
      </c>
      <c r="AC4" s="6" t="s">
        <v>4</v>
      </c>
      <c r="AD4" s="6" t="s">
        <v>4</v>
      </c>
      <c r="AE4" s="6" t="s">
        <v>4</v>
      </c>
      <c r="AF4" s="6" t="s">
        <v>3</v>
      </c>
      <c r="AG4" s="6" t="s">
        <v>3</v>
      </c>
      <c r="AH4" s="6" t="s">
        <v>4</v>
      </c>
      <c r="AI4" s="6" t="s">
        <v>4</v>
      </c>
      <c r="AJ4" s="6" t="s">
        <v>4</v>
      </c>
      <c r="AK4" s="6" t="s">
        <v>4</v>
      </c>
      <c r="AL4" s="6" t="s">
        <v>4</v>
      </c>
      <c r="AM4" s="6" t="s">
        <v>3</v>
      </c>
      <c r="AO4" s="82" t="s">
        <v>504</v>
      </c>
      <c r="AP4" s="82"/>
      <c r="AQ4" s="32">
        <f>'Data Training 1'!AW22*'Data Training 1'!AT31*'Data Training 1'!AT40*'Data Training 1'!AT44*'Data Training 1'!AT52*'Data Training 1'!AT58*'Data Training 1'!AT64*'Data Training 1'!AT69*'Data Training 1'!AT75*'Data Training 1'!AT81*'Data Training 1'!AT87*'Data Training 1'!AT92*'Data Training 1'!AT100*'Data Training 1'!AT106*'Data Training 1'!AT110*'Data Training 1'!AT116*'Data Training 1'!AT124*'Data Training 1'!AT130*'Data Training 1'!AT136*'Data Training 1'!AT141*'Data Training 1'!AT145*'Data Training 1'!AT151*'Data Training 1'!AT159*'Data Training 1'!AT163*'Data Training 1'!AT167*'Data Training 1'!AT171*'Data Training 1'!AT175*'Data Training 1'!AT179*'Data Training 1'!AT183*'Data Training 1'!AT187*'Data Training 1'!AT192*'Data Training 1'!AT195*'Data Training 1'!AT200*'Data Training 1'!AT203*'Data Training 1'!AT207*'Data Training 1'!AT211*'Data Training 1'!AT216</f>
        <v>5.8352343163020858E-11</v>
      </c>
    </row>
    <row r="5" spans="1:79">
      <c r="A5" s="6">
        <f t="shared" si="0"/>
        <v>4</v>
      </c>
      <c r="B5" s="6" t="s">
        <v>484</v>
      </c>
      <c r="C5" s="6">
        <v>1</v>
      </c>
      <c r="D5" s="6" t="s">
        <v>5</v>
      </c>
      <c r="E5" s="6" t="s">
        <v>3</v>
      </c>
      <c r="F5" s="6" t="s">
        <v>2</v>
      </c>
      <c r="G5" s="6" t="s">
        <v>3</v>
      </c>
      <c r="H5" s="6" t="s">
        <v>5</v>
      </c>
      <c r="I5" s="6" t="s">
        <v>5</v>
      </c>
      <c r="J5" s="6" t="s">
        <v>5</v>
      </c>
      <c r="K5" s="6" t="s">
        <v>2</v>
      </c>
      <c r="L5" s="6" t="s">
        <v>2</v>
      </c>
      <c r="M5" s="6" t="s">
        <v>2</v>
      </c>
      <c r="N5" s="6" t="s">
        <v>2</v>
      </c>
      <c r="O5" s="6" t="s">
        <v>5</v>
      </c>
      <c r="P5" s="6" t="s">
        <v>5</v>
      </c>
      <c r="Q5" s="6" t="s">
        <v>3</v>
      </c>
      <c r="R5" s="6" t="s">
        <v>3</v>
      </c>
      <c r="S5" s="6" t="s">
        <v>5</v>
      </c>
      <c r="T5" s="6" t="s">
        <v>5</v>
      </c>
      <c r="U5" s="6" t="s">
        <v>5</v>
      </c>
      <c r="V5" s="6" t="s">
        <v>5</v>
      </c>
      <c r="W5" s="6" t="s">
        <v>4</v>
      </c>
      <c r="X5" s="6" t="s">
        <v>4</v>
      </c>
      <c r="Y5" s="6" t="s">
        <v>4</v>
      </c>
      <c r="Z5" s="6" t="s">
        <v>3</v>
      </c>
      <c r="AA5" s="6" t="s">
        <v>3</v>
      </c>
      <c r="AB5" s="6" t="s">
        <v>3</v>
      </c>
      <c r="AC5" s="6" t="s">
        <v>4</v>
      </c>
      <c r="AD5" s="6" t="s">
        <v>4</v>
      </c>
      <c r="AE5" s="6" t="s">
        <v>4</v>
      </c>
      <c r="AF5" s="6" t="s">
        <v>4</v>
      </c>
      <c r="AG5" s="6" t="s">
        <v>3</v>
      </c>
      <c r="AH5" s="6" t="s">
        <v>4</v>
      </c>
      <c r="AI5" s="6" t="s">
        <v>3</v>
      </c>
      <c r="AJ5" s="6" t="s">
        <v>3</v>
      </c>
      <c r="AK5" s="6" t="s">
        <v>4</v>
      </c>
      <c r="AL5" s="6" t="s">
        <v>4</v>
      </c>
      <c r="AM5" s="6" t="s">
        <v>3</v>
      </c>
      <c r="AO5" s="82" t="s">
        <v>505</v>
      </c>
      <c r="AP5" s="82"/>
      <c r="AQ5" s="32">
        <f>'Data Training 1'!AW23*'Data Training 1'!AU31*'Data Training 1'!AU40*'Data Training 1'!AU44*'Data Training 1'!AU52*'Data Training 1'!AU58*'Data Training 1'!AU64*'Data Training 1'!AU69*'Data Training 1'!AU75*'Data Training 1'!AU81*'Data Training 1'!AU87*'Data Training 1'!AU92*'Data Training 1'!AU100*'Data Training 1'!AU106*'Data Training 1'!AU110*'Data Training 1'!AU116*'Data Training 1'!AU124*'Data Training 1'!AU130*'Data Training 1'!AU136*'Data Training 1'!AU141*'Data Training 1'!AU145*'Data Training 1'!AU151*'Data Training 1'!AU159*'Data Training 1'!AU163*'Data Training 1'!AU167*'Data Training 1'!AU171*'Data Training 1'!AU175*'Data Training 1'!AU179*'Data Training 1'!AU183*'Data Training 1'!AU187*'Data Training 1'!AU192*'Data Training 1'!AU195*'Data Training 1'!AU200*'Data Training 1'!AU203*'Data Training 1'!AU207*'Data Training 1'!AU211*'Data Training 1'!AU216</f>
        <v>0</v>
      </c>
    </row>
    <row r="6" spans="1:79">
      <c r="A6" s="6">
        <f t="shared" si="0"/>
        <v>5</v>
      </c>
      <c r="B6" s="6" t="s">
        <v>460</v>
      </c>
      <c r="C6" s="6">
        <v>1</v>
      </c>
      <c r="D6" s="6" t="s">
        <v>5</v>
      </c>
      <c r="E6" s="6" t="s">
        <v>3</v>
      </c>
      <c r="F6" s="6" t="s">
        <v>4</v>
      </c>
      <c r="G6" s="6" t="s">
        <v>3</v>
      </c>
      <c r="H6" s="6" t="s">
        <v>5</v>
      </c>
      <c r="I6" s="6" t="s">
        <v>5</v>
      </c>
      <c r="J6" s="6" t="s">
        <v>5</v>
      </c>
      <c r="K6" s="6" t="s">
        <v>2</v>
      </c>
      <c r="L6" s="6" t="s">
        <v>3</v>
      </c>
      <c r="M6" s="6" t="s">
        <v>3</v>
      </c>
      <c r="N6" s="6" t="s">
        <v>2</v>
      </c>
      <c r="O6" s="6" t="s">
        <v>4</v>
      </c>
      <c r="P6" s="6" t="s">
        <v>5</v>
      </c>
      <c r="Q6" s="6" t="s">
        <v>3</v>
      </c>
      <c r="R6" s="6" t="s">
        <v>2</v>
      </c>
      <c r="S6" s="6" t="s">
        <v>5</v>
      </c>
      <c r="T6" s="6" t="s">
        <v>5</v>
      </c>
      <c r="U6" s="6" t="s">
        <v>5</v>
      </c>
      <c r="V6" s="6" t="s">
        <v>5</v>
      </c>
      <c r="W6" s="6" t="s">
        <v>4</v>
      </c>
      <c r="X6" s="6" t="s">
        <v>4</v>
      </c>
      <c r="Y6" s="6" t="s">
        <v>4</v>
      </c>
      <c r="Z6" s="6" t="s">
        <v>3</v>
      </c>
      <c r="AA6" s="6" t="s">
        <v>3</v>
      </c>
      <c r="AB6" s="6" t="s">
        <v>3</v>
      </c>
      <c r="AC6" s="6" t="s">
        <v>4</v>
      </c>
      <c r="AD6" s="6" t="s">
        <v>4</v>
      </c>
      <c r="AE6" s="6" t="s">
        <v>4</v>
      </c>
      <c r="AF6" s="6" t="s">
        <v>4</v>
      </c>
      <c r="AG6" s="6" t="s">
        <v>4</v>
      </c>
      <c r="AH6" s="6" t="s">
        <v>4</v>
      </c>
      <c r="AI6" s="6" t="s">
        <v>4</v>
      </c>
      <c r="AJ6" s="6" t="s">
        <v>4</v>
      </c>
      <c r="AK6" s="6" t="s">
        <v>4</v>
      </c>
      <c r="AL6" s="6" t="s">
        <v>4</v>
      </c>
      <c r="AM6" s="6" t="s">
        <v>3</v>
      </c>
      <c r="AO6" s="82" t="s">
        <v>506</v>
      </c>
      <c r="AP6" s="82"/>
      <c r="AQ6" s="32">
        <f>'Data Training 1'!AW24*'Data Training 1'!AV31*'Data Training 1'!AV40*'Data Training 1'!AV44*'Data Training 1'!AV52*'Data Training 1'!AV58*'Data Training 1'!AV64*'Data Training 1'!AV69*'Data Training 1'!AV75*'Data Training 1'!AV81*'Data Training 1'!AV87*'Data Training 1'!AV92*'Data Training 1'!AV100*'Data Training 1'!AV106*'Data Training 1'!AV110*'Data Training 1'!AV116*'Data Training 1'!AV124*'Data Training 1'!AV130*'Data Training 1'!AV136*'Data Training 1'!AV141*'Data Training 1'!AV145*'Data Training 1'!AV151*'Data Training 1'!AV159*'Data Training 1'!AV163*'Data Training 1'!AV167*'Data Training 1'!AV171*'Data Training 1'!AV175*'Data Training 1'!AV179*'Data Training 1'!AV183*'Data Training 1'!AV187*'Data Training 1'!AV192*'Data Training 1'!AV195*'Data Training 1'!AV200*'Data Training 1'!AV203*'Data Training 1'!AV207*'Data Training 1'!AV211*'Data Training 1'!AV216</f>
        <v>1.7783571249682544E-10</v>
      </c>
    </row>
    <row r="7" spans="1:79">
      <c r="A7" s="6">
        <f t="shared" si="0"/>
        <v>6</v>
      </c>
      <c r="B7" s="6" t="s">
        <v>483</v>
      </c>
      <c r="C7" s="6">
        <v>1</v>
      </c>
      <c r="D7" s="6" t="s">
        <v>5</v>
      </c>
      <c r="E7" s="6" t="s">
        <v>3</v>
      </c>
      <c r="F7" s="6" t="s">
        <v>2</v>
      </c>
      <c r="G7" s="6" t="s">
        <v>3</v>
      </c>
      <c r="H7" s="6" t="s">
        <v>5</v>
      </c>
      <c r="I7" s="6" t="s">
        <v>5</v>
      </c>
      <c r="J7" s="6" t="s">
        <v>5</v>
      </c>
      <c r="K7" s="6" t="s">
        <v>2</v>
      </c>
      <c r="L7" s="6" t="s">
        <v>3</v>
      </c>
      <c r="M7" s="6" t="s">
        <v>3</v>
      </c>
      <c r="N7" s="6" t="s">
        <v>2</v>
      </c>
      <c r="O7" s="6" t="s">
        <v>5</v>
      </c>
      <c r="P7" s="6" t="s">
        <v>5</v>
      </c>
      <c r="Q7" s="6" t="s">
        <v>3</v>
      </c>
      <c r="R7" s="6" t="s">
        <v>2</v>
      </c>
      <c r="S7" s="6" t="s">
        <v>5</v>
      </c>
      <c r="T7" s="6" t="s">
        <v>5</v>
      </c>
      <c r="U7" s="6" t="s">
        <v>5</v>
      </c>
      <c r="V7" s="6" t="s">
        <v>4</v>
      </c>
      <c r="W7" s="6" t="s">
        <v>4</v>
      </c>
      <c r="X7" s="6" t="s">
        <v>4</v>
      </c>
      <c r="Y7" s="6" t="s">
        <v>4</v>
      </c>
      <c r="Z7" s="6" t="s">
        <v>3</v>
      </c>
      <c r="AA7" s="6" t="s">
        <v>3</v>
      </c>
      <c r="AB7" s="6" t="s">
        <v>3</v>
      </c>
      <c r="AC7" s="6" t="s">
        <v>4</v>
      </c>
      <c r="AD7" s="6" t="s">
        <v>4</v>
      </c>
      <c r="AE7" s="6" t="s">
        <v>4</v>
      </c>
      <c r="AF7" s="6" t="s">
        <v>4</v>
      </c>
      <c r="AG7" s="6" t="s">
        <v>3</v>
      </c>
      <c r="AH7" s="6" t="s">
        <v>4</v>
      </c>
      <c r="AI7" s="6" t="s">
        <v>3</v>
      </c>
      <c r="AJ7" s="6" t="s">
        <v>4</v>
      </c>
      <c r="AK7" s="6" t="s">
        <v>4</v>
      </c>
      <c r="AL7" s="6" t="s">
        <v>3</v>
      </c>
      <c r="AM7" s="6" t="s">
        <v>3</v>
      </c>
      <c r="AO7" s="82" t="s">
        <v>507</v>
      </c>
      <c r="AP7" s="82"/>
      <c r="AQ7" s="32">
        <f>'Data Training 1'!AW25*'Data Training 1'!AW31*'Data Training 1'!AW40*'Data Training 1'!AW44*'Data Training 1'!AW52*'Data Training 1'!AW58*'Data Training 1'!AW64*'Data Training 1'!AW69*'Data Training 1'!AW75*'Data Training 1'!AW81*'Data Training 1'!AW87*'Data Training 1'!AW92*'Data Training 1'!AW100*'Data Training 1'!AW106*'Data Training 1'!AW110*'Data Training 1'!AW116*'Data Training 1'!AW124*'Data Training 1'!AW130*'Data Training 1'!AW136*'Data Training 1'!AW141*'Data Training 1'!AW145*'Data Training 1'!AW151*'Data Training 1'!AW159*'Data Training 1'!AW163*'Data Training 1'!AW167*'Data Training 1'!AW171*'Data Training 1'!AW175*'Data Training 1'!AW179*'Data Training 1'!AW183*'Data Training 1'!AW187*'Data Training 1'!AW192*'Data Training 1'!AW195*'Data Training 1'!AW200*'Data Training 1'!AW203*'Data Training 1'!AW207*'Data Training 1'!AW211*'Data Training 1'!AW216</f>
        <v>0</v>
      </c>
    </row>
    <row r="8" spans="1:79">
      <c r="A8" s="6">
        <f t="shared" si="0"/>
        <v>7</v>
      </c>
      <c r="B8" s="6" t="s">
        <v>314</v>
      </c>
      <c r="C8" s="6">
        <v>2</v>
      </c>
      <c r="D8" s="6" t="s">
        <v>5</v>
      </c>
      <c r="E8" s="6" t="s">
        <v>3</v>
      </c>
      <c r="F8" s="6" t="s">
        <v>4</v>
      </c>
      <c r="G8" s="6" t="s">
        <v>3</v>
      </c>
      <c r="H8" s="6" t="s">
        <v>5</v>
      </c>
      <c r="I8" s="6" t="s">
        <v>5</v>
      </c>
      <c r="J8" s="6" t="s">
        <v>3</v>
      </c>
      <c r="K8" s="6" t="s">
        <v>4</v>
      </c>
      <c r="L8" s="6" t="s">
        <v>3</v>
      </c>
      <c r="M8" s="6" t="s">
        <v>3</v>
      </c>
      <c r="N8" s="6" t="s">
        <v>4</v>
      </c>
      <c r="O8" s="6" t="s">
        <v>4</v>
      </c>
      <c r="P8" s="6" t="s">
        <v>5</v>
      </c>
      <c r="Q8" s="6" t="s">
        <v>3</v>
      </c>
      <c r="R8" s="6" t="s">
        <v>4</v>
      </c>
      <c r="S8" s="6" t="s">
        <v>5</v>
      </c>
      <c r="T8" s="6" t="s">
        <v>5</v>
      </c>
      <c r="U8" s="6" t="s">
        <v>5</v>
      </c>
      <c r="V8" s="6" t="s">
        <v>3</v>
      </c>
      <c r="W8" s="6" t="s">
        <v>4</v>
      </c>
      <c r="X8" s="6" t="s">
        <v>4</v>
      </c>
      <c r="Y8" s="6" t="s">
        <v>4</v>
      </c>
      <c r="Z8" s="6" t="s">
        <v>3</v>
      </c>
      <c r="AA8" s="6" t="s">
        <v>4</v>
      </c>
      <c r="AB8" s="6" t="s">
        <v>4</v>
      </c>
      <c r="AC8" s="6" t="s">
        <v>4</v>
      </c>
      <c r="AD8" s="6" t="s">
        <v>4</v>
      </c>
      <c r="AE8" s="6" t="s">
        <v>4</v>
      </c>
      <c r="AF8" s="6" t="s">
        <v>4</v>
      </c>
      <c r="AG8" s="6" t="s">
        <v>3</v>
      </c>
      <c r="AH8" s="6" t="s">
        <v>4</v>
      </c>
      <c r="AI8" s="6" t="s">
        <v>3</v>
      </c>
      <c r="AJ8" s="6" t="s">
        <v>4</v>
      </c>
      <c r="AK8" s="6" t="s">
        <v>4</v>
      </c>
      <c r="AL8" s="6" t="s">
        <v>4</v>
      </c>
      <c r="AM8" s="6" t="s">
        <v>3</v>
      </c>
      <c r="AO8" s="82" t="s">
        <v>508</v>
      </c>
      <c r="AP8" s="82"/>
      <c r="AQ8" s="32">
        <f>'Data Training 1'!AW26*'Data Training 1'!AX31*'Data Training 1'!AX40*'Data Training 1'!AX44*'Data Training 1'!AX52*'Data Training 1'!AX58*'Data Training 1'!AX64*'Data Training 1'!AX69*'Data Training 1'!AX75*'Data Training 1'!AX81*'Data Training 1'!AX87*'Data Training 1'!AX92*'Data Training 1'!AX100*'Data Training 1'!AX106*'Data Training 1'!AX110*'Data Training 1'!AX116*'Data Training 1'!AX124*'Data Training 1'!AX130*'Data Training 1'!AX136*'Data Training 1'!AX141*'Data Training 1'!AX145*'Data Training 1'!AX151*'Data Training 1'!AX159*'Data Training 1'!AX163*'Data Training 1'!AX167*'Data Training 1'!AX171*'Data Training 1'!AX175*'Data Training 1'!AX179*'Data Training 1'!AX183*'Data Training 1'!AX187*'Data Training 1'!AX192*'Data Training 1'!AX195*'Data Training 1'!AX200*'Data Training 1'!AX203*'Data Training 1'!AX207*'Data Training 1'!AX211*'Data Training 1'!AX216</f>
        <v>0</v>
      </c>
    </row>
    <row r="9" spans="1:79">
      <c r="A9" s="6">
        <f t="shared" si="0"/>
        <v>8</v>
      </c>
      <c r="B9" s="6" t="s">
        <v>315</v>
      </c>
      <c r="C9" s="6">
        <v>2</v>
      </c>
      <c r="D9" s="6" t="s">
        <v>5</v>
      </c>
      <c r="E9" s="6" t="s">
        <v>5</v>
      </c>
      <c r="F9" s="6" t="s">
        <v>3</v>
      </c>
      <c r="G9" s="6" t="s">
        <v>5</v>
      </c>
      <c r="H9" s="6" t="s">
        <v>5</v>
      </c>
      <c r="I9" s="6" t="s">
        <v>5</v>
      </c>
      <c r="J9" s="6" t="s">
        <v>2</v>
      </c>
      <c r="K9" s="6" t="s">
        <v>2</v>
      </c>
      <c r="L9" s="6" t="s">
        <v>3</v>
      </c>
      <c r="M9" s="6" t="s">
        <v>2</v>
      </c>
      <c r="N9" s="6" t="s">
        <v>2</v>
      </c>
      <c r="O9" s="6" t="s">
        <v>3</v>
      </c>
      <c r="P9" s="6" t="s">
        <v>5</v>
      </c>
      <c r="Q9" s="6" t="s">
        <v>3</v>
      </c>
      <c r="R9" s="6" t="s">
        <v>4</v>
      </c>
      <c r="S9" s="6" t="s">
        <v>5</v>
      </c>
      <c r="T9" s="6" t="s">
        <v>5</v>
      </c>
      <c r="U9" s="6" t="s">
        <v>5</v>
      </c>
      <c r="V9" s="6" t="s">
        <v>5</v>
      </c>
      <c r="W9" s="6" t="s">
        <v>4</v>
      </c>
      <c r="X9" s="6" t="s">
        <v>3</v>
      </c>
      <c r="Y9" s="6" t="s">
        <v>2</v>
      </c>
      <c r="Z9" s="6" t="s">
        <v>3</v>
      </c>
      <c r="AA9" s="6" t="s">
        <v>4</v>
      </c>
      <c r="AB9" s="6" t="s">
        <v>4</v>
      </c>
      <c r="AC9" s="6" t="s">
        <v>4</v>
      </c>
      <c r="AD9" s="6" t="s">
        <v>4</v>
      </c>
      <c r="AE9" s="6" t="s">
        <v>4</v>
      </c>
      <c r="AF9" s="6" t="s">
        <v>4</v>
      </c>
      <c r="AG9" s="6" t="s">
        <v>3</v>
      </c>
      <c r="AH9" s="6" t="s">
        <v>4</v>
      </c>
      <c r="AI9" s="6" t="s">
        <v>4</v>
      </c>
      <c r="AJ9" s="6" t="s">
        <v>4</v>
      </c>
      <c r="AK9" s="6" t="s">
        <v>4</v>
      </c>
      <c r="AL9" s="6" t="s">
        <v>3</v>
      </c>
      <c r="AM9" s="6" t="s">
        <v>4</v>
      </c>
      <c r="AO9" s="82" t="s">
        <v>509</v>
      </c>
      <c r="AP9" s="82"/>
      <c r="AQ9" s="32">
        <f>'Data Training 1'!AW27*'Data Training 1'!AY31*'Data Training 1'!AY40*'Data Training 1'!AY44*'Data Training 1'!AY52*'Data Training 1'!AY58*'Data Training 1'!AY64*'Data Training 1'!AY69*'Data Training 1'!AY75*'Data Training 1'!AY81*'Data Training 1'!AY87*'Data Training 1'!AY92*'Data Training 1'!AY100*'Data Training 1'!AY106*'Data Training 1'!AY110*'Data Training 1'!AY116*'Data Training 1'!AY124*'Data Training 1'!AY130*'Data Training 1'!AY136*'Data Training 1'!AY141*'Data Training 1'!AY145*'Data Training 1'!AY151*'Data Training 1'!AY159*'Data Training 1'!AY163*'Data Training 1'!AY167*'Data Training 1'!AY171*'Data Training 1'!AY175*'Data Training 1'!AY179*'Data Training 1'!AY183*'Data Training 1'!AY187*'Data Training 1'!AY192*'Data Training 1'!AY195*'Data Training 1'!AY200*'Data Training 1'!AY203*'Data Training 1'!AY207*'Data Training 1'!AY211*'Data Training 1'!AY216</f>
        <v>0</v>
      </c>
    </row>
    <row r="10" spans="1:79">
      <c r="A10" s="6">
        <f t="shared" si="0"/>
        <v>9</v>
      </c>
      <c r="B10" s="6" t="s">
        <v>318</v>
      </c>
      <c r="C10" s="6">
        <v>2</v>
      </c>
      <c r="D10" s="6" t="s">
        <v>4</v>
      </c>
      <c r="E10" s="6" t="s">
        <v>5</v>
      </c>
      <c r="F10" s="6" t="s">
        <v>3</v>
      </c>
      <c r="G10" s="6" t="s">
        <v>5</v>
      </c>
      <c r="H10" s="6" t="s">
        <v>5</v>
      </c>
      <c r="I10" s="6" t="s">
        <v>5</v>
      </c>
      <c r="J10" s="6" t="s">
        <v>5</v>
      </c>
      <c r="K10" s="6" t="s">
        <v>2</v>
      </c>
      <c r="L10" s="6" t="s">
        <v>3</v>
      </c>
      <c r="M10" s="6" t="s">
        <v>2</v>
      </c>
      <c r="N10" s="6" t="s">
        <v>3</v>
      </c>
      <c r="O10" s="6" t="s">
        <v>2</v>
      </c>
      <c r="P10" s="6" t="s">
        <v>5</v>
      </c>
      <c r="Q10" s="6" t="s">
        <v>3</v>
      </c>
      <c r="R10" s="6" t="s">
        <v>3</v>
      </c>
      <c r="S10" s="6" t="s">
        <v>5</v>
      </c>
      <c r="T10" s="6" t="s">
        <v>5</v>
      </c>
      <c r="U10" s="6" t="s">
        <v>5</v>
      </c>
      <c r="V10" s="6" t="s">
        <v>4</v>
      </c>
      <c r="W10" s="6" t="s">
        <v>4</v>
      </c>
      <c r="X10" s="6" t="s">
        <v>3</v>
      </c>
      <c r="Y10" s="6" t="s">
        <v>2</v>
      </c>
      <c r="Z10" s="6" t="s">
        <v>3</v>
      </c>
      <c r="AA10" s="6" t="s">
        <v>4</v>
      </c>
      <c r="AB10" s="6" t="s">
        <v>4</v>
      </c>
      <c r="AC10" s="6" t="s">
        <v>4</v>
      </c>
      <c r="AD10" s="6" t="s">
        <v>4</v>
      </c>
      <c r="AE10" s="6" t="s">
        <v>4</v>
      </c>
      <c r="AF10" s="6" t="s">
        <v>4</v>
      </c>
      <c r="AG10" s="6" t="s">
        <v>3</v>
      </c>
      <c r="AH10" s="6" t="s">
        <v>4</v>
      </c>
      <c r="AI10" s="6" t="s">
        <v>4</v>
      </c>
      <c r="AJ10" s="6" t="s">
        <v>4</v>
      </c>
      <c r="AK10" s="6" t="s">
        <v>4</v>
      </c>
      <c r="AL10" s="6" t="s">
        <v>4</v>
      </c>
      <c r="AM10" s="6" t="s">
        <v>3</v>
      </c>
      <c r="AO10" s="80" t="s">
        <v>437</v>
      </c>
      <c r="AP10" s="80"/>
      <c r="AQ10" s="6" t="s">
        <v>285</v>
      </c>
      <c r="AR10" s="85" t="s">
        <v>438</v>
      </c>
      <c r="AS10" s="85"/>
      <c r="AT10" s="85"/>
    </row>
    <row r="11" spans="1:79">
      <c r="A11" s="6">
        <f t="shared" si="0"/>
        <v>10</v>
      </c>
      <c r="B11" s="6" t="s">
        <v>463</v>
      </c>
      <c r="C11" s="6">
        <v>2</v>
      </c>
      <c r="D11" s="6" t="s">
        <v>2</v>
      </c>
      <c r="E11" s="6" t="s">
        <v>3</v>
      </c>
      <c r="F11" s="6" t="s">
        <v>2</v>
      </c>
      <c r="G11" s="6" t="s">
        <v>5</v>
      </c>
      <c r="H11" s="6" t="s">
        <v>5</v>
      </c>
      <c r="I11" s="6" t="s">
        <v>5</v>
      </c>
      <c r="J11" s="6" t="s">
        <v>5</v>
      </c>
      <c r="K11" s="6" t="s">
        <v>2</v>
      </c>
      <c r="L11" s="6" t="s">
        <v>3</v>
      </c>
      <c r="M11" s="6" t="s">
        <v>3</v>
      </c>
      <c r="N11" s="6" t="s">
        <v>2</v>
      </c>
      <c r="O11" s="6" t="s">
        <v>5</v>
      </c>
      <c r="P11" s="6" t="s">
        <v>5</v>
      </c>
      <c r="Q11" s="6" t="s">
        <v>3</v>
      </c>
      <c r="R11" s="6" t="s">
        <v>2</v>
      </c>
      <c r="S11" s="6" t="s">
        <v>5</v>
      </c>
      <c r="T11" s="6" t="s">
        <v>5</v>
      </c>
      <c r="U11" s="6" t="s">
        <v>5</v>
      </c>
      <c r="V11" s="6" t="s">
        <v>5</v>
      </c>
      <c r="W11" s="6" t="s">
        <v>4</v>
      </c>
      <c r="X11" s="6" t="s">
        <v>4</v>
      </c>
      <c r="Y11" s="6" t="s">
        <v>4</v>
      </c>
      <c r="Z11" s="6" t="s">
        <v>3</v>
      </c>
      <c r="AA11" s="6" t="s">
        <v>4</v>
      </c>
      <c r="AB11" s="6" t="s">
        <v>4</v>
      </c>
      <c r="AC11" s="6" t="s">
        <v>4</v>
      </c>
      <c r="AD11" s="6" t="s">
        <v>4</v>
      </c>
      <c r="AE11" s="6" t="s">
        <v>4</v>
      </c>
      <c r="AF11" s="6" t="s">
        <v>4</v>
      </c>
      <c r="AG11" s="6" t="s">
        <v>3</v>
      </c>
      <c r="AH11" s="6" t="s">
        <v>4</v>
      </c>
      <c r="AI11" s="6" t="s">
        <v>3</v>
      </c>
      <c r="AJ11" s="6" t="s">
        <v>4</v>
      </c>
      <c r="AK11" s="6" t="s">
        <v>4</v>
      </c>
      <c r="AL11" s="6" t="s">
        <v>4</v>
      </c>
      <c r="AM11" s="6" t="s">
        <v>3</v>
      </c>
      <c r="AP11" s="3"/>
    </row>
    <row r="12" spans="1:79">
      <c r="A12" s="6">
        <f t="shared" si="0"/>
        <v>11</v>
      </c>
      <c r="B12" s="6" t="s">
        <v>464</v>
      </c>
      <c r="C12" s="6">
        <v>2</v>
      </c>
      <c r="D12" s="6" t="s">
        <v>4</v>
      </c>
      <c r="E12" s="6" t="s">
        <v>5</v>
      </c>
      <c r="F12" s="6" t="s">
        <v>5</v>
      </c>
      <c r="G12" s="6" t="s">
        <v>5</v>
      </c>
      <c r="H12" s="6" t="s">
        <v>5</v>
      </c>
      <c r="I12" s="6" t="s">
        <v>5</v>
      </c>
      <c r="J12" s="6" t="s">
        <v>5</v>
      </c>
      <c r="K12" s="6" t="s">
        <v>2</v>
      </c>
      <c r="L12" s="6" t="s">
        <v>3</v>
      </c>
      <c r="M12" s="6" t="s">
        <v>4</v>
      </c>
      <c r="N12" s="6" t="s">
        <v>4</v>
      </c>
      <c r="O12" s="6" t="s">
        <v>2</v>
      </c>
      <c r="P12" s="6" t="s">
        <v>5</v>
      </c>
      <c r="Q12" s="6" t="s">
        <v>4</v>
      </c>
      <c r="R12" s="6" t="s">
        <v>2</v>
      </c>
      <c r="S12" s="6" t="s">
        <v>5</v>
      </c>
      <c r="T12" s="6" t="s">
        <v>2</v>
      </c>
      <c r="U12" s="6" t="s">
        <v>5</v>
      </c>
      <c r="V12" s="6" t="s">
        <v>5</v>
      </c>
      <c r="W12" s="6" t="s">
        <v>2</v>
      </c>
      <c r="X12" s="6" t="s">
        <v>4</v>
      </c>
      <c r="Y12" s="6" t="s">
        <v>4</v>
      </c>
      <c r="Z12" s="6" t="s">
        <v>3</v>
      </c>
      <c r="AA12" s="6" t="s">
        <v>4</v>
      </c>
      <c r="AB12" s="6" t="s">
        <v>4</v>
      </c>
      <c r="AC12" s="6" t="s">
        <v>4</v>
      </c>
      <c r="AD12" s="6" t="s">
        <v>4</v>
      </c>
      <c r="AE12" s="6" t="s">
        <v>4</v>
      </c>
      <c r="AF12" s="6" t="s">
        <v>4</v>
      </c>
      <c r="AG12" s="6" t="s">
        <v>4</v>
      </c>
      <c r="AH12" s="6" t="s">
        <v>4</v>
      </c>
      <c r="AI12" s="6" t="s">
        <v>4</v>
      </c>
      <c r="AJ12" s="6" t="s">
        <v>4</v>
      </c>
      <c r="AK12" s="6" t="s">
        <v>4</v>
      </c>
      <c r="AL12" s="6" t="s">
        <v>4</v>
      </c>
      <c r="AM12" s="6" t="s">
        <v>3</v>
      </c>
      <c r="AO12" s="84" t="s">
        <v>498</v>
      </c>
      <c r="AP12" s="84"/>
      <c r="AQ12" s="7" t="s">
        <v>64</v>
      </c>
      <c r="AR12" s="51" t="s">
        <v>43</v>
      </c>
      <c r="AS12" s="51" t="s">
        <v>44</v>
      </c>
      <c r="AT12" s="51" t="s">
        <v>45</v>
      </c>
      <c r="AU12" s="51" t="s">
        <v>46</v>
      </c>
      <c r="AV12" s="51" t="s">
        <v>47</v>
      </c>
      <c r="AW12" s="51" t="s">
        <v>48</v>
      </c>
      <c r="AX12" s="51" t="s">
        <v>49</v>
      </c>
      <c r="AY12" s="51" t="s">
        <v>50</v>
      </c>
      <c r="AZ12" s="51" t="s">
        <v>51</v>
      </c>
      <c r="BA12" s="51" t="s">
        <v>52</v>
      </c>
      <c r="BB12" s="51" t="s">
        <v>53</v>
      </c>
      <c r="BC12" s="51" t="s">
        <v>54</v>
      </c>
      <c r="BD12" s="51" t="s">
        <v>55</v>
      </c>
      <c r="BE12" s="51" t="s">
        <v>56</v>
      </c>
      <c r="BF12" s="51" t="s">
        <v>57</v>
      </c>
      <c r="BG12" s="51" t="s">
        <v>58</v>
      </c>
      <c r="BH12" s="51" t="s">
        <v>59</v>
      </c>
      <c r="BI12" s="51" t="s">
        <v>60</v>
      </c>
      <c r="BJ12" s="51" t="s">
        <v>61</v>
      </c>
      <c r="BK12" s="51" t="s">
        <v>62</v>
      </c>
      <c r="BL12" s="51" t="s">
        <v>63</v>
      </c>
      <c r="BM12" s="51" t="s">
        <v>330</v>
      </c>
      <c r="BN12" s="51" t="s">
        <v>331</v>
      </c>
      <c r="BO12" s="51" t="s">
        <v>332</v>
      </c>
      <c r="BP12" s="51" t="s">
        <v>333</v>
      </c>
      <c r="BQ12" s="51" t="s">
        <v>334</v>
      </c>
      <c r="BR12" s="51" t="s">
        <v>335</v>
      </c>
      <c r="BS12" s="51" t="s">
        <v>336</v>
      </c>
      <c r="BT12" s="51" t="s">
        <v>337</v>
      </c>
      <c r="BU12" s="51" t="s">
        <v>338</v>
      </c>
      <c r="BV12" s="51" t="s">
        <v>339</v>
      </c>
      <c r="BW12" s="51" t="s">
        <v>340</v>
      </c>
      <c r="BX12" s="51" t="s">
        <v>341</v>
      </c>
      <c r="BY12" s="51" t="s">
        <v>342</v>
      </c>
      <c r="BZ12" s="51" t="s">
        <v>343</v>
      </c>
      <c r="CA12" s="51" t="s">
        <v>390</v>
      </c>
    </row>
    <row r="13" spans="1:79">
      <c r="A13" s="6">
        <f t="shared" si="0"/>
        <v>12</v>
      </c>
      <c r="B13" s="6" t="s">
        <v>490</v>
      </c>
      <c r="C13" s="6">
        <v>2</v>
      </c>
      <c r="D13" s="6" t="s">
        <v>4</v>
      </c>
      <c r="E13" s="6" t="s">
        <v>5</v>
      </c>
      <c r="F13" s="6" t="s">
        <v>3</v>
      </c>
      <c r="G13" s="6" t="s">
        <v>2</v>
      </c>
      <c r="H13" s="6" t="s">
        <v>5</v>
      </c>
      <c r="I13" s="6" t="s">
        <v>5</v>
      </c>
      <c r="J13" s="6" t="s">
        <v>5</v>
      </c>
      <c r="K13" s="6" t="s">
        <v>2</v>
      </c>
      <c r="L13" s="6" t="s">
        <v>2</v>
      </c>
      <c r="M13" s="6" t="s">
        <v>3</v>
      </c>
      <c r="N13" s="6" t="s">
        <v>4</v>
      </c>
      <c r="O13" s="6" t="s">
        <v>2</v>
      </c>
      <c r="P13" s="6" t="s">
        <v>5</v>
      </c>
      <c r="Q13" s="6" t="s">
        <v>3</v>
      </c>
      <c r="R13" s="6" t="s">
        <v>4</v>
      </c>
      <c r="S13" s="6" t="s">
        <v>5</v>
      </c>
      <c r="T13" s="6" t="s">
        <v>5</v>
      </c>
      <c r="U13" s="6" t="s">
        <v>5</v>
      </c>
      <c r="V13" s="6" t="s">
        <v>4</v>
      </c>
      <c r="W13" s="6" t="s">
        <v>4</v>
      </c>
      <c r="X13" s="6" t="s">
        <v>3</v>
      </c>
      <c r="Y13" s="6" t="s">
        <v>4</v>
      </c>
      <c r="Z13" s="6" t="s">
        <v>3</v>
      </c>
      <c r="AA13" s="6" t="s">
        <v>4</v>
      </c>
      <c r="AB13" s="6" t="s">
        <v>4</v>
      </c>
      <c r="AC13" s="6" t="s">
        <v>4</v>
      </c>
      <c r="AD13" s="6" t="s">
        <v>4</v>
      </c>
      <c r="AE13" s="6" t="s">
        <v>4</v>
      </c>
      <c r="AF13" s="6" t="s">
        <v>4</v>
      </c>
      <c r="AG13" s="6" t="s">
        <v>3</v>
      </c>
      <c r="AH13" s="6" t="s">
        <v>4</v>
      </c>
      <c r="AI13" s="6" t="s">
        <v>3</v>
      </c>
      <c r="AJ13" s="6" t="s">
        <v>4</v>
      </c>
      <c r="AK13" s="6" t="s">
        <v>4</v>
      </c>
      <c r="AL13" s="6" t="s">
        <v>4</v>
      </c>
      <c r="AM13" s="6" t="s">
        <v>4</v>
      </c>
      <c r="AO13" s="84"/>
      <c r="AP13" s="84"/>
      <c r="AQ13" s="7">
        <v>1</v>
      </c>
      <c r="AR13" s="6" t="s">
        <v>2</v>
      </c>
      <c r="AS13" s="6" t="s">
        <v>3</v>
      </c>
      <c r="AT13" s="6" t="s">
        <v>4</v>
      </c>
      <c r="AU13" s="6" t="s">
        <v>5</v>
      </c>
      <c r="AV13" s="6" t="s">
        <v>5</v>
      </c>
      <c r="AW13" s="6" t="s">
        <v>5</v>
      </c>
      <c r="AX13" s="6" t="s">
        <v>5</v>
      </c>
      <c r="AY13" s="6" t="s">
        <v>2</v>
      </c>
      <c r="AZ13" s="6" t="s">
        <v>3</v>
      </c>
      <c r="BA13" s="6" t="s">
        <v>3</v>
      </c>
      <c r="BB13" s="6" t="s">
        <v>4</v>
      </c>
      <c r="BC13" s="6" t="s">
        <v>3</v>
      </c>
      <c r="BD13" s="6" t="s">
        <v>5</v>
      </c>
      <c r="BE13" s="6" t="s">
        <v>3</v>
      </c>
      <c r="BF13" s="6" t="s">
        <v>3</v>
      </c>
      <c r="BG13" s="6" t="s">
        <v>5</v>
      </c>
      <c r="BH13" s="6" t="s">
        <v>5</v>
      </c>
      <c r="BI13" s="6" t="s">
        <v>5</v>
      </c>
      <c r="BJ13" s="6" t="s">
        <v>2</v>
      </c>
      <c r="BK13" s="6" t="s">
        <v>4</v>
      </c>
      <c r="BL13" s="6" t="s">
        <v>3</v>
      </c>
      <c r="BM13" s="6" t="s">
        <v>2</v>
      </c>
      <c r="BN13" s="6" t="s">
        <v>3</v>
      </c>
      <c r="BO13" s="6" t="s">
        <v>4</v>
      </c>
      <c r="BP13" s="6" t="s">
        <v>4</v>
      </c>
      <c r="BQ13" s="6" t="s">
        <v>4</v>
      </c>
      <c r="BR13" s="6" t="s">
        <v>4</v>
      </c>
      <c r="BS13" s="6" t="s">
        <v>4</v>
      </c>
      <c r="BT13" s="6" t="s">
        <v>4</v>
      </c>
      <c r="BU13" s="6" t="s">
        <v>4</v>
      </c>
      <c r="BV13" s="6" t="s">
        <v>4</v>
      </c>
      <c r="BW13" s="6" t="s">
        <v>4</v>
      </c>
      <c r="BX13" s="6" t="s">
        <v>4</v>
      </c>
      <c r="BY13" s="6" t="s">
        <v>4</v>
      </c>
      <c r="BZ13" s="6" t="s">
        <v>3</v>
      </c>
      <c r="CA13" s="6" t="s">
        <v>3</v>
      </c>
    </row>
    <row r="14" spans="1:79">
      <c r="A14" s="6">
        <f t="shared" si="0"/>
        <v>13</v>
      </c>
      <c r="B14" s="6" t="s">
        <v>319</v>
      </c>
      <c r="C14" s="6">
        <v>3</v>
      </c>
      <c r="D14" s="6" t="s">
        <v>2</v>
      </c>
      <c r="E14" s="6" t="s">
        <v>3</v>
      </c>
      <c r="F14" s="6" t="s">
        <v>3</v>
      </c>
      <c r="G14" s="6" t="s">
        <v>2</v>
      </c>
      <c r="H14" s="6" t="s">
        <v>5</v>
      </c>
      <c r="I14" s="6" t="s">
        <v>5</v>
      </c>
      <c r="J14" s="6" t="s">
        <v>5</v>
      </c>
      <c r="K14" s="6" t="s">
        <v>2</v>
      </c>
      <c r="L14" s="6" t="s">
        <v>3</v>
      </c>
      <c r="M14" s="6" t="s">
        <v>3</v>
      </c>
      <c r="N14" s="6" t="s">
        <v>3</v>
      </c>
      <c r="O14" s="6" t="s">
        <v>2</v>
      </c>
      <c r="P14" s="6" t="s">
        <v>5</v>
      </c>
      <c r="Q14" s="6" t="s">
        <v>3</v>
      </c>
      <c r="R14" s="6" t="s">
        <v>3</v>
      </c>
      <c r="S14" s="6" t="s">
        <v>5</v>
      </c>
      <c r="T14" s="6" t="s">
        <v>5</v>
      </c>
      <c r="U14" s="6" t="s">
        <v>5</v>
      </c>
      <c r="V14" s="6" t="s">
        <v>5</v>
      </c>
      <c r="W14" s="6" t="s">
        <v>4</v>
      </c>
      <c r="X14" s="6" t="s">
        <v>3</v>
      </c>
      <c r="Y14" s="6" t="s">
        <v>2</v>
      </c>
      <c r="Z14" s="6" t="s">
        <v>3</v>
      </c>
      <c r="AA14" s="6" t="s">
        <v>4</v>
      </c>
      <c r="AB14" s="6" t="s">
        <v>4</v>
      </c>
      <c r="AC14" s="6" t="s">
        <v>4</v>
      </c>
      <c r="AD14" s="6" t="s">
        <v>4</v>
      </c>
      <c r="AE14" s="6" t="s">
        <v>4</v>
      </c>
      <c r="AF14" s="6" t="s">
        <v>4</v>
      </c>
      <c r="AG14" s="6" t="s">
        <v>3</v>
      </c>
      <c r="AH14" s="6" t="s">
        <v>4</v>
      </c>
      <c r="AI14" s="6" t="s">
        <v>3</v>
      </c>
      <c r="AJ14" s="6" t="s">
        <v>4</v>
      </c>
      <c r="AK14" s="6" t="s">
        <v>4</v>
      </c>
      <c r="AL14" s="6" t="s">
        <v>3</v>
      </c>
      <c r="AM14" s="6" t="s">
        <v>3</v>
      </c>
      <c r="AO14" s="82" t="s">
        <v>510</v>
      </c>
      <c r="AP14" s="82"/>
      <c r="AQ14" s="6">
        <f>'Data Training 1'!AW22*'Data Training 1'!AT33*'Data Training 1'!AT38*'Data Training 1'!AT43*'Data Training 1'!AT52*'Data Training 1'!AT58*'Data Training 1'!AT64*'Data Training 1'!AT70*'Data Training 1'!AT75*'Data Training 1'!AT80*'Data Training 1'!AT86*'Data Training 1'!AT91*'Data Training 1'!AT98*'Data Training 1'!AT106*'Data Training 1'!AT110*'Data Training 1'!AT116*'Data Training 1'!AT124*'Data Training 1'!AT130*'Data Training 1'!AT136*'Data Training 1'!AT141*'Data Training 1'!AT145*'Data Training 1'!AT152*'Data Training 1'!AT159*'Data Training 1'!AT164*'Data Training 1'!AT167*'Data Training 1'!AT171*'Data Training 1'!AT175*'Data Training 1'!AT179*'Data Training 1'!AT183*'Data Training 1'!AT187*'Data Training 1'!AT191*'Data Training 1'!AT195*'Data Training 1'!AT199*'Data Training 1'!AT203*'Data Training 1'!AT207*'Data Training 1'!AT212*'Data Training 1'!AT216</f>
        <v>3.999980786209588E-9</v>
      </c>
    </row>
    <row r="15" spans="1:79">
      <c r="A15" s="6">
        <f t="shared" si="0"/>
        <v>14</v>
      </c>
      <c r="B15" s="6" t="s">
        <v>501</v>
      </c>
      <c r="C15" s="6">
        <v>3</v>
      </c>
      <c r="D15" s="6" t="s">
        <v>2</v>
      </c>
      <c r="E15" s="6" t="s">
        <v>3</v>
      </c>
      <c r="F15" s="6" t="s">
        <v>3</v>
      </c>
      <c r="G15" s="6" t="s">
        <v>2</v>
      </c>
      <c r="H15" s="6" t="s">
        <v>5</v>
      </c>
      <c r="I15" s="6" t="s">
        <v>2</v>
      </c>
      <c r="J15" s="6" t="s">
        <v>5</v>
      </c>
      <c r="K15" s="6" t="s">
        <v>2</v>
      </c>
      <c r="L15" s="6" t="s">
        <v>3</v>
      </c>
      <c r="M15" s="6" t="s">
        <v>4</v>
      </c>
      <c r="N15" s="6" t="s">
        <v>4</v>
      </c>
      <c r="O15" s="6" t="s">
        <v>5</v>
      </c>
      <c r="P15" s="6" t="s">
        <v>5</v>
      </c>
      <c r="Q15" s="6" t="s">
        <v>4</v>
      </c>
      <c r="R15" s="6" t="s">
        <v>5</v>
      </c>
      <c r="S15" s="6" t="s">
        <v>5</v>
      </c>
      <c r="T15" s="6" t="s">
        <v>5</v>
      </c>
      <c r="U15" s="6" t="s">
        <v>5</v>
      </c>
      <c r="V15" s="6" t="s">
        <v>5</v>
      </c>
      <c r="W15" s="6" t="s">
        <v>4</v>
      </c>
      <c r="X15" s="6" t="s">
        <v>3</v>
      </c>
      <c r="Y15" s="6" t="s">
        <v>4</v>
      </c>
      <c r="Z15" s="6" t="s">
        <v>4</v>
      </c>
      <c r="AA15" s="6" t="s">
        <v>4</v>
      </c>
      <c r="AB15" s="6" t="s">
        <v>4</v>
      </c>
      <c r="AC15" s="6" t="s">
        <v>4</v>
      </c>
      <c r="AD15" s="6" t="s">
        <v>4</v>
      </c>
      <c r="AE15" s="6" t="s">
        <v>4</v>
      </c>
      <c r="AF15" s="6" t="s">
        <v>4</v>
      </c>
      <c r="AG15" s="6" t="s">
        <v>4</v>
      </c>
      <c r="AH15" s="6" t="s">
        <v>4</v>
      </c>
      <c r="AI15" s="6" t="s">
        <v>3</v>
      </c>
      <c r="AJ15" s="6" t="s">
        <v>4</v>
      </c>
      <c r="AK15" s="6" t="s">
        <v>4</v>
      </c>
      <c r="AL15" s="6" t="s">
        <v>3</v>
      </c>
      <c r="AM15" s="6" t="s">
        <v>4</v>
      </c>
      <c r="AO15" s="82" t="s">
        <v>511</v>
      </c>
      <c r="AP15" s="82"/>
      <c r="AQ15" s="6">
        <f>'Data Training 1'!AW23*'Data Training 1'!AU33*'Data Training 1'!AU38*'Data Training 1'!AU43*'Data Training 1'!AU52*'Data Training 1'!AU58*'Data Training 1'!AU64*'Data Training 1'!AU70*'Data Training 1'!AU75*'Data Training 1'!AU80*'Data Training 1'!AU86*'Data Training 1'!AU91*'Data Training 1'!AU98*'Data Training 1'!AU106*'Data Training 1'!AU110*'Data Training 1'!AU116*'Data Training 1'!AU124*'Data Training 1'!AU130*'Data Training 1'!AU136*'Data Training 1'!AU141*'Data Training 1'!AU145*'Data Training 1'!AU152*'Data Training 1'!AU159*'Data Training 1'!AU164*'Data Training 1'!AU167*'Data Training 1'!AU171*'Data Training 1'!AU175*'Data Training 1'!AU179*'Data Training 1'!AU183*'Data Training 1'!AU187*'Data Training 1'!AU191*'Data Training 1'!AU195*'Data Training 1'!AU199*'Data Training 1'!AU203*'Data Training 1'!AU207*'Data Training 1'!AU212*'Data Training 1'!AU216</f>
        <v>5.1357777995777438E-12</v>
      </c>
    </row>
    <row r="16" spans="1:79">
      <c r="A16" s="6">
        <f t="shared" si="0"/>
        <v>15</v>
      </c>
      <c r="B16" s="6" t="s">
        <v>320</v>
      </c>
      <c r="C16" s="6">
        <v>3</v>
      </c>
      <c r="D16" s="6" t="s">
        <v>2</v>
      </c>
      <c r="E16" s="6" t="s">
        <v>3</v>
      </c>
      <c r="F16" s="6" t="s">
        <v>3</v>
      </c>
      <c r="G16" s="6" t="s">
        <v>5</v>
      </c>
      <c r="H16" s="6" t="s">
        <v>5</v>
      </c>
      <c r="I16" s="6" t="s">
        <v>5</v>
      </c>
      <c r="J16" s="6" t="s">
        <v>2</v>
      </c>
      <c r="K16" s="6" t="s">
        <v>2</v>
      </c>
      <c r="L16" s="6" t="s">
        <v>3</v>
      </c>
      <c r="M16" s="6" t="s">
        <v>3</v>
      </c>
      <c r="N16" s="6" t="s">
        <v>4</v>
      </c>
      <c r="O16" s="6" t="s">
        <v>5</v>
      </c>
      <c r="P16" s="6" t="s">
        <v>2</v>
      </c>
      <c r="Q16" s="6" t="s">
        <v>3</v>
      </c>
      <c r="R16" s="6" t="s">
        <v>2</v>
      </c>
      <c r="S16" s="6" t="s">
        <v>5</v>
      </c>
      <c r="T16" s="6" t="s">
        <v>5</v>
      </c>
      <c r="U16" s="6" t="s">
        <v>5</v>
      </c>
      <c r="V16" s="6" t="s">
        <v>5</v>
      </c>
      <c r="W16" s="6" t="s">
        <v>4</v>
      </c>
      <c r="X16" s="6" t="s">
        <v>3</v>
      </c>
      <c r="Y16" s="6" t="s">
        <v>3</v>
      </c>
      <c r="Z16" s="6" t="s">
        <v>3</v>
      </c>
      <c r="AA16" s="6" t="s">
        <v>4</v>
      </c>
      <c r="AB16" s="6" t="s">
        <v>4</v>
      </c>
      <c r="AC16" s="6" t="s">
        <v>4</v>
      </c>
      <c r="AD16" s="6" t="s">
        <v>4</v>
      </c>
      <c r="AE16" s="6" t="s">
        <v>4</v>
      </c>
      <c r="AF16" s="6" t="s">
        <v>4</v>
      </c>
      <c r="AG16" s="6" t="s">
        <v>3</v>
      </c>
      <c r="AH16" s="6" t="s">
        <v>4</v>
      </c>
      <c r="AI16" s="6" t="s">
        <v>3</v>
      </c>
      <c r="AJ16" s="6" t="s">
        <v>4</v>
      </c>
      <c r="AK16" s="6" t="s">
        <v>4</v>
      </c>
      <c r="AL16" s="6" t="s">
        <v>3</v>
      </c>
      <c r="AM16" s="6" t="s">
        <v>3</v>
      </c>
      <c r="AO16" s="82" t="s">
        <v>506</v>
      </c>
      <c r="AP16" s="82"/>
      <c r="AQ16" s="6">
        <f>'Data Training 1'!AW24*'Data Training 1'!AV33*'Data Training 1'!AV38*'Data Training 1'!AV43*'Data Training 1'!AV52*'Data Training 1'!AV58*'Data Training 1'!AV64*'Data Training 1'!AV70*'Data Training 1'!AV75*'Data Training 1'!AV80*'Data Training 1'!AV86*'Data Training 1'!AV91*'Data Training 1'!AV98*'Data Training 1'!AV106*'Data Training 1'!AV110*'Data Training 1'!AV116*'Data Training 1'!AV124*'Data Training 1'!AV130*'Data Training 1'!AV136*'Data Training 1'!AV141*'Data Training 1'!AV145*'Data Training 1'!AV152*'Data Training 1'!AV159*'Data Training 1'!AV164*'Data Training 1'!AV167*'Data Training 1'!AV171*'Data Training 1'!AV175*'Data Training 1'!AV179*'Data Training 1'!AV183*'Data Training 1'!AV187*'Data Training 1'!AV191*'Data Training 1'!AV195*'Data Training 1'!AV199*'Data Training 1'!AV203*'Data Training 1'!AV207*'Data Training 1'!AV212*'Data Training 1'!AV216</f>
        <v>0</v>
      </c>
    </row>
    <row r="17" spans="1:79">
      <c r="A17" s="6">
        <f t="shared" si="0"/>
        <v>16</v>
      </c>
      <c r="B17" s="6" t="s">
        <v>467</v>
      </c>
      <c r="C17" s="6">
        <v>3</v>
      </c>
      <c r="D17" s="6" t="s">
        <v>2</v>
      </c>
      <c r="E17" s="6" t="s">
        <v>5</v>
      </c>
      <c r="F17" s="6" t="s">
        <v>3</v>
      </c>
      <c r="G17" s="6" t="s">
        <v>3</v>
      </c>
      <c r="H17" s="6" t="s">
        <v>5</v>
      </c>
      <c r="I17" s="6" t="s">
        <v>5</v>
      </c>
      <c r="J17" s="6" t="s">
        <v>2</v>
      </c>
      <c r="K17" s="6" t="s">
        <v>2</v>
      </c>
      <c r="L17" s="6" t="s">
        <v>3</v>
      </c>
      <c r="M17" s="6" t="s">
        <v>4</v>
      </c>
      <c r="N17" s="6" t="s">
        <v>4</v>
      </c>
      <c r="O17" s="6" t="s">
        <v>5</v>
      </c>
      <c r="P17" s="6" t="s">
        <v>3</v>
      </c>
      <c r="Q17" s="6" t="s">
        <v>3</v>
      </c>
      <c r="R17" s="6" t="s">
        <v>2</v>
      </c>
      <c r="S17" s="6" t="s">
        <v>5</v>
      </c>
      <c r="T17" s="6" t="s">
        <v>3</v>
      </c>
      <c r="U17" s="6" t="s">
        <v>2</v>
      </c>
      <c r="V17" s="6" t="s">
        <v>5</v>
      </c>
      <c r="W17" s="6" t="s">
        <v>4</v>
      </c>
      <c r="X17" s="6" t="s">
        <v>3</v>
      </c>
      <c r="Y17" s="6" t="s">
        <v>2</v>
      </c>
      <c r="Z17" s="6" t="s">
        <v>3</v>
      </c>
      <c r="AA17" s="6" t="s">
        <v>4</v>
      </c>
      <c r="AB17" s="6" t="s">
        <v>4</v>
      </c>
      <c r="AC17" s="6" t="s">
        <v>4</v>
      </c>
      <c r="AD17" s="6" t="s">
        <v>4</v>
      </c>
      <c r="AE17" s="6" t="s">
        <v>4</v>
      </c>
      <c r="AF17" s="6" t="s">
        <v>4</v>
      </c>
      <c r="AG17" s="6" t="s">
        <v>3</v>
      </c>
      <c r="AH17" s="6" t="s">
        <v>4</v>
      </c>
      <c r="AI17" s="6" t="s">
        <v>3</v>
      </c>
      <c r="AJ17" s="6" t="s">
        <v>4</v>
      </c>
      <c r="AK17" s="6" t="s">
        <v>4</v>
      </c>
      <c r="AL17" s="6" t="s">
        <v>4</v>
      </c>
      <c r="AM17" s="6" t="s">
        <v>3</v>
      </c>
      <c r="AO17" s="6" t="s">
        <v>507</v>
      </c>
      <c r="AP17" s="6"/>
      <c r="AQ17" s="6">
        <f>'Data Training 1'!AW25*'Data Training 1'!AW33*'Data Training 1'!AW38*'Data Training 1'!AW43*'Data Training 1'!AW52*'Data Training 1'!AW58*'Data Training 1'!AW64*'Data Training 1'!AW70*'Data Training 1'!AW75*'Data Training 1'!AW80*'Data Training 1'!AW86*'Data Training 1'!AW91*'Data Training 1'!AW98*'Data Training 1'!AW106*'Data Training 1'!AW110*'Data Training 1'!AW116*'Data Training 1'!AW124*'Data Training 1'!AW130*'Data Training 1'!AW136*'Data Training 1'!AW141*'Data Training 1'!AW145*'Data Training 1'!AW152*'Data Training 1'!AW159*'Data Training 1'!AW164*'Data Training 1'!AW167*'Data Training 1'!AW171*'Data Training 1'!AW175*'Data Training 1'!AW179*'Data Training 1'!AW183*'Data Training 1'!AW187*'Data Training 1'!AW191*'Data Training 1'!AW195*'Data Training 1'!AW199*'Data Training 1'!AW203*'Data Training 1'!AW207*'Data Training 1'!AW212*'Data Training 1'!AW216</f>
        <v>0</v>
      </c>
    </row>
    <row r="18" spans="1:79">
      <c r="A18" s="6">
        <f t="shared" si="0"/>
        <v>17</v>
      </c>
      <c r="B18" s="6" t="s">
        <v>468</v>
      </c>
      <c r="C18" s="6">
        <v>3</v>
      </c>
      <c r="D18" s="6" t="s">
        <v>4</v>
      </c>
      <c r="E18" s="6" t="s">
        <v>3</v>
      </c>
      <c r="F18" s="6" t="s">
        <v>5</v>
      </c>
      <c r="G18" s="6" t="s">
        <v>5</v>
      </c>
      <c r="H18" s="6" t="s">
        <v>5</v>
      </c>
      <c r="I18" s="6" t="s">
        <v>5</v>
      </c>
      <c r="J18" s="6" t="s">
        <v>5</v>
      </c>
      <c r="K18" s="6" t="s">
        <v>2</v>
      </c>
      <c r="L18" s="6" t="s">
        <v>3</v>
      </c>
      <c r="M18" s="6" t="s">
        <v>3</v>
      </c>
      <c r="N18" s="6" t="s">
        <v>2</v>
      </c>
      <c r="O18" s="6" t="s">
        <v>2</v>
      </c>
      <c r="P18" s="6" t="s">
        <v>5</v>
      </c>
      <c r="Q18" s="6" t="s">
        <v>3</v>
      </c>
      <c r="R18" s="6" t="s">
        <v>2</v>
      </c>
      <c r="S18" s="6" t="s">
        <v>2</v>
      </c>
      <c r="T18" s="6" t="s">
        <v>5</v>
      </c>
      <c r="U18" s="6" t="s">
        <v>5</v>
      </c>
      <c r="V18" s="6" t="s">
        <v>5</v>
      </c>
      <c r="W18" s="6" t="s">
        <v>3</v>
      </c>
      <c r="X18" s="6" t="s">
        <v>5</v>
      </c>
      <c r="Y18" s="6" t="s">
        <v>5</v>
      </c>
      <c r="Z18" s="6" t="s">
        <v>4</v>
      </c>
      <c r="AA18" s="6" t="s">
        <v>4</v>
      </c>
      <c r="AB18" s="6" t="s">
        <v>4</v>
      </c>
      <c r="AC18" s="6" t="s">
        <v>4</v>
      </c>
      <c r="AD18" s="6" t="s">
        <v>4</v>
      </c>
      <c r="AE18" s="6" t="s">
        <v>4</v>
      </c>
      <c r="AF18" s="6" t="s">
        <v>4</v>
      </c>
      <c r="AG18" s="6" t="s">
        <v>3</v>
      </c>
      <c r="AH18" s="6" t="s">
        <v>4</v>
      </c>
      <c r="AI18" s="6" t="s">
        <v>3</v>
      </c>
      <c r="AJ18" s="6" t="s">
        <v>4</v>
      </c>
      <c r="AK18" s="6" t="s">
        <v>4</v>
      </c>
      <c r="AL18" s="6" t="s">
        <v>3</v>
      </c>
      <c r="AM18" s="6" t="s">
        <v>3</v>
      </c>
      <c r="AO18" s="6" t="s">
        <v>508</v>
      </c>
      <c r="AP18" s="6"/>
      <c r="AQ18" s="6">
        <f>'Data Training 1'!AW26*'Data Training 1'!AX33*'Data Training 1'!AX38*'Data Training 1'!AX43*'Data Training 1'!AX52*'Data Training 1'!AX58*'Data Training 1'!AX64*'Data Training 1'!AX70*'Data Training 1'!AX75*'Data Training 1'!AX80*'Data Training 1'!AX86*'Data Training 1'!AX91*'Data Training 1'!AX98*'Data Training 1'!AX106*'Data Training 1'!AX110*'Data Training 1'!AX116*'Data Training 1'!AX124*'Data Training 1'!AX130*'Data Training 1'!AX136*'Data Training 1'!AX141*'Data Training 1'!AX145*'Data Training 1'!AX152*'Data Training 1'!AX159*'Data Training 1'!AX164*'Data Training 1'!AX167*'Data Training 1'!AX171*'Data Training 1'!AX175*'Data Training 1'!AX179*'Data Training 1'!AX183*'Data Training 1'!AX187*'Data Training 1'!AX191*'Data Training 1'!AX195*'Data Training 1'!AX199*'Data Training 1'!AX203*'Data Training 1'!AX207*'Data Training 1'!AX212*'Data Training 1'!AX216</f>
        <v>0</v>
      </c>
    </row>
    <row r="19" spans="1:79">
      <c r="A19" s="6">
        <f t="shared" si="0"/>
        <v>18</v>
      </c>
      <c r="B19" s="6" t="s">
        <v>492</v>
      </c>
      <c r="C19" s="6">
        <v>3</v>
      </c>
      <c r="D19" s="6" t="s">
        <v>5</v>
      </c>
      <c r="E19" s="6" t="s">
        <v>4</v>
      </c>
      <c r="F19" s="6" t="s">
        <v>4</v>
      </c>
      <c r="G19" s="6" t="s">
        <v>5</v>
      </c>
      <c r="H19" s="6" t="s">
        <v>5</v>
      </c>
      <c r="I19" s="6" t="s">
        <v>5</v>
      </c>
      <c r="J19" s="6" t="s">
        <v>5</v>
      </c>
      <c r="K19" s="6" t="s">
        <v>2</v>
      </c>
      <c r="L19" s="6" t="s">
        <v>2</v>
      </c>
      <c r="M19" s="6" t="s">
        <v>3</v>
      </c>
      <c r="N19" s="6" t="s">
        <v>4</v>
      </c>
      <c r="O19" s="6" t="s">
        <v>2</v>
      </c>
      <c r="P19" s="6" t="s">
        <v>2</v>
      </c>
      <c r="Q19" s="6" t="s">
        <v>2</v>
      </c>
      <c r="R19" s="6" t="s">
        <v>5</v>
      </c>
      <c r="S19" s="6" t="s">
        <v>5</v>
      </c>
      <c r="T19" s="6" t="s">
        <v>3</v>
      </c>
      <c r="U19" s="6" t="s">
        <v>3</v>
      </c>
      <c r="V19" s="6" t="s">
        <v>2</v>
      </c>
      <c r="W19" s="6" t="s">
        <v>4</v>
      </c>
      <c r="X19" s="6" t="s">
        <v>5</v>
      </c>
      <c r="Y19" s="6" t="s">
        <v>3</v>
      </c>
      <c r="Z19" s="6" t="s">
        <v>3</v>
      </c>
      <c r="AA19" s="6" t="s">
        <v>3</v>
      </c>
      <c r="AB19" s="6" t="s">
        <v>3</v>
      </c>
      <c r="AC19" s="6" t="s">
        <v>4</v>
      </c>
      <c r="AD19" s="6" t="s">
        <v>4</v>
      </c>
      <c r="AE19" s="6" t="s">
        <v>4</v>
      </c>
      <c r="AF19" s="6" t="s">
        <v>4</v>
      </c>
      <c r="AG19" s="6" t="s">
        <v>3</v>
      </c>
      <c r="AH19" s="6" t="s">
        <v>4</v>
      </c>
      <c r="AI19" s="6" t="s">
        <v>4</v>
      </c>
      <c r="AJ19" s="6" t="s">
        <v>4</v>
      </c>
      <c r="AK19" s="6" t="s">
        <v>4</v>
      </c>
      <c r="AL19" s="6" t="s">
        <v>4</v>
      </c>
      <c r="AM19" s="6" t="s">
        <v>3</v>
      </c>
      <c r="AO19" s="6" t="s">
        <v>509</v>
      </c>
      <c r="AP19" s="6"/>
      <c r="AQ19" s="6">
        <f>'Data Training 1'!AW27*'Data Training 1'!AY33*'Data Training 1'!AY38*'Data Training 1'!AY43*'Data Training 1'!AY52*'Data Training 1'!AY58*'Data Training 1'!AY64*'Data Training 1'!AY70*'Data Training 1'!AY75*'Data Training 1'!AY80*'Data Training 1'!AY86*'Data Training 1'!AY91*'Data Training 1'!AY98*'Data Training 1'!AY106*'Data Training 1'!AY110*'Data Training 1'!AY116*'Data Training 1'!AY124*'Data Training 1'!AY130*'Data Training 1'!AY136*'Data Training 1'!AY141*'Data Training 1'!AY145*'Data Training 1'!AY152*'Data Training 1'!AY159*'Data Training 1'!AY164*'Data Training 1'!AY167*'Data Training 1'!AY171*'Data Training 1'!AY175*'Data Training 1'!AY179*'Data Training 1'!AY183*'Data Training 1'!AY187*'Data Training 1'!AY191*'Data Training 1'!AY195*'Data Training 1'!AY199*'Data Training 1'!AY203*'Data Training 1'!AY207*'Data Training 1'!AY212*'Data Training 1'!AY216</f>
        <v>0</v>
      </c>
    </row>
    <row r="20" spans="1:79">
      <c r="A20" s="6">
        <f t="shared" si="0"/>
        <v>19</v>
      </c>
      <c r="B20" s="6" t="s">
        <v>321</v>
      </c>
      <c r="C20" s="6">
        <v>4</v>
      </c>
      <c r="D20" s="6" t="s">
        <v>3</v>
      </c>
      <c r="E20" s="6" t="s">
        <v>3</v>
      </c>
      <c r="F20" s="6" t="s">
        <v>3</v>
      </c>
      <c r="G20" s="6" t="s">
        <v>5</v>
      </c>
      <c r="H20" s="6" t="s">
        <v>5</v>
      </c>
      <c r="I20" s="6" t="s">
        <v>5</v>
      </c>
      <c r="J20" s="6" t="s">
        <v>5</v>
      </c>
      <c r="K20" s="6" t="s">
        <v>2</v>
      </c>
      <c r="L20" s="6" t="s">
        <v>2</v>
      </c>
      <c r="M20" s="6" t="s">
        <v>3</v>
      </c>
      <c r="N20" s="6" t="s">
        <v>4</v>
      </c>
      <c r="O20" s="6" t="s">
        <v>5</v>
      </c>
      <c r="P20" s="6" t="s">
        <v>5</v>
      </c>
      <c r="Q20" s="6" t="s">
        <v>3</v>
      </c>
      <c r="R20" s="6" t="s">
        <v>2</v>
      </c>
      <c r="S20" s="6" t="s">
        <v>5</v>
      </c>
      <c r="T20" s="6" t="s">
        <v>5</v>
      </c>
      <c r="U20" s="6" t="s">
        <v>5</v>
      </c>
      <c r="V20" s="6" t="s">
        <v>4</v>
      </c>
      <c r="W20" s="6" t="s">
        <v>4</v>
      </c>
      <c r="X20" s="6" t="s">
        <v>4</v>
      </c>
      <c r="Y20" s="6" t="s">
        <v>2</v>
      </c>
      <c r="Z20" s="6" t="s">
        <v>3</v>
      </c>
      <c r="AA20" s="6" t="s">
        <v>4</v>
      </c>
      <c r="AB20" s="6" t="s">
        <v>4</v>
      </c>
      <c r="AC20" s="6" t="s">
        <v>4</v>
      </c>
      <c r="AD20" s="6" t="s">
        <v>4</v>
      </c>
      <c r="AE20" s="6" t="s">
        <v>4</v>
      </c>
      <c r="AF20" s="6" t="s">
        <v>3</v>
      </c>
      <c r="AG20" s="6" t="s">
        <v>3</v>
      </c>
      <c r="AH20" s="6" t="s">
        <v>4</v>
      </c>
      <c r="AI20" s="6" t="s">
        <v>3</v>
      </c>
      <c r="AJ20" s="6" t="s">
        <v>3</v>
      </c>
      <c r="AK20" s="6" t="s">
        <v>4</v>
      </c>
      <c r="AL20" s="6" t="s">
        <v>4</v>
      </c>
      <c r="AM20" s="6" t="s">
        <v>3</v>
      </c>
      <c r="AO20" s="80" t="s">
        <v>437</v>
      </c>
      <c r="AP20" s="80"/>
      <c r="AQ20" s="6" t="s">
        <v>300</v>
      </c>
      <c r="AR20" s="83" t="s">
        <v>439</v>
      </c>
      <c r="AS20" s="83"/>
      <c r="AT20" s="83"/>
    </row>
    <row r="21" spans="1:79">
      <c r="A21" s="6">
        <f t="shared" si="0"/>
        <v>20</v>
      </c>
      <c r="B21" s="6" t="s">
        <v>322</v>
      </c>
      <c r="C21" s="6">
        <v>4</v>
      </c>
      <c r="D21" s="6" t="s">
        <v>5</v>
      </c>
      <c r="E21" s="6" t="s">
        <v>5</v>
      </c>
      <c r="F21" s="6" t="s">
        <v>2</v>
      </c>
      <c r="G21" s="6" t="s">
        <v>5</v>
      </c>
      <c r="H21" s="6" t="s">
        <v>5</v>
      </c>
      <c r="I21" s="6" t="s">
        <v>5</v>
      </c>
      <c r="J21" s="6" t="s">
        <v>5</v>
      </c>
      <c r="K21" s="6" t="s">
        <v>2</v>
      </c>
      <c r="L21" s="6" t="s">
        <v>2</v>
      </c>
      <c r="M21" s="6" t="s">
        <v>2</v>
      </c>
      <c r="N21" s="6" t="s">
        <v>3</v>
      </c>
      <c r="O21" s="6" t="s">
        <v>5</v>
      </c>
      <c r="P21" s="6" t="s">
        <v>5</v>
      </c>
      <c r="Q21" s="6" t="s">
        <v>2</v>
      </c>
      <c r="R21" s="6" t="s">
        <v>2</v>
      </c>
      <c r="S21" s="6" t="s">
        <v>5</v>
      </c>
      <c r="T21" s="6" t="s">
        <v>5</v>
      </c>
      <c r="U21" s="6" t="s">
        <v>5</v>
      </c>
      <c r="V21" s="6" t="s">
        <v>5</v>
      </c>
      <c r="W21" s="6" t="s">
        <v>3</v>
      </c>
      <c r="X21" s="6" t="s">
        <v>3</v>
      </c>
      <c r="Y21" s="6" t="s">
        <v>2</v>
      </c>
      <c r="Z21" s="6" t="s">
        <v>3</v>
      </c>
      <c r="AA21" s="6" t="s">
        <v>4</v>
      </c>
      <c r="AB21" s="6" t="s">
        <v>4</v>
      </c>
      <c r="AC21" s="6" t="s">
        <v>4</v>
      </c>
      <c r="AD21" s="6" t="s">
        <v>4</v>
      </c>
      <c r="AE21" s="6" t="s">
        <v>4</v>
      </c>
      <c r="AF21" s="6" t="s">
        <v>3</v>
      </c>
      <c r="AG21" s="6" t="s">
        <v>3</v>
      </c>
      <c r="AH21" s="6" t="s">
        <v>4</v>
      </c>
      <c r="AI21" s="6" t="s">
        <v>3</v>
      </c>
      <c r="AJ21" s="6" t="s">
        <v>3</v>
      </c>
      <c r="AK21" s="6" t="s">
        <v>4</v>
      </c>
      <c r="AL21" s="6" t="s">
        <v>3</v>
      </c>
      <c r="AM21" s="6" t="s">
        <v>3</v>
      </c>
      <c r="AP21" s="3"/>
    </row>
    <row r="22" spans="1:79">
      <c r="A22" s="6">
        <f t="shared" si="0"/>
        <v>21</v>
      </c>
      <c r="B22" s="6" t="s">
        <v>323</v>
      </c>
      <c r="C22" s="6">
        <v>4</v>
      </c>
      <c r="D22" s="6" t="s">
        <v>5</v>
      </c>
      <c r="E22" s="6" t="s">
        <v>3</v>
      </c>
      <c r="F22" s="6" t="s">
        <v>2</v>
      </c>
      <c r="G22" s="6" t="s">
        <v>5</v>
      </c>
      <c r="H22" s="6" t="s">
        <v>5</v>
      </c>
      <c r="I22" s="6" t="s">
        <v>5</v>
      </c>
      <c r="J22" s="6" t="s">
        <v>2</v>
      </c>
      <c r="K22" s="6" t="s">
        <v>2</v>
      </c>
      <c r="L22" s="6" t="s">
        <v>3</v>
      </c>
      <c r="M22" s="6" t="s">
        <v>3</v>
      </c>
      <c r="N22" s="6" t="s">
        <v>3</v>
      </c>
      <c r="O22" s="6" t="s">
        <v>3</v>
      </c>
      <c r="P22" s="6" t="s">
        <v>2</v>
      </c>
      <c r="Q22" s="6" t="s">
        <v>2</v>
      </c>
      <c r="R22" s="6" t="s">
        <v>2</v>
      </c>
      <c r="S22" s="6" t="s">
        <v>5</v>
      </c>
      <c r="T22" s="6" t="s">
        <v>2</v>
      </c>
      <c r="U22" s="6" t="s">
        <v>2</v>
      </c>
      <c r="V22" s="6" t="s">
        <v>5</v>
      </c>
      <c r="W22" s="6" t="s">
        <v>3</v>
      </c>
      <c r="X22" s="6" t="s">
        <v>2</v>
      </c>
      <c r="Y22" s="6" t="s">
        <v>2</v>
      </c>
      <c r="Z22" s="6" t="s">
        <v>3</v>
      </c>
      <c r="AA22" s="6" t="s">
        <v>4</v>
      </c>
      <c r="AB22" s="6" t="s">
        <v>4</v>
      </c>
      <c r="AC22" s="6" t="s">
        <v>4</v>
      </c>
      <c r="AD22" s="6" t="s">
        <v>4</v>
      </c>
      <c r="AE22" s="6" t="s">
        <v>4</v>
      </c>
      <c r="AF22" s="6" t="s">
        <v>3</v>
      </c>
      <c r="AG22" s="6" t="s">
        <v>3</v>
      </c>
      <c r="AH22" s="6" t="s">
        <v>4</v>
      </c>
      <c r="AI22" s="6" t="s">
        <v>3</v>
      </c>
      <c r="AJ22" s="6" t="s">
        <v>4</v>
      </c>
      <c r="AK22" s="6" t="s">
        <v>4</v>
      </c>
      <c r="AL22" s="6" t="s">
        <v>4</v>
      </c>
      <c r="AM22" s="6" t="s">
        <v>3</v>
      </c>
      <c r="AO22" s="84" t="s">
        <v>499</v>
      </c>
      <c r="AP22" s="84"/>
      <c r="AQ22" s="7" t="s">
        <v>64</v>
      </c>
      <c r="AR22" s="51" t="s">
        <v>43</v>
      </c>
      <c r="AS22" s="51" t="s">
        <v>44</v>
      </c>
      <c r="AT22" s="51" t="s">
        <v>45</v>
      </c>
      <c r="AU22" s="51" t="s">
        <v>46</v>
      </c>
      <c r="AV22" s="51" t="s">
        <v>47</v>
      </c>
      <c r="AW22" s="51" t="s">
        <v>48</v>
      </c>
      <c r="AX22" s="51" t="s">
        <v>49</v>
      </c>
      <c r="AY22" s="51" t="s">
        <v>50</v>
      </c>
      <c r="AZ22" s="51" t="s">
        <v>51</v>
      </c>
      <c r="BA22" s="51" t="s">
        <v>52</v>
      </c>
      <c r="BB22" s="51" t="s">
        <v>53</v>
      </c>
      <c r="BC22" s="51" t="s">
        <v>54</v>
      </c>
      <c r="BD22" s="51" t="s">
        <v>55</v>
      </c>
      <c r="BE22" s="51" t="s">
        <v>56</v>
      </c>
      <c r="BF22" s="51" t="s">
        <v>57</v>
      </c>
      <c r="BG22" s="51" t="s">
        <v>58</v>
      </c>
      <c r="BH22" s="51" t="s">
        <v>59</v>
      </c>
      <c r="BI22" s="51" t="s">
        <v>60</v>
      </c>
      <c r="BJ22" s="51" t="s">
        <v>61</v>
      </c>
      <c r="BK22" s="51" t="s">
        <v>62</v>
      </c>
      <c r="BL22" s="51" t="s">
        <v>63</v>
      </c>
      <c r="BM22" s="51" t="s">
        <v>330</v>
      </c>
      <c r="BN22" s="51" t="s">
        <v>331</v>
      </c>
      <c r="BO22" s="51" t="s">
        <v>332</v>
      </c>
      <c r="BP22" s="51" t="s">
        <v>333</v>
      </c>
      <c r="BQ22" s="51" t="s">
        <v>334</v>
      </c>
      <c r="BR22" s="51" t="s">
        <v>335</v>
      </c>
      <c r="BS22" s="51" t="s">
        <v>336</v>
      </c>
      <c r="BT22" s="51" t="s">
        <v>337</v>
      </c>
      <c r="BU22" s="51" t="s">
        <v>338</v>
      </c>
      <c r="BV22" s="51" t="s">
        <v>339</v>
      </c>
      <c r="BW22" s="51" t="s">
        <v>340</v>
      </c>
      <c r="BX22" s="51" t="s">
        <v>341</v>
      </c>
      <c r="BY22" s="51" t="s">
        <v>342</v>
      </c>
      <c r="BZ22" s="51" t="s">
        <v>343</v>
      </c>
      <c r="CA22" s="51" t="s">
        <v>390</v>
      </c>
    </row>
    <row r="23" spans="1:79">
      <c r="A23" s="6">
        <f t="shared" si="0"/>
        <v>22</v>
      </c>
      <c r="B23" s="6" t="s">
        <v>471</v>
      </c>
      <c r="C23" s="6">
        <v>4</v>
      </c>
      <c r="D23" s="6" t="s">
        <v>5</v>
      </c>
      <c r="E23" s="6" t="s">
        <v>5</v>
      </c>
      <c r="F23" s="6" t="s">
        <v>2</v>
      </c>
      <c r="G23" s="6" t="s">
        <v>5</v>
      </c>
      <c r="H23" s="6" t="s">
        <v>5</v>
      </c>
      <c r="I23" s="6" t="s">
        <v>5</v>
      </c>
      <c r="J23" s="6" t="s">
        <v>5</v>
      </c>
      <c r="K23" s="6" t="s">
        <v>2</v>
      </c>
      <c r="L23" s="6" t="s">
        <v>3</v>
      </c>
      <c r="M23" s="6" t="s">
        <v>4</v>
      </c>
      <c r="N23" s="6" t="s">
        <v>4</v>
      </c>
      <c r="O23" s="6" t="s">
        <v>3</v>
      </c>
      <c r="P23" s="6" t="s">
        <v>2</v>
      </c>
      <c r="Q23" s="6" t="s">
        <v>2</v>
      </c>
      <c r="R23" s="6" t="s">
        <v>3</v>
      </c>
      <c r="S23" s="6" t="s">
        <v>5</v>
      </c>
      <c r="T23" s="6" t="s">
        <v>3</v>
      </c>
      <c r="U23" s="6" t="s">
        <v>2</v>
      </c>
      <c r="V23" s="6" t="s">
        <v>5</v>
      </c>
      <c r="W23" s="6" t="s">
        <v>3</v>
      </c>
      <c r="X23" s="6" t="s">
        <v>4</v>
      </c>
      <c r="Y23" s="6" t="s">
        <v>4</v>
      </c>
      <c r="Z23" s="6" t="s">
        <v>3</v>
      </c>
      <c r="AA23" s="6" t="s">
        <v>4</v>
      </c>
      <c r="AB23" s="6" t="s">
        <v>4</v>
      </c>
      <c r="AC23" s="6" t="s">
        <v>4</v>
      </c>
      <c r="AD23" s="6" t="s">
        <v>4</v>
      </c>
      <c r="AE23" s="6" t="s">
        <v>4</v>
      </c>
      <c r="AF23" s="6" t="s">
        <v>4</v>
      </c>
      <c r="AG23" s="6" t="s">
        <v>3</v>
      </c>
      <c r="AH23" s="6" t="s">
        <v>3</v>
      </c>
      <c r="AI23" s="6" t="s">
        <v>3</v>
      </c>
      <c r="AJ23" s="6" t="s">
        <v>4</v>
      </c>
      <c r="AK23" s="6" t="s">
        <v>4</v>
      </c>
      <c r="AL23" s="6" t="s">
        <v>3</v>
      </c>
      <c r="AM23" s="6" t="s">
        <v>3</v>
      </c>
      <c r="AO23" s="84"/>
      <c r="AP23" s="84"/>
      <c r="AQ23" s="7">
        <v>1</v>
      </c>
      <c r="AR23" s="6" t="s">
        <v>2</v>
      </c>
      <c r="AS23" s="6" t="s">
        <v>5</v>
      </c>
      <c r="AT23" s="6" t="s">
        <v>3</v>
      </c>
      <c r="AU23" s="6" t="s">
        <v>5</v>
      </c>
      <c r="AV23" s="6" t="s">
        <v>5</v>
      </c>
      <c r="AW23" s="6" t="s">
        <v>3</v>
      </c>
      <c r="AX23" s="6" t="s">
        <v>2</v>
      </c>
      <c r="AY23" s="6" t="s">
        <v>2</v>
      </c>
      <c r="AZ23" s="6" t="s">
        <v>2</v>
      </c>
      <c r="BA23" s="6" t="s">
        <v>3</v>
      </c>
      <c r="BB23" s="6" t="s">
        <v>4</v>
      </c>
      <c r="BC23" s="6" t="s">
        <v>5</v>
      </c>
      <c r="BD23" s="6" t="s">
        <v>5</v>
      </c>
      <c r="BE23" s="6" t="s">
        <v>3</v>
      </c>
      <c r="BF23" s="6" t="s">
        <v>3</v>
      </c>
      <c r="BG23" s="6" t="s">
        <v>5</v>
      </c>
      <c r="BH23" s="6" t="s">
        <v>5</v>
      </c>
      <c r="BI23" s="6" t="s">
        <v>5</v>
      </c>
      <c r="BJ23" s="6" t="s">
        <v>5</v>
      </c>
      <c r="BK23" s="6" t="s">
        <v>4</v>
      </c>
      <c r="BL23" s="6" t="s">
        <v>3</v>
      </c>
      <c r="BM23" s="6" t="s">
        <v>2</v>
      </c>
      <c r="BN23" s="6" t="s">
        <v>3</v>
      </c>
      <c r="BO23" s="6" t="s">
        <v>4</v>
      </c>
      <c r="BP23" s="6" t="s">
        <v>4</v>
      </c>
      <c r="BQ23" s="6" t="s">
        <v>4</v>
      </c>
      <c r="BR23" s="6" t="s">
        <v>4</v>
      </c>
      <c r="BS23" s="6" t="s">
        <v>4</v>
      </c>
      <c r="BT23" s="6" t="s">
        <v>3</v>
      </c>
      <c r="BU23" s="6" t="s">
        <v>3</v>
      </c>
      <c r="BV23" s="6" t="s">
        <v>4</v>
      </c>
      <c r="BW23" s="6" t="s">
        <v>4</v>
      </c>
      <c r="BX23" s="6" t="s">
        <v>4</v>
      </c>
      <c r="BY23" s="6" t="s">
        <v>4</v>
      </c>
      <c r="BZ23" s="6" t="s">
        <v>4</v>
      </c>
      <c r="CA23" s="6" t="s">
        <v>3</v>
      </c>
    </row>
    <row r="24" spans="1:79">
      <c r="A24" s="6">
        <f t="shared" si="0"/>
        <v>23</v>
      </c>
      <c r="B24" s="6" t="s">
        <v>472</v>
      </c>
      <c r="C24" s="6">
        <v>4</v>
      </c>
      <c r="D24" s="6" t="s">
        <v>2</v>
      </c>
      <c r="E24" s="6" t="s">
        <v>5</v>
      </c>
      <c r="F24" s="6" t="s">
        <v>2</v>
      </c>
      <c r="G24" s="6" t="s">
        <v>5</v>
      </c>
      <c r="H24" s="6" t="s">
        <v>5</v>
      </c>
      <c r="I24" s="6" t="s">
        <v>5</v>
      </c>
      <c r="J24" s="6" t="s">
        <v>5</v>
      </c>
      <c r="K24" s="6" t="s">
        <v>2</v>
      </c>
      <c r="L24" s="6" t="s">
        <v>2</v>
      </c>
      <c r="M24" s="6" t="s">
        <v>2</v>
      </c>
      <c r="N24" s="6" t="s">
        <v>5</v>
      </c>
      <c r="O24" s="6" t="s">
        <v>4</v>
      </c>
      <c r="P24" s="6" t="s">
        <v>5</v>
      </c>
      <c r="Q24" s="6" t="s">
        <v>2</v>
      </c>
      <c r="R24" s="6" t="s">
        <v>4</v>
      </c>
      <c r="S24" s="6" t="s">
        <v>5</v>
      </c>
      <c r="T24" s="6" t="s">
        <v>5</v>
      </c>
      <c r="U24" s="6" t="s">
        <v>5</v>
      </c>
      <c r="V24" s="6" t="s">
        <v>4</v>
      </c>
      <c r="W24" s="6" t="s">
        <v>3</v>
      </c>
      <c r="X24" s="6" t="s">
        <v>4</v>
      </c>
      <c r="Y24" s="6" t="s">
        <v>4</v>
      </c>
      <c r="Z24" s="6" t="s">
        <v>3</v>
      </c>
      <c r="AA24" s="6" t="s">
        <v>4</v>
      </c>
      <c r="AB24" s="6" t="s">
        <v>4</v>
      </c>
      <c r="AC24" s="6" t="s">
        <v>4</v>
      </c>
      <c r="AD24" s="6" t="s">
        <v>4</v>
      </c>
      <c r="AE24" s="6" t="s">
        <v>4</v>
      </c>
      <c r="AF24" s="6" t="s">
        <v>4</v>
      </c>
      <c r="AG24" s="6" t="s">
        <v>3</v>
      </c>
      <c r="AH24" s="6" t="s">
        <v>4</v>
      </c>
      <c r="AI24" s="6" t="s">
        <v>3</v>
      </c>
      <c r="AJ24" s="6" t="s">
        <v>4</v>
      </c>
      <c r="AK24" s="6" t="s">
        <v>4</v>
      </c>
      <c r="AL24" s="6" t="s">
        <v>3</v>
      </c>
      <c r="AM24" s="6" t="s">
        <v>3</v>
      </c>
      <c r="AO24" s="82" t="s">
        <v>504</v>
      </c>
      <c r="AP24" s="82"/>
      <c r="AQ24" s="6">
        <f>'Data Training 1'!AW22*'Data Training 1'!AT33*'Data Training 1'!AT40*'Data Training 1'!AT44*'Data Training 1'!AT52*'Data Training 1'!AT58*'Data Training 1'!AT62*'Data Training 1'!AT69*'Data Training 1'!AT75*'Data Training 1'!AT81*'Data Training 1'!AT86*'Data Training 1'!AT91*'Data Training 1'!AT100*'Data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1'!AT188*'Data Training 1'!AT192*'Data Training 1'!AT195*'Data Training 1'!AT199*'Data Training 1'!AT203*'Data Training 1'!AT207*'Data Training 1'!AT211*'Data Training 1'!AT216</f>
        <v>1.9999903931047943E-10</v>
      </c>
    </row>
    <row r="25" spans="1:79">
      <c r="A25" s="6">
        <f t="shared" si="0"/>
        <v>24</v>
      </c>
      <c r="B25" s="6" t="s">
        <v>486</v>
      </c>
      <c r="C25" s="6">
        <v>4</v>
      </c>
      <c r="D25" s="6" t="s">
        <v>3</v>
      </c>
      <c r="E25" s="6" t="s">
        <v>5</v>
      </c>
      <c r="F25" s="6" t="s">
        <v>4</v>
      </c>
      <c r="G25" s="6" t="s">
        <v>5</v>
      </c>
      <c r="H25" s="6" t="s">
        <v>5</v>
      </c>
      <c r="I25" s="6" t="s">
        <v>5</v>
      </c>
      <c r="J25" s="6" t="s">
        <v>5</v>
      </c>
      <c r="K25" s="6" t="s">
        <v>2</v>
      </c>
      <c r="L25" s="6" t="s">
        <v>2</v>
      </c>
      <c r="M25" s="6" t="s">
        <v>4</v>
      </c>
      <c r="N25" s="6" t="s">
        <v>4</v>
      </c>
      <c r="O25" s="6" t="s">
        <v>5</v>
      </c>
      <c r="P25" s="6" t="s">
        <v>2</v>
      </c>
      <c r="Q25" s="6" t="s">
        <v>3</v>
      </c>
      <c r="R25" s="6" t="s">
        <v>5</v>
      </c>
      <c r="S25" s="6" t="s">
        <v>5</v>
      </c>
      <c r="T25" s="6" t="s">
        <v>2</v>
      </c>
      <c r="U25" s="6" t="s">
        <v>5</v>
      </c>
      <c r="V25" s="6" t="s">
        <v>5</v>
      </c>
      <c r="W25" s="6" t="s">
        <v>4</v>
      </c>
      <c r="X25" s="6" t="s">
        <v>4</v>
      </c>
      <c r="Y25" s="6" t="s">
        <v>2</v>
      </c>
      <c r="Z25" s="6" t="s">
        <v>3</v>
      </c>
      <c r="AA25" s="6" t="s">
        <v>4</v>
      </c>
      <c r="AB25" s="6" t="s">
        <v>4</v>
      </c>
      <c r="AC25" s="6" t="s">
        <v>4</v>
      </c>
      <c r="AD25" s="6" t="s">
        <v>4</v>
      </c>
      <c r="AE25" s="6" t="s">
        <v>4</v>
      </c>
      <c r="AF25" s="6" t="s">
        <v>4</v>
      </c>
      <c r="AG25" s="6" t="s">
        <v>3</v>
      </c>
      <c r="AH25" s="6" t="s">
        <v>4</v>
      </c>
      <c r="AI25" s="6" t="s">
        <v>3</v>
      </c>
      <c r="AJ25" s="6" t="s">
        <v>4</v>
      </c>
      <c r="AK25" s="6" t="s">
        <v>4</v>
      </c>
      <c r="AL25" s="6" t="s">
        <v>4</v>
      </c>
      <c r="AM25" s="6" t="s">
        <v>3</v>
      </c>
      <c r="AO25" s="6" t="s">
        <v>505</v>
      </c>
      <c r="AP25" s="52"/>
      <c r="AQ25" s="6">
        <f>'Data Training 1'!AW23*'Data Training 1'!AU33*'Data Training 1'!AU40*'Data Training 1'!AU44*'Data Training 1'!AU52*'Data Training 1'!AU58*'Data Training 1'!AU62*'Data Training 1'!AU69*'Data Training 1'!AU75*'Data Training 1'!AU81*'Data Training 1'!AU86*'Data Training 1'!AU91*'Data Training 1'!AU100*'Data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1'!AU188*'Data Training 1'!AU192*'Data Training 1'!AU195*'Data Training 1'!AU199*'Data Training 1'!AU203*'Data Training 1'!AU207*'Data Training 1'!AU211*'Data Training 1'!AU216</f>
        <v>0</v>
      </c>
    </row>
    <row r="26" spans="1:79">
      <c r="A26" s="6">
        <f t="shared" si="0"/>
        <v>25</v>
      </c>
      <c r="B26" s="6" t="s">
        <v>324</v>
      </c>
      <c r="C26" s="6">
        <v>5</v>
      </c>
      <c r="D26" s="6" t="s">
        <v>5</v>
      </c>
      <c r="E26" s="6" t="s">
        <v>3</v>
      </c>
      <c r="F26" s="6" t="s">
        <v>3</v>
      </c>
      <c r="G26" s="6" t="s">
        <v>5</v>
      </c>
      <c r="H26" s="6" t="s">
        <v>5</v>
      </c>
      <c r="I26" s="6" t="s">
        <v>5</v>
      </c>
      <c r="J26" s="6" t="s">
        <v>5</v>
      </c>
      <c r="K26" s="6" t="s">
        <v>2</v>
      </c>
      <c r="L26" s="6" t="s">
        <v>2</v>
      </c>
      <c r="M26" s="6" t="s">
        <v>5</v>
      </c>
      <c r="N26" s="6" t="s">
        <v>3</v>
      </c>
      <c r="O26" s="6" t="s">
        <v>2</v>
      </c>
      <c r="P26" s="6" t="s">
        <v>5</v>
      </c>
      <c r="Q26" s="6" t="s">
        <v>2</v>
      </c>
      <c r="R26" s="6" t="s">
        <v>3</v>
      </c>
      <c r="S26" s="6" t="s">
        <v>5</v>
      </c>
      <c r="T26" s="6" t="s">
        <v>5</v>
      </c>
      <c r="U26" s="6" t="s">
        <v>5</v>
      </c>
      <c r="V26" s="6" t="s">
        <v>5</v>
      </c>
      <c r="W26" s="6" t="s">
        <v>3</v>
      </c>
      <c r="X26" s="6" t="s">
        <v>4</v>
      </c>
      <c r="Y26" s="6" t="s">
        <v>2</v>
      </c>
      <c r="Z26" s="6" t="s">
        <v>3</v>
      </c>
      <c r="AA26" s="6" t="s">
        <v>4</v>
      </c>
      <c r="AB26" s="6" t="s">
        <v>4</v>
      </c>
      <c r="AC26" s="6" t="s">
        <v>4</v>
      </c>
      <c r="AD26" s="6" t="s">
        <v>4</v>
      </c>
      <c r="AE26" s="6" t="s">
        <v>4</v>
      </c>
      <c r="AF26" s="6" t="s">
        <v>4</v>
      </c>
      <c r="AG26" s="6" t="s">
        <v>3</v>
      </c>
      <c r="AH26" s="6" t="s">
        <v>4</v>
      </c>
      <c r="AI26" s="6" t="s">
        <v>3</v>
      </c>
      <c r="AJ26" s="6" t="s">
        <v>4</v>
      </c>
      <c r="AK26" s="6" t="s">
        <v>4</v>
      </c>
      <c r="AL26" s="6" t="s">
        <v>4</v>
      </c>
      <c r="AM26" s="6" t="s">
        <v>3</v>
      </c>
      <c r="AO26" s="6" t="s">
        <v>506</v>
      </c>
      <c r="AP26" s="6"/>
      <c r="AQ26" s="6">
        <f>'Data Training 1'!AW24*'Data Training 1'!AV33*'Data Training 1'!AV40*'Data Training 1'!AV44*'Data Training 1'!AV52*'Data Training 1'!AV58*'Data Training 1'!AV62*'Data Training 1'!AV69*'Data Training 1'!AV75*'Data Training 1'!AV81*'Data Training 1'!AV86*'Data Training 1'!AV91*'Data Training 1'!AV100*'Data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1'!AV188*'Data Training 1'!AV192*'Data Training 1'!AV195*'Data Training 1'!AV199*'Data Training 1'!AV203*'Data Training 1'!AV207*'Data Training 1'!AV211*'Data Training 1'!AV216</f>
        <v>0</v>
      </c>
    </row>
    <row r="27" spans="1:79">
      <c r="A27" s="6">
        <f t="shared" si="0"/>
        <v>26</v>
      </c>
      <c r="B27" s="6" t="s">
        <v>325</v>
      </c>
      <c r="C27" s="6">
        <v>5</v>
      </c>
      <c r="D27" s="6" t="s">
        <v>5</v>
      </c>
      <c r="E27" s="6" t="s">
        <v>3</v>
      </c>
      <c r="F27" s="6" t="s">
        <v>5</v>
      </c>
      <c r="G27" s="6" t="s">
        <v>5</v>
      </c>
      <c r="H27" s="6" t="s">
        <v>5</v>
      </c>
      <c r="I27" s="6" t="s">
        <v>5</v>
      </c>
      <c r="J27" s="6" t="s">
        <v>5</v>
      </c>
      <c r="K27" s="6" t="s">
        <v>2</v>
      </c>
      <c r="L27" s="6" t="s">
        <v>2</v>
      </c>
      <c r="M27" s="6" t="s">
        <v>4</v>
      </c>
      <c r="N27" s="6" t="s">
        <v>4</v>
      </c>
      <c r="O27" s="6" t="s">
        <v>3</v>
      </c>
      <c r="P27" s="6" t="s">
        <v>5</v>
      </c>
      <c r="Q27" s="6" t="s">
        <v>2</v>
      </c>
      <c r="R27" s="6" t="s">
        <v>5</v>
      </c>
      <c r="S27" s="6" t="s">
        <v>2</v>
      </c>
      <c r="T27" s="6" t="s">
        <v>2</v>
      </c>
      <c r="U27" s="6" t="s">
        <v>5</v>
      </c>
      <c r="V27" s="6" t="s">
        <v>4</v>
      </c>
      <c r="W27" s="6" t="s">
        <v>3</v>
      </c>
      <c r="X27" s="6" t="s">
        <v>3</v>
      </c>
      <c r="Y27" s="6" t="s">
        <v>4</v>
      </c>
      <c r="Z27" s="6" t="s">
        <v>3</v>
      </c>
      <c r="AA27" s="6" t="s">
        <v>4</v>
      </c>
      <c r="AB27" s="6" t="s">
        <v>4</v>
      </c>
      <c r="AC27" s="6" t="s">
        <v>4</v>
      </c>
      <c r="AD27" s="6" t="s">
        <v>4</v>
      </c>
      <c r="AE27" s="6" t="s">
        <v>4</v>
      </c>
      <c r="AF27" s="6" t="s">
        <v>3</v>
      </c>
      <c r="AG27" s="6" t="s">
        <v>3</v>
      </c>
      <c r="AH27" s="6" t="s">
        <v>4</v>
      </c>
      <c r="AI27" s="6" t="s">
        <v>3</v>
      </c>
      <c r="AJ27" s="6" t="s">
        <v>4</v>
      </c>
      <c r="AK27" s="6" t="s">
        <v>4</v>
      </c>
      <c r="AL27" s="6" t="s">
        <v>4</v>
      </c>
      <c r="AM27" s="6" t="s">
        <v>3</v>
      </c>
      <c r="AO27" s="6" t="s">
        <v>507</v>
      </c>
      <c r="AP27" s="52"/>
      <c r="AQ27" s="6">
        <f>'Data Training 1'!AW25*'Data Training 1'!AW33*'Data Training 1'!AW40*'Data Training 1'!AW44*'Data Training 1'!AW52*'Data Training 1'!AW58*'Data Training 1'!AW62*'Data Training 1'!AW69*'Data Training 1'!AW75*'Data Training 1'!AW81*'Data Training 1'!AW86*'Data Training 1'!AW91*'Data Training 1'!AW100*'Data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1'!AW188*'Data Training 1'!AW192*'Data Training 1'!AW195*'Data Training 1'!AW199*'Data Training 1'!AW203*'Data Training 1'!AW207*'Data Training 1'!AW211*'Data Training 1'!AW216</f>
        <v>0</v>
      </c>
    </row>
    <row r="28" spans="1:79">
      <c r="A28" s="6">
        <f t="shared" si="0"/>
        <v>27</v>
      </c>
      <c r="B28" s="6" t="s">
        <v>326</v>
      </c>
      <c r="C28" s="6">
        <v>5</v>
      </c>
      <c r="D28" s="6" t="s">
        <v>5</v>
      </c>
      <c r="E28" s="6" t="s">
        <v>5</v>
      </c>
      <c r="F28" s="6" t="s">
        <v>2</v>
      </c>
      <c r="G28" s="6" t="s">
        <v>5</v>
      </c>
      <c r="H28" s="6" t="s">
        <v>5</v>
      </c>
      <c r="I28" s="6" t="s">
        <v>3</v>
      </c>
      <c r="J28" s="6" t="s">
        <v>5</v>
      </c>
      <c r="K28" s="6" t="s">
        <v>2</v>
      </c>
      <c r="L28" s="6" t="s">
        <v>2</v>
      </c>
      <c r="M28" s="6" t="s">
        <v>2</v>
      </c>
      <c r="N28" s="6" t="s">
        <v>2</v>
      </c>
      <c r="O28" s="6" t="s">
        <v>2</v>
      </c>
      <c r="P28" s="6" t="s">
        <v>2</v>
      </c>
      <c r="Q28" s="6" t="s">
        <v>3</v>
      </c>
      <c r="R28" s="6" t="s">
        <v>3</v>
      </c>
      <c r="S28" s="6" t="s">
        <v>5</v>
      </c>
      <c r="T28" s="6" t="s">
        <v>5</v>
      </c>
      <c r="U28" s="6" t="s">
        <v>5</v>
      </c>
      <c r="V28" s="6" t="s">
        <v>5</v>
      </c>
      <c r="W28" s="6" t="s">
        <v>3</v>
      </c>
      <c r="X28" s="6" t="s">
        <v>3</v>
      </c>
      <c r="Y28" s="6" t="s">
        <v>2</v>
      </c>
      <c r="Z28" s="6" t="s">
        <v>3</v>
      </c>
      <c r="AA28" s="6" t="s">
        <v>4</v>
      </c>
      <c r="AB28" s="6" t="s">
        <v>4</v>
      </c>
      <c r="AC28" s="6" t="s">
        <v>4</v>
      </c>
      <c r="AD28" s="6" t="s">
        <v>4</v>
      </c>
      <c r="AE28" s="6" t="s">
        <v>4</v>
      </c>
      <c r="AF28" s="6" t="s">
        <v>3</v>
      </c>
      <c r="AG28" s="6" t="s">
        <v>3</v>
      </c>
      <c r="AH28" s="6" t="s">
        <v>4</v>
      </c>
      <c r="AI28" s="6" t="s">
        <v>3</v>
      </c>
      <c r="AJ28" s="6" t="s">
        <v>3</v>
      </c>
      <c r="AK28" s="6" t="s">
        <v>4</v>
      </c>
      <c r="AL28" s="6" t="s">
        <v>3</v>
      </c>
      <c r="AM28" s="6" t="s">
        <v>3</v>
      </c>
      <c r="AO28" s="6" t="s">
        <v>508</v>
      </c>
      <c r="AP28" s="6"/>
      <c r="AQ28" s="6">
        <f>'Data Training 1'!AW26*'Data Training 1'!AX33*'Data Training 1'!AX40*'Data Training 1'!AX44*'Data Training 1'!AX52*'Data Training 1'!AX58*'Data Training 1'!AX62*'Data Training 1'!AX69*'Data Training 1'!AX75*'Data Training 1'!AX81*'Data Training 1'!AX86*'Data Training 1'!AX91*'Data Training 1'!AX100*'Data Training 1'!AX106*'Data Training 1'!AX110*'Data Training 1'!AX116*'Data Training 1'!AX124*'Data Training 1'!AX130*'Data Training 1'!AX136*'Data Training 1'!AX142*'Data Training 1'!AX145*'Data Training 1'!AX152*'Data Training 1'!AX159*'Data Training 1'!AX164*'Data Training 1'!AX167*'Data Training 1'!AX171*'Data Training 1'!AX175*'Data Training 1'!AX179*'Data Training 1'!AX183*'Data Training 1'!AX188*'Data Training 1'!AX192*'Data Training 1'!AX195*'Data Training 1'!AX199*'Data Training 1'!AX203*'Data Training 1'!AX207*'Data Training 1'!AX211*'Data Training 1'!AX216</f>
        <v>0</v>
      </c>
    </row>
    <row r="29" spans="1:79">
      <c r="A29" s="6">
        <f t="shared" si="0"/>
        <v>28</v>
      </c>
      <c r="B29" s="6" t="s">
        <v>479</v>
      </c>
      <c r="C29" s="6">
        <v>5</v>
      </c>
      <c r="D29" s="6" t="s">
        <v>2</v>
      </c>
      <c r="E29" s="6" t="s">
        <v>3</v>
      </c>
      <c r="F29" s="6" t="s">
        <v>5</v>
      </c>
      <c r="G29" s="6" t="s">
        <v>5</v>
      </c>
      <c r="H29" s="6" t="s">
        <v>5</v>
      </c>
      <c r="I29" s="6" t="s">
        <v>5</v>
      </c>
      <c r="J29" s="6" t="s">
        <v>5</v>
      </c>
      <c r="K29" s="6" t="s">
        <v>2</v>
      </c>
      <c r="L29" s="6" t="s">
        <v>3</v>
      </c>
      <c r="M29" s="6" t="s">
        <v>3</v>
      </c>
      <c r="N29" s="6" t="s">
        <v>5</v>
      </c>
      <c r="O29" s="6" t="s">
        <v>2</v>
      </c>
      <c r="P29" s="6" t="s">
        <v>5</v>
      </c>
      <c r="Q29" s="6" t="s">
        <v>2</v>
      </c>
      <c r="R29" s="6" t="s">
        <v>2</v>
      </c>
      <c r="S29" s="6" t="s">
        <v>5</v>
      </c>
      <c r="T29" s="6" t="s">
        <v>5</v>
      </c>
      <c r="U29" s="6" t="s">
        <v>5</v>
      </c>
      <c r="V29" s="6" t="s">
        <v>3</v>
      </c>
      <c r="W29" s="6" t="s">
        <v>3</v>
      </c>
      <c r="X29" s="6" t="s">
        <v>4</v>
      </c>
      <c r="Y29" s="6" t="s">
        <v>2</v>
      </c>
      <c r="Z29" s="6" t="s">
        <v>3</v>
      </c>
      <c r="AA29" s="6" t="s">
        <v>4</v>
      </c>
      <c r="AB29" s="6" t="s">
        <v>4</v>
      </c>
      <c r="AC29" s="6" t="s">
        <v>4</v>
      </c>
      <c r="AD29" s="6" t="s">
        <v>4</v>
      </c>
      <c r="AE29" s="6" t="s">
        <v>4</v>
      </c>
      <c r="AF29" s="6" t="s">
        <v>3</v>
      </c>
      <c r="AG29" s="6" t="s">
        <v>3</v>
      </c>
      <c r="AH29" s="6" t="s">
        <v>4</v>
      </c>
      <c r="AI29" s="6" t="s">
        <v>3</v>
      </c>
      <c r="AJ29" s="6" t="s">
        <v>4</v>
      </c>
      <c r="AK29" s="6" t="s">
        <v>4</v>
      </c>
      <c r="AL29" s="6" t="s">
        <v>4</v>
      </c>
      <c r="AM29" s="6" t="s">
        <v>3</v>
      </c>
      <c r="AO29" s="28" t="s">
        <v>512</v>
      </c>
      <c r="AP29" s="60"/>
      <c r="AQ29" s="28">
        <f>'Data Training 1'!AW27*'Data Training 1'!AY33*'Data Training 1'!AY40*'Data Training 1'!AY44*'Data Training 1'!AY52*'Data Training 1'!AY58*'Data Training 1'!AY62*'Data Training 1'!AY69*'Data Training 1'!AY75*'Data Training 1'!AY81*'Data Training 1'!AY86*'Data Training 1'!AY91*'Data Training 1'!AY100*'Data Training 1'!AY106*'Data Training 1'!AY110*'Data Training 1'!AY116*'Data Training 1'!AY124*'Data Training 1'!AY130*'Data Training 1'!AY136*'Data Training 1'!AY142*'Data Training 1'!AY145*'Data Training 1'!AY152*'Data Training 1'!AY159*'Data Training 1'!AY164*'Data Training 1'!AY167*'Data Training 1'!AY171*'Data Training 1'!AY175*'Data Training 1'!AY179*'Data Training 1'!AY183*'Data Training 1'!AY188*'Data Training 1'!AY192*'Data Training 1'!AY195*'Data Training 1'!AY199*'Data Training 1'!AY203*'Data Training 1'!AY207*'Data Training 1'!AY211*'Data Training 1'!AY216</f>
        <v>0</v>
      </c>
    </row>
    <row r="30" spans="1:79">
      <c r="A30" s="6">
        <f t="shared" si="0"/>
        <v>29</v>
      </c>
      <c r="B30" s="6" t="s">
        <v>480</v>
      </c>
      <c r="C30" s="6">
        <v>5</v>
      </c>
      <c r="D30" s="6" t="s">
        <v>2</v>
      </c>
      <c r="E30" s="6" t="s">
        <v>3</v>
      </c>
      <c r="F30" s="6" t="s">
        <v>4</v>
      </c>
      <c r="G30" s="6" t="s">
        <v>5</v>
      </c>
      <c r="H30" s="6" t="s">
        <v>5</v>
      </c>
      <c r="I30" s="6" t="s">
        <v>3</v>
      </c>
      <c r="J30" s="6" t="s">
        <v>5</v>
      </c>
      <c r="K30" s="6" t="s">
        <v>2</v>
      </c>
      <c r="L30" s="6" t="s">
        <v>3</v>
      </c>
      <c r="M30" s="6" t="s">
        <v>2</v>
      </c>
      <c r="N30" s="6" t="s">
        <v>2</v>
      </c>
      <c r="O30" s="6" t="s">
        <v>5</v>
      </c>
      <c r="P30" s="6" t="s">
        <v>5</v>
      </c>
      <c r="Q30" s="6" t="s">
        <v>2</v>
      </c>
      <c r="R30" s="6" t="s">
        <v>5</v>
      </c>
      <c r="S30" s="6" t="s">
        <v>5</v>
      </c>
      <c r="T30" s="6" t="s">
        <v>3</v>
      </c>
      <c r="U30" s="6" t="s">
        <v>5</v>
      </c>
      <c r="V30" s="6" t="s">
        <v>2</v>
      </c>
      <c r="W30" s="6" t="s">
        <v>4</v>
      </c>
      <c r="X30" s="6" t="s">
        <v>4</v>
      </c>
      <c r="Y30" s="6" t="s">
        <v>2</v>
      </c>
      <c r="Z30" s="6" t="s">
        <v>3</v>
      </c>
      <c r="AA30" s="6" t="s">
        <v>4</v>
      </c>
      <c r="AB30" s="6" t="s">
        <v>4</v>
      </c>
      <c r="AC30" s="6" t="s">
        <v>4</v>
      </c>
      <c r="AD30" s="6" t="s">
        <v>4</v>
      </c>
      <c r="AE30" s="6" t="s">
        <v>4</v>
      </c>
      <c r="AF30" s="6" t="s">
        <v>4</v>
      </c>
      <c r="AG30" s="6" t="s">
        <v>3</v>
      </c>
      <c r="AH30" s="6" t="s">
        <v>4</v>
      </c>
      <c r="AI30" s="6" t="s">
        <v>3</v>
      </c>
      <c r="AJ30" s="6" t="s">
        <v>4</v>
      </c>
      <c r="AK30" s="6" t="s">
        <v>4</v>
      </c>
      <c r="AL30" s="6" t="s">
        <v>3</v>
      </c>
      <c r="AM30" s="6" t="s">
        <v>3</v>
      </c>
      <c r="AO30" s="80" t="s">
        <v>437</v>
      </c>
      <c r="AP30" s="80"/>
      <c r="AQ30" s="6" t="s">
        <v>285</v>
      </c>
      <c r="AR30" s="81" t="s">
        <v>438</v>
      </c>
      <c r="AS30" s="81"/>
      <c r="AT30" s="81"/>
    </row>
    <row r="31" spans="1:79">
      <c r="A31" s="6">
        <f t="shared" si="0"/>
        <v>30</v>
      </c>
      <c r="B31" s="6" t="s">
        <v>496</v>
      </c>
      <c r="C31" s="6">
        <v>5</v>
      </c>
      <c r="D31" s="6" t="s">
        <v>5</v>
      </c>
      <c r="E31" s="6" t="s">
        <v>5</v>
      </c>
      <c r="F31" s="6" t="s">
        <v>3</v>
      </c>
      <c r="G31" s="6" t="s">
        <v>5</v>
      </c>
      <c r="H31" s="6" t="s">
        <v>5</v>
      </c>
      <c r="I31" s="6" t="s">
        <v>5</v>
      </c>
      <c r="J31" s="6" t="s">
        <v>5</v>
      </c>
      <c r="K31" s="6" t="s">
        <v>2</v>
      </c>
      <c r="L31" s="6" t="s">
        <v>2</v>
      </c>
      <c r="M31" s="6" t="s">
        <v>5</v>
      </c>
      <c r="N31" s="6" t="s">
        <v>2</v>
      </c>
      <c r="O31" s="6" t="s">
        <v>2</v>
      </c>
      <c r="P31" s="6" t="s">
        <v>4</v>
      </c>
      <c r="Q31" s="6" t="s">
        <v>3</v>
      </c>
      <c r="R31" s="6" t="s">
        <v>2</v>
      </c>
      <c r="S31" s="6" t="s">
        <v>5</v>
      </c>
      <c r="T31" s="6" t="s">
        <v>5</v>
      </c>
      <c r="U31" s="6" t="s">
        <v>5</v>
      </c>
      <c r="V31" s="6" t="s">
        <v>3</v>
      </c>
      <c r="W31" s="6" t="s">
        <v>3</v>
      </c>
      <c r="X31" s="6" t="s">
        <v>3</v>
      </c>
      <c r="Y31" s="6" t="s">
        <v>4</v>
      </c>
      <c r="Z31" s="6" t="s">
        <v>3</v>
      </c>
      <c r="AA31" s="6" t="s">
        <v>4</v>
      </c>
      <c r="AB31" s="6" t="s">
        <v>4</v>
      </c>
      <c r="AC31" s="6" t="s">
        <v>4</v>
      </c>
      <c r="AD31" s="6" t="s">
        <v>4</v>
      </c>
      <c r="AE31" s="6" t="s">
        <v>4</v>
      </c>
      <c r="AF31" s="6" t="s">
        <v>3</v>
      </c>
      <c r="AG31" s="6" t="s">
        <v>3</v>
      </c>
      <c r="AH31" s="6" t="s">
        <v>4</v>
      </c>
      <c r="AI31" s="6" t="s">
        <v>3</v>
      </c>
      <c r="AJ31" s="6" t="s">
        <v>4</v>
      </c>
      <c r="AK31" s="6" t="s">
        <v>4</v>
      </c>
      <c r="AL31" s="6" t="s">
        <v>3</v>
      </c>
      <c r="AM31" s="6" t="s">
        <v>3</v>
      </c>
      <c r="AP31" s="3"/>
    </row>
    <row r="32" spans="1:79">
      <c r="A32" s="6">
        <f t="shared" si="0"/>
        <v>31</v>
      </c>
      <c r="B32" s="6" t="s">
        <v>430</v>
      </c>
      <c r="C32" s="6">
        <v>6</v>
      </c>
      <c r="D32" s="6" t="s">
        <v>5</v>
      </c>
      <c r="E32" s="6" t="s">
        <v>5</v>
      </c>
      <c r="F32" s="6" t="s">
        <v>3</v>
      </c>
      <c r="G32" s="6" t="s">
        <v>5</v>
      </c>
      <c r="H32" s="6" t="s">
        <v>5</v>
      </c>
      <c r="I32" s="6" t="s">
        <v>5</v>
      </c>
      <c r="J32" s="6" t="s">
        <v>5</v>
      </c>
      <c r="K32" s="6" t="s">
        <v>2</v>
      </c>
      <c r="L32" s="6" t="s">
        <v>2</v>
      </c>
      <c r="M32" s="6" t="s">
        <v>4</v>
      </c>
      <c r="N32" s="6" t="s">
        <v>4</v>
      </c>
      <c r="O32" s="6" t="s">
        <v>4</v>
      </c>
      <c r="P32" s="6" t="s">
        <v>5</v>
      </c>
      <c r="Q32" s="6" t="s">
        <v>4</v>
      </c>
      <c r="R32" s="6" t="s">
        <v>5</v>
      </c>
      <c r="S32" s="6" t="s">
        <v>5</v>
      </c>
      <c r="T32" s="6" t="s">
        <v>5</v>
      </c>
      <c r="U32" s="6" t="s">
        <v>5</v>
      </c>
      <c r="V32" s="6" t="s">
        <v>3</v>
      </c>
      <c r="W32" s="6" t="s">
        <v>5</v>
      </c>
      <c r="X32" s="6" t="s">
        <v>2</v>
      </c>
      <c r="Y32" s="6" t="s">
        <v>2</v>
      </c>
      <c r="Z32" s="6" t="s">
        <v>3</v>
      </c>
      <c r="AA32" s="6" t="s">
        <v>4</v>
      </c>
      <c r="AB32" s="6" t="s">
        <v>4</v>
      </c>
      <c r="AC32" s="6" t="s">
        <v>4</v>
      </c>
      <c r="AD32" s="6" t="s">
        <v>4</v>
      </c>
      <c r="AE32" s="6" t="s">
        <v>4</v>
      </c>
      <c r="AF32" s="6" t="s">
        <v>4</v>
      </c>
      <c r="AG32" s="6" t="s">
        <v>3</v>
      </c>
      <c r="AH32" s="6" t="s">
        <v>4</v>
      </c>
      <c r="AI32" s="6" t="s">
        <v>3</v>
      </c>
      <c r="AJ32" s="6" t="s">
        <v>3</v>
      </c>
      <c r="AK32" s="6" t="s">
        <v>4</v>
      </c>
      <c r="AL32" s="6" t="s">
        <v>3</v>
      </c>
      <c r="AM32" s="6" t="s">
        <v>3</v>
      </c>
      <c r="AO32" s="84" t="s">
        <v>484</v>
      </c>
      <c r="AP32" s="84"/>
      <c r="AQ32" s="7" t="s">
        <v>64</v>
      </c>
      <c r="AR32" s="51" t="s">
        <v>43</v>
      </c>
      <c r="AS32" s="51" t="s">
        <v>44</v>
      </c>
      <c r="AT32" s="51" t="s">
        <v>45</v>
      </c>
      <c r="AU32" s="51" t="s">
        <v>46</v>
      </c>
      <c r="AV32" s="51" t="s">
        <v>47</v>
      </c>
      <c r="AW32" s="51" t="s">
        <v>48</v>
      </c>
      <c r="AX32" s="51" t="s">
        <v>49</v>
      </c>
      <c r="AY32" s="51" t="s">
        <v>50</v>
      </c>
      <c r="AZ32" s="51" t="s">
        <v>51</v>
      </c>
      <c r="BA32" s="51" t="s">
        <v>52</v>
      </c>
      <c r="BB32" s="51" t="s">
        <v>53</v>
      </c>
      <c r="BC32" s="51" t="s">
        <v>54</v>
      </c>
      <c r="BD32" s="51" t="s">
        <v>55</v>
      </c>
      <c r="BE32" s="51" t="s">
        <v>56</v>
      </c>
      <c r="BF32" s="51" t="s">
        <v>57</v>
      </c>
      <c r="BG32" s="51" t="s">
        <v>58</v>
      </c>
      <c r="BH32" s="51" t="s">
        <v>59</v>
      </c>
      <c r="BI32" s="51" t="s">
        <v>60</v>
      </c>
      <c r="BJ32" s="51" t="s">
        <v>61</v>
      </c>
      <c r="BK32" s="51" t="s">
        <v>62</v>
      </c>
      <c r="BL32" s="51" t="s">
        <v>63</v>
      </c>
      <c r="BM32" s="51" t="s">
        <v>330</v>
      </c>
      <c r="BN32" s="51" t="s">
        <v>331</v>
      </c>
      <c r="BO32" s="51" t="s">
        <v>332</v>
      </c>
      <c r="BP32" s="51" t="s">
        <v>333</v>
      </c>
      <c r="BQ32" s="51" t="s">
        <v>334</v>
      </c>
      <c r="BR32" s="51" t="s">
        <v>335</v>
      </c>
      <c r="BS32" s="51" t="s">
        <v>336</v>
      </c>
      <c r="BT32" s="51" t="s">
        <v>337</v>
      </c>
      <c r="BU32" s="51" t="s">
        <v>338</v>
      </c>
      <c r="BV32" s="51" t="s">
        <v>339</v>
      </c>
      <c r="BW32" s="51" t="s">
        <v>340</v>
      </c>
      <c r="BX32" s="51" t="s">
        <v>341</v>
      </c>
      <c r="BY32" s="51" t="s">
        <v>342</v>
      </c>
      <c r="BZ32" s="51" t="s">
        <v>343</v>
      </c>
      <c r="CA32" s="51" t="s">
        <v>390</v>
      </c>
    </row>
    <row r="33" spans="1:79">
      <c r="A33" s="6">
        <f t="shared" si="0"/>
        <v>32</v>
      </c>
      <c r="B33" s="6" t="s">
        <v>327</v>
      </c>
      <c r="C33" s="6">
        <v>6</v>
      </c>
      <c r="D33" s="6" t="s">
        <v>4</v>
      </c>
      <c r="E33" s="6" t="s">
        <v>5</v>
      </c>
      <c r="F33" s="6" t="s">
        <v>2</v>
      </c>
      <c r="G33" s="6" t="s">
        <v>5</v>
      </c>
      <c r="H33" s="6" t="s">
        <v>5</v>
      </c>
      <c r="I33" s="6" t="s">
        <v>5</v>
      </c>
      <c r="J33" s="6" t="s">
        <v>2</v>
      </c>
      <c r="K33" s="6" t="s">
        <v>2</v>
      </c>
      <c r="L33" s="6" t="s">
        <v>2</v>
      </c>
      <c r="M33" s="6" t="s">
        <v>4</v>
      </c>
      <c r="N33" s="6" t="s">
        <v>2</v>
      </c>
      <c r="O33" s="6" t="s">
        <v>5</v>
      </c>
      <c r="P33" s="6" t="s">
        <v>5</v>
      </c>
      <c r="Q33" s="6" t="s">
        <v>4</v>
      </c>
      <c r="R33" s="6" t="s">
        <v>5</v>
      </c>
      <c r="S33" s="6" t="s">
        <v>5</v>
      </c>
      <c r="T33" s="6" t="s">
        <v>5</v>
      </c>
      <c r="U33" s="6" t="s">
        <v>5</v>
      </c>
      <c r="V33" s="6" t="s">
        <v>5</v>
      </c>
      <c r="W33" s="6" t="s">
        <v>4</v>
      </c>
      <c r="X33" s="6" t="s">
        <v>3</v>
      </c>
      <c r="Y33" s="6" t="s">
        <v>2</v>
      </c>
      <c r="Z33" s="6" t="s">
        <v>3</v>
      </c>
      <c r="AA33" s="6" t="s">
        <v>4</v>
      </c>
      <c r="AB33" s="6" t="s">
        <v>4</v>
      </c>
      <c r="AC33" s="6" t="s">
        <v>4</v>
      </c>
      <c r="AD33" s="6" t="s">
        <v>3</v>
      </c>
      <c r="AE33" s="6" t="s">
        <v>4</v>
      </c>
      <c r="AF33" s="6" t="s">
        <v>3</v>
      </c>
      <c r="AG33" s="6" t="s">
        <v>3</v>
      </c>
      <c r="AH33" s="6" t="s">
        <v>3</v>
      </c>
      <c r="AI33" s="6" t="s">
        <v>3</v>
      </c>
      <c r="AJ33" s="6" t="s">
        <v>3</v>
      </c>
      <c r="AK33" s="6" t="s">
        <v>3</v>
      </c>
      <c r="AL33" s="6" t="s">
        <v>3</v>
      </c>
      <c r="AM33" s="6" t="s">
        <v>3</v>
      </c>
      <c r="AO33" s="84"/>
      <c r="AP33" s="84"/>
      <c r="AQ33" s="7">
        <v>1</v>
      </c>
      <c r="AR33" s="6" t="s">
        <v>5</v>
      </c>
      <c r="AS33" s="6" t="s">
        <v>3</v>
      </c>
      <c r="AT33" s="6" t="s">
        <v>2</v>
      </c>
      <c r="AU33" s="6" t="s">
        <v>3</v>
      </c>
      <c r="AV33" s="6" t="s">
        <v>5</v>
      </c>
      <c r="AW33" s="6" t="s">
        <v>5</v>
      </c>
      <c r="AX33" s="6" t="s">
        <v>5</v>
      </c>
      <c r="AY33" s="6" t="s">
        <v>2</v>
      </c>
      <c r="AZ33" s="6" t="s">
        <v>2</v>
      </c>
      <c r="BA33" s="6" t="s">
        <v>2</v>
      </c>
      <c r="BB33" s="6" t="s">
        <v>2</v>
      </c>
      <c r="BC33" s="6" t="s">
        <v>5</v>
      </c>
      <c r="BD33" s="6" t="s">
        <v>5</v>
      </c>
      <c r="BE33" s="6" t="s">
        <v>3</v>
      </c>
      <c r="BF33" s="6" t="s">
        <v>3</v>
      </c>
      <c r="BG33" s="6" t="s">
        <v>5</v>
      </c>
      <c r="BH33" s="6" t="s">
        <v>5</v>
      </c>
      <c r="BI33" s="6" t="s">
        <v>5</v>
      </c>
      <c r="BJ33" s="6" t="s">
        <v>5</v>
      </c>
      <c r="BK33" s="6" t="s">
        <v>4</v>
      </c>
      <c r="BL33" s="6" t="s">
        <v>4</v>
      </c>
      <c r="BM33" s="6" t="s">
        <v>4</v>
      </c>
      <c r="BN33" s="6" t="s">
        <v>3</v>
      </c>
      <c r="BO33" s="6" t="s">
        <v>3</v>
      </c>
      <c r="BP33" s="6" t="s">
        <v>3</v>
      </c>
      <c r="BQ33" s="6" t="s">
        <v>4</v>
      </c>
      <c r="BR33" s="6" t="s">
        <v>4</v>
      </c>
      <c r="BS33" s="6" t="s">
        <v>4</v>
      </c>
      <c r="BT33" s="6" t="s">
        <v>4</v>
      </c>
      <c r="BU33" s="6" t="s">
        <v>3</v>
      </c>
      <c r="BV33" s="6" t="s">
        <v>4</v>
      </c>
      <c r="BW33" s="6" t="s">
        <v>3</v>
      </c>
      <c r="BX33" s="6" t="s">
        <v>3</v>
      </c>
      <c r="BY33" s="6" t="s">
        <v>4</v>
      </c>
      <c r="BZ33" s="6" t="s">
        <v>4</v>
      </c>
      <c r="CA33" s="6" t="s">
        <v>3</v>
      </c>
    </row>
    <row r="34" spans="1:79">
      <c r="A34" s="6">
        <f t="shared" ref="A34:A55" si="1">ROW()-1</f>
        <v>33</v>
      </c>
      <c r="B34" s="6" t="s">
        <v>328</v>
      </c>
      <c r="C34" s="6">
        <v>6</v>
      </c>
      <c r="D34" s="6" t="s">
        <v>5</v>
      </c>
      <c r="E34" s="6" t="s">
        <v>5</v>
      </c>
      <c r="F34" s="6" t="s">
        <v>3</v>
      </c>
      <c r="G34" s="6" t="s">
        <v>2</v>
      </c>
      <c r="H34" s="6" t="s">
        <v>5</v>
      </c>
      <c r="I34" s="6" t="s">
        <v>5</v>
      </c>
      <c r="J34" s="6" t="s">
        <v>5</v>
      </c>
      <c r="K34" s="6" t="s">
        <v>5</v>
      </c>
      <c r="L34" s="6" t="s">
        <v>2</v>
      </c>
      <c r="M34" s="6" t="s">
        <v>4</v>
      </c>
      <c r="N34" s="6" t="s">
        <v>4</v>
      </c>
      <c r="O34" s="6" t="s">
        <v>2</v>
      </c>
      <c r="P34" s="6" t="s">
        <v>5</v>
      </c>
      <c r="Q34" s="6" t="s">
        <v>2</v>
      </c>
      <c r="R34" s="6" t="s">
        <v>2</v>
      </c>
      <c r="S34" s="6" t="s">
        <v>5</v>
      </c>
      <c r="T34" s="6" t="s">
        <v>3</v>
      </c>
      <c r="U34" s="6" t="s">
        <v>5</v>
      </c>
      <c r="V34" s="6" t="s">
        <v>3</v>
      </c>
      <c r="W34" s="6" t="s">
        <v>2</v>
      </c>
      <c r="X34" s="6" t="s">
        <v>2</v>
      </c>
      <c r="Y34" s="6" t="s">
        <v>5</v>
      </c>
      <c r="Z34" s="6" t="s">
        <v>3</v>
      </c>
      <c r="AA34" s="6" t="s">
        <v>4</v>
      </c>
      <c r="AB34" s="6" t="s">
        <v>4</v>
      </c>
      <c r="AC34" s="6" t="s">
        <v>4</v>
      </c>
      <c r="AD34" s="6" t="s">
        <v>3</v>
      </c>
      <c r="AE34" s="6" t="s">
        <v>4</v>
      </c>
      <c r="AF34" s="6" t="s">
        <v>3</v>
      </c>
      <c r="AG34" s="6" t="s">
        <v>3</v>
      </c>
      <c r="AH34" s="6" t="s">
        <v>3</v>
      </c>
      <c r="AI34" s="6" t="s">
        <v>3</v>
      </c>
      <c r="AJ34" s="6" t="s">
        <v>3</v>
      </c>
      <c r="AK34" s="6" t="s">
        <v>3</v>
      </c>
      <c r="AL34" s="6" t="s">
        <v>3</v>
      </c>
      <c r="AM34" s="6" t="s">
        <v>3</v>
      </c>
      <c r="AO34" s="82" t="s">
        <v>504</v>
      </c>
      <c r="AP34" s="82"/>
      <c r="AQ34" s="6">
        <f>'Data Training 1'!AW22*'Data Training 1'!AT34*'Data Training 1'!AT38*'Data Training 1'!AT45*'Data Training 1'!AT50*'Data Training 1'!AT58*'Data Training 1'!AT64*'Data Training 1'!AT70*'Data Training 1'!AT75*'Data Training 1'!AT81*'Data Training 1'!AT87*'Data Training 1'!AT93*'Data Training 1'!AT100*'Data Training 1'!AT106*'Data Training 1'!AT110*'Data Training 1'!AT116*'Data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1'!AT192*'Data Training 1'!AT195*'Data Training 1'!AT200*'Data Training 1'!AT204*'Data Training 1'!AT207*'Data Training 1'!AT211*'Data Training 1'!AT216</f>
        <v>4.7634565847363974E-11</v>
      </c>
    </row>
    <row r="35" spans="1:79">
      <c r="A35" s="6">
        <f t="shared" si="1"/>
        <v>34</v>
      </c>
      <c r="B35" s="6" t="s">
        <v>475</v>
      </c>
      <c r="C35" s="6">
        <v>6</v>
      </c>
      <c r="D35" s="6" t="s">
        <v>5</v>
      </c>
      <c r="E35" s="6" t="s">
        <v>5</v>
      </c>
      <c r="F35" s="6" t="s">
        <v>2</v>
      </c>
      <c r="G35" s="6" t="s">
        <v>5</v>
      </c>
      <c r="H35" s="6" t="s">
        <v>5</v>
      </c>
      <c r="I35" s="6" t="s">
        <v>5</v>
      </c>
      <c r="J35" s="6" t="s">
        <v>5</v>
      </c>
      <c r="K35" s="6" t="s">
        <v>5</v>
      </c>
      <c r="L35" s="6" t="s">
        <v>2</v>
      </c>
      <c r="M35" s="6" t="s">
        <v>4</v>
      </c>
      <c r="N35" s="6" t="s">
        <v>4</v>
      </c>
      <c r="O35" s="6" t="s">
        <v>5</v>
      </c>
      <c r="P35" s="6" t="s">
        <v>2</v>
      </c>
      <c r="Q35" s="6" t="s">
        <v>3</v>
      </c>
      <c r="R35" s="6" t="s">
        <v>5</v>
      </c>
      <c r="S35" s="6" t="s">
        <v>5</v>
      </c>
      <c r="T35" s="6" t="s">
        <v>3</v>
      </c>
      <c r="U35" s="6" t="s">
        <v>5</v>
      </c>
      <c r="V35" s="6" t="s">
        <v>5</v>
      </c>
      <c r="W35" s="6" t="s">
        <v>4</v>
      </c>
      <c r="X35" s="6" t="s">
        <v>3</v>
      </c>
      <c r="Y35" s="6" t="s">
        <v>2</v>
      </c>
      <c r="Z35" s="6" t="s">
        <v>3</v>
      </c>
      <c r="AA35" s="6" t="s">
        <v>4</v>
      </c>
      <c r="AB35" s="6" t="s">
        <v>4</v>
      </c>
      <c r="AC35" s="6" t="s">
        <v>3</v>
      </c>
      <c r="AD35" s="6" t="s">
        <v>4</v>
      </c>
      <c r="AE35" s="6" t="s">
        <v>4</v>
      </c>
      <c r="AF35" s="6" t="s">
        <v>4</v>
      </c>
      <c r="AG35" s="6" t="s">
        <v>3</v>
      </c>
      <c r="AH35" s="6" t="s">
        <v>4</v>
      </c>
      <c r="AI35" s="6" t="s">
        <v>3</v>
      </c>
      <c r="AJ35" s="6" t="s">
        <v>4</v>
      </c>
      <c r="AK35" s="6" t="s">
        <v>4</v>
      </c>
      <c r="AL35" s="6" t="s">
        <v>4</v>
      </c>
      <c r="AM35" s="6" t="s">
        <v>3</v>
      </c>
      <c r="AO35" s="82" t="s">
        <v>505</v>
      </c>
      <c r="AP35" s="82"/>
      <c r="AQ35" s="6">
        <f>'Data Training 1'!AW23*'Data Training 1'!AU34*'Data Training 1'!AU38*'Data Training 1'!AU45*'Data Training 1'!AU50*'Data Training 1'!AU58*'Data Training 1'!AU64*'Data Training 1'!AU70*'Data Training 1'!AU75*'Data Training 1'!AU81*'Data Training 1'!AU87*'Data Training 1'!AU93*'Data Training 1'!AU100*'Data Training 1'!AU106*'Data Training 1'!AU110*'Data Training 1'!AU116*'Data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1'!AU192*'Data Training 1'!AU195*'Data Training 1'!AU200*'Data Training 1'!AU204*'Data Training 1'!AU207*'Data Training 1'!AU211*'Data Training 1'!AU216</f>
        <v>2.201047628390461E-11</v>
      </c>
    </row>
    <row r="36" spans="1:79">
      <c r="A36" s="6">
        <f t="shared" si="1"/>
        <v>35</v>
      </c>
      <c r="B36" s="6" t="s">
        <v>477</v>
      </c>
      <c r="C36" s="6">
        <v>6</v>
      </c>
      <c r="D36" s="6" t="s">
        <v>5</v>
      </c>
      <c r="E36" s="6" t="s">
        <v>5</v>
      </c>
      <c r="F36" s="6" t="s">
        <v>3</v>
      </c>
      <c r="G36" s="6" t="s">
        <v>5</v>
      </c>
      <c r="H36" s="6" t="s">
        <v>5</v>
      </c>
      <c r="I36" s="6" t="s">
        <v>5</v>
      </c>
      <c r="J36" s="6" t="s">
        <v>5</v>
      </c>
      <c r="K36" s="6" t="s">
        <v>2</v>
      </c>
      <c r="L36" s="6" t="s">
        <v>2</v>
      </c>
      <c r="M36" s="6" t="s">
        <v>2</v>
      </c>
      <c r="N36" s="6" t="s">
        <v>2</v>
      </c>
      <c r="O36" s="6" t="s">
        <v>3</v>
      </c>
      <c r="P36" s="6" t="s">
        <v>5</v>
      </c>
      <c r="Q36" s="6" t="s">
        <v>3</v>
      </c>
      <c r="R36" s="6" t="s">
        <v>3</v>
      </c>
      <c r="S36" s="6" t="s">
        <v>5</v>
      </c>
      <c r="T36" s="6" t="s">
        <v>5</v>
      </c>
      <c r="U36" s="6" t="s">
        <v>5</v>
      </c>
      <c r="V36" s="6" t="s">
        <v>2</v>
      </c>
      <c r="W36" s="6" t="s">
        <v>3</v>
      </c>
      <c r="X36" s="6" t="s">
        <v>4</v>
      </c>
      <c r="Y36" s="6" t="s">
        <v>4</v>
      </c>
      <c r="Z36" s="6" t="s">
        <v>3</v>
      </c>
      <c r="AA36" s="6" t="s">
        <v>4</v>
      </c>
      <c r="AB36" s="6" t="s">
        <v>4</v>
      </c>
      <c r="AC36" s="6" t="s">
        <v>4</v>
      </c>
      <c r="AD36" s="6" t="s">
        <v>3</v>
      </c>
      <c r="AE36" s="6" t="s">
        <v>4</v>
      </c>
      <c r="AF36" s="6" t="s">
        <v>4</v>
      </c>
      <c r="AG36" s="6" t="s">
        <v>3</v>
      </c>
      <c r="AH36" s="6" t="s">
        <v>3</v>
      </c>
      <c r="AI36" s="6" t="s">
        <v>3</v>
      </c>
      <c r="AJ36" s="6" t="s">
        <v>3</v>
      </c>
      <c r="AK36" s="6" t="s">
        <v>3</v>
      </c>
      <c r="AL36" s="6" t="s">
        <v>3</v>
      </c>
      <c r="AM36" s="6" t="s">
        <v>3</v>
      </c>
      <c r="AO36" s="82" t="s">
        <v>506</v>
      </c>
      <c r="AP36" s="82"/>
      <c r="AQ36" s="6">
        <f>'Data Training 1'!AW24*'Data Training 1'!AV34*'Data Training 1'!AV38*'Data Training 1'!AV45*'Data Training 1'!AV50*'Data Training 1'!AV58*'Data Training 1'!AV64*'Data Training 1'!AV70*'Data Training 1'!AV75*'Data Training 1'!AV81*'Data Training 1'!AV87*'Data Training 1'!AV93*'Data Training 1'!AV100*'Data Training 1'!AV106*'Data Training 1'!AV110*'Data Training 1'!AV116*'Data Training 1'!AV124*'Data Training 1'!AV130*'Data Training 1'!AV136*'Data Training 1'!AV142*'Data Training 1'!AV145*'Data Training 1'!AV151*'Data Training 1'!AV157*'Data Training 1'!AV164*'Data Training 1'!AV168*'Data Training 1'!AV172*'Data Training 1'!AV175*'Data Training 1'!AV179*'Data Training 1'!AV183*'Data Training 1'!AV187*'Data Training 1'!AV192*'Data Training 1'!AV195*'Data Training 1'!AV200*'Data Training 1'!AV204*'Data Training 1'!AV207*'Data Training 1'!AV211*'Data Training 1'!AV216</f>
        <v>0</v>
      </c>
    </row>
    <row r="37" spans="1:79">
      <c r="A37" s="6">
        <f t="shared" si="1"/>
        <v>36</v>
      </c>
      <c r="B37" s="6" t="s">
        <v>488</v>
      </c>
      <c r="C37" s="6">
        <v>6</v>
      </c>
      <c r="D37" s="6" t="s">
        <v>5</v>
      </c>
      <c r="E37" s="6" t="s">
        <v>5</v>
      </c>
      <c r="F37" s="6" t="s">
        <v>4</v>
      </c>
      <c r="G37" s="6" t="s">
        <v>5</v>
      </c>
      <c r="H37" s="6" t="s">
        <v>5</v>
      </c>
      <c r="I37" s="6" t="s">
        <v>5</v>
      </c>
      <c r="J37" s="6" t="s">
        <v>5</v>
      </c>
      <c r="K37" s="6" t="s">
        <v>2</v>
      </c>
      <c r="L37" s="6" t="s">
        <v>3</v>
      </c>
      <c r="M37" s="6" t="s">
        <v>4</v>
      </c>
      <c r="N37" s="6" t="s">
        <v>3</v>
      </c>
      <c r="O37" s="6" t="s">
        <v>5</v>
      </c>
      <c r="P37" s="6" t="s">
        <v>5</v>
      </c>
      <c r="Q37" s="6" t="s">
        <v>3</v>
      </c>
      <c r="R37" s="6" t="s">
        <v>5</v>
      </c>
      <c r="S37" s="6" t="s">
        <v>5</v>
      </c>
      <c r="T37" s="6" t="s">
        <v>3</v>
      </c>
      <c r="U37" s="6" t="s">
        <v>5</v>
      </c>
      <c r="V37" s="6" t="s">
        <v>3</v>
      </c>
      <c r="W37" s="6" t="s">
        <v>4</v>
      </c>
      <c r="X37" s="6" t="s">
        <v>2</v>
      </c>
      <c r="Y37" s="6" t="s">
        <v>2</v>
      </c>
      <c r="Z37" s="6" t="s">
        <v>3</v>
      </c>
      <c r="AA37" s="6" t="s">
        <v>4</v>
      </c>
      <c r="AB37" s="6" t="s">
        <v>4</v>
      </c>
      <c r="AC37" s="6" t="s">
        <v>4</v>
      </c>
      <c r="AD37" s="6" t="s">
        <v>4</v>
      </c>
      <c r="AE37" s="6" t="s">
        <v>4</v>
      </c>
      <c r="AF37" s="6" t="s">
        <v>4</v>
      </c>
      <c r="AG37" s="6" t="s">
        <v>3</v>
      </c>
      <c r="AH37" s="6" t="s">
        <v>4</v>
      </c>
      <c r="AI37" s="6" t="s">
        <v>3</v>
      </c>
      <c r="AJ37" s="6" t="s">
        <v>3</v>
      </c>
      <c r="AK37" s="6" t="s">
        <v>4</v>
      </c>
      <c r="AL37" s="6" t="s">
        <v>3</v>
      </c>
      <c r="AM37" s="6" t="s">
        <v>3</v>
      </c>
      <c r="AO37" s="82" t="s">
        <v>507</v>
      </c>
      <c r="AP37" s="82"/>
      <c r="AQ37" s="6">
        <f>'Data Training 1'!AW25*'Data Training 1'!AW34*'Data Training 1'!AW38*'Data Training 1'!AW45*'Data Training 1'!AW50*'Data Training 1'!AW58*'Data Training 1'!AW64*'Data Training 1'!AW70*'Data Training 1'!AW75*'Data Training 1'!AW81*'Data Training 1'!AW87*'Data Training 1'!AW93*'Data Training 1'!AW100*'Data Training 1'!AW106*'Data Training 1'!AW110*'Data Training 1'!AW116*'Data Training 1'!AW124*'Data Training 1'!AW130*'Data Training 1'!AW136*'Data Training 1'!AW142*'Data Training 1'!AW145*'Data Training 1'!AW151*'Data Training 1'!AW157*'Data Training 1'!AW164*'Data Training 1'!AW168*'Data Training 1'!AW172*'Data Training 1'!AW175*'Data Training 1'!AW179*'Data Training 1'!AW183*'Data Training 1'!AW187*'Data Training 1'!AW192*'Data Training 1'!AW195*'Data Training 1'!AW200*'Data Training 1'!AW204*'Data Training 1'!AW207*'Data Training 1'!AW211*'Data Training 1'!AW216</f>
        <v>0</v>
      </c>
    </row>
    <row r="38" spans="1:79">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O38" s="82" t="s">
        <v>508</v>
      </c>
      <c r="AP38" s="82"/>
      <c r="AQ38" s="6">
        <f>'Data Training 1'!AW26*'Data Training 1'!AX34*'Data Training 1'!AX38*'Data Training 1'!AX45*'Data Training 1'!AX50*'Data Training 1'!AX58*'Data Training 1'!AX64*'Data Training 1'!AX70*'Data Training 1'!AX75*'Data Training 1'!AX81*'Data Training 1'!AX87*'Data Training 1'!AX93*'Data Training 1'!AX100*'Data Training 1'!AX106*'Data Training 1'!AX110*'Data Training 1'!AX116*'Data Training 1'!AX124*'Data Training 1'!AX130*'Data Training 1'!AX136*'Data Training 1'!AX142*'Data Training 1'!AX145*'Data Training 1'!AX151*'Data Training 1'!AX157*'Data Training 1'!AX164*'Data Training 1'!AX168*'Data Training 1'!AX172*'Data Training 1'!AX175*'Data Training 1'!AX179*'Data Training 1'!AX183*'Data Training 1'!AX187*'Data Training 1'!AX192*'Data Training 1'!AX195*'Data Training 1'!AX200*'Data Training 1'!AX204*'Data Training 1'!AX207*'Data Training 1'!AX211*'Data Training 1'!AX216</f>
        <v>0</v>
      </c>
    </row>
    <row r="39" spans="1:79">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O39" s="82" t="s">
        <v>509</v>
      </c>
      <c r="AP39" s="82"/>
      <c r="AQ39" s="6">
        <f>'Data Training 1'!AW27*'Data Training 1'!AY34*'Data Training 1'!AY38*'Data Training 1'!AY45*'Data Training 1'!AY50*'Data Training 1'!AY58*'Data Training 1'!AY64*'Data Training 1'!AY70*'Data Training 1'!AY75*'Data Training 1'!AY81*'Data Training 1'!AY87*'Data Training 1'!AY93*'Data Training 1'!AY100*'Data Training 1'!AY106*'Data Training 1'!AY110*'Data Training 1'!AY116*'Data Training 1'!AY124*'Data Training 1'!AY130*'Data Training 1'!AY136*'Data Training 1'!AY142*'Data Training 1'!AY145*'Data Training 1'!AY151*'Data Training 1'!AY157*'Data Training 1'!AY164*'Data Training 1'!AY168*'Data Training 1'!AY172*'Data Training 1'!AY175*'Data Training 1'!AY179*'Data Training 1'!AY183*'Data Training 1'!AY187*'Data Training 1'!AY192*'Data Training 1'!AY195*'Data Training 1'!AY200*'Data Training 1'!AY204*'Data Training 1'!AY207*'Data Training 1'!AY211*'Data Training 1'!AY216</f>
        <v>0</v>
      </c>
    </row>
    <row r="40" spans="1:79">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O40" s="80" t="s">
        <v>437</v>
      </c>
      <c r="AP40" s="80"/>
      <c r="AQ40" s="6" t="s">
        <v>285</v>
      </c>
      <c r="AR40" s="81" t="s">
        <v>438</v>
      </c>
      <c r="AS40" s="81"/>
      <c r="AT40" s="81"/>
    </row>
    <row r="41" spans="1:79">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P41" s="3"/>
    </row>
    <row r="42" spans="1:79">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O42" s="84" t="s">
        <v>460</v>
      </c>
      <c r="AP42" s="84"/>
      <c r="AQ42" s="7" t="s">
        <v>64</v>
      </c>
      <c r="AR42" s="51" t="s">
        <v>43</v>
      </c>
      <c r="AS42" s="51" t="s">
        <v>44</v>
      </c>
      <c r="AT42" s="51" t="s">
        <v>45</v>
      </c>
      <c r="AU42" s="51" t="s">
        <v>46</v>
      </c>
      <c r="AV42" s="51" t="s">
        <v>47</v>
      </c>
      <c r="AW42" s="51" t="s">
        <v>48</v>
      </c>
      <c r="AX42" s="51" t="s">
        <v>49</v>
      </c>
      <c r="AY42" s="51" t="s">
        <v>50</v>
      </c>
      <c r="AZ42" s="51" t="s">
        <v>51</v>
      </c>
      <c r="BA42" s="51" t="s">
        <v>52</v>
      </c>
      <c r="BB42" s="51" t="s">
        <v>53</v>
      </c>
      <c r="BC42" s="51" t="s">
        <v>54</v>
      </c>
      <c r="BD42" s="51" t="s">
        <v>55</v>
      </c>
      <c r="BE42" s="51" t="s">
        <v>56</v>
      </c>
      <c r="BF42" s="51" t="s">
        <v>57</v>
      </c>
      <c r="BG42" s="51" t="s">
        <v>58</v>
      </c>
      <c r="BH42" s="51" t="s">
        <v>59</v>
      </c>
      <c r="BI42" s="51" t="s">
        <v>60</v>
      </c>
      <c r="BJ42" s="51" t="s">
        <v>61</v>
      </c>
      <c r="BK42" s="51" t="s">
        <v>62</v>
      </c>
      <c r="BL42" s="51" t="s">
        <v>63</v>
      </c>
      <c r="BM42" s="51" t="s">
        <v>330</v>
      </c>
      <c r="BN42" s="51" t="s">
        <v>331</v>
      </c>
      <c r="BO42" s="51" t="s">
        <v>332</v>
      </c>
      <c r="BP42" s="51" t="s">
        <v>333</v>
      </c>
      <c r="BQ42" s="51" t="s">
        <v>334</v>
      </c>
      <c r="BR42" s="51" t="s">
        <v>335</v>
      </c>
      <c r="BS42" s="51" t="s">
        <v>336</v>
      </c>
      <c r="BT42" s="51" t="s">
        <v>337</v>
      </c>
      <c r="BU42" s="51" t="s">
        <v>338</v>
      </c>
      <c r="BV42" s="51" t="s">
        <v>339</v>
      </c>
      <c r="BW42" s="51" t="s">
        <v>340</v>
      </c>
      <c r="BX42" s="51" t="s">
        <v>341</v>
      </c>
      <c r="BY42" s="51" t="s">
        <v>342</v>
      </c>
      <c r="BZ42" s="51" t="s">
        <v>343</v>
      </c>
      <c r="CA42" s="51" t="s">
        <v>390</v>
      </c>
    </row>
    <row r="43" spans="1:79">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O43" s="84"/>
      <c r="AP43" s="84"/>
      <c r="AQ43" s="7">
        <v>1</v>
      </c>
      <c r="AR43" s="6" t="s">
        <v>5</v>
      </c>
      <c r="AS43" s="6" t="s">
        <v>3</v>
      </c>
      <c r="AT43" s="6" t="s">
        <v>4</v>
      </c>
      <c r="AU43" s="6" t="s">
        <v>3</v>
      </c>
      <c r="AV43" s="6" t="s">
        <v>5</v>
      </c>
      <c r="AW43" s="6" t="s">
        <v>5</v>
      </c>
      <c r="AX43" s="6" t="s">
        <v>5</v>
      </c>
      <c r="AY43" s="6" t="s">
        <v>2</v>
      </c>
      <c r="AZ43" s="6" t="s">
        <v>3</v>
      </c>
      <c r="BA43" s="6" t="s">
        <v>3</v>
      </c>
      <c r="BB43" s="6" t="s">
        <v>2</v>
      </c>
      <c r="BC43" s="6" t="s">
        <v>4</v>
      </c>
      <c r="BD43" s="6" t="s">
        <v>5</v>
      </c>
      <c r="BE43" s="6" t="s">
        <v>3</v>
      </c>
      <c r="BF43" s="6" t="s">
        <v>2</v>
      </c>
      <c r="BG43" s="6" t="s">
        <v>5</v>
      </c>
      <c r="BH43" s="6" t="s">
        <v>5</v>
      </c>
      <c r="BI43" s="6" t="s">
        <v>5</v>
      </c>
      <c r="BJ43" s="6" t="s">
        <v>5</v>
      </c>
      <c r="BK43" s="6" t="s">
        <v>4</v>
      </c>
      <c r="BL43" s="6" t="s">
        <v>4</v>
      </c>
      <c r="BM43" s="6" t="s">
        <v>4</v>
      </c>
      <c r="BN43" s="6" t="s">
        <v>3</v>
      </c>
      <c r="BO43" s="6" t="s">
        <v>3</v>
      </c>
      <c r="BP43" s="6" t="s">
        <v>3</v>
      </c>
      <c r="BQ43" s="6" t="s">
        <v>4</v>
      </c>
      <c r="BR43" s="6" t="s">
        <v>4</v>
      </c>
      <c r="BS43" s="6" t="s">
        <v>4</v>
      </c>
      <c r="BT43" s="6" t="s">
        <v>4</v>
      </c>
      <c r="BU43" s="6" t="s">
        <v>4</v>
      </c>
      <c r="BV43" s="6" t="s">
        <v>4</v>
      </c>
      <c r="BW43" s="6" t="s">
        <v>4</v>
      </c>
      <c r="BX43" s="6" t="s">
        <v>4</v>
      </c>
      <c r="BY43" s="6" t="s">
        <v>4</v>
      </c>
      <c r="BZ43" s="6" t="s">
        <v>4</v>
      </c>
      <c r="CA43" s="6" t="s">
        <v>3</v>
      </c>
    </row>
    <row r="44" spans="1:79">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O44" s="82" t="s">
        <v>504</v>
      </c>
      <c r="AP44" s="82"/>
      <c r="AQ44" s="6">
        <f>'Data Training 1'!AW22*'Data Training 1'!AT34*'Data Training 1'!AT38*'Data Training 1'!AT43*'Data Training 1'!AT50*'Data Training 1'!AT58*'Data Training 1'!AT64*'Data Training 1'!AT70*'Data Training 1'!AT75*'Data Training 1'!AT80*'Data Training 1'!AT86*'Data Training 1'!AT93*'Data Training 1'!AT97*'Data Training 1'!AT106*'Data Training 1'!AT110*'Data Training 1'!AT117*'Data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1'!AT191*'Data Training 1'!AT195*'Data Training 1'!AT199*'Data Training 1'!AT203*'Data Training 1'!AT207*'Data Training 1'!AT211*'Data Training 1'!AT216</f>
        <v>7.7745010421955084E-11</v>
      </c>
    </row>
    <row r="45" spans="1:79">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O45" s="82" t="s">
        <v>505</v>
      </c>
      <c r="AP45" s="82"/>
      <c r="AQ45" s="6">
        <f>'Data Training 1'!AW23*'Data Training 1'!AU34*'Data Training 1'!AU38*'Data Training 1'!AU43*'Data Training 1'!AU50*'Data Training 1'!AU58*'Data Training 1'!AU64*'Data Training 1'!AU70*'Data Training 1'!AU75*'Data Training 1'!AU80*'Data Training 1'!AU86*'Data Training 1'!AU93*'Data Training 1'!AU97*'Data Training 1'!AU106*'Data Training 1'!AU110*'Data Training 1'!AU117*'Data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1'!AU191*'Data Training 1'!AU195*'Data Training 1'!AU199*'Data Training 1'!AU203*'Data Training 1'!AU207*'Data Training 1'!AU211*'Data Training 1'!AU216</f>
        <v>4.9801481692875086E-12</v>
      </c>
    </row>
    <row r="46" spans="1:79">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O46" s="82" t="s">
        <v>506</v>
      </c>
      <c r="AP46" s="82"/>
      <c r="AQ46" s="6">
        <f>'Data Training 1'!AW24*'Data Training 1'!AV34*'Data Training 1'!AV38*'Data Training 1'!AV43*'Data Training 1'!AV50*'Data Training 1'!AV58*'Data Training 1'!AV64*'Data Training 1'!AV70*'Data Training 1'!AV75*'Data Training 1'!AV80*'Data Training 1'!AV86*'Data Training 1'!AV93*'Data Training 1'!AV97*'Data Training 1'!AV106*'Data Training 1'!AV110*'Data Training 1'!AV117*'Data Training 1'!AV124*'Data Training 1'!AV130*'Data Training 1'!AV136*'Data Training 1'!AV142*'Data Training 1'!AV145*'Data Training 1'!AV151*'Data Training 1'!AV157*'Data Training 1'!AV164*'Data Training 1'!AV168*'Data Training 1'!AV172*'Data Training 1'!AV175*'Data Training 1'!AV179*'Data Training 1'!AV183*'Data Training 1'!AV187*'Data Training 1'!AV191*'Data Training 1'!AV195*'Data Training 1'!AV199*'Data Training 1'!AV203*'Data Training 1'!AV207*'Data Training 1'!AV211*'Data Training 1'!AV216</f>
        <v>0</v>
      </c>
    </row>
    <row r="47" spans="1:79">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O47" s="82" t="s">
        <v>507</v>
      </c>
      <c r="AP47" s="82"/>
      <c r="AQ47" s="6">
        <f>'Data Training 1'!AW25*'Data Training 1'!AW34*'Data Training 1'!AW38*'Data Training 1'!AW43*'Data Training 1'!AW50*'Data Training 1'!AW58*'Data Training 1'!AW64*'Data Training 1'!AW70*'Data Training 1'!AW75*'Data Training 1'!AW80*'Data Training 1'!AW86*'Data Training 1'!AW93*'Data Training 1'!AW97*'Data Training 1'!AW106*'Data Training 1'!AW110*'Data Training 1'!AW117*'Data Training 1'!AW124*'Data Training 1'!AW130*'Data Training 1'!AW136*'Data Training 1'!AW142*'Data Training 1'!AW145*'Data Training 1'!AW151*'Data Training 1'!AW157*'Data Training 1'!AW164*'Data Training 1'!AW168*'Data Training 1'!AW172*'Data Training 1'!AW175*'Data Training 1'!AW179*'Data Training 1'!AW183*'Data Training 1'!AW187*'Data Training 1'!AW191*'Data Training 1'!AW195*'Data Training 1'!AW199*'Data Training 1'!AW203*'Data Training 1'!AW207*'Data Training 1'!AW211*'Data Training 1'!AW216</f>
        <v>0</v>
      </c>
    </row>
    <row r="48" spans="1:79">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O48" s="82" t="s">
        <v>508</v>
      </c>
      <c r="AP48" s="82"/>
      <c r="AQ48" s="6">
        <f>'Data Training 1'!AW26*'Data Training 1'!AX34*'Data Training 1'!AX38*'Data Training 1'!AX43*'Data Training 1'!AX50*'Data Training 1'!AX58*'Data Training 1'!AX64*'Data Training 1'!AX70*'Data Training 1'!AX75*'Data Training 1'!AX80*'Data Training 1'!AX86*'Data Training 1'!AX93*'Data Training 1'!AX97*'Data Training 1'!AX106*'Data Training 1'!AX110*'Data Training 1'!AX117*'Data Training 1'!AX124*'Data Training 1'!AX130*'Data Training 1'!AX136*'Data Training 1'!AX142*'Data Training 1'!AX145*'Data Training 1'!AX151*'Data Training 1'!AX157*'Data Training 1'!AX164*'Data Training 1'!AX168*'Data Training 1'!AX172*'Data Training 1'!AX175*'Data Training 1'!AX179*'Data Training 1'!AX183*'Data Training 1'!AX187*'Data Training 1'!AX191*'Data Training 1'!AX195*'Data Training 1'!AX199*'Data Training 1'!AX203*'Data Training 1'!AX207*'Data Training 1'!AX211*'Data Training 1'!AX216</f>
        <v>0</v>
      </c>
    </row>
    <row r="49" spans="1:7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O49" s="82" t="s">
        <v>509</v>
      </c>
      <c r="AP49" s="82"/>
      <c r="AQ49" s="6">
        <f>'Data Training 1'!AW27*'Data Training 1'!AY34*'Data Training 1'!AY38*'Data Training 1'!AY43*'Data Training 1'!AY50*'Data Training 1'!AY58*'Data Training 1'!AY64*'Data Training 1'!AY70*'Data Training 1'!AY75*'Data Training 1'!AY80*'Data Training 1'!AY86*'Data Training 1'!AY93*'Data Training 1'!AY97*'Data Training 1'!AY106*'Data Training 1'!AY110*'Data Training 1'!AY117*'Data Training 1'!AY124*'Data Training 1'!AY130*'Data Training 1'!AY136*'Data Training 1'!AY142*'Data Training 1'!AY145*'Data Training 1'!AY151*'Data Training 1'!AY157*'Data Training 1'!AY164*'Data Training 1'!AY168*'Data Training 1'!AY172*'Data Training 1'!AY175*'Data Training 1'!AY179*'Data Training 1'!AY183*'Data Training 1'!AY187*'Data Training 1'!AY191*'Data Training 1'!AY195*'Data Training 1'!AY199*'Data Training 1'!AY203*'Data Training 1'!AY207*'Data Training 1'!AY211*'Data Training 1'!AY216</f>
        <v>0</v>
      </c>
    </row>
    <row r="50" spans="1:79">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O50" s="80" t="s">
        <v>437</v>
      </c>
      <c r="AP50" s="80"/>
      <c r="AQ50" s="6" t="s">
        <v>285</v>
      </c>
      <c r="AR50" s="81" t="s">
        <v>438</v>
      </c>
      <c r="AS50" s="81"/>
      <c r="AT50" s="81"/>
    </row>
    <row r="51" spans="1:79">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row>
    <row r="52" spans="1:79">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O52" s="84" t="s">
        <v>513</v>
      </c>
      <c r="AP52" s="84"/>
      <c r="AQ52" s="7" t="s">
        <v>64</v>
      </c>
      <c r="AR52" s="51" t="s">
        <v>43</v>
      </c>
      <c r="AS52" s="51" t="s">
        <v>44</v>
      </c>
      <c r="AT52" s="51" t="s">
        <v>45</v>
      </c>
      <c r="AU52" s="51" t="s">
        <v>46</v>
      </c>
      <c r="AV52" s="51" t="s">
        <v>47</v>
      </c>
      <c r="AW52" s="51" t="s">
        <v>48</v>
      </c>
      <c r="AX52" s="51" t="s">
        <v>49</v>
      </c>
      <c r="AY52" s="51" t="s">
        <v>50</v>
      </c>
      <c r="AZ52" s="51" t="s">
        <v>51</v>
      </c>
      <c r="BA52" s="51" t="s">
        <v>52</v>
      </c>
      <c r="BB52" s="51" t="s">
        <v>53</v>
      </c>
      <c r="BC52" s="51" t="s">
        <v>54</v>
      </c>
      <c r="BD52" s="51" t="s">
        <v>55</v>
      </c>
      <c r="BE52" s="51" t="s">
        <v>56</v>
      </c>
      <c r="BF52" s="51" t="s">
        <v>57</v>
      </c>
      <c r="BG52" s="51" t="s">
        <v>58</v>
      </c>
      <c r="BH52" s="51" t="s">
        <v>59</v>
      </c>
      <c r="BI52" s="51" t="s">
        <v>60</v>
      </c>
      <c r="BJ52" s="51" t="s">
        <v>61</v>
      </c>
      <c r="BK52" s="51" t="s">
        <v>62</v>
      </c>
      <c r="BL52" s="51" t="s">
        <v>63</v>
      </c>
      <c r="BM52" s="51" t="s">
        <v>330</v>
      </c>
      <c r="BN52" s="51" t="s">
        <v>331</v>
      </c>
      <c r="BO52" s="51" t="s">
        <v>332</v>
      </c>
      <c r="BP52" s="51" t="s">
        <v>333</v>
      </c>
      <c r="BQ52" s="51" t="s">
        <v>334</v>
      </c>
      <c r="BR52" s="51" t="s">
        <v>335</v>
      </c>
      <c r="BS52" s="51" t="s">
        <v>336</v>
      </c>
      <c r="BT52" s="51" t="s">
        <v>337</v>
      </c>
      <c r="BU52" s="51" t="s">
        <v>338</v>
      </c>
      <c r="BV52" s="51" t="s">
        <v>339</v>
      </c>
      <c r="BW52" s="51" t="s">
        <v>340</v>
      </c>
      <c r="BX52" s="51" t="s">
        <v>341</v>
      </c>
      <c r="BY52" s="51" t="s">
        <v>342</v>
      </c>
      <c r="BZ52" s="51" t="s">
        <v>343</v>
      </c>
      <c r="CA52" s="51" t="s">
        <v>390</v>
      </c>
    </row>
    <row r="53" spans="1:79">
      <c r="A53" s="119"/>
      <c r="B53" s="119"/>
      <c r="C53" s="120"/>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O53" s="84"/>
      <c r="AP53" s="84"/>
      <c r="AQ53" s="7">
        <v>1</v>
      </c>
      <c r="AR53" s="6" t="s">
        <v>5</v>
      </c>
      <c r="AS53" s="6" t="s">
        <v>3</v>
      </c>
      <c r="AT53" s="6" t="s">
        <v>2</v>
      </c>
      <c r="AU53" s="6" t="s">
        <v>3</v>
      </c>
      <c r="AV53" s="6" t="s">
        <v>5</v>
      </c>
      <c r="AW53" s="6" t="s">
        <v>5</v>
      </c>
      <c r="AX53" s="6" t="s">
        <v>5</v>
      </c>
      <c r="AY53" s="6" t="s">
        <v>2</v>
      </c>
      <c r="AZ53" s="6" t="s">
        <v>3</v>
      </c>
      <c r="BA53" s="6" t="s">
        <v>3</v>
      </c>
      <c r="BB53" s="6" t="s">
        <v>2</v>
      </c>
      <c r="BC53" s="6" t="s">
        <v>5</v>
      </c>
      <c r="BD53" s="6" t="s">
        <v>5</v>
      </c>
      <c r="BE53" s="6" t="s">
        <v>3</v>
      </c>
      <c r="BF53" s="6" t="s">
        <v>2</v>
      </c>
      <c r="BG53" s="6" t="s">
        <v>5</v>
      </c>
      <c r="BH53" s="6" t="s">
        <v>5</v>
      </c>
      <c r="BI53" s="6" t="s">
        <v>5</v>
      </c>
      <c r="BJ53" s="6" t="s">
        <v>4</v>
      </c>
      <c r="BK53" s="6" t="s">
        <v>4</v>
      </c>
      <c r="BL53" s="6" t="s">
        <v>4</v>
      </c>
      <c r="BM53" s="6" t="s">
        <v>4</v>
      </c>
      <c r="BN53" s="6" t="s">
        <v>3</v>
      </c>
      <c r="BO53" s="6" t="s">
        <v>3</v>
      </c>
      <c r="BP53" s="6" t="s">
        <v>3</v>
      </c>
      <c r="BQ53" s="6" t="s">
        <v>4</v>
      </c>
      <c r="BR53" s="6" t="s">
        <v>4</v>
      </c>
      <c r="BS53" s="6" t="s">
        <v>4</v>
      </c>
      <c r="BT53" s="6" t="s">
        <v>4</v>
      </c>
      <c r="BU53" s="6" t="s">
        <v>3</v>
      </c>
      <c r="BV53" s="6" t="s">
        <v>4</v>
      </c>
      <c r="BW53" s="6" t="s">
        <v>3</v>
      </c>
      <c r="BX53" s="6" t="s">
        <v>4</v>
      </c>
      <c r="BY53" s="6" t="s">
        <v>4</v>
      </c>
      <c r="BZ53" s="6" t="s">
        <v>3</v>
      </c>
      <c r="CA53" s="6" t="s">
        <v>3</v>
      </c>
    </row>
    <row r="54" spans="1:79">
      <c r="A54" s="119"/>
      <c r="B54" s="119"/>
      <c r="C54" s="120"/>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O54" s="82" t="s">
        <v>504</v>
      </c>
      <c r="AP54" s="82"/>
      <c r="AQ54" s="6">
        <f>'Data Training 1'!AW22*'Data Training 1'!AT34*'Data Training 1'!AT38*'Data Training 1'!AT45*'Data Training 1'!AT50*'Data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1'!AT139*'Data Training 1'!AT145*'Data Training 1'!AT151*'Data Training 1'!AT157*'Data Training 1'!AT164*'Data Training 1'!AT168*'Data Training 1'!AT172*'Data Training 1'!AT175*'Data Training 1'!AT179*'Data Training 1'!AT183*'Data Training 1'!AT187*'Data Training 1'!AT192*'Data Training 1'!AT195*'Data Training 1'!AT200*'Data Training 1'!AT203*'Data Training 1'!AT207*'Data Training 1'!AT212*'Data Training 1'!AT216</f>
        <v>1.1758932826320701E-10</v>
      </c>
    </row>
    <row r="55" spans="1:79">
      <c r="A55" s="119"/>
      <c r="B55" s="119"/>
      <c r="C55" s="120"/>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O55" s="82" t="s">
        <v>505</v>
      </c>
      <c r="AP55" s="82"/>
      <c r="AQ55" s="6">
        <f>'Data Training 1'!AW23*'Data Training 1'!AU34*'Data Training 1'!AU38*'Data Training 1'!AU45*'Data Training 1'!AU50*'Data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1'!AU139*'Data Training 1'!AU145*'Data Training 1'!AU151*'Data Training 1'!AU157*'Data Training 1'!AU164*'Data Training 1'!AU168*'Data Training 1'!AU172*'Data Training 1'!AU175*'Data Training 1'!AU179*'Data Training 1'!AU183*'Data Training 1'!AU187*'Data Training 1'!AU192*'Data Training 1'!AU195*'Data Training 1'!AU200*'Data Training 1'!AU203*'Data Training 1'!AU207*'Data Training 1'!AU212*'Data Training 1'!AU216</f>
        <v>2.2825679109234415E-11</v>
      </c>
    </row>
    <row r="56" spans="1:79">
      <c r="AO56" s="82" t="s">
        <v>506</v>
      </c>
      <c r="AP56" s="82"/>
      <c r="AQ56" s="6">
        <f>'Data Training 1'!AW24*'Data Training 1'!AV34*'Data Training 1'!AV38*'Data Training 1'!AV45*'Data Training 1'!AV50*'Data Training 1'!AV58*'Data Training 1'!AV64*'Data Training 1'!AV70*'Data Training 1'!AV75*'Data Training 1'!AV80*'Data Training 1'!AV86*'Data Training 1'!AV93*'Data Training 1'!AV100*'Data Training 1'!AV106*'Data Training 1'!AV110*'Data Training 1'!AV117*'Data Training 1'!AV124*'Data Training 1'!AV130*'Data Training 1'!AV136*'Data Training 1'!AV139*'Data Training 1'!AV145*'Data Training 1'!AV151*'Data Training 1'!AV157*'Data Training 1'!AV164*'Data Training 1'!AV168*'Data Training 1'!AV172*'Data Training 1'!AV175*'Data Training 1'!AV179*'Data Training 1'!AV183*'Data Training 1'!AV187*'Data Training 1'!AV192*'Data Training 1'!AV195*'Data Training 1'!AV200*'Data Training 1'!AV203*'Data Training 1'!AV207*'Data Training 1'!AV212*'Data Training 1'!AV216</f>
        <v>0</v>
      </c>
    </row>
    <row r="57" spans="1:79">
      <c r="AO57" s="82" t="s">
        <v>507</v>
      </c>
      <c r="AP57" s="82"/>
      <c r="AQ57" s="6">
        <f>'Data Training 1'!AW25*'Data Training 1'!AW34*'Data Training 1'!AW38*'Data Training 1'!AW45*'Data Training 1'!AW50*'Data Training 1'!AW58*'Data Training 1'!AW64*'Data Training 1'!AW70*'Data Training 1'!AW75*'Data Training 1'!AW80*'Data Training 1'!AW86*'Data Training 1'!AW93*'Data Training 1'!AW100*'Data Training 1'!AW106*'Data Training 1'!AW110*'Data Training 1'!AW117*'Data Training 1'!AW124*'Data Training 1'!AW130*'Data Training 1'!AW136*'Data Training 1'!AW139*'Data Training 1'!AW145*'Data Training 1'!AW151*'Data Training 1'!AW157*'Data Training 1'!AW164*'Data Training 1'!AW168*'Data Training 1'!AW172*'Data Training 1'!AW175*'Data Training 1'!AW179*'Data Training 1'!AW183*'Data Training 1'!AW187*'Data Training 1'!AW192*'Data Training 1'!AW195*'Data Training 1'!AW200*'Data Training 1'!AW203*'Data Training 1'!AW207*'Data Training 1'!AW212*'Data Training 1'!AW216</f>
        <v>0</v>
      </c>
    </row>
    <row r="58" spans="1:79">
      <c r="AO58" s="82" t="s">
        <v>508</v>
      </c>
      <c r="AP58" s="82"/>
      <c r="AQ58" s="6">
        <f>'Data Training 1'!AW26*'Data Training 1'!AX34*'Data Training 1'!AX38*'Data Training 1'!AX45*'Data Training 1'!AX50*'Data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1'!AX139*'Data Training 1'!AX145*'Data Training 1'!AX151*'Data Training 1'!AX157*'Data Training 1'!AX164*'Data Training 1'!AX168*'Data Training 1'!AX172*'Data Training 1'!AX175*'Data Training 1'!AX179*'Data Training 1'!AX183*'Data Training 1'!AX187*'Data Training 1'!AX192*'Data Training 1'!AX195*'Data Training 1'!AX200*'Data Training 1'!AX203*'Data Training 1'!AX207*'Data Training 1'!AX212*'Data Training 1'!AX216</f>
        <v>0</v>
      </c>
    </row>
    <row r="59" spans="1:79">
      <c r="AO59" s="82" t="s">
        <v>509</v>
      </c>
      <c r="AP59" s="82"/>
      <c r="AQ59" s="6">
        <f>'Data Training 1'!AW27*'Data Training 1'!AY34*'Data Training 1'!AY38*'Data Training 1'!AY45*'Data Training 1'!AY50*'Data Training 1'!AY58*'Data Training 1'!AY64*'Data Training 1'!AY70*'Data Training 1'!AY75*'Data Training 1'!AY80*'Data Training 1'!AY86*'Data Training 1'!AY93*'Data Training 1'!AY100*'Data Training 1'!AY106*'Data Training 1'!AY110*'Data Training 1'!AY117*'Data Training 1'!AY124*'Data Training 1'!AY130*'Data Training 1'!AY136*'Data Training 1'!AY139*'Data Training 1'!AY145*'Data Training 1'!AY151*'Data Training 1'!AY157*'Data Training 1'!AY164*'Data Training 1'!AY168*'Data Training 1'!AY172*'Data Training 1'!AY175*'Data Training 1'!AY179*'Data Training 1'!AY183*'Data Training 1'!AY187*'Data Training 1'!AY192*'Data Training 1'!AY195*'Data Training 1'!AY200*'Data Training 1'!AY203*'Data Training 1'!AY207*'Data Training 1'!AY212*'Data Training 1'!AY216</f>
        <v>0</v>
      </c>
    </row>
    <row r="60" spans="1:79">
      <c r="AO60" s="80" t="s">
        <v>437</v>
      </c>
      <c r="AP60" s="80"/>
      <c r="AQ60" s="6" t="s">
        <v>300</v>
      </c>
      <c r="AR60" s="83" t="s">
        <v>439</v>
      </c>
      <c r="AS60" s="83"/>
      <c r="AT60" s="83"/>
    </row>
    <row r="62" spans="1:79">
      <c r="AO62" s="84" t="s">
        <v>500</v>
      </c>
      <c r="AP62" s="84"/>
      <c r="AQ62" s="7" t="s">
        <v>64</v>
      </c>
      <c r="AR62" s="51" t="s">
        <v>43</v>
      </c>
      <c r="AS62" s="51" t="s">
        <v>44</v>
      </c>
      <c r="AT62" s="51" t="s">
        <v>45</v>
      </c>
      <c r="AU62" s="51" t="s">
        <v>46</v>
      </c>
      <c r="AV62" s="51" t="s">
        <v>47</v>
      </c>
      <c r="AW62" s="51" t="s">
        <v>48</v>
      </c>
      <c r="AX62" s="51" t="s">
        <v>49</v>
      </c>
      <c r="AY62" s="51" t="s">
        <v>50</v>
      </c>
      <c r="AZ62" s="51" t="s">
        <v>51</v>
      </c>
      <c r="BA62" s="51" t="s">
        <v>52</v>
      </c>
      <c r="BB62" s="51" t="s">
        <v>53</v>
      </c>
      <c r="BC62" s="51" t="s">
        <v>54</v>
      </c>
      <c r="BD62" s="51" t="s">
        <v>55</v>
      </c>
      <c r="BE62" s="51" t="s">
        <v>56</v>
      </c>
      <c r="BF62" s="51" t="s">
        <v>57</v>
      </c>
      <c r="BG62" s="51" t="s">
        <v>58</v>
      </c>
      <c r="BH62" s="51" t="s">
        <v>59</v>
      </c>
      <c r="BI62" s="51" t="s">
        <v>60</v>
      </c>
      <c r="BJ62" s="51" t="s">
        <v>61</v>
      </c>
      <c r="BK62" s="51" t="s">
        <v>62</v>
      </c>
      <c r="BL62" s="51" t="s">
        <v>63</v>
      </c>
      <c r="BM62" s="51" t="s">
        <v>330</v>
      </c>
      <c r="BN62" s="51" t="s">
        <v>331</v>
      </c>
      <c r="BO62" s="51" t="s">
        <v>332</v>
      </c>
      <c r="BP62" s="51" t="s">
        <v>333</v>
      </c>
      <c r="BQ62" s="51" t="s">
        <v>334</v>
      </c>
      <c r="BR62" s="51" t="s">
        <v>335</v>
      </c>
      <c r="BS62" s="51" t="s">
        <v>336</v>
      </c>
      <c r="BT62" s="51" t="s">
        <v>337</v>
      </c>
      <c r="BU62" s="51" t="s">
        <v>338</v>
      </c>
      <c r="BV62" s="51" t="s">
        <v>339</v>
      </c>
      <c r="BW62" s="51" t="s">
        <v>340</v>
      </c>
      <c r="BX62" s="51" t="s">
        <v>341</v>
      </c>
      <c r="BY62" s="51" t="s">
        <v>342</v>
      </c>
      <c r="BZ62" s="51" t="s">
        <v>343</v>
      </c>
      <c r="CA62" s="51" t="s">
        <v>390</v>
      </c>
    </row>
    <row r="63" spans="1:79">
      <c r="AO63" s="84"/>
      <c r="AP63" s="84"/>
      <c r="AQ63" s="7">
        <v>2</v>
      </c>
      <c r="AR63" s="6" t="s">
        <v>5</v>
      </c>
      <c r="AS63" s="6" t="s">
        <v>3</v>
      </c>
      <c r="AT63" s="6" t="s">
        <v>4</v>
      </c>
      <c r="AU63" s="6" t="s">
        <v>3</v>
      </c>
      <c r="AV63" s="6" t="s">
        <v>5</v>
      </c>
      <c r="AW63" s="6" t="s">
        <v>5</v>
      </c>
      <c r="AX63" s="6" t="s">
        <v>3</v>
      </c>
      <c r="AY63" s="6" t="s">
        <v>4</v>
      </c>
      <c r="AZ63" s="6" t="s">
        <v>3</v>
      </c>
      <c r="BA63" s="6" t="s">
        <v>3</v>
      </c>
      <c r="BB63" s="6" t="s">
        <v>4</v>
      </c>
      <c r="BC63" s="6" t="s">
        <v>4</v>
      </c>
      <c r="BD63" s="6" t="s">
        <v>5</v>
      </c>
      <c r="BE63" s="6" t="s">
        <v>3</v>
      </c>
      <c r="BF63" s="6" t="s">
        <v>4</v>
      </c>
      <c r="BG63" s="6" t="s">
        <v>5</v>
      </c>
      <c r="BH63" s="6" t="s">
        <v>5</v>
      </c>
      <c r="BI63" s="6" t="s">
        <v>5</v>
      </c>
      <c r="BJ63" s="6" t="s">
        <v>3</v>
      </c>
      <c r="BK63" s="6" t="s">
        <v>4</v>
      </c>
      <c r="BL63" s="6" t="s">
        <v>4</v>
      </c>
      <c r="BM63" s="6" t="s">
        <v>4</v>
      </c>
      <c r="BN63" s="6" t="s">
        <v>3</v>
      </c>
      <c r="BO63" s="6" t="s">
        <v>4</v>
      </c>
      <c r="BP63" s="6" t="s">
        <v>4</v>
      </c>
      <c r="BQ63" s="6" t="s">
        <v>4</v>
      </c>
      <c r="BR63" s="6" t="s">
        <v>4</v>
      </c>
      <c r="BS63" s="6" t="s">
        <v>4</v>
      </c>
      <c r="BT63" s="6" t="s">
        <v>4</v>
      </c>
      <c r="BU63" s="6" t="s">
        <v>3</v>
      </c>
      <c r="BV63" s="6" t="s">
        <v>4</v>
      </c>
      <c r="BW63" s="6" t="s">
        <v>3</v>
      </c>
      <c r="BX63" s="6" t="s">
        <v>4</v>
      </c>
      <c r="BY63" s="6" t="s">
        <v>4</v>
      </c>
      <c r="BZ63" s="6" t="s">
        <v>4</v>
      </c>
      <c r="CA63" s="6" t="s">
        <v>3</v>
      </c>
    </row>
    <row r="64" spans="1:79">
      <c r="AO64" s="6" t="s">
        <v>504</v>
      </c>
      <c r="AP64" s="6"/>
      <c r="AQ64" s="6">
        <f>'Data Training 1'!AW22*'Data Training 1'!AT34*'Data Training 1'!AT38*'Data Training 1'!AT43*'Data Training 1'!AT50*'Data Training 1'!AT58*'Data Training 1'!AT64*'Data Training 1'!AT68*'Data Training 1'!AT73*'Data Training 1'!AT80*'Data Training 1'!AT86*'Data Training 1'!AT91*'Data Training 1'!AT97*'Data Training 1'!AT106*'Data Training 1'!AT110*'Data Training 1'!AT115*'Data Training 1'!AT124*'Data Training 1'!AT130*'Data Training 1'!AT136*'Data Training 1'!AT140*'Data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65" spans="41:79">
      <c r="AO65" s="6" t="s">
        <v>505</v>
      </c>
      <c r="AP65" s="6"/>
      <c r="AQ65" s="6">
        <f>'Data Training 1'!AW23*'Data Training 1'!AU34*'Data Training 1'!AU38*'Data Training 1'!AU43*'Data Training 1'!AU50*'Data Training 1'!AU58*'Data Training 1'!AU64*'Data Training 1'!AU68*'Data Training 1'!AU73*'Data Training 1'!AU80*'Data Training 1'!AU86*'Data Training 1'!AU91*'Data Training 1'!AU97*'Data Training 1'!AU106*'Data Training 1'!AU110*'Data Training 1'!AU115*'Data Training 1'!AU124*'Data Training 1'!AU130*'Data Training 1'!AU136*'Data Training 1'!AU140*'Data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3.2954574213957171E-11</v>
      </c>
    </row>
    <row r="66" spans="41:79">
      <c r="AO66" s="82" t="s">
        <v>506</v>
      </c>
      <c r="AP66" s="82"/>
      <c r="AQ66" s="6">
        <f>'Data Training 1'!AW24*'Data Training 1'!AV34*'Data Training 1'!AV38*'Data Training 1'!AV43*'Data Training 1'!AV50*'Data Training 1'!AV58*'Data Training 1'!AV64*'Data Training 1'!AV68*'Data Training 1'!AV73*'Data Training 1'!AV80*'Data Training 1'!AV86*'Data Training 1'!AV91*'Data Training 1'!AV97*'Data Training 1'!AV106*'Data Training 1'!AV110*'Data Training 1'!AV115*'Data Training 1'!AV124*'Data Training 1'!AV130*'Data Training 1'!AV136*'Data Training 1'!AV140*'Data Training 1'!AV145*'Data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67" spans="41:79">
      <c r="AO67" s="82" t="s">
        <v>507</v>
      </c>
      <c r="AP67" s="82"/>
      <c r="AQ67" s="6">
        <f>'Data Training 1'!AW25*'Data Training 1'!AW34*'Data Training 1'!AW38*'Data Training 1'!AW43*'Data Training 1'!AW50*'Data Training 1'!AW58*'Data Training 1'!AW64*'Data Training 1'!AW68*'Data Training 1'!AW73*'Data Training 1'!AW80*'Data Training 1'!AW86*'Data Training 1'!AW91*'Data Training 1'!AW97*'Data Training 1'!AW106*'Data Training 1'!AW110*'Data Training 1'!AW115*'Data Training 1'!AW124*'Data Training 1'!AW130*'Data Training 1'!AW136*'Data Training 1'!AW140*'Data Training 1'!AW145*'Data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68" spans="41:79">
      <c r="AO68" s="82" t="s">
        <v>508</v>
      </c>
      <c r="AP68" s="82"/>
      <c r="AQ68" s="6">
        <f>'Data Training 1'!AW26*'Data Training 1'!AX34*'Data Training 1'!AX38*'Data Training 1'!AX43*'Data Training 1'!AX50*'Data Training 1'!AX58*'Data Training 1'!AX64*'Data Training 1'!AX68*'Data Training 1'!AX73*'Data Training 1'!AX80*'Data Training 1'!AX86*'Data Training 1'!AX91*'Data Training 1'!AX97*'Data Training 1'!AX106*'Data Training 1'!AX110*'Data Training 1'!AX115*'Data Training 1'!AX124*'Data Training 1'!AX130*'Data Training 1'!AX136*'Data Training 1'!AX140*'Data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69" spans="41:79">
      <c r="AO69" s="82" t="s">
        <v>509</v>
      </c>
      <c r="AP69" s="82"/>
      <c r="AQ69" s="6">
        <f>'Data Training 1'!AW27*'Data Training 1'!AY34*'Data Training 1'!AY38*'Data Training 1'!AY43*'Data Training 1'!AY50*'Data Training 1'!AY58*'Data Training 1'!AY64*'Data Training 1'!AY68*'Data Training 1'!AY73*'Data Training 1'!AY80*'Data Training 1'!AY86*'Data Training 1'!AY91*'Data Training 1'!AY97*'Data Training 1'!AY106*'Data Training 1'!AY110*'Data Training 1'!AY115*'Data Training 1'!AY124*'Data Training 1'!AY130*'Data Training 1'!AY136*'Data Training 1'!AY140*'Data Training 1'!AY145*'Data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70" spans="41:79">
      <c r="AO70" s="80" t="s">
        <v>437</v>
      </c>
      <c r="AP70" s="80"/>
      <c r="AQ70" s="6" t="s">
        <v>300</v>
      </c>
      <c r="AR70" s="81" t="s">
        <v>438</v>
      </c>
      <c r="AS70" s="81"/>
      <c r="AT70" s="81"/>
    </row>
    <row r="72" spans="41:79">
      <c r="AO72" s="84" t="s">
        <v>315</v>
      </c>
      <c r="AP72" s="84"/>
      <c r="AQ72" s="7" t="s">
        <v>64</v>
      </c>
      <c r="AR72" s="51" t="s">
        <v>43</v>
      </c>
      <c r="AS72" s="51" t="s">
        <v>44</v>
      </c>
      <c r="AT72" s="51" t="s">
        <v>45</v>
      </c>
      <c r="AU72" s="51" t="s">
        <v>46</v>
      </c>
      <c r="AV72" s="51" t="s">
        <v>47</v>
      </c>
      <c r="AW72" s="51" t="s">
        <v>48</v>
      </c>
      <c r="AX72" s="51" t="s">
        <v>49</v>
      </c>
      <c r="AY72" s="51" t="s">
        <v>50</v>
      </c>
      <c r="AZ72" s="51" t="s">
        <v>51</v>
      </c>
      <c r="BA72" s="51" t="s">
        <v>52</v>
      </c>
      <c r="BB72" s="51" t="s">
        <v>53</v>
      </c>
      <c r="BC72" s="51" t="s">
        <v>54</v>
      </c>
      <c r="BD72" s="51" t="s">
        <v>55</v>
      </c>
      <c r="BE72" s="51" t="s">
        <v>56</v>
      </c>
      <c r="BF72" s="51" t="s">
        <v>57</v>
      </c>
      <c r="BG72" s="51" t="s">
        <v>58</v>
      </c>
      <c r="BH72" s="51" t="s">
        <v>59</v>
      </c>
      <c r="BI72" s="51" t="s">
        <v>60</v>
      </c>
      <c r="BJ72" s="51" t="s">
        <v>61</v>
      </c>
      <c r="BK72" s="51" t="s">
        <v>62</v>
      </c>
      <c r="BL72" s="51" t="s">
        <v>63</v>
      </c>
      <c r="BM72" s="51" t="s">
        <v>330</v>
      </c>
      <c r="BN72" s="51" t="s">
        <v>331</v>
      </c>
      <c r="BO72" s="51" t="s">
        <v>332</v>
      </c>
      <c r="BP72" s="51" t="s">
        <v>333</v>
      </c>
      <c r="BQ72" s="51" t="s">
        <v>334</v>
      </c>
      <c r="BR72" s="51" t="s">
        <v>335</v>
      </c>
      <c r="BS72" s="51" t="s">
        <v>336</v>
      </c>
      <c r="BT72" s="51" t="s">
        <v>337</v>
      </c>
      <c r="BU72" s="51" t="s">
        <v>338</v>
      </c>
      <c r="BV72" s="51" t="s">
        <v>339</v>
      </c>
      <c r="BW72" s="51" t="s">
        <v>340</v>
      </c>
      <c r="BX72" s="51" t="s">
        <v>341</v>
      </c>
      <c r="BY72" s="51" t="s">
        <v>342</v>
      </c>
      <c r="BZ72" s="51" t="s">
        <v>343</v>
      </c>
      <c r="CA72" s="51" t="s">
        <v>390</v>
      </c>
    </row>
    <row r="73" spans="41:79">
      <c r="AO73" s="84"/>
      <c r="AP73" s="84"/>
      <c r="AQ73" s="7">
        <v>2</v>
      </c>
      <c r="AR73" s="6" t="s">
        <v>5</v>
      </c>
      <c r="AS73" s="6" t="s">
        <v>5</v>
      </c>
      <c r="AT73" s="6" t="s">
        <v>3</v>
      </c>
      <c r="AU73" s="6" t="s">
        <v>5</v>
      </c>
      <c r="AV73" s="6" t="s">
        <v>5</v>
      </c>
      <c r="AW73" s="6" t="s">
        <v>5</v>
      </c>
      <c r="AX73" s="6" t="s">
        <v>2</v>
      </c>
      <c r="AY73" s="6" t="s">
        <v>2</v>
      </c>
      <c r="AZ73" s="6" t="s">
        <v>3</v>
      </c>
      <c r="BA73" s="6" t="s">
        <v>2</v>
      </c>
      <c r="BB73" s="6" t="s">
        <v>2</v>
      </c>
      <c r="BC73" s="6" t="s">
        <v>3</v>
      </c>
      <c r="BD73" s="6" t="s">
        <v>5</v>
      </c>
      <c r="BE73" s="6" t="s">
        <v>3</v>
      </c>
      <c r="BF73" s="6" t="s">
        <v>4</v>
      </c>
      <c r="BG73" s="6" t="s">
        <v>5</v>
      </c>
      <c r="BH73" s="6" t="s">
        <v>5</v>
      </c>
      <c r="BI73" s="6" t="s">
        <v>5</v>
      </c>
      <c r="BJ73" s="6" t="s">
        <v>5</v>
      </c>
      <c r="BK73" s="6" t="s">
        <v>4</v>
      </c>
      <c r="BL73" s="6" t="s">
        <v>3</v>
      </c>
      <c r="BM73" s="6" t="s">
        <v>2</v>
      </c>
      <c r="BN73" s="6" t="s">
        <v>3</v>
      </c>
      <c r="BO73" s="6" t="s">
        <v>4</v>
      </c>
      <c r="BP73" s="6" t="s">
        <v>4</v>
      </c>
      <c r="BQ73" s="6" t="s">
        <v>4</v>
      </c>
      <c r="BR73" s="6" t="s">
        <v>4</v>
      </c>
      <c r="BS73" s="6" t="s">
        <v>4</v>
      </c>
      <c r="BT73" s="6" t="s">
        <v>4</v>
      </c>
      <c r="BU73" s="6" t="s">
        <v>3</v>
      </c>
      <c r="BV73" s="6" t="s">
        <v>4</v>
      </c>
      <c r="BW73" s="6" t="s">
        <v>4</v>
      </c>
      <c r="BX73" s="6" t="s">
        <v>4</v>
      </c>
      <c r="BY73" s="6" t="s">
        <v>4</v>
      </c>
      <c r="BZ73" s="6" t="s">
        <v>3</v>
      </c>
      <c r="CA73" s="6" t="s">
        <v>4</v>
      </c>
    </row>
    <row r="74" spans="41:79">
      <c r="AO74" s="41" t="s">
        <v>504</v>
      </c>
      <c r="AP74" s="41"/>
      <c r="AQ74" s="41">
        <f>'Data Training 1'!AW22*'Data Training 1'!AT34*'Data Training 1'!AT40*'Data Training 1'!AT44*'Data Training 1'!AT52*'Data Training 1'!AT58*'Data Training 1'!AT64*'Data Training 1'!AT69*'Data Training 1'!AT75*'Data Training 1'!AT80*'Data Training 1'!AT87*'Data Training 1'!AT93*'Data Training 1'!AT98*'Data Training 1'!AT106*'Data Training 1'!AT110*'Data Training 1'!AT115*'Data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1'!AT212*'Data Training 1'!AT215</f>
        <v>0</v>
      </c>
    </row>
    <row r="75" spans="41:79">
      <c r="AO75" s="6" t="s">
        <v>505</v>
      </c>
      <c r="AP75" s="6"/>
      <c r="AQ75" s="6">
        <f>'Data Training 1'!AW23*'Data Training 1'!AU34*'Data Training 1'!AU40*'Data Training 1'!AU44*'Data Training 1'!AU52*'Data Training 1'!AU58*'Data Training 1'!AU64*'Data Training 1'!AU69*'Data Training 1'!AU75*'Data Training 1'!AU80*'Data Training 1'!AU87*'Data Training 1'!AU93*'Data Training 1'!AU98*'Data Training 1'!AU106*'Data Training 1'!AU110*'Data Training 1'!AU115*'Data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1'!AU212*'Data Training 1'!AU215</f>
        <v>7.7999625331086933E-10</v>
      </c>
    </row>
    <row r="76" spans="41:79">
      <c r="AO76" s="82" t="s">
        <v>506</v>
      </c>
      <c r="AP76" s="82"/>
      <c r="AQ76" s="6">
        <f>'Data Training 1'!AW24*'Data Training 1'!AV34*'Data Training 1'!AV40*'Data Training 1'!AV44*'Data Training 1'!AV52*'Data Training 1'!AV58*'Data Training 1'!AV64*'Data Training 1'!AV69*'Data Training 1'!AV75*'Data Training 1'!AV80*'Data Training 1'!AV87*'Data Training 1'!AV93*'Data Training 1'!AV98*'Data Training 1'!AV106*'Data Training 1'!AV110*'Data Training 1'!AV115*'Data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1'!AV212*'Data Training 1'!AV215</f>
        <v>0</v>
      </c>
    </row>
    <row r="77" spans="41:79">
      <c r="AO77" s="82" t="s">
        <v>507</v>
      </c>
      <c r="AP77" s="82"/>
      <c r="AQ77" s="6">
        <f>'Data Training 1'!AW25*'Data Training 1'!AW34*'Data Training 1'!AW40*'Data Training 1'!AW44*'Data Training 1'!AW52*'Data Training 1'!AW58*'Data Training 1'!AW64*'Data Training 1'!AW69*'Data Training 1'!AW75*'Data Training 1'!AW80*'Data Training 1'!AW87*'Data Training 1'!AW93*'Data Training 1'!AW98*'Data Training 1'!AW106*'Data Training 1'!AW110*'Data Training 1'!AW115*'Data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1'!AW199*'Data Training 1'!AW203*'Data Training 1'!AW207*'Data Training 1'!AW212*'Data Training 1'!AW215</f>
        <v>0</v>
      </c>
    </row>
    <row r="78" spans="41:79">
      <c r="AO78" s="82" t="s">
        <v>508</v>
      </c>
      <c r="AP78" s="82"/>
      <c r="AQ78" s="6">
        <f>'Data Training 1'!AW26*'Data Training 1'!AX34*'Data Training 1'!AX40*'Data Training 1'!AX44*'Data Training 1'!AX52*'Data Training 1'!AX58*'Data Training 1'!AX64*'Data Training 1'!AX69*'Data Training 1'!AX75*'Data Training 1'!AX80*'Data Training 1'!AX87*'Data Training 1'!AX93*'Data Training 1'!AX98*'Data Training 1'!AX106*'Data Training 1'!AX110*'Data Training 1'!AX115*'Data Training 1'!AX124*'Data Training 1'!AX130*'Data Training 1'!AX136*'Data Training 1'!AX142*'Data Training 1'!AX145*'Data Training 1'!AX152*'Data Training 1'!AX159*'Data Training 1'!AX164*'Data Training 1'!AX167*'Data Training 1'!AX171*'Data Training 1'!AX175*'Data Training 1'!AX179*'Data Training 1'!AX183*'Data Training 1'!AX187*'Data Training 1'!AX192*'Data Training 1'!AX195*'Data Training 1'!AX199*'Data Training 1'!AX203*'Data Training 1'!AX207*'Data Training 1'!AX212*'Data Training 1'!AX215</f>
        <v>0</v>
      </c>
    </row>
    <row r="79" spans="41:79">
      <c r="AO79" s="82" t="s">
        <v>509</v>
      </c>
      <c r="AP79" s="82"/>
      <c r="AQ79" s="6">
        <f>'Data Training 1'!AW27*'Data Training 1'!AY34*'Data Training 1'!AY40*'Data Training 1'!AY44*'Data Training 1'!AY52*'Data Training 1'!AY58*'Data Training 1'!AY64*'Data Training 1'!AY69*'Data Training 1'!AY75*'Data Training 1'!AY80*'Data Training 1'!AY87*'Data Training 1'!AY93*'Data Training 1'!AY98*'Data Training 1'!AY106*'Data Training 1'!AY110*'Data Training 1'!AY115*'Data Training 1'!AY124*'Data Training 1'!AY130*'Data Training 1'!AY136*'Data Training 1'!AY142*'Data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1'!AY212*'Data Training 1'!AY215</f>
        <v>0</v>
      </c>
    </row>
    <row r="80" spans="41:79">
      <c r="AO80" s="80" t="s">
        <v>437</v>
      </c>
      <c r="AP80" s="80"/>
      <c r="AQ80" s="6" t="s">
        <v>300</v>
      </c>
      <c r="AR80" s="81" t="s">
        <v>438</v>
      </c>
      <c r="AS80" s="81"/>
      <c r="AT80" s="81"/>
    </row>
    <row r="82" spans="41:79">
      <c r="AO82" s="84" t="s">
        <v>318</v>
      </c>
      <c r="AP82" s="84"/>
      <c r="AQ82" s="7" t="s">
        <v>64</v>
      </c>
      <c r="AR82" s="51" t="s">
        <v>43</v>
      </c>
      <c r="AS82" s="51" t="s">
        <v>44</v>
      </c>
      <c r="AT82" s="51" t="s">
        <v>45</v>
      </c>
      <c r="AU82" s="51" t="s">
        <v>46</v>
      </c>
      <c r="AV82" s="51" t="s">
        <v>47</v>
      </c>
      <c r="AW82" s="51" t="s">
        <v>48</v>
      </c>
      <c r="AX82" s="51" t="s">
        <v>49</v>
      </c>
      <c r="AY82" s="51" t="s">
        <v>50</v>
      </c>
      <c r="AZ82" s="51" t="s">
        <v>51</v>
      </c>
      <c r="BA82" s="51" t="s">
        <v>52</v>
      </c>
      <c r="BB82" s="51" t="s">
        <v>53</v>
      </c>
      <c r="BC82" s="51" t="s">
        <v>54</v>
      </c>
      <c r="BD82" s="51" t="s">
        <v>55</v>
      </c>
      <c r="BE82" s="51" t="s">
        <v>56</v>
      </c>
      <c r="BF82" s="51" t="s">
        <v>57</v>
      </c>
      <c r="BG82" s="51" t="s">
        <v>58</v>
      </c>
      <c r="BH82" s="51" t="s">
        <v>59</v>
      </c>
      <c r="BI82" s="51" t="s">
        <v>60</v>
      </c>
      <c r="BJ82" s="51" t="s">
        <v>61</v>
      </c>
      <c r="BK82" s="51" t="s">
        <v>62</v>
      </c>
      <c r="BL82" s="51" t="s">
        <v>63</v>
      </c>
      <c r="BM82" s="51" t="s">
        <v>330</v>
      </c>
      <c r="BN82" s="51" t="s">
        <v>331</v>
      </c>
      <c r="BO82" s="51" t="s">
        <v>332</v>
      </c>
      <c r="BP82" s="51" t="s">
        <v>333</v>
      </c>
      <c r="BQ82" s="51" t="s">
        <v>334</v>
      </c>
      <c r="BR82" s="51" t="s">
        <v>335</v>
      </c>
      <c r="BS82" s="51" t="s">
        <v>336</v>
      </c>
      <c r="BT82" s="51" t="s">
        <v>337</v>
      </c>
      <c r="BU82" s="51" t="s">
        <v>338</v>
      </c>
      <c r="BV82" s="51" t="s">
        <v>339</v>
      </c>
      <c r="BW82" s="51" t="s">
        <v>340</v>
      </c>
      <c r="BX82" s="51" t="s">
        <v>341</v>
      </c>
      <c r="BY82" s="51" t="s">
        <v>342</v>
      </c>
      <c r="BZ82" s="51" t="s">
        <v>343</v>
      </c>
      <c r="CA82" s="51" t="s">
        <v>390</v>
      </c>
    </row>
    <row r="83" spans="41:79">
      <c r="AO83" s="84"/>
      <c r="AP83" s="84"/>
      <c r="AQ83" s="7">
        <v>2</v>
      </c>
      <c r="AR83" s="6" t="s">
        <v>4</v>
      </c>
      <c r="AS83" s="6" t="s">
        <v>5</v>
      </c>
      <c r="AT83" s="6" t="s">
        <v>3</v>
      </c>
      <c r="AU83" s="6" t="s">
        <v>5</v>
      </c>
      <c r="AV83" s="6" t="s">
        <v>5</v>
      </c>
      <c r="AW83" s="6" t="s">
        <v>5</v>
      </c>
      <c r="AX83" s="6" t="s">
        <v>5</v>
      </c>
      <c r="AY83" s="6" t="s">
        <v>2</v>
      </c>
      <c r="AZ83" s="6" t="s">
        <v>3</v>
      </c>
      <c r="BA83" s="6" t="s">
        <v>2</v>
      </c>
      <c r="BB83" s="6" t="s">
        <v>3</v>
      </c>
      <c r="BC83" s="6" t="s">
        <v>2</v>
      </c>
      <c r="BD83" s="6" t="s">
        <v>5</v>
      </c>
      <c r="BE83" s="6" t="s">
        <v>3</v>
      </c>
      <c r="BF83" s="6" t="s">
        <v>3</v>
      </c>
      <c r="BG83" s="6" t="s">
        <v>5</v>
      </c>
      <c r="BH83" s="6" t="s">
        <v>5</v>
      </c>
      <c r="BI83" s="6" t="s">
        <v>5</v>
      </c>
      <c r="BJ83" s="6" t="s">
        <v>4</v>
      </c>
      <c r="BK83" s="6" t="s">
        <v>4</v>
      </c>
      <c r="BL83" s="6" t="s">
        <v>3</v>
      </c>
      <c r="BM83" s="6" t="s">
        <v>2</v>
      </c>
      <c r="BN83" s="6" t="s">
        <v>3</v>
      </c>
      <c r="BO83" s="6" t="s">
        <v>4</v>
      </c>
      <c r="BP83" s="6" t="s">
        <v>4</v>
      </c>
      <c r="BQ83" s="6" t="s">
        <v>4</v>
      </c>
      <c r="BR83" s="6" t="s">
        <v>4</v>
      </c>
      <c r="BS83" s="6" t="s">
        <v>4</v>
      </c>
      <c r="BT83" s="6" t="s">
        <v>4</v>
      </c>
      <c r="BU83" s="6" t="s">
        <v>3</v>
      </c>
      <c r="BV83" s="6" t="s">
        <v>4</v>
      </c>
      <c r="BW83" s="6" t="s">
        <v>4</v>
      </c>
      <c r="BX83" s="6" t="s">
        <v>4</v>
      </c>
      <c r="BY83" s="6" t="s">
        <v>4</v>
      </c>
      <c r="BZ83" s="6" t="s">
        <v>4</v>
      </c>
      <c r="CA83" s="6" t="s">
        <v>3</v>
      </c>
    </row>
    <row r="84" spans="41:79">
      <c r="AO84" s="82" t="s">
        <v>504</v>
      </c>
      <c r="AP84" s="82"/>
      <c r="AQ84" s="6">
        <f>'Data Training 1'!AW22*'Data Training 1'!AT31*'Data Training 1'!AT40*'Data Training 1'!AT44*'Data Training 1'!AT52*'Data Training 1'!AT58*'Data Training 1'!AT64*'Data Training 1'!AT70*'Data Training 1'!AT75*'Data Training 1'!AT80*'Data Training 1'!AT87*'Data Training 1'!AT92*'Data Training 1'!AT99*'Data Training 1'!AT106*'Data Training 1'!AT110*'Data Training 1'!AT116*'Data Training 1'!AT124*'Data Training 1'!AT130*'Data Training 1'!AT136*'Data Training 1'!AT139*'Data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1'!AT211*'Data Training 1'!AT216</f>
        <v>1.4485527127014143E-9</v>
      </c>
    </row>
    <row r="85" spans="41:79">
      <c r="AO85" s="6" t="s">
        <v>505</v>
      </c>
      <c r="AP85" s="6"/>
      <c r="AQ85" s="6">
        <f>'Data Training 1'!AW23*'Data Training 1'!AU31*'Data Training 1'!AU40*'Data Training 1'!AU44*'Data Training 1'!AU52*'Data Training 1'!AU58*'Data Training 1'!AU64*'Data Training 1'!AU70*'Data Training 1'!AU75*'Data Training 1'!AU80*'Data Training 1'!AU87*'Data Training 1'!AU92*'Data Training 1'!AU99*'Data Training 1'!AU106*'Data Training 1'!AU110*'Data Training 1'!AU116*'Data Training 1'!AU124*'Data Training 1'!AU130*'Data Training 1'!AU136*'Data Training 1'!AU139*'Data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1'!AU211*'Data Training 1'!AU216</f>
        <v>6.5371114563196674E-9</v>
      </c>
    </row>
    <row r="86" spans="41:79">
      <c r="AO86" s="82" t="s">
        <v>506</v>
      </c>
      <c r="AP86" s="82"/>
      <c r="AQ86" s="6">
        <f>'Data Training 1'!AW24*'Data Training 1'!AV31*'Data Training 1'!AV40*'Data Training 1'!AV44*'Data Training 1'!AV52*'Data Training 1'!AV58*'Data Training 1'!AV64*'Data Training 1'!AV70*'Data Training 1'!AV75*'Data Training 1'!AV80*'Data Training 1'!AV87*'Data Training 1'!AV92*'Data Training 1'!AV99*'Data Training 1'!AV106*'Data Training 1'!AV110*'Data Training 1'!AV116*'Data Training 1'!AV124*'Data Training 1'!AV130*'Data Training 1'!AV136*'Data Training 1'!AV139*'Data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1'!AV211*'Data Training 1'!AV216</f>
        <v>2.2132924675319188E-9</v>
      </c>
    </row>
    <row r="87" spans="41:79">
      <c r="AO87" s="82" t="s">
        <v>507</v>
      </c>
      <c r="AP87" s="82"/>
      <c r="AQ87" s="6">
        <f>'Data Training 1'!AW25*'Data Training 1'!AW31*'Data Training 1'!AW40*'Data Training 1'!AW44*'Data Training 1'!AW52*'Data Training 1'!AW58*'Data Training 1'!AW64*'Data Training 1'!AW70*'Data Training 1'!AW75*'Data Training 1'!AW80*'Data Training 1'!AW87*'Data Training 1'!AW92*'Data Training 1'!AW99*'Data Training 1'!AW106*'Data Training 1'!AW110*'Data Training 1'!AW116*'Data Training 1'!AW124*'Data Training 1'!AW130*'Data Training 1'!AW136*'Data Training 1'!AW139*'Data Training 1'!AW145*'Data Training 1'!AW152*'Data Training 1'!AW159*'Data Training 1'!AW164*'Data Training 1'!AW167*'Data Training 1'!AW171*'Data Training 1'!AW175*'Data Training 1'!AW179*'Data Training 1'!AW183*'Data Training 1'!AW187*'Data Training 1'!AW192*'Data Training 1'!AW195*'Data Training 1'!AW199*'Data Training 1'!AW203*'Data Training 1'!AW207*'Data Training 1'!AW211*'Data Training 1'!AW216</f>
        <v>0</v>
      </c>
    </row>
    <row r="88" spans="41:79">
      <c r="AO88" s="82" t="s">
        <v>508</v>
      </c>
      <c r="AP88" s="82"/>
      <c r="AQ88" s="6">
        <f>'Data Training 1'!AW26*'Data Training 1'!AX31*'Data Training 1'!AX40*'Data Training 1'!AX44*'Data Training 1'!AX52*'Data Training 1'!AX58*'Data Training 1'!AX64*'Data Training 1'!AX70*'Data Training 1'!AX75*'Data Training 1'!AX80*'Data Training 1'!AX87*'Data Training 1'!AX92*'Data Training 1'!AX99*'Data Training 1'!AX106*'Data Training 1'!AX110*'Data Training 1'!AX116*'Data Training 1'!AX124*'Data Training 1'!AX130*'Data Training 1'!AX136*'Data Training 1'!AX139*'Data Training 1'!AX145*'Data Training 1'!AX152*'Data Training 1'!AX159*'Data Training 1'!AX164*'Data Training 1'!AX167*'Data Training 1'!AX171*'Data Training 1'!AX175*'Data Training 1'!AX179*'Data Training 1'!AX183*'Data Training 1'!AX187*'Data Training 1'!AX192*'Data Training 1'!AX195*'Data Training 1'!AX199*'Data Training 1'!AX203*'Data Training 1'!AX207*'Data Training 1'!AX211*'Data Training 1'!AX216</f>
        <v>0</v>
      </c>
    </row>
    <row r="89" spans="41:79">
      <c r="AO89" s="82" t="s">
        <v>509</v>
      </c>
      <c r="AP89" s="82"/>
      <c r="AQ89" s="6">
        <f>'Data Training 1'!AW27*'Data Training 1'!AY31*'Data Training 1'!AY40*'Data Training 1'!AY44*'Data Training 1'!AY52*'Data Training 1'!AY58*'Data Training 1'!AY64*'Data Training 1'!AY70*'Data Training 1'!AY75*'Data Training 1'!AY80*'Data Training 1'!AY87*'Data Training 1'!AY92*'Data Training 1'!AY99*'Data Training 1'!AY106*'Data Training 1'!AY110*'Data Training 1'!AY116*'Data Training 1'!AY124*'Data Training 1'!AY130*'Data Training 1'!AY136*'Data Training 1'!AY139*'Data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1'!AY211*'Data Training 1'!AY216</f>
        <v>2.0169158387336675E-12</v>
      </c>
    </row>
    <row r="90" spans="41:79">
      <c r="AO90" s="80" t="s">
        <v>437</v>
      </c>
      <c r="AP90" s="80"/>
      <c r="AQ90" s="6" t="s">
        <v>300</v>
      </c>
      <c r="AR90" s="81" t="s">
        <v>438</v>
      </c>
      <c r="AS90" s="81"/>
      <c r="AT90" s="81"/>
    </row>
    <row r="92" spans="41:79">
      <c r="AO92" s="84" t="s">
        <v>463</v>
      </c>
      <c r="AP92" s="84"/>
      <c r="AQ92" s="7" t="s">
        <v>64</v>
      </c>
      <c r="AR92" s="51" t="s">
        <v>43</v>
      </c>
      <c r="AS92" s="51" t="s">
        <v>44</v>
      </c>
      <c r="AT92" s="51" t="s">
        <v>45</v>
      </c>
      <c r="AU92" s="51" t="s">
        <v>46</v>
      </c>
      <c r="AV92" s="51" t="s">
        <v>47</v>
      </c>
      <c r="AW92" s="51" t="s">
        <v>48</v>
      </c>
      <c r="AX92" s="51" t="s">
        <v>49</v>
      </c>
      <c r="AY92" s="51" t="s">
        <v>50</v>
      </c>
      <c r="AZ92" s="51" t="s">
        <v>51</v>
      </c>
      <c r="BA92" s="51" t="s">
        <v>52</v>
      </c>
      <c r="BB92" s="51" t="s">
        <v>53</v>
      </c>
      <c r="BC92" s="51" t="s">
        <v>54</v>
      </c>
      <c r="BD92" s="51" t="s">
        <v>55</v>
      </c>
      <c r="BE92" s="51" t="s">
        <v>56</v>
      </c>
      <c r="BF92" s="51" t="s">
        <v>57</v>
      </c>
      <c r="BG92" s="51" t="s">
        <v>58</v>
      </c>
      <c r="BH92" s="51" t="s">
        <v>59</v>
      </c>
      <c r="BI92" s="51" t="s">
        <v>60</v>
      </c>
      <c r="BJ92" s="51" t="s">
        <v>61</v>
      </c>
      <c r="BK92" s="51" t="s">
        <v>62</v>
      </c>
      <c r="BL92" s="51" t="s">
        <v>63</v>
      </c>
      <c r="BM92" s="51" t="s">
        <v>330</v>
      </c>
      <c r="BN92" s="51" t="s">
        <v>331</v>
      </c>
      <c r="BO92" s="51" t="s">
        <v>332</v>
      </c>
      <c r="BP92" s="51" t="s">
        <v>333</v>
      </c>
      <c r="BQ92" s="51" t="s">
        <v>334</v>
      </c>
      <c r="BR92" s="51" t="s">
        <v>335</v>
      </c>
      <c r="BS92" s="51" t="s">
        <v>336</v>
      </c>
      <c r="BT92" s="51" t="s">
        <v>337</v>
      </c>
      <c r="BU92" s="51" t="s">
        <v>338</v>
      </c>
      <c r="BV92" s="51" t="s">
        <v>339</v>
      </c>
      <c r="BW92" s="51" t="s">
        <v>340</v>
      </c>
      <c r="BX92" s="51" t="s">
        <v>341</v>
      </c>
      <c r="BY92" s="51" t="s">
        <v>342</v>
      </c>
      <c r="BZ92" s="51" t="s">
        <v>343</v>
      </c>
      <c r="CA92" s="51" t="s">
        <v>390</v>
      </c>
    </row>
    <row r="93" spans="41:79">
      <c r="AO93" s="84"/>
      <c r="AP93" s="84"/>
      <c r="AQ93" s="7">
        <v>2</v>
      </c>
      <c r="AR93" s="6" t="s">
        <v>2</v>
      </c>
      <c r="AS93" s="6" t="s">
        <v>3</v>
      </c>
      <c r="AT93" s="6" t="s">
        <v>2</v>
      </c>
      <c r="AU93" s="6" t="s">
        <v>5</v>
      </c>
      <c r="AV93" s="6" t="s">
        <v>5</v>
      </c>
      <c r="AW93" s="6" t="s">
        <v>5</v>
      </c>
      <c r="AX93" s="6" t="s">
        <v>5</v>
      </c>
      <c r="AY93" s="6" t="s">
        <v>2</v>
      </c>
      <c r="AZ93" s="6" t="s">
        <v>3</v>
      </c>
      <c r="BA93" s="6" t="s">
        <v>3</v>
      </c>
      <c r="BB93" s="6" t="s">
        <v>2</v>
      </c>
      <c r="BC93" s="6" t="s">
        <v>5</v>
      </c>
      <c r="BD93" s="6" t="s">
        <v>5</v>
      </c>
      <c r="BE93" s="6" t="s">
        <v>3</v>
      </c>
      <c r="BF93" s="6" t="s">
        <v>2</v>
      </c>
      <c r="BG93" s="6" t="s">
        <v>5</v>
      </c>
      <c r="BH93" s="6" t="s">
        <v>5</v>
      </c>
      <c r="BI93" s="6" t="s">
        <v>5</v>
      </c>
      <c r="BJ93" s="6" t="s">
        <v>5</v>
      </c>
      <c r="BK93" s="6" t="s">
        <v>4</v>
      </c>
      <c r="BL93" s="6" t="s">
        <v>4</v>
      </c>
      <c r="BM93" s="6" t="s">
        <v>4</v>
      </c>
      <c r="BN93" s="6" t="s">
        <v>3</v>
      </c>
      <c r="BO93" s="6" t="s">
        <v>4</v>
      </c>
      <c r="BP93" s="6" t="s">
        <v>4</v>
      </c>
      <c r="BQ93" s="6" t="s">
        <v>4</v>
      </c>
      <c r="BR93" s="6" t="s">
        <v>4</v>
      </c>
      <c r="BS93" s="6" t="s">
        <v>4</v>
      </c>
      <c r="BT93" s="6" t="s">
        <v>4</v>
      </c>
      <c r="BU93" s="6" t="s">
        <v>3</v>
      </c>
      <c r="BV93" s="6" t="s">
        <v>4</v>
      </c>
      <c r="BW93" s="6" t="s">
        <v>3</v>
      </c>
      <c r="BX93" s="6" t="s">
        <v>4</v>
      </c>
      <c r="BY93" s="6" t="s">
        <v>4</v>
      </c>
      <c r="BZ93" s="6" t="s">
        <v>4</v>
      </c>
      <c r="CA93" s="6" t="s">
        <v>3</v>
      </c>
    </row>
    <row r="94" spans="41:79">
      <c r="AO94" s="6" t="s">
        <v>504</v>
      </c>
      <c r="AP94" s="6"/>
      <c r="AQ94" s="6">
        <f>'Data Training 1'!AW22*'Data Training 1'!AT33*'Data Training 1'!AT38*'Data Training 1'!AT45*'Data Training 1'!AT52*'Data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1'!AT142*'Data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1.3718754964040826E-8</v>
      </c>
    </row>
    <row r="95" spans="41:79">
      <c r="AO95" s="6" t="s">
        <v>505</v>
      </c>
      <c r="AP95" s="6"/>
      <c r="AQ95" s="6">
        <f>'Data Training 1'!AW23*'Data Training 1'!AU33*'Data Training 1'!AU38*'Data Training 1'!AU45*'Data Training 1'!AU52*'Data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1'!AU142*'Data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5.4233813563540962E-9</v>
      </c>
    </row>
    <row r="96" spans="41:79">
      <c r="AO96" s="82" t="s">
        <v>506</v>
      </c>
      <c r="AP96" s="82"/>
      <c r="AQ96" s="6">
        <f>'Data Training 1'!AW24*'Data Training 1'!AV33*'Data Training 1'!AV38*'Data Training 1'!AV45*'Data Training 1'!AV52*'Data Training 1'!AV58*'Data Training 1'!AV64*'Data Training 1'!AV70*'Data Training 1'!AV75*'Data Training 1'!AV80*'Data Training 1'!AV86*'Data Training 1'!AV93*'Data Training 1'!AV100*'Data Training 1'!AV106*'Data Training 1'!AV110*'Data Training 1'!AV117*'Data Training 1'!AV124*'Data Training 1'!AV130*'Data Training 1'!AV136*'Data Training 1'!AV142*'Data Training 1'!AV145*'Data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97" spans="41:79">
      <c r="AO97" s="82" t="s">
        <v>507</v>
      </c>
      <c r="AP97" s="82"/>
      <c r="AQ97" s="6">
        <f>'Data Training 1'!AW25*'Data Training 1'!AW33*'Data Training 1'!AW38*'Data Training 1'!AW45*'Data Training 1'!AW52*'Data Training 1'!AW58*'Data Training 1'!AW64*'Data Training 1'!AW70*'Data Training 1'!AW75*'Data Training 1'!AW80*'Data Training 1'!AW86*'Data Training 1'!AW93*'Data Training 1'!AW100*'Data Training 1'!AW106*'Data Training 1'!AW110*'Data Training 1'!AW117*'Data Training 1'!AW124*'Data Training 1'!AW130*'Data Training 1'!AW136*'Data Training 1'!AW142*'Data Training 1'!AW145*'Data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98" spans="41:79">
      <c r="AO98" s="82" t="s">
        <v>508</v>
      </c>
      <c r="AP98" s="82"/>
      <c r="AQ98" s="6">
        <f>'Data Training 1'!AW26*'Data Training 1'!AX33*'Data Training 1'!AX38*'Data Training 1'!AX45*'Data Training 1'!AX52*'Data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1'!AX142*'Data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4.1330783244220867E-10</v>
      </c>
    </row>
    <row r="99" spans="41:79">
      <c r="AO99" s="82" t="s">
        <v>509</v>
      </c>
      <c r="AP99" s="82"/>
      <c r="AQ99" s="6">
        <f>'Data Training 1'!AW27*'Data Training 1'!AY33*'Data Training 1'!AY38*'Data Training 1'!AY45*'Data Training 1'!AY52*'Data Training 1'!AY58*'Data Training 1'!AY64*'Data Training 1'!AY70*'Data Training 1'!AY75*'Data Training 1'!AY80*'Data Training 1'!AY86*'Data Training 1'!AY93*'Data Training 1'!AY100*'Data Training 1'!AY106*'Data Training 1'!AY110*'Data Training 1'!AY117*'Data Training 1'!AY124*'Data Training 1'!AY130*'Data Training 1'!AY136*'Data Training 1'!AY142*'Data Training 1'!AY145*'Data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100" spans="41:79">
      <c r="AO100" s="80" t="s">
        <v>437</v>
      </c>
      <c r="AP100" s="80"/>
      <c r="AQ100" s="6" t="s">
        <v>300</v>
      </c>
      <c r="AR100" s="81" t="s">
        <v>438</v>
      </c>
      <c r="AS100" s="81"/>
      <c r="AT100" s="81"/>
    </row>
    <row r="102" spans="41:79">
      <c r="AO102" s="84" t="s">
        <v>464</v>
      </c>
      <c r="AP102" s="84"/>
      <c r="AQ102" s="7" t="s">
        <v>64</v>
      </c>
      <c r="AR102" s="51" t="s">
        <v>43</v>
      </c>
      <c r="AS102" s="51" t="s">
        <v>44</v>
      </c>
      <c r="AT102" s="51" t="s">
        <v>45</v>
      </c>
      <c r="AU102" s="51" t="s">
        <v>46</v>
      </c>
      <c r="AV102" s="51" t="s">
        <v>47</v>
      </c>
      <c r="AW102" s="51" t="s">
        <v>48</v>
      </c>
      <c r="AX102" s="51" t="s">
        <v>49</v>
      </c>
      <c r="AY102" s="51" t="s">
        <v>50</v>
      </c>
      <c r="AZ102" s="51" t="s">
        <v>51</v>
      </c>
      <c r="BA102" s="51" t="s">
        <v>52</v>
      </c>
      <c r="BB102" s="51" t="s">
        <v>53</v>
      </c>
      <c r="BC102" s="51" t="s">
        <v>54</v>
      </c>
      <c r="BD102" s="51" t="s">
        <v>55</v>
      </c>
      <c r="BE102" s="51" t="s">
        <v>56</v>
      </c>
      <c r="BF102" s="51" t="s">
        <v>57</v>
      </c>
      <c r="BG102" s="51" t="s">
        <v>58</v>
      </c>
      <c r="BH102" s="51" t="s">
        <v>59</v>
      </c>
      <c r="BI102" s="51" t="s">
        <v>60</v>
      </c>
      <c r="BJ102" s="51" t="s">
        <v>61</v>
      </c>
      <c r="BK102" s="51" t="s">
        <v>62</v>
      </c>
      <c r="BL102" s="51" t="s">
        <v>63</v>
      </c>
      <c r="BM102" s="51" t="s">
        <v>330</v>
      </c>
      <c r="BN102" s="51" t="s">
        <v>331</v>
      </c>
      <c r="BO102" s="51" t="s">
        <v>332</v>
      </c>
      <c r="BP102" s="51" t="s">
        <v>333</v>
      </c>
      <c r="BQ102" s="51" t="s">
        <v>334</v>
      </c>
      <c r="BR102" s="51" t="s">
        <v>335</v>
      </c>
      <c r="BS102" s="51" t="s">
        <v>336</v>
      </c>
      <c r="BT102" s="51" t="s">
        <v>337</v>
      </c>
      <c r="BU102" s="51" t="s">
        <v>338</v>
      </c>
      <c r="BV102" s="51" t="s">
        <v>339</v>
      </c>
      <c r="BW102" s="51" t="s">
        <v>340</v>
      </c>
      <c r="BX102" s="51" t="s">
        <v>341</v>
      </c>
      <c r="BY102" s="51" t="s">
        <v>342</v>
      </c>
      <c r="BZ102" s="51" t="s">
        <v>343</v>
      </c>
      <c r="CA102" s="51" t="s">
        <v>390</v>
      </c>
    </row>
    <row r="103" spans="41:79">
      <c r="AO103" s="84"/>
      <c r="AP103" s="84"/>
      <c r="AQ103" s="7">
        <v>2</v>
      </c>
      <c r="AR103" s="6" t="s">
        <v>4</v>
      </c>
      <c r="AS103" s="6" t="s">
        <v>5</v>
      </c>
      <c r="AT103" s="6" t="s">
        <v>5</v>
      </c>
      <c r="AU103" s="6" t="s">
        <v>5</v>
      </c>
      <c r="AV103" s="6" t="s">
        <v>5</v>
      </c>
      <c r="AW103" s="6" t="s">
        <v>5</v>
      </c>
      <c r="AX103" s="6" t="s">
        <v>5</v>
      </c>
      <c r="AY103" s="6" t="s">
        <v>2</v>
      </c>
      <c r="AZ103" s="6" t="s">
        <v>3</v>
      </c>
      <c r="BA103" s="6" t="s">
        <v>4</v>
      </c>
      <c r="BB103" s="6" t="s">
        <v>4</v>
      </c>
      <c r="BC103" s="6" t="s">
        <v>2</v>
      </c>
      <c r="BD103" s="6" t="s">
        <v>5</v>
      </c>
      <c r="BE103" s="6" t="s">
        <v>4</v>
      </c>
      <c r="BF103" s="6" t="s">
        <v>2</v>
      </c>
      <c r="BG103" s="6" t="s">
        <v>5</v>
      </c>
      <c r="BH103" s="6" t="s">
        <v>2</v>
      </c>
      <c r="BI103" s="6" t="s">
        <v>5</v>
      </c>
      <c r="BJ103" s="6" t="s">
        <v>5</v>
      </c>
      <c r="BK103" s="6" t="s">
        <v>2</v>
      </c>
      <c r="BL103" s="6" t="s">
        <v>4</v>
      </c>
      <c r="BM103" s="6" t="s">
        <v>4</v>
      </c>
      <c r="BN103" s="6" t="s">
        <v>3</v>
      </c>
      <c r="BO103" s="6" t="s">
        <v>4</v>
      </c>
      <c r="BP103" s="6" t="s">
        <v>4</v>
      </c>
      <c r="BQ103" s="6" t="s">
        <v>4</v>
      </c>
      <c r="BR103" s="6" t="s">
        <v>4</v>
      </c>
      <c r="BS103" s="6" t="s">
        <v>4</v>
      </c>
      <c r="BT103" s="6" t="s">
        <v>4</v>
      </c>
      <c r="BU103" s="6" t="s">
        <v>4</v>
      </c>
      <c r="BV103" s="6" t="s">
        <v>4</v>
      </c>
      <c r="BW103" s="6" t="s">
        <v>4</v>
      </c>
      <c r="BX103" s="6" t="s">
        <v>4</v>
      </c>
      <c r="BY103" s="6" t="s">
        <v>4</v>
      </c>
      <c r="BZ103" s="6" t="s">
        <v>4</v>
      </c>
      <c r="CA103" s="6" t="s">
        <v>3</v>
      </c>
    </row>
    <row r="104" spans="41:79">
      <c r="AO104" s="6" t="s">
        <v>504</v>
      </c>
      <c r="AP104" s="6"/>
      <c r="AQ104" s="6">
        <f>'Data Training 1'!AW22*'Data Training 1'!AT31*'Data Training 1'!AT40*'Data Training 1'!AT46*'Data Training 1'!AT52*'Data Training 1'!AT58*'Data Training 1'!AT64*'Data Training 1'!AT70*'Data Training 1'!AT75*'Data Training 1'!AT80*'Data Training 1'!AT85*'Data Training 1'!AT91*'Data Training 1'!AT99*'Data Training 1'!AT106*'Data Training 1'!AT109*'Data Training 1'!AT117*'Data Training 1'!AT124*'Data Training 1'!AT129*'Data Training 1'!AT136*'Data Training 1'!AT142*'Data Training 1'!AT147*'Data Training 1'!AT151*'Data Training 1'!AT157*'Data Training 1'!AT164*'Data Training 1'!AT167*'Data Training 1'!AT171*'Data Training 1'!AT175*'Data Training 1'!AT179*'Data Training 1'!AT183*'Data Training 1'!AT187*'Data Training 1'!AT191*'Data Training 1'!AT195*'Data Training 1'!AT199*'Data Training 1'!AT203*'Data Training 1'!AT207*'Data Training 1'!AT211*'Data Training 1'!AT216</f>
        <v>0</v>
      </c>
    </row>
    <row r="105" spans="41:79">
      <c r="AO105" s="6" t="s">
        <v>505</v>
      </c>
      <c r="AP105" s="6"/>
      <c r="AQ105" s="6">
        <f>'Data Training 1'!AW23*'Data Training 1'!AU31*'Data Training 1'!AU40*'Data Training 1'!AU46*'Data Training 1'!AU52*'Data Training 1'!AU58*'Data Training 1'!AU64*'Data Training 1'!AU70*'Data Training 1'!AU75*'Data Training 1'!AU80*'Data Training 1'!AU85*'Data Training 1'!AU91*'Data Training 1'!AU99*'Data Training 1'!AU106*'Data Training 1'!AU109*'Data Training 1'!AU117*'Data Training 1'!AU124*'Data Training 1'!AU129*'Data Training 1'!AU136*'Data Training 1'!AU142*'Data Training 1'!AU147*'Data Training 1'!AU151*'Data Training 1'!AU157*'Data Training 1'!AU164*'Data Training 1'!AU167*'Data Training 1'!AU171*'Data Training 1'!AU175*'Data Training 1'!AU179*'Data Training 1'!AU183*'Data Training 1'!AU187*'Data Training 1'!AU191*'Data Training 1'!AU195*'Data Training 1'!AU199*'Data Training 1'!AU203*'Data Training 1'!AU207*'Data Training 1'!AU211*'Data Training 1'!AU216</f>
        <v>6.7407083619457886E-11</v>
      </c>
    </row>
    <row r="106" spans="41:79">
      <c r="AO106" s="82" t="s">
        <v>506</v>
      </c>
      <c r="AP106" s="82"/>
      <c r="AQ106" s="6">
        <f>'Data Training 1'!AW24*'Data Training 1'!AV31*'Data Training 1'!AV40*'Data Training 1'!AV46*'Data Training 1'!AV52*'Data Training 1'!AV58*'Data Training 1'!AV64*'Data Training 1'!AV70*'Data Training 1'!AV75*'Data Training 1'!AV80*'Data Training 1'!AV85*'Data Training 1'!AV91*'Data Training 1'!AV99*'Data Training 1'!AV106*'Data Training 1'!AV109*'Data Training 1'!AV117*'Data Training 1'!AV124*'Data Training 1'!AV129*'Data Training 1'!AV136*'Data Training 1'!AV142*'Data Training 1'!AV147*'Data Training 1'!AV151*'Data Training 1'!AV157*'Data Training 1'!AV164*'Data Training 1'!AV167*'Data Training 1'!AV171*'Data Training 1'!AV175*'Data Training 1'!AV179*'Data Training 1'!AV183*'Data Training 1'!AV187*'Data Training 1'!AV191*'Data Training 1'!AV195*'Data Training 1'!AV199*'Data Training 1'!AV203*'Data Training 1'!AV207*'Data Training 1'!AV211*'Data Training 1'!AV216</f>
        <v>0</v>
      </c>
    </row>
    <row r="107" spans="41:79">
      <c r="AO107" s="82" t="s">
        <v>507</v>
      </c>
      <c r="AP107" s="82"/>
      <c r="AQ107" s="6">
        <f>'Data Training 1'!AW25*'Data Training 1'!AW31*'Data Training 1'!AW40*'Data Training 1'!AW46*'Data Training 1'!AW52*'Data Training 1'!AW58*'Data Training 1'!AW64*'Data Training 1'!AW70*'Data Training 1'!AW75*'Data Training 1'!AW80*'Data Training 1'!AW85*'Data Training 1'!AW91*'Data Training 1'!AW99*'Data Training 1'!AW106*'Data Training 1'!AW109*'Data Training 1'!AW117*'Data Training 1'!AW124*'Data Training 1'!AW129*'Data Training 1'!AW136*'Data Training 1'!AW142*'Data Training 1'!AW147*'Data Training 1'!AW151*'Data Training 1'!AW157*'Data Training 1'!AW164*'Data Training 1'!AW167*'Data Training 1'!AW171*'Data Training 1'!AW175*'Data Training 1'!AW179*'Data Training 1'!AW183*'Data Training 1'!AW187*'Data Training 1'!AW191*'Data Training 1'!AW195*'Data Training 1'!AW199*'Data Training 1'!AW203*'Data Training 1'!AW207*'Data Training 1'!AW211*'Data Training 1'!AW216</f>
        <v>0</v>
      </c>
    </row>
    <row r="108" spans="41:79">
      <c r="AO108" s="82" t="s">
        <v>508</v>
      </c>
      <c r="AP108" s="82"/>
      <c r="AQ108" s="6">
        <f>'Data Training 1'!AW26*'Data Training 1'!AX31*'Data Training 1'!AX40*'Data Training 1'!AX46*'Data Training 1'!AX52*'Data Training 1'!AX58*'Data Training 1'!AX64*'Data Training 1'!AX70*'Data Training 1'!AX75*'Data Training 1'!AX80*'Data Training 1'!AX85*'Data Training 1'!AX91*'Data Training 1'!AX99*'Data Training 1'!AX106*'Data Training 1'!AX109*'Data Training 1'!AX117*'Data Training 1'!AX124*'Data Training 1'!AX129*'Data Training 1'!AX136*'Data Training 1'!AX142*'Data Training 1'!AX147*'Data Training 1'!AX151*'Data Training 1'!AX157*'Data Training 1'!AX164*'Data Training 1'!AX167*'Data Training 1'!AX171*'Data Training 1'!AX175*'Data Training 1'!AX179*'Data Training 1'!AX183*'Data Training 1'!AX187*'Data Training 1'!AX191*'Data Training 1'!AX195*'Data Training 1'!AX199*'Data Training 1'!AX203*'Data Training 1'!AX207*'Data Training 1'!AX211*'Data Training 1'!AX216</f>
        <v>0</v>
      </c>
    </row>
    <row r="109" spans="41:79">
      <c r="AO109" s="82" t="s">
        <v>509</v>
      </c>
      <c r="AP109" s="82"/>
      <c r="AQ109" s="6">
        <f>'Data Training 1'!AW27*'Data Training 1'!AY31*'Data Training 1'!AY40*'Data Training 1'!AY46*'Data Training 1'!AY52*'Data Training 1'!AY58*'Data Training 1'!AY64*'Data Training 1'!AY70*'Data Training 1'!AY75*'Data Training 1'!AY80*'Data Training 1'!AY85*'Data Training 1'!AY91*'Data Training 1'!AY99*'Data Training 1'!AY106*'Data Training 1'!AY109*'Data Training 1'!AY117*'Data Training 1'!AY124*'Data Training 1'!AY129*'Data Training 1'!AY136*'Data Training 1'!AY142*'Data Training 1'!AY147*'Data Training 1'!AY151*'Data Training 1'!AY157*'Data Training 1'!AY164*'Data Training 1'!AY167*'Data Training 1'!AY171*'Data Training 1'!AY175*'Data Training 1'!AY179*'Data Training 1'!AY183*'Data Training 1'!AY187*'Data Training 1'!AY191*'Data Training 1'!AY195*'Data Training 1'!AY199*'Data Training 1'!AY203*'Data Training 1'!AY207*'Data Training 1'!AY211*'Data Training 1'!AY216</f>
        <v>1.0756884473246228E-12</v>
      </c>
    </row>
    <row r="110" spans="41:79">
      <c r="AO110" s="80" t="s">
        <v>437</v>
      </c>
      <c r="AP110" s="80"/>
      <c r="AQ110" s="6" t="s">
        <v>300</v>
      </c>
      <c r="AR110" s="74" t="s">
        <v>438</v>
      </c>
      <c r="AS110" s="74"/>
      <c r="AT110" s="74"/>
    </row>
    <row r="112" spans="41:79">
      <c r="AO112" s="84" t="s">
        <v>490</v>
      </c>
      <c r="AP112" s="84"/>
      <c r="AQ112" s="7" t="s">
        <v>64</v>
      </c>
      <c r="AR112" s="51" t="s">
        <v>43</v>
      </c>
      <c r="AS112" s="51" t="s">
        <v>44</v>
      </c>
      <c r="AT112" s="51" t="s">
        <v>45</v>
      </c>
      <c r="AU112" s="51" t="s">
        <v>46</v>
      </c>
      <c r="AV112" s="51" t="s">
        <v>47</v>
      </c>
      <c r="AW112" s="51" t="s">
        <v>48</v>
      </c>
      <c r="AX112" s="51" t="s">
        <v>49</v>
      </c>
      <c r="AY112" s="51" t="s">
        <v>50</v>
      </c>
      <c r="AZ112" s="51" t="s">
        <v>51</v>
      </c>
      <c r="BA112" s="51" t="s">
        <v>52</v>
      </c>
      <c r="BB112" s="51" t="s">
        <v>53</v>
      </c>
      <c r="BC112" s="51" t="s">
        <v>54</v>
      </c>
      <c r="BD112" s="51" t="s">
        <v>55</v>
      </c>
      <c r="BE112" s="51" t="s">
        <v>56</v>
      </c>
      <c r="BF112" s="51" t="s">
        <v>57</v>
      </c>
      <c r="BG112" s="51" t="s">
        <v>58</v>
      </c>
      <c r="BH112" s="51" t="s">
        <v>59</v>
      </c>
      <c r="BI112" s="51" t="s">
        <v>60</v>
      </c>
      <c r="BJ112" s="51" t="s">
        <v>61</v>
      </c>
      <c r="BK112" s="51" t="s">
        <v>62</v>
      </c>
      <c r="BL112" s="51" t="s">
        <v>63</v>
      </c>
      <c r="BM112" s="51" t="s">
        <v>330</v>
      </c>
      <c r="BN112" s="51" t="s">
        <v>331</v>
      </c>
      <c r="BO112" s="51" t="s">
        <v>332</v>
      </c>
      <c r="BP112" s="51" t="s">
        <v>333</v>
      </c>
      <c r="BQ112" s="51" t="s">
        <v>334</v>
      </c>
      <c r="BR112" s="51" t="s">
        <v>335</v>
      </c>
      <c r="BS112" s="51" t="s">
        <v>336</v>
      </c>
      <c r="BT112" s="51" t="s">
        <v>337</v>
      </c>
      <c r="BU112" s="51" t="s">
        <v>338</v>
      </c>
      <c r="BV112" s="51" t="s">
        <v>339</v>
      </c>
      <c r="BW112" s="51" t="s">
        <v>340</v>
      </c>
      <c r="BX112" s="51" t="s">
        <v>341</v>
      </c>
      <c r="BY112" s="51" t="s">
        <v>342</v>
      </c>
      <c r="BZ112" s="51" t="s">
        <v>343</v>
      </c>
      <c r="CA112" s="51" t="s">
        <v>390</v>
      </c>
    </row>
    <row r="113" spans="41:79">
      <c r="AO113" s="84"/>
      <c r="AP113" s="84"/>
      <c r="AQ113" s="7">
        <v>2</v>
      </c>
      <c r="AR113" s="6" t="s">
        <v>4</v>
      </c>
      <c r="AS113" s="6" t="s">
        <v>5</v>
      </c>
      <c r="AT113" s="6" t="s">
        <v>3</v>
      </c>
      <c r="AU113" s="6" t="s">
        <v>2</v>
      </c>
      <c r="AV113" s="6" t="s">
        <v>5</v>
      </c>
      <c r="AW113" s="6" t="s">
        <v>5</v>
      </c>
      <c r="AX113" s="6" t="s">
        <v>5</v>
      </c>
      <c r="AY113" s="6" t="s">
        <v>2</v>
      </c>
      <c r="AZ113" s="6" t="s">
        <v>2</v>
      </c>
      <c r="BA113" s="6" t="s">
        <v>3</v>
      </c>
      <c r="BB113" s="6" t="s">
        <v>4</v>
      </c>
      <c r="BC113" s="6" t="s">
        <v>2</v>
      </c>
      <c r="BD113" s="6" t="s">
        <v>5</v>
      </c>
      <c r="BE113" s="6" t="s">
        <v>3</v>
      </c>
      <c r="BF113" s="6" t="s">
        <v>4</v>
      </c>
      <c r="BG113" s="6" t="s">
        <v>5</v>
      </c>
      <c r="BH113" s="6" t="s">
        <v>5</v>
      </c>
      <c r="BI113" s="6" t="s">
        <v>5</v>
      </c>
      <c r="BJ113" s="6" t="s">
        <v>4</v>
      </c>
      <c r="BK113" s="6" t="s">
        <v>4</v>
      </c>
      <c r="BL113" s="6" t="s">
        <v>3</v>
      </c>
      <c r="BM113" s="6" t="s">
        <v>4</v>
      </c>
      <c r="BN113" s="6" t="s">
        <v>3</v>
      </c>
      <c r="BO113" s="6" t="s">
        <v>4</v>
      </c>
      <c r="BP113" s="6" t="s">
        <v>4</v>
      </c>
      <c r="BQ113" s="6" t="s">
        <v>4</v>
      </c>
      <c r="BR113" s="6" t="s">
        <v>4</v>
      </c>
      <c r="BS113" s="6" t="s">
        <v>4</v>
      </c>
      <c r="BT113" s="6" t="s">
        <v>4</v>
      </c>
      <c r="BU113" s="6" t="s">
        <v>3</v>
      </c>
      <c r="BV113" s="6" t="s">
        <v>4</v>
      </c>
      <c r="BW113" s="6" t="s">
        <v>3</v>
      </c>
      <c r="BX113" s="6" t="s">
        <v>4</v>
      </c>
      <c r="BY113" s="6" t="s">
        <v>4</v>
      </c>
      <c r="BZ113" s="6" t="s">
        <v>4</v>
      </c>
      <c r="CA113" s="6" t="s">
        <v>4</v>
      </c>
    </row>
    <row r="114" spans="41:79">
      <c r="AO114" s="6" t="s">
        <v>504</v>
      </c>
      <c r="AP114" s="6"/>
      <c r="AQ114" s="6">
        <f>'Data Training 1'!AW22*'Data Training 1'!AT31*'Data Training 1'!AT40*'Data Training 1'!AT44*'Data Training 1'!AT51*'Data Training 1'!AT58*'Data Training 1'!AT64*'Data Training 1'!AT70*'Data Training 1'!AT75*'Data Training 1'!AT81*'Data Training 1'!AT86*'Data Training 1'!AT91*'Data Training 1'!AT99*'Data Training 1'!AT106*'Data Training 1'!AT110*'Data Training 1'!AT115*'Data Training 1'!AT124*'Data Training 1'!AT130*'Data Training 1'!AT136*'Data Training 1'!AT139*'Data Training 1'!AT145*'Data Training 1'!AT152*'Data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1'!AT215</f>
        <v>0</v>
      </c>
    </row>
    <row r="115" spans="41:79">
      <c r="AO115" s="6" t="s">
        <v>505</v>
      </c>
      <c r="AP115" s="6"/>
      <c r="AQ115" s="6">
        <f>'Data Training 1'!AW23*'Data Training 1'!AU31*'Data Training 1'!AU40*'Data Training 1'!AU44*'Data Training 1'!AU51*'Data Training 1'!AU58*'Data Training 1'!AU64*'Data Training 1'!AU70*'Data Training 1'!AU75*'Data Training 1'!AU81*'Data Training 1'!AU86*'Data Training 1'!AU91*'Data Training 1'!AU99*'Data Training 1'!AU106*'Data Training 1'!AU110*'Data Training 1'!AU115*'Data Training 1'!AU124*'Data Training 1'!AU130*'Data Training 1'!AU136*'Data Training 1'!AU139*'Data Training 1'!AU145*'Data Training 1'!AU152*'Data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1'!AU215</f>
        <v>2.139418294795528E-9</v>
      </c>
    </row>
    <row r="116" spans="41:79">
      <c r="AO116" s="82" t="s">
        <v>506</v>
      </c>
      <c r="AP116" s="82"/>
      <c r="AQ116" s="6">
        <f>'Data Training 1'!AW24*'Data Training 1'!AV31*'Data Training 1'!AV40*'Data Training 1'!AV44*'Data Training 1'!AV51*'Data Training 1'!AV58*'Data Training 1'!AV64*'Data Training 1'!AV70*'Data Training 1'!AV75*'Data Training 1'!AV81*'Data Training 1'!AV86*'Data Training 1'!AV91*'Data Training 1'!AV99*'Data Training 1'!AV106*'Data Training 1'!AV110*'Data Training 1'!AV115*'Data Training 1'!AV124*'Data Training 1'!AV130*'Data Training 1'!AV136*'Data Training 1'!AV139*'Data Training 1'!AV145*'Data Training 1'!AV152*'Data Training 1'!AV157*'Data Training 1'!AV163*'Data Training 1'!AV167*'Data Training 1'!AV171*'Data Training 1'!AV175*'Data Training 1'!AV179*'Data Training 1'!AV183*'Data Training 1'!AV187*'Data Training 1'!AV192*'Data Training 1'!AV195*'Data Training 1'!AV200*'Data Training 1'!AV203*'Data Training 1'!AV207*'Data Training 1'!AV211*'Data Training 1'!AV215</f>
        <v>0</v>
      </c>
    </row>
    <row r="117" spans="41:79">
      <c r="AO117" s="82" t="s">
        <v>507</v>
      </c>
      <c r="AP117" s="82"/>
      <c r="AQ117" s="6">
        <f>'Data Training 1'!AW25*'Data Training 1'!AW31*'Data Training 1'!AW40*'Data Training 1'!AW44*'Data Training 1'!AW51*'Data Training 1'!AW58*'Data Training 1'!AW64*'Data Training 1'!AW70*'Data Training 1'!AW75*'Data Training 1'!AW81*'Data Training 1'!AW86*'Data Training 1'!AW91*'Data Training 1'!AW99*'Data Training 1'!AW106*'Data Training 1'!AW110*'Data Training 1'!AW115*'Data Training 1'!AW124*'Data Training 1'!AW130*'Data Training 1'!AW136*'Data Training 1'!AW139*'Data Training 1'!AW145*'Data Training 1'!AW152*'Data Training 1'!AW157*'Data Training 1'!AW163*'Data Training 1'!AW167*'Data Training 1'!AW171*'Data Training 1'!AW175*'Data Training 1'!AW179*'Data Training 1'!AW183*'Data Training 1'!AW187*'Data Training 1'!AW192*'Data Training 1'!AW195*'Data Training 1'!AW200*'Data Training 1'!AW203*'Data Training 1'!AW207*'Data Training 1'!AW211*'Data Training 1'!AW215</f>
        <v>0</v>
      </c>
    </row>
    <row r="118" spans="41:79">
      <c r="AO118" s="82" t="s">
        <v>508</v>
      </c>
      <c r="AP118" s="82"/>
      <c r="AQ118" s="6">
        <f>'Data Training 1'!AW26*'Data Training 1'!AX31*'Data Training 1'!AX40*'Data Training 1'!AX44*'Data Training 1'!AX51*'Data Training 1'!AX58*'Data Training 1'!AX64*'Data Training 1'!AX70*'Data Training 1'!AX75*'Data Training 1'!AX81*'Data Training 1'!AX86*'Data Training 1'!AX91*'Data Training 1'!AX99*'Data Training 1'!AX106*'Data Training 1'!AX110*'Data Training 1'!AX115*'Data Training 1'!AX124*'Data Training 1'!AX130*'Data Training 1'!AX136*'Data Training 1'!AX139*'Data Training 1'!AX145*'Data Training 1'!AX152*'Data Training 1'!AX157*'Data Training 1'!AX163*'Data Training 1'!AX167*'Data Training 1'!AX171*'Data Training 1'!AX175*'Data Training 1'!AX179*'Data Training 1'!AX183*'Data Training 1'!AX187*'Data Training 1'!AX192*'Data Training 1'!AX195*'Data Training 1'!AX200*'Data Training 1'!AX203*'Data Training 1'!AX207*'Data Training 1'!AX211*'Data Training 1'!AX215</f>
        <v>0</v>
      </c>
    </row>
    <row r="119" spans="41:79">
      <c r="AO119" s="82" t="s">
        <v>509</v>
      </c>
      <c r="AP119" s="82"/>
      <c r="AQ119" s="6">
        <f>'Data Training 1'!AW27*'Data Training 1'!AY31*'Data Training 1'!AY40*'Data Training 1'!AY44*'Data Training 1'!AY51*'Data Training 1'!AY58*'Data Training 1'!AY64*'Data Training 1'!AY70*'Data Training 1'!AY75*'Data Training 1'!AY81*'Data Training 1'!AY86*'Data Training 1'!AY91*'Data Training 1'!AY99*'Data Training 1'!AY106*'Data Training 1'!AY110*'Data Training 1'!AY115*'Data Training 1'!AY124*'Data Training 1'!AY130*'Data Training 1'!AY136*'Data Training 1'!AY139*'Data Training 1'!AY145*'Data Training 1'!AY152*'Data Training 1'!AY157*'Data Training 1'!AY163*'Data Training 1'!AY167*'Data Training 1'!AY171*'Data Training 1'!AY175*'Data Training 1'!AY179*'Data Training 1'!AY183*'Data Training 1'!AY187*'Data Training 1'!AY192*'Data Training 1'!AY195*'Data Training 1'!AY200*'Data Training 1'!AY203*'Data Training 1'!AY207*'Data Training 1'!AY211*'Data Training 1'!AY215</f>
        <v>0</v>
      </c>
    </row>
    <row r="120" spans="41:79">
      <c r="AO120" s="80" t="s">
        <v>437</v>
      </c>
      <c r="AP120" s="80"/>
      <c r="AQ120" s="6" t="s">
        <v>300</v>
      </c>
      <c r="AR120" s="81" t="s">
        <v>438</v>
      </c>
      <c r="AS120" s="81"/>
      <c r="AT120" s="81"/>
    </row>
    <row r="122" spans="41:79">
      <c r="AO122" s="84" t="s">
        <v>319</v>
      </c>
      <c r="AP122" s="84"/>
      <c r="AQ122" s="7" t="s">
        <v>64</v>
      </c>
      <c r="AR122" s="51" t="s">
        <v>43</v>
      </c>
      <c r="AS122" s="51" t="s">
        <v>44</v>
      </c>
      <c r="AT122" s="51" t="s">
        <v>45</v>
      </c>
      <c r="AU122" s="51" t="s">
        <v>46</v>
      </c>
      <c r="AV122" s="51" t="s">
        <v>47</v>
      </c>
      <c r="AW122" s="51" t="s">
        <v>48</v>
      </c>
      <c r="AX122" s="51" t="s">
        <v>49</v>
      </c>
      <c r="AY122" s="51" t="s">
        <v>50</v>
      </c>
      <c r="AZ122" s="51" t="s">
        <v>51</v>
      </c>
      <c r="BA122" s="51" t="s">
        <v>52</v>
      </c>
      <c r="BB122" s="51" t="s">
        <v>53</v>
      </c>
      <c r="BC122" s="51" t="s">
        <v>54</v>
      </c>
      <c r="BD122" s="51" t="s">
        <v>55</v>
      </c>
      <c r="BE122" s="51" t="s">
        <v>56</v>
      </c>
      <c r="BF122" s="51" t="s">
        <v>57</v>
      </c>
      <c r="BG122" s="51" t="s">
        <v>58</v>
      </c>
      <c r="BH122" s="51" t="s">
        <v>59</v>
      </c>
      <c r="BI122" s="51" t="s">
        <v>60</v>
      </c>
      <c r="BJ122" s="51" t="s">
        <v>61</v>
      </c>
      <c r="BK122" s="51" t="s">
        <v>62</v>
      </c>
      <c r="BL122" s="51" t="s">
        <v>63</v>
      </c>
      <c r="BM122" s="51" t="s">
        <v>330</v>
      </c>
      <c r="BN122" s="51" t="s">
        <v>331</v>
      </c>
      <c r="BO122" s="51" t="s">
        <v>332</v>
      </c>
      <c r="BP122" s="51" t="s">
        <v>333</v>
      </c>
      <c r="BQ122" s="51" t="s">
        <v>334</v>
      </c>
      <c r="BR122" s="51" t="s">
        <v>335</v>
      </c>
      <c r="BS122" s="51" t="s">
        <v>336</v>
      </c>
      <c r="BT122" s="51" t="s">
        <v>337</v>
      </c>
      <c r="BU122" s="51" t="s">
        <v>338</v>
      </c>
      <c r="BV122" s="51" t="s">
        <v>339</v>
      </c>
      <c r="BW122" s="51" t="s">
        <v>340</v>
      </c>
      <c r="BX122" s="51" t="s">
        <v>341</v>
      </c>
      <c r="BY122" s="51" t="s">
        <v>342</v>
      </c>
      <c r="BZ122" s="51" t="s">
        <v>343</v>
      </c>
      <c r="CA122" s="51" t="s">
        <v>390</v>
      </c>
    </row>
    <row r="123" spans="41:79">
      <c r="AO123" s="84"/>
      <c r="AP123" s="84"/>
      <c r="AQ123" s="7">
        <v>3</v>
      </c>
      <c r="AR123" s="6" t="s">
        <v>2</v>
      </c>
      <c r="AS123" s="6" t="s">
        <v>3</v>
      </c>
      <c r="AT123" s="6" t="s">
        <v>3</v>
      </c>
      <c r="AU123" s="6" t="s">
        <v>2</v>
      </c>
      <c r="AV123" s="6" t="s">
        <v>5</v>
      </c>
      <c r="AW123" s="6" t="s">
        <v>5</v>
      </c>
      <c r="AX123" s="6" t="s">
        <v>5</v>
      </c>
      <c r="AY123" s="6" t="s">
        <v>2</v>
      </c>
      <c r="AZ123" s="6" t="s">
        <v>3</v>
      </c>
      <c r="BA123" s="6" t="s">
        <v>3</v>
      </c>
      <c r="BB123" s="6" t="s">
        <v>3</v>
      </c>
      <c r="BC123" s="6" t="s">
        <v>2</v>
      </c>
      <c r="BD123" s="6" t="s">
        <v>5</v>
      </c>
      <c r="BE123" s="6" t="s">
        <v>3</v>
      </c>
      <c r="BF123" s="6" t="s">
        <v>3</v>
      </c>
      <c r="BG123" s="6" t="s">
        <v>5</v>
      </c>
      <c r="BH123" s="6" t="s">
        <v>5</v>
      </c>
      <c r="BI123" s="6" t="s">
        <v>5</v>
      </c>
      <c r="BJ123" s="6" t="s">
        <v>5</v>
      </c>
      <c r="BK123" s="6" t="s">
        <v>4</v>
      </c>
      <c r="BL123" s="6" t="s">
        <v>3</v>
      </c>
      <c r="BM123" s="6" t="s">
        <v>2</v>
      </c>
      <c r="BN123" s="6" t="s">
        <v>3</v>
      </c>
      <c r="BO123" s="6" t="s">
        <v>4</v>
      </c>
      <c r="BP123" s="6" t="s">
        <v>4</v>
      </c>
      <c r="BQ123" s="6" t="s">
        <v>4</v>
      </c>
      <c r="BR123" s="6" t="s">
        <v>4</v>
      </c>
      <c r="BS123" s="6" t="s">
        <v>4</v>
      </c>
      <c r="BT123" s="6" t="s">
        <v>4</v>
      </c>
      <c r="BU123" s="6" t="s">
        <v>3</v>
      </c>
      <c r="BV123" s="6" t="s">
        <v>4</v>
      </c>
      <c r="BW123" s="6" t="s">
        <v>3</v>
      </c>
      <c r="BX123" s="6" t="s">
        <v>4</v>
      </c>
      <c r="BY123" s="6" t="s">
        <v>4</v>
      </c>
      <c r="BZ123" s="6" t="s">
        <v>3</v>
      </c>
      <c r="CA123" s="6" t="s">
        <v>3</v>
      </c>
    </row>
    <row r="124" spans="41:79">
      <c r="AO124" s="6" t="s">
        <v>504</v>
      </c>
      <c r="AP124" s="6"/>
      <c r="AQ124" s="6">
        <f>'Data Training 1'!AW22*'Data Training 1'!AT33*'Data Training 1'!AT38*'Data Training 1'!AT44*'Data Training 1'!AT51*'Data Training 1'!AT58*'Data Training 1'!AT64*'Data Training 1'!AT70*'Data Training 1'!AT75*'Data Training 1'!AT80*'Data Training 1'!AT86*'Data Training 1'!AT92*'Data Training 1'!AT99*'Data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2.7657010007506294E-8</v>
      </c>
    </row>
    <row r="125" spans="41:79">
      <c r="AO125" s="6" t="s">
        <v>505</v>
      </c>
      <c r="AP125" s="6"/>
      <c r="AQ125" s="6">
        <f>'Data Training 1'!AW23*'Data Training 1'!AU33*'Data Training 1'!AU38*'Data Training 1'!AU44*'Data Training 1'!AU51*'Data Training 1'!AU58*'Data Training 1'!AU64*'Data Training 1'!AU70*'Data Training 1'!AU75*'Data Training 1'!AU80*'Data Training 1'!AU86*'Data Training 1'!AU92*'Data Training 1'!AU99*'Data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2.8016191955655727E-9</v>
      </c>
    </row>
    <row r="126" spans="41:79">
      <c r="AO126" s="82" t="s">
        <v>506</v>
      </c>
      <c r="AP126" s="82"/>
      <c r="AQ126" s="6">
        <f>'Data Training 1'!AW24*'Data Training 1'!AV33*'Data Training 1'!AV38*'Data Training 1'!AV44*'Data Training 1'!AV51*'Data Training 1'!AV58*'Data Training 1'!AV64*'Data Training 1'!AV70*'Data Training 1'!AV75*'Data Training 1'!AV80*'Data Training 1'!AV86*'Data Training 1'!AV92*'Data Training 1'!AV99*'Data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5.5332311688297959E-8</v>
      </c>
    </row>
    <row r="127" spans="41:79">
      <c r="AO127" s="82" t="s">
        <v>507</v>
      </c>
      <c r="AP127" s="82"/>
      <c r="AQ127" s="6">
        <f>'Data Training 1'!AW25*'Data Training 1'!AW33*'Data Training 1'!AW38*'Data Training 1'!AW44*'Data Training 1'!AW51*'Data Training 1'!AW58*'Data Training 1'!AW64*'Data Training 1'!AW70*'Data Training 1'!AW75*'Data Training 1'!AW80*'Data Training 1'!AW86*'Data Training 1'!AW92*'Data Training 1'!AW99*'Data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5.0285880902225259E-9</v>
      </c>
    </row>
    <row r="128" spans="41:79">
      <c r="AO128" s="82" t="s">
        <v>508</v>
      </c>
      <c r="AP128" s="82"/>
      <c r="AQ128" s="6">
        <f>'Data Training 1'!AW26*'Data Training 1'!AX33*'Data Training 1'!AX38*'Data Training 1'!AX44*'Data Training 1'!AX51*'Data Training 1'!AX58*'Data Training 1'!AX64*'Data Training 1'!AX70*'Data Training 1'!AX75*'Data Training 1'!AX80*'Data Training 1'!AX86*'Data Training 1'!AX92*'Data Training 1'!AX99*'Data Training 1'!AX106*'Data Training 1'!AX110*'Data Training 1'!AX116*'Data Training 1'!AX124*'Data Training 1'!AX130*'Data Training 1'!AX136*'Data Training 1'!AX142*'Data Training 1'!AX145*'Data Training 1'!AX152*'Data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0</v>
      </c>
    </row>
    <row r="129" spans="41:79">
      <c r="AO129" s="82" t="s">
        <v>509</v>
      </c>
      <c r="AP129" s="82"/>
      <c r="AQ129" s="6">
        <f>'Data Training 1'!AW27*'Data Training 1'!AY33*'Data Training 1'!AY38*'Data Training 1'!AY44*'Data Training 1'!AY51*'Data Training 1'!AY58*'Data Training 1'!AY64*'Data Training 1'!AY70*'Data Training 1'!AY75*'Data Training 1'!AY80*'Data Training 1'!AY86*'Data Training 1'!AY92*'Data Training 1'!AY99*'Data Training 1'!AY106*'Data Training 1'!AY110*'Data Training 1'!AY116*'Data Training 1'!AY124*'Data Training 1'!AY130*'Data Training 1'!AY136*'Data Training 1'!AY142*'Data Training 1'!AY145*'Data Training 1'!AY152*'Data Training 1'!AY159*'Data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130" spans="41:79">
      <c r="AO130" s="80" t="s">
        <v>437</v>
      </c>
      <c r="AP130" s="80"/>
      <c r="AQ130" s="6" t="s">
        <v>294</v>
      </c>
      <c r="AR130" s="81" t="s">
        <v>438</v>
      </c>
      <c r="AS130" s="81"/>
      <c r="AT130" s="81"/>
    </row>
    <row r="132" spans="41:79">
      <c r="AO132" s="84" t="s">
        <v>501</v>
      </c>
      <c r="AP132" s="84"/>
      <c r="AQ132" s="7" t="s">
        <v>64</v>
      </c>
      <c r="AR132" s="51" t="s">
        <v>43</v>
      </c>
      <c r="AS132" s="51" t="s">
        <v>44</v>
      </c>
      <c r="AT132" s="51" t="s">
        <v>45</v>
      </c>
      <c r="AU132" s="51" t="s">
        <v>46</v>
      </c>
      <c r="AV132" s="51" t="s">
        <v>47</v>
      </c>
      <c r="AW132" s="51" t="s">
        <v>48</v>
      </c>
      <c r="AX132" s="51" t="s">
        <v>49</v>
      </c>
      <c r="AY132" s="51" t="s">
        <v>50</v>
      </c>
      <c r="AZ132" s="51" t="s">
        <v>51</v>
      </c>
      <c r="BA132" s="51" t="s">
        <v>52</v>
      </c>
      <c r="BB132" s="51" t="s">
        <v>53</v>
      </c>
      <c r="BC132" s="51" t="s">
        <v>54</v>
      </c>
      <c r="BD132" s="51" t="s">
        <v>55</v>
      </c>
      <c r="BE132" s="51" t="s">
        <v>56</v>
      </c>
      <c r="BF132" s="51" t="s">
        <v>57</v>
      </c>
      <c r="BG132" s="51" t="s">
        <v>58</v>
      </c>
      <c r="BH132" s="51" t="s">
        <v>59</v>
      </c>
      <c r="BI132" s="51" t="s">
        <v>60</v>
      </c>
      <c r="BJ132" s="51" t="s">
        <v>61</v>
      </c>
      <c r="BK132" s="51" t="s">
        <v>62</v>
      </c>
      <c r="BL132" s="51" t="s">
        <v>63</v>
      </c>
      <c r="BM132" s="51" t="s">
        <v>330</v>
      </c>
      <c r="BN132" s="51" t="s">
        <v>331</v>
      </c>
      <c r="BO132" s="51" t="s">
        <v>332</v>
      </c>
      <c r="BP132" s="51" t="s">
        <v>333</v>
      </c>
      <c r="BQ132" s="51" t="s">
        <v>334</v>
      </c>
      <c r="BR132" s="51" t="s">
        <v>335</v>
      </c>
      <c r="BS132" s="51" t="s">
        <v>336</v>
      </c>
      <c r="BT132" s="51" t="s">
        <v>337</v>
      </c>
      <c r="BU132" s="51" t="s">
        <v>338</v>
      </c>
      <c r="BV132" s="51" t="s">
        <v>339</v>
      </c>
      <c r="BW132" s="51" t="s">
        <v>340</v>
      </c>
      <c r="BX132" s="51" t="s">
        <v>341</v>
      </c>
      <c r="BY132" s="51" t="s">
        <v>342</v>
      </c>
      <c r="BZ132" s="51" t="s">
        <v>343</v>
      </c>
      <c r="CA132" s="51" t="s">
        <v>390</v>
      </c>
    </row>
    <row r="133" spans="41:79">
      <c r="AO133" s="84"/>
      <c r="AP133" s="84"/>
      <c r="AQ133" s="7">
        <v>3</v>
      </c>
      <c r="AR133" s="6" t="s">
        <v>2</v>
      </c>
      <c r="AS133" s="6" t="s">
        <v>3</v>
      </c>
      <c r="AT133" s="6" t="s">
        <v>3</v>
      </c>
      <c r="AU133" s="6" t="s">
        <v>2</v>
      </c>
      <c r="AV133" s="6" t="s">
        <v>5</v>
      </c>
      <c r="AW133" s="6" t="s">
        <v>2</v>
      </c>
      <c r="AX133" s="6" t="s">
        <v>5</v>
      </c>
      <c r="AY133" s="6" t="s">
        <v>2</v>
      </c>
      <c r="AZ133" s="6" t="s">
        <v>3</v>
      </c>
      <c r="BA133" s="6" t="s">
        <v>4</v>
      </c>
      <c r="BB133" s="6" t="s">
        <v>4</v>
      </c>
      <c r="BC133" s="6" t="s">
        <v>5</v>
      </c>
      <c r="BD133" s="6" t="s">
        <v>5</v>
      </c>
      <c r="BE133" s="6" t="s">
        <v>4</v>
      </c>
      <c r="BF133" s="6" t="s">
        <v>5</v>
      </c>
      <c r="BG133" s="6" t="s">
        <v>5</v>
      </c>
      <c r="BH133" s="6" t="s">
        <v>5</v>
      </c>
      <c r="BI133" s="6" t="s">
        <v>5</v>
      </c>
      <c r="BJ133" s="6" t="s">
        <v>5</v>
      </c>
      <c r="BK133" s="6" t="s">
        <v>4</v>
      </c>
      <c r="BL133" s="6" t="s">
        <v>3</v>
      </c>
      <c r="BM133" s="6" t="s">
        <v>4</v>
      </c>
      <c r="BN133" s="6" t="s">
        <v>4</v>
      </c>
      <c r="BO133" s="6" t="s">
        <v>4</v>
      </c>
      <c r="BP133" s="6" t="s">
        <v>4</v>
      </c>
      <c r="BQ133" s="6" t="s">
        <v>4</v>
      </c>
      <c r="BR133" s="6" t="s">
        <v>4</v>
      </c>
      <c r="BS133" s="6" t="s">
        <v>4</v>
      </c>
      <c r="BT133" s="6" t="s">
        <v>4</v>
      </c>
      <c r="BU133" s="6" t="s">
        <v>4</v>
      </c>
      <c r="BV133" s="6" t="s">
        <v>4</v>
      </c>
      <c r="BW133" s="6" t="s">
        <v>3</v>
      </c>
      <c r="BX133" s="6" t="s">
        <v>4</v>
      </c>
      <c r="BY133" s="6" t="s">
        <v>4</v>
      </c>
      <c r="BZ133" s="6" t="s">
        <v>3</v>
      </c>
      <c r="CA133" s="6" t="s">
        <v>4</v>
      </c>
    </row>
    <row r="134" spans="41:79">
      <c r="AO134" s="6" t="s">
        <v>504</v>
      </c>
      <c r="AP134" s="6"/>
      <c r="AQ134" s="6">
        <f>'Data Training 1'!AW22*'Data Training 1'!AT33*'Data Training 1'!AT38*'Data Training 1'!AT44*'Data Training 1'!AT51*'Data Training 1'!AT58*'Data Training 1'!AT63*'Data Training 1'!AT70*'Data Training 1'!AT75*'Data Training 1'!AT80*'Data Training 1'!AT85*'Data Training 1'!AT91*'Data Training 1'!AT100*'Data Training 1'!AT106*'Data Training 1'!AT109*'Data Training 1'!AT118*'Data Training 1'!AT124*'Data Training 1'!AT130*'Data Training 1'!AT136*'Data Training 1'!AT142*'Data Training 1'!AT145*'Data Training 1'!AT152*'Data Training 1'!AT157*'Data Training 1'!AT163*'Data Training 1'!AT167*'Data Training 1'!AT171*'Data Training 1'!AT175*'Data Training 1'!AT179*'Data Training 1'!AT183*'Data Training 1'!AT187*'Data Training 1'!AT191*'Data Training 1'!AT195*'Data Training 1'!AT200*'Data Training 1'!AT203*'Data Training 1'!AT207*'Data Training 1'!AT212*'Data Training 1'!AT215</f>
        <v>0</v>
      </c>
    </row>
    <row r="135" spans="41:79">
      <c r="AO135" s="6" t="s">
        <v>505</v>
      </c>
      <c r="AP135" s="6"/>
      <c r="AQ135" s="6">
        <f>'Data Training 1'!AW23*'Data Training 1'!AU33*'Data Training 1'!AU38*'Data Training 1'!AU44*'Data Training 1'!AU51*'Data Training 1'!AU58*'Data Training 1'!AU63*'Data Training 1'!AU70*'Data Training 1'!AU75*'Data Training 1'!AU80*'Data Training 1'!AU85*'Data Training 1'!AU91*'Data Training 1'!AU100*'Data Training 1'!AU106*'Data Training 1'!AU109*'Data Training 1'!AU118*'Data Training 1'!AU124*'Data Training 1'!AU130*'Data Training 1'!AU136*'Data Training 1'!AU142*'Data Training 1'!AU145*'Data Training 1'!AU152*'Data Training 1'!AU157*'Data Training 1'!AU163*'Data Training 1'!AU167*'Data Training 1'!AU171*'Data Training 1'!AU175*'Data Training 1'!AU179*'Data Training 1'!AU183*'Data Training 1'!AU187*'Data Training 1'!AU191*'Data Training 1'!AU195*'Data Training 1'!AU200*'Data Training 1'!AU203*'Data Training 1'!AU207*'Data Training 1'!AU212*'Data Training 1'!AU215</f>
        <v>0</v>
      </c>
    </row>
    <row r="136" spans="41:79">
      <c r="AO136" s="82" t="s">
        <v>506</v>
      </c>
      <c r="AP136" s="82"/>
      <c r="AQ136" s="6">
        <f>'Data Training 1'!AW24*'Data Training 1'!AV33*'Data Training 1'!AV38*'Data Training 1'!AV44*'Data Training 1'!AV51*'Data Training 1'!AV58*'Data Training 1'!AV63*'Data Training 1'!AV70*'Data Training 1'!AV75*'Data Training 1'!AV80*'Data Training 1'!AV85*'Data Training 1'!AV91*'Data Training 1'!AV100*'Data Training 1'!AV106*'Data Training 1'!AV109*'Data Training 1'!AV118*'Data Training 1'!AV124*'Data Training 1'!AV130*'Data Training 1'!AV136*'Data Training 1'!AV142*'Data Training 1'!AV145*'Data Training 1'!AV152*'Data Training 1'!AV157*'Data Training 1'!AV163*'Data Training 1'!AV167*'Data Training 1'!AV171*'Data Training 1'!AV175*'Data Training 1'!AV179*'Data Training 1'!AV183*'Data Training 1'!AV187*'Data Training 1'!AV191*'Data Training 1'!AV195*'Data Training 1'!AV200*'Data Training 1'!AV203*'Data Training 1'!AV207*'Data Training 1'!AV212*'Data Training 1'!AV215</f>
        <v>7.1134284998730203E-11</v>
      </c>
    </row>
    <row r="137" spans="41:79">
      <c r="AO137" s="82" t="s">
        <v>507</v>
      </c>
      <c r="AP137" s="82"/>
      <c r="AQ137" s="6">
        <f>'Data Training 1'!AW25*'Data Training 1'!AW33*'Data Training 1'!AW38*'Data Training 1'!AW44*'Data Training 1'!AW51*'Data Training 1'!AW58*'Data Training 1'!AW63*'Data Training 1'!AW70*'Data Training 1'!AW75*'Data Training 1'!AW80*'Data Training 1'!AW85*'Data Training 1'!AW91*'Data Training 1'!AW100*'Data Training 1'!AW106*'Data Training 1'!AW109*'Data Training 1'!AW118*'Data Training 1'!AW124*'Data Training 1'!AW130*'Data Training 1'!AW136*'Data Training 1'!AW142*'Data Training 1'!AW145*'Data Training 1'!AW152*'Data Training 1'!AW157*'Data Training 1'!AW163*'Data Training 1'!AW167*'Data Training 1'!AW171*'Data Training 1'!AW175*'Data Training 1'!AW179*'Data Training 1'!AW183*'Data Training 1'!AW187*'Data Training 1'!AW191*'Data Training 1'!AW195*'Data Training 1'!AW200*'Data Training 1'!AW203*'Data Training 1'!AW207*'Data Training 1'!AW212*'Data Training 1'!AW215</f>
        <v>0</v>
      </c>
    </row>
    <row r="138" spans="41:79">
      <c r="AO138" s="82" t="s">
        <v>508</v>
      </c>
      <c r="AP138" s="82"/>
      <c r="AQ138" s="6">
        <f>'Data Training 1'!AW26*'Data Training 1'!AX33*'Data Training 1'!AX38*'Data Training 1'!AX44*'Data Training 1'!AX51*'Data Training 1'!AX58*'Data Training 1'!AX63*'Data Training 1'!AX70*'Data Training 1'!AX75*'Data Training 1'!AX80*'Data Training 1'!AX85*'Data Training 1'!AX91*'Data Training 1'!AX100*'Data Training 1'!AX106*'Data Training 1'!AX109*'Data Training 1'!AX118*'Data Training 1'!AX124*'Data Training 1'!AX130*'Data Training 1'!AX136*'Data Training 1'!AX142*'Data Training 1'!AX145*'Data Training 1'!AX152*'Data Training 1'!AX157*'Data Training 1'!AX163*'Data Training 1'!AX167*'Data Training 1'!AX171*'Data Training 1'!AX175*'Data Training 1'!AX179*'Data Training 1'!AX183*'Data Training 1'!AX187*'Data Training 1'!AX191*'Data Training 1'!AX195*'Data Training 1'!AX200*'Data Training 1'!AX203*'Data Training 1'!AX207*'Data Training 1'!AX212*'Data Training 1'!AX215</f>
        <v>0</v>
      </c>
    </row>
    <row r="139" spans="41:79">
      <c r="AO139" s="82" t="s">
        <v>509</v>
      </c>
      <c r="AP139" s="82"/>
      <c r="AQ139" s="6">
        <f>'Data Training 1'!AW27*'Data Training 1'!AY33*'Data Training 1'!AY38*'Data Training 1'!AY44*'Data Training 1'!AY51*'Data Training 1'!AY58*'Data Training 1'!AY63*'Data Training 1'!AY70*'Data Training 1'!AY75*'Data Training 1'!AY80*'Data Training 1'!AY85*'Data Training 1'!AY91*'Data Training 1'!AY100*'Data Training 1'!AY106*'Data Training 1'!AY109*'Data Training 1'!AY118*'Data Training 1'!AY124*'Data Training 1'!AY130*'Data Training 1'!AY136*'Data Training 1'!AY142*'Data Training 1'!AY145*'Data Training 1'!AY152*'Data Training 1'!AY157*'Data Training 1'!AY163*'Data Training 1'!AY167*'Data Training 1'!AY171*'Data Training 1'!AY175*'Data Training 1'!AY179*'Data Training 1'!AY183*'Data Training 1'!AY187*'Data Training 1'!AY191*'Data Training 1'!AY195*'Data Training 1'!AY200*'Data Training 1'!AY203*'Data Training 1'!AY207*'Data Training 1'!AY212*'Data Training 1'!AY215</f>
        <v>0</v>
      </c>
    </row>
    <row r="140" spans="41:79">
      <c r="AO140" s="80" t="s">
        <v>437</v>
      </c>
      <c r="AP140" s="80"/>
      <c r="AQ140" s="6" t="s">
        <v>294</v>
      </c>
      <c r="AR140" s="81" t="s">
        <v>438</v>
      </c>
      <c r="AS140" s="81"/>
      <c r="AT140" s="81"/>
    </row>
    <row r="142" spans="41:79">
      <c r="AO142" s="84" t="s">
        <v>320</v>
      </c>
      <c r="AP142" s="84"/>
      <c r="AQ142" s="7" t="s">
        <v>64</v>
      </c>
      <c r="AR142" s="51" t="s">
        <v>43</v>
      </c>
      <c r="AS142" s="51" t="s">
        <v>44</v>
      </c>
      <c r="AT142" s="51" t="s">
        <v>45</v>
      </c>
      <c r="AU142" s="51" t="s">
        <v>46</v>
      </c>
      <c r="AV142" s="51" t="s">
        <v>47</v>
      </c>
      <c r="AW142" s="51" t="s">
        <v>48</v>
      </c>
      <c r="AX142" s="51" t="s">
        <v>49</v>
      </c>
      <c r="AY142" s="51" t="s">
        <v>50</v>
      </c>
      <c r="AZ142" s="51" t="s">
        <v>51</v>
      </c>
      <c r="BA142" s="51" t="s">
        <v>52</v>
      </c>
      <c r="BB142" s="51" t="s">
        <v>53</v>
      </c>
      <c r="BC142" s="51" t="s">
        <v>54</v>
      </c>
      <c r="BD142" s="51" t="s">
        <v>55</v>
      </c>
      <c r="BE142" s="51" t="s">
        <v>56</v>
      </c>
      <c r="BF142" s="51" t="s">
        <v>57</v>
      </c>
      <c r="BG142" s="51" t="s">
        <v>58</v>
      </c>
      <c r="BH142" s="51" t="s">
        <v>59</v>
      </c>
      <c r="BI142" s="51" t="s">
        <v>60</v>
      </c>
      <c r="BJ142" s="51" t="s">
        <v>61</v>
      </c>
      <c r="BK142" s="51" t="s">
        <v>62</v>
      </c>
      <c r="BL142" s="51" t="s">
        <v>63</v>
      </c>
      <c r="BM142" s="51" t="s">
        <v>330</v>
      </c>
      <c r="BN142" s="51" t="s">
        <v>331</v>
      </c>
      <c r="BO142" s="51" t="s">
        <v>332</v>
      </c>
      <c r="BP142" s="51" t="s">
        <v>333</v>
      </c>
      <c r="BQ142" s="51" t="s">
        <v>334</v>
      </c>
      <c r="BR142" s="51" t="s">
        <v>335</v>
      </c>
      <c r="BS142" s="51" t="s">
        <v>336</v>
      </c>
      <c r="BT142" s="51" t="s">
        <v>337</v>
      </c>
      <c r="BU142" s="51" t="s">
        <v>338</v>
      </c>
      <c r="BV142" s="51" t="s">
        <v>339</v>
      </c>
      <c r="BW142" s="51" t="s">
        <v>340</v>
      </c>
      <c r="BX142" s="51" t="s">
        <v>341</v>
      </c>
      <c r="BY142" s="51" t="s">
        <v>342</v>
      </c>
      <c r="BZ142" s="51" t="s">
        <v>343</v>
      </c>
      <c r="CA142" s="51" t="s">
        <v>390</v>
      </c>
    </row>
    <row r="143" spans="41:79">
      <c r="AO143" s="84"/>
      <c r="AP143" s="84"/>
      <c r="AQ143" s="7">
        <v>3</v>
      </c>
      <c r="AR143" s="6" t="s">
        <v>2</v>
      </c>
      <c r="AS143" s="6" t="s">
        <v>3</v>
      </c>
      <c r="AT143" s="6" t="s">
        <v>3</v>
      </c>
      <c r="AU143" s="6" t="s">
        <v>5</v>
      </c>
      <c r="AV143" s="6" t="s">
        <v>5</v>
      </c>
      <c r="AW143" s="6" t="s">
        <v>5</v>
      </c>
      <c r="AX143" s="6" t="s">
        <v>2</v>
      </c>
      <c r="AY143" s="6" t="s">
        <v>2</v>
      </c>
      <c r="AZ143" s="6" t="s">
        <v>3</v>
      </c>
      <c r="BA143" s="6" t="s">
        <v>3</v>
      </c>
      <c r="BB143" s="6" t="s">
        <v>4</v>
      </c>
      <c r="BC143" s="6" t="s">
        <v>5</v>
      </c>
      <c r="BD143" s="6" t="s">
        <v>2</v>
      </c>
      <c r="BE143" s="6" t="s">
        <v>3</v>
      </c>
      <c r="BF143" s="6" t="s">
        <v>2</v>
      </c>
      <c r="BG143" s="6" t="s">
        <v>5</v>
      </c>
      <c r="BH143" s="6" t="s">
        <v>5</v>
      </c>
      <c r="BI143" s="6" t="s">
        <v>5</v>
      </c>
      <c r="BJ143" s="6" t="s">
        <v>5</v>
      </c>
      <c r="BK143" s="6" t="s">
        <v>4</v>
      </c>
      <c r="BL143" s="6" t="s">
        <v>3</v>
      </c>
      <c r="BM143" s="6" t="s">
        <v>3</v>
      </c>
      <c r="BN143" s="6" t="s">
        <v>3</v>
      </c>
      <c r="BO143" s="6" t="s">
        <v>4</v>
      </c>
      <c r="BP143" s="6" t="s">
        <v>4</v>
      </c>
      <c r="BQ143" s="6" t="s">
        <v>4</v>
      </c>
      <c r="BR143" s="6" t="s">
        <v>4</v>
      </c>
      <c r="BS143" s="6" t="s">
        <v>4</v>
      </c>
      <c r="BT143" s="6" t="s">
        <v>4</v>
      </c>
      <c r="BU143" s="6" t="s">
        <v>3</v>
      </c>
      <c r="BV143" s="6" t="s">
        <v>4</v>
      </c>
      <c r="BW143" s="6" t="s">
        <v>3</v>
      </c>
      <c r="BX143" s="6" t="s">
        <v>4</v>
      </c>
      <c r="BY143" s="6" t="s">
        <v>4</v>
      </c>
      <c r="BZ143" s="6" t="s">
        <v>3</v>
      </c>
      <c r="CA143" s="6" t="s">
        <v>3</v>
      </c>
    </row>
    <row r="144" spans="41:79">
      <c r="AO144" s="6" t="s">
        <v>504</v>
      </c>
      <c r="AP144" s="6"/>
      <c r="AQ144" s="6">
        <f>'Data Training 1'!AW22*'Data Training 1'!AT33*'Data Training 1'!AT38*'Data Training 1'!AT44*'Data Training 1'!AT52*'Data Training 1'!AT58*'Data Training 1'!AT64*'Data Training 1'!AT69*'Data Training 1'!AT75*'Data Training 1'!AT80*'Data Training 1'!AT86*'Data Training 1'!AT91*'Data Training 1'!AT100*'Data Training 1'!AT105*'Data Training 1'!AT110*'Data Training 1'!AT117*'Data Training 1'!AT124*'Data Training 1'!AT130*'Data Training 1'!AT136*'Data Training 1'!AT142*'Data Training 1'!AT145*'Data Training 1'!AT152*'Data Training 1'!AT158*'Data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145" spans="41:79">
      <c r="AO145" s="6" t="s">
        <v>505</v>
      </c>
      <c r="AP145" s="6"/>
      <c r="AQ145" s="6">
        <f>'Data Training 1'!AW23*'Data Training 1'!AU33*'Data Training 1'!AU38*'Data Training 1'!AU44*'Data Training 1'!AU52*'Data Training 1'!AU58*'Data Training 1'!AU64*'Data Training 1'!AU69*'Data Training 1'!AU75*'Data Training 1'!AU80*'Data Training 1'!AU86*'Data Training 1'!AU91*'Data Training 1'!AU100*'Data Training 1'!AU105*'Data Training 1'!AU110*'Data Training 1'!AU117*'Data Training 1'!AU124*'Data Training 1'!AU130*'Data Training 1'!AU136*'Data Training 1'!AU142*'Data Training 1'!AU145*'Data Training 1'!AU152*'Data Training 1'!AU158*'Data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146" spans="41:79">
      <c r="AO146" s="82" t="s">
        <v>506</v>
      </c>
      <c r="AP146" s="82"/>
      <c r="AQ146" s="6">
        <f>'Data Training 1'!AW24*'Data Training 1'!AV33*'Data Training 1'!AV38*'Data Training 1'!AV44*'Data Training 1'!AV52*'Data Training 1'!AV58*'Data Training 1'!AV64*'Data Training 1'!AV69*'Data Training 1'!AV75*'Data Training 1'!AV80*'Data Training 1'!AV86*'Data Training 1'!AV91*'Data Training 1'!AV100*'Data Training 1'!AV105*'Data Training 1'!AV110*'Data Training 1'!AV117*'Data Training 1'!AV124*'Data Training 1'!AV130*'Data Training 1'!AV136*'Data Training 1'!AV142*'Data Training 1'!AV145*'Data Training 1'!AV152*'Data Training 1'!AV158*'Data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5.5891223927573679E-8</v>
      </c>
    </row>
    <row r="147" spans="41:79">
      <c r="AO147" s="82" t="s">
        <v>507</v>
      </c>
      <c r="AP147" s="82"/>
      <c r="AQ147" s="6">
        <f>'Data Training 1'!AW25*'Data Training 1'!AW33*'Data Training 1'!AW38*'Data Training 1'!AW44*'Data Training 1'!AW52*'Data Training 1'!AW58*'Data Training 1'!AW64*'Data Training 1'!AW69*'Data Training 1'!AW75*'Data Training 1'!AW80*'Data Training 1'!AW86*'Data Training 1'!AW91*'Data Training 1'!AW100*'Data Training 1'!AW105*'Data Training 1'!AW110*'Data Training 1'!AW117*'Data Training 1'!AW124*'Data Training 1'!AW130*'Data Training 1'!AW136*'Data Training 1'!AW142*'Data Training 1'!AW145*'Data Training 1'!AW152*'Data Training 1'!AW158*'Data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0</v>
      </c>
    </row>
    <row r="148" spans="41:79">
      <c r="AO148" s="82" t="s">
        <v>508</v>
      </c>
      <c r="AP148" s="82"/>
      <c r="AQ148" s="6">
        <f>'Data Training 1'!AW26*'Data Training 1'!AX33*'Data Training 1'!AX38*'Data Training 1'!AX44*'Data Training 1'!AX52*'Data Training 1'!AX58*'Data Training 1'!AX64*'Data Training 1'!AX69*'Data Training 1'!AX75*'Data Training 1'!AX80*'Data Training 1'!AX86*'Data Training 1'!AX91*'Data Training 1'!AX100*'Data Training 1'!AX105*'Data Training 1'!AX110*'Data Training 1'!AX117*'Data Training 1'!AX124*'Data Training 1'!AX130*'Data Training 1'!AX136*'Data Training 1'!AX142*'Data Training 1'!AX145*'Data Training 1'!AX152*'Data Training 1'!AX158*'Data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3.9362650708781791E-11</v>
      </c>
    </row>
    <row r="149" spans="41:79">
      <c r="AO149" s="82" t="s">
        <v>509</v>
      </c>
      <c r="AP149" s="82"/>
      <c r="AQ149" s="6">
        <f>'Data Training 1'!AW27*'Data Training 1'!AY33*'Data Training 1'!AY38*'Data Training 1'!AY44*'Data Training 1'!AY52*'Data Training 1'!AY58*'Data Training 1'!AY64*'Data Training 1'!AY69*'Data Training 1'!AY75*'Data Training 1'!AY80*'Data Training 1'!AY86*'Data Training 1'!AY91*'Data Training 1'!AY100*'Data Training 1'!AY105*'Data Training 1'!AY110*'Data Training 1'!AY117*'Data Training 1'!AY124*'Data Training 1'!AY130*'Data Training 1'!AY136*'Data Training 1'!AY142*'Data Training 1'!AY145*'Data Training 1'!AY152*'Data Training 1'!AY158*'Data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150" spans="41:79">
      <c r="AO150" s="80" t="s">
        <v>437</v>
      </c>
      <c r="AP150" s="80"/>
      <c r="AQ150" s="6" t="s">
        <v>294</v>
      </c>
      <c r="AR150" s="74" t="s">
        <v>438</v>
      </c>
      <c r="AS150" s="74"/>
      <c r="AT150" s="74"/>
    </row>
    <row r="152" spans="41:79">
      <c r="AO152" s="79" t="s">
        <v>515</v>
      </c>
      <c r="AP152" s="79"/>
      <c r="AQ152" s="20" t="s">
        <v>64</v>
      </c>
      <c r="AR152" s="1" t="s">
        <v>43</v>
      </c>
      <c r="AS152" s="1" t="s">
        <v>44</v>
      </c>
      <c r="AT152" s="1" t="s">
        <v>45</v>
      </c>
      <c r="AU152" s="1" t="s">
        <v>46</v>
      </c>
      <c r="AV152" s="1" t="s">
        <v>47</v>
      </c>
      <c r="AW152" s="1" t="s">
        <v>48</v>
      </c>
      <c r="AX152" s="1" t="s">
        <v>49</v>
      </c>
      <c r="AY152" s="1" t="s">
        <v>50</v>
      </c>
      <c r="AZ152" s="1" t="s">
        <v>51</v>
      </c>
      <c r="BA152" s="1" t="s">
        <v>52</v>
      </c>
      <c r="BB152" s="1" t="s">
        <v>53</v>
      </c>
      <c r="BC152" s="1" t="s">
        <v>54</v>
      </c>
      <c r="BD152" s="1" t="s">
        <v>55</v>
      </c>
      <c r="BE152" s="1" t="s">
        <v>56</v>
      </c>
      <c r="BF152" s="1" t="s">
        <v>57</v>
      </c>
      <c r="BG152" s="1" t="s">
        <v>58</v>
      </c>
      <c r="BH152" s="1" t="s">
        <v>59</v>
      </c>
      <c r="BI152" s="1" t="s">
        <v>60</v>
      </c>
      <c r="BJ152" s="1" t="s">
        <v>61</v>
      </c>
      <c r="BK152" s="1" t="s">
        <v>62</v>
      </c>
      <c r="BL152" s="1" t="s">
        <v>63</v>
      </c>
      <c r="BM152" s="1" t="s">
        <v>330</v>
      </c>
      <c r="BN152" s="1" t="s">
        <v>331</v>
      </c>
      <c r="BO152" s="1" t="s">
        <v>332</v>
      </c>
      <c r="BP152" s="1" t="s">
        <v>333</v>
      </c>
      <c r="BQ152" s="1" t="s">
        <v>334</v>
      </c>
      <c r="BR152" s="1" t="s">
        <v>335</v>
      </c>
      <c r="BS152" s="1" t="s">
        <v>336</v>
      </c>
      <c r="BT152" s="1" t="s">
        <v>337</v>
      </c>
      <c r="BU152" s="1" t="s">
        <v>338</v>
      </c>
      <c r="BV152" s="1" t="s">
        <v>339</v>
      </c>
      <c r="BW152" s="1" t="s">
        <v>340</v>
      </c>
      <c r="BX152" s="1" t="s">
        <v>341</v>
      </c>
      <c r="BY152" s="1" t="s">
        <v>342</v>
      </c>
      <c r="BZ152" s="1" t="s">
        <v>343</v>
      </c>
      <c r="CA152" s="1" t="s">
        <v>390</v>
      </c>
    </row>
    <row r="153" spans="41:79">
      <c r="AO153" s="79"/>
      <c r="AP153" s="79"/>
      <c r="AQ153" s="20">
        <v>3</v>
      </c>
      <c r="AR153" t="s">
        <v>2</v>
      </c>
      <c r="AS153" t="s">
        <v>5</v>
      </c>
      <c r="AT153" t="s">
        <v>3</v>
      </c>
      <c r="AU153" t="s">
        <v>3</v>
      </c>
      <c r="AV153" t="s">
        <v>5</v>
      </c>
      <c r="AW153" t="s">
        <v>5</v>
      </c>
      <c r="AX153" t="s">
        <v>2</v>
      </c>
      <c r="AY153" t="s">
        <v>2</v>
      </c>
      <c r="AZ153" t="s">
        <v>3</v>
      </c>
      <c r="BA153" t="s">
        <v>4</v>
      </c>
      <c r="BB153" t="s">
        <v>4</v>
      </c>
      <c r="BC153" t="s">
        <v>5</v>
      </c>
      <c r="BD153" t="s">
        <v>3</v>
      </c>
      <c r="BE153" t="s">
        <v>3</v>
      </c>
      <c r="BF153" t="s">
        <v>2</v>
      </c>
      <c r="BG153" t="s">
        <v>5</v>
      </c>
      <c r="BH153" t="s">
        <v>3</v>
      </c>
      <c r="BI153" t="s">
        <v>2</v>
      </c>
      <c r="BJ153" t="s">
        <v>5</v>
      </c>
      <c r="BK153" t="s">
        <v>4</v>
      </c>
      <c r="BL153" t="s">
        <v>3</v>
      </c>
      <c r="BM153" t="s">
        <v>2</v>
      </c>
      <c r="BN153" t="s">
        <v>3</v>
      </c>
      <c r="BO153" t="s">
        <v>4</v>
      </c>
      <c r="BP153" t="s">
        <v>4</v>
      </c>
      <c r="BQ153" t="s">
        <v>4</v>
      </c>
      <c r="BR153" t="s">
        <v>4</v>
      </c>
      <c r="BS153" t="s">
        <v>4</v>
      </c>
      <c r="BT153" t="s">
        <v>4</v>
      </c>
      <c r="BU153" t="s">
        <v>3</v>
      </c>
      <c r="BV153" t="s">
        <v>4</v>
      </c>
      <c r="BW153" t="s">
        <v>3</v>
      </c>
      <c r="BX153" t="s">
        <v>4</v>
      </c>
      <c r="BY153" t="s">
        <v>4</v>
      </c>
      <c r="BZ153" t="s">
        <v>4</v>
      </c>
      <c r="CA153" t="s">
        <v>3</v>
      </c>
    </row>
    <row r="154" spans="41:79">
      <c r="AO154" t="s">
        <v>504</v>
      </c>
      <c r="AQ154">
        <f>'Data Training 1'!AW22*'Data Training 1'!AT33*'Data Training 1'!AT40*'Data Training 1'!AT44*'Data Training 1'!AT50*'Data Training 1'!AT58*'Data Training 1'!AT64*'Data Training 1'!AT69*'Data Training 1'!AT75*'Data Training 1'!AT80*'Data Training 1'!AT85*'Data Training 1'!AT91*'Data Training 1'!AT100*'Data Training 1'!AT104*'Data Training 1'!AT110*'Data Training 1'!AT117*'Data Training 1'!AT124*'Data Training 1'!AT128*'Data Training 1'!AT135*'Data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155" spans="41:79">
      <c r="AO155" t="s">
        <v>505</v>
      </c>
      <c r="AQ155">
        <f>'Data Training 1'!AW23*'Data Training 1'!AU33*'Data Training 1'!AU40*'Data Training 1'!AU44*'Data Training 1'!AU50*'Data Training 1'!AU58*'Data Training 1'!AU64*'Data Training 1'!AU69*'Data Training 1'!AU75*'Data Training 1'!AU80*'Data Training 1'!AU85*'Data Training 1'!AU91*'Data Training 1'!AU100*'Data Training 1'!AU104*'Data Training 1'!AU110*'Data Training 1'!AU117*'Data Training 1'!AU124*'Data Training 1'!AU128*'Data Training 1'!AU135*'Data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156" spans="41:79">
      <c r="AO156" s="69" t="s">
        <v>506</v>
      </c>
      <c r="AP156" s="69"/>
      <c r="AQ156">
        <f>'Data Training 1'!AW24*'Data Training 1'!AV33*'Data Training 1'!AV40*'Data Training 1'!AV44*'Data Training 1'!AV50*'Data Training 1'!AV58*'Data Training 1'!AV64*'Data Training 1'!AV69*'Data Training 1'!AV75*'Data Training 1'!AV80*'Data Training 1'!AV85*'Data Training 1'!AV91*'Data Training 1'!AV100*'Data Training 1'!AV104*'Data Training 1'!AV110*'Data Training 1'!AV117*'Data Training 1'!AV124*'Data Training 1'!AV128*'Data Training 1'!AV135*'Data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2.1898000192009295E-11</v>
      </c>
    </row>
    <row r="157" spans="41:79">
      <c r="AO157" s="69" t="s">
        <v>507</v>
      </c>
      <c r="AP157" s="69"/>
      <c r="AQ157">
        <f>'Data Training 1'!AW25*'Data Training 1'!AW33*'Data Training 1'!AW40*'Data Training 1'!AW44*'Data Training 1'!AW50*'Data Training 1'!AW58*'Data Training 1'!AW64*'Data Training 1'!AW69*'Data Training 1'!AW75*'Data Training 1'!AW80*'Data Training 1'!AW85*'Data Training 1'!AW91*'Data Training 1'!AW100*'Data Training 1'!AW104*'Data Training 1'!AW110*'Data Training 1'!AW117*'Data Training 1'!AW124*'Data Training 1'!AW128*'Data Training 1'!AW135*'Data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158" spans="41:79">
      <c r="AO158" s="69" t="s">
        <v>508</v>
      </c>
      <c r="AP158" s="69"/>
      <c r="AQ158">
        <f>'Data Training 1'!AW26*'Data Training 1'!AX33*'Data Training 1'!AX40*'Data Training 1'!AX44*'Data Training 1'!AX50*'Data Training 1'!AX58*'Data Training 1'!AX64*'Data Training 1'!AX69*'Data Training 1'!AX75*'Data Training 1'!AX80*'Data Training 1'!AX85*'Data Training 1'!AX91*'Data Training 1'!AX100*'Data Training 1'!AX104*'Data Training 1'!AX110*'Data Training 1'!AX117*'Data Training 1'!AX124*'Data Training 1'!AX128*'Data Training 1'!AX135*'Data Training 1'!AX142*'Data Training 1'!AX145*'Data Training 1'!AX152*'Data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159" spans="41:79">
      <c r="AO159" s="69" t="s">
        <v>509</v>
      </c>
      <c r="AP159" s="69"/>
      <c r="AQ159">
        <f>'Data Training 1'!AW27*'Data Training 1'!AY33*'Data Training 1'!AY40*'Data Training 1'!AY44*'Data Training 1'!AY50*'Data Training 1'!AY58*'Data Training 1'!AY64*'Data Training 1'!AY69*'Data Training 1'!AY75*'Data Training 1'!AY80*'Data Training 1'!AY85*'Data Training 1'!AY91*'Data Training 1'!AY100*'Data Training 1'!AY104*'Data Training 1'!AY110*'Data Training 1'!AY117*'Data Training 1'!AY124*'Data Training 1'!AY128*'Data Training 1'!AY135*'Data Training 1'!AY142*'Data Training 1'!AY145*'Data Training 1'!AY152*'Data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160" spans="41:79">
      <c r="AO160" s="78" t="s">
        <v>437</v>
      </c>
      <c r="AP160" s="78"/>
      <c r="AQ160" t="s">
        <v>294</v>
      </c>
      <c r="AR160" s="74" t="s">
        <v>438</v>
      </c>
      <c r="AS160" s="74"/>
      <c r="AT160" s="74"/>
    </row>
    <row r="162" spans="41:79">
      <c r="AO162" s="79" t="s">
        <v>468</v>
      </c>
      <c r="AP162" s="79"/>
      <c r="AQ162" s="20" t="s">
        <v>64</v>
      </c>
      <c r="AR162" s="1" t="s">
        <v>43</v>
      </c>
      <c r="AS162" s="1" t="s">
        <v>44</v>
      </c>
      <c r="AT162" s="1" t="s">
        <v>45</v>
      </c>
      <c r="AU162" s="1" t="s">
        <v>46</v>
      </c>
      <c r="AV162" s="1" t="s">
        <v>47</v>
      </c>
      <c r="AW162" s="1" t="s">
        <v>48</v>
      </c>
      <c r="AX162" s="1" t="s">
        <v>49</v>
      </c>
      <c r="AY162" s="1" t="s">
        <v>50</v>
      </c>
      <c r="AZ162" s="1" t="s">
        <v>51</v>
      </c>
      <c r="BA162" s="1" t="s">
        <v>52</v>
      </c>
      <c r="BB162" s="1" t="s">
        <v>53</v>
      </c>
      <c r="BC162" s="1" t="s">
        <v>54</v>
      </c>
      <c r="BD162" s="1" t="s">
        <v>55</v>
      </c>
      <c r="BE162" s="1" t="s">
        <v>56</v>
      </c>
      <c r="BF162" s="1" t="s">
        <v>57</v>
      </c>
      <c r="BG162" s="1" t="s">
        <v>58</v>
      </c>
      <c r="BH162" s="1" t="s">
        <v>59</v>
      </c>
      <c r="BI162" s="1" t="s">
        <v>60</v>
      </c>
      <c r="BJ162" s="1" t="s">
        <v>61</v>
      </c>
      <c r="BK162" s="1" t="s">
        <v>62</v>
      </c>
      <c r="BL162" s="1" t="s">
        <v>63</v>
      </c>
      <c r="BM162" s="1" t="s">
        <v>330</v>
      </c>
      <c r="BN162" s="1" t="s">
        <v>331</v>
      </c>
      <c r="BO162" s="1" t="s">
        <v>332</v>
      </c>
      <c r="BP162" s="1" t="s">
        <v>333</v>
      </c>
      <c r="BQ162" s="1" t="s">
        <v>334</v>
      </c>
      <c r="BR162" s="1" t="s">
        <v>335</v>
      </c>
      <c r="BS162" s="1" t="s">
        <v>336</v>
      </c>
      <c r="BT162" s="1" t="s">
        <v>337</v>
      </c>
      <c r="BU162" s="1" t="s">
        <v>338</v>
      </c>
      <c r="BV162" s="1" t="s">
        <v>339</v>
      </c>
      <c r="BW162" s="1" t="s">
        <v>340</v>
      </c>
      <c r="BX162" s="1" t="s">
        <v>341</v>
      </c>
      <c r="BY162" s="1" t="s">
        <v>342</v>
      </c>
      <c r="BZ162" s="1" t="s">
        <v>343</v>
      </c>
      <c r="CA162" s="1" t="s">
        <v>390</v>
      </c>
    </row>
    <row r="163" spans="41:79">
      <c r="AO163" s="79"/>
      <c r="AP163" s="79"/>
      <c r="AQ163" s="20">
        <v>3</v>
      </c>
      <c r="AR163" t="s">
        <v>4</v>
      </c>
      <c r="AS163" t="s">
        <v>3</v>
      </c>
      <c r="AT163" t="s">
        <v>5</v>
      </c>
      <c r="AU163" t="s">
        <v>5</v>
      </c>
      <c r="AV163" t="s">
        <v>5</v>
      </c>
      <c r="AW163" t="s">
        <v>5</v>
      </c>
      <c r="AX163" t="s">
        <v>5</v>
      </c>
      <c r="AY163" t="s">
        <v>2</v>
      </c>
      <c r="AZ163" t="s">
        <v>3</v>
      </c>
      <c r="BA163" t="s">
        <v>3</v>
      </c>
      <c r="BB163" t="s">
        <v>2</v>
      </c>
      <c r="BC163" t="s">
        <v>2</v>
      </c>
      <c r="BD163" t="s">
        <v>5</v>
      </c>
      <c r="BE163" t="s">
        <v>3</v>
      </c>
      <c r="BF163" t="s">
        <v>2</v>
      </c>
      <c r="BG163" t="s">
        <v>2</v>
      </c>
      <c r="BH163" t="s">
        <v>5</v>
      </c>
      <c r="BI163" t="s">
        <v>5</v>
      </c>
      <c r="BJ163" t="s">
        <v>5</v>
      </c>
      <c r="BK163" t="s">
        <v>3</v>
      </c>
      <c r="BL163" t="s">
        <v>5</v>
      </c>
      <c r="BM163" t="s">
        <v>5</v>
      </c>
      <c r="BN163" t="s">
        <v>4</v>
      </c>
      <c r="BO163" t="s">
        <v>4</v>
      </c>
      <c r="BP163" t="s">
        <v>4</v>
      </c>
      <c r="BQ163" t="s">
        <v>4</v>
      </c>
      <c r="BR163" t="s">
        <v>4</v>
      </c>
      <c r="BS163" t="s">
        <v>4</v>
      </c>
      <c r="BT163" t="s">
        <v>4</v>
      </c>
      <c r="BU163" t="s">
        <v>3</v>
      </c>
      <c r="BV163" t="s">
        <v>4</v>
      </c>
      <c r="BW163" t="s">
        <v>3</v>
      </c>
      <c r="BX163" t="s">
        <v>4</v>
      </c>
      <c r="BY163" t="s">
        <v>4</v>
      </c>
      <c r="BZ163" t="s">
        <v>3</v>
      </c>
      <c r="CA163" t="s">
        <v>3</v>
      </c>
    </row>
    <row r="164" spans="41:79">
      <c r="AO164" s="69" t="s">
        <v>504</v>
      </c>
      <c r="AP164" s="69"/>
      <c r="AQ164">
        <f>'Data Training 1'!AW22*'Data Training 1'!AT31*'Data Training 1'!AT38*'Data Training 1'!AT46*'Data Training 1'!AT52*'Data Training 1'!AT58*'Data Training 1'!AT64*'Data Training 1'!AT70*'Data Training 1'!AT75*'Data Training 1'!AT80*'Data Training 1'!AT86*'Data Training 1'!AT93*'Data Training 1'!AT99*'Data Training 1'!AT106*'Data Training 1'!AT110*'Data Training 1'!AT117*'Data Training 1'!AT123*'Data Training 1'!AT130*'Data Training 1'!AT136*'Data Training 1'!AT142*'Data Training 1'!AT146*'Data Training 1'!AT154*'Data Training 1'!AT160*'Data Training 1'!AT163*'Data Training 1'!AT167*'Data Training 1'!AT171*'Data Training 1'!AT175*'Data Training 1'!AT179*'Data Training 1'!AT183*'Data Training 1'!AT187*'Data Training 1'!AT192*'Data Training 1'!AT195*'Data Training 1'!AT200*'Data Training 1'!AT203*'Data Training 1'!AT207*'Data Training 1'!AT212*'Data Training 1'!AT216</f>
        <v>0</v>
      </c>
    </row>
    <row r="165" spans="41:79">
      <c r="AO165" s="69" t="s">
        <v>505</v>
      </c>
      <c r="AP165" s="69"/>
      <c r="AQ165">
        <f>'Data Training 1'!AW23*'Data Training 1'!AU31*'Data Training 1'!AU38*'Data Training 1'!AU46*'Data Training 1'!AU52*'Data Training 1'!AU58*'Data Training 1'!AU64*'Data Training 1'!AU70*'Data Training 1'!AU75*'Data Training 1'!AU80*'Data Training 1'!AU86*'Data Training 1'!AU93*'Data Training 1'!AU99*'Data Training 1'!AU106*'Data Training 1'!AU110*'Data Training 1'!AU117*'Data Training 1'!AU123*'Data Training 1'!AU130*'Data Training 1'!AU136*'Data Training 1'!AU142*'Data Training 1'!AU146*'Data Training 1'!AU154*'Data Training 1'!AU160*'Data Training 1'!AU163*'Data Training 1'!AU167*'Data Training 1'!AU171*'Data Training 1'!AU175*'Data Training 1'!AU179*'Data Training 1'!AU183*'Data Training 1'!AU187*'Data Training 1'!AU192*'Data Training 1'!AU195*'Data Training 1'!AU200*'Data Training 1'!AU203*'Data Training 1'!AU207*'Data Training 1'!AU212*'Data Training 1'!AU216</f>
        <v>0</v>
      </c>
    </row>
    <row r="166" spans="41:79">
      <c r="AO166" s="69" t="s">
        <v>506</v>
      </c>
      <c r="AP166" s="69"/>
      <c r="AQ166">
        <f>'Data Training 1'!AW24*'Data Training 1'!AV31*'Data Training 1'!AV38*'Data Training 1'!AV46*'Data Training 1'!AV52*'Data Training 1'!AV58*'Data Training 1'!AV64*'Data Training 1'!AV70*'Data Training 1'!AV75*'Data Training 1'!AV80*'Data Training 1'!AV86*'Data Training 1'!AV93*'Data Training 1'!AV99*'Data Training 1'!AV106*'Data Training 1'!AV110*'Data Training 1'!AV117*'Data Training 1'!AV123*'Data Training 1'!AV130*'Data Training 1'!AV136*'Data Training 1'!AV142*'Data Training 1'!AV146*'Data Training 1'!AV154*'Data Training 1'!AV160*'Data Training 1'!AV163*'Data Training 1'!AV167*'Data Training 1'!AV171*'Data Training 1'!AV175*'Data Training 1'!AV179*'Data Training 1'!AV183*'Data Training 1'!AV187*'Data Training 1'!AV192*'Data Training 1'!AV195*'Data Training 1'!AV200*'Data Training 1'!AV203*'Data Training 1'!AV207*'Data Training 1'!AV212*'Data Training 1'!AV216</f>
        <v>2.1170918154383975E-13</v>
      </c>
    </row>
    <row r="167" spans="41:79">
      <c r="AO167" s="69" t="s">
        <v>507</v>
      </c>
      <c r="AP167" s="69"/>
      <c r="AQ167">
        <f>'Data Training 1'!AW25*'Data Training 1'!AW31*'Data Training 1'!AW38*'Data Training 1'!AW46*'Data Training 1'!AW52*'Data Training 1'!AW58*'Data Training 1'!AW64*'Data Training 1'!AW70*'Data Training 1'!AW75*'Data Training 1'!AW80*'Data Training 1'!AW86*'Data Training 1'!AW93*'Data Training 1'!AW99*'Data Training 1'!AW106*'Data Training 1'!AW110*'Data Training 1'!AW117*'Data Training 1'!AW123*'Data Training 1'!AW130*'Data Training 1'!AW136*'Data Training 1'!AW142*'Data Training 1'!AW146*'Data Training 1'!AW154*'Data Training 1'!AW160*'Data Training 1'!AW163*'Data Training 1'!AW167*'Data Training 1'!AW171*'Data Training 1'!AW175*'Data Training 1'!AW179*'Data Training 1'!AW183*'Data Training 1'!AW187*'Data Training 1'!AW192*'Data Training 1'!AW195*'Data Training 1'!AW200*'Data Training 1'!AW203*'Data Training 1'!AW207*'Data Training 1'!AW212*'Data Training 1'!AW216</f>
        <v>0</v>
      </c>
    </row>
    <row r="168" spans="41:79">
      <c r="AO168" s="69" t="s">
        <v>508</v>
      </c>
      <c r="AP168" s="69"/>
      <c r="AQ168">
        <f>'Data Training 1'!AW26*'Data Training 1'!AX31*'Data Training 1'!AX38*'Data Training 1'!AX46*'Data Training 1'!AX52*'Data Training 1'!AX58*'Data Training 1'!AX64*'Data Training 1'!AX70*'Data Training 1'!AX75*'Data Training 1'!AX80*'Data Training 1'!AX86*'Data Training 1'!AX93*'Data Training 1'!AX99*'Data Training 1'!AX106*'Data Training 1'!AX110*'Data Training 1'!AX117*'Data Training 1'!AX123*'Data Training 1'!AX130*'Data Training 1'!AX136*'Data Training 1'!AX142*'Data Training 1'!AX146*'Data Training 1'!AX154*'Data Training 1'!AX160*'Data Training 1'!AX163*'Data Training 1'!AX167*'Data Training 1'!AX171*'Data Training 1'!AX175*'Data Training 1'!AX179*'Data Training 1'!AX183*'Data Training 1'!AX187*'Data Training 1'!AX192*'Data Training 1'!AX195*'Data Training 1'!AX200*'Data Training 1'!AX203*'Data Training 1'!AX207*'Data Training 1'!AX212*'Data Training 1'!AX216</f>
        <v>0</v>
      </c>
    </row>
    <row r="169" spans="41:79">
      <c r="AO169" s="69" t="s">
        <v>509</v>
      </c>
      <c r="AP169" s="69"/>
      <c r="AQ169">
        <f>'Data Training 1'!AW27*'Data Training 1'!AY31*'Data Training 1'!AY38*'Data Training 1'!AY46*'Data Training 1'!AY52*'Data Training 1'!AY58*'Data Training 1'!AY64*'Data Training 1'!AY70*'Data Training 1'!AY75*'Data Training 1'!AY80*'Data Training 1'!AY86*'Data Training 1'!AY93*'Data Training 1'!AY99*'Data Training 1'!AY106*'Data Training 1'!AY110*'Data Training 1'!AY117*'Data Training 1'!AY123*'Data Training 1'!AY130*'Data Training 1'!AY136*'Data Training 1'!AY142*'Data Training 1'!AY146*'Data Training 1'!AY154*'Data Training 1'!AY160*'Data Training 1'!AY163*'Data Training 1'!AY167*'Data Training 1'!AY171*'Data Training 1'!AY175*'Data Training 1'!AY179*'Data Training 1'!AY183*'Data Training 1'!AY187*'Data Training 1'!AY192*'Data Training 1'!AY195*'Data Training 1'!AY200*'Data Training 1'!AY203*'Data Training 1'!AY207*'Data Training 1'!AY212*'Data Training 1'!AY216</f>
        <v>0</v>
      </c>
    </row>
    <row r="170" spans="41:79">
      <c r="AO170" s="78" t="s">
        <v>437</v>
      </c>
      <c r="AP170" s="78"/>
      <c r="AQ170" t="s">
        <v>294</v>
      </c>
      <c r="AR170" s="74" t="s">
        <v>438</v>
      </c>
      <c r="AS170" s="74"/>
      <c r="AT170" s="74"/>
    </row>
    <row r="172" spans="41:79">
      <c r="AO172" s="79" t="s">
        <v>492</v>
      </c>
      <c r="AP172" s="79"/>
      <c r="AQ172" s="20" t="s">
        <v>64</v>
      </c>
      <c r="AR172" s="1" t="s">
        <v>43</v>
      </c>
      <c r="AS172" s="1" t="s">
        <v>44</v>
      </c>
      <c r="AT172" s="1" t="s">
        <v>45</v>
      </c>
      <c r="AU172" s="1" t="s">
        <v>46</v>
      </c>
      <c r="AV172" s="1" t="s">
        <v>47</v>
      </c>
      <c r="AW172" s="1" t="s">
        <v>48</v>
      </c>
      <c r="AX172" s="1" t="s">
        <v>49</v>
      </c>
      <c r="AY172" s="1" t="s">
        <v>50</v>
      </c>
      <c r="AZ172" s="1" t="s">
        <v>51</v>
      </c>
      <c r="BA172" s="1" t="s">
        <v>52</v>
      </c>
      <c r="BB172" s="1" t="s">
        <v>53</v>
      </c>
      <c r="BC172" s="1" t="s">
        <v>54</v>
      </c>
      <c r="BD172" s="1" t="s">
        <v>55</v>
      </c>
      <c r="BE172" s="1" t="s">
        <v>56</v>
      </c>
      <c r="BF172" s="1" t="s">
        <v>57</v>
      </c>
      <c r="BG172" s="1" t="s">
        <v>58</v>
      </c>
      <c r="BH172" s="1" t="s">
        <v>59</v>
      </c>
      <c r="BI172" s="1" t="s">
        <v>60</v>
      </c>
      <c r="BJ172" s="1" t="s">
        <v>61</v>
      </c>
      <c r="BK172" s="1" t="s">
        <v>62</v>
      </c>
      <c r="BL172" s="1" t="s">
        <v>63</v>
      </c>
      <c r="BM172" s="1" t="s">
        <v>330</v>
      </c>
      <c r="BN172" s="1" t="s">
        <v>331</v>
      </c>
      <c r="BO172" s="1" t="s">
        <v>332</v>
      </c>
      <c r="BP172" s="1" t="s">
        <v>333</v>
      </c>
      <c r="BQ172" s="1" t="s">
        <v>334</v>
      </c>
      <c r="BR172" s="1" t="s">
        <v>335</v>
      </c>
      <c r="BS172" s="1" t="s">
        <v>336</v>
      </c>
      <c r="BT172" s="1" t="s">
        <v>337</v>
      </c>
      <c r="BU172" s="1" t="s">
        <v>338</v>
      </c>
      <c r="BV172" s="1" t="s">
        <v>339</v>
      </c>
      <c r="BW172" s="1" t="s">
        <v>340</v>
      </c>
      <c r="BX172" s="1" t="s">
        <v>341</v>
      </c>
      <c r="BY172" s="1" t="s">
        <v>342</v>
      </c>
      <c r="BZ172" s="1" t="s">
        <v>343</v>
      </c>
      <c r="CA172" s="1" t="s">
        <v>390</v>
      </c>
    </row>
    <row r="173" spans="41:79">
      <c r="AO173" s="79"/>
      <c r="AP173" s="79"/>
      <c r="AQ173" s="20">
        <v>3</v>
      </c>
      <c r="AR173" t="s">
        <v>5</v>
      </c>
      <c r="AS173" t="s">
        <v>4</v>
      </c>
      <c r="AT173" t="s">
        <v>4</v>
      </c>
      <c r="AU173" t="s">
        <v>5</v>
      </c>
      <c r="AV173" t="s">
        <v>5</v>
      </c>
      <c r="AW173" t="s">
        <v>5</v>
      </c>
      <c r="AX173" t="s">
        <v>5</v>
      </c>
      <c r="AY173" t="s">
        <v>2</v>
      </c>
      <c r="AZ173" t="s">
        <v>2</v>
      </c>
      <c r="BA173" t="s">
        <v>3</v>
      </c>
      <c r="BB173" t="s">
        <v>4</v>
      </c>
      <c r="BC173" t="s">
        <v>2</v>
      </c>
      <c r="BD173" t="s">
        <v>2</v>
      </c>
      <c r="BE173" t="s">
        <v>2</v>
      </c>
      <c r="BF173" t="s">
        <v>5</v>
      </c>
      <c r="BG173" t="s">
        <v>5</v>
      </c>
      <c r="BH173" t="s">
        <v>3</v>
      </c>
      <c r="BI173" t="s">
        <v>3</v>
      </c>
      <c r="BJ173" t="s">
        <v>2</v>
      </c>
      <c r="BK173" t="s">
        <v>4</v>
      </c>
      <c r="BL173" t="s">
        <v>5</v>
      </c>
      <c r="BM173" t="s">
        <v>3</v>
      </c>
      <c r="BN173" t="s">
        <v>3</v>
      </c>
      <c r="BO173" t="s">
        <v>3</v>
      </c>
      <c r="BP173" t="s">
        <v>3</v>
      </c>
      <c r="BQ173" t="s">
        <v>4</v>
      </c>
      <c r="BR173" t="s">
        <v>4</v>
      </c>
      <c r="BS173" t="s">
        <v>4</v>
      </c>
      <c r="BT173" t="s">
        <v>4</v>
      </c>
      <c r="BU173" t="s">
        <v>3</v>
      </c>
      <c r="BV173" t="s">
        <v>4</v>
      </c>
      <c r="BW173" t="s">
        <v>4</v>
      </c>
      <c r="BX173" t="s">
        <v>4</v>
      </c>
      <c r="BY173" t="s">
        <v>4</v>
      </c>
      <c r="BZ173" t="s">
        <v>4</v>
      </c>
      <c r="CA173" t="s">
        <v>3</v>
      </c>
    </row>
    <row r="174" spans="41:79">
      <c r="AO174" s="69" t="s">
        <v>504</v>
      </c>
      <c r="AP174" s="69"/>
      <c r="AQ174">
        <f>PRODUCT('Data Training 1'!AW22,'Data Training 1'!AT34,'Data Training 1'!AT37,'Data Training 1'!AT43,'Data Training 1'!AT52,'Data Training 1'!AT58,'Data Training 1'!AT64,'Data Training 1'!AT70,'Data Training 1'!AT75,'Data Training 1'!AT81,'Data Training 1'!AT86,'Data Training 1'!AT91,'Data Training 1'!AT99,'Data Training 1'!AT105,'Data Training 1'!AT111,'Data Training 1'!AT118,'Data Training 1'!AT124,'Data Training 1'!AT128,'Data Training 1'!AT134,'Data Training 1'!AT141,'Data Training 1'!AT145,'Data Training 1'!AT154,'Data Training 1'!AT158,'Data Training 1'!AT164,'Data Training 1'!AT168,'Data Training 1'!AT172,'Data Training 1'!AT175,'Data Training 1'!AT179,'Data Training 1'!AT183,'Data Training 1'!AT187,'Data Training 1'!AT192,'Data Training 1'!AT195,'Data Training 1'!AT199,'Data Training 1'!AT203,'Data Training 1'!AT207,'Data Training 1'!AT211,'Data Training 1'!AT216)</f>
        <v>0</v>
      </c>
    </row>
    <row r="175" spans="41:79">
      <c r="AO175" s="69" t="s">
        <v>505</v>
      </c>
      <c r="AP175" s="69"/>
      <c r="AQ175">
        <f>PRODUCT('Data Training 1'!AW23,'Data Training 1'!AU34,'Data Training 1'!AU37,'Data Training 1'!AU43,'Data Training 1'!AU52,'Data Training 1'!AU58,'Data Training 1'!AU64,'Data Training 1'!AU70,'Data Training 1'!AU75,'Data Training 1'!AU81,'Data Training 1'!AU86,'Data Training 1'!AU91,'Data Training 1'!AU99,'Data Training 1'!AU105,'Data Training 1'!AU111,'Data Training 1'!AU118,'Data Training 1'!AU124,'Data Training 1'!AU128,'Data Training 1'!AU134,'Data Training 1'!AU141,'Data Training 1'!AU145,'Data Training 1'!AU154,'Data Training 1'!AU158,'Data Training 1'!AU164,'Data Training 1'!AU168,'Data Training 1'!AU172,'Data Training 1'!AU175,'Data Training 1'!AU179,'Data Training 1'!AU183,'Data Training 1'!AU187,'Data Training 1'!AU192,'Data Training 1'!AU195,'Data Training 1'!AU199,'Data Training 1'!AU203,'Data Training 1'!AU207,'Data Training 1'!AU211,'Data Training 1'!AU216)</f>
        <v>0</v>
      </c>
    </row>
    <row r="176" spans="41:79">
      <c r="AO176" s="69" t="s">
        <v>506</v>
      </c>
      <c r="AP176" s="69"/>
      <c r="AQ176">
        <f>PRODUCT('Data Training 1'!AW24,'Data Training 1'!AV34,'Data Training 1'!AV37,'Data Training 1'!AV43,'Data Training 1'!AV52,'Data Training 1'!AV58,'Data Training 1'!AV64,'Data Training 1'!AV70,'Data Training 1'!AV75,'Data Training 1'!AV81,'Data Training 1'!AV86,'Data Training 1'!AV91,'Data Training 1'!AV99,'Data Training 1'!AV105,'Data Training 1'!AV111,'Data Training 1'!AV118,'Data Training 1'!AV124,'Data Training 1'!AV128,'Data Training 1'!AV134,'Data Training 1'!AV141,'Data Training 1'!AV145,'Data Training 1'!AV154,'Data Training 1'!AV158,'Data Training 1'!AV164,'Data Training 1'!AV168,'Data Training 1'!AV172,'Data Training 1'!AV175,'Data Training 1'!AV179,'Data Training 1'!AV183,'Data Training 1'!AV187,'Data Training 1'!AV192,'Data Training 1'!AV195,'Data Training 1'!AV199,'Data Training 1'!AV203,'Data Training 1'!AV207,'Data Training 1'!AV211,'Data Training 1'!AV216)</f>
        <v>7.3319197071459694E-15</v>
      </c>
    </row>
    <row r="177" spans="41:79">
      <c r="AO177" s="69" t="s">
        <v>507</v>
      </c>
      <c r="AP177" s="69"/>
      <c r="AQ177">
        <f>PRODUCT('Data Training 1'!AW25,'Data Training 1'!AW34,'Data Training 1'!AW37,'Data Training 1'!AW43,'Data Training 1'!AW52,'Data Training 1'!AW58,'Data Training 1'!AW64,'Data Training 1'!AW70,'Data Training 1'!AW75,'Data Training 1'!AW81,'Data Training 1'!AW86,'Data Training 1'!AW91,'Data Training 1'!AW99,'Data Training 1'!AW105,'Data Training 1'!AW111,'Data Training 1'!AW118,'Data Training 1'!AW124,'Data Training 1'!AW128,'Data Training 1'!AW134,'Data Training 1'!AW141,'Data Training 1'!AW145,'Data Training 1'!AW154,'Data Training 1'!AW158,'Data Training 1'!AW164,'Data Training 1'!AW168,'Data Training 1'!AW172,'Data Training 1'!AW175,'Data Training 1'!AW179,'Data Training 1'!AW183,'Data Training 1'!AW187,'Data Training 1'!AW192,'Data Training 1'!AW195,'Data Training 1'!AW199,'Data Training 1'!AW203,'Data Training 1'!AW207,'Data Training 1'!AW211,'Data Training 1'!AW216)</f>
        <v>0</v>
      </c>
    </row>
    <row r="178" spans="41:79">
      <c r="AO178" s="69" t="s">
        <v>508</v>
      </c>
      <c r="AP178" s="69"/>
      <c r="AQ178">
        <f>PRODUCT('Data Training 1'!AW26,'Data Training 1'!AX34,'Data Training 1'!AX37,'Data Training 1'!AX43,'Data Training 1'!AX52,'Data Training 1'!AX58,'Data Training 1'!AX64,'Data Training 1'!AX70,'Data Training 1'!AX75,'Data Training 1'!AX81,'Data Training 1'!AX86,'Data Training 1'!AX91,'Data Training 1'!AX99,'Data Training 1'!AX105,'Data Training 1'!AX111,'Data Training 1'!AX118,'Data Training 1'!AX124,'Data Training 1'!AX128,'Data Training 1'!AX134,'Data Training 1'!AX141,'Data Training 1'!AX145,'Data Training 1'!AX154,'Data Training 1'!AX158,'Data Training 1'!AX164,'Data Training 1'!AX168,'Data Training 1'!AX172,'Data Training 1'!AX175,'Data Training 1'!AX179,'Data Training 1'!AX183,'Data Training 1'!AX187,'Data Training 1'!AX192,'Data Training 1'!AX195,'Data Training 1'!AX199,'Data Training 1'!AX203,'Data Training 1'!AX207,'Data Training 1'!AX211,'Data Training 1'!AX216)</f>
        <v>0</v>
      </c>
    </row>
    <row r="179" spans="41:79">
      <c r="AO179" s="69" t="s">
        <v>509</v>
      </c>
      <c r="AP179" s="69"/>
      <c r="AQ179">
        <f>PRODUCT('Data Training 1'!AW27,'Data Training 1'!AY34,'Data Training 1'!AY37,'Data Training 1'!AY43,'Data Training 1'!AY52,'Data Training 1'!AY58,'Data Training 1'!AY64,'Data Training 1'!AY70,'Data Training 1'!AY75,'Data Training 1'!AY81,'Data Training 1'!AY86,'Data Training 1'!AY91,'Data Training 1'!AY99,'Data Training 1'!AY105,'Data Training 1'!AY111,'Data Training 1'!AY118,'Data Training 1'!AY124,'Data Training 1'!AY128,'Data Training 1'!AY134,'Data Training 1'!AY141,'Data Training 1'!AY145,'Data Training 1'!AY154,'Data Training 1'!AY158,'Data Training 1'!AY164,'Data Training 1'!AY168,'Data Training 1'!AY172,'Data Training 1'!AY175,'Data Training 1'!AY179,'Data Training 1'!AY183,'Data Training 1'!AY187,'Data Training 1'!AY192,'Data Training 1'!AY195,'Data Training 1'!AY199,'Data Training 1'!AY203,'Data Training 1'!AY207,'Data Training 1'!AY211,'Data Training 1'!AY216)</f>
        <v>0</v>
      </c>
    </row>
    <row r="180" spans="41:79">
      <c r="AO180" s="78" t="s">
        <v>437</v>
      </c>
      <c r="AP180" s="78"/>
      <c r="AQ180" t="s">
        <v>294</v>
      </c>
      <c r="AR180" s="74" t="s">
        <v>438</v>
      </c>
      <c r="AS180" s="74"/>
      <c r="AT180" s="74"/>
    </row>
    <row r="182" spans="41:79">
      <c r="AO182" s="79" t="s">
        <v>321</v>
      </c>
      <c r="AP182" s="79"/>
      <c r="AQ182" s="20" t="s">
        <v>64</v>
      </c>
      <c r="AR182" s="1" t="s">
        <v>43</v>
      </c>
      <c r="AS182" s="1" t="s">
        <v>44</v>
      </c>
      <c r="AT182" s="1" t="s">
        <v>45</v>
      </c>
      <c r="AU182" s="1" t="s">
        <v>46</v>
      </c>
      <c r="AV182" s="1" t="s">
        <v>47</v>
      </c>
      <c r="AW182" s="1" t="s">
        <v>48</v>
      </c>
      <c r="AX182" s="1" t="s">
        <v>49</v>
      </c>
      <c r="AY182" s="1" t="s">
        <v>50</v>
      </c>
      <c r="AZ182" s="1" t="s">
        <v>51</v>
      </c>
      <c r="BA182" s="1" t="s">
        <v>52</v>
      </c>
      <c r="BB182" s="1" t="s">
        <v>53</v>
      </c>
      <c r="BC182" s="1" t="s">
        <v>54</v>
      </c>
      <c r="BD182" s="1" t="s">
        <v>55</v>
      </c>
      <c r="BE182" s="1" t="s">
        <v>56</v>
      </c>
      <c r="BF182" s="1" t="s">
        <v>57</v>
      </c>
      <c r="BG182" s="1" t="s">
        <v>58</v>
      </c>
      <c r="BH182" s="1" t="s">
        <v>59</v>
      </c>
      <c r="BI182" s="1" t="s">
        <v>60</v>
      </c>
      <c r="BJ182" s="1" t="s">
        <v>61</v>
      </c>
      <c r="BK182" s="1" t="s">
        <v>62</v>
      </c>
      <c r="BL182" s="1" t="s">
        <v>63</v>
      </c>
      <c r="BM182" s="1" t="s">
        <v>330</v>
      </c>
      <c r="BN182" s="1" t="s">
        <v>331</v>
      </c>
      <c r="BO182" s="1" t="s">
        <v>332</v>
      </c>
      <c r="BP182" s="1" t="s">
        <v>333</v>
      </c>
      <c r="BQ182" s="1" t="s">
        <v>334</v>
      </c>
      <c r="BR182" s="1" t="s">
        <v>335</v>
      </c>
      <c r="BS182" s="1" t="s">
        <v>336</v>
      </c>
      <c r="BT182" s="1" t="s">
        <v>337</v>
      </c>
      <c r="BU182" s="1" t="s">
        <v>338</v>
      </c>
      <c r="BV182" s="1" t="s">
        <v>339</v>
      </c>
      <c r="BW182" s="1" t="s">
        <v>340</v>
      </c>
      <c r="BX182" s="1" t="s">
        <v>341</v>
      </c>
      <c r="BY182" s="1" t="s">
        <v>342</v>
      </c>
      <c r="BZ182" s="1" t="s">
        <v>343</v>
      </c>
      <c r="CA182" s="1" t="s">
        <v>390</v>
      </c>
    </row>
    <row r="183" spans="41:79">
      <c r="AO183" s="79"/>
      <c r="AP183" s="79"/>
      <c r="AQ183" s="20">
        <v>4</v>
      </c>
      <c r="AR183" t="s">
        <v>3</v>
      </c>
      <c r="AS183" t="s">
        <v>3</v>
      </c>
      <c r="AT183" t="s">
        <v>3</v>
      </c>
      <c r="AU183" t="s">
        <v>5</v>
      </c>
      <c r="AV183" t="s">
        <v>5</v>
      </c>
      <c r="AW183" t="s">
        <v>5</v>
      </c>
      <c r="AX183" t="s">
        <v>5</v>
      </c>
      <c r="AY183" t="s">
        <v>2</v>
      </c>
      <c r="AZ183" t="s">
        <v>2</v>
      </c>
      <c r="BA183" t="s">
        <v>3</v>
      </c>
      <c r="BB183" t="s">
        <v>3</v>
      </c>
      <c r="BC183" t="s">
        <v>5</v>
      </c>
      <c r="BD183" t="s">
        <v>5</v>
      </c>
      <c r="BE183" t="s">
        <v>3</v>
      </c>
      <c r="BF183" t="s">
        <v>2</v>
      </c>
      <c r="BG183" t="s">
        <v>5</v>
      </c>
      <c r="BH183" t="s">
        <v>5</v>
      </c>
      <c r="BI183" t="s">
        <v>5</v>
      </c>
      <c r="BJ183" t="s">
        <v>4</v>
      </c>
      <c r="BK183" t="s">
        <v>4</v>
      </c>
      <c r="BL183" t="s">
        <v>4</v>
      </c>
      <c r="BM183" t="s">
        <v>2</v>
      </c>
      <c r="BN183" t="s">
        <v>3</v>
      </c>
      <c r="BO183" t="s">
        <v>4</v>
      </c>
      <c r="BP183" t="s">
        <v>4</v>
      </c>
      <c r="BQ183" t="s">
        <v>4</v>
      </c>
      <c r="BR183" t="s">
        <v>4</v>
      </c>
      <c r="BS183" t="s">
        <v>4</v>
      </c>
      <c r="BT183" t="s">
        <v>3</v>
      </c>
      <c r="BU183" t="s">
        <v>3</v>
      </c>
      <c r="BV183" t="s">
        <v>4</v>
      </c>
      <c r="BW183" t="s">
        <v>3</v>
      </c>
      <c r="BX183" t="s">
        <v>3</v>
      </c>
      <c r="BY183" t="s">
        <v>4</v>
      </c>
      <c r="BZ183" t="s">
        <v>4</v>
      </c>
      <c r="CA183" t="s">
        <v>3</v>
      </c>
    </row>
    <row r="184" spans="41:79">
      <c r="AO184" s="69" t="s">
        <v>504</v>
      </c>
      <c r="AP184" s="69"/>
      <c r="AQ184">
        <f>'Data Training 1'!AW22*'Data Training 1'!AT32*'Data Training 1'!AT38*'Data Training 1'!AT44*'Data Training 1'!AT52*'Data Training 1'!AT58*'Data Training 1'!AT64*'Data Training 1'!AT70*'Data Training 1'!AT75*'Data Training 1'!AT81*'Data Training 1'!AT86*'Data Training 1'!AT92*'Data Training 1'!AT100*'Data Training 1'!AT106*'Data Training 1'!AT110*'Data Training 1'!AT117*'Data Training 1'!AT124*'Data Training 1'!AT130*'Data Training 1'!AT136*'Data Training 1'!AT139*'Data Training 1'!AT145*'Data Training 1'!AT151*'Data Training 1'!AT159*'Data Training 1'!AT164*'Data Training 1'!AT167*'Data Training 1'!AT171*'Data Training 1'!AT175*'Data Training 1'!AT179*'Data Training 1'!AT183*'Data Training 1'!AT188*'Data Training 1'!AT192*'Data Training 1'!AT195*'Data Training 1'!AT200*'Data Training 1'!AT204*'Data Training 1'!AT207*'Data Training 1'!AT211*'Data Training 1'!AT216</f>
        <v>4.5469358308847406E-10</v>
      </c>
    </row>
    <row r="185" spans="41:79">
      <c r="AO185" s="69" t="s">
        <v>505</v>
      </c>
      <c r="AP185" s="69"/>
      <c r="AQ185">
        <f>'Data Training 1'!AW22*'Data Training 1'!AU32*'Data Training 1'!AU38*'Data Training 1'!AU44*'Data Training 1'!AU52*'Data Training 1'!AU58*'Data Training 1'!AU64*'Data Training 1'!AU70*'Data Training 1'!AU75*'Data Training 1'!AU81*'Data Training 1'!AU86*'Data Training 1'!AU92*'Data Training 1'!AU100*'Data Training 1'!AU106*'Data Training 1'!AU110*'Data Training 1'!AU117*'Data Training 1'!AU124*'Data Training 1'!AU130*'Data Training 1'!AU136*'Data Training 1'!AU139*'Data Training 1'!AU145*'Data Training 1'!AU151*'Data Training 1'!AU159*'Data Training 1'!AU164*'Data Training 1'!AU167*'Data Training 1'!AU171*'Data Training 1'!AU175*'Data Training 1'!AU179*'Data Training 1'!AU183*'Data Training 1'!AU188*'Data Training 1'!AU192*'Data Training 1'!AU195*'Data Training 1'!AU200*'Data Training 1'!AU204*'Data Training 1'!AU207*'Data Training 1'!AU211*'Data Training 1'!AU216</f>
        <v>0</v>
      </c>
    </row>
    <row r="186" spans="41:79">
      <c r="AO186" s="69" t="s">
        <v>506</v>
      </c>
      <c r="AP186" s="69"/>
      <c r="AQ186">
        <f>'Data Training 1'!AW22*'Data Training 1'!AV32*'Data Training 1'!AV38*'Data Training 1'!AV44*'Data Training 1'!AV52*'Data Training 1'!AV58*'Data Training 1'!AV64*'Data Training 1'!AV70*'Data Training 1'!AV75*'Data Training 1'!AV81*'Data Training 1'!AV86*'Data Training 1'!AV92*'Data Training 1'!AV100*'Data Training 1'!AV106*'Data Training 1'!AV110*'Data Training 1'!AV117*'Data Training 1'!AV124*'Data Training 1'!AV130*'Data Training 1'!AV136*'Data Training 1'!AV139*'Data Training 1'!AV145*'Data Training 1'!AV151*'Data Training 1'!AV159*'Data Training 1'!AV164*'Data Training 1'!AV167*'Data Training 1'!AV171*'Data Training 1'!AV175*'Data Training 1'!AV179*'Data Training 1'!AV183*'Data Training 1'!AV188*'Data Training 1'!AV192*'Data Training 1'!AV195*'Data Training 1'!AV200*'Data Training 1'!AV204*'Data Training 1'!AV207*'Data Training 1'!AV211*'Data Training 1'!AV216</f>
        <v>0</v>
      </c>
    </row>
    <row r="187" spans="41:79">
      <c r="AO187" s="69" t="s">
        <v>507</v>
      </c>
      <c r="AP187" s="69"/>
      <c r="AQ187">
        <f>'Data Training 1'!AW22*'Data Training 1'!AW32*'Data Training 1'!AW38*'Data Training 1'!AW44*'Data Training 1'!AW52*'Data Training 1'!AW58*'Data Training 1'!AW64*'Data Training 1'!AW70*'Data Training 1'!AW75*'Data Training 1'!AW81*'Data Training 1'!AW86*'Data Training 1'!AW92*'Data Training 1'!AW100*'Data Training 1'!AW106*'Data Training 1'!AW110*'Data Training 1'!AW117*'Data Training 1'!AW124*'Data Training 1'!AW130*'Data Training 1'!AW136*'Data Training 1'!AW139*'Data Training 1'!AW145*'Data Training 1'!AW151*'Data Training 1'!AW159*'Data Training 1'!AW164*'Data Training 1'!AW167*'Data Training 1'!AW171*'Data Training 1'!AW175*'Data Training 1'!AW179*'Data Training 1'!AW183*'Data Training 1'!AW188*'Data Training 1'!AW192*'Data Training 1'!AW195*'Data Training 1'!AW200*'Data Training 1'!AW204*'Data Training 1'!AW207*'Data Training 1'!AW211*'Data Training 1'!AW216</f>
        <v>6.0839707758247844E-8</v>
      </c>
    </row>
    <row r="188" spans="41:79">
      <c r="AO188" s="69" t="s">
        <v>508</v>
      </c>
      <c r="AP188" s="69"/>
      <c r="AQ188">
        <f>'Data Training 1'!AX22*'Data Training 1'!AX32*'Data Training 1'!AX38*'Data Training 1'!AX44*'Data Training 1'!AX52*'Data Training 1'!AX58*'Data Training 1'!AX64*'Data Training 1'!AX70*'Data Training 1'!AX75*'Data Training 1'!AX81*'Data Training 1'!AX86*'Data Training 1'!AX92*'Data Training 1'!AX100*'Data Training 1'!AX106*'Data Training 1'!AX110*'Data Training 1'!AX117*'Data Training 1'!AX124*'Data Training 1'!AX130*'Data Training 1'!AX136*'Data Training 1'!AX139*'Data Training 1'!AX145*'Data Training 1'!AX151*'Data Training 1'!AX159*'Data Training 1'!AX164*'Data Training 1'!AX167*'Data Training 1'!AX171*'Data Training 1'!AX175*'Data Training 1'!AX179*'Data Training 1'!AX183*'Data Training 1'!AX188*'Data Training 1'!AX192*'Data Training 1'!AX195*'Data Training 1'!AX200*'Data Training 1'!AX204*'Data Training 1'!AX207*'Data Training 1'!AX211*'Data Training 1'!AX216</f>
        <v>0</v>
      </c>
    </row>
    <row r="189" spans="41:79">
      <c r="AO189" s="69" t="s">
        <v>509</v>
      </c>
      <c r="AP189" s="69"/>
      <c r="AQ189">
        <f>'Data Training 1'!AY22*'Data Training 1'!AY32*'Data Training 1'!AY38*'Data Training 1'!AY44*'Data Training 1'!AY52*'Data Training 1'!AY58*'Data Training 1'!AY64*'Data Training 1'!AY70*'Data Training 1'!AY75*'Data Training 1'!AY81*'Data Training 1'!AY86*'Data Training 1'!AY92*'Data Training 1'!AY100*'Data Training 1'!AY106*'Data Training 1'!AY110*'Data Training 1'!AY117*'Data Training 1'!AY124*'Data Training 1'!AY130*'Data Training 1'!AY136*'Data Training 1'!AY139*'Data Training 1'!AY145*'Data Training 1'!AY151*'Data Training 1'!AY159*'Data Training 1'!AY164*'Data Training 1'!AY167*'Data Training 1'!AY171*'Data Training 1'!AY175*'Data Training 1'!AY179*'Data Training 1'!AY183*'Data Training 1'!AY188*'Data Training 1'!AY192*'Data Training 1'!AY195*'Data Training 1'!AY200*'Data Training 1'!AY204*'Data Training 1'!AY207*'Data Training 1'!AY211*'Data Training 1'!AY216</f>
        <v>0</v>
      </c>
    </row>
    <row r="190" spans="41:79">
      <c r="AO190" s="78" t="s">
        <v>437</v>
      </c>
      <c r="AP190" s="78"/>
      <c r="AQ190" t="s">
        <v>285</v>
      </c>
      <c r="AR190" s="74" t="s">
        <v>438</v>
      </c>
      <c r="AS190" s="74"/>
      <c r="AT190" s="74"/>
    </row>
    <row r="192" spans="41:79">
      <c r="AO192" s="79" t="s">
        <v>322</v>
      </c>
      <c r="AP192" s="79"/>
      <c r="AQ192" s="20" t="s">
        <v>64</v>
      </c>
      <c r="AR192" s="1" t="s">
        <v>43</v>
      </c>
      <c r="AS192" s="1" t="s">
        <v>44</v>
      </c>
      <c r="AT192" s="1" t="s">
        <v>45</v>
      </c>
      <c r="AU192" s="1" t="s">
        <v>46</v>
      </c>
      <c r="AV192" s="1" t="s">
        <v>47</v>
      </c>
      <c r="AW192" s="1" t="s">
        <v>48</v>
      </c>
      <c r="AX192" s="1" t="s">
        <v>49</v>
      </c>
      <c r="AY192" s="1" t="s">
        <v>50</v>
      </c>
      <c r="AZ192" s="1" t="s">
        <v>51</v>
      </c>
      <c r="BA192" s="1" t="s">
        <v>52</v>
      </c>
      <c r="BB192" s="1" t="s">
        <v>53</v>
      </c>
      <c r="BC192" s="1" t="s">
        <v>54</v>
      </c>
      <c r="BD192" s="1" t="s">
        <v>55</v>
      </c>
      <c r="BE192" s="1" t="s">
        <v>56</v>
      </c>
      <c r="BF192" s="1" t="s">
        <v>57</v>
      </c>
      <c r="BG192" s="1" t="s">
        <v>58</v>
      </c>
      <c r="BH192" s="1" t="s">
        <v>59</v>
      </c>
      <c r="BI192" s="1" t="s">
        <v>60</v>
      </c>
      <c r="BJ192" s="1" t="s">
        <v>61</v>
      </c>
      <c r="BK192" s="1" t="s">
        <v>62</v>
      </c>
      <c r="BL192" s="1" t="s">
        <v>63</v>
      </c>
      <c r="BM192" s="1" t="s">
        <v>330</v>
      </c>
      <c r="BN192" s="1" t="s">
        <v>331</v>
      </c>
      <c r="BO192" s="1" t="s">
        <v>332</v>
      </c>
      <c r="BP192" s="1" t="s">
        <v>333</v>
      </c>
      <c r="BQ192" s="1" t="s">
        <v>334</v>
      </c>
      <c r="BR192" s="1" t="s">
        <v>335</v>
      </c>
      <c r="BS192" s="1" t="s">
        <v>336</v>
      </c>
      <c r="BT192" s="1" t="s">
        <v>337</v>
      </c>
      <c r="BU192" s="1" t="s">
        <v>338</v>
      </c>
      <c r="BV192" s="1" t="s">
        <v>339</v>
      </c>
      <c r="BW192" s="1" t="s">
        <v>340</v>
      </c>
      <c r="BX192" s="1" t="s">
        <v>341</v>
      </c>
      <c r="BY192" s="1" t="s">
        <v>342</v>
      </c>
      <c r="BZ192" s="1" t="s">
        <v>343</v>
      </c>
      <c r="CA192" s="1" t="s">
        <v>390</v>
      </c>
    </row>
    <row r="193" spans="41:79">
      <c r="AO193" s="79"/>
      <c r="AP193" s="79"/>
      <c r="AQ193" s="20">
        <v>4</v>
      </c>
      <c r="AR193" t="s">
        <v>5</v>
      </c>
      <c r="AS193" t="s">
        <v>5</v>
      </c>
      <c r="AT193" t="s">
        <v>2</v>
      </c>
      <c r="AU193" t="s">
        <v>5</v>
      </c>
      <c r="AV193" t="s">
        <v>5</v>
      </c>
      <c r="AW193" t="s">
        <v>5</v>
      </c>
      <c r="AX193" t="s">
        <v>5</v>
      </c>
      <c r="AY193" t="s">
        <v>2</v>
      </c>
      <c r="AZ193" t="s">
        <v>2</v>
      </c>
      <c r="BA193" t="s">
        <v>2</v>
      </c>
      <c r="BB193" t="s">
        <v>3</v>
      </c>
      <c r="BC193" t="s">
        <v>5</v>
      </c>
      <c r="BD193" t="s">
        <v>5</v>
      </c>
      <c r="BE193" t="s">
        <v>2</v>
      </c>
      <c r="BF193" t="s">
        <v>2</v>
      </c>
      <c r="BG193" t="s">
        <v>5</v>
      </c>
      <c r="BH193" t="s">
        <v>5</v>
      </c>
      <c r="BI193" t="s">
        <v>5</v>
      </c>
      <c r="BJ193" t="s">
        <v>5</v>
      </c>
      <c r="BK193" t="s">
        <v>3</v>
      </c>
      <c r="BL193" t="s">
        <v>3</v>
      </c>
      <c r="BM193" t="s">
        <v>2</v>
      </c>
      <c r="BN193" t="s">
        <v>3</v>
      </c>
      <c r="BO193" t="s">
        <v>4</v>
      </c>
      <c r="BP193" t="s">
        <v>4</v>
      </c>
      <c r="BQ193" t="s">
        <v>4</v>
      </c>
      <c r="BR193" t="s">
        <v>4</v>
      </c>
      <c r="BS193" t="s">
        <v>4</v>
      </c>
      <c r="BT193" t="s">
        <v>3</v>
      </c>
      <c r="BU193" t="s">
        <v>3</v>
      </c>
      <c r="BV193" t="s">
        <v>4</v>
      </c>
      <c r="BW193" t="s">
        <v>3</v>
      </c>
      <c r="BX193" t="s">
        <v>3</v>
      </c>
      <c r="BY193" t="s">
        <v>4</v>
      </c>
      <c r="BZ193" t="s">
        <v>3</v>
      </c>
      <c r="CA193" t="s">
        <v>3</v>
      </c>
    </row>
    <row r="194" spans="41:79">
      <c r="AO194" s="69" t="s">
        <v>504</v>
      </c>
      <c r="AP194" s="69"/>
      <c r="AQ194">
        <f>'Data Training 1'!AW22*'Data Training 1'!AT34*'Data Training 1'!AT40*'Data Training 1'!AT45*'Data Training 1'!AT52*'Data Training 1'!AT58*'Data Training 1'!AT64*'Data Training 1'!AT70*'Data Training 1'!AT75*'Data Training 1'!AT81*'Data Training 1'!AT87*'Data Training 1'!AT92*'Data Training 1'!AT100*'Data Training 1'!AT106*'Data Training 1'!AT111*'Data Training 1'!AT117*'Data Training 1'!AT124*'Data Training 1'!AT130*'Data Training 1'!AT136*'Data Training 1'!AT142*'Data Training 1'!AT146*'Data Training 1'!AT152*'Data Training 1'!AT159*'Data Training 1'!AT164*'Data Training 1'!AT167*'Data Training 1'!AT171*'Data Training 1'!AT175*'Data Training 1'!AT179*'Data Training 1'!AT183*'Data Training 1'!AT188*'Data Training 1'!AT192*'Data Training 1'!AT195*'Data Training 1'!AT200*'Data Training 1'!AT204*'Data Training 1'!AT207*'Data Training 1'!AT212*'Data Training 1'!AT216</f>
        <v>0</v>
      </c>
    </row>
    <row r="195" spans="41:79">
      <c r="AO195" s="69" t="s">
        <v>505</v>
      </c>
      <c r="AP195" s="69"/>
      <c r="AQ195">
        <f>'Data Training 1'!AW23*'Data Training 1'!AU34*'Data Training 1'!AU40*'Data Training 1'!AU45*'Data Training 1'!AU52*'Data Training 1'!AU58*'Data Training 1'!AU64*'Data Training 1'!AU70*'Data Training 1'!AU75*'Data Training 1'!AU81*'Data Training 1'!AU87*'Data Training 1'!AU92*'Data Training 1'!AU100*'Data Training 1'!AU106*'Data Training 1'!AU111*'Data Training 1'!AU117*'Data Training 1'!AU124*'Data Training 1'!AU130*'Data Training 1'!AU136*'Data Training 1'!AU142*'Data Training 1'!AU146*'Data Training 1'!AU152*'Data Training 1'!AU159*'Data Training 1'!AU164*'Data Training 1'!AU167*'Data Training 1'!AU171*'Data Training 1'!AU175*'Data Training 1'!AU179*'Data Training 1'!AU183*'Data Training 1'!AU188*'Data Training 1'!AU192*'Data Training 1'!AU195*'Data Training 1'!AU200*'Data Training 1'!AU204*'Data Training 1'!AU207*'Data Training 1'!AU212*'Data Training 1'!AU216</f>
        <v>0</v>
      </c>
    </row>
    <row r="196" spans="41:79">
      <c r="AO196" s="69" t="s">
        <v>506</v>
      </c>
      <c r="AP196" s="69"/>
      <c r="AQ196">
        <f>'Data Training 1'!AW24*'Data Training 1'!AV34*'Data Training 1'!AV40*'Data Training 1'!AV45*'Data Training 1'!AV52*'Data Training 1'!AV58*'Data Training 1'!AV64*'Data Training 1'!AV70*'Data Training 1'!AV75*'Data Training 1'!AV81*'Data Training 1'!AV87*'Data Training 1'!AV92*'Data Training 1'!AV100*'Data Training 1'!AV106*'Data Training 1'!AV111*'Data Training 1'!AV117*'Data Training 1'!AV124*'Data Training 1'!AV130*'Data Training 1'!AV136*'Data Training 1'!AV142*'Data Training 1'!AV146*'Data Training 1'!AV152*'Data Training 1'!AV159*'Data Training 1'!AV164*'Data Training 1'!AV167*'Data Training 1'!AV171*'Data Training 1'!AV175*'Data Training 1'!AV179*'Data Training 1'!AV183*'Data Training 1'!AV188*'Data Training 1'!AV192*'Data Training 1'!AV195*'Data Training 1'!AV200*'Data Training 1'!AV204*'Data Training 1'!AV207*'Data Training 1'!AV212*'Data Training 1'!AV216</f>
        <v>0</v>
      </c>
    </row>
    <row r="197" spans="41:79">
      <c r="AO197" s="69" t="s">
        <v>507</v>
      </c>
      <c r="AP197" s="69"/>
      <c r="AQ197">
        <f>'Data Training 1'!AW25*'Data Training 1'!AW34*'Data Training 1'!AW40*'Data Training 1'!AW45*'Data Training 1'!AW52*'Data Training 1'!AW58*'Data Training 1'!AW64*'Data Training 1'!AW70*'Data Training 1'!AW75*'Data Training 1'!AW81*'Data Training 1'!AW87*'Data Training 1'!AW92*'Data Training 1'!AW100*'Data Training 1'!AW106*'Data Training 1'!AW111*'Data Training 1'!AW117*'Data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5.9125080425896835E-8</v>
      </c>
    </row>
    <row r="198" spans="41:79">
      <c r="AO198" s="69" t="s">
        <v>508</v>
      </c>
      <c r="AP198" s="69"/>
      <c r="AQ198">
        <f>'Data Training 1'!AW26*'Data Training 1'!AX34*'Data Training 1'!AX40*'Data Training 1'!AX45*'Data Training 1'!AX52*'Data Training 1'!AX58*'Data Training 1'!AX64*'Data Training 1'!AX70*'Data Training 1'!AX75*'Data Training 1'!AX81*'Data Training 1'!AX87*'Data Training 1'!AX92*'Data Training 1'!AX100*'Data Training 1'!AX106*'Data Training 1'!AX111*'Data Training 1'!AX117*'Data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3.7379334338352473E-8</v>
      </c>
    </row>
    <row r="199" spans="41:79">
      <c r="AO199" s="69" t="s">
        <v>509</v>
      </c>
      <c r="AP199" s="69"/>
      <c r="AQ199">
        <f>'Data Training 1'!AW27*'Data Training 1'!AY34*'Data Training 1'!AY40*'Data Training 1'!AY45*'Data Training 1'!AY52*'Data Training 1'!AY58*'Data Training 1'!AY64*'Data Training 1'!AY70*'Data Training 1'!AY75*'Data Training 1'!AY81*'Data Training 1'!AY87*'Data Training 1'!AY92*'Data Training 1'!AY100*'Data Training 1'!AY106*'Data Training 1'!AY111*'Data Training 1'!AY117*'Data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2.4311039127593316E-10</v>
      </c>
    </row>
    <row r="200" spans="41:79">
      <c r="AO200" s="78" t="s">
        <v>437</v>
      </c>
      <c r="AP200" s="78"/>
      <c r="AQ200" t="s">
        <v>296</v>
      </c>
      <c r="AR200" s="74" t="s">
        <v>438</v>
      </c>
      <c r="AS200" s="74"/>
      <c r="AT200" s="74"/>
    </row>
    <row r="202" spans="41:79">
      <c r="AO202" s="79" t="s">
        <v>323</v>
      </c>
      <c r="AP202" s="79"/>
      <c r="AQ202" s="20" t="s">
        <v>64</v>
      </c>
      <c r="AR202" s="1" t="s">
        <v>43</v>
      </c>
      <c r="AS202" s="1" t="s">
        <v>44</v>
      </c>
      <c r="AT202" s="1" t="s">
        <v>45</v>
      </c>
      <c r="AU202" s="1" t="s">
        <v>46</v>
      </c>
      <c r="AV202" s="1" t="s">
        <v>47</v>
      </c>
      <c r="AW202" s="1" t="s">
        <v>48</v>
      </c>
      <c r="AX202" s="1" t="s">
        <v>49</v>
      </c>
      <c r="AY202" s="1" t="s">
        <v>50</v>
      </c>
      <c r="AZ202" s="1" t="s">
        <v>51</v>
      </c>
      <c r="BA202" s="1" t="s">
        <v>52</v>
      </c>
      <c r="BB202" s="1" t="s">
        <v>53</v>
      </c>
      <c r="BC202" s="1" t="s">
        <v>54</v>
      </c>
      <c r="BD202" s="1" t="s">
        <v>55</v>
      </c>
      <c r="BE202" s="1" t="s">
        <v>56</v>
      </c>
      <c r="BF202" s="1" t="s">
        <v>57</v>
      </c>
      <c r="BG202" s="1" t="s">
        <v>58</v>
      </c>
      <c r="BH202" s="1" t="s">
        <v>59</v>
      </c>
      <c r="BI202" s="1" t="s">
        <v>60</v>
      </c>
      <c r="BJ202" s="1" t="s">
        <v>61</v>
      </c>
      <c r="BK202" s="1" t="s">
        <v>62</v>
      </c>
      <c r="BL202" s="1" t="s">
        <v>63</v>
      </c>
      <c r="BM202" s="1" t="s">
        <v>330</v>
      </c>
      <c r="BN202" s="1" t="s">
        <v>331</v>
      </c>
      <c r="BO202" s="1" t="s">
        <v>332</v>
      </c>
      <c r="BP202" s="1" t="s">
        <v>333</v>
      </c>
      <c r="BQ202" s="1" t="s">
        <v>334</v>
      </c>
      <c r="BR202" s="1" t="s">
        <v>335</v>
      </c>
      <c r="BS202" s="1" t="s">
        <v>336</v>
      </c>
      <c r="BT202" s="1" t="s">
        <v>337</v>
      </c>
      <c r="BU202" s="1" t="s">
        <v>338</v>
      </c>
      <c r="BV202" s="1" t="s">
        <v>339</v>
      </c>
      <c r="BW202" s="1" t="s">
        <v>340</v>
      </c>
      <c r="BX202" s="1" t="s">
        <v>341</v>
      </c>
      <c r="BY202" s="1" t="s">
        <v>342</v>
      </c>
      <c r="BZ202" s="1" t="s">
        <v>343</v>
      </c>
      <c r="CA202" s="1" t="s">
        <v>390</v>
      </c>
    </row>
    <row r="203" spans="41:79">
      <c r="AO203" s="79"/>
      <c r="AP203" s="79"/>
      <c r="AQ203" s="20">
        <v>4</v>
      </c>
      <c r="AR203" t="s">
        <v>5</v>
      </c>
      <c r="AS203" t="s">
        <v>3</v>
      </c>
      <c r="AT203" t="s">
        <v>2</v>
      </c>
      <c r="AU203" t="s">
        <v>5</v>
      </c>
      <c r="AV203" t="s">
        <v>5</v>
      </c>
      <c r="AW203" t="s">
        <v>5</v>
      </c>
      <c r="AX203" t="s">
        <v>2</v>
      </c>
      <c r="AY203" t="s">
        <v>2</v>
      </c>
      <c r="AZ203" t="s">
        <v>3</v>
      </c>
      <c r="BA203" t="s">
        <v>3</v>
      </c>
      <c r="BB203" t="s">
        <v>3</v>
      </c>
      <c r="BC203" t="s">
        <v>4</v>
      </c>
      <c r="BD203" t="s">
        <v>2</v>
      </c>
      <c r="BE203" t="s">
        <v>2</v>
      </c>
      <c r="BF203" t="s">
        <v>3</v>
      </c>
      <c r="BG203" t="s">
        <v>5</v>
      </c>
      <c r="BH203" t="s">
        <v>2</v>
      </c>
      <c r="BI203" t="s">
        <v>2</v>
      </c>
      <c r="BJ203" t="s">
        <v>5</v>
      </c>
      <c r="BK203" t="s">
        <v>3</v>
      </c>
      <c r="BL203" t="s">
        <v>2</v>
      </c>
      <c r="BM203" t="s">
        <v>2</v>
      </c>
      <c r="BN203" t="s">
        <v>3</v>
      </c>
      <c r="BO203" t="s">
        <v>4</v>
      </c>
      <c r="BP203" t="s">
        <v>4</v>
      </c>
      <c r="BQ203" t="s">
        <v>4</v>
      </c>
      <c r="BR203" t="s">
        <v>4</v>
      </c>
      <c r="BS203" t="s">
        <v>4</v>
      </c>
      <c r="BT203" t="s">
        <v>3</v>
      </c>
      <c r="BU203" t="s">
        <v>3</v>
      </c>
      <c r="BV203" t="s">
        <v>4</v>
      </c>
      <c r="BW203" t="s">
        <v>3</v>
      </c>
      <c r="BX203" t="s">
        <v>4</v>
      </c>
      <c r="BY203" t="s">
        <v>4</v>
      </c>
      <c r="BZ203" t="s">
        <v>4</v>
      </c>
      <c r="CA203" t="s">
        <v>3</v>
      </c>
    </row>
    <row r="204" spans="41:79">
      <c r="AO204" s="69" t="s">
        <v>504</v>
      </c>
      <c r="AP204" s="69"/>
      <c r="AQ204">
        <f>'Data Training 1'!AW22*'Data Training 1'!AT34*'Data Training 1'!AT38*'Data Training 1'!AT45*'Data Training 1'!AT52*'Data Training 1'!AT58*'Data Training 1'!AT64*'Data Training 1'!AT69*'Data Training 1'!AT75*'Data Training 1'!AT80*'Data Training 1'!AT86*'Data Training 1'!AT92*'Data Training 1'!AT97*'Data Training 1'!AT105*'Data Training 1'!AT111*'Data Training 1'!AT116*'Data Training 1'!AT124*'Data Training 1'!AT129*'Data Training 1'!AT135*'Data Training 1'!AT142*'Data Training 1'!AT146*'Data Training 1'!AT153*'Data Training 1'!AT159*'Data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05" spans="41:79">
      <c r="AO205" s="69" t="s">
        <v>505</v>
      </c>
      <c r="AP205" s="69"/>
      <c r="AQ205">
        <f>'Data Training 1'!AW23*'Data Training 1'!AU34*'Data Training 1'!AU38*'Data Training 1'!AU45*'Data Training 1'!AU52*'Data Training 1'!AU58*'Data Training 1'!AU64*'Data Training 1'!AU69*'Data Training 1'!AU75*'Data Training 1'!AU80*'Data Training 1'!AU86*'Data Training 1'!AU92*'Data Training 1'!AU97*'Data Training 1'!AU105*'Data Training 1'!AU111*'Data Training 1'!AU116*'Data Training 1'!AU124*'Data Training 1'!AU129*'Data Training 1'!AU135*'Data Training 1'!AU142*'Data Training 1'!AU146*'Data Training 1'!AU153*'Data Training 1'!AU159*'Data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06" spans="41:79">
      <c r="AO206" s="69" t="s">
        <v>506</v>
      </c>
      <c r="AP206" s="69"/>
      <c r="AQ206">
        <f>'Data Training 1'!AW24*'Data Training 1'!AV34*'Data Training 1'!AV38*'Data Training 1'!AV45*'Data Training 1'!AV52*'Data Training 1'!AV58*'Data Training 1'!AV64*'Data Training 1'!AV69*'Data Training 1'!AV75*'Data Training 1'!AV80*'Data Training 1'!AV86*'Data Training 1'!AV92*'Data Training 1'!AV97*'Data Training 1'!AV105*'Data Training 1'!AV111*'Data Training 1'!AV116*'Data Training 1'!AV124*'Data Training 1'!AV129*'Data Training 1'!AV135*'Data Training 1'!AV142*'Data Training 1'!AV146*'Data Training 1'!AV153*'Data Training 1'!AV159*'Data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07" spans="41:79">
      <c r="AO207" s="69" t="s">
        <v>507</v>
      </c>
      <c r="AP207" s="69"/>
      <c r="AQ207">
        <f>'Data Training 1'!AW25*'Data Training 1'!AW34*'Data Training 1'!AW38*'Data Training 1'!AW45*'Data Training 1'!AW52*'Data Training 1'!AW58*'Data Training 1'!AW64*'Data Training 1'!AW69*'Data Training 1'!AW75*'Data Training 1'!AW80*'Data Training 1'!AW86*'Data Training 1'!AW92*'Data Training 1'!AW97*'Data Training 1'!AW105*'Data Training 1'!AW111*'Data Training 1'!AW116*'Data Training 1'!AW124*'Data Training 1'!AW129*'Data Training 1'!AW135*'Data Training 1'!AW142*'Data Training 1'!AW146*'Data Training 1'!AW153*'Data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1.7102295990961887E-13</v>
      </c>
    </row>
    <row r="208" spans="41:79">
      <c r="AO208" s="69" t="s">
        <v>508</v>
      </c>
      <c r="AP208" s="69"/>
      <c r="AQ208">
        <f>'Data Training 1'!AW26*'Data Training 1'!AX34*'Data Training 1'!AX38*'Data Training 1'!AX45*'Data Training 1'!AX52*'Data Training 1'!AX58*'Data Training 1'!AX64*'Data Training 1'!AX69*'Data Training 1'!AX75*'Data Training 1'!AX80*'Data Training 1'!AX86*'Data Training 1'!AX92*'Data Training 1'!AX97*'Data Training 1'!AX105*'Data Training 1'!AX111*'Data Training 1'!AX116*'Data Training 1'!AX124*'Data Training 1'!AX129*'Data Training 1'!AX135*'Data Training 1'!AX142*'Data Training 1'!AX146*'Data Training 1'!AX153*'Data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0</v>
      </c>
    </row>
    <row r="209" spans="41:79">
      <c r="AO209" s="69" t="s">
        <v>509</v>
      </c>
      <c r="AP209" s="69"/>
      <c r="AQ209">
        <f>'Data Training 1'!AW27*'Data Training 1'!AY34*'Data Training 1'!AY38*'Data Training 1'!AY45*'Data Training 1'!AY52*'Data Training 1'!AY58*'Data Training 1'!AY64*'Data Training 1'!AY69*'Data Training 1'!AY75*'Data Training 1'!AY80*'Data Training 1'!AY86*'Data Training 1'!AY92*'Data Training 1'!AY97*'Data Training 1'!AY105*'Data Training 1'!AY111*'Data Training 1'!AY116*'Data Training 1'!AY124*'Data Training 1'!AY129*'Data Training 1'!AY135*'Data Training 1'!AY142*'Data Training 1'!AY146*'Data Training 1'!AY153*'Data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1.0504769993404522E-13</v>
      </c>
    </row>
    <row r="210" spans="41:79">
      <c r="AO210" s="78" t="s">
        <v>437</v>
      </c>
      <c r="AP210" s="78"/>
      <c r="AQ210" t="s">
        <v>296</v>
      </c>
      <c r="AR210" s="74" t="s">
        <v>438</v>
      </c>
      <c r="AS210" s="74"/>
      <c r="AT210" s="74"/>
    </row>
    <row r="212" spans="41:79">
      <c r="AO212" s="79" t="s">
        <v>471</v>
      </c>
      <c r="AP212" s="79"/>
      <c r="AQ212" s="20" t="s">
        <v>64</v>
      </c>
      <c r="AR212" s="1" t="s">
        <v>43</v>
      </c>
      <c r="AS212" s="1" t="s">
        <v>44</v>
      </c>
      <c r="AT212" s="1" t="s">
        <v>45</v>
      </c>
      <c r="AU212" s="1" t="s">
        <v>46</v>
      </c>
      <c r="AV212" s="1" t="s">
        <v>47</v>
      </c>
      <c r="AW212" s="1" t="s">
        <v>48</v>
      </c>
      <c r="AX212" s="1" t="s">
        <v>49</v>
      </c>
      <c r="AY212" s="1" t="s">
        <v>50</v>
      </c>
      <c r="AZ212" s="1" t="s">
        <v>51</v>
      </c>
      <c r="BA212" s="1" t="s">
        <v>52</v>
      </c>
      <c r="BB212" s="1" t="s">
        <v>53</v>
      </c>
      <c r="BC212" s="1" t="s">
        <v>54</v>
      </c>
      <c r="BD212" s="1" t="s">
        <v>55</v>
      </c>
      <c r="BE212" s="1" t="s">
        <v>56</v>
      </c>
      <c r="BF212" s="1" t="s">
        <v>57</v>
      </c>
      <c r="BG212" s="1" t="s">
        <v>58</v>
      </c>
      <c r="BH212" s="1" t="s">
        <v>59</v>
      </c>
      <c r="BI212" s="1" t="s">
        <v>60</v>
      </c>
      <c r="BJ212" s="1" t="s">
        <v>61</v>
      </c>
      <c r="BK212" s="1" t="s">
        <v>62</v>
      </c>
      <c r="BL212" s="1" t="s">
        <v>63</v>
      </c>
      <c r="BM212" s="1" t="s">
        <v>330</v>
      </c>
      <c r="BN212" s="1" t="s">
        <v>331</v>
      </c>
      <c r="BO212" s="1" t="s">
        <v>332</v>
      </c>
      <c r="BP212" s="1" t="s">
        <v>333</v>
      </c>
      <c r="BQ212" s="1" t="s">
        <v>334</v>
      </c>
      <c r="BR212" s="1" t="s">
        <v>335</v>
      </c>
      <c r="BS212" s="1" t="s">
        <v>336</v>
      </c>
      <c r="BT212" s="1" t="s">
        <v>337</v>
      </c>
      <c r="BU212" s="1" t="s">
        <v>338</v>
      </c>
      <c r="BV212" s="1" t="s">
        <v>339</v>
      </c>
      <c r="BW212" s="1" t="s">
        <v>340</v>
      </c>
      <c r="BX212" s="1" t="s">
        <v>341</v>
      </c>
      <c r="BY212" s="1" t="s">
        <v>342</v>
      </c>
      <c r="BZ212" s="1" t="s">
        <v>343</v>
      </c>
      <c r="CA212" s="1" t="s">
        <v>390</v>
      </c>
    </row>
    <row r="213" spans="41:79">
      <c r="AO213" s="79"/>
      <c r="AP213" s="79"/>
      <c r="AQ213" s="20">
        <v>4</v>
      </c>
      <c r="AR213" t="s">
        <v>5</v>
      </c>
      <c r="AS213" t="s">
        <v>5</v>
      </c>
      <c r="AT213" t="s">
        <v>2</v>
      </c>
      <c r="AU213" t="s">
        <v>5</v>
      </c>
      <c r="AV213" t="s">
        <v>5</v>
      </c>
      <c r="AW213" t="s">
        <v>5</v>
      </c>
      <c r="AX213" t="s">
        <v>5</v>
      </c>
      <c r="AY213" t="s">
        <v>2</v>
      </c>
      <c r="AZ213" t="s">
        <v>3</v>
      </c>
      <c r="BA213" t="s">
        <v>4</v>
      </c>
      <c r="BB213" t="s">
        <v>4</v>
      </c>
      <c r="BC213" t="s">
        <v>3</v>
      </c>
      <c r="BD213" t="s">
        <v>2</v>
      </c>
      <c r="BE213" t="s">
        <v>2</v>
      </c>
      <c r="BF213" t="s">
        <v>3</v>
      </c>
      <c r="BG213" t="s">
        <v>5</v>
      </c>
      <c r="BH213" t="s">
        <v>3</v>
      </c>
      <c r="BI213" t="s">
        <v>2</v>
      </c>
      <c r="BJ213" t="s">
        <v>5</v>
      </c>
      <c r="BK213" t="s">
        <v>3</v>
      </c>
      <c r="BL213" t="s">
        <v>4</v>
      </c>
      <c r="BM213" t="s">
        <v>4</v>
      </c>
      <c r="BN213" t="s">
        <v>3</v>
      </c>
      <c r="BO213" t="s">
        <v>4</v>
      </c>
      <c r="BP213" t="s">
        <v>4</v>
      </c>
      <c r="BQ213" t="s">
        <v>4</v>
      </c>
      <c r="BR213" t="s">
        <v>4</v>
      </c>
      <c r="BS213" t="s">
        <v>4</v>
      </c>
      <c r="BT213" t="s">
        <v>4</v>
      </c>
      <c r="BU213" t="s">
        <v>3</v>
      </c>
      <c r="BV213" t="s">
        <v>3</v>
      </c>
      <c r="BW213" t="s">
        <v>3</v>
      </c>
      <c r="BX213" t="s">
        <v>4</v>
      </c>
      <c r="BY213" t="s">
        <v>4</v>
      </c>
      <c r="BZ213" t="s">
        <v>3</v>
      </c>
      <c r="CA213" t="s">
        <v>3</v>
      </c>
    </row>
    <row r="214" spans="41:79">
      <c r="AO214" s="69" t="s">
        <v>504</v>
      </c>
      <c r="AP214" s="69"/>
      <c r="AQ214">
        <f>PRODUCT('Data Training 1'!AW22,'Data Training 1'!AT34,'Data Training 1'!AT40,'Data Training 1'!AT45,'Data Training 1'!AT52,'Data Training 1'!AT58,'Data Training 1'!AT64,'Data Training 1'!AT70,'Data Training 1'!AT75,'Data Training 1'!AT80,'Data Training 1'!AT85,'Data Training 1'!AT91,'Data Training 1'!AT98,'Data Training 1'!AT105,'Data Training 1'!AT111,'Data Training 1'!AT116,'Data Training 1'!AT124,'Data Training 1'!AT128,'Data Training 1'!AT135,'Data Training 1'!AT142,'Data Training 1'!AT146,'Data Training 1'!AT151,'Data Training 1'!AT157,'Data Training 1'!AT164,'Data Training 1'!AT167,'Data Training 1'!AT171,'Data Training 1'!AT175,'Data Training 1'!AT179,'Data Training 1'!AT183,'Data Training 1'!AT187,'Data Training 1'!AT192,'Data Training 1'!AT196,'Data Training 1'!AT200,'Data Training 1'!AT203,'Data Training 1'!AT207,'Data Training 1'!AT212,'Data Training 1'!AT216)</f>
        <v>0</v>
      </c>
    </row>
    <row r="215" spans="41:79">
      <c r="AO215" s="69" t="s">
        <v>505</v>
      </c>
      <c r="AP215" s="69"/>
      <c r="AQ215">
        <f>PRODUCT('Data Training 1'!AW23,'Data Training 1'!AU34,'Data Training 1'!AU40,'Data Training 1'!AU45,'Data Training 1'!AU52,'Data Training 1'!AU58,'Data Training 1'!AU64,'Data Training 1'!AU70,'Data Training 1'!AU75,'Data Training 1'!AU80,'Data Training 1'!AU85,'Data Training 1'!AU91,'Data Training 1'!AU98,'Data Training 1'!AU105,'Data Training 1'!AU111,'Data Training 1'!AU116,'Data Training 1'!AU124,'Data Training 1'!AU128,'Data Training 1'!AU135,'Data Training 1'!AU142,'Data Training 1'!AU146,'Data Training 1'!AU151,'Data Training 1'!AU157,'Data Training 1'!AU164,'Data Training 1'!AU167,'Data Training 1'!AU171,'Data Training 1'!AU175,'Data Training 1'!AU179,'Data Training 1'!AU183,'Data Training 1'!AU187,'Data Training 1'!AU192,'Data Training 1'!AU196,'Data Training 1'!AU200,'Data Training 1'!AU203,'Data Training 1'!AU207,'Data Training 1'!AU212,'Data Training 1'!AU216)</f>
        <v>0</v>
      </c>
    </row>
    <row r="216" spans="41:79">
      <c r="AO216" s="69" t="s">
        <v>506</v>
      </c>
      <c r="AP216" s="69"/>
      <c r="AQ216">
        <f>PRODUCT('Data Training 1'!AW24,'Data Training 1'!AV34,'Data Training 1'!AV40,'Data Training 1'!AV45,'Data Training 1'!AV52,'Data Training 1'!AV58,'Data Training 1'!AV64,'Data Training 1'!AV70,'Data Training 1'!AV75,'Data Training 1'!AV80,'Data Training 1'!AV85,'Data Training 1'!AV91,'Data Training 1'!AV98,'Data Training 1'!AV105,'Data Training 1'!AV111,'Data Training 1'!AV116,'Data Training 1'!AV124,'Data Training 1'!AV128,'Data Training 1'!AV135,'Data Training 1'!AV142,'Data Training 1'!AV146,'Data Training 1'!AV151,'Data Training 1'!AV157,'Data Training 1'!AV164,'Data Training 1'!AV167,'Data Training 1'!AV171,'Data Training 1'!AV175,'Data Training 1'!AV179,'Data Training 1'!AV183,'Data Training 1'!AV187,'Data Training 1'!AV192,'Data Training 1'!AV196,'Data Training 1'!AV200,'Data Training 1'!AV203,'Data Training 1'!AV207,'Data Training 1'!AV212,'Data Training 1'!AV216)</f>
        <v>0</v>
      </c>
    </row>
    <row r="217" spans="41:79">
      <c r="AO217" s="69" t="s">
        <v>507</v>
      </c>
      <c r="AP217" s="69"/>
      <c r="AQ217">
        <f>PRODUCT('Data Training 1'!AW25,'Data Training 1'!AW34,'Data Training 1'!AW40,'Data Training 1'!AW45,'Data Training 1'!AW52,'Data Training 1'!AW58,'Data Training 1'!AW64,'Data Training 1'!AW70,'Data Training 1'!AW75,'Data Training 1'!AW80,'Data Training 1'!AW85,'Data Training 1'!AW91,'Data Training 1'!AW98,'Data Training 1'!AW105,'Data Training 1'!AW111,'Data Training 1'!AW116,'Data Training 1'!AW124,'Data Training 1'!AW128,'Data Training 1'!AW135,'Data Training 1'!AW142,'Data Training 1'!AW146,'Data Training 1'!AW151,'Data Training 1'!AW157,'Data Training 1'!AW164,'Data Training 1'!AW167,'Data Training 1'!AW171,'Data Training 1'!AW175,'Data Training 1'!AW179,'Data Training 1'!AW183,'Data Training 1'!AW187,'Data Training 1'!AW192,'Data Training 1'!AW196,'Data Training 1'!AW200,'Data Training 1'!AW203,'Data Training 1'!AW207,'Data Training 1'!AW212,'Data Training 1'!AW216)</f>
        <v>0</v>
      </c>
    </row>
    <row r="218" spans="41:79">
      <c r="AO218" s="69" t="s">
        <v>508</v>
      </c>
      <c r="AP218" s="69"/>
      <c r="AQ218">
        <f>PRODUCT('Data Training 1'!AW26,'Data Training 1'!AX34,'Data Training 1'!AX40,'Data Training 1'!AX45,'Data Training 1'!AX52,'Data Training 1'!AX58,'Data Training 1'!AX64,'Data Training 1'!AX70,'Data Training 1'!AX75,'Data Training 1'!AX80,'Data Training 1'!AX85,'Data Training 1'!AX91,'Data Training 1'!AX98,'Data Training 1'!AX105,'Data Training 1'!AX111,'Data Training 1'!AX116,'Data Training 1'!AX124,'Data Training 1'!AX128,'Data Training 1'!AX135,'Data Training 1'!AX142,'Data Training 1'!AX146,'Data Training 1'!AX151,'Data Training 1'!AX157,'Data Training 1'!AX164,'Data Training 1'!AX167,'Data Training 1'!AX171,'Data Training 1'!AX175,'Data Training 1'!AX179,'Data Training 1'!AX183,'Data Training 1'!AX187,'Data Training 1'!AX192,'Data Training 1'!AX196,'Data Training 1'!AX200,'Data Training 1'!AX203,'Data Training 1'!AX207,'Data Training 1'!AX212,'Data Training 1'!AX216)</f>
        <v>0</v>
      </c>
    </row>
    <row r="219" spans="41:79">
      <c r="AO219" s="69" t="s">
        <v>509</v>
      </c>
      <c r="AP219" s="69"/>
      <c r="AQ219">
        <f>PRODUCT('Data Training 1'!AW27,'Data Training 1'!AY34,'Data Training 1'!AY40,'Data Training 1'!AY45,'Data Training 1'!AY52,'Data Training 1'!AY58,'Data Training 1'!AY64,'Data Training 1'!AY70,'Data Training 1'!AY75,'Data Training 1'!AY80,'Data Training 1'!AY85,'Data Training 1'!AY91,'Data Training 1'!AY98,'Data Training 1'!AY105,'Data Training 1'!AY111,'Data Training 1'!AY116,'Data Training 1'!AY124,'Data Training 1'!AY128,'Data Training 1'!AY135,'Data Training 1'!AY142,'Data Training 1'!AY146,'Data Training 1'!AY151,'Data Training 1'!AY157,'Data Training 1'!AY164,'Data Training 1'!AY167,'Data Training 1'!AY171,'Data Training 1'!AY175,'Data Training 1'!AY179,'Data Training 1'!AY183,'Data Training 1'!AY187,'Data Training 1'!AY192,'Data Training 1'!AY196,'Data Training 1'!AY200,'Data Training 1'!AY203,'Data Training 1'!AY207,'Data Training 1'!AY212,'Data Training 1'!AY216)</f>
        <v>4.5273082799857859E-13</v>
      </c>
    </row>
    <row r="220" spans="41:79">
      <c r="AO220" s="78" t="s">
        <v>437</v>
      </c>
      <c r="AP220" s="78"/>
      <c r="AQ220" t="s">
        <v>298</v>
      </c>
      <c r="AR220" s="86" t="s">
        <v>514</v>
      </c>
      <c r="AS220" s="86"/>
      <c r="AT220" s="86"/>
    </row>
    <row r="222" spans="41:79">
      <c r="AO222" s="79" t="s">
        <v>516</v>
      </c>
      <c r="AP222" s="79"/>
      <c r="AQ222" s="20" t="s">
        <v>64</v>
      </c>
      <c r="AR222" s="1" t="s">
        <v>43</v>
      </c>
      <c r="AS222" s="1" t="s">
        <v>44</v>
      </c>
      <c r="AT222" s="1" t="s">
        <v>45</v>
      </c>
      <c r="AU222" s="1" t="s">
        <v>46</v>
      </c>
      <c r="AV222" s="1" t="s">
        <v>47</v>
      </c>
      <c r="AW222" s="1" t="s">
        <v>48</v>
      </c>
      <c r="AX222" s="1" t="s">
        <v>49</v>
      </c>
      <c r="AY222" s="1" t="s">
        <v>50</v>
      </c>
      <c r="AZ222" s="1" t="s">
        <v>51</v>
      </c>
      <c r="BA222" s="1" t="s">
        <v>52</v>
      </c>
      <c r="BB222" s="1" t="s">
        <v>53</v>
      </c>
      <c r="BC222" s="1" t="s">
        <v>54</v>
      </c>
      <c r="BD222" s="1" t="s">
        <v>55</v>
      </c>
      <c r="BE222" s="1" t="s">
        <v>56</v>
      </c>
      <c r="BF222" s="1" t="s">
        <v>57</v>
      </c>
      <c r="BG222" s="1" t="s">
        <v>58</v>
      </c>
      <c r="BH222" s="1" t="s">
        <v>59</v>
      </c>
      <c r="BI222" s="1" t="s">
        <v>60</v>
      </c>
      <c r="BJ222" s="1" t="s">
        <v>61</v>
      </c>
      <c r="BK222" s="1" t="s">
        <v>62</v>
      </c>
      <c r="BL222" s="1" t="s">
        <v>63</v>
      </c>
      <c r="BM222" s="1" t="s">
        <v>330</v>
      </c>
      <c r="BN222" s="1" t="s">
        <v>331</v>
      </c>
      <c r="BO222" s="1" t="s">
        <v>332</v>
      </c>
      <c r="BP222" s="1" t="s">
        <v>333</v>
      </c>
      <c r="BQ222" s="1" t="s">
        <v>334</v>
      </c>
      <c r="BR222" s="1" t="s">
        <v>335</v>
      </c>
      <c r="BS222" s="1" t="s">
        <v>336</v>
      </c>
      <c r="BT222" s="1" t="s">
        <v>337</v>
      </c>
      <c r="BU222" s="1" t="s">
        <v>338</v>
      </c>
      <c r="BV222" s="1" t="s">
        <v>339</v>
      </c>
      <c r="BW222" s="1" t="s">
        <v>340</v>
      </c>
      <c r="BX222" s="1" t="s">
        <v>341</v>
      </c>
      <c r="BY222" s="1" t="s">
        <v>342</v>
      </c>
      <c r="BZ222" s="1" t="s">
        <v>343</v>
      </c>
      <c r="CA222" s="1" t="s">
        <v>390</v>
      </c>
    </row>
    <row r="223" spans="41:79">
      <c r="AO223" s="79"/>
      <c r="AP223" s="79"/>
      <c r="AQ223" s="20">
        <v>4</v>
      </c>
      <c r="AR223" t="s">
        <v>2</v>
      </c>
      <c r="AS223" t="s">
        <v>5</v>
      </c>
      <c r="AT223" t="s">
        <v>2</v>
      </c>
      <c r="AU223" t="s">
        <v>5</v>
      </c>
      <c r="AV223" t="s">
        <v>5</v>
      </c>
      <c r="AW223" t="s">
        <v>5</v>
      </c>
      <c r="AX223" t="s">
        <v>5</v>
      </c>
      <c r="AY223" t="s">
        <v>2</v>
      </c>
      <c r="AZ223" t="s">
        <v>2</v>
      </c>
      <c r="BA223" t="s">
        <v>2</v>
      </c>
      <c r="BB223" t="s">
        <v>5</v>
      </c>
      <c r="BC223" t="s">
        <v>4</v>
      </c>
      <c r="BD223" t="s">
        <v>5</v>
      </c>
      <c r="BE223" t="s">
        <v>2</v>
      </c>
      <c r="BF223" t="s">
        <v>4</v>
      </c>
      <c r="BG223" t="s">
        <v>5</v>
      </c>
      <c r="BH223" t="s">
        <v>5</v>
      </c>
      <c r="BI223" t="s">
        <v>5</v>
      </c>
      <c r="BJ223" t="s">
        <v>4</v>
      </c>
      <c r="BK223" t="s">
        <v>3</v>
      </c>
      <c r="BL223" t="s">
        <v>4</v>
      </c>
      <c r="BM223" t="s">
        <v>4</v>
      </c>
      <c r="BN223" t="s">
        <v>3</v>
      </c>
      <c r="BO223" t="s">
        <v>4</v>
      </c>
      <c r="BP223" t="s">
        <v>4</v>
      </c>
      <c r="BQ223" t="s">
        <v>4</v>
      </c>
      <c r="BR223" t="s">
        <v>4</v>
      </c>
      <c r="BS223" t="s">
        <v>4</v>
      </c>
      <c r="BT223" t="s">
        <v>4</v>
      </c>
      <c r="BU223" t="s">
        <v>3</v>
      </c>
      <c r="BV223" t="s">
        <v>4</v>
      </c>
      <c r="BW223" t="s">
        <v>3</v>
      </c>
      <c r="BX223" t="s">
        <v>4</v>
      </c>
      <c r="BY223" t="s">
        <v>4</v>
      </c>
      <c r="BZ223" t="s">
        <v>3</v>
      </c>
      <c r="CA223" t="s">
        <v>3</v>
      </c>
    </row>
    <row r="224" spans="41:79">
      <c r="AO224" s="69" t="s">
        <v>504</v>
      </c>
      <c r="AP224" s="69"/>
      <c r="AQ224">
        <f>PRODUCT('Data Training 1'!AW22,'Data Training 1'!AT33,'Data Training 1'!AT40,'Data Training 1'!AT45,'Data Training 1'!AT52,'Data Training 1'!AT58,'Data Training 1'!AT64,'Data Training 1'!AT70,'Data Training 1'!AT75,'Data Training 1'!AT81,'Data Training 1'!AT87,'Data Training 1'!AT94,'Data Training 1'!AT97,'Data Training 1'!AT106,'Data Training 1'!AT111,'Data Training 1'!AT115,'Data Training 1'!AT124,'Data Training 1'!AT130,'Data Training 1'!AT136,'Data Training 1'!AT139,'Data Training 1'!AT146,'Data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225" spans="41:79">
      <c r="AO225" s="69" t="s">
        <v>505</v>
      </c>
      <c r="AP225" s="69"/>
      <c r="AQ225">
        <f>PRODUCT('Data Training 1'!AW23,'Data Training 1'!AU33,'Data Training 1'!AU40,'Data Training 1'!AU45,'Data Training 1'!AU52,'Data Training 1'!AU58,'Data Training 1'!AU64,'Data Training 1'!AU70,'Data Training 1'!AU75,'Data Training 1'!AU81,'Data Training 1'!AU87,'Data Training 1'!AU94,'Data Training 1'!AU97,'Data Training 1'!AU106,'Data Training 1'!AU111,'Data Training 1'!AU115,'Data Training 1'!AU124,'Data Training 1'!AU130,'Data Training 1'!AU136,'Data Training 1'!AU139,'Data Training 1'!AU146,'Data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226" spans="41:79">
      <c r="AO226" s="69" t="s">
        <v>506</v>
      </c>
      <c r="AP226" s="69"/>
      <c r="AQ226">
        <f>PRODUCT('Data Training 1'!AW24,'Data Training 1'!AV33,'Data Training 1'!AV40,'Data Training 1'!AV45,'Data Training 1'!AV52,'Data Training 1'!AV58,'Data Training 1'!AV64,'Data Training 1'!AV70,'Data Training 1'!AV75,'Data Training 1'!AV81,'Data Training 1'!AV87,'Data Training 1'!AV94,'Data Training 1'!AV97,'Data Training 1'!AV106,'Data Training 1'!AV111,'Data Training 1'!AV115,'Data Training 1'!AV124,'Data Training 1'!AV130,'Data Training 1'!AV136,'Data Training 1'!AV139,'Data Training 1'!AV146,'Data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0</v>
      </c>
    </row>
    <row r="227" spans="41:79">
      <c r="AO227" s="69" t="s">
        <v>507</v>
      </c>
      <c r="AP227" s="69"/>
      <c r="AQ227">
        <f>PRODUCT('Data Training 1'!AW25,'Data Training 1'!AW33,'Data Training 1'!AW40,'Data Training 1'!AW45,'Data Training 1'!AW52,'Data Training 1'!AW58,'Data Training 1'!AW64,'Data Training 1'!AW70,'Data Training 1'!AW75,'Data Training 1'!AW81,'Data Training 1'!AW87,'Data Training 1'!AW94,'Data Training 1'!AW97,'Data Training 1'!AW106,'Data Training 1'!AW111,'Data Training 1'!AW115,'Data Training 1'!AW124,'Data Training 1'!AW130,'Data Training 1'!AW136,'Data Training 1'!AW139,'Data Training 1'!AW146,'Data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1.6555022519251112E-10</v>
      </c>
    </row>
    <row r="228" spans="41:79">
      <c r="AO228" s="69" t="s">
        <v>508</v>
      </c>
      <c r="AP228" s="69"/>
      <c r="AQ228">
        <f>PRODUCT('Data Training 1'!AW26,'Data Training 1'!AX33,'Data Training 1'!AX40,'Data Training 1'!AX45,'Data Training 1'!AX52,'Data Training 1'!AX58,'Data Training 1'!AX64,'Data Training 1'!AX70,'Data Training 1'!AX75,'Data Training 1'!AX81,'Data Training 1'!AX87,'Data Training 1'!AX94,'Data Training 1'!AX97,'Data Training 1'!AX106,'Data Training 1'!AX111,'Data Training 1'!AX115,'Data Training 1'!AX124,'Data Training 1'!AX130,'Data Training 1'!AX136,'Data Training 1'!AX139,'Data Training 1'!AX146,'Data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0</v>
      </c>
    </row>
    <row r="229" spans="41:79">
      <c r="AO229" s="69" t="s">
        <v>509</v>
      </c>
      <c r="AP229" s="69"/>
      <c r="AQ229">
        <f>PRODUCT('Data Training 1'!AW27,'Data Training 1'!AY33,'Data Training 1'!AY40,'Data Training 1'!AY45,'Data Training 1'!AY52,'Data Training 1'!AY58,'Data Training 1'!AY64,'Data Training 1'!AY70,'Data Training 1'!AY75,'Data Training 1'!AY81,'Data Training 1'!AY87,'Data Training 1'!AY94,'Data Training 1'!AY97,'Data Training 1'!AY106,'Data Training 1'!AY111,'Data Training 1'!AY115,'Data Training 1'!AY124,'Data Training 1'!AY130,'Data Training 1'!AY136,'Data Training 1'!AY139,'Data Training 1'!AY146,'Data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230" spans="41:79">
      <c r="AO230" s="78" t="s">
        <v>437</v>
      </c>
      <c r="AP230" s="78"/>
      <c r="AQ230" t="s">
        <v>296</v>
      </c>
      <c r="AR230" s="74" t="s">
        <v>438</v>
      </c>
      <c r="AS230" s="74"/>
      <c r="AT230" s="74"/>
    </row>
    <row r="232" spans="41:79">
      <c r="AO232" s="79" t="s">
        <v>486</v>
      </c>
      <c r="AP232" s="79"/>
      <c r="AQ232" s="20" t="s">
        <v>64</v>
      </c>
      <c r="AR232" s="1" t="s">
        <v>43</v>
      </c>
      <c r="AS232" s="1" t="s">
        <v>44</v>
      </c>
      <c r="AT232" s="1" t="s">
        <v>45</v>
      </c>
      <c r="AU232" s="1" t="s">
        <v>46</v>
      </c>
      <c r="AV232" s="1" t="s">
        <v>47</v>
      </c>
      <c r="AW232" s="1" t="s">
        <v>48</v>
      </c>
      <c r="AX232" s="1" t="s">
        <v>49</v>
      </c>
      <c r="AY232" s="1" t="s">
        <v>50</v>
      </c>
      <c r="AZ232" s="1" t="s">
        <v>51</v>
      </c>
      <c r="BA232" s="1" t="s">
        <v>52</v>
      </c>
      <c r="BB232" s="1" t="s">
        <v>53</v>
      </c>
      <c r="BC232" s="1" t="s">
        <v>54</v>
      </c>
      <c r="BD232" s="1" t="s">
        <v>55</v>
      </c>
      <c r="BE232" s="1" t="s">
        <v>56</v>
      </c>
      <c r="BF232" s="1" t="s">
        <v>57</v>
      </c>
      <c r="BG232" s="1" t="s">
        <v>58</v>
      </c>
      <c r="BH232" s="1" t="s">
        <v>59</v>
      </c>
      <c r="BI232" s="1" t="s">
        <v>60</v>
      </c>
      <c r="BJ232" s="1" t="s">
        <v>61</v>
      </c>
      <c r="BK232" s="1" t="s">
        <v>62</v>
      </c>
      <c r="BL232" s="1" t="s">
        <v>63</v>
      </c>
      <c r="BM232" s="1" t="s">
        <v>330</v>
      </c>
      <c r="BN232" s="1" t="s">
        <v>331</v>
      </c>
      <c r="BO232" s="1" t="s">
        <v>332</v>
      </c>
      <c r="BP232" s="1" t="s">
        <v>333</v>
      </c>
      <c r="BQ232" s="1" t="s">
        <v>334</v>
      </c>
      <c r="BR232" s="1" t="s">
        <v>335</v>
      </c>
      <c r="BS232" s="1" t="s">
        <v>336</v>
      </c>
      <c r="BT232" s="1" t="s">
        <v>337</v>
      </c>
      <c r="BU232" s="1" t="s">
        <v>338</v>
      </c>
      <c r="BV232" s="1" t="s">
        <v>339</v>
      </c>
      <c r="BW232" s="1" t="s">
        <v>340</v>
      </c>
      <c r="BX232" s="1" t="s">
        <v>341</v>
      </c>
      <c r="BY232" s="1" t="s">
        <v>342</v>
      </c>
      <c r="BZ232" s="1" t="s">
        <v>343</v>
      </c>
      <c r="CA232" s="1" t="s">
        <v>390</v>
      </c>
    </row>
    <row r="233" spans="41:79">
      <c r="AO233" s="79"/>
      <c r="AP233" s="79"/>
      <c r="AQ233" s="20">
        <v>4</v>
      </c>
      <c r="AR233" t="s">
        <v>3</v>
      </c>
      <c r="AS233" t="s">
        <v>5</v>
      </c>
      <c r="AT233" t="s">
        <v>4</v>
      </c>
      <c r="AU233" t="s">
        <v>5</v>
      </c>
      <c r="AV233" t="s">
        <v>5</v>
      </c>
      <c r="AW233" t="s">
        <v>5</v>
      </c>
      <c r="AX233" t="s">
        <v>5</v>
      </c>
      <c r="AY233" t="s">
        <v>2</v>
      </c>
      <c r="AZ233" t="s">
        <v>2</v>
      </c>
      <c r="BA233" t="s">
        <v>4</v>
      </c>
      <c r="BB233" t="s">
        <v>4</v>
      </c>
      <c r="BC233" t="s">
        <v>5</v>
      </c>
      <c r="BD233" t="s">
        <v>2</v>
      </c>
      <c r="BE233" t="s">
        <v>3</v>
      </c>
      <c r="BF233" t="s">
        <v>5</v>
      </c>
      <c r="BG233" t="s">
        <v>5</v>
      </c>
      <c r="BH233" t="s">
        <v>2</v>
      </c>
      <c r="BI233" t="s">
        <v>5</v>
      </c>
      <c r="BJ233" t="s">
        <v>5</v>
      </c>
      <c r="BK233" t="s">
        <v>4</v>
      </c>
      <c r="BL233" t="s">
        <v>4</v>
      </c>
      <c r="BM233" t="s">
        <v>2</v>
      </c>
      <c r="BN233" t="s">
        <v>3</v>
      </c>
      <c r="BO233" t="s">
        <v>4</v>
      </c>
      <c r="BP233" t="s">
        <v>4</v>
      </c>
      <c r="BQ233" t="s">
        <v>4</v>
      </c>
      <c r="BR233" t="s">
        <v>4</v>
      </c>
      <c r="BS233" t="s">
        <v>4</v>
      </c>
      <c r="BT233" t="s">
        <v>4</v>
      </c>
      <c r="BU233" t="s">
        <v>3</v>
      </c>
      <c r="BV233" t="s">
        <v>4</v>
      </c>
      <c r="BW233" t="s">
        <v>3</v>
      </c>
      <c r="BX233" t="s">
        <v>4</v>
      </c>
      <c r="BY233" t="s">
        <v>4</v>
      </c>
      <c r="BZ233" t="s">
        <v>4</v>
      </c>
      <c r="CA233" t="s">
        <v>3</v>
      </c>
    </row>
    <row r="234" spans="41:79">
      <c r="AO234" s="69" t="s">
        <v>504</v>
      </c>
      <c r="AP234" s="69"/>
      <c r="AQ234">
        <f>PRODUCT('Data Training 1'!AW22,'Data Training 1'!AT32,'Data Training 1'!AT40,'Data Training 1'!AT43,'Data Training 1'!AT52,'Data Training 1'!AT58,'Data Training 1'!AT64,'Data Training 1'!AT70,'Data Training 1'!AT75,'Data Training 1'!AT81,'Data Training 1'!AT85,'Data Training 1'!AT91,'Data Training 1'!AT100,'Data Training 1'!AT105,'Data Training 1'!AT110,'Data Training 1'!AT118,'Data Training 1'!AT124,'Data Training 1'!AT129,'Data Training 1'!AT136,'Data Training 1'!AT142,'Data Training 1'!AT145,'Data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235" spans="41:79">
      <c r="AO235" s="69" t="s">
        <v>505</v>
      </c>
      <c r="AP235" s="69"/>
      <c r="AQ235">
        <f>PRODUCT('Data Training 1'!AW23,'Data Training 1'!AU32,'Data Training 1'!AU40,'Data Training 1'!AU43,'Data Training 1'!AU52,'Data Training 1'!AU58,'Data Training 1'!AU64,'Data Training 1'!AU70,'Data Training 1'!AU75,'Data Training 1'!AU81,'Data Training 1'!AU85,'Data Training 1'!AU91,'Data Training 1'!AU100,'Data Training 1'!AU105,'Data Training 1'!AU110,'Data Training 1'!AU118,'Data Training 1'!AU124,'Data Training 1'!AU129,'Data Training 1'!AU136,'Data Training 1'!AU142,'Data Training 1'!AU145,'Data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236" spans="41:79">
      <c r="AO236" s="69" t="s">
        <v>506</v>
      </c>
      <c r="AP236" s="69"/>
      <c r="AQ236">
        <f>PRODUCT('Data Training 1'!AW24,'Data Training 1'!AV32,'Data Training 1'!AV40,'Data Training 1'!AV43,'Data Training 1'!AV52,'Data Training 1'!AV58,'Data Training 1'!AV64,'Data Training 1'!AV70,'Data Training 1'!AV75,'Data Training 1'!AV81,'Data Training 1'!AV85,'Data Training 1'!AV91,'Data Training 1'!AV100,'Data Training 1'!AV105,'Data Training 1'!AV110,'Data Training 1'!AV118,'Data Training 1'!AV124,'Data Training 1'!AV129,'Data Training 1'!AV136,'Data Training 1'!AV142,'Data Training 1'!AV145,'Data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237" spans="41:79">
      <c r="AO237" s="69" t="s">
        <v>507</v>
      </c>
      <c r="AP237" s="69"/>
      <c r="AQ237">
        <f>PRODUCT('Data Training 1'!AW25,'Data Training 1'!AW32,'Data Training 1'!AW40,'Data Training 1'!AW43,'Data Training 1'!AW52,'Data Training 1'!AW58,'Data Training 1'!AW64,'Data Training 1'!AW70,'Data Training 1'!AW75,'Data Training 1'!AW81,'Data Training 1'!AW85,'Data Training 1'!AW91,'Data Training 1'!AW100,'Data Training 1'!AW105,'Data Training 1'!AW110,'Data Training 1'!AW118,'Data Training 1'!AW124,'Data Training 1'!AW129,'Data Training 1'!AW136,'Data Training 1'!AW142,'Data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8.0449200341484734E-10</v>
      </c>
    </row>
    <row r="238" spans="41:79">
      <c r="AO238" s="69" t="s">
        <v>508</v>
      </c>
      <c r="AP238" s="69"/>
      <c r="AQ238">
        <f>PRODUCT('Data Training 1'!AW26,'Data Training 1'!AX32,'Data Training 1'!AX40,'Data Training 1'!AX43,'Data Training 1'!AX52,'Data Training 1'!AX58,'Data Training 1'!AX64,'Data Training 1'!AX70,'Data Training 1'!AX75,'Data Training 1'!AX81,'Data Training 1'!AX85,'Data Training 1'!AX91,'Data Training 1'!AX100,'Data Training 1'!AX105,'Data Training 1'!AX110,'Data Training 1'!AX118,'Data Training 1'!AX124,'Data Training 1'!AX129,'Data Training 1'!AX136,'Data Training 1'!AX142,'Data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239" spans="41:79">
      <c r="AO239" s="69" t="s">
        <v>509</v>
      </c>
      <c r="AP239" s="69"/>
      <c r="AQ239">
        <f>PRODUCT('Data Training 1'!AW27,'Data Training 1'!AY32,'Data Training 1'!AY40,'Data Training 1'!AY43,'Data Training 1'!AY52,'Data Training 1'!AY58,'Data Training 1'!AY64,'Data Training 1'!AY70,'Data Training 1'!AY75,'Data Training 1'!AY81,'Data Training 1'!AY85,'Data Training 1'!AY91,'Data Training 1'!AY100,'Data Training 1'!AY105,'Data Training 1'!AY110,'Data Training 1'!AY118,'Data Training 1'!AY124,'Data Training 1'!AY129,'Data Training 1'!AY136,'Data Training 1'!AY142,'Data Training 1'!AY145,'Data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240" spans="41:79">
      <c r="AO240" s="78" t="s">
        <v>437</v>
      </c>
      <c r="AP240" s="78"/>
      <c r="AQ240" t="s">
        <v>296</v>
      </c>
      <c r="AR240" s="74" t="s">
        <v>438</v>
      </c>
      <c r="AS240" s="74"/>
      <c r="AT240" s="74"/>
    </row>
    <row r="242" spans="41:79">
      <c r="AO242" s="79" t="s">
        <v>324</v>
      </c>
      <c r="AP242" s="79"/>
      <c r="AQ242" s="20" t="s">
        <v>64</v>
      </c>
      <c r="AR242" s="1" t="s">
        <v>43</v>
      </c>
      <c r="AS242" s="1" t="s">
        <v>44</v>
      </c>
      <c r="AT242" s="1" t="s">
        <v>45</v>
      </c>
      <c r="AU242" s="1" t="s">
        <v>46</v>
      </c>
      <c r="AV242" s="1" t="s">
        <v>47</v>
      </c>
      <c r="AW242" s="1" t="s">
        <v>48</v>
      </c>
      <c r="AX242" s="1" t="s">
        <v>49</v>
      </c>
      <c r="AY242" s="1" t="s">
        <v>50</v>
      </c>
      <c r="AZ242" s="1" t="s">
        <v>51</v>
      </c>
      <c r="BA242" s="1" t="s">
        <v>52</v>
      </c>
      <c r="BB242" s="1" t="s">
        <v>53</v>
      </c>
      <c r="BC242" s="1" t="s">
        <v>54</v>
      </c>
      <c r="BD242" s="1" t="s">
        <v>55</v>
      </c>
      <c r="BE242" s="1" t="s">
        <v>56</v>
      </c>
      <c r="BF242" s="1" t="s">
        <v>57</v>
      </c>
      <c r="BG242" s="1" t="s">
        <v>58</v>
      </c>
      <c r="BH242" s="1" t="s">
        <v>59</v>
      </c>
      <c r="BI242" s="1" t="s">
        <v>60</v>
      </c>
      <c r="BJ242" s="1" t="s">
        <v>61</v>
      </c>
      <c r="BK242" s="1" t="s">
        <v>62</v>
      </c>
      <c r="BL242" s="1" t="s">
        <v>63</v>
      </c>
      <c r="BM242" s="1" t="s">
        <v>330</v>
      </c>
      <c r="BN242" s="1" t="s">
        <v>331</v>
      </c>
      <c r="BO242" s="1" t="s">
        <v>332</v>
      </c>
      <c r="BP242" s="1" t="s">
        <v>333</v>
      </c>
      <c r="BQ242" s="1" t="s">
        <v>334</v>
      </c>
      <c r="BR242" s="1" t="s">
        <v>335</v>
      </c>
      <c r="BS242" s="1" t="s">
        <v>336</v>
      </c>
      <c r="BT242" s="1" t="s">
        <v>337</v>
      </c>
      <c r="BU242" s="1" t="s">
        <v>338</v>
      </c>
      <c r="BV242" s="1" t="s">
        <v>339</v>
      </c>
      <c r="BW242" s="1" t="s">
        <v>340</v>
      </c>
      <c r="BX242" s="1" t="s">
        <v>341</v>
      </c>
      <c r="BY242" s="1" t="s">
        <v>342</v>
      </c>
      <c r="BZ242" s="1" t="s">
        <v>343</v>
      </c>
      <c r="CA242" s="1" t="s">
        <v>390</v>
      </c>
    </row>
    <row r="243" spans="41:79">
      <c r="AO243" s="79"/>
      <c r="AP243" s="79"/>
      <c r="AQ243" s="20">
        <v>5</v>
      </c>
      <c r="AR243" t="s">
        <v>5</v>
      </c>
      <c r="AS243" t="s">
        <v>3</v>
      </c>
      <c r="AT243" t="s">
        <v>3</v>
      </c>
      <c r="AU243" t="s">
        <v>5</v>
      </c>
      <c r="AV243" t="s">
        <v>5</v>
      </c>
      <c r="AW243" t="s">
        <v>5</v>
      </c>
      <c r="AX243" t="s">
        <v>5</v>
      </c>
      <c r="AY243" t="s">
        <v>2</v>
      </c>
      <c r="AZ243" t="s">
        <v>2</v>
      </c>
      <c r="BA243" t="s">
        <v>5</v>
      </c>
      <c r="BB243" t="s">
        <v>3</v>
      </c>
      <c r="BC243" t="s">
        <v>2</v>
      </c>
      <c r="BD243" t="s">
        <v>5</v>
      </c>
      <c r="BE243" t="s">
        <v>2</v>
      </c>
      <c r="BF243" t="s">
        <v>3</v>
      </c>
      <c r="BG243" t="s">
        <v>5</v>
      </c>
      <c r="BH243" t="s">
        <v>5</v>
      </c>
      <c r="BI243" t="s">
        <v>5</v>
      </c>
      <c r="BJ243" t="s">
        <v>5</v>
      </c>
      <c r="BK243" t="s">
        <v>3</v>
      </c>
      <c r="BL243" t="s">
        <v>4</v>
      </c>
      <c r="BM243" t="s">
        <v>2</v>
      </c>
      <c r="BN243" t="s">
        <v>3</v>
      </c>
      <c r="BO243" t="s">
        <v>4</v>
      </c>
      <c r="BP243" t="s">
        <v>4</v>
      </c>
      <c r="BQ243" t="s">
        <v>4</v>
      </c>
      <c r="BR243" t="s">
        <v>4</v>
      </c>
      <c r="BS243" t="s">
        <v>4</v>
      </c>
      <c r="BT243" t="s">
        <v>4</v>
      </c>
      <c r="BU243" t="s">
        <v>3</v>
      </c>
      <c r="BV243" t="s">
        <v>4</v>
      </c>
      <c r="BW243" t="s">
        <v>3</v>
      </c>
      <c r="BX243" t="s">
        <v>4</v>
      </c>
      <c r="BY243" t="s">
        <v>4</v>
      </c>
      <c r="BZ243" t="s">
        <v>4</v>
      </c>
      <c r="CA243" t="s">
        <v>3</v>
      </c>
    </row>
    <row r="244" spans="41:79">
      <c r="AO244" s="69" t="s">
        <v>504</v>
      </c>
      <c r="AP244" s="69"/>
      <c r="AQ244">
        <f>'Data Training 1'!AW22*'Data Training 1'!AT34*'Data Training 1'!AT38*'Data Training 1'!AT44*'Data Training 1'!AT52*'Data Training 1'!AT58*'Data Training 1'!AT64*'Data Training 1'!AT70*'Data Training 1'!AT75*'Data Training 1'!AT81*'Data Training 1'!AT88*'Data Training 1'!AT92*'Data Training 1'!AT99*'Data Training 1'!AT106*'Data Training 1'!AT111*'Data Training 1'!AT116*'Data Training 1'!AT124*'Data Training 1'!AT130*'Data Training 1'!AT136*'Data Training 1'!AT142*'Data Training 1'!AT146*'Data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245" spans="41:79">
      <c r="AO245" s="69" t="s">
        <v>505</v>
      </c>
      <c r="AP245" s="69"/>
      <c r="AQ245">
        <f>'Data Training 1'!AW23*'Data Training 1'!AU34*'Data Training 1'!AU38*'Data Training 1'!AU44*'Data Training 1'!AU52*'Data Training 1'!AU58*'Data Training 1'!AU64*'Data Training 1'!AU70*'Data Training 1'!AU75*'Data Training 1'!AU81*'Data Training 1'!AU88*'Data Training 1'!AU92*'Data Training 1'!AU99*'Data Training 1'!AU106*'Data Training 1'!AU111*'Data Training 1'!AU116*'Data Training 1'!AU124*'Data Training 1'!AU130*'Data Training 1'!AU136*'Data Training 1'!AU142*'Data Training 1'!AU146*'Data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246" spans="41:79">
      <c r="AO246" s="69" t="s">
        <v>506</v>
      </c>
      <c r="AP246" s="69"/>
      <c r="AQ246">
        <f>'Data Training 1'!AW24*'Data Training 1'!AV34*'Data Training 1'!AV38*'Data Training 1'!AV44*'Data Training 1'!AV52*'Data Training 1'!AV58*'Data Training 1'!AV64*'Data Training 1'!AV70*'Data Training 1'!AV75*'Data Training 1'!AV81*'Data Training 1'!AV88*'Data Training 1'!AV92*'Data Training 1'!AV99*'Data Training 1'!AV106*'Data Training 1'!AV111*'Data Training 1'!AV116*'Data Training 1'!AV124*'Data Training 1'!AV130*'Data Training 1'!AV136*'Data Training 1'!AV142*'Data Training 1'!AV146*'Data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247" spans="41:79">
      <c r="AO247" s="69" t="s">
        <v>507</v>
      </c>
      <c r="AP247" s="69"/>
      <c r="AQ247">
        <f>'Data Training 1'!AW25*'Data Training 1'!AW34*'Data Training 1'!AW38*'Data Training 1'!AW44*'Data Training 1'!AW52*'Data Training 1'!AW58*'Data Training 1'!AW64*'Data Training 1'!AW70*'Data Training 1'!AW75*'Data Training 1'!AW81*'Data Training 1'!AW88*'Data Training 1'!AW92*'Data Training 1'!AW99*'Data Training 1'!AW106*'Data Training 1'!AW111*'Data Training 1'!AW116*'Data Training 1'!AW124*'Data Training 1'!AW130*'Data Training 1'!AW136*'Data Training 1'!AW142*'Data Training 1'!AW146*'Data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1.2515597024553842E-7</v>
      </c>
    </row>
    <row r="248" spans="41:79">
      <c r="AO248" s="69" t="s">
        <v>508</v>
      </c>
      <c r="AP248" s="69"/>
      <c r="AQ248">
        <f>'Data Training 1'!AW26*'Data Training 1'!AX34*'Data Training 1'!AX38*'Data Training 1'!AX44*'Data Training 1'!AX52*'Data Training 1'!AX58*'Data Training 1'!AX64*'Data Training 1'!AX70*'Data Training 1'!AX75*'Data Training 1'!AX81*'Data Training 1'!AX88*'Data Training 1'!AX92*'Data Training 1'!AX99*'Data Training 1'!AX106*'Data Training 1'!AX111*'Data Training 1'!AX116*'Data Training 1'!AX124*'Data Training 1'!AX130*'Data Training 1'!AX136*'Data Training 1'!AX142*'Data Training 1'!AX146*'Data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2.1264687979151626E-8</v>
      </c>
    </row>
    <row r="249" spans="41:79">
      <c r="AO249" s="69" t="s">
        <v>509</v>
      </c>
      <c r="AP249" s="69"/>
      <c r="AQ249">
        <f>'Data Training 1'!AW27*'Data Training 1'!AY34*'Data Training 1'!AY38*'Data Training 1'!AY44*'Data Training 1'!AY52*'Data Training 1'!AY58*'Data Training 1'!AY64*'Data Training 1'!AY70*'Data Training 1'!AY75*'Data Training 1'!AY81*'Data Training 1'!AY88*'Data Training 1'!AY92*'Data Training 1'!AY99*'Data Training 1'!AY106*'Data Training 1'!AY111*'Data Training 1'!AY116*'Data Training 1'!AY124*'Data Training 1'!AY130*'Data Training 1'!AY136*'Data Training 1'!AY142*'Data Training 1'!AY146*'Data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7.5634343952512571E-11</v>
      </c>
    </row>
    <row r="250" spans="41:79">
      <c r="AO250" s="78" t="s">
        <v>437</v>
      </c>
      <c r="AP250" s="78"/>
      <c r="AQ250" t="s">
        <v>298</v>
      </c>
      <c r="AR250" s="86" t="s">
        <v>514</v>
      </c>
      <c r="AS250" s="86"/>
      <c r="AT250" s="86"/>
    </row>
    <row r="252" spans="41:79">
      <c r="AO252" s="79" t="s">
        <v>503</v>
      </c>
      <c r="AP252" s="79"/>
      <c r="AQ252" s="20" t="s">
        <v>64</v>
      </c>
      <c r="AR252" s="1" t="s">
        <v>43</v>
      </c>
      <c r="AS252" s="1" t="s">
        <v>44</v>
      </c>
      <c r="AT252" s="1" t="s">
        <v>45</v>
      </c>
      <c r="AU252" s="1" t="s">
        <v>46</v>
      </c>
      <c r="AV252" s="1" t="s">
        <v>47</v>
      </c>
      <c r="AW252" s="1" t="s">
        <v>48</v>
      </c>
      <c r="AX252" s="1" t="s">
        <v>49</v>
      </c>
      <c r="AY252" s="1" t="s">
        <v>50</v>
      </c>
      <c r="AZ252" s="1" t="s">
        <v>51</v>
      </c>
      <c r="BA252" s="1" t="s">
        <v>52</v>
      </c>
      <c r="BB252" s="1" t="s">
        <v>53</v>
      </c>
      <c r="BC252" s="1" t="s">
        <v>54</v>
      </c>
      <c r="BD252" s="1" t="s">
        <v>55</v>
      </c>
      <c r="BE252" s="1" t="s">
        <v>56</v>
      </c>
      <c r="BF252" s="1" t="s">
        <v>57</v>
      </c>
      <c r="BG252" s="1" t="s">
        <v>58</v>
      </c>
      <c r="BH252" s="1" t="s">
        <v>59</v>
      </c>
      <c r="BI252" s="1" t="s">
        <v>60</v>
      </c>
      <c r="BJ252" s="1" t="s">
        <v>61</v>
      </c>
      <c r="BK252" s="1" t="s">
        <v>62</v>
      </c>
      <c r="BL252" s="1" t="s">
        <v>63</v>
      </c>
      <c r="BM252" s="1" t="s">
        <v>330</v>
      </c>
      <c r="BN252" s="1" t="s">
        <v>331</v>
      </c>
      <c r="BO252" s="1" t="s">
        <v>332</v>
      </c>
      <c r="BP252" s="1" t="s">
        <v>333</v>
      </c>
      <c r="BQ252" s="1" t="s">
        <v>334</v>
      </c>
      <c r="BR252" s="1" t="s">
        <v>335</v>
      </c>
      <c r="BS252" s="1" t="s">
        <v>336</v>
      </c>
      <c r="BT252" s="1" t="s">
        <v>337</v>
      </c>
      <c r="BU252" s="1" t="s">
        <v>338</v>
      </c>
      <c r="BV252" s="1" t="s">
        <v>339</v>
      </c>
      <c r="BW252" s="1" t="s">
        <v>340</v>
      </c>
      <c r="BX252" s="1" t="s">
        <v>341</v>
      </c>
      <c r="BY252" s="1" t="s">
        <v>342</v>
      </c>
      <c r="BZ252" s="1" t="s">
        <v>343</v>
      </c>
      <c r="CA252" s="1" t="s">
        <v>390</v>
      </c>
    </row>
    <row r="253" spans="41:79">
      <c r="AO253" s="79"/>
      <c r="AP253" s="79"/>
      <c r="AQ253" s="20">
        <v>5</v>
      </c>
      <c r="AR253" t="s">
        <v>5</v>
      </c>
      <c r="AS253" t="s">
        <v>3</v>
      </c>
      <c r="AT253" t="s">
        <v>5</v>
      </c>
      <c r="AU253" t="s">
        <v>5</v>
      </c>
      <c r="AV253" t="s">
        <v>5</v>
      </c>
      <c r="AW253" t="s">
        <v>5</v>
      </c>
      <c r="AX253" t="s">
        <v>5</v>
      </c>
      <c r="AY253" t="s">
        <v>2</v>
      </c>
      <c r="AZ253" t="s">
        <v>2</v>
      </c>
      <c r="BA253" t="s">
        <v>4</v>
      </c>
      <c r="BB253" t="s">
        <v>4</v>
      </c>
      <c r="BC253" t="s">
        <v>3</v>
      </c>
      <c r="BD253" t="s">
        <v>5</v>
      </c>
      <c r="BE253" t="s">
        <v>2</v>
      </c>
      <c r="BF253" t="s">
        <v>5</v>
      </c>
      <c r="BG253" t="s">
        <v>2</v>
      </c>
      <c r="BH253" t="s">
        <v>2</v>
      </c>
      <c r="BI253" t="s">
        <v>5</v>
      </c>
      <c r="BJ253" t="s">
        <v>4</v>
      </c>
      <c r="BK253" t="s">
        <v>3</v>
      </c>
      <c r="BL253" t="s">
        <v>3</v>
      </c>
      <c r="BM253" t="s">
        <v>4</v>
      </c>
      <c r="BN253" t="s">
        <v>3</v>
      </c>
      <c r="BO253" t="s">
        <v>4</v>
      </c>
      <c r="BP253" t="s">
        <v>4</v>
      </c>
      <c r="BQ253" t="s">
        <v>4</v>
      </c>
      <c r="BR253" t="s">
        <v>4</v>
      </c>
      <c r="BS253" t="s">
        <v>4</v>
      </c>
      <c r="BT253" t="s">
        <v>3</v>
      </c>
      <c r="BU253" t="s">
        <v>3</v>
      </c>
      <c r="BV253" t="s">
        <v>4</v>
      </c>
      <c r="BW253" t="s">
        <v>3</v>
      </c>
      <c r="BX253" t="s">
        <v>4</v>
      </c>
      <c r="BY253" t="s">
        <v>4</v>
      </c>
      <c r="BZ253" t="s">
        <v>4</v>
      </c>
      <c r="CA253" t="s">
        <v>3</v>
      </c>
    </row>
    <row r="254" spans="41:79">
      <c r="AO254" s="69" t="s">
        <v>504</v>
      </c>
      <c r="AP254" s="69"/>
      <c r="AQ254">
        <f>'Data Training 1'!AW22*'Data Training 1'!AT34*'Data Training 1'!AT38*'Data Training 1'!AT46*'Data Training 1'!AT52*'Data Training 1'!AT58*'Data Training 1'!AT64*'Data Training 1'!AT70*'Data Training 1'!AT75*'Data Training 1'!AT81*'Data Training 1'!AT85*'Data Training 1'!AT91*'Data Training 1'!AT98*'Data Training 1'!AT106*'Data Training 1'!AT111*'Data Training 1'!AT118*'Data Training 1'!AT123*'Data Training 1'!AT129*'Data Training 1'!AT136*'Data Training 1'!AT139*'Data Training 1'!AT146*'Data Training 1'!AT152*'Data Training 1'!AT157*'Data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55" spans="41:79">
      <c r="AO255" s="69" t="s">
        <v>505</v>
      </c>
      <c r="AP255" s="69"/>
      <c r="AQ255">
        <f>'Data Training 1'!AW23*'Data Training 1'!AU34*'Data Training 1'!AU38*'Data Training 1'!AU46*'Data Training 1'!AU52*'Data Training 1'!AU58*'Data Training 1'!AU64*'Data Training 1'!AU70*'Data Training 1'!AU75*'Data Training 1'!AU81*'Data Training 1'!AU85*'Data Training 1'!AU91*'Data Training 1'!AU98*'Data Training 1'!AU106*'Data Training 1'!AU111*'Data Training 1'!AU118*'Data Training 1'!AU123*'Data Training 1'!AU129*'Data Training 1'!AU136*'Data Training 1'!AU139*'Data Training 1'!AU146*'Data Training 1'!AU152*'Data Training 1'!AU157*'Data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56" spans="41:79">
      <c r="AO256" s="69" t="s">
        <v>506</v>
      </c>
      <c r="AP256" s="69"/>
      <c r="AQ256">
        <f>'Data Training 1'!AW24*'Data Training 1'!AV34*'Data Training 1'!AV38*'Data Training 1'!AV46*'Data Training 1'!AV52*'Data Training 1'!AV58*'Data Training 1'!AV64*'Data Training 1'!AV70*'Data Training 1'!AV75*'Data Training 1'!AV81*'Data Training 1'!AV85*'Data Training 1'!AV91*'Data Training 1'!AV98*'Data Training 1'!AV106*'Data Training 1'!AV111*'Data Training 1'!AV118*'Data Training 1'!AV123*'Data Training 1'!AV129*'Data Training 1'!AV136*'Data Training 1'!AV139*'Data Training 1'!AV146*'Data Training 1'!AV152*'Data Training 1'!AV157*'Data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57" spans="41:79">
      <c r="AO257" s="69" t="s">
        <v>507</v>
      </c>
      <c r="AP257" s="69"/>
      <c r="AQ257">
        <f>'Data Training 1'!AW25*'Data Training 1'!AW34*'Data Training 1'!AW38*'Data Training 1'!AW46*'Data Training 1'!AW52*'Data Training 1'!AW58*'Data Training 1'!AW64*'Data Training 1'!AW70*'Data Training 1'!AW75*'Data Training 1'!AW81*'Data Training 1'!AW85*'Data Training 1'!AW91*'Data Training 1'!AW98*'Data Training 1'!AW106*'Data Training 1'!AW111*'Data Training 1'!AW118*'Data Training 1'!AW123*'Data Training 1'!AW129*'Data Training 1'!AW136*'Data Training 1'!AW139*'Data Training 1'!AW146*'Data Training 1'!AW152*'Data Training 1'!AW157*'Data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0</v>
      </c>
    </row>
    <row r="258" spans="41:79">
      <c r="AO258" s="69" t="s">
        <v>508</v>
      </c>
      <c r="AP258" s="69"/>
      <c r="AQ258">
        <f>'Data Training 1'!AW26*'Data Training 1'!AX34*'Data Training 1'!AX38*'Data Training 1'!AX46*'Data Training 1'!AX52*'Data Training 1'!AX58*'Data Training 1'!AX64*'Data Training 1'!AX70*'Data Training 1'!AX75*'Data Training 1'!AX81*'Data Training 1'!AX85*'Data Training 1'!AX91*'Data Training 1'!AX98*'Data Training 1'!AX106*'Data Training 1'!AX111*'Data Training 1'!AX118*'Data Training 1'!AX123*'Data Training 1'!AX129*'Data Training 1'!AX136*'Data Training 1'!AX139*'Data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9.0646533889302756E-11</v>
      </c>
    </row>
    <row r="259" spans="41:79">
      <c r="AO259" s="69" t="s">
        <v>509</v>
      </c>
      <c r="AP259" s="69"/>
      <c r="AQ259">
        <f>'Data Training 1'!AW27*'Data Training 1'!AY34*'Data Training 1'!AY38*'Data Training 1'!AY46*'Data Training 1'!AY52*'Data Training 1'!AY58*'Data Training 1'!AY64*'Data Training 1'!AY70*'Data Training 1'!AY75*'Data Training 1'!AY81*'Data Training 1'!AY85*'Data Training 1'!AY91*'Data Training 1'!AY98*'Data Training 1'!AY106*'Data Training 1'!AY111*'Data Training 1'!AY118*'Data Training 1'!AY123*'Data Training 1'!AY129*'Data Training 1'!AY136*'Data Training 1'!AY139*'Data Training 1'!AY146*'Data Training 1'!AY152*'Data Training 1'!AY157*'Data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0</v>
      </c>
    </row>
    <row r="260" spans="41:79">
      <c r="AO260" s="78" t="s">
        <v>437</v>
      </c>
      <c r="AP260" s="78"/>
      <c r="AQ260" t="s">
        <v>297</v>
      </c>
      <c r="AR260" s="74" t="s">
        <v>438</v>
      </c>
      <c r="AS260" s="74"/>
      <c r="AT260" s="74"/>
    </row>
    <row r="262" spans="41:79">
      <c r="AO262" s="68" t="s">
        <v>326</v>
      </c>
      <c r="AP262" s="68"/>
      <c r="AQ262" s="20" t="s">
        <v>64</v>
      </c>
      <c r="AR262" s="1" t="s">
        <v>43</v>
      </c>
      <c r="AS262" s="1" t="s">
        <v>44</v>
      </c>
      <c r="AT262" s="1" t="s">
        <v>45</v>
      </c>
      <c r="AU262" s="1" t="s">
        <v>46</v>
      </c>
      <c r="AV262" s="1" t="s">
        <v>47</v>
      </c>
      <c r="AW262" s="1" t="s">
        <v>48</v>
      </c>
      <c r="AX262" s="1" t="s">
        <v>49</v>
      </c>
      <c r="AY262" s="1" t="s">
        <v>50</v>
      </c>
      <c r="AZ262" s="1" t="s">
        <v>51</v>
      </c>
      <c r="BA262" s="1" t="s">
        <v>52</v>
      </c>
      <c r="BB262" s="1" t="s">
        <v>53</v>
      </c>
      <c r="BC262" s="1" t="s">
        <v>54</v>
      </c>
      <c r="BD262" s="1" t="s">
        <v>55</v>
      </c>
      <c r="BE262" s="1" t="s">
        <v>56</v>
      </c>
      <c r="BF262" s="1" t="s">
        <v>57</v>
      </c>
      <c r="BG262" s="1" t="s">
        <v>58</v>
      </c>
      <c r="BH262" s="1" t="s">
        <v>59</v>
      </c>
      <c r="BI262" s="1" t="s">
        <v>60</v>
      </c>
      <c r="BJ262" s="1" t="s">
        <v>61</v>
      </c>
      <c r="BK262" s="1" t="s">
        <v>62</v>
      </c>
      <c r="BL262" s="1" t="s">
        <v>63</v>
      </c>
      <c r="BM262" s="1" t="s">
        <v>330</v>
      </c>
      <c r="BN262" s="1" t="s">
        <v>331</v>
      </c>
      <c r="BO262" s="1" t="s">
        <v>332</v>
      </c>
      <c r="BP262" s="1" t="s">
        <v>333</v>
      </c>
      <c r="BQ262" s="1" t="s">
        <v>334</v>
      </c>
      <c r="BR262" s="1" t="s">
        <v>335</v>
      </c>
      <c r="BS262" s="1" t="s">
        <v>336</v>
      </c>
      <c r="BT262" s="1" t="s">
        <v>337</v>
      </c>
      <c r="BU262" s="1" t="s">
        <v>338</v>
      </c>
      <c r="BV262" s="1" t="s">
        <v>339</v>
      </c>
      <c r="BW262" s="1" t="s">
        <v>340</v>
      </c>
      <c r="BX262" s="1" t="s">
        <v>341</v>
      </c>
      <c r="BY262" s="1" t="s">
        <v>342</v>
      </c>
      <c r="BZ262" s="1" t="s">
        <v>343</v>
      </c>
      <c r="CA262" s="1" t="s">
        <v>390</v>
      </c>
    </row>
    <row r="263" spans="41:79">
      <c r="AO263" s="68"/>
      <c r="AP263" s="68"/>
      <c r="AQ263" s="20">
        <v>5</v>
      </c>
      <c r="AR263" t="s">
        <v>5</v>
      </c>
      <c r="AS263" t="s">
        <v>5</v>
      </c>
      <c r="AT263" t="s">
        <v>2</v>
      </c>
      <c r="AU263" t="s">
        <v>5</v>
      </c>
      <c r="AV263" t="s">
        <v>5</v>
      </c>
      <c r="AW263" t="s">
        <v>3</v>
      </c>
      <c r="AX263" t="s">
        <v>5</v>
      </c>
      <c r="AY263" t="s">
        <v>2</v>
      </c>
      <c r="AZ263" t="s">
        <v>2</v>
      </c>
      <c r="BA263" t="s">
        <v>2</v>
      </c>
      <c r="BB263" t="s">
        <v>2</v>
      </c>
      <c r="BC263" t="s">
        <v>2</v>
      </c>
      <c r="BD263" t="s">
        <v>2</v>
      </c>
      <c r="BE263" t="s">
        <v>3</v>
      </c>
      <c r="BF263" t="s">
        <v>3</v>
      </c>
      <c r="BG263" t="s">
        <v>5</v>
      </c>
      <c r="BH263" t="s">
        <v>5</v>
      </c>
      <c r="BI263" t="s">
        <v>5</v>
      </c>
      <c r="BJ263" t="s">
        <v>5</v>
      </c>
      <c r="BK263" t="s">
        <v>3</v>
      </c>
      <c r="BL263" t="s">
        <v>3</v>
      </c>
      <c r="BM263" t="s">
        <v>2</v>
      </c>
      <c r="BN263" t="s">
        <v>3</v>
      </c>
      <c r="BO263" t="s">
        <v>4</v>
      </c>
      <c r="BP263" t="s">
        <v>4</v>
      </c>
      <c r="BQ263" t="s">
        <v>4</v>
      </c>
      <c r="BR263" t="s">
        <v>4</v>
      </c>
      <c r="BS263" t="s">
        <v>4</v>
      </c>
      <c r="BT263" t="s">
        <v>3</v>
      </c>
      <c r="BU263" t="s">
        <v>3</v>
      </c>
      <c r="BV263" t="s">
        <v>4</v>
      </c>
      <c r="BW263" t="s">
        <v>3</v>
      </c>
      <c r="BX263" t="s">
        <v>3</v>
      </c>
      <c r="BY263" t="s">
        <v>4</v>
      </c>
      <c r="BZ263" t="s">
        <v>3</v>
      </c>
      <c r="CA263" t="s">
        <v>3</v>
      </c>
    </row>
    <row r="264" spans="41:79">
      <c r="AO264" s="69" t="s">
        <v>504</v>
      </c>
      <c r="AP264" s="69"/>
      <c r="AQ264">
        <f>'Data Training 1'!AW22*'Data Training 1'!AT34*'Data Training 1'!AT40*'Data Training 1'!AT45*'Data Training 1'!AT52*'Data Training 1'!AT58*'Data Training 1'!AT62*'Data Training 1'!AT70*'Data Training 1'!AT75*'Data Training 1'!AT81*'Data Training 1'!AT87*'Data Training 1'!AT93*'Data Training 1'!AT99*'Data Training 1'!AT105*'Data Training 1'!AT110*'Data Training 1'!AT116*'Data Training 1'!AT124*'Data Training 1'!AT130*'Data Training 1'!AT136*'Data Training 1'!AT142*'Data Training 1'!AT146*'Data Training 1'!AT152*'Data Training 1'!AT159*'Data Training 1'!AT164*'Data Training 1'!AT167*'Data Training 1'!AT171*'Data Training 1'!AT175*'Data Training 1'!AT179*'Data Training 1'!AT183*'Data Training 1'!AT188*'Data Training 1'!AT192*'Data Training 1'!AT195*'Data Training 1'!AT200*'Data Training 1'!AT204*'Data Training 1'!AT207*'Data Training 1'!AT212*'Data Training 1'!AT216</f>
        <v>0</v>
      </c>
    </row>
    <row r="265" spans="41:79">
      <c r="AO265" s="69" t="s">
        <v>505</v>
      </c>
      <c r="AP265" s="69"/>
      <c r="AQ265">
        <f>'Data Training 1'!AW23*'Data Training 1'!AU34*'Data Training 1'!AU40*'Data Training 1'!AU45*'Data Training 1'!AU52*'Data Training 1'!AU58*'Data Training 1'!AU62*'Data Training 1'!AU70*'Data Training 1'!AU75*'Data Training 1'!AU81*'Data Training 1'!AU87*'Data Training 1'!AU93*'Data Training 1'!AU99*'Data Training 1'!AU105*'Data Training 1'!AU110*'Data Training 1'!AU116*'Data Training 1'!AU124*'Data Training 1'!AU130*'Data Training 1'!AU136*'Data Training 1'!AU142*'Data Training 1'!AU146*'Data Training 1'!AU152*'Data Training 1'!AU159*'Data Training 1'!AU164*'Data Training 1'!AU167*'Data Training 1'!AU171*'Data Training 1'!AU175*'Data Training 1'!AU179*'Data Training 1'!AU183*'Data Training 1'!AU188*'Data Training 1'!AU192*'Data Training 1'!AU195*'Data Training 1'!AU200*'Data Training 1'!AU204*'Data Training 1'!AU207*'Data Training 1'!AU212*'Data Training 1'!AU216</f>
        <v>0</v>
      </c>
    </row>
    <row r="266" spans="41:79">
      <c r="AO266" s="69" t="s">
        <v>506</v>
      </c>
      <c r="AP266" s="69"/>
      <c r="AQ266">
        <f>'Data Training 1'!AW24*'Data Training 1'!AV34*'Data Training 1'!AV40*'Data Training 1'!AV45*'Data Training 1'!AV52*'Data Training 1'!AV58*'Data Training 1'!AV62*'Data Training 1'!AV70*'Data Training 1'!AV75*'Data Training 1'!AV81*'Data Training 1'!AV87*'Data Training 1'!AV93*'Data Training 1'!AV99*'Data Training 1'!AV105*'Data Training 1'!AV110*'Data Training 1'!AV116*'Data Training 1'!AV124*'Data Training 1'!AV130*'Data Training 1'!AV136*'Data Training 1'!AV142*'Data Training 1'!AV146*'Data Training 1'!AV152*'Data Training 1'!AV159*'Data Training 1'!AV164*'Data Training 1'!AV167*'Data Training 1'!AV171*'Data Training 1'!AV175*'Data Training 1'!AV179*'Data Training 1'!AV183*'Data Training 1'!AV188*'Data Training 1'!AV192*'Data Training 1'!AV195*'Data Training 1'!AV200*'Data Training 1'!AV204*'Data Training 1'!AV207*'Data Training 1'!AV212*'Data Training 1'!AV216</f>
        <v>0</v>
      </c>
    </row>
    <row r="267" spans="41:79">
      <c r="AO267" s="69" t="s">
        <v>507</v>
      </c>
      <c r="AP267" s="69"/>
      <c r="AQ267">
        <f>'Data Training 1'!AW25*'Data Training 1'!AW34*'Data Training 1'!AW40*'Data Training 1'!AW45*'Data Training 1'!AW52*'Data Training 1'!AW58*'Data Training 1'!AW62*'Data Training 1'!AW70*'Data Training 1'!AW75*'Data Training 1'!AW81*'Data Training 1'!AW87*'Data Training 1'!AW93*'Data Training 1'!AW99*'Data Training 1'!AW105*'Data Training 1'!AW110*'Data Training 1'!AW116*'Data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0</v>
      </c>
    </row>
    <row r="268" spans="41:79">
      <c r="AO268" s="69" t="s">
        <v>508</v>
      </c>
      <c r="AP268" s="69"/>
      <c r="AQ268">
        <f>'Data Training 1'!AW26*'Data Training 1'!AX34*'Data Training 1'!AX40*'Data Training 1'!AX45*'Data Training 1'!AX52*'Data Training 1'!AX58*'Data Training 1'!AX62*'Data Training 1'!AX70*'Data Training 1'!AX75*'Data Training 1'!AX81*'Data Training 1'!AX87*'Data Training 1'!AX93*'Data Training 1'!AX99*'Data Training 1'!AX105*'Data Training 1'!AX110*'Data Training 1'!AX116*'Data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3.0513742317022442E-9</v>
      </c>
    </row>
    <row r="269" spans="41:79">
      <c r="AO269" s="69" t="s">
        <v>509</v>
      </c>
      <c r="AP269" s="69"/>
      <c r="AQ269">
        <f>'Data Training 1'!AW27*'Data Training 1'!AY34*'Data Training 1'!AY40*'Data Training 1'!AY45*'Data Training 1'!AY52*'Data Training 1'!AY58*'Data Training 1'!AY62*'Data Training 1'!AY70*'Data Training 1'!AY75*'Data Training 1'!AY81*'Data Training 1'!AY87*'Data Training 1'!AY93*'Data Training 1'!AY99*'Data Training 1'!AY105*'Data Training 1'!AY110*'Data Training 1'!AY116*'Data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8.1855350597957332E-13</v>
      </c>
    </row>
    <row r="270" spans="41:79">
      <c r="AO270" s="78" t="s">
        <v>437</v>
      </c>
      <c r="AP270" s="78"/>
      <c r="AQ270" t="s">
        <v>298</v>
      </c>
      <c r="AR270" s="86" t="s">
        <v>514</v>
      </c>
      <c r="AS270" s="86"/>
      <c r="AT270" s="86"/>
    </row>
    <row r="272" spans="41:79">
      <c r="AO272" s="79" t="s">
        <v>479</v>
      </c>
      <c r="AP272" s="79"/>
      <c r="AQ272" s="20" t="s">
        <v>64</v>
      </c>
      <c r="AR272" s="1" t="s">
        <v>43</v>
      </c>
      <c r="AS272" s="1" t="s">
        <v>44</v>
      </c>
      <c r="AT272" s="1" t="s">
        <v>45</v>
      </c>
      <c r="AU272" s="1" t="s">
        <v>46</v>
      </c>
      <c r="AV272" s="1" t="s">
        <v>47</v>
      </c>
      <c r="AW272" s="1" t="s">
        <v>48</v>
      </c>
      <c r="AX272" s="1" t="s">
        <v>49</v>
      </c>
      <c r="AY272" s="1" t="s">
        <v>50</v>
      </c>
      <c r="AZ272" s="1" t="s">
        <v>51</v>
      </c>
      <c r="BA272" s="1" t="s">
        <v>52</v>
      </c>
      <c r="BB272" s="1" t="s">
        <v>53</v>
      </c>
      <c r="BC272" s="1" t="s">
        <v>54</v>
      </c>
      <c r="BD272" s="1" t="s">
        <v>55</v>
      </c>
      <c r="BE272" s="1" t="s">
        <v>56</v>
      </c>
      <c r="BF272" s="1" t="s">
        <v>57</v>
      </c>
      <c r="BG272" s="1" t="s">
        <v>58</v>
      </c>
      <c r="BH272" s="1" t="s">
        <v>59</v>
      </c>
      <c r="BI272" s="1" t="s">
        <v>60</v>
      </c>
      <c r="BJ272" s="1" t="s">
        <v>61</v>
      </c>
      <c r="BK272" s="1" t="s">
        <v>62</v>
      </c>
      <c r="BL272" s="1" t="s">
        <v>63</v>
      </c>
      <c r="BM272" s="1" t="s">
        <v>330</v>
      </c>
      <c r="BN272" s="1" t="s">
        <v>331</v>
      </c>
      <c r="BO272" s="1" t="s">
        <v>332</v>
      </c>
      <c r="BP272" s="1" t="s">
        <v>333</v>
      </c>
      <c r="BQ272" s="1" t="s">
        <v>334</v>
      </c>
      <c r="BR272" s="1" t="s">
        <v>335</v>
      </c>
      <c r="BS272" s="1" t="s">
        <v>336</v>
      </c>
      <c r="BT272" s="1" t="s">
        <v>337</v>
      </c>
      <c r="BU272" s="1" t="s">
        <v>338</v>
      </c>
      <c r="BV272" s="1" t="s">
        <v>339</v>
      </c>
      <c r="BW272" s="1" t="s">
        <v>340</v>
      </c>
      <c r="BX272" s="1" t="s">
        <v>341</v>
      </c>
      <c r="BY272" s="1" t="s">
        <v>342</v>
      </c>
      <c r="BZ272" s="1" t="s">
        <v>343</v>
      </c>
      <c r="CA272" s="1" t="s">
        <v>390</v>
      </c>
    </row>
    <row r="273" spans="41:79">
      <c r="AO273" s="79"/>
      <c r="AP273" s="79"/>
      <c r="AQ273" s="20">
        <v>5</v>
      </c>
      <c r="AR273" t="s">
        <v>2</v>
      </c>
      <c r="AS273" t="s">
        <v>3</v>
      </c>
      <c r="AT273" t="s">
        <v>5</v>
      </c>
      <c r="AU273" t="s">
        <v>5</v>
      </c>
      <c r="AV273" t="s">
        <v>5</v>
      </c>
      <c r="AW273" t="s">
        <v>5</v>
      </c>
      <c r="AX273" t="s">
        <v>5</v>
      </c>
      <c r="AY273" t="s">
        <v>2</v>
      </c>
      <c r="AZ273" t="s">
        <v>3</v>
      </c>
      <c r="BA273" t="s">
        <v>3</v>
      </c>
      <c r="BB273" t="s">
        <v>5</v>
      </c>
      <c r="BC273" t="s">
        <v>2</v>
      </c>
      <c r="BD273" t="s">
        <v>5</v>
      </c>
      <c r="BE273" t="s">
        <v>2</v>
      </c>
      <c r="BF273" t="s">
        <v>2</v>
      </c>
      <c r="BG273" t="s">
        <v>5</v>
      </c>
      <c r="BH273" t="s">
        <v>5</v>
      </c>
      <c r="BI273" t="s">
        <v>5</v>
      </c>
      <c r="BJ273" t="s">
        <v>3</v>
      </c>
      <c r="BK273" t="s">
        <v>3</v>
      </c>
      <c r="BL273" t="s">
        <v>4</v>
      </c>
      <c r="BM273" t="s">
        <v>2</v>
      </c>
      <c r="BN273" t="s">
        <v>3</v>
      </c>
      <c r="BO273" t="s">
        <v>4</v>
      </c>
      <c r="BP273" t="s">
        <v>4</v>
      </c>
      <c r="BQ273" t="s">
        <v>4</v>
      </c>
      <c r="BR273" t="s">
        <v>4</v>
      </c>
      <c r="BS273" t="s">
        <v>4</v>
      </c>
      <c r="BT273" t="s">
        <v>3</v>
      </c>
      <c r="BU273" t="s">
        <v>3</v>
      </c>
      <c r="BV273" t="s">
        <v>4</v>
      </c>
      <c r="BW273" t="s">
        <v>3</v>
      </c>
      <c r="BX273" t="s">
        <v>4</v>
      </c>
      <c r="BY273" t="s">
        <v>4</v>
      </c>
      <c r="BZ273" t="s">
        <v>4</v>
      </c>
      <c r="CA273" t="s">
        <v>3</v>
      </c>
    </row>
    <row r="274" spans="41:79">
      <c r="AO274" s="69" t="s">
        <v>504</v>
      </c>
      <c r="AP274" s="69"/>
      <c r="AQ274">
        <f>PRODUCT('Data Training 1'!AW22,'Data Training 1'!AT33,'Data Training 1'!AT38,'Data Training 1'!AT46,'Data Training 1'!AT52,'Data Training 1'!AT58,'Data Training 1'!AT64,'Data Training 1'!AT70,'Data Training 1'!AT75,'Data Training 1'!AT80,'Data Training 1'!AT86,'Data Training 1'!AT94,'Data Training 1'!AT99,'Data Training 1'!AT106,'Data Training 1'!AT111,'Data Training 1'!AT117,'Data Training 1'!AT124,'Data Training 1'!AT130,'Data Training 1'!AT136,'Data Training 1'!AT140,'Data Training 1'!AT146,'Data Training 1'!AT151,'Data Training 1'!AT159,'Data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75" spans="41:79">
      <c r="AO275" s="69" t="s">
        <v>505</v>
      </c>
      <c r="AP275" s="69"/>
      <c r="AQ275">
        <f>PRODUCT('Data Training 1'!AW23,'Data Training 1'!AU33,'Data Training 1'!AU38,'Data Training 1'!AU46,'Data Training 1'!AU52,'Data Training 1'!AU58,'Data Training 1'!AU64,'Data Training 1'!AU70,'Data Training 1'!AU75,'Data Training 1'!AU80,'Data Training 1'!AU86,'Data Training 1'!AU94,'Data Training 1'!AU99,'Data Training 1'!AU106,'Data Training 1'!AU111,'Data Training 1'!AU117,'Data Training 1'!AU124,'Data Training 1'!AU130,'Data Training 1'!AU136,'Data Training 1'!AU140,'Data Training 1'!AU146,'Data Training 1'!AU151,'Data Training 1'!AU159,'Data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76" spans="41:79">
      <c r="AO276" s="69" t="s">
        <v>506</v>
      </c>
      <c r="AP276" s="69"/>
      <c r="AQ276">
        <f>PRODUCT('Data Training 1'!AW24,'Data Training 1'!AV33,'Data Training 1'!AV38,'Data Training 1'!AV46,'Data Training 1'!AV52,'Data Training 1'!AV58,'Data Training 1'!AV64,'Data Training 1'!AV70,'Data Training 1'!AV75,'Data Training 1'!AV80,'Data Training 1'!AV86,'Data Training 1'!AV94,'Data Training 1'!AV99,'Data Training 1'!AV106,'Data Training 1'!AV111,'Data Training 1'!AV117,'Data Training 1'!AV124,'Data Training 1'!AV130,'Data Training 1'!AV136,'Data Training 1'!AV140,'Data Training 1'!AV146,'Data Training 1'!AV151,'Data Training 1'!AV159,'Data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77" spans="41:79">
      <c r="AO277" s="69" t="s">
        <v>507</v>
      </c>
      <c r="AP277" s="69"/>
      <c r="AQ277">
        <f>PRODUCT('Data Training 1'!AW25,'Data Training 1'!AW33,'Data Training 1'!AW38,'Data Training 1'!AW46,'Data Training 1'!AW52,'Data Training 1'!AW58,'Data Training 1'!AW64,'Data Training 1'!AW70,'Data Training 1'!AW75,'Data Training 1'!AW80,'Data Training 1'!AW86,'Data Training 1'!AW94,'Data Training 1'!AW99,'Data Training 1'!AW106,'Data Training 1'!AW111,'Data Training 1'!AW117,'Data Training 1'!AW124,'Data Training 1'!AW130,'Data Training 1'!AW136,'Data Training 1'!AW140,'Data Training 1'!AW146,'Data Training 1'!AW151,'Data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1.7168171501445595E-10</v>
      </c>
    </row>
    <row r="278" spans="41:79">
      <c r="AO278" s="69" t="s">
        <v>508</v>
      </c>
      <c r="AP278" s="69"/>
      <c r="AQ278" s="44">
        <f>PRODUCT('Data Training 1'!AW26,'Data Training 1'!AX33,'Data Training 1'!AX38,'Data Training 1'!AX46,'Data Training 1'!AX52,'Data Training 1'!AX58,'Data Training 1'!AX64,'Data Training 1'!AX70,'Data Training 1'!AX75,'Data Training 1'!AX80,'Data Training 1'!AX86,'Data Training 1'!AX94,'Data Training 1'!AX99,'Data Training 1'!AX106,'Data Training 1'!AX111,'Data Training 1'!AX117,'Data Training 1'!AX124,'Data Training 1'!AX130,'Data Training 1'!AX136,'Data Training 1'!AX140,'Data Training 1'!AX146,'Data Training 1'!AX151,'Data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8.8998415091315388E-11</v>
      </c>
    </row>
    <row r="279" spans="41:79">
      <c r="AO279" s="69" t="s">
        <v>509</v>
      </c>
      <c r="AP279" s="69"/>
      <c r="AQ279">
        <f>PRODUCT('Data Training 1'!AW27,'Data Training 1'!AY33,'Data Training 1'!AY38,'Data Training 1'!AY46,'Data Training 1'!AY52,'Data Training 1'!AY58,'Data Training 1'!AY64,'Data Training 1'!AY70,'Data Training 1'!AY75,'Data Training 1'!AY80,'Data Training 1'!AY86,'Data Training 1'!AY94,'Data Training 1'!AY99,'Data Training 1'!AY106,'Data Training 1'!AY111,'Data Training 1'!AY117,'Data Training 1'!AY124,'Data Training 1'!AY130,'Data Training 1'!AY136,'Data Training 1'!AY140,'Data Training 1'!AY146,'Data Training 1'!AY151,'Data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0</v>
      </c>
    </row>
    <row r="280" spans="41:79">
      <c r="AO280" s="78" t="s">
        <v>437</v>
      </c>
      <c r="AP280" s="78"/>
      <c r="AQ280" t="s">
        <v>297</v>
      </c>
      <c r="AR280" s="74" t="s">
        <v>438</v>
      </c>
      <c r="AS280" s="74"/>
      <c r="AT280" s="74"/>
    </row>
    <row r="282" spans="41:79">
      <c r="AO282" s="79" t="s">
        <v>480</v>
      </c>
      <c r="AP282" s="79"/>
      <c r="AQ282" s="20" t="s">
        <v>64</v>
      </c>
      <c r="AR282" s="1" t="s">
        <v>43</v>
      </c>
      <c r="AS282" s="1" t="s">
        <v>44</v>
      </c>
      <c r="AT282" s="1" t="s">
        <v>45</v>
      </c>
      <c r="AU282" s="1" t="s">
        <v>46</v>
      </c>
      <c r="AV282" s="1" t="s">
        <v>47</v>
      </c>
      <c r="AW282" s="1" t="s">
        <v>48</v>
      </c>
      <c r="AX282" s="1" t="s">
        <v>49</v>
      </c>
      <c r="AY282" s="1" t="s">
        <v>50</v>
      </c>
      <c r="AZ282" s="1" t="s">
        <v>51</v>
      </c>
      <c r="BA282" s="1" t="s">
        <v>52</v>
      </c>
      <c r="BB282" s="1" t="s">
        <v>53</v>
      </c>
      <c r="BC282" s="1" t="s">
        <v>54</v>
      </c>
      <c r="BD282" s="1" t="s">
        <v>55</v>
      </c>
      <c r="BE282" s="1" t="s">
        <v>56</v>
      </c>
      <c r="BF282" s="1" t="s">
        <v>57</v>
      </c>
      <c r="BG282" s="1" t="s">
        <v>58</v>
      </c>
      <c r="BH282" s="1" t="s">
        <v>59</v>
      </c>
      <c r="BI282" s="1" t="s">
        <v>60</v>
      </c>
      <c r="BJ282" s="1" t="s">
        <v>61</v>
      </c>
      <c r="BK282" s="1" t="s">
        <v>62</v>
      </c>
      <c r="BL282" s="1" t="s">
        <v>63</v>
      </c>
      <c r="BM282" s="1" t="s">
        <v>330</v>
      </c>
      <c r="BN282" s="1" t="s">
        <v>331</v>
      </c>
      <c r="BO282" s="1" t="s">
        <v>332</v>
      </c>
      <c r="BP282" s="1" t="s">
        <v>333</v>
      </c>
      <c r="BQ282" s="1" t="s">
        <v>334</v>
      </c>
      <c r="BR282" s="1" t="s">
        <v>335</v>
      </c>
      <c r="BS282" s="1" t="s">
        <v>336</v>
      </c>
      <c r="BT282" s="1" t="s">
        <v>337</v>
      </c>
      <c r="BU282" s="1" t="s">
        <v>338</v>
      </c>
      <c r="BV282" s="1" t="s">
        <v>339</v>
      </c>
      <c r="BW282" s="1" t="s">
        <v>340</v>
      </c>
      <c r="BX282" s="1" t="s">
        <v>341</v>
      </c>
      <c r="BY282" s="1" t="s">
        <v>342</v>
      </c>
      <c r="BZ282" s="1" t="s">
        <v>343</v>
      </c>
      <c r="CA282" s="1" t="s">
        <v>390</v>
      </c>
    </row>
    <row r="283" spans="41:79">
      <c r="AO283" s="79"/>
      <c r="AP283" s="79"/>
      <c r="AQ283" s="20">
        <v>5</v>
      </c>
      <c r="AR283" t="s">
        <v>2</v>
      </c>
      <c r="AS283" t="s">
        <v>3</v>
      </c>
      <c r="AT283" t="s">
        <v>4</v>
      </c>
      <c r="AU283" t="s">
        <v>5</v>
      </c>
      <c r="AV283" t="s">
        <v>5</v>
      </c>
      <c r="AW283" t="s">
        <v>3</v>
      </c>
      <c r="AX283" t="s">
        <v>5</v>
      </c>
      <c r="AY283" t="s">
        <v>2</v>
      </c>
      <c r="AZ283" t="s">
        <v>3</v>
      </c>
      <c r="BA283" t="s">
        <v>2</v>
      </c>
      <c r="BB283" t="s">
        <v>2</v>
      </c>
      <c r="BC283" t="s">
        <v>5</v>
      </c>
      <c r="BD283" t="s">
        <v>5</v>
      </c>
      <c r="BE283" t="s">
        <v>2</v>
      </c>
      <c r="BF283" t="s">
        <v>5</v>
      </c>
      <c r="BG283" t="s">
        <v>5</v>
      </c>
      <c r="BH283" t="s">
        <v>3</v>
      </c>
      <c r="BI283" t="s">
        <v>5</v>
      </c>
      <c r="BJ283" t="s">
        <v>2</v>
      </c>
      <c r="BK283" t="s">
        <v>4</v>
      </c>
      <c r="BL283" t="s">
        <v>4</v>
      </c>
      <c r="BM283" t="s">
        <v>2</v>
      </c>
      <c r="BN283" t="s">
        <v>3</v>
      </c>
      <c r="BO283" t="s">
        <v>4</v>
      </c>
      <c r="BP283" t="s">
        <v>4</v>
      </c>
      <c r="BQ283" t="s">
        <v>4</v>
      </c>
      <c r="BR283" t="s">
        <v>4</v>
      </c>
      <c r="BS283" t="s">
        <v>4</v>
      </c>
      <c r="BT283" t="s">
        <v>4</v>
      </c>
      <c r="BU283" t="s">
        <v>3</v>
      </c>
      <c r="BV283" t="s">
        <v>4</v>
      </c>
      <c r="BW283" t="s">
        <v>3</v>
      </c>
      <c r="BX283" t="s">
        <v>4</v>
      </c>
      <c r="BY283" t="s">
        <v>4</v>
      </c>
      <c r="BZ283" t="s">
        <v>3</v>
      </c>
      <c r="CA283" t="s">
        <v>3</v>
      </c>
    </row>
    <row r="284" spans="41:79">
      <c r="AO284" s="69" t="s">
        <v>504</v>
      </c>
      <c r="AP284" s="69"/>
      <c r="AQ284">
        <f>PRODUCT('Data Training 1'!AW22,'Data Training 1'!AT33,'Data Training 1'!AT38,'Data Training 1'!AT43,'Data Training 1'!AT52,'Data Training 1'!AT58,'Data Training 1'!AT62,'Data Training 1'!AT70,'Data Training 1'!AT75,'Data Training 1'!AT80,'Data Training 1'!AT87,'Data Training 1'!AT93,'Data Training 1'!AT100,'Data Training 1'!AT106,'Data Training 1'!AT111,'Data Training 1'!AT118,'Data Training 1'!AT124,'Data Training 1'!AT128,'Data Training 1'!AT136,'Data Training 1'!AT141,'Data Training 1'!AT145,'Data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285" spans="41:79">
      <c r="AO285" s="69" t="s">
        <v>505</v>
      </c>
      <c r="AP285" s="69"/>
      <c r="AQ285">
        <f>PRODUCT('Data Training 1'!AW23,'Data Training 1'!AU33,'Data Training 1'!AU38,'Data Training 1'!AU43,'Data Training 1'!AU52,'Data Training 1'!AU58,'Data Training 1'!AU62,'Data Training 1'!AU70,'Data Training 1'!AU75,'Data Training 1'!AU80,'Data Training 1'!AU87,'Data Training 1'!AU93,'Data Training 1'!AU100,'Data Training 1'!AU106,'Data Training 1'!AU111,'Data Training 1'!AU118,'Data Training 1'!AU124,'Data Training 1'!AU128,'Data Training 1'!AU136,'Data Training 1'!AU141,'Data Training 1'!AU145,'Data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286" spans="41:79">
      <c r="AO286" s="69" t="s">
        <v>506</v>
      </c>
      <c r="AP286" s="69"/>
      <c r="AQ286">
        <f>PRODUCT('Data Training 1'!AW24,'Data Training 1'!AV33,'Data Training 1'!AV38,'Data Training 1'!AV43,'Data Training 1'!AV52,'Data Training 1'!AV58,'Data Training 1'!AV62,'Data Training 1'!AV70,'Data Training 1'!AV75,'Data Training 1'!AV80,'Data Training 1'!AV87,'Data Training 1'!AV93,'Data Training 1'!AV100,'Data Training 1'!AV106,'Data Training 1'!AV111,'Data Training 1'!AV118,'Data Training 1'!AV124,'Data Training 1'!AV128,'Data Training 1'!AV136,'Data Training 1'!AV141,'Data Training 1'!AV145,'Data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0</v>
      </c>
    </row>
    <row r="287" spans="41:79">
      <c r="AO287" s="69" t="s">
        <v>507</v>
      </c>
      <c r="AP287" s="69"/>
      <c r="AQ287">
        <f>PRODUCT('Data Training 1'!AW25,'Data Training 1'!AW33,'Data Training 1'!AW38,'Data Training 1'!AW43,'Data Training 1'!AW52,'Data Training 1'!AW58,'Data Training 1'!AW62,'Data Training 1'!AW70,'Data Training 1'!AW75,'Data Training 1'!AW80,'Data Training 1'!AW87,'Data Training 1'!AW93,'Data Training 1'!AW100,'Data Training 1'!AW106,'Data Training 1'!AW111,'Data Training 1'!AW118,'Data Training 1'!AW124,'Data Training 1'!AW128,'Data Training 1'!AW136,'Data Training 1'!AW141,'Data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0</v>
      </c>
    </row>
    <row r="288" spans="41:79">
      <c r="AO288" s="69" t="s">
        <v>508</v>
      </c>
      <c r="AP288" s="69"/>
      <c r="AQ288">
        <f>PRODUCT('Data Training 1'!AW26,'Data Training 1'!AX33,'Data Training 1'!AX38,'Data Training 1'!AX43,'Data Training 1'!AX52,'Data Training 1'!AX58,'Data Training 1'!AX62,'Data Training 1'!AX70,'Data Training 1'!AX75,'Data Training 1'!AX80,'Data Training 1'!AX87,'Data Training 1'!AX93,'Data Training 1'!AX100,'Data Training 1'!AX106,'Data Training 1'!AX111,'Data Training 1'!AX118,'Data Training 1'!AX124,'Data Training 1'!AX128,'Data Training 1'!AX136,'Data Training 1'!AX141,'Data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3.0998087433165655E-11</v>
      </c>
    </row>
    <row r="289" spans="41:79">
      <c r="AO289" s="69" t="s">
        <v>509</v>
      </c>
      <c r="AP289" s="69"/>
      <c r="AQ289">
        <f>PRODUCT('Data Training 1'!AW27,'Data Training 1'!AY33,'Data Training 1'!AY38,'Data Training 1'!AY43,'Data Training 1'!AY52,'Data Training 1'!AY58,'Data Training 1'!AY62,'Data Training 1'!AY70,'Data Training 1'!AY75,'Data Training 1'!AY80,'Data Training 1'!AY87,'Data Training 1'!AY93,'Data Training 1'!AY100,'Data Training 1'!AY106,'Data Training 1'!AY111,'Data Training 1'!AY118,'Data Training 1'!AY124,'Data Training 1'!AY128,'Data Training 1'!AY136,'Data Training 1'!AY141,'Data Training 1'!AY145,'Data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290" spans="41:79">
      <c r="AO290" s="78" t="s">
        <v>437</v>
      </c>
      <c r="AP290" s="78"/>
      <c r="AQ290" t="s">
        <v>297</v>
      </c>
      <c r="AR290" s="74" t="s">
        <v>438</v>
      </c>
      <c r="AS290" s="74"/>
      <c r="AT290" s="74"/>
    </row>
    <row r="291" spans="41:79">
      <c r="AO291" s="42"/>
      <c r="AP291" s="42"/>
    </row>
    <row r="292" spans="41:79">
      <c r="AO292" s="79" t="s">
        <v>495</v>
      </c>
      <c r="AP292" s="79"/>
      <c r="AQ292" s="20" t="s">
        <v>64</v>
      </c>
      <c r="AR292" s="1" t="s">
        <v>43</v>
      </c>
      <c r="AS292" s="1" t="s">
        <v>44</v>
      </c>
      <c r="AT292" s="1" t="s">
        <v>45</v>
      </c>
      <c r="AU292" s="1" t="s">
        <v>46</v>
      </c>
      <c r="AV292" s="1" t="s">
        <v>47</v>
      </c>
      <c r="AW292" s="1" t="s">
        <v>48</v>
      </c>
      <c r="AX292" s="1" t="s">
        <v>49</v>
      </c>
      <c r="AY292" s="1" t="s">
        <v>50</v>
      </c>
      <c r="AZ292" s="1" t="s">
        <v>51</v>
      </c>
      <c r="BA292" s="1" t="s">
        <v>52</v>
      </c>
      <c r="BB292" s="1" t="s">
        <v>53</v>
      </c>
      <c r="BC292" s="1" t="s">
        <v>54</v>
      </c>
      <c r="BD292" s="1" t="s">
        <v>55</v>
      </c>
      <c r="BE292" s="1" t="s">
        <v>56</v>
      </c>
      <c r="BF292" s="1" t="s">
        <v>57</v>
      </c>
      <c r="BG292" s="1" t="s">
        <v>58</v>
      </c>
      <c r="BH292" s="1" t="s">
        <v>59</v>
      </c>
      <c r="BI292" s="1" t="s">
        <v>60</v>
      </c>
      <c r="BJ292" s="1" t="s">
        <v>61</v>
      </c>
      <c r="BK292" s="1" t="s">
        <v>62</v>
      </c>
      <c r="BL292" s="1" t="s">
        <v>63</v>
      </c>
      <c r="BM292" s="1" t="s">
        <v>330</v>
      </c>
      <c r="BN292" s="1" t="s">
        <v>331</v>
      </c>
      <c r="BO292" s="1" t="s">
        <v>332</v>
      </c>
      <c r="BP292" s="1" t="s">
        <v>333</v>
      </c>
      <c r="BQ292" s="1" t="s">
        <v>334</v>
      </c>
      <c r="BR292" s="1" t="s">
        <v>335</v>
      </c>
      <c r="BS292" s="1" t="s">
        <v>336</v>
      </c>
      <c r="BT292" s="1" t="s">
        <v>337</v>
      </c>
      <c r="BU292" s="1" t="s">
        <v>338</v>
      </c>
      <c r="BV292" s="1" t="s">
        <v>339</v>
      </c>
      <c r="BW292" s="1" t="s">
        <v>340</v>
      </c>
      <c r="BX292" s="1" t="s">
        <v>341</v>
      </c>
      <c r="BY292" s="1" t="s">
        <v>342</v>
      </c>
      <c r="BZ292" s="1" t="s">
        <v>343</v>
      </c>
      <c r="CA292" s="1" t="s">
        <v>390</v>
      </c>
    </row>
    <row r="293" spans="41:79">
      <c r="AO293" s="79"/>
      <c r="AP293" s="79"/>
      <c r="AQ293" s="20">
        <v>5</v>
      </c>
      <c r="AR293" t="s">
        <v>5</v>
      </c>
      <c r="AS293" t="s">
        <v>5</v>
      </c>
      <c r="AT293" t="s">
        <v>3</v>
      </c>
      <c r="AU293" t="s">
        <v>5</v>
      </c>
      <c r="AV293" t="s">
        <v>5</v>
      </c>
      <c r="AW293" t="s">
        <v>5</v>
      </c>
      <c r="AX293" t="s">
        <v>5</v>
      </c>
      <c r="AY293" t="s">
        <v>2</v>
      </c>
      <c r="AZ293" t="s">
        <v>2</v>
      </c>
      <c r="BA293" t="s">
        <v>5</v>
      </c>
      <c r="BB293" t="s">
        <v>2</v>
      </c>
      <c r="BC293" t="s">
        <v>2</v>
      </c>
      <c r="BD293" t="s">
        <v>4</v>
      </c>
      <c r="BE293" t="s">
        <v>3</v>
      </c>
      <c r="BF293" t="s">
        <v>2</v>
      </c>
      <c r="BG293" t="s">
        <v>5</v>
      </c>
      <c r="BH293" t="s">
        <v>5</v>
      </c>
      <c r="BI293" t="s">
        <v>5</v>
      </c>
      <c r="BJ293" t="s">
        <v>3</v>
      </c>
      <c r="BK293" t="s">
        <v>3</v>
      </c>
      <c r="BL293" t="s">
        <v>3</v>
      </c>
      <c r="BM293" t="s">
        <v>4</v>
      </c>
      <c r="BN293" t="s">
        <v>3</v>
      </c>
      <c r="BO293" t="s">
        <v>4</v>
      </c>
      <c r="BP293" t="s">
        <v>4</v>
      </c>
      <c r="BQ293" t="s">
        <v>4</v>
      </c>
      <c r="BR293" t="s">
        <v>4</v>
      </c>
      <c r="BS293" t="s">
        <v>4</v>
      </c>
      <c r="BT293" t="s">
        <v>3</v>
      </c>
      <c r="BU293" t="s">
        <v>3</v>
      </c>
      <c r="BV293" t="s">
        <v>4</v>
      </c>
      <c r="BW293" t="s">
        <v>3</v>
      </c>
      <c r="BX293" t="s">
        <v>4</v>
      </c>
      <c r="BY293" t="s">
        <v>4</v>
      </c>
      <c r="BZ293" t="s">
        <v>3</v>
      </c>
      <c r="CA293" t="s">
        <v>3</v>
      </c>
    </row>
    <row r="294" spans="41:79">
      <c r="AO294" s="69" t="s">
        <v>504</v>
      </c>
      <c r="AP294" s="69"/>
      <c r="AQ294" s="44">
        <f>PRODUCT('Data Training 1'!AW22,'Data Training 1'!AT34,'Data Training 1'!AT40,'Data Training 1'!AT44,'Data Training 1'!AT52,'Data Training 1'!AT58,'Data Training 1'!AT64,'Data Training 1'!AT70,'Data Training 1'!AT75,'Data Training 1'!AT81,'Data Training 1'!AT88,'Data Training 1'!AT93,'Data Training 1'!AT99,'Data Training 1'!AT103,'Data Training 1'!AT110,'Data Training 1'!AT117,'Data Training 1'!AT124,'Data Training 1'!AT130,'Data Training 1'!AT136,'Data Training 1'!AT140,'Data Training 1'!AT146,'Data Training 1'!AT152,'Data Training 1'!AT157,'Data Training 1'!AT164,'Data Training 1'!AT167,'Data Training 1'!AT171,'Data Training 1'!AT175,'Data Training 1'!AT179,'Data Training 1'!AT183,'Data Training 1'!AT188,'Data Training 1'!AT192,'Data Training 1'!AT195,'Data Training 1'!AT200,'Data Training 1'!AT203,'Data Training 1'!AT207,'Data Training 1'!AT212,'Data Training 1'!AT216)</f>
        <v>0</v>
      </c>
    </row>
    <row r="295" spans="41:79">
      <c r="AO295" s="69" t="s">
        <v>505</v>
      </c>
      <c r="AP295" s="69"/>
      <c r="AQ295" s="44">
        <f>PRODUCT('Data Training 1'!AW23,'Data Training 1'!AU34,'Data Training 1'!AU40,'Data Training 1'!AU44,'Data Training 1'!AU52,'Data Training 1'!AU58,'Data Training 1'!AU64,'Data Training 1'!AU70,'Data Training 1'!AU75,'Data Training 1'!AU81,'Data Training 1'!AU88,'Data Training 1'!AU93,'Data Training 1'!AU99,'Data Training 1'!AU103,'Data Training 1'!AU110,'Data Training 1'!AU117,'Data Training 1'!AU124,'Data Training 1'!AU130,'Data Training 1'!AU136,'Data Training 1'!AU140,'Data Training 1'!AU146,'Data Training 1'!AU152,'Data Training 1'!AU157,'Data Training 1'!AU164,'Data Training 1'!AU167,'Data Training 1'!AU171,'Data Training 1'!AU175,'Data Training 1'!AU179,'Data Training 1'!AU183,'Data Training 1'!AU188,'Data Training 1'!AU192,'Data Training 1'!AU195,'Data Training 1'!AU200,'Data Training 1'!AU203,'Data Training 1'!AU207,'Data Training 1'!AU212,'Data Training 1'!AU216)</f>
        <v>0</v>
      </c>
    </row>
    <row r="296" spans="41:79">
      <c r="AO296" s="69" t="s">
        <v>506</v>
      </c>
      <c r="AP296" s="69"/>
      <c r="AQ296" s="44">
        <f>PRODUCT('Data Training 1'!AW24,'Data Training 1'!AV34,'Data Training 1'!AV40,'Data Training 1'!AV44,'Data Training 1'!AV52,'Data Training 1'!AV58,'Data Training 1'!AV64,'Data Training 1'!AV70,'Data Training 1'!AV75,'Data Training 1'!AV81,'Data Training 1'!AV88,'Data Training 1'!AV93,'Data Training 1'!AV99,'Data Training 1'!AV103,'Data Training 1'!AV110,'Data Training 1'!AV117,'Data Training 1'!AV124,'Data Training 1'!AV130,'Data Training 1'!AV136,'Data Training 1'!AV140,'Data Training 1'!AV146,'Data Training 1'!AV152,'Data Training 1'!AV157,'Data Training 1'!AV164,'Data Training 1'!AV167,'Data Training 1'!AV171,'Data Training 1'!AV175,'Data Training 1'!AV179,'Data Training 1'!AV183,'Data Training 1'!AV188,'Data Training 1'!AV192,'Data Training 1'!AV195,'Data Training 1'!AV200,'Data Training 1'!AV203,'Data Training 1'!AV207,'Data Training 1'!AV212,'Data Training 1'!AV216)</f>
        <v>0</v>
      </c>
    </row>
    <row r="297" spans="41:79">
      <c r="AO297" s="69" t="s">
        <v>507</v>
      </c>
      <c r="AP297" s="69"/>
      <c r="AQ297" s="44">
        <f>PRODUCT('Data Training 1'!AW25,'Data Training 1'!AW34,'Data Training 1'!AW40,'Data Training 1'!AW44,'Data Training 1'!AW52,'Data Training 1'!AW58,'Data Training 1'!AW64,'Data Training 1'!AW70,'Data Training 1'!AW75,'Data Training 1'!AW81,'Data Training 1'!AW88,'Data Training 1'!AW93,'Data Training 1'!AW99,'Data Training 1'!AW103,'Data Training 1'!AW110,'Data Training 1'!AW117,'Data Training 1'!AW124,'Data Training 1'!AW130,'Data Training 1'!AW136,'Data Training 1'!AW140,'Data Training 1'!AW146,'Data Training 1'!AW152,'Data Training 1'!AW157,'Data Training 1'!AW164,'Data Training 1'!AW167,'Data Training 1'!AW171,'Data Training 1'!AW175,'Data Training 1'!AW179,'Data Training 1'!AW183,'Data Training 1'!AW188,'Data Training 1'!AW192,'Data Training 1'!AW195,'Data Training 1'!AW200,'Data Training 1'!AW203,'Data Training 1'!AW207,'Data Training 1'!AW212,'Data Training 1'!AW216)</f>
        <v>0</v>
      </c>
    </row>
    <row r="298" spans="41:79">
      <c r="AO298" s="69" t="s">
        <v>508</v>
      </c>
      <c r="AP298" s="69"/>
      <c r="AQ298" s="44">
        <f>PRODUCT('Data Training 1'!AW26,'Data Training 1'!AX34,'Data Training 1'!AX40,'Data Training 1'!AX44,'Data Training 1'!AX52,'Data Training 1'!AX58,'Data Training 1'!AX64,'Data Training 1'!AX70,'Data Training 1'!AX75,'Data Training 1'!AX81,'Data Training 1'!AX88,'Data Training 1'!AX93,'Data Training 1'!AX99,'Data Training 1'!AX103,'Data Training 1'!AX110,'Data Training 1'!AX117,'Data Training 1'!AX124,'Data Training 1'!AX130,'Data Training 1'!AX136,'Data Training 1'!AX140,'Data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1'!AX212,'Data Training 1'!AX216)</f>
        <v>3.1078811619189511E-9</v>
      </c>
    </row>
    <row r="299" spans="41:79">
      <c r="AO299" s="69" t="s">
        <v>509</v>
      </c>
      <c r="AP299" s="69"/>
      <c r="AQ299" s="44">
        <f>PRODUCT('Data Training 1'!AW27,'Data Training 1'!AY34,'Data Training 1'!AY40,'Data Training 1'!AY44,'Data Training 1'!AY52,'Data Training 1'!AY58,'Data Training 1'!AY64,'Data Training 1'!AY70,'Data Training 1'!AY75,'Data Training 1'!AY81,'Data Training 1'!AY88,'Data Training 1'!AY93,'Data Training 1'!AY99,'Data Training 1'!AY103,'Data Training 1'!AY110,'Data Training 1'!AY117,'Data Training 1'!AY124,'Data Training 1'!AY130,'Data Training 1'!AY136,'Data Training 1'!AY140,'Data Training 1'!AY146,'Data Training 1'!AY152,'Data Training 1'!AY157,'Data Training 1'!AY164,'Data Training 1'!AY167,'Data Training 1'!AY171,'Data Training 1'!AY175,'Data Training 1'!AY179,'Data Training 1'!AY183,'Data Training 1'!AY188,'Data Training 1'!AY192,'Data Training 1'!AY195,'Data Training 1'!AY200,'Data Training 1'!AY203,'Data Training 1'!AY207,'Data Training 1'!AY212,'Data Training 1'!AY216)</f>
        <v>0</v>
      </c>
    </row>
    <row r="300" spans="41:79">
      <c r="AO300" s="78" t="s">
        <v>437</v>
      </c>
      <c r="AP300" s="78"/>
      <c r="AQ300" t="s">
        <v>297</v>
      </c>
      <c r="AR300" s="74" t="s">
        <v>438</v>
      </c>
      <c r="AS300" s="74"/>
      <c r="AT300" s="74"/>
    </row>
    <row r="301" spans="41:79">
      <c r="AO301" s="42"/>
      <c r="AP301" s="42"/>
    </row>
    <row r="302" spans="41:79">
      <c r="AO302" s="68" t="s">
        <v>430</v>
      </c>
      <c r="AP302" s="68"/>
      <c r="AQ302" s="20" t="s">
        <v>64</v>
      </c>
      <c r="AR302" s="1" t="s">
        <v>43</v>
      </c>
      <c r="AS302" s="1" t="s">
        <v>44</v>
      </c>
      <c r="AT302" s="1" t="s">
        <v>45</v>
      </c>
      <c r="AU302" s="1" t="s">
        <v>46</v>
      </c>
      <c r="AV302" s="1" t="s">
        <v>47</v>
      </c>
      <c r="AW302" s="1" t="s">
        <v>48</v>
      </c>
      <c r="AX302" s="1" t="s">
        <v>49</v>
      </c>
      <c r="AY302" s="1" t="s">
        <v>50</v>
      </c>
      <c r="AZ302" s="1" t="s">
        <v>51</v>
      </c>
      <c r="BA302" s="1" t="s">
        <v>52</v>
      </c>
      <c r="BB302" s="1" t="s">
        <v>53</v>
      </c>
      <c r="BC302" s="1" t="s">
        <v>54</v>
      </c>
      <c r="BD302" s="1" t="s">
        <v>55</v>
      </c>
      <c r="BE302" s="1" t="s">
        <v>56</v>
      </c>
      <c r="BF302" s="1" t="s">
        <v>57</v>
      </c>
      <c r="BG302" s="1" t="s">
        <v>58</v>
      </c>
      <c r="BH302" s="1" t="s">
        <v>59</v>
      </c>
      <c r="BI302" s="1" t="s">
        <v>60</v>
      </c>
      <c r="BJ302" s="1" t="s">
        <v>61</v>
      </c>
      <c r="BK302" s="1" t="s">
        <v>62</v>
      </c>
      <c r="BL302" s="1" t="s">
        <v>63</v>
      </c>
      <c r="BM302" s="1" t="s">
        <v>330</v>
      </c>
      <c r="BN302" s="1" t="s">
        <v>331</v>
      </c>
      <c r="BO302" s="1" t="s">
        <v>332</v>
      </c>
      <c r="BP302" s="1" t="s">
        <v>333</v>
      </c>
      <c r="BQ302" s="1" t="s">
        <v>334</v>
      </c>
      <c r="BR302" s="1" t="s">
        <v>335</v>
      </c>
      <c r="BS302" s="1" t="s">
        <v>336</v>
      </c>
      <c r="BT302" s="1" t="s">
        <v>337</v>
      </c>
      <c r="BU302" s="1" t="s">
        <v>338</v>
      </c>
      <c r="BV302" s="1" t="s">
        <v>339</v>
      </c>
      <c r="BW302" s="1" t="s">
        <v>340</v>
      </c>
      <c r="BX302" s="1" t="s">
        <v>341</v>
      </c>
      <c r="BY302" s="1" t="s">
        <v>342</v>
      </c>
      <c r="BZ302" s="1" t="s">
        <v>343</v>
      </c>
      <c r="CA302" s="1" t="s">
        <v>390</v>
      </c>
    </row>
    <row r="303" spans="41:79">
      <c r="AO303" s="68"/>
      <c r="AP303" s="68"/>
      <c r="AQ303" s="20">
        <v>6</v>
      </c>
      <c r="AR303" t="s">
        <v>5</v>
      </c>
      <c r="AS303" t="s">
        <v>5</v>
      </c>
      <c r="AT303" t="s">
        <v>3</v>
      </c>
      <c r="AU303" t="s">
        <v>5</v>
      </c>
      <c r="AV303" t="s">
        <v>5</v>
      </c>
      <c r="AW303" t="s">
        <v>5</v>
      </c>
      <c r="AX303" t="s">
        <v>5</v>
      </c>
      <c r="AY303" t="s">
        <v>2</v>
      </c>
      <c r="AZ303" t="s">
        <v>2</v>
      </c>
      <c r="BA303" t="s">
        <v>4</v>
      </c>
      <c r="BB303" t="s">
        <v>4</v>
      </c>
      <c r="BC303" t="s">
        <v>4</v>
      </c>
      <c r="BD303" t="s">
        <v>5</v>
      </c>
      <c r="BE303" t="s">
        <v>4</v>
      </c>
      <c r="BF303" t="s">
        <v>5</v>
      </c>
      <c r="BG303" t="s">
        <v>5</v>
      </c>
      <c r="BH303" t="s">
        <v>5</v>
      </c>
      <c r="BI303" t="s">
        <v>5</v>
      </c>
      <c r="BJ303" t="s">
        <v>3</v>
      </c>
      <c r="BK303" t="s">
        <v>5</v>
      </c>
      <c r="BL303" t="s">
        <v>2</v>
      </c>
      <c r="BM303" t="s">
        <v>2</v>
      </c>
      <c r="BN303" t="s">
        <v>3</v>
      </c>
      <c r="BO303" t="s">
        <v>4</v>
      </c>
      <c r="BP303" t="s">
        <v>4</v>
      </c>
      <c r="BQ303" t="s">
        <v>4</v>
      </c>
      <c r="BR303" t="s">
        <v>4</v>
      </c>
      <c r="BS303" t="s">
        <v>4</v>
      </c>
      <c r="BT303" t="s">
        <v>4</v>
      </c>
      <c r="BU303" t="s">
        <v>3</v>
      </c>
      <c r="BV303" t="s">
        <v>4</v>
      </c>
      <c r="BW303" t="s">
        <v>3</v>
      </c>
      <c r="BX303" t="s">
        <v>3</v>
      </c>
      <c r="BY303" t="s">
        <v>4</v>
      </c>
      <c r="BZ303" t="s">
        <v>3</v>
      </c>
      <c r="CA303" t="s">
        <v>3</v>
      </c>
    </row>
    <row r="304" spans="41:79">
      <c r="AO304" s="69" t="s">
        <v>504</v>
      </c>
      <c r="AP304" s="69"/>
      <c r="AQ304">
        <f>'Data Training 1'!AW22*'Data Training 1'!AT34*'Data Training 1'!AT40*'Data Training 1'!AT44*'Data Training 1'!AT52*'Data Training 1'!AT58*'Data Training 1'!AT64*'Data Training 1'!AT70*'Data Training 1'!AT75*'Data Training 1'!AT81*'Data Training 1'!AT85*'Data Training 1'!AT91*'Data Training 1'!AT97*'Data Training 1'!AT106*'Data Training 1'!AT109*'Data Training 1'!AT124*'Data Training 1'!AT118*'Data Training 1'!AT130*'Data Training 1'!AT136*'Data Training 1'!AT140*'Data Training 1'!AT148*'Data Training 1'!AT153*'Data Training 1'!AT159*'Data Training 1'!AT164*'Data Training 1'!AT167*'Data Training 1'!AT171*'Data Training 1'!AT175*'Data Training 1'!AT179*'Data Training 1'!AT183*'Data Training 1'!AT187*'Data Training 1'!AT192*'Data Training 1'!AT195*'Data Training 1'!AT200*'Data Training 1'!AT204*'Data Training 1'!AT207*'Data Training 1'!AT212*'Data Training 1'!AT216</f>
        <v>0</v>
      </c>
    </row>
    <row r="305" spans="41:79">
      <c r="AO305" s="69" t="s">
        <v>505</v>
      </c>
      <c r="AP305" s="69"/>
      <c r="AQ305">
        <f>'Data Training 1'!AW23*'Data Training 1'!AU34*'Data Training 1'!AU40*'Data Training 1'!AU44*'Data Training 1'!AU52*'Data Training 1'!AU58*'Data Training 1'!AU64*'Data Training 1'!AU70*'Data Training 1'!AU75*'Data Training 1'!AU81*'Data Training 1'!AU85*'Data Training 1'!AU91*'Data Training 1'!AU97*'Data Training 1'!AU106*'Data Training 1'!AU109*'Data Training 1'!AU124*'Data Training 1'!AU118*'Data Training 1'!AU130*'Data Training 1'!AU136*'Data Training 1'!AU140*'Data Training 1'!AU148*'Data Training 1'!AU153*'Data Training 1'!AU159*'Data Training 1'!AU164*'Data Training 1'!AU167*'Data Training 1'!AU171*'Data Training 1'!AU175*'Data Training 1'!AU179*'Data Training 1'!AU183*'Data Training 1'!AU187*'Data Training 1'!AU192*'Data Training 1'!AU195*'Data Training 1'!AU200*'Data Training 1'!AU204*'Data Training 1'!AU207*'Data Training 1'!AU212*'Data Training 1'!AU216</f>
        <v>0</v>
      </c>
    </row>
    <row r="306" spans="41:79">
      <c r="AO306" s="69" t="s">
        <v>506</v>
      </c>
      <c r="AP306" s="69"/>
      <c r="AQ306">
        <f>'Data Training 1'!AW24*'Data Training 1'!AV34*'Data Training 1'!AV40*'Data Training 1'!AV44*'Data Training 1'!AV52*'Data Training 1'!AV58*'Data Training 1'!AV64*'Data Training 1'!AV70*'Data Training 1'!AV75*'Data Training 1'!AV81*'Data Training 1'!AV85*'Data Training 1'!AV91*'Data Training 1'!AV97*'Data Training 1'!AV106*'Data Training 1'!AV109*'Data Training 1'!AV124*'Data Training 1'!AV118*'Data Training 1'!AV130*'Data Training 1'!AV136*'Data Training 1'!AV140*'Data Training 1'!AV148*'Data Training 1'!AV153*'Data Training 1'!AV159*'Data Training 1'!AV164*'Data Training 1'!AV167*'Data Training 1'!AV171*'Data Training 1'!AV175*'Data Training 1'!AV179*'Data Training 1'!AV183*'Data Training 1'!AV187*'Data Training 1'!AV192*'Data Training 1'!AV195*'Data Training 1'!AV200*'Data Training 1'!AV204*'Data Training 1'!AV207*'Data Training 1'!AV212*'Data Training 1'!AV216</f>
        <v>0</v>
      </c>
    </row>
    <row r="307" spans="41:79">
      <c r="AO307" s="69" t="s">
        <v>507</v>
      </c>
      <c r="AP307" s="69"/>
      <c r="AQ307">
        <f>'Data Training 1'!AW25*'Data Training 1'!AW34*'Data Training 1'!AW40*'Data Training 1'!AW44*'Data Training 1'!AW52*'Data Training 1'!AW58*'Data Training 1'!AW64*'Data Training 1'!AW70*'Data Training 1'!AW75*'Data Training 1'!AW81*'Data Training 1'!AW85*'Data Training 1'!AW91*'Data Training 1'!AW97*'Data Training 1'!AW106*'Data Training 1'!AW109*'Data Training 1'!AW124*'Data Training 1'!AW118*'Data Training 1'!AW130*'Data Training 1'!AW136*'Data Training 1'!AW140*'Data Training 1'!AW148*'Data Training 1'!AW153*'Data Training 1'!AW159*'Data Training 1'!AW164*'Data Training 1'!AW167*'Data Training 1'!AW171*'Data Training 1'!AW175*'Data Training 1'!AW179*'Data Training 1'!AW183*'Data Training 1'!AW187*'Data Training 1'!AW192*'Data Training 1'!AW195*'Data Training 1'!AW200*'Data Training 1'!AW204*'Data Training 1'!AW207*'Data Training 1'!AW212*'Data Training 1'!AW216</f>
        <v>0</v>
      </c>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spans="41:79">
      <c r="AO308" s="69" t="s">
        <v>508</v>
      </c>
      <c r="AP308" s="69"/>
      <c r="AQ308">
        <f>'Data Training 1'!AW26*'Data Training 1'!AX34*'Data Training 1'!AX40*'Data Training 1'!AX44*'Data Training 1'!AX52*'Data Training 1'!AX58*'Data Training 1'!AX64*'Data Training 1'!AX70*'Data Training 1'!AX75*'Data Training 1'!AX81*'Data Training 1'!AX85*'Data Training 1'!AX91*'Data Training 1'!AX97*'Data Training 1'!AX106*'Data Training 1'!AX109*'Data Training 1'!AX124*'Data Training 1'!AX118*'Data Training 1'!AX130*'Data Training 1'!AX136*'Data Training 1'!AX140*'Data Training 1'!AX148*'Data Training 1'!AX153*'Data Training 1'!AX159*'Data Training 1'!AX164*'Data Training 1'!AX167*'Data Training 1'!AX171*'Data Training 1'!AX175*'Data Training 1'!AX179*'Data Training 1'!AX183*'Data Training 1'!AX187*'Data Training 1'!AX192*'Data Training 1'!AX195*'Data Training 1'!AX200*'Data Training 1'!AX204*'Data Training 1'!AX207*'Data Training 1'!AX212*'Data Training 1'!AX216</f>
        <v>0</v>
      </c>
    </row>
    <row r="309" spans="41:79">
      <c r="AO309" s="69" t="s">
        <v>509</v>
      </c>
      <c r="AP309" s="69"/>
      <c r="AQ309">
        <f>'Data Training 1'!AW27*'Data Training 1'!AY34*'Data Training 1'!AY40*'Data Training 1'!AY44*'Data Training 1'!AY52*'Data Training 1'!AY58*'Data Training 1'!AY64*'Data Training 1'!AY70*'Data Training 1'!AY75*'Data Training 1'!AY81*'Data Training 1'!AY85*'Data Training 1'!AY91*'Data Training 1'!AY97*'Data Training 1'!AY106*'Data Training 1'!AY109*'Data Training 1'!AY124*'Data Training 1'!AY118*'Data Training 1'!AY130*'Data Training 1'!AY136*'Data Training 1'!AY140*'Data Training 1'!AY148*'Data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8.0676633549346722E-10</v>
      </c>
    </row>
    <row r="310" spans="41:79">
      <c r="AO310" s="78" t="s">
        <v>437</v>
      </c>
      <c r="AP310" s="78"/>
      <c r="AQ310" t="s">
        <v>298</v>
      </c>
      <c r="AR310" s="74" t="s">
        <v>438</v>
      </c>
      <c r="AS310" s="74"/>
      <c r="AT310" s="74"/>
    </row>
    <row r="312" spans="41:79">
      <c r="AO312" s="79" t="s">
        <v>327</v>
      </c>
      <c r="AP312" s="79"/>
      <c r="AQ312" s="20" t="s">
        <v>64</v>
      </c>
      <c r="AR312" s="1" t="s">
        <v>43</v>
      </c>
      <c r="AS312" s="1" t="s">
        <v>44</v>
      </c>
      <c r="AT312" s="1" t="s">
        <v>45</v>
      </c>
      <c r="AU312" s="1" t="s">
        <v>46</v>
      </c>
      <c r="AV312" s="1" t="s">
        <v>47</v>
      </c>
      <c r="AW312" s="1" t="s">
        <v>48</v>
      </c>
      <c r="AX312" s="1" t="s">
        <v>49</v>
      </c>
      <c r="AY312" s="1" t="s">
        <v>50</v>
      </c>
      <c r="AZ312" s="1" t="s">
        <v>51</v>
      </c>
      <c r="BA312" s="1" t="s">
        <v>52</v>
      </c>
      <c r="BB312" s="1" t="s">
        <v>53</v>
      </c>
      <c r="BC312" s="1" t="s">
        <v>54</v>
      </c>
      <c r="BD312" s="1" t="s">
        <v>55</v>
      </c>
      <c r="BE312" s="1" t="s">
        <v>56</v>
      </c>
      <c r="BF312" s="1" t="s">
        <v>57</v>
      </c>
      <c r="BG312" s="1" t="s">
        <v>58</v>
      </c>
      <c r="BH312" s="1" t="s">
        <v>59</v>
      </c>
      <c r="BI312" s="1" t="s">
        <v>60</v>
      </c>
      <c r="BJ312" s="1" t="s">
        <v>61</v>
      </c>
      <c r="BK312" s="1" t="s">
        <v>62</v>
      </c>
      <c r="BL312" s="1" t="s">
        <v>63</v>
      </c>
      <c r="BM312" s="1" t="s">
        <v>330</v>
      </c>
      <c r="BN312" s="1" t="s">
        <v>331</v>
      </c>
      <c r="BO312" s="1" t="s">
        <v>332</v>
      </c>
      <c r="BP312" s="1" t="s">
        <v>333</v>
      </c>
      <c r="BQ312" s="1" t="s">
        <v>334</v>
      </c>
      <c r="BR312" s="1" t="s">
        <v>335</v>
      </c>
      <c r="BS312" s="1" t="s">
        <v>336</v>
      </c>
      <c r="BT312" s="1" t="s">
        <v>337</v>
      </c>
      <c r="BU312" s="1" t="s">
        <v>338</v>
      </c>
      <c r="BV312" s="1" t="s">
        <v>339</v>
      </c>
      <c r="BW312" s="1" t="s">
        <v>340</v>
      </c>
      <c r="BX312" s="1" t="s">
        <v>341</v>
      </c>
      <c r="BY312" s="1" t="s">
        <v>342</v>
      </c>
      <c r="BZ312" s="1" t="s">
        <v>343</v>
      </c>
      <c r="CA312" s="1" t="s">
        <v>390</v>
      </c>
    </row>
    <row r="313" spans="41:79">
      <c r="AO313" s="79"/>
      <c r="AP313" s="79"/>
      <c r="AQ313" s="20">
        <v>6</v>
      </c>
      <c r="AR313" t="s">
        <v>4</v>
      </c>
      <c r="AS313" t="s">
        <v>5</v>
      </c>
      <c r="AT313" t="s">
        <v>2</v>
      </c>
      <c r="AU313" t="s">
        <v>5</v>
      </c>
      <c r="AV313" t="s">
        <v>5</v>
      </c>
      <c r="AW313" t="s">
        <v>5</v>
      </c>
      <c r="AX313" t="s">
        <v>2</v>
      </c>
      <c r="AY313" t="s">
        <v>2</v>
      </c>
      <c r="AZ313" t="s">
        <v>2</v>
      </c>
      <c r="BA313" t="s">
        <v>4</v>
      </c>
      <c r="BB313" t="s">
        <v>2</v>
      </c>
      <c r="BC313" t="s">
        <v>5</v>
      </c>
      <c r="BD313" t="s">
        <v>5</v>
      </c>
      <c r="BE313" t="s">
        <v>4</v>
      </c>
      <c r="BF313" t="s">
        <v>5</v>
      </c>
      <c r="BG313" t="s">
        <v>5</v>
      </c>
      <c r="BH313" t="s">
        <v>5</v>
      </c>
      <c r="BI313" t="s">
        <v>5</v>
      </c>
      <c r="BJ313" t="s">
        <v>5</v>
      </c>
      <c r="BK313" t="s">
        <v>4</v>
      </c>
      <c r="BL313" t="s">
        <v>3</v>
      </c>
      <c r="BM313" t="s">
        <v>2</v>
      </c>
      <c r="BN313" t="s">
        <v>3</v>
      </c>
      <c r="BO313" t="s">
        <v>4</v>
      </c>
      <c r="BP313" t="s">
        <v>4</v>
      </c>
      <c r="BQ313" t="s">
        <v>4</v>
      </c>
      <c r="BR313" t="s">
        <v>3</v>
      </c>
      <c r="BS313" t="s">
        <v>4</v>
      </c>
      <c r="BT313" t="s">
        <v>3</v>
      </c>
      <c r="BU313" t="s">
        <v>3</v>
      </c>
      <c r="BV313" t="s">
        <v>3</v>
      </c>
      <c r="BW313" t="s">
        <v>3</v>
      </c>
      <c r="BX313" t="s">
        <v>3</v>
      </c>
      <c r="BY313" t="s">
        <v>3</v>
      </c>
      <c r="BZ313" t="s">
        <v>3</v>
      </c>
      <c r="CA313" t="s">
        <v>3</v>
      </c>
    </row>
    <row r="314" spans="41:79">
      <c r="AO314" s="69" t="s">
        <v>504</v>
      </c>
      <c r="AP314" s="69"/>
      <c r="AQ314">
        <f>'Data Training 1'!AW22*'Data Training 1'!AT31*'Data Training 1'!AT40*'Data Training 1'!AT45*'Data Training 1'!AT52*'Data Training 1'!AT58*'Data Training 1'!AT64*'Data Training 1'!AT69*'Data Training 1'!AT75*'Data Training 1'!AT81*'Data Training 1'!AT85*'Data Training 1'!AT93*'Data Training 1'!AT100*'Data Training 1'!AT106*'Data Training 1'!AT109*'Data Training 1'!AT118*'Data Training 1'!AT124*'Data Training 1'!AT130*'Data Training 1'!AT136*'Data Training 1'!AT142*'Data Training 1'!AT145*'Data Training 1'!AT152*'Data Training 1'!AT159*'Data Training 1'!AT164*'Data Training 1'!AT167*'Data Training 1'!AT171*'Data Training 1'!AT175*'Data Training 1'!AT180*'Data Training 1'!AT183*'Data Training 1'!AT188*'Data Training 1'!AT192*'Data Training 1'!AT196*'Data Training 1'!AT200*'Data Training 1'!AT204*'Data Training 1'!AT208*'Data Training 1'!AT212*'Data Training 1'!AT216</f>
        <v>0</v>
      </c>
    </row>
    <row r="315" spans="41:79">
      <c r="AO315" s="69" t="s">
        <v>505</v>
      </c>
      <c r="AP315" s="69"/>
      <c r="AQ315">
        <f>'Data Training 1'!AW23*'Data Training 1'!AU31*'Data Training 1'!AU40*'Data Training 1'!AU45*'Data Training 1'!AU52*'Data Training 1'!AU58*'Data Training 1'!AU64*'Data Training 1'!AU69*'Data Training 1'!AU75*'Data Training 1'!AU81*'Data Training 1'!AU85*'Data Training 1'!AU93*'Data Training 1'!AU100*'Data Training 1'!AU106*'Data Training 1'!AU109*'Data Training 1'!AU118*'Data Training 1'!AU124*'Data Training 1'!AU130*'Data Training 1'!AU136*'Data Training 1'!AU142*'Data Training 1'!AU145*'Data Training 1'!AU152*'Data Training 1'!AU159*'Data Training 1'!AU164*'Data Training 1'!AU167*'Data Training 1'!AU171*'Data Training 1'!AU175*'Data Training 1'!AU180*'Data Training 1'!AU183*'Data Training 1'!AU188*'Data Training 1'!AU192*'Data Training 1'!AU196*'Data Training 1'!AU200*'Data Training 1'!AU204*'Data Training 1'!AU208*'Data Training 1'!AU212*'Data Training 1'!AU216</f>
        <v>0</v>
      </c>
    </row>
    <row r="316" spans="41:79">
      <c r="AO316" s="69" t="s">
        <v>506</v>
      </c>
      <c r="AP316" s="69"/>
      <c r="AQ316">
        <f>'Data Training 1'!AW24*'Data Training 1'!AV31*'Data Training 1'!AV40*'Data Training 1'!AV45*'Data Training 1'!AV52*'Data Training 1'!AV58*'Data Training 1'!AV64*'Data Training 1'!AV69*'Data Training 1'!AV75*'Data Training 1'!AV81*'Data Training 1'!AV85*'Data Training 1'!AV93*'Data Training 1'!AV100*'Data Training 1'!AV106*'Data Training 1'!AV109*'Data Training 1'!AV118*'Data Training 1'!AV124*'Data Training 1'!AV130*'Data Training 1'!AV136*'Data Training 1'!AV142*'Data Training 1'!AV145*'Data Training 1'!AV152*'Data Training 1'!AV159*'Data Training 1'!AV164*'Data Training 1'!AV167*'Data Training 1'!AV171*'Data Training 1'!AV175*'Data Training 1'!AV180*'Data Training 1'!AV183*'Data Training 1'!AV188*'Data Training 1'!AV192*'Data Training 1'!AV196*'Data Training 1'!AV200*'Data Training 1'!AV204*'Data Training 1'!AV208*'Data Training 1'!AV212*'Data Training 1'!AV216</f>
        <v>0</v>
      </c>
    </row>
    <row r="317" spans="41:79">
      <c r="AO317" s="69" t="s">
        <v>507</v>
      </c>
      <c r="AP317" s="69"/>
      <c r="AQ317">
        <f>'Data Training 1'!AW25*'Data Training 1'!AW31*'Data Training 1'!AW40*'Data Training 1'!AW45*'Data Training 1'!AW52*'Data Training 1'!AW58*'Data Training 1'!AW64*'Data Training 1'!AW69*'Data Training 1'!AW75*'Data Training 1'!AW81*'Data Training 1'!AW85*'Data Training 1'!AW93*'Data Training 1'!AW100*'Data Training 1'!AW106*'Data Training 1'!AW109*'Data Training 1'!AW118*'Data Training 1'!AW124*'Data Training 1'!AW130*'Data Training 1'!AW136*'Data Training 1'!AW142*'Data Training 1'!AW145*'Data Training 1'!AW152*'Data Training 1'!AW159*'Data Training 1'!AW164*'Data Training 1'!AW167*'Data Training 1'!AW171*'Data Training 1'!AW175*'Data Training 1'!AW180*'Data Training 1'!AW183*'Data Training 1'!AW188*'Data Training 1'!AW192*'Data Training 1'!AW196*'Data Training 1'!AW200*'Data Training 1'!AW204*'Data Training 1'!AW208*'Data Training 1'!AW212*'Data Training 1'!AW216</f>
        <v>0</v>
      </c>
    </row>
    <row r="318" spans="41:79">
      <c r="AO318" s="69" t="s">
        <v>508</v>
      </c>
      <c r="AP318" s="69"/>
      <c r="AQ318">
        <f>'Data Training 1'!AW26*'Data Training 1'!AX31*'Data Training 1'!AX40*'Data Training 1'!AX45*'Data Training 1'!AX52*'Data Training 1'!AX58*'Data Training 1'!AX64*'Data Training 1'!AX69*'Data Training 1'!AX75*'Data Training 1'!AX81*'Data Training 1'!AX85*'Data Training 1'!AX93*'Data Training 1'!AX100*'Data Training 1'!AX106*'Data Training 1'!AX109*'Data Training 1'!AX118*'Data Training 1'!AX124*'Data Training 1'!AX130*'Data Training 1'!AX136*'Data Training 1'!AX142*'Data Training 1'!AX145*'Data Training 1'!AX152*'Data Training 1'!AX159*'Data Training 1'!AX164*'Data Training 1'!AX167*'Data Training 1'!AX171*'Data Training 1'!AX175*'Data Training 1'!AX180*'Data Training 1'!AX183*'Data Training 1'!AX188*'Data Training 1'!AX192*'Data Training 1'!AX196*'Data Training 1'!AX200*'Data Training 1'!AX204*'Data Training 1'!AX208*'Data Training 1'!AX212*'Data Training 1'!AX216</f>
        <v>0</v>
      </c>
    </row>
    <row r="319" spans="41:79">
      <c r="AO319" s="69" t="s">
        <v>509</v>
      </c>
      <c r="AP319" s="69"/>
      <c r="AQ319">
        <f>'Data Training 1'!AW27*'Data Training 1'!AY31*'Data Training 1'!AY40*'Data Training 1'!AY45*'Data Training 1'!AY52*'Data Training 1'!AY58*'Data Training 1'!AY64*'Data Training 1'!AY69*'Data Training 1'!AY75*'Data Training 1'!AY81*'Data Training 1'!AY85*'Data Training 1'!AY93*'Data Training 1'!AY100*'Data Training 1'!AY106*'Data Training 1'!AY109*'Data Training 1'!AY118*'Data Training 1'!AY124*'Data Training 1'!AY130*'Data Training 1'!AY136*'Data Training 1'!AY142*'Data Training 1'!AY145*'Data Training 1'!AY152*'Data Training 1'!AY159*'Data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1.6408277097135984E-12</v>
      </c>
    </row>
    <row r="320" spans="41:79">
      <c r="AO320" s="78" t="s">
        <v>437</v>
      </c>
      <c r="AP320" s="78"/>
      <c r="AQ320" t="s">
        <v>298</v>
      </c>
      <c r="AR320" s="74" t="s">
        <v>438</v>
      </c>
      <c r="AS320" s="74"/>
      <c r="AT320" s="74"/>
    </row>
    <row r="322" spans="41:79">
      <c r="AO322" s="79" t="s">
        <v>328</v>
      </c>
      <c r="AP322" s="79"/>
      <c r="AQ322" s="20" t="s">
        <v>64</v>
      </c>
      <c r="AR322" s="1" t="s">
        <v>43</v>
      </c>
      <c r="AS322" s="1" t="s">
        <v>44</v>
      </c>
      <c r="AT322" s="1" t="s">
        <v>45</v>
      </c>
      <c r="AU322" s="1" t="s">
        <v>46</v>
      </c>
      <c r="AV322" s="1" t="s">
        <v>47</v>
      </c>
      <c r="AW322" s="1" t="s">
        <v>48</v>
      </c>
      <c r="AX322" s="1" t="s">
        <v>49</v>
      </c>
      <c r="AY322" s="1" t="s">
        <v>50</v>
      </c>
      <c r="AZ322" s="1" t="s">
        <v>51</v>
      </c>
      <c r="BA322" s="1" t="s">
        <v>52</v>
      </c>
      <c r="BB322" s="1" t="s">
        <v>53</v>
      </c>
      <c r="BC322" s="1" t="s">
        <v>54</v>
      </c>
      <c r="BD322" s="1" t="s">
        <v>55</v>
      </c>
      <c r="BE322" s="1" t="s">
        <v>56</v>
      </c>
      <c r="BF322" s="1" t="s">
        <v>57</v>
      </c>
      <c r="BG322" s="1" t="s">
        <v>58</v>
      </c>
      <c r="BH322" s="1" t="s">
        <v>59</v>
      </c>
      <c r="BI322" s="1" t="s">
        <v>60</v>
      </c>
      <c r="BJ322" s="1" t="s">
        <v>61</v>
      </c>
      <c r="BK322" s="1" t="s">
        <v>62</v>
      </c>
      <c r="BL322" s="1" t="s">
        <v>63</v>
      </c>
      <c r="BM322" s="1" t="s">
        <v>330</v>
      </c>
      <c r="BN322" s="1" t="s">
        <v>331</v>
      </c>
      <c r="BO322" s="1" t="s">
        <v>332</v>
      </c>
      <c r="BP322" s="1" t="s">
        <v>333</v>
      </c>
      <c r="BQ322" s="1" t="s">
        <v>334</v>
      </c>
      <c r="BR322" s="1" t="s">
        <v>335</v>
      </c>
      <c r="BS322" s="1" t="s">
        <v>336</v>
      </c>
      <c r="BT322" s="1" t="s">
        <v>337</v>
      </c>
      <c r="BU322" s="1" t="s">
        <v>338</v>
      </c>
      <c r="BV322" s="1" t="s">
        <v>339</v>
      </c>
      <c r="BW322" s="1" t="s">
        <v>340</v>
      </c>
      <c r="BX322" s="1" t="s">
        <v>341</v>
      </c>
      <c r="BY322" s="1" t="s">
        <v>342</v>
      </c>
      <c r="BZ322" s="1" t="s">
        <v>343</v>
      </c>
      <c r="CA322" s="1" t="s">
        <v>390</v>
      </c>
    </row>
    <row r="323" spans="41:79">
      <c r="AO323" s="79"/>
      <c r="AP323" s="79"/>
      <c r="AQ323" s="20">
        <v>6</v>
      </c>
      <c r="AR323" t="s">
        <v>5</v>
      </c>
      <c r="AS323" t="s">
        <v>5</v>
      </c>
      <c r="AT323" t="s">
        <v>3</v>
      </c>
      <c r="AU323" t="s">
        <v>2</v>
      </c>
      <c r="AV323" t="s">
        <v>5</v>
      </c>
      <c r="AW323" t="s">
        <v>5</v>
      </c>
      <c r="AX323" t="s">
        <v>5</v>
      </c>
      <c r="AY323" t="s">
        <v>5</v>
      </c>
      <c r="AZ323" t="s">
        <v>2</v>
      </c>
      <c r="BA323" t="s">
        <v>4</v>
      </c>
      <c r="BB323" t="s">
        <v>4</v>
      </c>
      <c r="BC323" t="s">
        <v>2</v>
      </c>
      <c r="BD323" t="s">
        <v>5</v>
      </c>
      <c r="BE323" t="s">
        <v>2</v>
      </c>
      <c r="BF323" t="s">
        <v>2</v>
      </c>
      <c r="BG323" t="s">
        <v>5</v>
      </c>
      <c r="BH323" t="s">
        <v>3</v>
      </c>
      <c r="BI323" t="s">
        <v>5</v>
      </c>
      <c r="BJ323" t="s">
        <v>3</v>
      </c>
      <c r="BK323" t="s">
        <v>2</v>
      </c>
      <c r="BL323" t="s">
        <v>2</v>
      </c>
      <c r="BM323" t="s">
        <v>5</v>
      </c>
      <c r="BN323" t="s">
        <v>3</v>
      </c>
      <c r="BO323" t="s">
        <v>4</v>
      </c>
      <c r="BP323" t="s">
        <v>4</v>
      </c>
      <c r="BQ323" t="s">
        <v>4</v>
      </c>
      <c r="BR323" t="s">
        <v>3</v>
      </c>
      <c r="BS323" t="s">
        <v>4</v>
      </c>
      <c r="BT323" t="s">
        <v>3</v>
      </c>
      <c r="BU323" t="s">
        <v>3</v>
      </c>
      <c r="BV323" t="s">
        <v>3</v>
      </c>
      <c r="BW323" t="s">
        <v>3</v>
      </c>
      <c r="BX323" t="s">
        <v>3</v>
      </c>
      <c r="BY323" t="s">
        <v>3</v>
      </c>
      <c r="BZ323" t="s">
        <v>3</v>
      </c>
      <c r="CA323" t="s">
        <v>3</v>
      </c>
    </row>
    <row r="324" spans="41:79">
      <c r="AO324" s="69" t="s">
        <v>504</v>
      </c>
      <c r="AP324" s="69"/>
      <c r="AQ324">
        <f>'Data Training 1'!AW22*'Data Training 1'!AT34*'Data Training 1'!AT40*'Data Training 1'!AT44*'Data Training 1'!AT51*'Data Training 1'!AT58*'Data Training 1'!AT64*'Data Training 1'!AT70*'Data Training 1'!AT76*'Data Training 1'!AT81*'Data Training 1'!AT85*'Data Training 1'!AT91*'Data Training 1'!AT99*'Data Training 1'!AT106*'Data Training 1'!AT111*'Data Training 1'!AT117*'Data Training 1'!AT124*'Data Training 1'!AT128*'Data Training 1'!AT136*'Data Training 1'!AT140*'Data Training 1'!AT147*'Data Training 1'!AT153*'Data Training 1'!AT160*'Data Training 1'!AT164*'Data Training 1'!AT167*'Data Training 1'!AT171*'Data Training 1'!AT175*'Data Training 1'!AT180*'Data Training 1'!AT183*'Data Training 1'!AT188*'Data Training 1'!AT192*'Data Training 1'!AT196*'Data Training 1'!AT200*'Data Training 1'!AT204*'Data Training 1'!AT208*'Data Training 1'!AT212*'Data Training 1'!AT216</f>
        <v>0</v>
      </c>
    </row>
    <row r="325" spans="41:79">
      <c r="AO325" s="69" t="s">
        <v>505</v>
      </c>
      <c r="AP325" s="69"/>
      <c r="AQ325">
        <f>'Data Training 1'!AW23*'Data Training 1'!AU34*'Data Training 1'!AU40*'Data Training 1'!AU44*'Data Training 1'!AU51*'Data Training 1'!AU58*'Data Training 1'!AU64*'Data Training 1'!AU70*'Data Training 1'!AU76*'Data Training 1'!AU81*'Data Training 1'!AU85*'Data Training 1'!AU91*'Data Training 1'!AU99*'Data Training 1'!AU106*'Data Training 1'!AU111*'Data Training 1'!AU117*'Data Training 1'!AU124*'Data Training 1'!AU128*'Data Training 1'!AU136*'Data Training 1'!AU140*'Data Training 1'!AU147*'Data Training 1'!AU153*'Data Training 1'!AU160*'Data Training 1'!AU164*'Data Training 1'!AU167*'Data Training 1'!AU171*'Data Training 1'!AU175*'Data Training 1'!AU180*'Data Training 1'!AU183*'Data Training 1'!AU188*'Data Training 1'!AU192*'Data Training 1'!AU196*'Data Training 1'!AU200*'Data Training 1'!AU204*'Data Training 1'!AU208*'Data Training 1'!AU212*'Data Training 1'!AU216</f>
        <v>0</v>
      </c>
    </row>
    <row r="326" spans="41:79">
      <c r="AO326" s="69" t="s">
        <v>506</v>
      </c>
      <c r="AP326" s="69"/>
      <c r="AQ326">
        <f>'Data Training 1'!AW24*'Data Training 1'!AV34*'Data Training 1'!AV40*'Data Training 1'!AV44*'Data Training 1'!AV51*'Data Training 1'!AV58*'Data Training 1'!AV64*'Data Training 1'!AV70*'Data Training 1'!AV76*'Data Training 1'!AV81*'Data Training 1'!AV85*'Data Training 1'!AV91*'Data Training 1'!AV99*'Data Training 1'!AV106*'Data Training 1'!AV111*'Data Training 1'!AV117*'Data Training 1'!AV124*'Data Training 1'!AV128*'Data Training 1'!AV136*'Data Training 1'!AV140*'Data Training 1'!AV147*'Data Training 1'!AV153*'Data Training 1'!AV160*'Data Training 1'!AV164*'Data Training 1'!AV167*'Data Training 1'!AV171*'Data Training 1'!AV175*'Data Training 1'!AV180*'Data Training 1'!AV183*'Data Training 1'!AV188*'Data Training 1'!AV192*'Data Training 1'!AV196*'Data Training 1'!AV200*'Data Training 1'!AV204*'Data Training 1'!AV208*'Data Training 1'!AV212*'Data Training 1'!AV216</f>
        <v>0</v>
      </c>
    </row>
    <row r="327" spans="41:79">
      <c r="AO327" s="69" t="s">
        <v>507</v>
      </c>
      <c r="AP327" s="69"/>
      <c r="AQ327">
        <f>'Data Training 1'!AW25*'Data Training 1'!AW34*'Data Training 1'!AW40*'Data Training 1'!AW44*'Data Training 1'!AW51*'Data Training 1'!AW58*'Data Training 1'!AW64*'Data Training 1'!AW70*'Data Training 1'!AW76*'Data Training 1'!AW81*'Data Training 1'!AW85*'Data Training 1'!AW91*'Data Training 1'!AW99*'Data Training 1'!AW106*'Data Training 1'!AW111*'Data Training 1'!AW117*'Data Training 1'!AW124*'Data Training 1'!AW128*'Data Training 1'!AW136*'Data Training 1'!AW140*'Data Training 1'!AW147*'Data Training 1'!AW153*'Data Training 1'!AW160*'Data Training 1'!AW164*'Data Training 1'!AW167*'Data Training 1'!AW171*'Data Training 1'!AW175*'Data Training 1'!AW180*'Data Training 1'!AW183*'Data Training 1'!AW188*'Data Training 1'!AW192*'Data Training 1'!AW196*'Data Training 1'!AW200*'Data Training 1'!AW204*'Data Training 1'!AW208*'Data Training 1'!AW212*'Data Training 1'!AW216</f>
        <v>0</v>
      </c>
    </row>
    <row r="328" spans="41:79">
      <c r="AO328" s="69" t="s">
        <v>508</v>
      </c>
      <c r="AP328" s="69"/>
      <c r="AQ328">
        <f>'Data Training 1'!AW26*'Data Training 1'!AX34*'Data Training 1'!AX40*'Data Training 1'!AX44*'Data Training 1'!AX51*'Data Training 1'!AX58*'Data Training 1'!AX64*'Data Training 1'!AX70*'Data Training 1'!AX76*'Data Training 1'!AX81*'Data Training 1'!AX85*'Data Training 1'!AX91*'Data Training 1'!AX99*'Data Training 1'!AX106*'Data Training 1'!AX111*'Data Training 1'!AX117*'Data Training 1'!AX124*'Data Training 1'!AX128*'Data Training 1'!AX136*'Data Training 1'!AX140*'Data Training 1'!AX147*'Data Training 1'!AX153*'Data Training 1'!AX160*'Data Training 1'!AX164*'Data Training 1'!AX167*'Data Training 1'!AX171*'Data Training 1'!AX175*'Data Training 1'!AX180*'Data Training 1'!AX183*'Data Training 1'!AX188*'Data Training 1'!AX192*'Data Training 1'!AX196*'Data Training 1'!AX200*'Data Training 1'!AX204*'Data Training 1'!AX208*'Data Training 1'!AX212*'Data Training 1'!AX216</f>
        <v>0</v>
      </c>
    </row>
    <row r="329" spans="41:79">
      <c r="AO329" s="69" t="s">
        <v>509</v>
      </c>
      <c r="AP329" s="69"/>
      <c r="AQ329">
        <f>'Data Training 1'!AW27*'Data Training 1'!AY34*'Data Training 1'!AY40*'Data Training 1'!AY44*'Data Training 1'!AY51*'Data Training 1'!AY58*'Data Training 1'!AY64*'Data Training 1'!AY70*'Data Training 1'!AY76*'Data Training 1'!AY81*'Data Training 1'!AY85*'Data Training 1'!AY91*'Data Training 1'!AY99*'Data Training 1'!AY106*'Data Training 1'!AY111*'Data Training 1'!AY117*'Data Training 1'!AY124*'Data Training 1'!AY128*'Data Training 1'!AY136*'Data Training 1'!AY140*'Data Training 1'!AY147*'Data Training 1'!AY153*'Data Training 1'!AY160*'Data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4.2092742272595132E-14</v>
      </c>
    </row>
    <row r="330" spans="41:79">
      <c r="AO330" s="78" t="s">
        <v>437</v>
      </c>
      <c r="AP330" s="78"/>
      <c r="AQ330" t="s">
        <v>298</v>
      </c>
      <c r="AR330" s="74" t="s">
        <v>438</v>
      </c>
      <c r="AS330" s="74"/>
      <c r="AT330" s="74"/>
    </row>
    <row r="332" spans="41:79">
      <c r="AO332" s="79" t="s">
        <v>475</v>
      </c>
      <c r="AP332" s="79"/>
      <c r="AQ332" s="20" t="s">
        <v>64</v>
      </c>
      <c r="AR332" s="1" t="s">
        <v>43</v>
      </c>
      <c r="AS332" s="1" t="s">
        <v>44</v>
      </c>
      <c r="AT332" s="1" t="s">
        <v>45</v>
      </c>
      <c r="AU332" s="1" t="s">
        <v>46</v>
      </c>
      <c r="AV332" s="1" t="s">
        <v>47</v>
      </c>
      <c r="AW332" s="1" t="s">
        <v>48</v>
      </c>
      <c r="AX332" s="1" t="s">
        <v>49</v>
      </c>
      <c r="AY332" s="1" t="s">
        <v>50</v>
      </c>
      <c r="AZ332" s="1" t="s">
        <v>51</v>
      </c>
      <c r="BA332" s="1" t="s">
        <v>52</v>
      </c>
      <c r="BB332" s="1" t="s">
        <v>53</v>
      </c>
      <c r="BC332" s="1" t="s">
        <v>54</v>
      </c>
      <c r="BD332" s="1" t="s">
        <v>55</v>
      </c>
      <c r="BE332" s="1" t="s">
        <v>56</v>
      </c>
      <c r="BF332" s="1" t="s">
        <v>57</v>
      </c>
      <c r="BG332" s="1" t="s">
        <v>58</v>
      </c>
      <c r="BH332" s="1" t="s">
        <v>59</v>
      </c>
      <c r="BI332" s="1" t="s">
        <v>60</v>
      </c>
      <c r="BJ332" s="1" t="s">
        <v>61</v>
      </c>
      <c r="BK332" s="1" t="s">
        <v>62</v>
      </c>
      <c r="BL332" s="1" t="s">
        <v>63</v>
      </c>
      <c r="BM332" s="1" t="s">
        <v>330</v>
      </c>
      <c r="BN332" s="1" t="s">
        <v>331</v>
      </c>
      <c r="BO332" s="1" t="s">
        <v>332</v>
      </c>
      <c r="BP332" s="1" t="s">
        <v>333</v>
      </c>
      <c r="BQ332" s="1" t="s">
        <v>334</v>
      </c>
      <c r="BR332" s="1" t="s">
        <v>335</v>
      </c>
      <c r="BS332" s="1" t="s">
        <v>336</v>
      </c>
      <c r="BT332" s="1" t="s">
        <v>337</v>
      </c>
      <c r="BU332" s="1" t="s">
        <v>338</v>
      </c>
      <c r="BV332" s="1" t="s">
        <v>339</v>
      </c>
      <c r="BW332" s="1" t="s">
        <v>340</v>
      </c>
      <c r="BX332" s="1" t="s">
        <v>341</v>
      </c>
      <c r="BY332" s="1" t="s">
        <v>342</v>
      </c>
      <c r="BZ332" s="1" t="s">
        <v>343</v>
      </c>
      <c r="CA332" s="1" t="s">
        <v>390</v>
      </c>
    </row>
    <row r="333" spans="41:79">
      <c r="AO333" s="79"/>
      <c r="AP333" s="79"/>
      <c r="AQ333" s="20">
        <v>6</v>
      </c>
      <c r="AR333" t="s">
        <v>5</v>
      </c>
      <c r="AS333" t="s">
        <v>5</v>
      </c>
      <c r="AT333" t="s">
        <v>2</v>
      </c>
      <c r="AU333" t="s">
        <v>5</v>
      </c>
      <c r="AV333" t="s">
        <v>5</v>
      </c>
      <c r="AW333" t="s">
        <v>5</v>
      </c>
      <c r="AX333" t="s">
        <v>5</v>
      </c>
      <c r="AY333" t="s">
        <v>5</v>
      </c>
      <c r="AZ333" t="s">
        <v>2</v>
      </c>
      <c r="BA333" t="s">
        <v>4</v>
      </c>
      <c r="BB333" t="s">
        <v>4</v>
      </c>
      <c r="BC333" t="s">
        <v>5</v>
      </c>
      <c r="BD333" t="s">
        <v>2</v>
      </c>
      <c r="BE333" t="s">
        <v>3</v>
      </c>
      <c r="BF333" t="s">
        <v>5</v>
      </c>
      <c r="BG333" t="s">
        <v>5</v>
      </c>
      <c r="BH333" t="s">
        <v>3</v>
      </c>
      <c r="BI333" t="s">
        <v>5</v>
      </c>
      <c r="BJ333" t="s">
        <v>5</v>
      </c>
      <c r="BK333" t="s">
        <v>4</v>
      </c>
      <c r="BL333" t="s">
        <v>3</v>
      </c>
      <c r="BM333" t="s">
        <v>2</v>
      </c>
      <c r="BN333" t="s">
        <v>3</v>
      </c>
      <c r="BO333" t="s">
        <v>4</v>
      </c>
      <c r="BP333" t="s">
        <v>4</v>
      </c>
      <c r="BQ333" t="s">
        <v>3</v>
      </c>
      <c r="BR333" t="s">
        <v>4</v>
      </c>
      <c r="BS333" t="s">
        <v>4</v>
      </c>
      <c r="BT333" t="s">
        <v>4</v>
      </c>
      <c r="BU333" t="s">
        <v>3</v>
      </c>
      <c r="BV333" t="s">
        <v>4</v>
      </c>
      <c r="BW333" t="s">
        <v>3</v>
      </c>
      <c r="BX333" t="s">
        <v>4</v>
      </c>
      <c r="BY333" t="s">
        <v>4</v>
      </c>
      <c r="BZ333" t="s">
        <v>4</v>
      </c>
      <c r="CA333" t="s">
        <v>3</v>
      </c>
    </row>
    <row r="334" spans="41:79">
      <c r="AO334" s="69" t="s">
        <v>504</v>
      </c>
      <c r="AP334" s="69"/>
      <c r="AQ334">
        <f>PRODUCT('Data Training 1'!AW22,'Data Training 1'!AT34,'Data Training 1'!AT40,'Data Training 1'!AT45,'Data Training 1'!AT52,'Data Training 1'!AT58,'Data Training 1'!AT64,'Data Training 1'!AT70,'Data Training 1'!AT76,'Data Training 1'!AT81,'Data Training 1'!AT85,'Data Training 1'!AT91,'Data Training 1'!AT100,'Data Training 1'!AT105,'Data Training 1'!AT110,'Data Training 1'!AT118,'Data Training 1'!AT124,'Data Training 1'!AT128,'Data Training 1'!AT136,'Data Training 1'!AT142,'Data Training 1'!AT145,'Data Training 1'!AT152,'Data Training 1'!AT159,'Data Training 1'!AT164,'Data Training 1'!AT167,'Data Training 1'!AT171,'Data Training 1'!AT176,'Data Training 1'!AT179,'Data Training 1'!AT183,'Data Training 1'!AT187,'Data Training 1'!AT192,'Data Training 1'!AT195,'Data Training 1'!AT200,'Data Training 1'!AT203,'Data Training 1'!AT207,'Data Training 1'!AT211,'Data Training 1'!AT216)</f>
        <v>0</v>
      </c>
    </row>
    <row r="335" spans="41:79">
      <c r="AO335" s="69" t="s">
        <v>505</v>
      </c>
      <c r="AP335" s="69"/>
      <c r="AQ335" s="44">
        <f>PRODUCT('Data Training 1'!AW23,'Data Training 1'!AU34,'Data Training 1'!AU40,'Data Training 1'!AU45,'Data Training 1'!AU52,'Data Training 1'!AU58,'Data Training 1'!AU64,'Data Training 1'!AU70,'Data Training 1'!AU76,'Data Training 1'!AU81,'Data Training 1'!AU85,'Data Training 1'!AU91,'Data Training 1'!AU100,'Data Training 1'!AU105,'Data Training 1'!AU110,'Data Training 1'!AU118,'Data Training 1'!AU124,'Data Training 1'!AU128,'Data Training 1'!AU136,'Data Training 1'!AU142,'Data Training 1'!AU145,'Data Training 1'!AU152,'Data Training 1'!AU159,'Data Training 1'!AU164,'Data Training 1'!AU167,'Data Training 1'!AU171,'Data Training 1'!AU176,'Data Training 1'!AU179,'Data Training 1'!AU183,'Data Training 1'!AU187,'Data Training 1'!AU192,'Data Training 1'!AU195,'Data Training 1'!AU200,'Data Training 1'!AU203,'Data Training 1'!AU207,'Data Training 1'!AU211,'Data Training 1'!AU216)</f>
        <v>0</v>
      </c>
    </row>
    <row r="336" spans="41:79">
      <c r="AO336" s="69" t="s">
        <v>506</v>
      </c>
      <c r="AP336" s="69"/>
      <c r="AQ336" s="44">
        <f>PRODUCT('Data Training 1'!AW24,'Data Training 1'!AV34,'Data Training 1'!AV40,'Data Training 1'!AV45,'Data Training 1'!AV52,'Data Training 1'!AV58,'Data Training 1'!AV64,'Data Training 1'!AV70,'Data Training 1'!AV76,'Data Training 1'!AV81,'Data Training 1'!AV85,'Data Training 1'!AV91,'Data Training 1'!AV100,'Data Training 1'!AV105,'Data Training 1'!AV110,'Data Training 1'!AV118,'Data Training 1'!AV124,'Data Training 1'!AV128,'Data Training 1'!AV136,'Data Training 1'!AV142,'Data Training 1'!AV145,'Data Training 1'!AV152,'Data Training 1'!AV159,'Data Training 1'!AV164,'Data Training 1'!AV167,'Data Training 1'!AV171,'Data Training 1'!AV176,'Data Training 1'!AV179,'Data Training 1'!AV183,'Data Training 1'!AV187,'Data Training 1'!AV192,'Data Training 1'!AV195,'Data Training 1'!AV200,'Data Training 1'!AV203,'Data Training 1'!AV207,'Data Training 1'!AV211,'Data Training 1'!AV216)</f>
        <v>0</v>
      </c>
    </row>
    <row r="337" spans="41:79">
      <c r="AO337" s="69" t="s">
        <v>507</v>
      </c>
      <c r="AP337" s="69"/>
      <c r="AQ337" s="44">
        <f>PRODUCT('Data Training 1'!AW25,'Data Training 1'!AW34,'Data Training 1'!AW40,'Data Training 1'!AW45,'Data Training 1'!AW52,'Data Training 1'!AW58,'Data Training 1'!AW64,'Data Training 1'!AW70,'Data Training 1'!AW76,'Data Training 1'!AW81,'Data Training 1'!AW85,'Data Training 1'!AW91,'Data Training 1'!AW100,'Data Training 1'!AW105,'Data Training 1'!AW110,'Data Training 1'!AW118,'Data Training 1'!AW124,'Data Training 1'!AW128,'Data Training 1'!AW136,'Data Training 1'!AW142,'Data Training 1'!AW145,'Data Training 1'!AW152,'Data Training 1'!AW159,'Data Training 1'!AW164,'Data Training 1'!AW167,'Data Training 1'!AW171,'Data Training 1'!AW176,'Data Training 1'!AW179,'Data Training 1'!AW183,'Data Training 1'!AW187,'Data Training 1'!AW192,'Data Training 1'!AW195,'Data Training 1'!AW200,'Data Training 1'!AW203,'Data Training 1'!AW207,'Data Training 1'!AW211,'Data Training 1'!AW216)</f>
        <v>0</v>
      </c>
    </row>
    <row r="338" spans="41:79">
      <c r="AO338" s="69" t="s">
        <v>508</v>
      </c>
      <c r="AP338" s="69"/>
      <c r="AQ338" s="44">
        <f>PRODUCT('Data Training 1'!AW26,'Data Training 1'!AX34,'Data Training 1'!AX40,'Data Training 1'!AX45,'Data Training 1'!AX52,'Data Training 1'!AX58,'Data Training 1'!AX64,'Data Training 1'!AX70,'Data Training 1'!AX76,'Data Training 1'!AX81,'Data Training 1'!AX85,'Data Training 1'!AX91,'Data Training 1'!AX100,'Data Training 1'!AX105,'Data Training 1'!AX110,'Data Training 1'!AX118,'Data Training 1'!AX124,'Data Training 1'!AX128,'Data Training 1'!AX136,'Data Training 1'!AX142,'Data Training 1'!AX145,'Data Training 1'!AX152,'Data Training 1'!AX159,'Data Training 1'!AX164,'Data Training 1'!AX167,'Data Training 1'!AX171,'Data Training 1'!AX176,'Data Training 1'!AX179,'Data Training 1'!AX183,'Data Training 1'!AX187,'Data Training 1'!AX192,'Data Training 1'!AX195,'Data Training 1'!AX200,'Data Training 1'!AX203,'Data Training 1'!AX207,'Data Training 1'!AX211,'Data Training 1'!AX216)</f>
        <v>0</v>
      </c>
    </row>
    <row r="339" spans="41:79">
      <c r="AO339" s="69" t="s">
        <v>509</v>
      </c>
      <c r="AP339" s="69"/>
      <c r="AQ339" s="44">
        <f>PRODUCT('Data Training 1'!AW27,'Data Training 1'!AY34,'Data Training 1'!AY40,'Data Training 1'!AY45,'Data Training 1'!AY52,'Data Training 1'!AY58,'Data Training 1'!AY64,'Data Training 1'!AY70,'Data Training 1'!AY76,'Data Training 1'!AY81,'Data Training 1'!AY85,'Data Training 1'!AY91,'Data Training 1'!AY100,'Data Training 1'!AY105,'Data Training 1'!AY110,'Data Training 1'!AY118,'Data Training 1'!AY124,'Data Training 1'!AY128,'Data Training 1'!AY136,'Data Training 1'!AY142,'Data Training 1'!AY145,'Data Training 1'!AY152,'Data Training 1'!AY159,'Data Training 1'!AY164,'Data Training 1'!AY167,'Data Training 1'!AY171,'Data Training 1'!AY176,'Data Training 1'!AY179,'Data Training 1'!AY183,'Data Training 1'!AY187,'Data Training 1'!AY192,'Data Training 1'!AY195,'Data Training 1'!AY200,'Data Training 1'!AY203,'Data Training 1'!AY207,'Data Training 1'!AY211,'Data Training 1'!AY216)</f>
        <v>2.7381160477354036E-10</v>
      </c>
    </row>
    <row r="340" spans="41:79">
      <c r="AO340" s="78" t="s">
        <v>437</v>
      </c>
      <c r="AP340" s="78"/>
      <c r="AQ340" t="s">
        <v>298</v>
      </c>
      <c r="AR340" s="74" t="s">
        <v>438</v>
      </c>
      <c r="AS340" s="74"/>
      <c r="AT340" s="74"/>
    </row>
    <row r="342" spans="41:79">
      <c r="AO342" s="79" t="s">
        <v>477</v>
      </c>
      <c r="AP342" s="79"/>
      <c r="AQ342" s="20" t="s">
        <v>64</v>
      </c>
      <c r="AR342" s="1" t="s">
        <v>43</v>
      </c>
      <c r="AS342" s="1" t="s">
        <v>44</v>
      </c>
      <c r="AT342" s="1" t="s">
        <v>45</v>
      </c>
      <c r="AU342" s="1" t="s">
        <v>46</v>
      </c>
      <c r="AV342" s="1" t="s">
        <v>47</v>
      </c>
      <c r="AW342" s="1" t="s">
        <v>48</v>
      </c>
      <c r="AX342" s="1" t="s">
        <v>49</v>
      </c>
      <c r="AY342" s="1" t="s">
        <v>50</v>
      </c>
      <c r="AZ342" s="1" t="s">
        <v>51</v>
      </c>
      <c r="BA342" s="1" t="s">
        <v>52</v>
      </c>
      <c r="BB342" s="1" t="s">
        <v>53</v>
      </c>
      <c r="BC342" s="1" t="s">
        <v>54</v>
      </c>
      <c r="BD342" s="1" t="s">
        <v>55</v>
      </c>
      <c r="BE342" s="1" t="s">
        <v>56</v>
      </c>
      <c r="BF342" s="1" t="s">
        <v>57</v>
      </c>
      <c r="BG342" s="1" t="s">
        <v>58</v>
      </c>
      <c r="BH342" s="1" t="s">
        <v>59</v>
      </c>
      <c r="BI342" s="1" t="s">
        <v>60</v>
      </c>
      <c r="BJ342" s="1" t="s">
        <v>61</v>
      </c>
      <c r="BK342" s="1" t="s">
        <v>62</v>
      </c>
      <c r="BL342" s="1" t="s">
        <v>63</v>
      </c>
      <c r="BM342" s="1" t="s">
        <v>330</v>
      </c>
      <c r="BN342" s="1" t="s">
        <v>331</v>
      </c>
      <c r="BO342" s="1" t="s">
        <v>332</v>
      </c>
      <c r="BP342" s="1" t="s">
        <v>333</v>
      </c>
      <c r="BQ342" s="1" t="s">
        <v>334</v>
      </c>
      <c r="BR342" s="1" t="s">
        <v>335</v>
      </c>
      <c r="BS342" s="1" t="s">
        <v>336</v>
      </c>
      <c r="BT342" s="1" t="s">
        <v>337</v>
      </c>
      <c r="BU342" s="1" t="s">
        <v>338</v>
      </c>
      <c r="BV342" s="1" t="s">
        <v>339</v>
      </c>
      <c r="BW342" s="1" t="s">
        <v>340</v>
      </c>
      <c r="BX342" s="1" t="s">
        <v>341</v>
      </c>
      <c r="BY342" s="1" t="s">
        <v>342</v>
      </c>
      <c r="BZ342" s="1" t="s">
        <v>343</v>
      </c>
      <c r="CA342" s="1" t="s">
        <v>390</v>
      </c>
    </row>
    <row r="343" spans="41:79">
      <c r="AO343" s="79"/>
      <c r="AP343" s="79"/>
      <c r="AQ343" s="20">
        <v>6</v>
      </c>
      <c r="AR343" t="s">
        <v>5</v>
      </c>
      <c r="AS343" t="s">
        <v>5</v>
      </c>
      <c r="AT343" t="s">
        <v>3</v>
      </c>
      <c r="AU343" t="s">
        <v>5</v>
      </c>
      <c r="AV343" t="s">
        <v>5</v>
      </c>
      <c r="AW343" t="s">
        <v>5</v>
      </c>
      <c r="AX343" t="s">
        <v>5</v>
      </c>
      <c r="AY343" t="s">
        <v>2</v>
      </c>
      <c r="AZ343" t="s">
        <v>2</v>
      </c>
      <c r="BA343" t="s">
        <v>2</v>
      </c>
      <c r="BB343" t="s">
        <v>2</v>
      </c>
      <c r="BC343" t="s">
        <v>3</v>
      </c>
      <c r="BD343" t="s">
        <v>5</v>
      </c>
      <c r="BE343" t="s">
        <v>3</v>
      </c>
      <c r="BF343" t="s">
        <v>3</v>
      </c>
      <c r="BG343" t="s">
        <v>5</v>
      </c>
      <c r="BH343" t="s">
        <v>5</v>
      </c>
      <c r="BI343" t="s">
        <v>5</v>
      </c>
      <c r="BJ343" t="s">
        <v>2</v>
      </c>
      <c r="BK343" t="s">
        <v>3</v>
      </c>
      <c r="BL343" t="s">
        <v>4</v>
      </c>
      <c r="BM343" t="s">
        <v>4</v>
      </c>
      <c r="BN343" t="s">
        <v>3</v>
      </c>
      <c r="BO343" t="s">
        <v>4</v>
      </c>
      <c r="BP343" t="s">
        <v>4</v>
      </c>
      <c r="BQ343" t="s">
        <v>4</v>
      </c>
      <c r="BR343" t="s">
        <v>3</v>
      </c>
      <c r="BS343" t="s">
        <v>4</v>
      </c>
      <c r="BT343" t="s">
        <v>4</v>
      </c>
      <c r="BU343" t="s">
        <v>3</v>
      </c>
      <c r="BV343" t="s">
        <v>3</v>
      </c>
      <c r="BW343" t="s">
        <v>3</v>
      </c>
      <c r="BX343" t="s">
        <v>3</v>
      </c>
      <c r="BY343" t="s">
        <v>3</v>
      </c>
      <c r="BZ343" t="s">
        <v>3</v>
      </c>
      <c r="CA343" t="s">
        <v>3</v>
      </c>
    </row>
    <row r="344" spans="41:79">
      <c r="AO344" s="69" t="s">
        <v>504</v>
      </c>
      <c r="AP344" s="69"/>
      <c r="AQ344" s="44">
        <f>PRODUCT('Data Training 1'!AW22,'Data Training 1'!AT34,'Data Training 1'!AT40,'Data Training 1'!AT44,'Data Training 1'!AT52,'Data Training 1'!AT58,'Data Training 1'!AT64,'Data Training 1'!AT70,'Data Training 1'!AT75,'Data Training 1'!AT81,'Data Training 1'!AT87,'Data Training 1'!AT93,'Data Training 1'!AT98,'Data Training 1'!AT106,'Data Training 1'!AT110,'Data Training 1'!AT116,'Data Training 1'!AT124,'Data Training 1'!AT130,'Data Training 1'!AT136,'Data Training 1'!AT141,'Data Training 1'!AT146,'Data Training 1'!AT151,'Data Training 1'!AT157,'Data Training 1'!AT164,'Data Training 1'!AT167,'Data Training 1'!AT171,'Data Training 1'!AT175,'Data Training 1'!AT180,'Data Training 1'!AT183,'Data Training 1'!AT187,'Data Training 1'!AT192,'Data Training 1'!AT196,'Data Training 1'!AT200,'Data Training 1'!AT204,'Data Training 1'!AT208,'Data Training 1'!AT212,'Data Training 1'!AT216)</f>
        <v>0</v>
      </c>
    </row>
    <row r="345" spans="41:79">
      <c r="AO345" s="69" t="s">
        <v>505</v>
      </c>
      <c r="AP345" s="69"/>
      <c r="AQ345" s="44">
        <f>PRODUCT('Data Training 1'!AW23,'Data Training 1'!AU34,'Data Training 1'!AU40,'Data Training 1'!AU44,'Data Training 1'!AU52,'Data Training 1'!AU58,'Data Training 1'!AU64,'Data Training 1'!AU70,'Data Training 1'!AU75,'Data Training 1'!AU81,'Data Training 1'!AU87,'Data Training 1'!AU93,'Data Training 1'!AU98,'Data Training 1'!AU106,'Data Training 1'!AU110,'Data Training 1'!AU116,'Data Training 1'!AU124,'Data Training 1'!AU130,'Data Training 1'!AU136,'Data Training 1'!AU141,'Data Training 1'!AU146,'Data Training 1'!AU151,'Data Training 1'!AU157,'Data Training 1'!AU164,'Data Training 1'!AU167,'Data Training 1'!AU171,'Data Training 1'!AU175,'Data Training 1'!AU180,'Data Training 1'!AU183,'Data Training 1'!AU187,'Data Training 1'!AU192,'Data Training 1'!AU196,'Data Training 1'!AU200,'Data Training 1'!AU204,'Data Training 1'!AU208,'Data Training 1'!AU212,'Data Training 1'!AU216)</f>
        <v>0</v>
      </c>
    </row>
    <row r="346" spans="41:79">
      <c r="AO346" s="69" t="s">
        <v>506</v>
      </c>
      <c r="AP346" s="69"/>
      <c r="AQ346" s="44">
        <f>PRODUCT('Data Training 1'!AW24,'Data Training 1'!AV34,'Data Training 1'!AV40,'Data Training 1'!AV44,'Data Training 1'!AV52,'Data Training 1'!AV58,'Data Training 1'!AV64,'Data Training 1'!AV70,'Data Training 1'!AV75,'Data Training 1'!AV81,'Data Training 1'!AV87,'Data Training 1'!AV93,'Data Training 1'!AV98,'Data Training 1'!AV106,'Data Training 1'!AV110,'Data Training 1'!AV116,'Data Training 1'!AV124,'Data Training 1'!AV130,'Data Training 1'!AV136,'Data Training 1'!AV141,'Data Training 1'!AV146,'Data Training 1'!AV151,'Data Training 1'!AV157,'Data Training 1'!AV164,'Data Training 1'!AV167,'Data Training 1'!AV171,'Data Training 1'!AV175,'Data Training 1'!AV180,'Data Training 1'!AV183,'Data Training 1'!AV187,'Data Training 1'!AV192,'Data Training 1'!AV196,'Data Training 1'!AV200,'Data Training 1'!AV204,'Data Training 1'!AV208,'Data Training 1'!AV212,'Data Training 1'!AV216)</f>
        <v>0</v>
      </c>
    </row>
    <row r="347" spans="41:79">
      <c r="AO347" s="69" t="s">
        <v>507</v>
      </c>
      <c r="AP347" s="69"/>
      <c r="AQ347">
        <f>PRODUCT('Data Training 1'!AW25,'Data Training 1'!AW34,'Data Training 1'!AW40,'Data Training 1'!AW44,'Data Training 1'!AW52,'Data Training 1'!AW58,'Data Training 1'!AW64,'Data Training 1'!AW70,'Data Training 1'!AW75,'Data Training 1'!AW81,'Data Training 1'!AW87,'Data Training 1'!AW93,'Data Training 1'!AW98,'Data Training 1'!AW106,'Data Training 1'!AW110,'Data Training 1'!AW116,'Data Training 1'!AW124,'Data Training 1'!AW130,'Data Training 1'!AW136,'Data Training 1'!AW141,'Data Training 1'!AW146,'Data Training 1'!AW151,'Data Training 1'!AW157,'Data Training 1'!AW164,'Data Training 1'!AW167,'Data Training 1'!AW171,'Data Training 1'!AW175,'Data Training 1'!AW180,'Data Training 1'!AW183,'Data Training 1'!AW187,'Data Training 1'!AW192,'Data Training 1'!AW196,'Data Training 1'!AW200,'Data Training 1'!AW204,'Data Training 1'!AW208,'Data Training 1'!AW212,'Data Training 1'!AW216)</f>
        <v>0</v>
      </c>
    </row>
    <row r="348" spans="41:79">
      <c r="AO348" s="69" t="s">
        <v>508</v>
      </c>
      <c r="AP348" s="69"/>
      <c r="AQ348" s="44">
        <f>PRODUCT('Data Training 1'!AW26,'Data Training 1'!AX34,'Data Training 1'!AX40,'Data Training 1'!AX44,'Data Training 1'!AX52,'Data Training 1'!AX58,'Data Training 1'!AX64,'Data Training 1'!AX70,'Data Training 1'!AX75,'Data Training 1'!AX81,'Data Training 1'!AX87,'Data Training 1'!AX93,'Data Training 1'!AX98,'Data Training 1'!AX106,'Data Training 1'!AX110,'Data Training 1'!AX116,'Data Training 1'!AX124,'Data Training 1'!AX130,'Data Training 1'!AX136,'Data Training 1'!AX141,'Data Training 1'!AX146,'Data Training 1'!AX151,'Data Training 1'!AX157,'Data Training 1'!AX164,'Data Training 1'!AX167,'Data Training 1'!AX171,'Data Training 1'!AX175,'Data Training 1'!AX180,'Data Training 1'!AX183,'Data Training 1'!AX187,'Data Training 1'!AX192,'Data Training 1'!AX196,'Data Training 1'!AX200,'Data Training 1'!AX204,'Data Training 1'!AX208,'Data Training 1'!AX212,'Data Training 1'!AX216)</f>
        <v>0</v>
      </c>
    </row>
    <row r="349" spans="41:79">
      <c r="AO349" s="69" t="s">
        <v>509</v>
      </c>
      <c r="AP349" s="69"/>
      <c r="AQ349" s="44">
        <f>PRODUCT('Data Training 1'!AW27,'Data Training 1'!AY34,'Data Training 1'!AY40,'Data Training 1'!AY44,'Data Training 1'!AY52,'Data Training 1'!AY58,'Data Training 1'!AY64,'Data Training 1'!AY70,'Data Training 1'!AY75,'Data Training 1'!AY81,'Data Training 1'!AY87,'Data Training 1'!AY93,'Data Training 1'!AY98,'Data Training 1'!AY106,'Data Training 1'!AY110,'Data Training 1'!AY116,'Data Training 1'!AY124,'Data Training 1'!AY130,'Data Training 1'!AY136,'Data Training 1'!AY141,'Data Training 1'!AY146,'Data Training 1'!AY151,'Data Training 1'!AY157,'Data Training 1'!AY164,'Data Training 1'!AY167,'Data Training 1'!AY171,'Data Training 1'!AY175,'Data Training 1'!AY180,'Data Training 1'!AY183,'Data Training 1'!AY187,'Data Training 1'!AY192,'Data Training 1'!AY196,'Data Training 1'!AY200,'Data Training 1'!AY204,'Data Training 1'!AY208,'Data Training 1'!AY212,'Data Training 1'!AY216)</f>
        <v>1.7859349221372509E-13</v>
      </c>
    </row>
    <row r="350" spans="41:79">
      <c r="AO350" s="78" t="s">
        <v>437</v>
      </c>
      <c r="AP350" s="78"/>
      <c r="AQ350" t="s">
        <v>298</v>
      </c>
      <c r="AR350" s="74" t="s">
        <v>438</v>
      </c>
      <c r="AS350" s="74"/>
      <c r="AT350" s="74"/>
    </row>
    <row r="352" spans="41:79">
      <c r="AO352" s="79" t="s">
        <v>488</v>
      </c>
      <c r="AP352" s="79"/>
      <c r="AQ352" s="20" t="s">
        <v>64</v>
      </c>
      <c r="AR352" s="1" t="s">
        <v>43</v>
      </c>
      <c r="AS352" s="1" t="s">
        <v>44</v>
      </c>
      <c r="AT352" s="1" t="s">
        <v>45</v>
      </c>
      <c r="AU352" s="1" t="s">
        <v>46</v>
      </c>
      <c r="AV352" s="1" t="s">
        <v>47</v>
      </c>
      <c r="AW352" s="1" t="s">
        <v>48</v>
      </c>
      <c r="AX352" s="1" t="s">
        <v>49</v>
      </c>
      <c r="AY352" s="1" t="s">
        <v>50</v>
      </c>
      <c r="AZ352" s="1" t="s">
        <v>51</v>
      </c>
      <c r="BA352" s="1" t="s">
        <v>52</v>
      </c>
      <c r="BB352" s="1" t="s">
        <v>53</v>
      </c>
      <c r="BC352" s="1" t="s">
        <v>54</v>
      </c>
      <c r="BD352" s="1" t="s">
        <v>55</v>
      </c>
      <c r="BE352" s="1" t="s">
        <v>56</v>
      </c>
      <c r="BF352" s="1" t="s">
        <v>57</v>
      </c>
      <c r="BG352" s="1" t="s">
        <v>58</v>
      </c>
      <c r="BH352" s="1" t="s">
        <v>59</v>
      </c>
      <c r="BI352" s="1" t="s">
        <v>60</v>
      </c>
      <c r="BJ352" s="1" t="s">
        <v>61</v>
      </c>
      <c r="BK352" s="1" t="s">
        <v>62</v>
      </c>
      <c r="BL352" s="1" t="s">
        <v>63</v>
      </c>
      <c r="BM352" s="1" t="s">
        <v>330</v>
      </c>
      <c r="BN352" s="1" t="s">
        <v>331</v>
      </c>
      <c r="BO352" s="1" t="s">
        <v>332</v>
      </c>
      <c r="BP352" s="1" t="s">
        <v>333</v>
      </c>
      <c r="BQ352" s="1" t="s">
        <v>334</v>
      </c>
      <c r="BR352" s="1" t="s">
        <v>335</v>
      </c>
      <c r="BS352" s="1" t="s">
        <v>336</v>
      </c>
      <c r="BT352" s="1" t="s">
        <v>337</v>
      </c>
      <c r="BU352" s="1" t="s">
        <v>338</v>
      </c>
      <c r="BV352" s="1" t="s">
        <v>339</v>
      </c>
      <c r="BW352" s="1" t="s">
        <v>340</v>
      </c>
      <c r="BX352" s="1" t="s">
        <v>341</v>
      </c>
      <c r="BY352" s="1" t="s">
        <v>342</v>
      </c>
      <c r="BZ352" s="1" t="s">
        <v>343</v>
      </c>
      <c r="CA352" s="1" t="s">
        <v>390</v>
      </c>
    </row>
    <row r="353" spans="40:79">
      <c r="AO353" s="79"/>
      <c r="AP353" s="79"/>
      <c r="AQ353" s="20">
        <v>6</v>
      </c>
      <c r="AR353" t="s">
        <v>5</v>
      </c>
      <c r="AS353" t="s">
        <v>5</v>
      </c>
      <c r="AT353" t="s">
        <v>4</v>
      </c>
      <c r="AU353" t="s">
        <v>5</v>
      </c>
      <c r="AV353" t="s">
        <v>5</v>
      </c>
      <c r="AW353" t="s">
        <v>5</v>
      </c>
      <c r="AX353" t="s">
        <v>5</v>
      </c>
      <c r="AY353" t="s">
        <v>2</v>
      </c>
      <c r="AZ353" t="s">
        <v>3</v>
      </c>
      <c r="BA353" t="s">
        <v>4</v>
      </c>
      <c r="BB353" t="s">
        <v>3</v>
      </c>
      <c r="BC353" t="s">
        <v>5</v>
      </c>
      <c r="BD353" t="s">
        <v>5</v>
      </c>
      <c r="BE353" t="s">
        <v>3</v>
      </c>
      <c r="BF353" t="s">
        <v>5</v>
      </c>
      <c r="BG353" t="s">
        <v>5</v>
      </c>
      <c r="BH353" t="s">
        <v>3</v>
      </c>
      <c r="BI353" t="s">
        <v>5</v>
      </c>
      <c r="BJ353" t="s">
        <v>3</v>
      </c>
      <c r="BK353" t="s">
        <v>4</v>
      </c>
      <c r="BL353" t="s">
        <v>2</v>
      </c>
      <c r="BM353" t="s">
        <v>2</v>
      </c>
      <c r="BN353" t="s">
        <v>3</v>
      </c>
      <c r="BO353" t="s">
        <v>4</v>
      </c>
      <c r="BP353" t="s">
        <v>4</v>
      </c>
      <c r="BQ353" t="s">
        <v>4</v>
      </c>
      <c r="BR353" t="s">
        <v>4</v>
      </c>
      <c r="BS353" t="s">
        <v>4</v>
      </c>
      <c r="BT353" t="s">
        <v>4</v>
      </c>
      <c r="BU353" t="s">
        <v>3</v>
      </c>
      <c r="BV353" t="s">
        <v>4</v>
      </c>
      <c r="BW353" t="s">
        <v>3</v>
      </c>
      <c r="BX353" t="s">
        <v>3</v>
      </c>
      <c r="BY353" t="s">
        <v>4</v>
      </c>
      <c r="BZ353" t="s">
        <v>3</v>
      </c>
      <c r="CA353" t="s">
        <v>3</v>
      </c>
    </row>
    <row r="354" spans="40:79">
      <c r="AO354" s="69" t="s">
        <v>504</v>
      </c>
      <c r="AP354" s="69"/>
      <c r="AQ354">
        <f>PRODUCT('Data Training 1'!AW22,'Data Training 1'!AT34,'Data Training 1'!AT40,'Data Training 1'!AT43,'Data Training 1'!AT52,'Data Training 1'!AT58,'Data Training 1'!AT64,'Data Training 1'!AT70,'Data Training 1'!AT75,'Data Training 1'!AT80,'Data Training 1'!AT85,'Data Training 1'!AT92,'Data Training 1'!AT100,'Data Training 1'!AT106,'Data Training 1'!AT110,'Data Training 1'!AT118,'Data Training 1'!AT124,'Data Training 1'!AT128,'Data Training 1'!AT136,'Data Training 1'!AT140,'Data Training 1'!AT145,'Data Training 1'!AT153,'Data Training 1'!AT159,'Data Training 1'!AT164,'Data Training 1'!AT167,'Data Training 1'!AT171,'Data Training 1'!AT175,'Data Training 1'!AT179,'Data Training 1'!AT183,'Data Training 1'!AT187,'Data Training 1'!AT192,'Data Training 1'!AT195,'Data Training 1'!AT200,'Data Training 1'!AT204,'Data Training 1'!AT207,'Data Training 1'!AT212,'Data Training 1'!AT216)</f>
        <v>0</v>
      </c>
    </row>
    <row r="355" spans="40:79">
      <c r="AO355" s="69" t="s">
        <v>505</v>
      </c>
      <c r="AP355" s="69"/>
      <c r="AQ355" s="44">
        <f>PRODUCT('Data Training 1'!AW23,'Data Training 1'!AU34,'Data Training 1'!AU40,'Data Training 1'!AU43,'Data Training 1'!AU52,'Data Training 1'!AU58,'Data Training 1'!AU64,'Data Training 1'!AU70,'Data Training 1'!AU75,'Data Training 1'!AU80,'Data Training 1'!AU85,'Data Training 1'!AU92,'Data Training 1'!AU100,'Data Training 1'!AU106,'Data Training 1'!AU110,'Data Training 1'!AU118,'Data Training 1'!AU124,'Data Training 1'!AU128,'Data Training 1'!AU136,'Data Training 1'!AU140,'Data Training 1'!AU145,'Data Training 1'!AU153,'Data Training 1'!AU159,'Data Training 1'!AU163,'Data Training 1'!AU167,'Data Training 1'!AU171,'Data Training 1'!AU175,'Data Training 1'!AU179,'Data Training 1'!AU183,'Data Training 1'!AU187,'Data Training 1'!AU192,'Data Training 1'!AU195,'Data Training 1'!AU200,'Data Training 1'!AU204,'Data Training 1'!AU207,'Data Training 1'!AU212,'Data Training 1'!AU216)</f>
        <v>0</v>
      </c>
    </row>
    <row r="356" spans="40:79">
      <c r="AO356" s="69" t="s">
        <v>506</v>
      </c>
      <c r="AP356" s="69"/>
      <c r="AQ356" s="44">
        <f>PRODUCT('Data Training 1'!AW24,'Data Training 1'!AV34,'Data Training 1'!AV40,'Data Training 1'!AV43,'Data Training 1'!AV52,'Data Training 1'!AV58,'Data Training 1'!AV64,'Data Training 1'!AV70,'Data Training 1'!AV75,'Data Training 1'!AV80,'Data Training 1'!AV85,'Data Training 1'!AV92,'Data Training 1'!AV100,'Data Training 1'!AV106,'Data Training 1'!AV110,'Data Training 1'!AV118,'Data Training 1'!AV124,'Data Training 1'!AV128,'Data Training 1'!AV136,'Data Training 1'!AV140,'Data Training 1'!AV145,'Data Training 1'!AV153,'Data Training 1'!AV159,'Data Training 1'!AV163,'Data Training 1'!AV167,'Data Training 1'!AV171,'Data Training 1'!AV175,'Data Training 1'!AV179,'Data Training 1'!AV183,'Data Training 1'!AV187,'Data Training 1'!AV192,'Data Training 1'!AV195,'Data Training 1'!AV200,'Data Training 1'!AV204,'Data Training 1'!AV207,'Data Training 1'!AV212,'Data Training 1'!AV216)</f>
        <v>0</v>
      </c>
    </row>
    <row r="357" spans="40:79">
      <c r="AO357" s="69" t="s">
        <v>507</v>
      </c>
      <c r="AP357" s="69"/>
      <c r="AQ357" s="44">
        <f>PRODUCT('Data Training 1'!AW25,'Data Training 1'!AW34,'Data Training 1'!AW40,'Data Training 1'!AW43,'Data Training 1'!AW52,'Data Training 1'!AW58,'Data Training 1'!AW64,'Data Training 1'!AW70,'Data Training 1'!AW75,'Data Training 1'!AW80,'Data Training 1'!AW85,'Data Training 1'!AW92,'Data Training 1'!AW100,'Data Training 1'!AW106,'Data Training 1'!AW110,'Data Training 1'!AW118,'Data Training 1'!AW124,'Data Training 1'!AW128,'Data Training 1'!AW136,'Data Training 1'!AW140,'Data Training 1'!AW145,'Data Training 1'!AW153,'Data Training 1'!AW159,'Data Training 1'!AW163,'Data Training 1'!AW167,'Data Training 1'!AW171,'Data Training 1'!AW175,'Data Training 1'!AW179,'Data Training 1'!AW183,'Data Training 1'!AW187,'Data Training 1'!AW192,'Data Training 1'!AW195,'Data Training 1'!AW200,'Data Training 1'!AW204,'Data Training 1'!AW207,'Data Training 1'!AW212,'Data Training 1'!AW216)</f>
        <v>0</v>
      </c>
    </row>
    <row r="358" spans="40:79">
      <c r="AO358" s="69" t="s">
        <v>508</v>
      </c>
      <c r="AP358" s="69"/>
      <c r="AQ358" s="44">
        <f>PRODUCT('Data Training 1'!AW26,'Data Training 1'!AX34,'Data Training 1'!AX40,'Data Training 1'!AX43,'Data Training 1'!AX52,'Data Training 1'!AX58,'Data Training 1'!AX64,'Data Training 1'!AX70,'Data Training 1'!AX75,'Data Training 1'!AX80,'Data Training 1'!AX85,'Data Training 1'!AX92,'Data Training 1'!AX100,'Data Training 1'!AX106,'Data Training 1'!AX110,'Data Training 1'!AX118,'Data Training 1'!AX124,'Data Training 1'!AX128,'Data Training 1'!AX136,'Data Training 1'!AX140,'Data Training 1'!AX145,'Data Training 1'!AX153,'Data Training 1'!AX159,'Data Training 1'!AX163,'Data Training 1'!AX167,'Data Training 1'!AX171,'Data Training 1'!AX175,'Data Training 1'!AX179,'Data Training 1'!AX183,'Data Training 1'!AX187,'Data Training 1'!AX192,'Data Training 1'!AX195,'Data Training 1'!AX200,'Data Training 1'!AX204,'Data Training 1'!AX207,'Data Training 1'!AX212,'Data Training 1'!AX216)</f>
        <v>0</v>
      </c>
    </row>
    <row r="359" spans="40:79">
      <c r="AO359" s="69" t="s">
        <v>509</v>
      </c>
      <c r="AP359" s="69"/>
      <c r="AQ359" s="44">
        <f>PRODUCT('Data Training 1'!AW27,'Data Training 1'!AY34,'Data Training 1'!AY40,'Data Training 1'!AY43,'Data Training 1'!AY52,'Data Training 1'!AY58,'Data Training 1'!AY64,'Data Training 1'!AY70,'Data Training 1'!AY75,'Data Training 1'!AY80,'Data Training 1'!AY85,'Data Training 1'!AY92,'Data Training 1'!AY100,'Data Training 1'!AY106,'Data Training 1'!AY110,'Data Training 1'!AY118,'Data Training 1'!AY124,'Data Training 1'!AY128,'Data Training 1'!AY136,'Data Training 1'!AY140,'Data Training 1'!AY145,'Data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2.9043588077764822E-9</v>
      </c>
    </row>
    <row r="360" spans="40:79">
      <c r="AO360" s="78" t="s">
        <v>437</v>
      </c>
      <c r="AP360" s="78"/>
      <c r="AQ360" t="s">
        <v>298</v>
      </c>
      <c r="AR360" s="74" t="s">
        <v>438</v>
      </c>
      <c r="AS360" s="74"/>
      <c r="AT360" s="74"/>
    </row>
    <row r="362" spans="40:79">
      <c r="AN362" s="121"/>
      <c r="AO362" s="122"/>
      <c r="AP362" s="122"/>
      <c r="AQ362" s="121"/>
      <c r="AR362" s="123"/>
      <c r="AS362" s="123"/>
      <c r="AT362" s="123"/>
      <c r="AU362" s="123"/>
      <c r="AV362" s="123"/>
      <c r="AW362" s="123"/>
      <c r="AX362" s="123"/>
      <c r="AY362" s="123"/>
      <c r="AZ362" s="123"/>
      <c r="BA362" s="123"/>
      <c r="BB362" s="123"/>
      <c r="BC362" s="123"/>
      <c r="BD362" s="123"/>
      <c r="BE362" s="123"/>
      <c r="BF362" s="123"/>
      <c r="BG362" s="123"/>
      <c r="BH362" s="123"/>
      <c r="BI362" s="123"/>
      <c r="BJ362" s="123"/>
      <c r="BK362" s="123"/>
      <c r="BL362" s="123"/>
      <c r="BM362" s="123"/>
      <c r="BN362" s="123"/>
      <c r="BO362" s="123"/>
      <c r="BP362" s="123"/>
      <c r="BQ362" s="123"/>
      <c r="BR362" s="123"/>
      <c r="BS362" s="123"/>
      <c r="BT362" s="123"/>
      <c r="BU362" s="123"/>
      <c r="BV362" s="123"/>
      <c r="BW362" s="123"/>
      <c r="BX362" s="123"/>
      <c r="BY362" s="123"/>
      <c r="BZ362" s="123"/>
      <c r="CA362" s="123"/>
    </row>
    <row r="363" spans="40:79">
      <c r="AN363" s="121"/>
      <c r="AO363" s="122"/>
      <c r="AP363" s="122"/>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c r="BY363" s="121"/>
      <c r="BZ363" s="121"/>
      <c r="CA363" s="121"/>
    </row>
    <row r="364" spans="40:79">
      <c r="AN364" s="121"/>
      <c r="AO364" s="124"/>
      <c r="AP364" s="124"/>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c r="BY364" s="121"/>
      <c r="BZ364" s="121"/>
      <c r="CA364" s="121"/>
    </row>
    <row r="365" spans="40:79">
      <c r="AN365" s="121"/>
      <c r="AO365" s="124"/>
      <c r="AP365" s="124"/>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c r="BY365" s="121"/>
      <c r="BZ365" s="121"/>
      <c r="CA365" s="121"/>
    </row>
    <row r="366" spans="40:79">
      <c r="AN366" s="121"/>
      <c r="AO366" s="124"/>
      <c r="AP366" s="124"/>
      <c r="AQ366" s="125"/>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c r="BY366" s="121"/>
      <c r="BZ366" s="121"/>
      <c r="CA366" s="121"/>
    </row>
    <row r="367" spans="40:79">
      <c r="AN367" s="121"/>
      <c r="AO367" s="124"/>
      <c r="AP367" s="124"/>
      <c r="AQ367" s="125"/>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c r="BY367" s="121"/>
      <c r="BZ367" s="121"/>
      <c r="CA367" s="121"/>
    </row>
    <row r="368" spans="40:79">
      <c r="AN368" s="121"/>
      <c r="AO368" s="124"/>
      <c r="AP368" s="124"/>
      <c r="AQ368" s="125"/>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c r="BY368" s="121"/>
      <c r="BZ368" s="121"/>
      <c r="CA368" s="121"/>
    </row>
    <row r="369" spans="40:79">
      <c r="AN369" s="121"/>
      <c r="AO369" s="124"/>
      <c r="AP369" s="124"/>
      <c r="AQ369" s="125"/>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c r="BY369" s="121"/>
      <c r="BZ369" s="121"/>
      <c r="CA369" s="121"/>
    </row>
    <row r="370" spans="40:79">
      <c r="AN370" s="121"/>
      <c r="AO370" s="124"/>
      <c r="AP370" s="124"/>
      <c r="AQ370" s="121"/>
      <c r="AR370" s="124"/>
      <c r="AS370" s="124"/>
      <c r="AT370" s="124"/>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c r="BY370" s="121"/>
      <c r="BZ370" s="121"/>
      <c r="CA370" s="121"/>
    </row>
    <row r="371" spans="40:79">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c r="BY371" s="121"/>
      <c r="BZ371" s="121"/>
      <c r="CA371" s="121"/>
    </row>
    <row r="372" spans="40:79">
      <c r="AN372" s="121"/>
      <c r="AO372" s="122"/>
      <c r="AP372" s="122"/>
      <c r="AQ372" s="121"/>
      <c r="AR372" s="123"/>
      <c r="AS372" s="123"/>
      <c r="AT372" s="123"/>
      <c r="AU372" s="123"/>
      <c r="AV372" s="123"/>
      <c r="AW372" s="123"/>
      <c r="AX372" s="123"/>
      <c r="AY372" s="123"/>
      <c r="AZ372" s="123"/>
      <c r="BA372" s="123"/>
      <c r="BB372" s="123"/>
      <c r="BC372" s="123"/>
      <c r="BD372" s="123"/>
      <c r="BE372" s="123"/>
      <c r="BF372" s="123"/>
      <c r="BG372" s="123"/>
      <c r="BH372" s="123"/>
      <c r="BI372" s="123"/>
      <c r="BJ372" s="123"/>
      <c r="BK372" s="123"/>
      <c r="BL372" s="123"/>
      <c r="BM372" s="123"/>
      <c r="BN372" s="123"/>
      <c r="BO372" s="123"/>
      <c r="BP372" s="123"/>
      <c r="BQ372" s="123"/>
      <c r="BR372" s="123"/>
      <c r="BS372" s="123"/>
      <c r="BT372" s="123"/>
      <c r="BU372" s="123"/>
      <c r="BV372" s="123"/>
      <c r="BW372" s="123"/>
      <c r="BX372" s="123"/>
      <c r="BY372" s="123"/>
      <c r="BZ372" s="123"/>
      <c r="CA372" s="123"/>
    </row>
    <row r="373" spans="40:79">
      <c r="AN373" s="121"/>
      <c r="AO373" s="122"/>
      <c r="AP373" s="122"/>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c r="BY373" s="121"/>
      <c r="BZ373" s="121"/>
      <c r="CA373" s="121"/>
    </row>
    <row r="374" spans="40:79">
      <c r="AN374" s="121"/>
      <c r="AO374" s="124"/>
      <c r="AP374" s="124"/>
      <c r="AQ374" s="125"/>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c r="BY374" s="121"/>
      <c r="BZ374" s="121"/>
      <c r="CA374" s="121"/>
    </row>
    <row r="375" spans="40:79">
      <c r="AN375" s="121"/>
      <c r="AO375" s="124"/>
      <c r="AP375" s="124"/>
      <c r="AQ375" s="125"/>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c r="BY375" s="121"/>
      <c r="BZ375" s="121"/>
      <c r="CA375" s="121"/>
    </row>
    <row r="376" spans="40:79">
      <c r="AN376" s="121"/>
      <c r="AO376" s="124"/>
      <c r="AP376" s="124"/>
      <c r="AQ376" s="125"/>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c r="BY376" s="121"/>
      <c r="BZ376" s="121"/>
      <c r="CA376" s="121"/>
    </row>
    <row r="377" spans="40:79">
      <c r="AN377" s="121"/>
      <c r="AO377" s="124"/>
      <c r="AP377" s="124"/>
      <c r="AQ377" s="125"/>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c r="BY377" s="121"/>
      <c r="BZ377" s="121"/>
      <c r="CA377" s="121"/>
    </row>
    <row r="378" spans="40:79">
      <c r="AN378" s="121"/>
      <c r="AO378" s="124"/>
      <c r="AP378" s="124"/>
      <c r="AQ378" s="125"/>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c r="BY378" s="121"/>
      <c r="BZ378" s="121"/>
      <c r="CA378" s="121"/>
    </row>
    <row r="379" spans="40:79">
      <c r="AN379" s="121"/>
      <c r="AO379" s="124"/>
      <c r="AP379" s="124"/>
      <c r="AQ379" s="125"/>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c r="BY379" s="121"/>
      <c r="BZ379" s="121"/>
      <c r="CA379" s="121"/>
    </row>
    <row r="380" spans="40:79">
      <c r="AN380" s="121"/>
      <c r="AO380" s="124"/>
      <c r="AP380" s="124"/>
      <c r="AQ380" s="121"/>
      <c r="AR380" s="124"/>
      <c r="AS380" s="124"/>
      <c r="AT380" s="124"/>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c r="BY380" s="121"/>
      <c r="BZ380" s="121"/>
      <c r="CA380" s="121"/>
    </row>
    <row r="381" spans="40:79">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c r="BY381" s="121"/>
      <c r="BZ381" s="121"/>
      <c r="CA381" s="121"/>
    </row>
    <row r="382" spans="40:79">
      <c r="AN382" s="121"/>
      <c r="AO382" s="122"/>
      <c r="AP382" s="122"/>
      <c r="AQ382" s="121"/>
      <c r="AR382" s="123"/>
      <c r="AS382" s="123"/>
      <c r="AT382" s="123"/>
      <c r="AU382" s="123"/>
      <c r="AV382" s="123"/>
      <c r="AW382" s="123"/>
      <c r="AX382" s="123"/>
      <c r="AY382" s="123"/>
      <c r="AZ382" s="123"/>
      <c r="BA382" s="123"/>
      <c r="BB382" s="123"/>
      <c r="BC382" s="123"/>
      <c r="BD382" s="123"/>
      <c r="BE382" s="123"/>
      <c r="BF382" s="123"/>
      <c r="BG382" s="123"/>
      <c r="BH382" s="123"/>
      <c r="BI382" s="123"/>
      <c r="BJ382" s="123"/>
      <c r="BK382" s="123"/>
      <c r="BL382" s="123"/>
      <c r="BM382" s="123"/>
      <c r="BN382" s="123"/>
      <c r="BO382" s="123"/>
      <c r="BP382" s="123"/>
      <c r="BQ382" s="123"/>
      <c r="BR382" s="123"/>
      <c r="BS382" s="123"/>
      <c r="BT382" s="123"/>
      <c r="BU382" s="123"/>
      <c r="BV382" s="123"/>
      <c r="BW382" s="123"/>
      <c r="BX382" s="123"/>
      <c r="BY382" s="123"/>
      <c r="BZ382" s="123"/>
      <c r="CA382" s="123"/>
    </row>
    <row r="383" spans="40:79">
      <c r="AN383" s="121"/>
      <c r="AO383" s="122"/>
      <c r="AP383" s="122"/>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c r="BY383" s="121"/>
      <c r="BZ383" s="121"/>
      <c r="CA383" s="121"/>
    </row>
    <row r="384" spans="40:79">
      <c r="AN384" s="121"/>
      <c r="AO384" s="124"/>
      <c r="AP384" s="124"/>
      <c r="AQ384" s="125"/>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c r="BY384" s="121"/>
      <c r="BZ384" s="121"/>
      <c r="CA384" s="121"/>
    </row>
    <row r="385" spans="40:79">
      <c r="AN385" s="121"/>
      <c r="AO385" s="124"/>
      <c r="AP385" s="124"/>
      <c r="AQ385" s="125"/>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c r="BY385" s="121"/>
      <c r="BZ385" s="121"/>
      <c r="CA385" s="121"/>
    </row>
    <row r="386" spans="40:79">
      <c r="AN386" s="121"/>
      <c r="AO386" s="124"/>
      <c r="AP386" s="124"/>
      <c r="AQ386" s="125"/>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c r="BY386" s="121"/>
      <c r="BZ386" s="121"/>
      <c r="CA386" s="121"/>
    </row>
    <row r="387" spans="40:79">
      <c r="AN387" s="121"/>
      <c r="AO387" s="124"/>
      <c r="AP387" s="124"/>
      <c r="AQ387" s="125"/>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c r="BY387" s="121"/>
      <c r="BZ387" s="121"/>
      <c r="CA387" s="121"/>
    </row>
    <row r="388" spans="40:79">
      <c r="AN388" s="121"/>
      <c r="AO388" s="124"/>
      <c r="AP388" s="124"/>
      <c r="AQ388" s="125"/>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c r="BY388" s="121"/>
      <c r="BZ388" s="121"/>
      <c r="CA388" s="121"/>
    </row>
    <row r="389" spans="40:79">
      <c r="AN389" s="121"/>
      <c r="AO389" s="124"/>
      <c r="AP389" s="124"/>
      <c r="AQ389" s="125"/>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c r="BY389" s="121"/>
      <c r="BZ389" s="121"/>
      <c r="CA389" s="121"/>
    </row>
    <row r="390" spans="40:79">
      <c r="AN390" s="121"/>
      <c r="AO390" s="124"/>
      <c r="AP390" s="124"/>
      <c r="AQ390" s="121"/>
      <c r="AR390" s="124"/>
      <c r="AS390" s="124"/>
      <c r="AT390" s="124"/>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c r="BY390" s="121"/>
      <c r="BZ390" s="121"/>
      <c r="CA390" s="121"/>
    </row>
    <row r="391" spans="40:79">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c r="BY391" s="121"/>
      <c r="BZ391" s="121"/>
      <c r="CA391" s="121"/>
    </row>
    <row r="392" spans="40:79">
      <c r="AN392" s="121"/>
      <c r="AO392" s="122"/>
      <c r="AP392" s="122"/>
      <c r="AQ392" s="121"/>
      <c r="AR392" s="123"/>
      <c r="AS392" s="123"/>
      <c r="AT392" s="123"/>
      <c r="AU392" s="123"/>
      <c r="AV392" s="123"/>
      <c r="AW392" s="123"/>
      <c r="AX392" s="123"/>
      <c r="AY392" s="123"/>
      <c r="AZ392" s="123"/>
      <c r="BA392" s="123"/>
      <c r="BB392" s="123"/>
      <c r="BC392" s="123"/>
      <c r="BD392" s="123"/>
      <c r="BE392" s="123"/>
      <c r="BF392" s="123"/>
      <c r="BG392" s="123"/>
      <c r="BH392" s="123"/>
      <c r="BI392" s="123"/>
      <c r="BJ392" s="123"/>
      <c r="BK392" s="123"/>
      <c r="BL392" s="123"/>
      <c r="BM392" s="123"/>
      <c r="BN392" s="123"/>
      <c r="BO392" s="123"/>
      <c r="BP392" s="123"/>
      <c r="BQ392" s="123"/>
      <c r="BR392" s="123"/>
      <c r="BS392" s="123"/>
      <c r="BT392" s="123"/>
      <c r="BU392" s="123"/>
      <c r="BV392" s="123"/>
      <c r="BW392" s="123"/>
      <c r="BX392" s="123"/>
      <c r="BY392" s="123"/>
      <c r="BZ392" s="123"/>
      <c r="CA392" s="123"/>
    </row>
    <row r="393" spans="40:79">
      <c r="AN393" s="121"/>
      <c r="AO393" s="122"/>
      <c r="AP393" s="122"/>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c r="BY393" s="121"/>
      <c r="BZ393" s="121"/>
      <c r="CA393" s="121"/>
    </row>
    <row r="394" spans="40:79">
      <c r="AN394" s="121"/>
      <c r="AO394" s="124"/>
      <c r="AP394" s="124"/>
      <c r="AQ394" s="125"/>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c r="BY394" s="121"/>
      <c r="BZ394" s="121"/>
      <c r="CA394" s="121"/>
    </row>
    <row r="395" spans="40:79">
      <c r="AN395" s="121"/>
      <c r="AO395" s="124"/>
      <c r="AP395" s="124"/>
      <c r="AQ395" s="125"/>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c r="BY395" s="121"/>
      <c r="BZ395" s="121"/>
      <c r="CA395" s="121"/>
    </row>
    <row r="396" spans="40:79">
      <c r="AN396" s="121"/>
      <c r="AO396" s="124"/>
      <c r="AP396" s="124"/>
      <c r="AQ396" s="125"/>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c r="BY396" s="121"/>
      <c r="BZ396" s="121"/>
      <c r="CA396" s="121"/>
    </row>
    <row r="397" spans="40:79">
      <c r="AN397" s="121"/>
      <c r="AO397" s="124"/>
      <c r="AP397" s="124"/>
      <c r="AQ397" s="125"/>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c r="BY397" s="121"/>
      <c r="BZ397" s="121"/>
      <c r="CA397" s="121"/>
    </row>
    <row r="398" spans="40:79">
      <c r="AN398" s="121"/>
      <c r="AO398" s="124"/>
      <c r="AP398" s="124"/>
      <c r="AQ398" s="125"/>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c r="BY398" s="121"/>
      <c r="BZ398" s="121"/>
      <c r="CA398" s="121"/>
    </row>
    <row r="399" spans="40:79">
      <c r="AN399" s="121"/>
      <c r="AO399" s="124"/>
      <c r="AP399" s="124"/>
      <c r="AQ399" s="125"/>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c r="BY399" s="121"/>
      <c r="BZ399" s="121"/>
      <c r="CA399" s="121"/>
    </row>
    <row r="400" spans="40:79">
      <c r="AN400" s="121"/>
      <c r="AO400" s="124"/>
      <c r="AP400" s="124"/>
      <c r="AQ400" s="121"/>
      <c r="AR400" s="124"/>
      <c r="AS400" s="124"/>
      <c r="AT400" s="124"/>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c r="BY400" s="121"/>
      <c r="BZ400" s="121"/>
      <c r="CA400" s="121"/>
    </row>
    <row r="401" spans="40:79">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c r="BY401" s="121"/>
      <c r="BZ401" s="121"/>
      <c r="CA401" s="121"/>
    </row>
    <row r="402" spans="40:79">
      <c r="AN402" s="121"/>
      <c r="AO402" s="122"/>
      <c r="AP402" s="122"/>
      <c r="AQ402" s="121"/>
      <c r="AR402" s="123"/>
      <c r="AS402" s="123"/>
      <c r="AT402" s="123"/>
      <c r="AU402" s="123"/>
      <c r="AV402" s="123"/>
      <c r="AW402" s="123"/>
      <c r="AX402" s="123"/>
      <c r="AY402" s="123"/>
      <c r="AZ402" s="123"/>
      <c r="BA402" s="123"/>
      <c r="BB402" s="123"/>
      <c r="BC402" s="123"/>
      <c r="BD402" s="123"/>
      <c r="BE402" s="123"/>
      <c r="BF402" s="123"/>
      <c r="BG402" s="123"/>
      <c r="BH402" s="123"/>
      <c r="BI402" s="123"/>
      <c r="BJ402" s="123"/>
      <c r="BK402" s="123"/>
      <c r="BL402" s="123"/>
      <c r="BM402" s="123"/>
      <c r="BN402" s="123"/>
      <c r="BO402" s="123"/>
      <c r="BP402" s="123"/>
      <c r="BQ402" s="123"/>
      <c r="BR402" s="123"/>
      <c r="BS402" s="123"/>
      <c r="BT402" s="123"/>
      <c r="BU402" s="123"/>
      <c r="BV402" s="123"/>
      <c r="BW402" s="123"/>
      <c r="BX402" s="123"/>
      <c r="BY402" s="123"/>
      <c r="BZ402" s="123"/>
      <c r="CA402" s="123"/>
    </row>
    <row r="403" spans="40:79">
      <c r="AN403" s="121"/>
      <c r="AO403" s="122"/>
      <c r="AP403" s="122"/>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c r="BY403" s="121"/>
      <c r="BZ403" s="121"/>
      <c r="CA403" s="121"/>
    </row>
    <row r="404" spans="40:79">
      <c r="AN404" s="121"/>
      <c r="AO404" s="124"/>
      <c r="AP404" s="124"/>
      <c r="AQ404" s="125"/>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c r="BY404" s="121"/>
      <c r="BZ404" s="121"/>
      <c r="CA404" s="121"/>
    </row>
    <row r="405" spans="40:79">
      <c r="AN405" s="121"/>
      <c r="AO405" s="124"/>
      <c r="AP405" s="124"/>
      <c r="AQ405" s="125"/>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c r="BY405" s="121"/>
      <c r="BZ405" s="121"/>
      <c r="CA405" s="121"/>
    </row>
    <row r="406" spans="40:79">
      <c r="AN406" s="121"/>
      <c r="AO406" s="124"/>
      <c r="AP406" s="124"/>
      <c r="AQ406" s="125"/>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c r="BY406" s="121"/>
      <c r="BZ406" s="121"/>
      <c r="CA406" s="121"/>
    </row>
    <row r="407" spans="40:79">
      <c r="AN407" s="121"/>
      <c r="AO407" s="124"/>
      <c r="AP407" s="124"/>
      <c r="AQ407" s="125"/>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c r="BY407" s="121"/>
      <c r="BZ407" s="121"/>
      <c r="CA407" s="121"/>
    </row>
    <row r="408" spans="40:79">
      <c r="AN408" s="121"/>
      <c r="AO408" s="124"/>
      <c r="AP408" s="124"/>
      <c r="AQ408" s="125"/>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c r="BY408" s="121"/>
      <c r="BZ408" s="121"/>
      <c r="CA408" s="121"/>
    </row>
    <row r="409" spans="40:79">
      <c r="AN409" s="121"/>
      <c r="AO409" s="124"/>
      <c r="AP409" s="124"/>
      <c r="AQ409" s="125"/>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c r="BY409" s="121"/>
      <c r="BZ409" s="121"/>
      <c r="CA409" s="121"/>
    </row>
    <row r="410" spans="40:79">
      <c r="AN410" s="121"/>
      <c r="AO410" s="124"/>
      <c r="AP410" s="124"/>
      <c r="AQ410" s="121"/>
      <c r="AR410" s="124"/>
      <c r="AS410" s="124"/>
      <c r="AT410" s="124"/>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c r="BY410" s="121"/>
      <c r="BZ410" s="121"/>
      <c r="CA410" s="121"/>
    </row>
    <row r="411" spans="40:79">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c r="BY411" s="121"/>
      <c r="BZ411" s="121"/>
      <c r="CA411" s="121"/>
    </row>
    <row r="412" spans="40:79">
      <c r="AN412" s="121"/>
      <c r="AO412" s="122"/>
      <c r="AP412" s="122"/>
      <c r="AQ412" s="121"/>
      <c r="AR412" s="123"/>
      <c r="AS412" s="123"/>
      <c r="AT412" s="123"/>
      <c r="AU412" s="123"/>
      <c r="AV412" s="123"/>
      <c r="AW412" s="123"/>
      <c r="AX412" s="123"/>
      <c r="AY412" s="123"/>
      <c r="AZ412" s="123"/>
      <c r="BA412" s="123"/>
      <c r="BB412" s="123"/>
      <c r="BC412" s="123"/>
      <c r="BD412" s="123"/>
      <c r="BE412" s="123"/>
      <c r="BF412" s="123"/>
      <c r="BG412" s="123"/>
      <c r="BH412" s="123"/>
      <c r="BI412" s="123"/>
      <c r="BJ412" s="123"/>
      <c r="BK412" s="123"/>
      <c r="BL412" s="123"/>
      <c r="BM412" s="123"/>
      <c r="BN412" s="123"/>
      <c r="BO412" s="123"/>
      <c r="BP412" s="123"/>
      <c r="BQ412" s="123"/>
      <c r="BR412" s="123"/>
      <c r="BS412" s="123"/>
      <c r="BT412" s="123"/>
      <c r="BU412" s="123"/>
      <c r="BV412" s="123"/>
      <c r="BW412" s="123"/>
      <c r="BX412" s="123"/>
      <c r="BY412" s="123"/>
      <c r="BZ412" s="123"/>
      <c r="CA412" s="123"/>
    </row>
    <row r="413" spans="40:79">
      <c r="AN413" s="121"/>
      <c r="AO413" s="122"/>
      <c r="AP413" s="122"/>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c r="BY413" s="121"/>
      <c r="BZ413" s="121"/>
      <c r="CA413" s="121"/>
    </row>
    <row r="414" spans="40:79">
      <c r="AN414" s="121"/>
      <c r="AO414" s="124"/>
      <c r="AP414" s="124"/>
      <c r="AQ414" s="125"/>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c r="BY414" s="121"/>
      <c r="BZ414" s="121"/>
      <c r="CA414" s="121"/>
    </row>
    <row r="415" spans="40:79">
      <c r="AN415" s="121"/>
      <c r="AO415" s="124"/>
      <c r="AP415" s="124"/>
      <c r="AQ415" s="125"/>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c r="BY415" s="121"/>
      <c r="BZ415" s="121"/>
      <c r="CA415" s="121"/>
    </row>
    <row r="416" spans="40:79">
      <c r="AN416" s="121"/>
      <c r="AO416" s="124"/>
      <c r="AP416" s="124"/>
      <c r="AQ416" s="125"/>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c r="BY416" s="121"/>
      <c r="BZ416" s="121"/>
      <c r="CA416" s="121"/>
    </row>
    <row r="417" spans="40:79">
      <c r="AN417" s="121"/>
      <c r="AO417" s="124"/>
      <c r="AP417" s="124"/>
      <c r="AQ417" s="125"/>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c r="BY417" s="121"/>
      <c r="BZ417" s="121"/>
      <c r="CA417" s="121"/>
    </row>
    <row r="418" spans="40:79">
      <c r="AN418" s="121"/>
      <c r="AO418" s="124"/>
      <c r="AP418" s="124"/>
      <c r="AQ418" s="125"/>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c r="BY418" s="121"/>
      <c r="BZ418" s="121"/>
      <c r="CA418" s="121"/>
    </row>
    <row r="419" spans="40:79">
      <c r="AN419" s="121"/>
      <c r="AO419" s="124"/>
      <c r="AP419" s="124"/>
      <c r="AQ419" s="125"/>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c r="BY419" s="121"/>
      <c r="BZ419" s="121"/>
      <c r="CA419" s="121"/>
    </row>
    <row r="420" spans="40:79">
      <c r="AN420" s="121"/>
      <c r="AO420" s="124"/>
      <c r="AP420" s="124"/>
      <c r="AQ420" s="121"/>
      <c r="AR420" s="124"/>
      <c r="AS420" s="124"/>
      <c r="AT420" s="124"/>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c r="BY420" s="121"/>
      <c r="BZ420" s="121"/>
      <c r="CA420" s="121"/>
    </row>
    <row r="421" spans="40:79">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c r="BY421" s="121"/>
      <c r="BZ421" s="121"/>
      <c r="CA421" s="121"/>
    </row>
    <row r="422" spans="40:79">
      <c r="AN422" s="121"/>
      <c r="AO422" s="122"/>
      <c r="AP422" s="122"/>
      <c r="AQ422" s="121"/>
      <c r="AR422" s="123"/>
      <c r="AS422" s="123"/>
      <c r="AT422" s="123"/>
      <c r="AU422" s="123"/>
      <c r="AV422" s="123"/>
      <c r="AW422" s="123"/>
      <c r="AX422" s="123"/>
      <c r="AY422" s="123"/>
      <c r="AZ422" s="123"/>
      <c r="BA422" s="123"/>
      <c r="BB422" s="123"/>
      <c r="BC422" s="123"/>
      <c r="BD422" s="123"/>
      <c r="BE422" s="123"/>
      <c r="BF422" s="123"/>
      <c r="BG422" s="123"/>
      <c r="BH422" s="123"/>
      <c r="BI422" s="123"/>
      <c r="BJ422" s="123"/>
      <c r="BK422" s="123"/>
      <c r="BL422" s="123"/>
      <c r="BM422" s="123"/>
      <c r="BN422" s="123"/>
      <c r="BO422" s="123"/>
      <c r="BP422" s="123"/>
      <c r="BQ422" s="123"/>
      <c r="BR422" s="123"/>
      <c r="BS422" s="123"/>
      <c r="BT422" s="123"/>
      <c r="BU422" s="123"/>
      <c r="BV422" s="123"/>
      <c r="BW422" s="123"/>
      <c r="BX422" s="123"/>
      <c r="BY422" s="123"/>
      <c r="BZ422" s="123"/>
      <c r="CA422" s="123"/>
    </row>
    <row r="423" spans="40:79">
      <c r="AN423" s="121"/>
      <c r="AO423" s="122"/>
      <c r="AP423" s="122"/>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c r="BY423" s="121"/>
      <c r="BZ423" s="121"/>
      <c r="CA423" s="121"/>
    </row>
    <row r="424" spans="40:79">
      <c r="AN424" s="121"/>
      <c r="AO424" s="124"/>
      <c r="AP424" s="124"/>
      <c r="AQ424" s="125"/>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c r="BY424" s="121"/>
      <c r="BZ424" s="121"/>
      <c r="CA424" s="121"/>
    </row>
    <row r="425" spans="40:79">
      <c r="AN425" s="121"/>
      <c r="AO425" s="124"/>
      <c r="AP425" s="124"/>
      <c r="AQ425" s="125"/>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c r="BY425" s="121"/>
      <c r="BZ425" s="121"/>
      <c r="CA425" s="121"/>
    </row>
    <row r="426" spans="40:79">
      <c r="AN426" s="121"/>
      <c r="AO426" s="124"/>
      <c r="AP426" s="124"/>
      <c r="AQ426" s="125"/>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c r="BY426" s="121"/>
      <c r="BZ426" s="121"/>
      <c r="CA426" s="121"/>
    </row>
    <row r="427" spans="40:79">
      <c r="AN427" s="121"/>
      <c r="AO427" s="124"/>
      <c r="AP427" s="124"/>
      <c r="AQ427" s="125"/>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c r="BY427" s="121"/>
      <c r="BZ427" s="121"/>
      <c r="CA427" s="121"/>
    </row>
    <row r="428" spans="40:79">
      <c r="AN428" s="121"/>
      <c r="AO428" s="124"/>
      <c r="AP428" s="124"/>
      <c r="AQ428" s="125"/>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c r="BY428" s="121"/>
      <c r="BZ428" s="121"/>
      <c r="CA428" s="121"/>
    </row>
    <row r="429" spans="40:79">
      <c r="AN429" s="121"/>
      <c r="AO429" s="124"/>
      <c r="AP429" s="124"/>
      <c r="AQ429" s="125"/>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c r="BY429" s="121"/>
      <c r="BZ429" s="121"/>
      <c r="CA429" s="121"/>
    </row>
    <row r="430" spans="40:79">
      <c r="AN430" s="121"/>
      <c r="AO430" s="124"/>
      <c r="AP430" s="124"/>
      <c r="AQ430" s="121"/>
      <c r="AR430" s="124"/>
      <c r="AS430" s="124"/>
      <c r="AT430" s="124"/>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c r="BY430" s="121"/>
      <c r="BZ430" s="121"/>
      <c r="CA430" s="121"/>
    </row>
    <row r="431" spans="40:79">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c r="BY431" s="121"/>
      <c r="BZ431" s="121"/>
      <c r="CA431" s="121"/>
    </row>
    <row r="432" spans="40:79">
      <c r="AN432" s="121"/>
      <c r="AO432" s="122"/>
      <c r="AP432" s="122"/>
      <c r="AQ432" s="121"/>
      <c r="AR432" s="123"/>
      <c r="AS432" s="123"/>
      <c r="AT432" s="123"/>
      <c r="AU432" s="123"/>
      <c r="AV432" s="123"/>
      <c r="AW432" s="123"/>
      <c r="AX432" s="123"/>
      <c r="AY432" s="123"/>
      <c r="AZ432" s="123"/>
      <c r="BA432" s="123"/>
      <c r="BB432" s="123"/>
      <c r="BC432" s="123"/>
      <c r="BD432" s="123"/>
      <c r="BE432" s="123"/>
      <c r="BF432" s="123"/>
      <c r="BG432" s="123"/>
      <c r="BH432" s="123"/>
      <c r="BI432" s="123"/>
      <c r="BJ432" s="123"/>
      <c r="BK432" s="123"/>
      <c r="BL432" s="123"/>
      <c r="BM432" s="123"/>
      <c r="BN432" s="123"/>
      <c r="BO432" s="123"/>
      <c r="BP432" s="123"/>
      <c r="BQ432" s="123"/>
      <c r="BR432" s="123"/>
      <c r="BS432" s="123"/>
      <c r="BT432" s="123"/>
      <c r="BU432" s="123"/>
      <c r="BV432" s="123"/>
      <c r="BW432" s="123"/>
      <c r="BX432" s="123"/>
      <c r="BY432" s="123"/>
      <c r="BZ432" s="123"/>
      <c r="CA432" s="123"/>
    </row>
    <row r="433" spans="40:79">
      <c r="AN433" s="121"/>
      <c r="AO433" s="122"/>
      <c r="AP433" s="122"/>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c r="BY433" s="121"/>
      <c r="BZ433" s="121"/>
      <c r="CA433" s="121"/>
    </row>
    <row r="434" spans="40:79">
      <c r="AN434" s="121"/>
      <c r="AO434" s="124"/>
      <c r="AP434" s="124"/>
      <c r="AQ434" s="125"/>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c r="BY434" s="121"/>
      <c r="BZ434" s="121"/>
      <c r="CA434" s="121"/>
    </row>
    <row r="435" spans="40:79">
      <c r="AN435" s="121"/>
      <c r="AO435" s="124"/>
      <c r="AP435" s="124"/>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c r="BY435" s="121"/>
      <c r="BZ435" s="121"/>
      <c r="CA435" s="121"/>
    </row>
    <row r="436" spans="40:79">
      <c r="AN436" s="121"/>
      <c r="AO436" s="124"/>
      <c r="AP436" s="124"/>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c r="BY436" s="121"/>
      <c r="BZ436" s="121"/>
      <c r="CA436" s="121"/>
    </row>
    <row r="437" spans="40:79">
      <c r="AN437" s="121"/>
      <c r="AO437" s="124"/>
      <c r="AP437" s="124"/>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c r="BY437" s="121"/>
      <c r="BZ437" s="121"/>
      <c r="CA437" s="121"/>
    </row>
    <row r="438" spans="40:79">
      <c r="AN438" s="121"/>
      <c r="AO438" s="124"/>
      <c r="AP438" s="124"/>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c r="BY438" s="121"/>
      <c r="BZ438" s="121"/>
      <c r="CA438" s="121"/>
    </row>
    <row r="439" spans="40:79">
      <c r="AN439" s="121"/>
      <c r="AO439" s="124"/>
      <c r="AP439" s="124"/>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c r="BY439" s="121"/>
      <c r="BZ439" s="121"/>
      <c r="CA439" s="121"/>
    </row>
    <row r="440" spans="40:79">
      <c r="AN440" s="121"/>
      <c r="AO440" s="124"/>
      <c r="AP440" s="124"/>
      <c r="AQ440" s="121"/>
      <c r="AR440" s="124"/>
      <c r="AS440" s="124"/>
      <c r="AT440" s="124"/>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c r="BY440" s="121"/>
      <c r="BZ440" s="121"/>
      <c r="CA440" s="121"/>
    </row>
    <row r="441" spans="40:79">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c r="BY441" s="121"/>
      <c r="BZ441" s="121"/>
      <c r="CA441" s="121"/>
    </row>
    <row r="442" spans="40:79">
      <c r="AN442" s="121"/>
      <c r="AO442" s="122"/>
      <c r="AP442" s="122"/>
      <c r="AQ442" s="121"/>
      <c r="AR442" s="123"/>
      <c r="AS442" s="123"/>
      <c r="AT442" s="123"/>
      <c r="AU442" s="123"/>
      <c r="AV442" s="123"/>
      <c r="AW442" s="123"/>
      <c r="AX442" s="123"/>
      <c r="AY442" s="123"/>
      <c r="AZ442" s="123"/>
      <c r="BA442" s="123"/>
      <c r="BB442" s="123"/>
      <c r="BC442" s="123"/>
      <c r="BD442" s="123"/>
      <c r="BE442" s="123"/>
      <c r="BF442" s="123"/>
      <c r="BG442" s="123"/>
      <c r="BH442" s="123"/>
      <c r="BI442" s="123"/>
      <c r="BJ442" s="123"/>
      <c r="BK442" s="123"/>
      <c r="BL442" s="123"/>
      <c r="BM442" s="123"/>
      <c r="BN442" s="123"/>
      <c r="BO442" s="123"/>
      <c r="BP442" s="123"/>
      <c r="BQ442" s="123"/>
      <c r="BR442" s="123"/>
      <c r="BS442" s="123"/>
      <c r="BT442" s="123"/>
      <c r="BU442" s="123"/>
      <c r="BV442" s="123"/>
      <c r="BW442" s="123"/>
      <c r="BX442" s="123"/>
      <c r="BY442" s="123"/>
      <c r="BZ442" s="123"/>
      <c r="CA442" s="123"/>
    </row>
    <row r="443" spans="40:79">
      <c r="AN443" s="121"/>
      <c r="AO443" s="122"/>
      <c r="AP443" s="122"/>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c r="BY443" s="121"/>
      <c r="BZ443" s="121"/>
      <c r="CA443" s="121"/>
    </row>
    <row r="444" spans="40:79">
      <c r="AN444" s="121"/>
      <c r="AO444" s="124"/>
      <c r="AP444" s="124"/>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c r="BY444" s="121"/>
      <c r="BZ444" s="121"/>
      <c r="CA444" s="121"/>
    </row>
    <row r="445" spans="40:79">
      <c r="AN445" s="121"/>
      <c r="AO445" s="124"/>
      <c r="AP445" s="124"/>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c r="BY445" s="121"/>
      <c r="BZ445" s="121"/>
      <c r="CA445" s="121"/>
    </row>
    <row r="446" spans="40:79">
      <c r="AN446" s="121"/>
      <c r="AO446" s="124"/>
      <c r="AP446" s="124"/>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c r="BY446" s="121"/>
      <c r="BZ446" s="121"/>
      <c r="CA446" s="121"/>
    </row>
    <row r="447" spans="40:79">
      <c r="AN447" s="121"/>
      <c r="AO447" s="124"/>
      <c r="AP447" s="124"/>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c r="BY447" s="121"/>
      <c r="BZ447" s="121"/>
      <c r="CA447" s="121"/>
    </row>
    <row r="448" spans="40:79">
      <c r="AN448" s="121"/>
      <c r="AO448" s="124"/>
      <c r="AP448" s="124"/>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c r="BY448" s="121"/>
      <c r="BZ448" s="121"/>
      <c r="CA448" s="121"/>
    </row>
    <row r="449" spans="40:79">
      <c r="AN449" s="121"/>
      <c r="AO449" s="124"/>
      <c r="AP449" s="124"/>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c r="BY449" s="121"/>
      <c r="BZ449" s="121"/>
      <c r="CA449" s="121"/>
    </row>
    <row r="450" spans="40:79">
      <c r="AN450" s="121"/>
      <c r="AO450" s="124"/>
      <c r="AP450" s="124"/>
      <c r="AQ450" s="121"/>
      <c r="AR450" s="124"/>
      <c r="AS450" s="124"/>
      <c r="AT450" s="124"/>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c r="BY450" s="121"/>
      <c r="BZ450" s="121"/>
      <c r="CA450" s="121"/>
    </row>
    <row r="451" spans="40:79">
      <c r="AN451" s="121"/>
      <c r="AO451" s="124"/>
      <c r="AP451" s="124"/>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c r="BY451" s="121"/>
      <c r="BZ451" s="121"/>
      <c r="CA451" s="121"/>
    </row>
    <row r="452" spans="40:79">
      <c r="AN452" s="121"/>
      <c r="AO452" s="122"/>
      <c r="AP452" s="122"/>
      <c r="AQ452" s="121"/>
      <c r="AR452" s="123"/>
      <c r="AS452" s="123"/>
      <c r="AT452" s="123"/>
      <c r="AU452" s="123"/>
      <c r="AV452" s="123"/>
      <c r="AW452" s="123"/>
      <c r="AX452" s="123"/>
      <c r="AY452" s="123"/>
      <c r="AZ452" s="123"/>
      <c r="BA452" s="123"/>
      <c r="BB452" s="123"/>
      <c r="BC452" s="123"/>
      <c r="BD452" s="123"/>
      <c r="BE452" s="123"/>
      <c r="BF452" s="123"/>
      <c r="BG452" s="123"/>
      <c r="BH452" s="123"/>
      <c r="BI452" s="123"/>
      <c r="BJ452" s="123"/>
      <c r="BK452" s="123"/>
      <c r="BL452" s="123"/>
      <c r="BM452" s="123"/>
      <c r="BN452" s="123"/>
      <c r="BO452" s="123"/>
      <c r="BP452" s="123"/>
      <c r="BQ452" s="123"/>
      <c r="BR452" s="123"/>
      <c r="BS452" s="123"/>
      <c r="BT452" s="123"/>
      <c r="BU452" s="123"/>
      <c r="BV452" s="123"/>
      <c r="BW452" s="123"/>
      <c r="BX452" s="123"/>
      <c r="BY452" s="123"/>
      <c r="BZ452" s="123"/>
      <c r="CA452" s="123"/>
    </row>
    <row r="453" spans="40:79">
      <c r="AN453" s="121"/>
      <c r="AO453" s="122"/>
      <c r="AP453" s="122"/>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c r="BY453" s="121"/>
      <c r="BZ453" s="121"/>
      <c r="CA453" s="121"/>
    </row>
    <row r="454" spans="40:79">
      <c r="AN454" s="121"/>
      <c r="AO454" s="124"/>
      <c r="AP454" s="124"/>
      <c r="AQ454" s="125"/>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c r="BY454" s="121"/>
      <c r="BZ454" s="121"/>
      <c r="CA454" s="121"/>
    </row>
    <row r="455" spans="40:79">
      <c r="AN455" s="121"/>
      <c r="AO455" s="124"/>
      <c r="AP455" s="124"/>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c r="BY455" s="121"/>
      <c r="BZ455" s="121"/>
      <c r="CA455" s="121"/>
    </row>
    <row r="456" spans="40:79">
      <c r="AN456" s="121"/>
      <c r="AO456" s="124"/>
      <c r="AP456" s="124"/>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c r="BY456" s="121"/>
      <c r="BZ456" s="121"/>
      <c r="CA456" s="121"/>
    </row>
    <row r="457" spans="40:79">
      <c r="AN457" s="121"/>
      <c r="AO457" s="124"/>
      <c r="AP457" s="124"/>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c r="BY457" s="121"/>
      <c r="BZ457" s="121"/>
      <c r="CA457" s="121"/>
    </row>
    <row r="458" spans="40:79">
      <c r="AN458" s="121"/>
      <c r="AO458" s="124"/>
      <c r="AP458" s="124"/>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c r="BY458" s="121"/>
      <c r="BZ458" s="121"/>
      <c r="CA458" s="121"/>
    </row>
    <row r="459" spans="40:79">
      <c r="AN459" s="121"/>
      <c r="AO459" s="124"/>
      <c r="AP459" s="124"/>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c r="BY459" s="121"/>
      <c r="BZ459" s="121"/>
      <c r="CA459" s="121"/>
    </row>
    <row r="460" spans="40:79">
      <c r="AN460" s="121"/>
      <c r="AO460" s="124"/>
      <c r="AP460" s="124"/>
      <c r="AQ460" s="121"/>
      <c r="AR460" s="124"/>
      <c r="AS460" s="124"/>
      <c r="AT460" s="124"/>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c r="BY460" s="121"/>
      <c r="BZ460" s="121"/>
      <c r="CA460" s="121"/>
    </row>
    <row r="461" spans="40:79">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c r="BY461" s="121"/>
      <c r="BZ461" s="121"/>
      <c r="CA461" s="121"/>
    </row>
    <row r="462" spans="40:79">
      <c r="AN462" s="121"/>
      <c r="AO462" s="122"/>
      <c r="AP462" s="122"/>
      <c r="AQ462" s="121"/>
      <c r="AR462" s="123"/>
      <c r="AS462" s="123"/>
      <c r="AT462" s="123"/>
      <c r="AU462" s="123"/>
      <c r="AV462" s="123"/>
      <c r="AW462" s="123"/>
      <c r="AX462" s="123"/>
      <c r="AY462" s="123"/>
      <c r="AZ462" s="123"/>
      <c r="BA462" s="123"/>
      <c r="BB462" s="123"/>
      <c r="BC462" s="123"/>
      <c r="BD462" s="123"/>
      <c r="BE462" s="123"/>
      <c r="BF462" s="123"/>
      <c r="BG462" s="123"/>
      <c r="BH462" s="123"/>
      <c r="BI462" s="123"/>
      <c r="BJ462" s="123"/>
      <c r="BK462" s="123"/>
      <c r="BL462" s="123"/>
      <c r="BM462" s="123"/>
      <c r="BN462" s="123"/>
      <c r="BO462" s="123"/>
      <c r="BP462" s="123"/>
      <c r="BQ462" s="123"/>
      <c r="BR462" s="123"/>
      <c r="BS462" s="123"/>
      <c r="BT462" s="123"/>
      <c r="BU462" s="123"/>
      <c r="BV462" s="123"/>
      <c r="BW462" s="123"/>
      <c r="BX462" s="123"/>
      <c r="BY462" s="123"/>
      <c r="BZ462" s="123"/>
      <c r="CA462" s="123"/>
    </row>
    <row r="463" spans="40:79">
      <c r="AN463" s="121"/>
      <c r="AO463" s="122"/>
      <c r="AP463" s="122"/>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c r="BY463" s="121"/>
      <c r="BZ463" s="121"/>
      <c r="CA463" s="121"/>
    </row>
    <row r="464" spans="40:79">
      <c r="AN464" s="121"/>
      <c r="AO464" s="124"/>
      <c r="AP464" s="124"/>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c r="BY464" s="121"/>
      <c r="BZ464" s="121"/>
      <c r="CA464" s="121"/>
    </row>
    <row r="465" spans="40:79">
      <c r="AN465" s="121"/>
      <c r="AO465" s="124"/>
      <c r="AP465" s="124"/>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c r="BY465" s="121"/>
      <c r="BZ465" s="121"/>
      <c r="CA465" s="121"/>
    </row>
    <row r="466" spans="40:79">
      <c r="AN466" s="121"/>
      <c r="AO466" s="124"/>
      <c r="AP466" s="124"/>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c r="BY466" s="121"/>
      <c r="BZ466" s="121"/>
      <c r="CA466" s="121"/>
    </row>
    <row r="467" spans="40:79">
      <c r="AN467" s="121"/>
      <c r="AO467" s="124"/>
      <c r="AP467" s="124"/>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c r="BY467" s="121"/>
      <c r="BZ467" s="121"/>
      <c r="CA467" s="121"/>
    </row>
    <row r="468" spans="40:79">
      <c r="AN468" s="121"/>
      <c r="AO468" s="124"/>
      <c r="AP468" s="124"/>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c r="BY468" s="121"/>
      <c r="BZ468" s="121"/>
      <c r="CA468" s="121"/>
    </row>
    <row r="469" spans="40:79">
      <c r="AN469" s="121"/>
      <c r="AO469" s="124"/>
      <c r="AP469" s="124"/>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c r="BY469" s="121"/>
      <c r="BZ469" s="121"/>
      <c r="CA469" s="121"/>
    </row>
    <row r="470" spans="40:79">
      <c r="AN470" s="121"/>
      <c r="AO470" s="124"/>
      <c r="AP470" s="124"/>
      <c r="AQ470" s="121"/>
      <c r="AR470" s="124"/>
      <c r="AS470" s="124"/>
      <c r="AT470" s="124"/>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c r="BY470" s="121"/>
      <c r="BZ470" s="121"/>
      <c r="CA470" s="121"/>
    </row>
    <row r="471" spans="40:79">
      <c r="AN471" s="121"/>
      <c r="AO471" s="126"/>
      <c r="AP471" s="126"/>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c r="BY471" s="121"/>
      <c r="BZ471" s="121"/>
      <c r="CA471" s="121"/>
    </row>
    <row r="472" spans="40:79">
      <c r="AN472" s="121"/>
      <c r="AO472" s="122"/>
      <c r="AP472" s="122"/>
      <c r="AQ472" s="121"/>
      <c r="AR472" s="123"/>
      <c r="AS472" s="123"/>
      <c r="AT472" s="123"/>
      <c r="AU472" s="123"/>
      <c r="AV472" s="123"/>
      <c r="AW472" s="123"/>
      <c r="AX472" s="123"/>
      <c r="AY472" s="123"/>
      <c r="AZ472" s="123"/>
      <c r="BA472" s="123"/>
      <c r="BB472" s="123"/>
      <c r="BC472" s="123"/>
      <c r="BD472" s="123"/>
      <c r="BE472" s="123"/>
      <c r="BF472" s="123"/>
      <c r="BG472" s="123"/>
      <c r="BH472" s="123"/>
      <c r="BI472" s="123"/>
      <c r="BJ472" s="123"/>
      <c r="BK472" s="123"/>
      <c r="BL472" s="123"/>
      <c r="BM472" s="123"/>
      <c r="BN472" s="123"/>
      <c r="BO472" s="123"/>
      <c r="BP472" s="123"/>
      <c r="BQ472" s="123"/>
      <c r="BR472" s="123"/>
      <c r="BS472" s="123"/>
      <c r="BT472" s="123"/>
      <c r="BU472" s="123"/>
      <c r="BV472" s="123"/>
      <c r="BW472" s="123"/>
      <c r="BX472" s="123"/>
      <c r="BY472" s="123"/>
      <c r="BZ472" s="123"/>
      <c r="CA472" s="123"/>
    </row>
    <row r="473" spans="40:79">
      <c r="AN473" s="121"/>
      <c r="AO473" s="122"/>
      <c r="AP473" s="122"/>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c r="BY473" s="121"/>
      <c r="BZ473" s="121"/>
      <c r="CA473" s="121"/>
    </row>
    <row r="474" spans="40:79">
      <c r="AN474" s="121"/>
      <c r="AO474" s="124"/>
      <c r="AP474" s="124"/>
      <c r="AQ474" s="125"/>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c r="BY474" s="121"/>
      <c r="BZ474" s="121"/>
      <c r="CA474" s="121"/>
    </row>
    <row r="475" spans="40:79">
      <c r="AN475" s="121"/>
      <c r="AO475" s="124"/>
      <c r="AP475" s="124"/>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c r="BY475" s="121"/>
      <c r="BZ475" s="121"/>
      <c r="CA475" s="121"/>
    </row>
    <row r="476" spans="40:79">
      <c r="AN476" s="121"/>
      <c r="AO476" s="124"/>
      <c r="AP476" s="124"/>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c r="BY476" s="121"/>
      <c r="BZ476" s="121"/>
      <c r="CA476" s="121"/>
    </row>
    <row r="477" spans="40:79">
      <c r="AN477" s="121"/>
      <c r="AO477" s="124"/>
      <c r="AP477" s="124"/>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c r="BY477" s="121"/>
      <c r="BZ477" s="121"/>
      <c r="CA477" s="121"/>
    </row>
    <row r="478" spans="40:79">
      <c r="AN478" s="121"/>
      <c r="AO478" s="124"/>
      <c r="AP478" s="124"/>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c r="BY478" s="121"/>
      <c r="BZ478" s="121"/>
      <c r="CA478" s="121"/>
    </row>
    <row r="479" spans="40:79">
      <c r="AN479" s="121"/>
      <c r="AO479" s="124"/>
      <c r="AP479" s="124"/>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c r="BY479" s="121"/>
      <c r="BZ479" s="121"/>
      <c r="CA479" s="121"/>
    </row>
    <row r="480" spans="40:79">
      <c r="AN480" s="121"/>
      <c r="AO480" s="124"/>
      <c r="AP480" s="124"/>
      <c r="AQ480" s="121"/>
      <c r="AR480" s="124"/>
      <c r="AS480" s="124"/>
      <c r="AT480" s="124"/>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c r="BY480" s="121"/>
      <c r="BZ480" s="121"/>
      <c r="CA480" s="121"/>
    </row>
    <row r="481" spans="40:79">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c r="BY481" s="121"/>
      <c r="BZ481" s="121"/>
      <c r="CA481" s="121"/>
    </row>
    <row r="482" spans="40:79">
      <c r="AN482" s="121"/>
      <c r="AO482" s="127"/>
      <c r="AP482" s="127"/>
      <c r="AQ482" s="121"/>
      <c r="AR482" s="123"/>
      <c r="AS482" s="123"/>
      <c r="AT482" s="123"/>
      <c r="AU482" s="123"/>
      <c r="AV482" s="123"/>
      <c r="AW482" s="123"/>
      <c r="AX482" s="123"/>
      <c r="AY482" s="123"/>
      <c r="AZ482" s="123"/>
      <c r="BA482" s="123"/>
      <c r="BB482" s="123"/>
      <c r="BC482" s="123"/>
      <c r="BD482" s="123"/>
      <c r="BE482" s="123"/>
      <c r="BF482" s="123"/>
      <c r="BG482" s="123"/>
      <c r="BH482" s="123"/>
      <c r="BI482" s="123"/>
      <c r="BJ482" s="123"/>
      <c r="BK482" s="123"/>
      <c r="BL482" s="123"/>
      <c r="BM482" s="123"/>
      <c r="BN482" s="123"/>
      <c r="BO482" s="123"/>
      <c r="BP482" s="123"/>
      <c r="BQ482" s="123"/>
      <c r="BR482" s="123"/>
      <c r="BS482" s="123"/>
      <c r="BT482" s="123"/>
      <c r="BU482" s="123"/>
      <c r="BV482" s="123"/>
      <c r="BW482" s="123"/>
      <c r="BX482" s="123"/>
      <c r="BY482" s="123"/>
      <c r="BZ482" s="123"/>
      <c r="CA482" s="123"/>
    </row>
    <row r="483" spans="40:79">
      <c r="AN483" s="121"/>
      <c r="AO483" s="127"/>
      <c r="AP483" s="127"/>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c r="BY483" s="121"/>
      <c r="BZ483" s="121"/>
      <c r="CA483" s="121"/>
    </row>
    <row r="484" spans="40:79">
      <c r="AN484" s="121"/>
      <c r="AO484" s="124"/>
      <c r="AP484" s="124"/>
      <c r="AQ484" s="125"/>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c r="BY484" s="121"/>
      <c r="BZ484" s="121"/>
      <c r="CA484" s="121"/>
    </row>
    <row r="485" spans="40:79">
      <c r="AN485" s="121"/>
      <c r="AO485" s="124"/>
      <c r="AP485" s="124"/>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c r="BY485" s="121"/>
      <c r="BZ485" s="121"/>
      <c r="CA485" s="121"/>
    </row>
    <row r="486" spans="40:79">
      <c r="AN486" s="121"/>
      <c r="AO486" s="124"/>
      <c r="AP486" s="124"/>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c r="BY486" s="121"/>
      <c r="BZ486" s="121"/>
      <c r="CA486" s="121"/>
    </row>
    <row r="487" spans="40:79">
      <c r="AN487" s="121"/>
      <c r="AO487" s="124"/>
      <c r="AP487" s="124"/>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c r="BY487" s="121"/>
      <c r="BZ487" s="121"/>
      <c r="CA487" s="121"/>
    </row>
    <row r="488" spans="40:79">
      <c r="AN488" s="121"/>
      <c r="AO488" s="124"/>
      <c r="AP488" s="124"/>
      <c r="AQ488" s="121"/>
      <c r="AR488" s="121"/>
      <c r="AS488" s="121"/>
      <c r="AT488" s="121"/>
      <c r="AU488" s="121"/>
      <c r="AV488" s="121"/>
      <c r="AW488" s="121"/>
      <c r="AX488" s="121"/>
      <c r="AY488" s="121"/>
      <c r="AZ488" s="121"/>
      <c r="BA488" s="121"/>
      <c r="BB488" s="121"/>
      <c r="BC488" s="121"/>
      <c r="BD488" s="121"/>
      <c r="BE488" s="121"/>
      <c r="BF488" s="121"/>
      <c r="BG488" s="121"/>
      <c r="BH488" s="121"/>
      <c r="BI488" s="121"/>
      <c r="BJ488" s="121"/>
      <c r="BK488" s="121"/>
      <c r="BL488" s="121"/>
      <c r="BM488" s="121"/>
      <c r="BN488" s="121"/>
      <c r="BO488" s="121"/>
      <c r="BP488" s="121"/>
      <c r="BQ488" s="121"/>
      <c r="BR488" s="121"/>
      <c r="BS488" s="121"/>
      <c r="BT488" s="121"/>
      <c r="BU488" s="121"/>
      <c r="BV488" s="121"/>
      <c r="BW488" s="121"/>
      <c r="BX488" s="121"/>
      <c r="BY488" s="121"/>
      <c r="BZ488" s="121"/>
      <c r="CA488" s="121"/>
    </row>
    <row r="489" spans="40:79">
      <c r="AN489" s="121"/>
      <c r="AO489" s="124"/>
      <c r="AP489" s="124"/>
      <c r="AQ489" s="121"/>
      <c r="AR489" s="121"/>
      <c r="AS489" s="121"/>
      <c r="AT489" s="121"/>
      <c r="AU489" s="121"/>
      <c r="AV489" s="121"/>
      <c r="AW489" s="121"/>
      <c r="AX489" s="121"/>
      <c r="AY489" s="121"/>
      <c r="AZ489" s="121"/>
      <c r="BA489" s="121"/>
      <c r="BB489" s="121"/>
      <c r="BC489" s="121"/>
      <c r="BD489" s="121"/>
      <c r="BE489" s="121"/>
      <c r="BF489" s="121"/>
      <c r="BG489" s="121"/>
      <c r="BH489" s="121"/>
      <c r="BI489" s="121"/>
      <c r="BJ489" s="121"/>
      <c r="BK489" s="121"/>
      <c r="BL489" s="121"/>
      <c r="BM489" s="121"/>
      <c r="BN489" s="121"/>
      <c r="BO489" s="121"/>
      <c r="BP489" s="121"/>
      <c r="BQ489" s="121"/>
      <c r="BR489" s="121"/>
      <c r="BS489" s="121"/>
      <c r="BT489" s="121"/>
      <c r="BU489" s="121"/>
      <c r="BV489" s="121"/>
      <c r="BW489" s="121"/>
      <c r="BX489" s="121"/>
      <c r="BY489" s="121"/>
      <c r="BZ489" s="121"/>
      <c r="CA489" s="121"/>
    </row>
    <row r="490" spans="40:79">
      <c r="AN490" s="121"/>
      <c r="AO490" s="124"/>
      <c r="AP490" s="124"/>
      <c r="AQ490" s="121"/>
      <c r="AR490" s="124"/>
      <c r="AS490" s="124"/>
      <c r="AT490" s="124"/>
      <c r="AU490" s="121"/>
      <c r="AV490" s="121"/>
      <c r="AW490" s="121"/>
      <c r="AX490" s="121"/>
      <c r="AY490" s="121"/>
      <c r="AZ490" s="121"/>
      <c r="BA490" s="121"/>
      <c r="BB490" s="121"/>
      <c r="BC490" s="121"/>
      <c r="BD490" s="121"/>
      <c r="BE490" s="121"/>
      <c r="BF490" s="121"/>
      <c r="BG490" s="121"/>
      <c r="BH490" s="121"/>
      <c r="BI490" s="121"/>
      <c r="BJ490" s="121"/>
      <c r="BK490" s="121"/>
      <c r="BL490" s="121"/>
      <c r="BM490" s="121"/>
      <c r="BN490" s="121"/>
      <c r="BO490" s="121"/>
      <c r="BP490" s="121"/>
      <c r="BQ490" s="121"/>
      <c r="BR490" s="121"/>
      <c r="BS490" s="121"/>
      <c r="BT490" s="121"/>
      <c r="BU490" s="121"/>
      <c r="BV490" s="121"/>
      <c r="BW490" s="121"/>
      <c r="BX490" s="121"/>
      <c r="BY490" s="121"/>
      <c r="BZ490" s="121"/>
      <c r="CA490" s="121"/>
    </row>
    <row r="491" spans="40:79">
      <c r="AN491" s="121"/>
      <c r="AO491" s="121"/>
      <c r="AP491" s="121"/>
      <c r="AQ491" s="121"/>
      <c r="AR491" s="121"/>
      <c r="AS491" s="121"/>
      <c r="AT491" s="121"/>
      <c r="AU491" s="121"/>
      <c r="AV491" s="121"/>
      <c r="AW491" s="121"/>
      <c r="AX491" s="121"/>
      <c r="AY491" s="121"/>
      <c r="AZ491" s="121"/>
      <c r="BA491" s="121"/>
      <c r="BB491" s="121"/>
      <c r="BC491" s="121"/>
      <c r="BD491" s="121"/>
      <c r="BE491" s="121"/>
      <c r="BF491" s="121"/>
      <c r="BG491" s="121"/>
      <c r="BH491" s="121"/>
      <c r="BI491" s="121"/>
      <c r="BJ491" s="121"/>
      <c r="BK491" s="121"/>
      <c r="BL491" s="121"/>
      <c r="BM491" s="121"/>
      <c r="BN491" s="121"/>
      <c r="BO491" s="121"/>
      <c r="BP491" s="121"/>
      <c r="BQ491" s="121"/>
      <c r="BR491" s="121"/>
      <c r="BS491" s="121"/>
      <c r="BT491" s="121"/>
      <c r="BU491" s="121"/>
      <c r="BV491" s="121"/>
      <c r="BW491" s="121"/>
      <c r="BX491" s="121"/>
      <c r="BY491" s="121"/>
      <c r="BZ491" s="121"/>
      <c r="CA491" s="121"/>
    </row>
    <row r="492" spans="40:79">
      <c r="AN492" s="121"/>
      <c r="AO492" s="127"/>
      <c r="AP492" s="127"/>
      <c r="AQ492" s="121"/>
      <c r="AR492" s="123"/>
      <c r="AS492" s="123"/>
      <c r="AT492" s="123"/>
      <c r="AU492" s="123"/>
      <c r="AV492" s="123"/>
      <c r="AW492" s="123"/>
      <c r="AX492" s="123"/>
      <c r="AY492" s="123"/>
      <c r="AZ492" s="123"/>
      <c r="BA492" s="123"/>
      <c r="BB492" s="123"/>
      <c r="BC492" s="123"/>
      <c r="BD492" s="123"/>
      <c r="BE492" s="123"/>
      <c r="BF492" s="123"/>
      <c r="BG492" s="123"/>
      <c r="BH492" s="123"/>
      <c r="BI492" s="123"/>
      <c r="BJ492" s="123"/>
      <c r="BK492" s="123"/>
      <c r="BL492" s="123"/>
      <c r="BM492" s="123"/>
      <c r="BN492" s="123"/>
      <c r="BO492" s="123"/>
      <c r="BP492" s="123"/>
      <c r="BQ492" s="123"/>
      <c r="BR492" s="123"/>
      <c r="BS492" s="123"/>
      <c r="BT492" s="123"/>
      <c r="BU492" s="123"/>
      <c r="BV492" s="123"/>
      <c r="BW492" s="123"/>
      <c r="BX492" s="123"/>
      <c r="BY492" s="123"/>
      <c r="BZ492" s="123"/>
      <c r="CA492" s="123"/>
    </row>
    <row r="493" spans="40:79">
      <c r="AN493" s="121"/>
      <c r="AO493" s="127"/>
      <c r="AP493" s="127"/>
      <c r="AQ493" s="121"/>
      <c r="AR493" s="121"/>
      <c r="AS493" s="121"/>
      <c r="AT493" s="121"/>
      <c r="AU493" s="121"/>
      <c r="AV493" s="121"/>
      <c r="AW493" s="121"/>
      <c r="AX493" s="121"/>
      <c r="AY493" s="121"/>
      <c r="AZ493" s="121"/>
      <c r="BA493" s="121"/>
      <c r="BB493" s="121"/>
      <c r="BC493" s="121"/>
      <c r="BD493" s="121"/>
      <c r="BE493" s="121"/>
      <c r="BF493" s="121"/>
      <c r="BG493" s="121"/>
      <c r="BH493" s="121"/>
      <c r="BI493" s="121"/>
      <c r="BJ493" s="121"/>
      <c r="BK493" s="121"/>
      <c r="BL493" s="121"/>
      <c r="BM493" s="121"/>
      <c r="BN493" s="121"/>
      <c r="BO493" s="121"/>
      <c r="BP493" s="121"/>
      <c r="BQ493" s="121"/>
      <c r="BR493" s="121"/>
      <c r="BS493" s="121"/>
      <c r="BT493" s="121"/>
      <c r="BU493" s="121"/>
      <c r="BV493" s="121"/>
      <c r="BW493" s="121"/>
      <c r="BX493" s="121"/>
      <c r="BY493" s="121"/>
      <c r="BZ493" s="121"/>
      <c r="CA493" s="121"/>
    </row>
    <row r="494" spans="40:79">
      <c r="AN494" s="121"/>
      <c r="AO494" s="124"/>
      <c r="AP494" s="124"/>
      <c r="AQ494" s="125"/>
      <c r="AR494" s="121"/>
      <c r="AS494" s="121"/>
      <c r="AT494" s="121"/>
      <c r="AU494" s="121"/>
      <c r="AV494" s="121"/>
      <c r="AW494" s="121"/>
      <c r="AX494" s="121"/>
      <c r="AY494" s="121"/>
      <c r="AZ494" s="121"/>
      <c r="BA494" s="121"/>
      <c r="BB494" s="121"/>
      <c r="BC494" s="121"/>
      <c r="BD494" s="121"/>
      <c r="BE494" s="121"/>
      <c r="BF494" s="121"/>
      <c r="BG494" s="121"/>
      <c r="BH494" s="121"/>
      <c r="BI494" s="121"/>
      <c r="BJ494" s="121"/>
      <c r="BK494" s="121"/>
      <c r="BL494" s="121"/>
      <c r="BM494" s="121"/>
      <c r="BN494" s="121"/>
      <c r="BO494" s="121"/>
      <c r="BP494" s="121"/>
      <c r="BQ494" s="121"/>
      <c r="BR494" s="121"/>
      <c r="BS494" s="121"/>
      <c r="BT494" s="121"/>
      <c r="BU494" s="121"/>
      <c r="BV494" s="121"/>
      <c r="BW494" s="121"/>
      <c r="BX494" s="121"/>
      <c r="BY494" s="121"/>
      <c r="BZ494" s="121"/>
      <c r="CA494" s="121"/>
    </row>
    <row r="495" spans="40:79">
      <c r="AN495" s="121"/>
      <c r="AO495" s="124"/>
      <c r="AP495" s="124"/>
      <c r="AQ495" s="121"/>
      <c r="AR495" s="121"/>
      <c r="AS495" s="121"/>
      <c r="AT495" s="121"/>
      <c r="AU495" s="121"/>
      <c r="AV495" s="121"/>
      <c r="AW495" s="121"/>
      <c r="AX495" s="121"/>
      <c r="AY495" s="121"/>
      <c r="AZ495" s="121"/>
      <c r="BA495" s="121"/>
      <c r="BB495" s="121"/>
      <c r="BC495" s="121"/>
      <c r="BD495" s="121"/>
      <c r="BE495" s="121"/>
      <c r="BF495" s="121"/>
      <c r="BG495" s="121"/>
      <c r="BH495" s="121"/>
      <c r="BI495" s="121"/>
      <c r="BJ495" s="121"/>
      <c r="BK495" s="121"/>
      <c r="BL495" s="121"/>
      <c r="BM495" s="121"/>
      <c r="BN495" s="121"/>
      <c r="BO495" s="121"/>
      <c r="BP495" s="121"/>
      <c r="BQ495" s="121"/>
      <c r="BR495" s="121"/>
      <c r="BS495" s="121"/>
      <c r="BT495" s="121"/>
      <c r="BU495" s="121"/>
      <c r="BV495" s="121"/>
      <c r="BW495" s="121"/>
      <c r="BX495" s="121"/>
      <c r="BY495" s="121"/>
      <c r="BZ495" s="121"/>
      <c r="CA495" s="121"/>
    </row>
    <row r="496" spans="40:79">
      <c r="AN496" s="121"/>
      <c r="AO496" s="124"/>
      <c r="AP496" s="124"/>
      <c r="AQ496" s="121"/>
      <c r="AR496" s="121"/>
      <c r="AS496" s="121"/>
      <c r="AT496" s="121"/>
      <c r="AU496" s="121"/>
      <c r="AV496" s="121"/>
      <c r="AW496" s="121"/>
      <c r="AX496" s="121"/>
      <c r="AY496" s="121"/>
      <c r="AZ496" s="121"/>
      <c r="BA496" s="121"/>
      <c r="BB496" s="121"/>
      <c r="BC496" s="121"/>
      <c r="BD496" s="121"/>
      <c r="BE496" s="121"/>
      <c r="BF496" s="121"/>
      <c r="BG496" s="121"/>
      <c r="BH496" s="121"/>
      <c r="BI496" s="121"/>
      <c r="BJ496" s="121"/>
      <c r="BK496" s="121"/>
      <c r="BL496" s="121"/>
      <c r="BM496" s="121"/>
      <c r="BN496" s="121"/>
      <c r="BO496" s="121"/>
      <c r="BP496" s="121"/>
      <c r="BQ496" s="121"/>
      <c r="BR496" s="121"/>
      <c r="BS496" s="121"/>
      <c r="BT496" s="121"/>
      <c r="BU496" s="121"/>
      <c r="BV496" s="121"/>
      <c r="BW496" s="121"/>
      <c r="BX496" s="121"/>
      <c r="BY496" s="121"/>
      <c r="BZ496" s="121"/>
      <c r="CA496" s="121"/>
    </row>
    <row r="497" spans="40:79">
      <c r="AN497" s="121"/>
      <c r="AO497" s="124"/>
      <c r="AP497" s="124"/>
      <c r="AQ497" s="121"/>
      <c r="AR497" s="121"/>
      <c r="AS497" s="121"/>
      <c r="AT497" s="121"/>
      <c r="AU497" s="121"/>
      <c r="AV497" s="121"/>
      <c r="AW497" s="121"/>
      <c r="AX497" s="121"/>
      <c r="AY497" s="121"/>
      <c r="AZ497" s="121"/>
      <c r="BA497" s="121"/>
      <c r="BB497" s="121"/>
      <c r="BC497" s="121"/>
      <c r="BD497" s="121"/>
      <c r="BE497" s="121"/>
      <c r="BF497" s="121"/>
      <c r="BG497" s="121"/>
      <c r="BH497" s="121"/>
      <c r="BI497" s="121"/>
      <c r="BJ497" s="121"/>
      <c r="BK497" s="121"/>
      <c r="BL497" s="121"/>
      <c r="BM497" s="121"/>
      <c r="BN497" s="121"/>
      <c r="BO497" s="121"/>
      <c r="BP497" s="121"/>
      <c r="BQ497" s="121"/>
      <c r="BR497" s="121"/>
      <c r="BS497" s="121"/>
      <c r="BT497" s="121"/>
      <c r="BU497" s="121"/>
      <c r="BV497" s="121"/>
      <c r="BW497" s="121"/>
      <c r="BX497" s="121"/>
      <c r="BY497" s="121"/>
      <c r="BZ497" s="121"/>
      <c r="CA497" s="121"/>
    </row>
    <row r="498" spans="40:79">
      <c r="AN498" s="121"/>
      <c r="AO498" s="124"/>
      <c r="AP498" s="124"/>
      <c r="AQ498" s="121"/>
      <c r="AR498" s="121"/>
      <c r="AS498" s="121"/>
      <c r="AT498" s="121"/>
      <c r="AU498" s="121"/>
      <c r="AV498" s="121"/>
      <c r="AW498" s="121"/>
      <c r="AX498" s="121"/>
      <c r="AY498" s="121"/>
      <c r="AZ498" s="121"/>
      <c r="BA498" s="121"/>
      <c r="BB498" s="121"/>
      <c r="BC498" s="121"/>
      <c r="BD498" s="121"/>
      <c r="BE498" s="121"/>
      <c r="BF498" s="121"/>
      <c r="BG498" s="121"/>
      <c r="BH498" s="121"/>
      <c r="BI498" s="121"/>
      <c r="BJ498" s="121"/>
      <c r="BK498" s="121"/>
      <c r="BL498" s="121"/>
      <c r="BM498" s="121"/>
      <c r="BN498" s="121"/>
      <c r="BO498" s="121"/>
      <c r="BP498" s="121"/>
      <c r="BQ498" s="121"/>
      <c r="BR498" s="121"/>
      <c r="BS498" s="121"/>
      <c r="BT498" s="121"/>
      <c r="BU498" s="121"/>
      <c r="BV498" s="121"/>
      <c r="BW498" s="121"/>
      <c r="BX498" s="121"/>
      <c r="BY498" s="121"/>
      <c r="BZ498" s="121"/>
      <c r="CA498" s="121"/>
    </row>
    <row r="499" spans="40:79">
      <c r="AN499" s="121"/>
      <c r="AO499" s="124"/>
      <c r="AP499" s="124"/>
      <c r="AQ499" s="121"/>
      <c r="AR499" s="121"/>
      <c r="AS499" s="121"/>
      <c r="AT499" s="121"/>
      <c r="AU499" s="121"/>
      <c r="AV499" s="121"/>
      <c r="AW499" s="121"/>
      <c r="AX499" s="121"/>
      <c r="AY499" s="121"/>
      <c r="AZ499" s="121"/>
      <c r="BA499" s="121"/>
      <c r="BB499" s="121"/>
      <c r="BC499" s="121"/>
      <c r="BD499" s="121"/>
      <c r="BE499" s="121"/>
      <c r="BF499" s="121"/>
      <c r="BG499" s="121"/>
      <c r="BH499" s="121"/>
      <c r="BI499" s="121"/>
      <c r="BJ499" s="121"/>
      <c r="BK499" s="121"/>
      <c r="BL499" s="121"/>
      <c r="BM499" s="121"/>
      <c r="BN499" s="121"/>
      <c r="BO499" s="121"/>
      <c r="BP499" s="121"/>
      <c r="BQ499" s="121"/>
      <c r="BR499" s="121"/>
      <c r="BS499" s="121"/>
      <c r="BT499" s="121"/>
      <c r="BU499" s="121"/>
      <c r="BV499" s="121"/>
      <c r="BW499" s="121"/>
      <c r="BX499" s="121"/>
      <c r="BY499" s="121"/>
      <c r="BZ499" s="121"/>
      <c r="CA499" s="121"/>
    </row>
    <row r="500" spans="40:79">
      <c r="AN500" s="121"/>
      <c r="AO500" s="124"/>
      <c r="AP500" s="124"/>
      <c r="AQ500" s="121"/>
      <c r="AR500" s="124"/>
      <c r="AS500" s="124"/>
      <c r="AT500" s="124"/>
      <c r="AU500" s="121"/>
      <c r="AV500" s="121"/>
      <c r="AW500" s="121"/>
      <c r="AX500" s="121"/>
      <c r="AY500" s="121"/>
      <c r="AZ500" s="121"/>
      <c r="BA500" s="121"/>
      <c r="BB500" s="121"/>
      <c r="BC500" s="121"/>
      <c r="BD500" s="121"/>
      <c r="BE500" s="121"/>
      <c r="BF500" s="121"/>
      <c r="BG500" s="121"/>
      <c r="BH500" s="121"/>
      <c r="BI500" s="121"/>
      <c r="BJ500" s="121"/>
      <c r="BK500" s="121"/>
      <c r="BL500" s="121"/>
      <c r="BM500" s="121"/>
      <c r="BN500" s="121"/>
      <c r="BO500" s="121"/>
      <c r="BP500" s="121"/>
      <c r="BQ500" s="121"/>
      <c r="BR500" s="121"/>
      <c r="BS500" s="121"/>
      <c r="BT500" s="121"/>
      <c r="BU500" s="121"/>
      <c r="BV500" s="121"/>
      <c r="BW500" s="121"/>
      <c r="BX500" s="121"/>
      <c r="BY500" s="121"/>
      <c r="BZ500" s="121"/>
      <c r="CA500" s="121"/>
    </row>
    <row r="501" spans="40:79">
      <c r="AN501" s="121"/>
      <c r="AO501" s="121"/>
      <c r="AP501" s="121"/>
      <c r="AQ501" s="121"/>
      <c r="AR501" s="121"/>
      <c r="AS501" s="121"/>
      <c r="AT501" s="121"/>
      <c r="AU501" s="121"/>
      <c r="AV501" s="121"/>
      <c r="AW501" s="121"/>
      <c r="AX501" s="121"/>
      <c r="AY501" s="121"/>
      <c r="AZ501" s="121"/>
      <c r="BA501" s="121"/>
      <c r="BB501" s="121"/>
      <c r="BC501" s="121"/>
      <c r="BD501" s="121"/>
      <c r="BE501" s="121"/>
      <c r="BF501" s="121"/>
      <c r="BG501" s="121"/>
      <c r="BH501" s="121"/>
      <c r="BI501" s="121"/>
      <c r="BJ501" s="121"/>
      <c r="BK501" s="121"/>
      <c r="BL501" s="121"/>
      <c r="BM501" s="121"/>
      <c r="BN501" s="121"/>
      <c r="BO501" s="121"/>
      <c r="BP501" s="121"/>
      <c r="BQ501" s="121"/>
      <c r="BR501" s="121"/>
      <c r="BS501" s="121"/>
      <c r="BT501" s="121"/>
      <c r="BU501" s="121"/>
      <c r="BV501" s="121"/>
      <c r="BW501" s="121"/>
      <c r="BX501" s="121"/>
      <c r="BY501" s="121"/>
      <c r="BZ501" s="121"/>
      <c r="CA501" s="121"/>
    </row>
    <row r="502" spans="40:79">
      <c r="AN502" s="121"/>
      <c r="AO502" s="127"/>
      <c r="AP502" s="127"/>
      <c r="AQ502" s="121"/>
      <c r="AR502" s="123"/>
      <c r="AS502" s="123"/>
      <c r="AT502" s="123"/>
      <c r="AU502" s="123"/>
      <c r="AV502" s="123"/>
      <c r="AW502" s="123"/>
      <c r="AX502" s="123"/>
      <c r="AY502" s="123"/>
      <c r="AZ502" s="123"/>
      <c r="BA502" s="123"/>
      <c r="BB502" s="123"/>
      <c r="BC502" s="123"/>
      <c r="BD502" s="123"/>
      <c r="BE502" s="123"/>
      <c r="BF502" s="123"/>
      <c r="BG502" s="123"/>
      <c r="BH502" s="123"/>
      <c r="BI502" s="123"/>
      <c r="BJ502" s="123"/>
      <c r="BK502" s="123"/>
      <c r="BL502" s="123"/>
      <c r="BM502" s="123"/>
      <c r="BN502" s="123"/>
      <c r="BO502" s="123"/>
      <c r="BP502" s="123"/>
      <c r="BQ502" s="123"/>
      <c r="BR502" s="123"/>
      <c r="BS502" s="123"/>
      <c r="BT502" s="123"/>
      <c r="BU502" s="123"/>
      <c r="BV502" s="123"/>
      <c r="BW502" s="123"/>
      <c r="BX502" s="123"/>
      <c r="BY502" s="123"/>
      <c r="BZ502" s="123"/>
      <c r="CA502" s="123"/>
    </row>
    <row r="503" spans="40:79">
      <c r="AN503" s="121"/>
      <c r="AO503" s="127"/>
      <c r="AP503" s="127"/>
      <c r="AQ503" s="121"/>
      <c r="AR503" s="121"/>
      <c r="AS503" s="121"/>
      <c r="AT503" s="121"/>
      <c r="AU503" s="121"/>
      <c r="AV503" s="121"/>
      <c r="AW503" s="121"/>
      <c r="AX503" s="121"/>
      <c r="AY503" s="121"/>
      <c r="AZ503" s="121"/>
      <c r="BA503" s="121"/>
      <c r="BB503" s="121"/>
      <c r="BC503" s="121"/>
      <c r="BD503" s="121"/>
      <c r="BE503" s="121"/>
      <c r="BF503" s="121"/>
      <c r="BG503" s="121"/>
      <c r="BH503" s="121"/>
      <c r="BI503" s="121"/>
      <c r="BJ503" s="121"/>
      <c r="BK503" s="121"/>
      <c r="BL503" s="121"/>
      <c r="BM503" s="121"/>
      <c r="BN503" s="121"/>
      <c r="BO503" s="121"/>
      <c r="BP503" s="121"/>
      <c r="BQ503" s="121"/>
      <c r="BR503" s="121"/>
      <c r="BS503" s="121"/>
      <c r="BT503" s="121"/>
      <c r="BU503" s="121"/>
      <c r="BV503" s="121"/>
      <c r="BW503" s="121"/>
      <c r="BX503" s="121"/>
      <c r="BY503" s="121"/>
      <c r="BZ503" s="121"/>
      <c r="CA503" s="121"/>
    </row>
    <row r="504" spans="40:79">
      <c r="AN504" s="121"/>
      <c r="AO504" s="124"/>
      <c r="AP504" s="124"/>
      <c r="AQ504" s="125"/>
      <c r="AR504" s="121"/>
      <c r="AS504" s="121"/>
      <c r="AT504" s="121"/>
      <c r="AU504" s="121"/>
      <c r="AV504" s="121"/>
      <c r="AW504" s="121"/>
      <c r="AX504" s="121"/>
      <c r="AY504" s="121"/>
      <c r="AZ504" s="121"/>
      <c r="BA504" s="121"/>
      <c r="BB504" s="121"/>
      <c r="BC504" s="121"/>
      <c r="BD504" s="121"/>
      <c r="BE504" s="121"/>
      <c r="BF504" s="121"/>
      <c r="BG504" s="121"/>
      <c r="BH504" s="121"/>
      <c r="BI504" s="121"/>
      <c r="BJ504" s="121"/>
      <c r="BK504" s="121"/>
      <c r="BL504" s="121"/>
      <c r="BM504" s="121"/>
      <c r="BN504" s="121"/>
      <c r="BO504" s="121"/>
      <c r="BP504" s="121"/>
      <c r="BQ504" s="121"/>
      <c r="BR504" s="121"/>
      <c r="BS504" s="121"/>
      <c r="BT504" s="121"/>
      <c r="BU504" s="121"/>
      <c r="BV504" s="121"/>
      <c r="BW504" s="121"/>
      <c r="BX504" s="121"/>
      <c r="BY504" s="121"/>
      <c r="BZ504" s="121"/>
      <c r="CA504" s="121"/>
    </row>
    <row r="505" spans="40:79">
      <c r="AN505" s="121"/>
      <c r="AO505" s="124"/>
      <c r="AP505" s="124"/>
      <c r="AQ505" s="121"/>
      <c r="AR505" s="121"/>
      <c r="AS505" s="121"/>
      <c r="AT505" s="121"/>
      <c r="AU505" s="121"/>
      <c r="AV505" s="121"/>
      <c r="AW505" s="121"/>
      <c r="AX505" s="121"/>
      <c r="AY505" s="121"/>
      <c r="AZ505" s="121"/>
      <c r="BA505" s="121"/>
      <c r="BB505" s="121"/>
      <c r="BC505" s="121"/>
      <c r="BD505" s="121"/>
      <c r="BE505" s="121"/>
      <c r="BF505" s="121"/>
      <c r="BG505" s="121"/>
      <c r="BH505" s="121"/>
      <c r="BI505" s="121"/>
      <c r="BJ505" s="121"/>
      <c r="BK505" s="121"/>
      <c r="BL505" s="121"/>
      <c r="BM505" s="121"/>
      <c r="BN505" s="121"/>
      <c r="BO505" s="121"/>
      <c r="BP505" s="121"/>
      <c r="BQ505" s="121"/>
      <c r="BR505" s="121"/>
      <c r="BS505" s="121"/>
      <c r="BT505" s="121"/>
      <c r="BU505" s="121"/>
      <c r="BV505" s="121"/>
      <c r="BW505" s="121"/>
      <c r="BX505" s="121"/>
      <c r="BY505" s="121"/>
      <c r="BZ505" s="121"/>
      <c r="CA505" s="121"/>
    </row>
    <row r="506" spans="40:79">
      <c r="AN506" s="121"/>
      <c r="AO506" s="124"/>
      <c r="AP506" s="124"/>
      <c r="AQ506" s="121"/>
      <c r="AR506" s="121"/>
      <c r="AS506" s="121"/>
      <c r="AT506" s="121"/>
      <c r="AU506" s="121"/>
      <c r="AV506" s="121"/>
      <c r="AW506" s="121"/>
      <c r="AX506" s="121"/>
      <c r="AY506" s="121"/>
      <c r="AZ506" s="121"/>
      <c r="BA506" s="121"/>
      <c r="BB506" s="121"/>
      <c r="BC506" s="121"/>
      <c r="BD506" s="121"/>
      <c r="BE506" s="121"/>
      <c r="BF506" s="121"/>
      <c r="BG506" s="121"/>
      <c r="BH506" s="121"/>
      <c r="BI506" s="121"/>
      <c r="BJ506" s="121"/>
      <c r="BK506" s="121"/>
      <c r="BL506" s="121"/>
      <c r="BM506" s="121"/>
      <c r="BN506" s="121"/>
      <c r="BO506" s="121"/>
      <c r="BP506" s="121"/>
      <c r="BQ506" s="121"/>
      <c r="BR506" s="121"/>
      <c r="BS506" s="121"/>
      <c r="BT506" s="121"/>
      <c r="BU506" s="121"/>
      <c r="BV506" s="121"/>
      <c r="BW506" s="121"/>
      <c r="BX506" s="121"/>
      <c r="BY506" s="121"/>
      <c r="BZ506" s="121"/>
      <c r="CA506" s="121"/>
    </row>
    <row r="507" spans="40:79">
      <c r="AN507" s="121"/>
      <c r="AO507" s="124"/>
      <c r="AP507" s="124"/>
      <c r="AQ507" s="121"/>
      <c r="AR507" s="121"/>
      <c r="AS507" s="121"/>
      <c r="AT507" s="121"/>
      <c r="AU507" s="121"/>
      <c r="AV507" s="121"/>
      <c r="AW507" s="121"/>
      <c r="AX507" s="121"/>
      <c r="AY507" s="121"/>
      <c r="AZ507" s="121"/>
      <c r="BA507" s="121"/>
      <c r="BB507" s="121"/>
      <c r="BC507" s="121"/>
      <c r="BD507" s="121"/>
      <c r="BE507" s="121"/>
      <c r="BF507" s="121"/>
      <c r="BG507" s="121"/>
      <c r="BH507" s="121"/>
      <c r="BI507" s="121"/>
      <c r="BJ507" s="121"/>
      <c r="BK507" s="121"/>
      <c r="BL507" s="121"/>
      <c r="BM507" s="121"/>
      <c r="BN507" s="121"/>
      <c r="BO507" s="121"/>
      <c r="BP507" s="121"/>
      <c r="BQ507" s="121"/>
      <c r="BR507" s="121"/>
      <c r="BS507" s="121"/>
      <c r="BT507" s="121"/>
      <c r="BU507" s="121"/>
      <c r="BV507" s="121"/>
      <c r="BW507" s="121"/>
      <c r="BX507" s="121"/>
      <c r="BY507" s="121"/>
      <c r="BZ507" s="121"/>
      <c r="CA507" s="121"/>
    </row>
    <row r="508" spans="40:79">
      <c r="AN508" s="121"/>
      <c r="AO508" s="124"/>
      <c r="AP508" s="124"/>
      <c r="AQ508" s="121"/>
      <c r="AR508" s="121"/>
      <c r="AS508" s="121"/>
      <c r="AT508" s="121"/>
      <c r="AU508" s="121"/>
      <c r="AV508" s="121"/>
      <c r="AW508" s="121"/>
      <c r="AX508" s="121"/>
      <c r="AY508" s="121"/>
      <c r="AZ508" s="121"/>
      <c r="BA508" s="121"/>
      <c r="BB508" s="121"/>
      <c r="BC508" s="121"/>
      <c r="BD508" s="121"/>
      <c r="BE508" s="121"/>
      <c r="BF508" s="121"/>
      <c r="BG508" s="121"/>
      <c r="BH508" s="121"/>
      <c r="BI508" s="121"/>
      <c r="BJ508" s="121"/>
      <c r="BK508" s="121"/>
      <c r="BL508" s="121"/>
      <c r="BM508" s="121"/>
      <c r="BN508" s="121"/>
      <c r="BO508" s="121"/>
      <c r="BP508" s="121"/>
      <c r="BQ508" s="121"/>
      <c r="BR508" s="121"/>
      <c r="BS508" s="121"/>
      <c r="BT508" s="121"/>
      <c r="BU508" s="121"/>
      <c r="BV508" s="121"/>
      <c r="BW508" s="121"/>
      <c r="BX508" s="121"/>
      <c r="BY508" s="121"/>
      <c r="BZ508" s="121"/>
      <c r="CA508" s="121"/>
    </row>
    <row r="509" spans="40:79">
      <c r="AN509" s="121"/>
      <c r="AO509" s="124"/>
      <c r="AP509" s="124"/>
      <c r="AQ509" s="121"/>
      <c r="AR509" s="121"/>
      <c r="AS509" s="121"/>
      <c r="AT509" s="121"/>
      <c r="AU509" s="121"/>
      <c r="AV509" s="121"/>
      <c r="AW509" s="121"/>
      <c r="AX509" s="121"/>
      <c r="AY509" s="121"/>
      <c r="AZ509" s="121"/>
      <c r="BA509" s="121"/>
      <c r="BB509" s="121"/>
      <c r="BC509" s="121"/>
      <c r="BD509" s="121"/>
      <c r="BE509" s="121"/>
      <c r="BF509" s="121"/>
      <c r="BG509" s="121"/>
      <c r="BH509" s="121"/>
      <c r="BI509" s="121"/>
      <c r="BJ509" s="121"/>
      <c r="BK509" s="121"/>
      <c r="BL509" s="121"/>
      <c r="BM509" s="121"/>
      <c r="BN509" s="121"/>
      <c r="BO509" s="121"/>
      <c r="BP509" s="121"/>
      <c r="BQ509" s="121"/>
      <c r="BR509" s="121"/>
      <c r="BS509" s="121"/>
      <c r="BT509" s="121"/>
      <c r="BU509" s="121"/>
      <c r="BV509" s="121"/>
      <c r="BW509" s="121"/>
      <c r="BX509" s="121"/>
      <c r="BY509" s="121"/>
      <c r="BZ509" s="121"/>
      <c r="CA509" s="121"/>
    </row>
    <row r="510" spans="40:79">
      <c r="AN510" s="121"/>
      <c r="AO510" s="124"/>
      <c r="AP510" s="124"/>
      <c r="AQ510" s="121"/>
      <c r="AR510" s="124"/>
      <c r="AS510" s="124"/>
      <c r="AT510" s="124"/>
      <c r="AU510" s="121"/>
      <c r="AV510" s="121"/>
      <c r="AW510" s="121"/>
      <c r="AX510" s="121"/>
      <c r="AY510" s="121"/>
      <c r="AZ510" s="121"/>
      <c r="BA510" s="121"/>
      <c r="BB510" s="121"/>
      <c r="BC510" s="121"/>
      <c r="BD510" s="121"/>
      <c r="BE510" s="121"/>
      <c r="BF510" s="121"/>
      <c r="BG510" s="121"/>
      <c r="BH510" s="121"/>
      <c r="BI510" s="121"/>
      <c r="BJ510" s="121"/>
      <c r="BK510" s="121"/>
      <c r="BL510" s="121"/>
      <c r="BM510" s="121"/>
      <c r="BN510" s="121"/>
      <c r="BO510" s="121"/>
      <c r="BP510" s="121"/>
      <c r="BQ510" s="121"/>
      <c r="BR510" s="121"/>
      <c r="BS510" s="121"/>
      <c r="BT510" s="121"/>
      <c r="BU510" s="121"/>
      <c r="BV510" s="121"/>
      <c r="BW510" s="121"/>
      <c r="BX510" s="121"/>
      <c r="BY510" s="121"/>
      <c r="BZ510" s="121"/>
      <c r="CA510" s="121"/>
    </row>
    <row r="511" spans="40:79">
      <c r="AN511" s="121"/>
      <c r="AO511" s="121"/>
      <c r="AP511" s="121"/>
      <c r="AQ511" s="121"/>
      <c r="AR511" s="121"/>
      <c r="AS511" s="121"/>
      <c r="AT511" s="121"/>
      <c r="AU511" s="121"/>
      <c r="AV511" s="121"/>
      <c r="AW511" s="121"/>
      <c r="AX511" s="121"/>
      <c r="AY511" s="121"/>
      <c r="AZ511" s="121"/>
      <c r="BA511" s="121"/>
      <c r="BB511" s="121"/>
      <c r="BC511" s="121"/>
      <c r="BD511" s="121"/>
      <c r="BE511" s="121"/>
      <c r="BF511" s="121"/>
      <c r="BG511" s="121"/>
      <c r="BH511" s="121"/>
      <c r="BI511" s="121"/>
      <c r="BJ511" s="121"/>
      <c r="BK511" s="121"/>
      <c r="BL511" s="121"/>
      <c r="BM511" s="121"/>
      <c r="BN511" s="121"/>
      <c r="BO511" s="121"/>
      <c r="BP511" s="121"/>
      <c r="BQ511" s="121"/>
      <c r="BR511" s="121"/>
      <c r="BS511" s="121"/>
      <c r="BT511" s="121"/>
      <c r="BU511" s="121"/>
      <c r="BV511" s="121"/>
      <c r="BW511" s="121"/>
      <c r="BX511" s="121"/>
      <c r="BY511" s="121"/>
      <c r="BZ511" s="121"/>
      <c r="CA511" s="121"/>
    </row>
    <row r="512" spans="40:79">
      <c r="AN512" s="121"/>
      <c r="AO512" s="127"/>
      <c r="AP512" s="127"/>
      <c r="AQ512" s="121"/>
      <c r="AR512" s="123"/>
      <c r="AS512" s="123"/>
      <c r="AT512" s="123"/>
      <c r="AU512" s="123"/>
      <c r="AV512" s="123"/>
      <c r="AW512" s="123"/>
      <c r="AX512" s="123"/>
      <c r="AY512" s="123"/>
      <c r="AZ512" s="123"/>
      <c r="BA512" s="123"/>
      <c r="BB512" s="123"/>
      <c r="BC512" s="123"/>
      <c r="BD512" s="123"/>
      <c r="BE512" s="123"/>
      <c r="BF512" s="123"/>
      <c r="BG512" s="123"/>
      <c r="BH512" s="123"/>
      <c r="BI512" s="123"/>
      <c r="BJ512" s="123"/>
      <c r="BK512" s="123"/>
      <c r="BL512" s="123"/>
      <c r="BM512" s="123"/>
      <c r="BN512" s="123"/>
      <c r="BO512" s="123"/>
      <c r="BP512" s="123"/>
      <c r="BQ512" s="123"/>
      <c r="BR512" s="123"/>
      <c r="BS512" s="123"/>
      <c r="BT512" s="123"/>
      <c r="BU512" s="123"/>
      <c r="BV512" s="123"/>
      <c r="BW512" s="123"/>
      <c r="BX512" s="123"/>
      <c r="BY512" s="123"/>
      <c r="BZ512" s="123"/>
      <c r="CA512" s="123"/>
    </row>
    <row r="513" spans="40:79">
      <c r="AN513" s="121"/>
      <c r="AO513" s="127"/>
      <c r="AP513" s="127"/>
      <c r="AQ513" s="121"/>
      <c r="AR513" s="121"/>
      <c r="AS513" s="121"/>
      <c r="AT513" s="121"/>
      <c r="AU513" s="121"/>
      <c r="AV513" s="121"/>
      <c r="AW513" s="121"/>
      <c r="AX513" s="121"/>
      <c r="AY513" s="121"/>
      <c r="AZ513" s="121"/>
      <c r="BA513" s="121"/>
      <c r="BB513" s="121"/>
      <c r="BC513" s="121"/>
      <c r="BD513" s="121"/>
      <c r="BE513" s="121"/>
      <c r="BF513" s="121"/>
      <c r="BG513" s="121"/>
      <c r="BH513" s="121"/>
      <c r="BI513" s="121"/>
      <c r="BJ513" s="121"/>
      <c r="BK513" s="121"/>
      <c r="BL513" s="121"/>
      <c r="BM513" s="121"/>
      <c r="BN513" s="121"/>
      <c r="BO513" s="121"/>
      <c r="BP513" s="121"/>
      <c r="BQ513" s="121"/>
      <c r="BR513" s="121"/>
      <c r="BS513" s="121"/>
      <c r="BT513" s="121"/>
      <c r="BU513" s="121"/>
      <c r="BV513" s="121"/>
      <c r="BW513" s="121"/>
      <c r="BX513" s="121"/>
      <c r="BY513" s="121"/>
      <c r="BZ513" s="121"/>
      <c r="CA513" s="121"/>
    </row>
    <row r="514" spans="40:79">
      <c r="AN514" s="121"/>
      <c r="AO514" s="124"/>
      <c r="AP514" s="124"/>
      <c r="AQ514" s="125"/>
      <c r="AR514" s="121"/>
      <c r="AS514" s="121"/>
      <c r="AT514" s="121"/>
      <c r="AU514" s="121"/>
      <c r="AV514" s="121"/>
      <c r="AW514" s="121"/>
      <c r="AX514" s="121"/>
      <c r="AY514" s="121"/>
      <c r="AZ514" s="121"/>
      <c r="BA514" s="121"/>
      <c r="BB514" s="121"/>
      <c r="BC514" s="121"/>
      <c r="BD514" s="121"/>
      <c r="BE514" s="121"/>
      <c r="BF514" s="121"/>
      <c r="BG514" s="121"/>
      <c r="BH514" s="121"/>
      <c r="BI514" s="121"/>
      <c r="BJ514" s="121"/>
      <c r="BK514" s="121"/>
      <c r="BL514" s="121"/>
      <c r="BM514" s="121"/>
      <c r="BN514" s="121"/>
      <c r="BO514" s="121"/>
      <c r="BP514" s="121"/>
      <c r="BQ514" s="121"/>
      <c r="BR514" s="121"/>
      <c r="BS514" s="121"/>
      <c r="BT514" s="121"/>
      <c r="BU514" s="121"/>
      <c r="BV514" s="121"/>
      <c r="BW514" s="121"/>
      <c r="BX514" s="121"/>
      <c r="BY514" s="121"/>
      <c r="BZ514" s="121"/>
      <c r="CA514" s="121"/>
    </row>
    <row r="515" spans="40:79">
      <c r="AN515" s="121"/>
      <c r="AO515" s="124"/>
      <c r="AP515" s="124"/>
      <c r="AQ515" s="121"/>
      <c r="AR515" s="121"/>
      <c r="AS515" s="121"/>
      <c r="AT515" s="121"/>
      <c r="AU515" s="121"/>
      <c r="AV515" s="121"/>
      <c r="AW515" s="121"/>
      <c r="AX515" s="121"/>
      <c r="AY515" s="121"/>
      <c r="AZ515" s="121"/>
      <c r="BA515" s="121"/>
      <c r="BB515" s="121"/>
      <c r="BC515" s="121"/>
      <c r="BD515" s="121"/>
      <c r="BE515" s="121"/>
      <c r="BF515" s="121"/>
      <c r="BG515" s="121"/>
      <c r="BH515" s="121"/>
      <c r="BI515" s="121"/>
      <c r="BJ515" s="121"/>
      <c r="BK515" s="121"/>
      <c r="BL515" s="121"/>
      <c r="BM515" s="121"/>
      <c r="BN515" s="121"/>
      <c r="BO515" s="121"/>
      <c r="BP515" s="121"/>
      <c r="BQ515" s="121"/>
      <c r="BR515" s="121"/>
      <c r="BS515" s="121"/>
      <c r="BT515" s="121"/>
      <c r="BU515" s="121"/>
      <c r="BV515" s="121"/>
      <c r="BW515" s="121"/>
      <c r="BX515" s="121"/>
      <c r="BY515" s="121"/>
      <c r="BZ515" s="121"/>
      <c r="CA515" s="121"/>
    </row>
    <row r="516" spans="40:79">
      <c r="AN516" s="121"/>
      <c r="AO516" s="124"/>
      <c r="AP516" s="124"/>
      <c r="AQ516" s="121"/>
      <c r="AR516" s="121"/>
      <c r="AS516" s="121"/>
      <c r="AT516" s="121"/>
      <c r="AU516" s="121"/>
      <c r="AV516" s="121"/>
      <c r="AW516" s="121"/>
      <c r="AX516" s="121"/>
      <c r="AY516" s="121"/>
      <c r="AZ516" s="121"/>
      <c r="BA516" s="121"/>
      <c r="BB516" s="121"/>
      <c r="BC516" s="121"/>
      <c r="BD516" s="121"/>
      <c r="BE516" s="121"/>
      <c r="BF516" s="121"/>
      <c r="BG516" s="121"/>
      <c r="BH516" s="121"/>
      <c r="BI516" s="121"/>
      <c r="BJ516" s="121"/>
      <c r="BK516" s="121"/>
      <c r="BL516" s="121"/>
      <c r="BM516" s="121"/>
      <c r="BN516" s="121"/>
      <c r="BO516" s="121"/>
      <c r="BP516" s="121"/>
      <c r="BQ516" s="121"/>
      <c r="BR516" s="121"/>
      <c r="BS516" s="121"/>
      <c r="BT516" s="121"/>
      <c r="BU516" s="121"/>
      <c r="BV516" s="121"/>
      <c r="BW516" s="121"/>
      <c r="BX516" s="121"/>
      <c r="BY516" s="121"/>
      <c r="BZ516" s="121"/>
      <c r="CA516" s="121"/>
    </row>
    <row r="517" spans="40:79">
      <c r="AN517" s="121"/>
      <c r="AO517" s="124"/>
      <c r="AP517" s="124"/>
      <c r="AQ517" s="121"/>
      <c r="AR517" s="121"/>
      <c r="AS517" s="121"/>
      <c r="AT517" s="121"/>
      <c r="AU517" s="121"/>
      <c r="AV517" s="121"/>
      <c r="AW517" s="121"/>
      <c r="AX517" s="121"/>
      <c r="AY517" s="121"/>
      <c r="AZ517" s="121"/>
      <c r="BA517" s="121"/>
      <c r="BB517" s="121"/>
      <c r="BC517" s="121"/>
      <c r="BD517" s="121"/>
      <c r="BE517" s="121"/>
      <c r="BF517" s="121"/>
      <c r="BG517" s="121"/>
      <c r="BH517" s="121"/>
      <c r="BI517" s="121"/>
      <c r="BJ517" s="121"/>
      <c r="BK517" s="121"/>
      <c r="BL517" s="121"/>
      <c r="BM517" s="121"/>
      <c r="BN517" s="121"/>
      <c r="BO517" s="121"/>
      <c r="BP517" s="121"/>
      <c r="BQ517" s="121"/>
      <c r="BR517" s="121"/>
      <c r="BS517" s="121"/>
      <c r="BT517" s="121"/>
      <c r="BU517" s="121"/>
      <c r="BV517" s="121"/>
      <c r="BW517" s="121"/>
      <c r="BX517" s="121"/>
      <c r="BY517" s="121"/>
      <c r="BZ517" s="121"/>
      <c r="CA517" s="121"/>
    </row>
    <row r="518" spans="40:79">
      <c r="AN518" s="121"/>
      <c r="AO518" s="124"/>
      <c r="AP518" s="124"/>
      <c r="AQ518" s="121"/>
      <c r="AR518" s="121"/>
      <c r="AS518" s="121"/>
      <c r="AT518" s="121"/>
      <c r="AU518" s="121"/>
      <c r="AV518" s="121"/>
      <c r="AW518" s="121"/>
      <c r="AX518" s="121"/>
      <c r="AY518" s="121"/>
      <c r="AZ518" s="121"/>
      <c r="BA518" s="121"/>
      <c r="BB518" s="121"/>
      <c r="BC518" s="121"/>
      <c r="BD518" s="121"/>
      <c r="BE518" s="121"/>
      <c r="BF518" s="121"/>
      <c r="BG518" s="121"/>
      <c r="BH518" s="121"/>
      <c r="BI518" s="121"/>
      <c r="BJ518" s="121"/>
      <c r="BK518" s="121"/>
      <c r="BL518" s="121"/>
      <c r="BM518" s="121"/>
      <c r="BN518" s="121"/>
      <c r="BO518" s="121"/>
      <c r="BP518" s="121"/>
      <c r="BQ518" s="121"/>
      <c r="BR518" s="121"/>
      <c r="BS518" s="121"/>
      <c r="BT518" s="121"/>
      <c r="BU518" s="121"/>
      <c r="BV518" s="121"/>
      <c r="BW518" s="121"/>
      <c r="BX518" s="121"/>
      <c r="BY518" s="121"/>
      <c r="BZ518" s="121"/>
      <c r="CA518" s="121"/>
    </row>
    <row r="519" spans="40:79">
      <c r="AN519" s="121"/>
      <c r="AO519" s="124"/>
      <c r="AP519" s="124"/>
      <c r="AQ519" s="121"/>
      <c r="AR519" s="121"/>
      <c r="AS519" s="121"/>
      <c r="AT519" s="121"/>
      <c r="AU519" s="121"/>
      <c r="AV519" s="121"/>
      <c r="AW519" s="121"/>
      <c r="AX519" s="121"/>
      <c r="AY519" s="121"/>
      <c r="AZ519" s="121"/>
      <c r="BA519" s="121"/>
      <c r="BB519" s="121"/>
      <c r="BC519" s="121"/>
      <c r="BD519" s="121"/>
      <c r="BE519" s="121"/>
      <c r="BF519" s="121"/>
      <c r="BG519" s="121"/>
      <c r="BH519" s="121"/>
      <c r="BI519" s="121"/>
      <c r="BJ519" s="121"/>
      <c r="BK519" s="121"/>
      <c r="BL519" s="121"/>
      <c r="BM519" s="121"/>
      <c r="BN519" s="121"/>
      <c r="BO519" s="121"/>
      <c r="BP519" s="121"/>
      <c r="BQ519" s="121"/>
      <c r="BR519" s="121"/>
      <c r="BS519" s="121"/>
      <c r="BT519" s="121"/>
      <c r="BU519" s="121"/>
      <c r="BV519" s="121"/>
      <c r="BW519" s="121"/>
      <c r="BX519" s="121"/>
      <c r="BY519" s="121"/>
      <c r="BZ519" s="121"/>
      <c r="CA519" s="121"/>
    </row>
    <row r="520" spans="40:79">
      <c r="AN520" s="121"/>
      <c r="AO520" s="124"/>
      <c r="AP520" s="124"/>
      <c r="AQ520" s="121"/>
      <c r="AR520" s="124"/>
      <c r="AS520" s="124"/>
      <c r="AT520" s="124"/>
      <c r="AU520" s="121"/>
      <c r="AV520" s="121"/>
      <c r="AW520" s="121"/>
      <c r="AX520" s="121"/>
      <c r="AY520" s="121"/>
      <c r="AZ520" s="121"/>
      <c r="BA520" s="121"/>
      <c r="BB520" s="121"/>
      <c r="BC520" s="121"/>
      <c r="BD520" s="121"/>
      <c r="BE520" s="121"/>
      <c r="BF520" s="121"/>
      <c r="BG520" s="121"/>
      <c r="BH520" s="121"/>
      <c r="BI520" s="121"/>
      <c r="BJ520" s="121"/>
      <c r="BK520" s="121"/>
      <c r="BL520" s="121"/>
      <c r="BM520" s="121"/>
      <c r="BN520" s="121"/>
      <c r="BO520" s="121"/>
      <c r="BP520" s="121"/>
      <c r="BQ520" s="121"/>
      <c r="BR520" s="121"/>
      <c r="BS520" s="121"/>
      <c r="BT520" s="121"/>
      <c r="BU520" s="121"/>
      <c r="BV520" s="121"/>
      <c r="BW520" s="121"/>
      <c r="BX520" s="121"/>
      <c r="BY520" s="121"/>
      <c r="BZ520" s="121"/>
      <c r="CA520" s="121"/>
    </row>
    <row r="521" spans="40:79">
      <c r="AN521" s="121"/>
      <c r="AO521" s="121"/>
      <c r="AP521" s="121"/>
      <c r="AQ521" s="121"/>
      <c r="AR521" s="121"/>
      <c r="AS521" s="121"/>
      <c r="AT521" s="121"/>
      <c r="AU521" s="121"/>
      <c r="AV521" s="121"/>
      <c r="AW521" s="121"/>
      <c r="AX521" s="121"/>
      <c r="AY521" s="121"/>
      <c r="AZ521" s="121"/>
      <c r="BA521" s="121"/>
      <c r="BB521" s="121"/>
      <c r="BC521" s="121"/>
      <c r="BD521" s="121"/>
      <c r="BE521" s="121"/>
      <c r="BF521" s="121"/>
      <c r="BG521" s="121"/>
      <c r="BH521" s="121"/>
      <c r="BI521" s="121"/>
      <c r="BJ521" s="121"/>
      <c r="BK521" s="121"/>
      <c r="BL521" s="121"/>
      <c r="BM521" s="121"/>
      <c r="BN521" s="121"/>
      <c r="BO521" s="121"/>
      <c r="BP521" s="121"/>
      <c r="BQ521" s="121"/>
      <c r="BR521" s="121"/>
      <c r="BS521" s="121"/>
      <c r="BT521" s="121"/>
      <c r="BU521" s="121"/>
      <c r="BV521" s="121"/>
      <c r="BW521" s="121"/>
      <c r="BX521" s="121"/>
      <c r="BY521" s="121"/>
      <c r="BZ521" s="121"/>
      <c r="CA521" s="121"/>
    </row>
    <row r="522" spans="40:79">
      <c r="AN522" s="121"/>
      <c r="AO522" s="127"/>
      <c r="AP522" s="127"/>
      <c r="AQ522" s="121"/>
      <c r="AR522" s="123"/>
      <c r="AS522" s="123"/>
      <c r="AT522" s="123"/>
      <c r="AU522" s="123"/>
      <c r="AV522" s="123"/>
      <c r="AW522" s="123"/>
      <c r="AX522" s="123"/>
      <c r="AY522" s="123"/>
      <c r="AZ522" s="123"/>
      <c r="BA522" s="123"/>
      <c r="BB522" s="123"/>
      <c r="BC522" s="123"/>
      <c r="BD522" s="123"/>
      <c r="BE522" s="123"/>
      <c r="BF522" s="123"/>
      <c r="BG522" s="123"/>
      <c r="BH522" s="123"/>
      <c r="BI522" s="123"/>
      <c r="BJ522" s="123"/>
      <c r="BK522" s="123"/>
      <c r="BL522" s="123"/>
      <c r="BM522" s="123"/>
      <c r="BN522" s="123"/>
      <c r="BO522" s="123"/>
      <c r="BP522" s="123"/>
      <c r="BQ522" s="123"/>
      <c r="BR522" s="123"/>
      <c r="BS522" s="123"/>
      <c r="BT522" s="123"/>
      <c r="BU522" s="123"/>
      <c r="BV522" s="123"/>
      <c r="BW522" s="123"/>
      <c r="BX522" s="123"/>
      <c r="BY522" s="123"/>
      <c r="BZ522" s="123"/>
      <c r="CA522" s="123"/>
    </row>
    <row r="523" spans="40:79">
      <c r="AN523" s="121"/>
      <c r="AO523" s="127"/>
      <c r="AP523" s="127"/>
      <c r="AQ523" s="121"/>
      <c r="AR523" s="121"/>
      <c r="AS523" s="121"/>
      <c r="AT523" s="121"/>
      <c r="AU523" s="121"/>
      <c r="AV523" s="121"/>
      <c r="AW523" s="121"/>
      <c r="AX523" s="121"/>
      <c r="AY523" s="121"/>
      <c r="AZ523" s="121"/>
      <c r="BA523" s="121"/>
      <c r="BB523" s="121"/>
      <c r="BC523" s="121"/>
      <c r="BD523" s="121"/>
      <c r="BE523" s="121"/>
      <c r="BF523" s="121"/>
      <c r="BG523" s="121"/>
      <c r="BH523" s="121"/>
      <c r="BI523" s="121"/>
      <c r="BJ523" s="121"/>
      <c r="BK523" s="121"/>
      <c r="BL523" s="121"/>
      <c r="BM523" s="121"/>
      <c r="BN523" s="121"/>
      <c r="BO523" s="121"/>
      <c r="BP523" s="121"/>
      <c r="BQ523" s="121"/>
      <c r="BR523" s="121"/>
      <c r="BS523" s="121"/>
      <c r="BT523" s="121"/>
      <c r="BU523" s="121"/>
      <c r="BV523" s="121"/>
      <c r="BW523" s="121"/>
      <c r="BX523" s="121"/>
      <c r="BY523" s="121"/>
      <c r="BZ523" s="121"/>
      <c r="CA523" s="121"/>
    </row>
    <row r="524" spans="40:79">
      <c r="AN524" s="121"/>
      <c r="AO524" s="124"/>
      <c r="AP524" s="124"/>
      <c r="AQ524" s="121"/>
      <c r="AR524" s="121"/>
      <c r="AS524" s="121"/>
      <c r="AT524" s="121"/>
      <c r="AU524" s="121"/>
      <c r="AV524" s="121"/>
      <c r="AW524" s="121"/>
      <c r="AX524" s="121"/>
      <c r="AY524" s="121"/>
      <c r="AZ524" s="121"/>
      <c r="BA524" s="121"/>
      <c r="BB524" s="121"/>
      <c r="BC524" s="121"/>
      <c r="BD524" s="121"/>
      <c r="BE524" s="121"/>
      <c r="BF524" s="121"/>
      <c r="BG524" s="121"/>
      <c r="BH524" s="121"/>
      <c r="BI524" s="121"/>
      <c r="BJ524" s="121"/>
      <c r="BK524" s="121"/>
      <c r="BL524" s="121"/>
      <c r="BM524" s="121"/>
      <c r="BN524" s="121"/>
      <c r="BO524" s="121"/>
      <c r="BP524" s="121"/>
      <c r="BQ524" s="121"/>
      <c r="BR524" s="121"/>
      <c r="BS524" s="121"/>
      <c r="BT524" s="121"/>
      <c r="BU524" s="121"/>
      <c r="BV524" s="121"/>
      <c r="BW524" s="121"/>
      <c r="BX524" s="121"/>
      <c r="BY524" s="121"/>
      <c r="BZ524" s="121"/>
      <c r="CA524" s="121"/>
    </row>
    <row r="525" spans="40:79">
      <c r="AN525" s="121"/>
      <c r="AO525" s="124"/>
      <c r="AP525" s="124"/>
      <c r="AQ525" s="121"/>
      <c r="AR525" s="121"/>
      <c r="AS525" s="121"/>
      <c r="AT525" s="121"/>
      <c r="AU525" s="121"/>
      <c r="AV525" s="121"/>
      <c r="AW525" s="121"/>
      <c r="AX525" s="121"/>
      <c r="AY525" s="121"/>
      <c r="AZ525" s="121"/>
      <c r="BA525" s="121"/>
      <c r="BB525" s="121"/>
      <c r="BC525" s="121"/>
      <c r="BD525" s="121"/>
      <c r="BE525" s="121"/>
      <c r="BF525" s="121"/>
      <c r="BG525" s="121"/>
      <c r="BH525" s="121"/>
      <c r="BI525" s="121"/>
      <c r="BJ525" s="121"/>
      <c r="BK525" s="121"/>
      <c r="BL525" s="121"/>
      <c r="BM525" s="121"/>
      <c r="BN525" s="121"/>
      <c r="BO525" s="121"/>
      <c r="BP525" s="121"/>
      <c r="BQ525" s="121"/>
      <c r="BR525" s="121"/>
      <c r="BS525" s="121"/>
      <c r="BT525" s="121"/>
      <c r="BU525" s="121"/>
      <c r="BV525" s="121"/>
      <c r="BW525" s="121"/>
      <c r="BX525" s="121"/>
      <c r="BY525" s="121"/>
      <c r="BZ525" s="121"/>
      <c r="CA525" s="121"/>
    </row>
    <row r="526" spans="40:79">
      <c r="AN526" s="121"/>
      <c r="AO526" s="124"/>
      <c r="AP526" s="124"/>
      <c r="AQ526" s="121"/>
      <c r="AR526" s="121"/>
      <c r="AS526" s="121"/>
      <c r="AT526" s="121"/>
      <c r="AU526" s="121"/>
      <c r="AV526" s="121"/>
      <c r="AW526" s="121"/>
      <c r="AX526" s="121"/>
      <c r="AY526" s="121"/>
      <c r="AZ526" s="121"/>
      <c r="BA526" s="121"/>
      <c r="BB526" s="121"/>
      <c r="BC526" s="121"/>
      <c r="BD526" s="121"/>
      <c r="BE526" s="121"/>
      <c r="BF526" s="121"/>
      <c r="BG526" s="121"/>
      <c r="BH526" s="121"/>
      <c r="BI526" s="121"/>
      <c r="BJ526" s="121"/>
      <c r="BK526" s="121"/>
      <c r="BL526" s="121"/>
      <c r="BM526" s="121"/>
      <c r="BN526" s="121"/>
      <c r="BO526" s="121"/>
      <c r="BP526" s="121"/>
      <c r="BQ526" s="121"/>
      <c r="BR526" s="121"/>
      <c r="BS526" s="121"/>
      <c r="BT526" s="121"/>
      <c r="BU526" s="121"/>
      <c r="BV526" s="121"/>
      <c r="BW526" s="121"/>
      <c r="BX526" s="121"/>
      <c r="BY526" s="121"/>
      <c r="BZ526" s="121"/>
      <c r="CA526" s="121"/>
    </row>
    <row r="527" spans="40:79">
      <c r="AN527" s="121"/>
      <c r="AO527" s="124"/>
      <c r="AP527" s="124"/>
      <c r="AQ527" s="121"/>
      <c r="AR527" s="121"/>
      <c r="AS527" s="121"/>
      <c r="AT527" s="121"/>
      <c r="AU527" s="121"/>
      <c r="AV527" s="121"/>
      <c r="AW527" s="121"/>
      <c r="AX527" s="121"/>
      <c r="AY527" s="121"/>
      <c r="AZ527" s="121"/>
      <c r="BA527" s="121"/>
      <c r="BB527" s="121"/>
      <c r="BC527" s="121"/>
      <c r="BD527" s="121"/>
      <c r="BE527" s="121"/>
      <c r="BF527" s="121"/>
      <c r="BG527" s="121"/>
      <c r="BH527" s="121"/>
      <c r="BI527" s="121"/>
      <c r="BJ527" s="121"/>
      <c r="BK527" s="121"/>
      <c r="BL527" s="121"/>
      <c r="BM527" s="121"/>
      <c r="BN527" s="121"/>
      <c r="BO527" s="121"/>
      <c r="BP527" s="121"/>
      <c r="BQ527" s="121"/>
      <c r="BR527" s="121"/>
      <c r="BS527" s="121"/>
      <c r="BT527" s="121"/>
      <c r="BU527" s="121"/>
      <c r="BV527" s="121"/>
      <c r="BW527" s="121"/>
      <c r="BX527" s="121"/>
      <c r="BY527" s="121"/>
      <c r="BZ527" s="121"/>
      <c r="CA527" s="121"/>
    </row>
    <row r="528" spans="40:79">
      <c r="AN528" s="121"/>
      <c r="AO528" s="124"/>
      <c r="AP528" s="124"/>
      <c r="AQ528" s="121"/>
      <c r="AR528" s="121"/>
      <c r="AS528" s="121"/>
      <c r="AT528" s="121"/>
      <c r="AU528" s="121"/>
      <c r="AV528" s="121"/>
      <c r="AW528" s="121"/>
      <c r="AX528" s="121"/>
      <c r="AY528" s="121"/>
      <c r="AZ528" s="121"/>
      <c r="BA528" s="121"/>
      <c r="BB528" s="121"/>
      <c r="BC528" s="121"/>
      <c r="BD528" s="121"/>
      <c r="BE528" s="121"/>
      <c r="BF528" s="121"/>
      <c r="BG528" s="121"/>
      <c r="BH528" s="121"/>
      <c r="BI528" s="121"/>
      <c r="BJ528" s="121"/>
      <c r="BK528" s="121"/>
      <c r="BL528" s="121"/>
      <c r="BM528" s="121"/>
      <c r="BN528" s="121"/>
      <c r="BO528" s="121"/>
      <c r="BP528" s="121"/>
      <c r="BQ528" s="121"/>
      <c r="BR528" s="121"/>
      <c r="BS528" s="121"/>
      <c r="BT528" s="121"/>
      <c r="BU528" s="121"/>
      <c r="BV528" s="121"/>
      <c r="BW528" s="121"/>
      <c r="BX528" s="121"/>
      <c r="BY528" s="121"/>
      <c r="BZ528" s="121"/>
      <c r="CA528" s="121"/>
    </row>
    <row r="529" spans="40:79">
      <c r="AN529" s="121"/>
      <c r="AO529" s="124"/>
      <c r="AP529" s="124"/>
      <c r="AQ529" s="121"/>
      <c r="AR529" s="121"/>
      <c r="AS529" s="121"/>
      <c r="AT529" s="121"/>
      <c r="AU529" s="121"/>
      <c r="AV529" s="121"/>
      <c r="AW529" s="121"/>
      <c r="AX529" s="121"/>
      <c r="AY529" s="121"/>
      <c r="AZ529" s="121"/>
      <c r="BA529" s="121"/>
      <c r="BB529" s="121"/>
      <c r="BC529" s="121"/>
      <c r="BD529" s="121"/>
      <c r="BE529" s="121"/>
      <c r="BF529" s="121"/>
      <c r="BG529" s="121"/>
      <c r="BH529" s="121"/>
      <c r="BI529" s="121"/>
      <c r="BJ529" s="121"/>
      <c r="BK529" s="121"/>
      <c r="BL529" s="121"/>
      <c r="BM529" s="121"/>
      <c r="BN529" s="121"/>
      <c r="BO529" s="121"/>
      <c r="BP529" s="121"/>
      <c r="BQ529" s="121"/>
      <c r="BR529" s="121"/>
      <c r="BS529" s="121"/>
      <c r="BT529" s="121"/>
      <c r="BU529" s="121"/>
      <c r="BV529" s="121"/>
      <c r="BW529" s="121"/>
      <c r="BX529" s="121"/>
      <c r="BY529" s="121"/>
      <c r="BZ529" s="121"/>
      <c r="CA529" s="121"/>
    </row>
    <row r="530" spans="40:79">
      <c r="AN530" s="121"/>
      <c r="AO530" s="124"/>
      <c r="AP530" s="124"/>
      <c r="AQ530" s="121"/>
      <c r="AR530" s="124"/>
      <c r="AS530" s="124"/>
      <c r="AT530" s="124"/>
      <c r="AU530" s="121"/>
      <c r="AV530" s="121"/>
      <c r="AW530" s="121"/>
      <c r="AX530" s="121"/>
      <c r="AY530" s="121"/>
      <c r="AZ530" s="121"/>
      <c r="BA530" s="121"/>
      <c r="BB530" s="121"/>
      <c r="BC530" s="121"/>
      <c r="BD530" s="121"/>
      <c r="BE530" s="121"/>
      <c r="BF530" s="121"/>
      <c r="BG530" s="121"/>
      <c r="BH530" s="121"/>
      <c r="BI530" s="121"/>
      <c r="BJ530" s="121"/>
      <c r="BK530" s="121"/>
      <c r="BL530" s="121"/>
      <c r="BM530" s="121"/>
      <c r="BN530" s="121"/>
      <c r="BO530" s="121"/>
      <c r="BP530" s="121"/>
      <c r="BQ530" s="121"/>
      <c r="BR530" s="121"/>
      <c r="BS530" s="121"/>
      <c r="BT530" s="121"/>
      <c r="BU530" s="121"/>
      <c r="BV530" s="121"/>
      <c r="BW530" s="121"/>
      <c r="BX530" s="121"/>
      <c r="BY530" s="121"/>
      <c r="BZ530" s="121"/>
      <c r="CA530" s="121"/>
    </row>
    <row r="531" spans="40:79">
      <c r="AN531" s="121"/>
      <c r="AO531" s="121"/>
      <c r="AP531" s="121"/>
      <c r="AQ531" s="121"/>
      <c r="AR531" s="121"/>
      <c r="AS531" s="121"/>
      <c r="AT531" s="121"/>
      <c r="AU531" s="121"/>
      <c r="AV531" s="121"/>
      <c r="AW531" s="121"/>
      <c r="AX531" s="121"/>
      <c r="AY531" s="121"/>
      <c r="AZ531" s="121"/>
      <c r="BA531" s="121"/>
      <c r="BB531" s="121"/>
      <c r="BC531" s="121"/>
      <c r="BD531" s="121"/>
      <c r="BE531" s="121"/>
      <c r="BF531" s="121"/>
      <c r="BG531" s="121"/>
      <c r="BH531" s="121"/>
      <c r="BI531" s="121"/>
      <c r="BJ531" s="121"/>
      <c r="BK531" s="121"/>
      <c r="BL531" s="121"/>
      <c r="BM531" s="121"/>
      <c r="BN531" s="121"/>
      <c r="BO531" s="121"/>
      <c r="BP531" s="121"/>
      <c r="BQ531" s="121"/>
      <c r="BR531" s="121"/>
      <c r="BS531" s="121"/>
      <c r="BT531" s="121"/>
      <c r="BU531" s="121"/>
      <c r="BV531" s="121"/>
      <c r="BW531" s="121"/>
      <c r="BX531" s="121"/>
      <c r="BY531" s="121"/>
      <c r="BZ531" s="121"/>
      <c r="CA531" s="121"/>
    </row>
    <row r="532" spans="40:79">
      <c r="AN532" s="121"/>
      <c r="AO532" s="127"/>
      <c r="AP532" s="127"/>
      <c r="AQ532" s="121"/>
      <c r="AR532" s="123"/>
      <c r="AS532" s="123"/>
      <c r="AT532" s="123"/>
      <c r="AU532" s="123"/>
      <c r="AV532" s="123"/>
      <c r="AW532" s="123"/>
      <c r="AX532" s="123"/>
      <c r="AY532" s="123"/>
      <c r="AZ532" s="123"/>
      <c r="BA532" s="123"/>
      <c r="BB532" s="123"/>
      <c r="BC532" s="123"/>
      <c r="BD532" s="123"/>
      <c r="BE532" s="123"/>
      <c r="BF532" s="123"/>
      <c r="BG532" s="123"/>
      <c r="BH532" s="123"/>
      <c r="BI532" s="123"/>
      <c r="BJ532" s="123"/>
      <c r="BK532" s="123"/>
      <c r="BL532" s="123"/>
      <c r="BM532" s="123"/>
      <c r="BN532" s="123"/>
      <c r="BO532" s="123"/>
      <c r="BP532" s="123"/>
      <c r="BQ532" s="123"/>
      <c r="BR532" s="123"/>
      <c r="BS532" s="123"/>
      <c r="BT532" s="123"/>
      <c r="BU532" s="123"/>
      <c r="BV532" s="123"/>
      <c r="BW532" s="123"/>
      <c r="BX532" s="123"/>
      <c r="BY532" s="123"/>
      <c r="BZ532" s="123"/>
      <c r="CA532" s="123"/>
    </row>
    <row r="533" spans="40:79">
      <c r="AN533" s="121"/>
      <c r="AO533" s="127"/>
      <c r="AP533" s="127"/>
      <c r="AQ533" s="121"/>
      <c r="AR533" s="121"/>
      <c r="AS533" s="121"/>
      <c r="AT533" s="121"/>
      <c r="AU533" s="121"/>
      <c r="AV533" s="121"/>
      <c r="AW533" s="121"/>
      <c r="AX533" s="121"/>
      <c r="AY533" s="121"/>
      <c r="AZ533" s="121"/>
      <c r="BA533" s="121"/>
      <c r="BB533" s="121"/>
      <c r="BC533" s="121"/>
      <c r="BD533" s="121"/>
      <c r="BE533" s="121"/>
      <c r="BF533" s="121"/>
      <c r="BG533" s="121"/>
      <c r="BH533" s="121"/>
      <c r="BI533" s="121"/>
      <c r="BJ533" s="121"/>
      <c r="BK533" s="121"/>
      <c r="BL533" s="121"/>
      <c r="BM533" s="121"/>
      <c r="BN533" s="121"/>
      <c r="BO533" s="121"/>
      <c r="BP533" s="121"/>
      <c r="BQ533" s="121"/>
      <c r="BR533" s="121"/>
      <c r="BS533" s="121"/>
      <c r="BT533" s="121"/>
      <c r="BU533" s="121"/>
      <c r="BV533" s="121"/>
      <c r="BW533" s="121"/>
      <c r="BX533" s="121"/>
      <c r="BY533" s="121"/>
      <c r="BZ533" s="121"/>
      <c r="CA533" s="121"/>
    </row>
    <row r="534" spans="40:79">
      <c r="AN534" s="121"/>
      <c r="AO534" s="124"/>
      <c r="AP534" s="124"/>
      <c r="AQ534" s="125"/>
      <c r="AR534" s="121"/>
      <c r="AS534" s="121"/>
      <c r="AT534" s="121"/>
      <c r="AU534" s="121"/>
      <c r="AV534" s="121"/>
      <c r="AW534" s="121"/>
      <c r="AX534" s="121"/>
      <c r="AY534" s="121"/>
      <c r="AZ534" s="121"/>
      <c r="BA534" s="121"/>
      <c r="BB534" s="121"/>
      <c r="BC534" s="121"/>
      <c r="BD534" s="121"/>
      <c r="BE534" s="121"/>
      <c r="BF534" s="121"/>
      <c r="BG534" s="121"/>
      <c r="BH534" s="121"/>
      <c r="BI534" s="121"/>
      <c r="BJ534" s="121"/>
      <c r="BK534" s="121"/>
      <c r="BL534" s="121"/>
      <c r="BM534" s="121"/>
      <c r="BN534" s="121"/>
      <c r="BO534" s="121"/>
      <c r="BP534" s="121"/>
      <c r="BQ534" s="121"/>
      <c r="BR534" s="121"/>
      <c r="BS534" s="121"/>
      <c r="BT534" s="121"/>
      <c r="BU534" s="121"/>
      <c r="BV534" s="121"/>
      <c r="BW534" s="121"/>
      <c r="BX534" s="121"/>
      <c r="BY534" s="121"/>
      <c r="BZ534" s="121"/>
      <c r="CA534" s="121"/>
    </row>
    <row r="535" spans="40:79">
      <c r="AN535" s="121"/>
      <c r="AO535" s="124"/>
      <c r="AP535" s="124"/>
      <c r="AQ535" s="121"/>
      <c r="AR535" s="121"/>
      <c r="AS535" s="121"/>
      <c r="AT535" s="121"/>
      <c r="AU535" s="121"/>
      <c r="AV535" s="121"/>
      <c r="AW535" s="121"/>
      <c r="AX535" s="121"/>
      <c r="AY535" s="121"/>
      <c r="AZ535" s="121"/>
      <c r="BA535" s="121"/>
      <c r="BB535" s="121"/>
      <c r="BC535" s="121"/>
      <c r="BD535" s="121"/>
      <c r="BE535" s="121"/>
      <c r="BF535" s="121"/>
      <c r="BG535" s="121"/>
      <c r="BH535" s="121"/>
      <c r="BI535" s="121"/>
      <c r="BJ535" s="121"/>
      <c r="BK535" s="121"/>
      <c r="BL535" s="121"/>
      <c r="BM535" s="121"/>
      <c r="BN535" s="121"/>
      <c r="BO535" s="121"/>
      <c r="BP535" s="121"/>
      <c r="BQ535" s="121"/>
      <c r="BR535" s="121"/>
      <c r="BS535" s="121"/>
      <c r="BT535" s="121"/>
      <c r="BU535" s="121"/>
      <c r="BV535" s="121"/>
      <c r="BW535" s="121"/>
      <c r="BX535" s="121"/>
      <c r="BY535" s="121"/>
      <c r="BZ535" s="121"/>
      <c r="CA535" s="121"/>
    </row>
    <row r="536" spans="40:79">
      <c r="AN536" s="121"/>
      <c r="AO536" s="124"/>
      <c r="AP536" s="124"/>
      <c r="AQ536" s="121"/>
      <c r="AR536" s="121"/>
      <c r="AS536" s="121"/>
      <c r="AT536" s="121"/>
      <c r="AU536" s="121"/>
      <c r="AV536" s="121"/>
      <c r="AW536" s="121"/>
      <c r="AX536" s="121"/>
      <c r="AY536" s="121"/>
      <c r="AZ536" s="121"/>
      <c r="BA536" s="121"/>
      <c r="BB536" s="121"/>
      <c r="BC536" s="121"/>
      <c r="BD536" s="121"/>
      <c r="BE536" s="121"/>
      <c r="BF536" s="121"/>
      <c r="BG536" s="121"/>
      <c r="BH536" s="121"/>
      <c r="BI536" s="121"/>
      <c r="BJ536" s="121"/>
      <c r="BK536" s="121"/>
      <c r="BL536" s="121"/>
      <c r="BM536" s="121"/>
      <c r="BN536" s="121"/>
      <c r="BO536" s="121"/>
      <c r="BP536" s="121"/>
      <c r="BQ536" s="121"/>
      <c r="BR536" s="121"/>
      <c r="BS536" s="121"/>
      <c r="BT536" s="121"/>
      <c r="BU536" s="121"/>
      <c r="BV536" s="121"/>
      <c r="BW536" s="121"/>
      <c r="BX536" s="121"/>
      <c r="BY536" s="121"/>
      <c r="BZ536" s="121"/>
      <c r="CA536" s="121"/>
    </row>
    <row r="537" spans="40:79">
      <c r="AN537" s="121"/>
      <c r="AO537" s="124"/>
      <c r="AP537" s="124"/>
      <c r="AQ537" s="121"/>
      <c r="AR537" s="121"/>
      <c r="AS537" s="121"/>
      <c r="AT537" s="121"/>
      <c r="AU537" s="121"/>
      <c r="AV537" s="121"/>
      <c r="AW537" s="121"/>
      <c r="AX537" s="121"/>
      <c r="AY537" s="121"/>
      <c r="AZ537" s="121"/>
      <c r="BA537" s="121"/>
      <c r="BB537" s="121"/>
      <c r="BC537" s="121"/>
      <c r="BD537" s="121"/>
      <c r="BE537" s="121"/>
      <c r="BF537" s="121"/>
      <c r="BG537" s="121"/>
      <c r="BH537" s="121"/>
      <c r="BI537" s="121"/>
      <c r="BJ537" s="121"/>
      <c r="BK537" s="121"/>
      <c r="BL537" s="121"/>
      <c r="BM537" s="121"/>
      <c r="BN537" s="121"/>
      <c r="BO537" s="121"/>
      <c r="BP537" s="121"/>
      <c r="BQ537" s="121"/>
      <c r="BR537" s="121"/>
      <c r="BS537" s="121"/>
      <c r="BT537" s="121"/>
      <c r="BU537" s="121"/>
      <c r="BV537" s="121"/>
      <c r="BW537" s="121"/>
      <c r="BX537" s="121"/>
      <c r="BY537" s="121"/>
      <c r="BZ537" s="121"/>
      <c r="CA537" s="121"/>
    </row>
    <row r="538" spans="40:79">
      <c r="AN538" s="121"/>
      <c r="AO538" s="124"/>
      <c r="AP538" s="124"/>
      <c r="AQ538" s="121"/>
      <c r="AR538" s="121"/>
      <c r="AS538" s="121"/>
      <c r="AT538" s="121"/>
      <c r="AU538" s="121"/>
      <c r="AV538" s="121"/>
      <c r="AW538" s="121"/>
      <c r="AX538" s="121"/>
      <c r="AY538" s="121"/>
      <c r="AZ538" s="121"/>
      <c r="BA538" s="121"/>
      <c r="BB538" s="121"/>
      <c r="BC538" s="121"/>
      <c r="BD538" s="121"/>
      <c r="BE538" s="121"/>
      <c r="BF538" s="121"/>
      <c r="BG538" s="121"/>
      <c r="BH538" s="121"/>
      <c r="BI538" s="121"/>
      <c r="BJ538" s="121"/>
      <c r="BK538" s="121"/>
      <c r="BL538" s="121"/>
      <c r="BM538" s="121"/>
      <c r="BN538" s="121"/>
      <c r="BO538" s="121"/>
      <c r="BP538" s="121"/>
      <c r="BQ538" s="121"/>
      <c r="BR538" s="121"/>
      <c r="BS538" s="121"/>
      <c r="BT538" s="121"/>
      <c r="BU538" s="121"/>
      <c r="BV538" s="121"/>
      <c r="BW538" s="121"/>
      <c r="BX538" s="121"/>
      <c r="BY538" s="121"/>
      <c r="BZ538" s="121"/>
      <c r="CA538" s="121"/>
    </row>
    <row r="539" spans="40:79">
      <c r="AN539" s="121"/>
      <c r="AO539" s="124"/>
      <c r="AP539" s="124"/>
      <c r="AQ539" s="121"/>
      <c r="AR539" s="121"/>
      <c r="AS539" s="121"/>
      <c r="AT539" s="121"/>
      <c r="AU539" s="121"/>
      <c r="AV539" s="121"/>
      <c r="AW539" s="121"/>
      <c r="AX539" s="121"/>
      <c r="AY539" s="121"/>
      <c r="AZ539" s="121"/>
      <c r="BA539" s="121"/>
      <c r="BB539" s="121"/>
      <c r="BC539" s="121"/>
      <c r="BD539" s="121"/>
      <c r="BE539" s="121"/>
      <c r="BF539" s="121"/>
      <c r="BG539" s="121"/>
      <c r="BH539" s="121"/>
      <c r="BI539" s="121"/>
      <c r="BJ539" s="121"/>
      <c r="BK539" s="121"/>
      <c r="BL539" s="121"/>
      <c r="BM539" s="121"/>
      <c r="BN539" s="121"/>
      <c r="BO539" s="121"/>
      <c r="BP539" s="121"/>
      <c r="BQ539" s="121"/>
      <c r="BR539" s="121"/>
      <c r="BS539" s="121"/>
      <c r="BT539" s="121"/>
      <c r="BU539" s="121"/>
      <c r="BV539" s="121"/>
      <c r="BW539" s="121"/>
      <c r="BX539" s="121"/>
      <c r="BY539" s="121"/>
      <c r="BZ539" s="121"/>
      <c r="CA539" s="121"/>
    </row>
    <row r="540" spans="40:79">
      <c r="AN540" s="121"/>
      <c r="AO540" s="124"/>
      <c r="AP540" s="124"/>
      <c r="AQ540" s="121"/>
      <c r="AR540" s="124"/>
      <c r="AS540" s="124"/>
      <c r="AT540" s="124"/>
      <c r="AU540" s="121"/>
      <c r="AV540" s="121"/>
      <c r="AW540" s="121"/>
      <c r="AX540" s="121"/>
      <c r="AY540" s="121"/>
      <c r="AZ540" s="121"/>
      <c r="BA540" s="121"/>
      <c r="BB540" s="121"/>
      <c r="BC540" s="121"/>
      <c r="BD540" s="121"/>
      <c r="BE540" s="121"/>
      <c r="BF540" s="121"/>
      <c r="BG540" s="121"/>
      <c r="BH540" s="121"/>
      <c r="BI540" s="121"/>
      <c r="BJ540" s="121"/>
      <c r="BK540" s="121"/>
      <c r="BL540" s="121"/>
      <c r="BM540" s="121"/>
      <c r="BN540" s="121"/>
      <c r="BO540" s="121"/>
      <c r="BP540" s="121"/>
      <c r="BQ540" s="121"/>
      <c r="BR540" s="121"/>
      <c r="BS540" s="121"/>
      <c r="BT540" s="121"/>
      <c r="BU540" s="121"/>
      <c r="BV540" s="121"/>
      <c r="BW540" s="121"/>
      <c r="BX540" s="121"/>
      <c r="BY540" s="121"/>
      <c r="BZ540" s="121"/>
      <c r="CA540" s="121"/>
    </row>
    <row r="541" spans="40:79">
      <c r="AN541" s="121"/>
      <c r="AO541" s="121"/>
      <c r="AP541" s="121"/>
      <c r="AQ541" s="121"/>
      <c r="AR541" s="121"/>
      <c r="AS541" s="121"/>
      <c r="AT541" s="121"/>
      <c r="AU541" s="121"/>
      <c r="AV541" s="121"/>
      <c r="AW541" s="121"/>
      <c r="AX541" s="121"/>
      <c r="AY541" s="121"/>
      <c r="AZ541" s="121"/>
      <c r="BA541" s="121"/>
      <c r="BB541" s="121"/>
      <c r="BC541" s="121"/>
      <c r="BD541" s="121"/>
      <c r="BE541" s="121"/>
      <c r="BF541" s="121"/>
      <c r="BG541" s="121"/>
      <c r="BH541" s="121"/>
      <c r="BI541" s="121"/>
      <c r="BJ541" s="121"/>
      <c r="BK541" s="121"/>
      <c r="BL541" s="121"/>
      <c r="BM541" s="121"/>
      <c r="BN541" s="121"/>
      <c r="BO541" s="121"/>
      <c r="BP541" s="121"/>
      <c r="BQ541" s="121"/>
      <c r="BR541" s="121"/>
      <c r="BS541" s="121"/>
      <c r="BT541" s="121"/>
      <c r="BU541" s="121"/>
      <c r="BV541" s="121"/>
      <c r="BW541" s="121"/>
      <c r="BX541" s="121"/>
      <c r="BY541" s="121"/>
      <c r="BZ541" s="121"/>
      <c r="CA541" s="121"/>
    </row>
    <row r="542" spans="40:79">
      <c r="AN542" s="121"/>
      <c r="AO542" s="121"/>
      <c r="AP542" s="121"/>
      <c r="AQ542" s="121"/>
      <c r="AR542" s="121"/>
      <c r="AS542" s="121"/>
      <c r="AT542" s="121"/>
      <c r="AU542" s="121"/>
      <c r="AV542" s="121"/>
      <c r="AW542" s="121"/>
      <c r="AX542" s="121"/>
      <c r="AY542" s="121"/>
      <c r="AZ542" s="121"/>
      <c r="BA542" s="121"/>
      <c r="BB542" s="121"/>
      <c r="BC542" s="121"/>
      <c r="BD542" s="121"/>
      <c r="BE542" s="121"/>
      <c r="BF542" s="121"/>
      <c r="BG542" s="121"/>
      <c r="BH542" s="121"/>
      <c r="BI542" s="121"/>
      <c r="BJ542" s="121"/>
      <c r="BK542" s="121"/>
      <c r="BL542" s="121"/>
      <c r="BM542" s="121"/>
      <c r="BN542" s="121"/>
      <c r="BO542" s="121"/>
      <c r="BP542" s="121"/>
      <c r="BQ542" s="121"/>
      <c r="BR542" s="121"/>
      <c r="BS542" s="121"/>
      <c r="BT542" s="121"/>
      <c r="BU542" s="121"/>
      <c r="BV542" s="121"/>
      <c r="BW542" s="121"/>
      <c r="BX542" s="121"/>
      <c r="BY542" s="121"/>
      <c r="BZ542" s="121"/>
      <c r="CA542" s="121"/>
    </row>
    <row r="543" spans="40:79">
      <c r="AN543" s="121"/>
      <c r="AO543" s="121"/>
      <c r="AP543" s="121"/>
      <c r="AQ543" s="121"/>
      <c r="AR543" s="121"/>
      <c r="AS543" s="121"/>
      <c r="AT543" s="121"/>
      <c r="AU543" s="121"/>
      <c r="AV543" s="121"/>
      <c r="AW543" s="121"/>
      <c r="AX543" s="121"/>
      <c r="AY543" s="121"/>
      <c r="AZ543" s="121"/>
      <c r="BA543" s="121"/>
      <c r="BB543" s="121"/>
      <c r="BC543" s="121"/>
      <c r="BD543" s="121"/>
      <c r="BE543" s="121"/>
      <c r="BF543" s="121"/>
      <c r="BG543" s="121"/>
      <c r="BH543" s="121"/>
      <c r="BI543" s="121"/>
      <c r="BJ543" s="121"/>
      <c r="BK543" s="121"/>
      <c r="BL543" s="121"/>
      <c r="BM543" s="121"/>
      <c r="BN543" s="121"/>
      <c r="BO543" s="121"/>
      <c r="BP543" s="121"/>
      <c r="BQ543" s="121"/>
      <c r="BR543" s="121"/>
      <c r="BS543" s="121"/>
      <c r="BT543" s="121"/>
      <c r="BU543" s="121"/>
      <c r="BV543" s="121"/>
      <c r="BW543" s="121"/>
      <c r="BX543" s="121"/>
      <c r="BY543" s="121"/>
      <c r="BZ543" s="121"/>
      <c r="CA543" s="121"/>
    </row>
    <row r="544" spans="40:79">
      <c r="AN544" s="121"/>
      <c r="AO544" s="121"/>
      <c r="AP544" s="121"/>
      <c r="AQ544" s="121"/>
      <c r="AR544" s="121"/>
      <c r="AS544" s="121"/>
      <c r="AT544" s="121"/>
      <c r="AU544" s="121"/>
      <c r="AV544" s="121"/>
      <c r="AW544" s="121"/>
      <c r="AX544" s="121"/>
      <c r="AY544" s="121"/>
      <c r="AZ544" s="121"/>
      <c r="BA544" s="121"/>
      <c r="BB544" s="121"/>
      <c r="BC544" s="121"/>
      <c r="BD544" s="121"/>
      <c r="BE544" s="121"/>
      <c r="BF544" s="121"/>
      <c r="BG544" s="121"/>
      <c r="BH544" s="121"/>
      <c r="BI544" s="121"/>
      <c r="BJ544" s="121"/>
      <c r="BK544" s="121"/>
      <c r="BL544" s="121"/>
      <c r="BM544" s="121"/>
      <c r="BN544" s="121"/>
      <c r="BO544" s="121"/>
      <c r="BP544" s="121"/>
      <c r="BQ544" s="121"/>
      <c r="BR544" s="121"/>
      <c r="BS544" s="121"/>
      <c r="BT544" s="121"/>
      <c r="BU544" s="121"/>
      <c r="BV544" s="121"/>
      <c r="BW544" s="121"/>
      <c r="BX544" s="121"/>
      <c r="BY544" s="121"/>
      <c r="BZ544" s="121"/>
      <c r="CA544" s="121"/>
    </row>
    <row r="545" spans="40:79">
      <c r="AN545" s="121"/>
      <c r="AO545" s="121"/>
      <c r="AP545" s="121"/>
      <c r="AQ545" s="121"/>
      <c r="AR545" s="121"/>
      <c r="AS545" s="121"/>
      <c r="AT545" s="121"/>
      <c r="AU545" s="121"/>
      <c r="AV545" s="121"/>
      <c r="AW545" s="121"/>
      <c r="AX545" s="121"/>
      <c r="AY545" s="121"/>
      <c r="AZ545" s="121"/>
      <c r="BA545" s="121"/>
      <c r="BB545" s="121"/>
      <c r="BC545" s="121"/>
      <c r="BD545" s="121"/>
      <c r="BE545" s="121"/>
      <c r="BF545" s="121"/>
      <c r="BG545" s="121"/>
      <c r="BH545" s="121"/>
      <c r="BI545" s="121"/>
      <c r="BJ545" s="121"/>
      <c r="BK545" s="121"/>
      <c r="BL545" s="121"/>
      <c r="BM545" s="121"/>
      <c r="BN545" s="121"/>
      <c r="BO545" s="121"/>
      <c r="BP545" s="121"/>
      <c r="BQ545" s="121"/>
      <c r="BR545" s="121"/>
      <c r="BS545" s="121"/>
      <c r="BT545" s="121"/>
      <c r="BU545" s="121"/>
      <c r="BV545" s="121"/>
      <c r="BW545" s="121"/>
      <c r="BX545" s="121"/>
      <c r="BY545" s="121"/>
      <c r="BZ545" s="121"/>
      <c r="CA545" s="121"/>
    </row>
  </sheetData>
  <autoFilter ref="A1:AM1" xr:uid="{3FC22DF5-C6DB-47A0-BC69-DF494CFD8C72}"/>
  <mergeCells count="461">
    <mergeCell ref="AO535:AP535"/>
    <mergeCell ref="AO536:AP536"/>
    <mergeCell ref="AO537:AP537"/>
    <mergeCell ref="AO538:AP538"/>
    <mergeCell ref="AO539:AP539"/>
    <mergeCell ref="AO540:AP540"/>
    <mergeCell ref="AR540:AT540"/>
    <mergeCell ref="AR530:AT530"/>
    <mergeCell ref="AR510:AT510"/>
    <mergeCell ref="AO525:AP525"/>
    <mergeCell ref="AO526:AP526"/>
    <mergeCell ref="AO527:AP527"/>
    <mergeCell ref="AO528:AP528"/>
    <mergeCell ref="AO529:AP529"/>
    <mergeCell ref="AO530:AP530"/>
    <mergeCell ref="AR520:AT520"/>
    <mergeCell ref="AO532:AP533"/>
    <mergeCell ref="AO534:AP534"/>
    <mergeCell ref="AO514:AP514"/>
    <mergeCell ref="AO515:AP515"/>
    <mergeCell ref="AO516:AP516"/>
    <mergeCell ref="AO517:AP517"/>
    <mergeCell ref="AO518:AP518"/>
    <mergeCell ref="AO519:AP519"/>
    <mergeCell ref="AO520:AP520"/>
    <mergeCell ref="AO522:AP523"/>
    <mergeCell ref="AO524:AP524"/>
    <mergeCell ref="AO504:AP504"/>
    <mergeCell ref="AO505:AP505"/>
    <mergeCell ref="AO506:AP506"/>
    <mergeCell ref="AO507:AP507"/>
    <mergeCell ref="AO508:AP508"/>
    <mergeCell ref="AO509:AP509"/>
    <mergeCell ref="AO510:AP510"/>
    <mergeCell ref="AR500:AT500"/>
    <mergeCell ref="AO512:AP513"/>
    <mergeCell ref="AO492:AP493"/>
    <mergeCell ref="AO494:AP494"/>
    <mergeCell ref="AO495:AP495"/>
    <mergeCell ref="AO496:AP496"/>
    <mergeCell ref="AO497:AP497"/>
    <mergeCell ref="AO498:AP498"/>
    <mergeCell ref="AO499:AP499"/>
    <mergeCell ref="AO500:AP500"/>
    <mergeCell ref="AO502:AP503"/>
    <mergeCell ref="AO485:AP485"/>
    <mergeCell ref="AO486:AP486"/>
    <mergeCell ref="AO487:AP487"/>
    <mergeCell ref="AO488:AP488"/>
    <mergeCell ref="AO489:AP489"/>
    <mergeCell ref="AO490:AP490"/>
    <mergeCell ref="AR470:AT470"/>
    <mergeCell ref="AR490:AT490"/>
    <mergeCell ref="AO474:AP474"/>
    <mergeCell ref="AO475:AP475"/>
    <mergeCell ref="AO476:AP476"/>
    <mergeCell ref="AO477:AP477"/>
    <mergeCell ref="AO478:AP478"/>
    <mergeCell ref="AO479:AP479"/>
    <mergeCell ref="AO480:AP480"/>
    <mergeCell ref="AO482:AP483"/>
    <mergeCell ref="AO484:AP484"/>
    <mergeCell ref="AR480:AT480"/>
    <mergeCell ref="AO462:AP463"/>
    <mergeCell ref="AO472:AP473"/>
    <mergeCell ref="AO464:AP464"/>
    <mergeCell ref="AO465:AP465"/>
    <mergeCell ref="AO466:AP466"/>
    <mergeCell ref="AO467:AP467"/>
    <mergeCell ref="AO468:AP468"/>
    <mergeCell ref="AO469:AP469"/>
    <mergeCell ref="AO470:AP470"/>
    <mergeCell ref="AO452:AP453"/>
    <mergeCell ref="AO454:AP454"/>
    <mergeCell ref="AO455:AP455"/>
    <mergeCell ref="AO456:AP456"/>
    <mergeCell ref="AO457:AP457"/>
    <mergeCell ref="AO458:AP458"/>
    <mergeCell ref="AO459:AP459"/>
    <mergeCell ref="AO460:AP460"/>
    <mergeCell ref="AR460:AT460"/>
    <mergeCell ref="AO444:AP444"/>
    <mergeCell ref="AO445:AP445"/>
    <mergeCell ref="AO446:AP446"/>
    <mergeCell ref="AO447:AP447"/>
    <mergeCell ref="AO448:AP448"/>
    <mergeCell ref="AO449:AP449"/>
    <mergeCell ref="AO450:AP450"/>
    <mergeCell ref="AO451:AP451"/>
    <mergeCell ref="AR450:AT450"/>
    <mergeCell ref="AO434:AP434"/>
    <mergeCell ref="AO435:AP435"/>
    <mergeCell ref="AO436:AP436"/>
    <mergeCell ref="AO437:AP437"/>
    <mergeCell ref="AO438:AP438"/>
    <mergeCell ref="AO439:AP439"/>
    <mergeCell ref="AO440:AP440"/>
    <mergeCell ref="AO442:AP443"/>
    <mergeCell ref="AR440:AT440"/>
    <mergeCell ref="AO424:AP424"/>
    <mergeCell ref="AO425:AP425"/>
    <mergeCell ref="AO426:AP426"/>
    <mergeCell ref="AO427:AP427"/>
    <mergeCell ref="AO428:AP428"/>
    <mergeCell ref="AO429:AP429"/>
    <mergeCell ref="AO430:AP430"/>
    <mergeCell ref="AR430:AT430"/>
    <mergeCell ref="AO432:AP433"/>
    <mergeCell ref="AO414:AP414"/>
    <mergeCell ref="AO415:AP415"/>
    <mergeCell ref="AO416:AP416"/>
    <mergeCell ref="AO417:AP417"/>
    <mergeCell ref="AO418:AP418"/>
    <mergeCell ref="AO419:AP419"/>
    <mergeCell ref="AO420:AP420"/>
    <mergeCell ref="AR420:AT420"/>
    <mergeCell ref="AO422:AP423"/>
    <mergeCell ref="AO404:AP404"/>
    <mergeCell ref="AO405:AP405"/>
    <mergeCell ref="AO406:AP406"/>
    <mergeCell ref="AO407:AP407"/>
    <mergeCell ref="AO408:AP408"/>
    <mergeCell ref="AO409:AP409"/>
    <mergeCell ref="AO410:AP410"/>
    <mergeCell ref="AR410:AT410"/>
    <mergeCell ref="AO412:AP413"/>
    <mergeCell ref="AO394:AP394"/>
    <mergeCell ref="AO395:AP395"/>
    <mergeCell ref="AO396:AP396"/>
    <mergeCell ref="AO397:AP397"/>
    <mergeCell ref="AO398:AP398"/>
    <mergeCell ref="AO399:AP399"/>
    <mergeCell ref="AO400:AP400"/>
    <mergeCell ref="AR400:AT400"/>
    <mergeCell ref="AO402:AP403"/>
    <mergeCell ref="AO384:AP384"/>
    <mergeCell ref="AO385:AP385"/>
    <mergeCell ref="AO386:AP386"/>
    <mergeCell ref="AO387:AP387"/>
    <mergeCell ref="AO388:AP388"/>
    <mergeCell ref="AO389:AP389"/>
    <mergeCell ref="AO390:AP390"/>
    <mergeCell ref="AR390:AT390"/>
    <mergeCell ref="AO392:AP393"/>
    <mergeCell ref="AO374:AP374"/>
    <mergeCell ref="AO375:AP375"/>
    <mergeCell ref="AO376:AP376"/>
    <mergeCell ref="AO377:AP377"/>
    <mergeCell ref="AO378:AP378"/>
    <mergeCell ref="AO379:AP379"/>
    <mergeCell ref="AO380:AP380"/>
    <mergeCell ref="AR380:AT380"/>
    <mergeCell ref="AO382:AP383"/>
    <mergeCell ref="AO364:AP364"/>
    <mergeCell ref="AO365:AP365"/>
    <mergeCell ref="AO366:AP366"/>
    <mergeCell ref="AO367:AP367"/>
    <mergeCell ref="AO368:AP368"/>
    <mergeCell ref="AO369:AP369"/>
    <mergeCell ref="AO370:AP370"/>
    <mergeCell ref="AR370:AT370"/>
    <mergeCell ref="AO372:AP373"/>
    <mergeCell ref="AO355:AP355"/>
    <mergeCell ref="AO356:AP356"/>
    <mergeCell ref="AO357:AP357"/>
    <mergeCell ref="AO358:AP358"/>
    <mergeCell ref="AO359:AP359"/>
    <mergeCell ref="AO360:AP360"/>
    <mergeCell ref="AR350:AT350"/>
    <mergeCell ref="AR360:AT360"/>
    <mergeCell ref="AO362:AP363"/>
    <mergeCell ref="AO344:AP344"/>
    <mergeCell ref="AO345:AP345"/>
    <mergeCell ref="AO346:AP346"/>
    <mergeCell ref="AO347:AP347"/>
    <mergeCell ref="AO348:AP348"/>
    <mergeCell ref="AO349:AP349"/>
    <mergeCell ref="AO350:AP350"/>
    <mergeCell ref="AO352:AP353"/>
    <mergeCell ref="AO354:AP354"/>
    <mergeCell ref="AO342:AP343"/>
    <mergeCell ref="AR300:AT300"/>
    <mergeCell ref="AO332:AP333"/>
    <mergeCell ref="AO334:AP334"/>
    <mergeCell ref="AO335:AP335"/>
    <mergeCell ref="AO336:AP336"/>
    <mergeCell ref="AO337:AP337"/>
    <mergeCell ref="AO338:AP338"/>
    <mergeCell ref="AO339:AP339"/>
    <mergeCell ref="AO340:AP340"/>
    <mergeCell ref="AR340:AT340"/>
    <mergeCell ref="AO305:AP305"/>
    <mergeCell ref="AO306:AP306"/>
    <mergeCell ref="AO307:AP307"/>
    <mergeCell ref="AO308:AP308"/>
    <mergeCell ref="AO309:AP309"/>
    <mergeCell ref="AO310:AP310"/>
    <mergeCell ref="AR310:AT310"/>
    <mergeCell ref="AO314:AP314"/>
    <mergeCell ref="AO315:AP315"/>
    <mergeCell ref="AO327:AP327"/>
    <mergeCell ref="AO328:AP328"/>
    <mergeCell ref="AO329:AP329"/>
    <mergeCell ref="AO330:AP330"/>
    <mergeCell ref="AO272:AP273"/>
    <mergeCell ref="AO274:AP274"/>
    <mergeCell ref="AO275:AP275"/>
    <mergeCell ref="AO276:AP276"/>
    <mergeCell ref="AO277:AP277"/>
    <mergeCell ref="AO278:AP278"/>
    <mergeCell ref="AO279:AP279"/>
    <mergeCell ref="AO256:AP256"/>
    <mergeCell ref="AO257:AP257"/>
    <mergeCell ref="AO258:AP258"/>
    <mergeCell ref="AO259:AP259"/>
    <mergeCell ref="AO260:AP260"/>
    <mergeCell ref="AO250:AP250"/>
    <mergeCell ref="AR250:AT250"/>
    <mergeCell ref="AO252:AP253"/>
    <mergeCell ref="AO240:AP240"/>
    <mergeCell ref="AR240:AT240"/>
    <mergeCell ref="AO254:AP254"/>
    <mergeCell ref="AO255:AP255"/>
    <mergeCell ref="AR260:AT260"/>
    <mergeCell ref="AO270:AP270"/>
    <mergeCell ref="AR270:AT270"/>
    <mergeCell ref="AO264:AP264"/>
    <mergeCell ref="AO265:AP265"/>
    <mergeCell ref="AO266:AP266"/>
    <mergeCell ref="AO267:AP267"/>
    <mergeCell ref="AO268:AP268"/>
    <mergeCell ref="AO269:AP269"/>
    <mergeCell ref="AO244:AP244"/>
    <mergeCell ref="AO245:AP245"/>
    <mergeCell ref="AO246:AP246"/>
    <mergeCell ref="AO247:AP247"/>
    <mergeCell ref="AO248:AP248"/>
    <mergeCell ref="AO249:AP249"/>
    <mergeCell ref="AR230:AT230"/>
    <mergeCell ref="AO232:AP233"/>
    <mergeCell ref="AO234:AP234"/>
    <mergeCell ref="AO235:AP235"/>
    <mergeCell ref="AO236:AP236"/>
    <mergeCell ref="AO237:AP237"/>
    <mergeCell ref="AO238:AP238"/>
    <mergeCell ref="AO239:AP239"/>
    <mergeCell ref="AO242:AP243"/>
    <mergeCell ref="AO230:AP230"/>
    <mergeCell ref="AR220:AT220"/>
    <mergeCell ref="AO222:AP223"/>
    <mergeCell ref="AO224:AP224"/>
    <mergeCell ref="AO225:AP225"/>
    <mergeCell ref="AO226:AP226"/>
    <mergeCell ref="AO227:AP227"/>
    <mergeCell ref="AO228:AP228"/>
    <mergeCell ref="AO229:AP229"/>
    <mergeCell ref="AO190:AP190"/>
    <mergeCell ref="AR190:AT190"/>
    <mergeCell ref="AR200:AT200"/>
    <mergeCell ref="AO220:AP220"/>
    <mergeCell ref="AR180:AT180"/>
    <mergeCell ref="AO184:AP184"/>
    <mergeCell ref="AO185:AP185"/>
    <mergeCell ref="AO186:AP186"/>
    <mergeCell ref="AR210:AT210"/>
    <mergeCell ref="AO212:AP213"/>
    <mergeCell ref="AO214:AP214"/>
    <mergeCell ref="AO209:AP209"/>
    <mergeCell ref="AO194:AP194"/>
    <mergeCell ref="AO195:AP195"/>
    <mergeCell ref="AO196:AP196"/>
    <mergeCell ref="AO197:AP197"/>
    <mergeCell ref="AO198:AP198"/>
    <mergeCell ref="AO199:AP199"/>
    <mergeCell ref="AO204:AP204"/>
    <mergeCell ref="AO205:AP205"/>
    <mergeCell ref="AO206:AP206"/>
    <mergeCell ref="AO207:AP207"/>
    <mergeCell ref="AO208:AP208"/>
    <mergeCell ref="AO180:AP180"/>
    <mergeCell ref="AR170:AT170"/>
    <mergeCell ref="AO172:AP173"/>
    <mergeCell ref="AO174:AP174"/>
    <mergeCell ref="AO175:AP175"/>
    <mergeCell ref="AO176:AP176"/>
    <mergeCell ref="AR160:AT160"/>
    <mergeCell ref="AO162:AP163"/>
    <mergeCell ref="AO166:AP166"/>
    <mergeCell ref="AO167:AP167"/>
    <mergeCell ref="AO168:AP168"/>
    <mergeCell ref="AO164:AP164"/>
    <mergeCell ref="AO165:AP165"/>
    <mergeCell ref="AO160:AP160"/>
    <mergeCell ref="AO169:AP169"/>
    <mergeCell ref="AO170:AP170"/>
    <mergeCell ref="AR150:AT150"/>
    <mergeCell ref="AO152:AP153"/>
    <mergeCell ref="AO156:AP156"/>
    <mergeCell ref="AO157:AP157"/>
    <mergeCell ref="AO158:AP158"/>
    <mergeCell ref="AR140:AT140"/>
    <mergeCell ref="AO146:AP146"/>
    <mergeCell ref="AO147:AP147"/>
    <mergeCell ref="AO148:AP148"/>
    <mergeCell ref="AO149:AP149"/>
    <mergeCell ref="AO130:AP130"/>
    <mergeCell ref="AR130:AT130"/>
    <mergeCell ref="AO136:AP136"/>
    <mergeCell ref="AO137:AP137"/>
    <mergeCell ref="AO138:AP138"/>
    <mergeCell ref="AO122:AP123"/>
    <mergeCell ref="AO126:AP126"/>
    <mergeCell ref="AO127:AP127"/>
    <mergeCell ref="AO128:AP128"/>
    <mergeCell ref="AO129:AP129"/>
    <mergeCell ref="AO117:AP117"/>
    <mergeCell ref="AO118:AP118"/>
    <mergeCell ref="AO119:AP119"/>
    <mergeCell ref="AO120:AP120"/>
    <mergeCell ref="AR120:AT120"/>
    <mergeCell ref="AR100:AT100"/>
    <mergeCell ref="AO110:AP110"/>
    <mergeCell ref="AR110:AT110"/>
    <mergeCell ref="AO112:AP113"/>
    <mergeCell ref="AO116:AP116"/>
    <mergeCell ref="AO106:AP106"/>
    <mergeCell ref="AO107:AP107"/>
    <mergeCell ref="AO108:AP108"/>
    <mergeCell ref="AO109:AP109"/>
    <mergeCell ref="AO100:AP100"/>
    <mergeCell ref="AO292:AP293"/>
    <mergeCell ref="AO312:AP313"/>
    <mergeCell ref="AO322:AP323"/>
    <mergeCell ref="AO2:AP3"/>
    <mergeCell ref="AO12:AP13"/>
    <mergeCell ref="AO22:AP23"/>
    <mergeCell ref="AO62:AP63"/>
    <mergeCell ref="AO72:AP73"/>
    <mergeCell ref="AO82:AP83"/>
    <mergeCell ref="AO92:AP93"/>
    <mergeCell ref="AO96:AP96"/>
    <mergeCell ref="AO97:AP97"/>
    <mergeCell ref="AO98:AP98"/>
    <mergeCell ref="AO99:AP99"/>
    <mergeCell ref="AO84:AP84"/>
    <mergeCell ref="AO102:AP103"/>
    <mergeCell ref="AO132:AP133"/>
    <mergeCell ref="AO142:AP143"/>
    <mergeCell ref="AO182:AP183"/>
    <mergeCell ref="AO192:AP193"/>
    <mergeCell ref="AO139:AP139"/>
    <mergeCell ref="AO140:AP140"/>
    <mergeCell ref="AO150:AP150"/>
    <mergeCell ref="AO159:AP159"/>
    <mergeCell ref="AO9:AP9"/>
    <mergeCell ref="AO10:AP10"/>
    <mergeCell ref="AR10:AT10"/>
    <mergeCell ref="AO14:AP14"/>
    <mergeCell ref="AO4:AP4"/>
    <mergeCell ref="AO5:AP5"/>
    <mergeCell ref="AO6:AP6"/>
    <mergeCell ref="AO7:AP7"/>
    <mergeCell ref="AO8:AP8"/>
    <mergeCell ref="AO16:AP16"/>
    <mergeCell ref="AO15:AP15"/>
    <mergeCell ref="AO20:AP20"/>
    <mergeCell ref="AR20:AT20"/>
    <mergeCell ref="AO24:AP24"/>
    <mergeCell ref="AO30:AP30"/>
    <mergeCell ref="AR30:AT30"/>
    <mergeCell ref="AO32:AP33"/>
    <mergeCell ref="AO34:AP34"/>
    <mergeCell ref="AO35:AP35"/>
    <mergeCell ref="AO36:AP36"/>
    <mergeCell ref="AO37:AP37"/>
    <mergeCell ref="AO38:AP38"/>
    <mergeCell ref="AO39:AP39"/>
    <mergeCell ref="AO40:AP40"/>
    <mergeCell ref="AR40:AT40"/>
    <mergeCell ref="AO42:AP43"/>
    <mergeCell ref="AO44:AP44"/>
    <mergeCell ref="AO45:AP45"/>
    <mergeCell ref="AO46:AP46"/>
    <mergeCell ref="AO47:AP47"/>
    <mergeCell ref="AO48:AP48"/>
    <mergeCell ref="AO49:AP49"/>
    <mergeCell ref="AO50:AP50"/>
    <mergeCell ref="AR50:AT50"/>
    <mergeCell ref="AO52:AP53"/>
    <mergeCell ref="AO54:AP54"/>
    <mergeCell ref="AO55:AP55"/>
    <mergeCell ref="AO56:AP56"/>
    <mergeCell ref="AO57:AP57"/>
    <mergeCell ref="AO58:AP58"/>
    <mergeCell ref="AO59:AP59"/>
    <mergeCell ref="AO60:AP60"/>
    <mergeCell ref="AR60:AT60"/>
    <mergeCell ref="AO66:AP66"/>
    <mergeCell ref="AO67:AP67"/>
    <mergeCell ref="AR80:AT80"/>
    <mergeCell ref="AO86:AP86"/>
    <mergeCell ref="AO87:AP87"/>
    <mergeCell ref="AO88:AP88"/>
    <mergeCell ref="AO89:AP89"/>
    <mergeCell ref="AO68:AP68"/>
    <mergeCell ref="AO69:AP69"/>
    <mergeCell ref="AO70:AP70"/>
    <mergeCell ref="AR70:AT70"/>
    <mergeCell ref="AO76:AP76"/>
    <mergeCell ref="AO77:AP77"/>
    <mergeCell ref="AO78:AP78"/>
    <mergeCell ref="AO79:AP79"/>
    <mergeCell ref="AO80:AP80"/>
    <mergeCell ref="AO286:AP286"/>
    <mergeCell ref="AO287:AP287"/>
    <mergeCell ref="AO288:AP288"/>
    <mergeCell ref="AO289:AP289"/>
    <mergeCell ref="AO290:AP290"/>
    <mergeCell ref="AR290:AT290"/>
    <mergeCell ref="AO280:AP280"/>
    <mergeCell ref="AO90:AP90"/>
    <mergeCell ref="AR90:AT90"/>
    <mergeCell ref="AO177:AP177"/>
    <mergeCell ref="AO178:AP178"/>
    <mergeCell ref="AO179:AP179"/>
    <mergeCell ref="AO202:AP203"/>
    <mergeCell ref="AO262:AP263"/>
    <mergeCell ref="AO210:AP210"/>
    <mergeCell ref="AO217:AP217"/>
    <mergeCell ref="AO218:AP218"/>
    <mergeCell ref="AO219:AP219"/>
    <mergeCell ref="AO187:AP187"/>
    <mergeCell ref="AO188:AP188"/>
    <mergeCell ref="AO189:AP189"/>
    <mergeCell ref="AO200:AP200"/>
    <mergeCell ref="AO215:AP215"/>
    <mergeCell ref="AO216:AP216"/>
    <mergeCell ref="AO1:CA1"/>
    <mergeCell ref="AR330:AT330"/>
    <mergeCell ref="AO316:AP316"/>
    <mergeCell ref="AO317:AP317"/>
    <mergeCell ref="AO318:AP318"/>
    <mergeCell ref="AO319:AP319"/>
    <mergeCell ref="AO320:AP320"/>
    <mergeCell ref="AR320:AT320"/>
    <mergeCell ref="AO324:AP324"/>
    <mergeCell ref="AO325:AP325"/>
    <mergeCell ref="AO326:AP326"/>
    <mergeCell ref="AO294:AP294"/>
    <mergeCell ref="AO295:AP295"/>
    <mergeCell ref="AO296:AP296"/>
    <mergeCell ref="AO297:AP297"/>
    <mergeCell ref="AO298:AP298"/>
    <mergeCell ref="AO299:AP299"/>
    <mergeCell ref="AO300:AP300"/>
    <mergeCell ref="AO302:AP303"/>
    <mergeCell ref="AO304:AP304"/>
    <mergeCell ref="AR280:AT280"/>
    <mergeCell ref="AO282:AP283"/>
    <mergeCell ref="AO284:AP284"/>
    <mergeCell ref="AO285:AP285"/>
  </mergeCells>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E4BD9-727F-417C-B144-007A78DD617F}">
  <dimension ref="A1:V40"/>
  <sheetViews>
    <sheetView workbookViewId="0">
      <selection activeCell="K6" sqref="K6"/>
    </sheetView>
  </sheetViews>
  <sheetFormatPr defaultRowHeight="14.4"/>
  <cols>
    <col min="1" max="1" width="3.44140625" bestFit="1" customWidth="1"/>
    <col min="2" max="3" width="12" bestFit="1" customWidth="1"/>
    <col min="7" max="7" width="11" bestFit="1" customWidth="1"/>
    <col min="8" max="8" width="10.44140625" bestFit="1" customWidth="1"/>
    <col min="10" max="10" width="10.77734375" bestFit="1" customWidth="1"/>
    <col min="15" max="21" width="9" bestFit="1" customWidth="1"/>
  </cols>
  <sheetData>
    <row r="1" spans="1:22">
      <c r="A1" s="27" t="s">
        <v>288</v>
      </c>
      <c r="B1" s="27" t="s">
        <v>303</v>
      </c>
      <c r="C1" s="27" t="s">
        <v>304</v>
      </c>
      <c r="D1" s="27" t="s">
        <v>305</v>
      </c>
      <c r="E1" s="27" t="s">
        <v>306</v>
      </c>
      <c r="F1" s="27" t="s">
        <v>307</v>
      </c>
      <c r="G1" s="27" t="s">
        <v>308</v>
      </c>
      <c r="H1" s="46" t="s">
        <v>440</v>
      </c>
      <c r="I1" s="46" t="s">
        <v>329</v>
      </c>
      <c r="J1" s="46" t="s">
        <v>299</v>
      </c>
    </row>
    <row r="2" spans="1:22">
      <c r="A2" s="6">
        <f>ROW()-1</f>
        <v>1</v>
      </c>
      <c r="B2" s="24">
        <f>'Data Training 1'!AW22*'Data Training 1'!AT31*'Data Training 1'!AT40*'Data Training 1'!AT44*'Data Training 1'!AT52*'Data Training 1'!AT58*'Data Training 1'!AT64*'Data Training 1'!AT69*'Data Training 1'!AT75*'Data Training 1'!AT81*'Data Training 1'!AT87*'Data Training 1'!AT92*'Data Training 1'!AT100*'Data Training 1'!AT106*'Data Training 1'!AT110*'Data Training 1'!AT116*'Data Training 1'!AT124*'Data Training 1'!AT130*'Data Training 1'!AT136*'Data Training 1'!AT141*'Data Training 1'!AT145*'Data Training 1'!AT151*'Data Training 1'!AT159*'Data Training 1'!AT163*'Data Training 1'!AT167*'Data Training 1'!AT171*'Data Training 1'!AT175*'Data Training 1'!AT179*'Data Training 1'!AT183*'Data Training 1'!AT187*'Data Training 1'!AT192*'Data Training 1'!AT195*'Data Training 1'!AT200*'Data Training 1'!AT203*'Data Training 1'!AT207*'Data Training 1'!AT211*'Data Training 1'!AT216</f>
        <v>5.8352343163020858E-11</v>
      </c>
      <c r="C2" s="6">
        <v>0</v>
      </c>
      <c r="D2" s="6">
        <f>'Data Training 1'!AW24*'Data Training 1'!AV31*'Data Training 1'!AV40*'Data Training 1'!AV44*'Data Training 1'!AV52*'Data Training 1'!AV58*'Data Training 1'!AV64*'Data Training 1'!AV69*'Data Training 1'!AV75*'Data Training 1'!AV81*'Data Training 1'!AV87*'Data Training 1'!AV92*'Data Training 1'!AV100*'Data Training 1'!AV106*'Data Training 1'!AV110*'Data Training 1'!AV116*'Data Training 1'!AV124*'Data Training 1'!AV130*'Data Training 1'!AV136*'Data Training 1'!AV141*'Data Training 1'!AV145*'Data Training 1'!AV151*'Data Training 1'!AV159*'Data Training 1'!AV163*'Data Training 1'!AV167*'Data Training 1'!AV171*'Data Training 1'!AV175*'Data Training 1'!AV179*'Data Training 1'!AV183*'Data Training 1'!AV187*'Data Training 1'!AV192*'Data Training 1'!AV195*'Data Training 1'!AV200*'Data Training 1'!AV203*'Data Training 1'!AV207*'Data Training 1'!AV211*'Data Training 1'!AV216</f>
        <v>1.7783571249682544E-10</v>
      </c>
      <c r="E2" s="6">
        <v>0</v>
      </c>
      <c r="F2" s="6">
        <v>0</v>
      </c>
      <c r="G2" s="6">
        <v>0</v>
      </c>
      <c r="H2" s="6" t="s">
        <v>303</v>
      </c>
      <c r="I2" s="6" t="s">
        <v>303</v>
      </c>
      <c r="J2" s="6" t="s">
        <v>286</v>
      </c>
      <c r="N2" s="102" t="s">
        <v>520</v>
      </c>
      <c r="O2" s="102"/>
      <c r="P2" s="102"/>
      <c r="Q2" s="102"/>
      <c r="R2" s="102"/>
      <c r="S2" s="102"/>
      <c r="T2" s="102"/>
      <c r="U2" s="102"/>
    </row>
    <row r="3" spans="1:22">
      <c r="A3" s="6">
        <f t="shared" ref="A3:A37" si="0">ROW()-1</f>
        <v>2</v>
      </c>
      <c r="B3" s="6">
        <f>'Data Training 1'!AW22*'Data Training 1'!AT33*'Data Training 1'!AT38*'Data Training 1'!AT43*'Data Training 1'!AT52*'Data Training 1'!AT58*'Data Training 1'!AT64*'Data Training 1'!AT70*'Data Training 1'!AT75*'Data Training 1'!AT80*'Data Training 1'!AT86*'Data Training 1'!AT91*'Data Training 1'!AT98*'Data Training 1'!AT106*'Data Training 1'!AT110*'Data Training 1'!AT116*'Data Training 1'!AT124*'Data Training 1'!AT130*'Data Training 1'!AT136*'Data Training 1'!AT141*'Data Training 1'!AT145*'Data Training 1'!AT152*'Data Training 1'!AT159*'Data Training 1'!AT164*'Data Training 1'!AT167*'Data Training 1'!AT171*'Data Training 1'!AT175*'Data Training 1'!AT179*'Data Training 1'!AT183*'Data Training 1'!AT187*'Data Training 1'!AT191*'Data Training 1'!AT195*'Data Training 1'!AT199*'Data Training 1'!AT203*'Data Training 1'!AT207*'Data Training 1'!AT212*'Data Training 1'!AT216</f>
        <v>3.999980786209588E-9</v>
      </c>
      <c r="C3" s="47">
        <f>'Data Training 1'!AW23*'Data Training 1'!AU33*'Data Training 1'!AU38*'Data Training 1'!AU43*'Data Training 1'!AU52*'Data Training 1'!AU58*'Data Training 1'!AU64*'Data Training 1'!AU70*'Data Training 1'!AU75*'Data Training 1'!AU80*'Data Training 1'!AU86*'Data Training 1'!AU91*'Data Training 1'!AU98*'Data Training 1'!AU106*'Data Training 1'!AU110*'Data Training 1'!AU116*'Data Training 1'!AU124*'Data Training 1'!AU130*'Data Training 1'!AU136*'Data Training 1'!AU141*'Data Training 1'!AU145*'Data Training 1'!AU152*'Data Training 1'!AU159*'Data Training 1'!AU164*'Data Training 1'!AU167*'Data Training 1'!AU171*'Data Training 1'!AU175*'Data Training 1'!AU179*'Data Training 1'!AU183*'Data Training 1'!AU187*'Data Training 1'!AU191*'Data Training 1'!AU195*'Data Training 1'!AU199*'Data Training 1'!AU203*'Data Training 1'!AU207*'Data Training 1'!AU212*'Data Training 1'!AU216</f>
        <v>5.1357777995777438E-12</v>
      </c>
      <c r="D3" s="6">
        <v>0</v>
      </c>
      <c r="E3" s="6">
        <v>0</v>
      </c>
      <c r="F3" s="6">
        <v>0</v>
      </c>
      <c r="G3" s="6">
        <v>0</v>
      </c>
      <c r="H3" s="47" t="s">
        <v>303</v>
      </c>
      <c r="I3" s="47" t="s">
        <v>304</v>
      </c>
      <c r="J3" s="47" t="s">
        <v>287</v>
      </c>
      <c r="N3" s="109" t="s">
        <v>301</v>
      </c>
      <c r="O3" s="109" t="s">
        <v>299</v>
      </c>
      <c r="P3" s="109"/>
      <c r="Q3" s="109"/>
      <c r="R3" s="109"/>
      <c r="S3" s="109"/>
      <c r="T3" s="109"/>
      <c r="U3" s="104" t="s">
        <v>302</v>
      </c>
    </row>
    <row r="4" spans="1:22">
      <c r="A4" s="6">
        <f t="shared" si="0"/>
        <v>3</v>
      </c>
      <c r="B4" s="24">
        <f>'Data Training 1'!AW22*'Data Training 1'!AT33*'Data Training 1'!AT40*'Data Training 1'!AT44*'Data Training 1'!AT52*'Data Training 1'!AT58*'Data Training 1'!AT62*'Data Training 1'!AT69*'Data Training 1'!AT75*'Data Training 1'!AT81*'Data Training 1'!AT86*'Data Training 1'!AT91*'Data Training 1'!AT100*'Data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1'!AT188*'Data Training 1'!AT192*'Data Training 1'!AT195*'Data Training 1'!AT199*'Data Training 1'!AT203*'Data Training 1'!AT207*'Data Training 1'!AT211*'Data Training 1'!AT216</f>
        <v>1.9999903931047943E-10</v>
      </c>
      <c r="C4" s="6">
        <v>0</v>
      </c>
      <c r="D4" s="6">
        <v>0</v>
      </c>
      <c r="E4" s="6">
        <v>0</v>
      </c>
      <c r="F4" s="6">
        <v>0</v>
      </c>
      <c r="G4" s="6">
        <v>0</v>
      </c>
      <c r="H4" s="6" t="s">
        <v>303</v>
      </c>
      <c r="I4" s="6" t="s">
        <v>303</v>
      </c>
      <c r="J4" s="6" t="s">
        <v>286</v>
      </c>
      <c r="N4" s="109"/>
      <c r="O4" s="6" t="s">
        <v>303</v>
      </c>
      <c r="P4" s="6" t="s">
        <v>304</v>
      </c>
      <c r="Q4" s="6" t="s">
        <v>305</v>
      </c>
      <c r="R4" s="6" t="s">
        <v>306</v>
      </c>
      <c r="S4" s="6" t="s">
        <v>307</v>
      </c>
      <c r="T4" s="6" t="s">
        <v>308</v>
      </c>
      <c r="U4" s="105"/>
    </row>
    <row r="5" spans="1:22">
      <c r="A5" s="6">
        <f t="shared" si="0"/>
        <v>4</v>
      </c>
      <c r="B5" s="24">
        <f>'Data Training 1'!AW22*'Data Training 1'!AT34*'Data Training 1'!AT38*'Data Training 1'!AT45*'Data Training 1'!AT50*'Data Training 1'!AT58*'Data Training 1'!AT64*'Data Training 1'!AT70*'Data Training 1'!AT75*'Data Training 1'!AT81*'Data Training 1'!AT87*'Data Training 1'!AT93*'Data Training 1'!AT100*'Data Training 1'!AT106*'Data Training 1'!AT110*'Data Training 1'!AT116*'Data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1'!AT192*'Data Training 1'!AT195*'Data Training 1'!AT200*'Data Training 1'!AT204*'Data Training 1'!AT207*'Data Training 1'!AT211*'Data Training 1'!AT216</f>
        <v>4.7634565847363974E-11</v>
      </c>
      <c r="C5" s="6">
        <f>'Data Training 1'!AW23*'Data Training 1'!AU34*'Data Training 1'!AU38*'Data Training 1'!AU45*'Data Training 1'!AU50*'Data Training 1'!AU58*'Data Training 1'!AU64*'Data Training 1'!AU70*'Data Training 1'!AU75*'Data Training 1'!AU81*'Data Training 1'!AU87*'Data Training 1'!AU93*'Data Training 1'!AU100*'Data Training 1'!AU106*'Data Training 1'!AU110*'Data Training 1'!AU116*'Data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1'!AU192*'Data Training 1'!AU195*'Data Training 1'!AU200*'Data Training 1'!AU204*'Data Training 1'!AU207*'Data Training 1'!AU211*'Data Training 1'!AU216</f>
        <v>2.201047628390461E-11</v>
      </c>
      <c r="D5" s="6">
        <v>0</v>
      </c>
      <c r="E5" s="6">
        <v>0</v>
      </c>
      <c r="F5" s="6">
        <v>0</v>
      </c>
      <c r="G5" s="6">
        <v>0</v>
      </c>
      <c r="H5" s="6" t="s">
        <v>303</v>
      </c>
      <c r="I5" s="6" t="s">
        <v>303</v>
      </c>
      <c r="J5" s="6" t="s">
        <v>286</v>
      </c>
      <c r="N5" s="6" t="s">
        <v>303</v>
      </c>
      <c r="O5" s="7">
        <v>4</v>
      </c>
      <c r="P5" s="6">
        <v>2</v>
      </c>
      <c r="Q5" s="6">
        <v>0</v>
      </c>
      <c r="R5" s="6">
        <v>0</v>
      </c>
      <c r="S5" s="6">
        <v>0</v>
      </c>
      <c r="T5" s="6">
        <v>0</v>
      </c>
      <c r="U5" s="24">
        <f t="shared" ref="U5:U11" si="1">SUM(O5:T5)</f>
        <v>6</v>
      </c>
    </row>
    <row r="6" spans="1:22">
      <c r="A6" s="6">
        <f t="shared" si="0"/>
        <v>5</v>
      </c>
      <c r="B6" s="24">
        <f>'Data Training 1'!AW22*'Data Training 1'!AT34*'Data Training 1'!AT38*'Data Training 1'!AT43*'Data Training 1'!AT50*'Data Training 1'!AT58*'Data Training 1'!AT64*'Data Training 1'!AT70*'Data Training 1'!AT75*'Data Training 1'!AT80*'Data Training 1'!AT86*'Data Training 1'!AT93*'Data Training 1'!AT97*'Data Training 1'!AT106*'Data Training 1'!AT110*'Data Training 1'!AT117*'Data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1'!AT191*'Data Training 1'!AT195*'Data Training 1'!AT199*'Data Training 1'!AT203*'Data Training 1'!AT207*'Data Training 1'!AT211*'Data Training 1'!AT216</f>
        <v>7.7745010421955084E-11</v>
      </c>
      <c r="C6" s="6">
        <f>'Data Training 1'!AW23*'Data Training 1'!AU34*'Data Training 1'!AU38*'Data Training 1'!AU43*'Data Training 1'!AU50*'Data Training 1'!AU58*'Data Training 1'!AU64*'Data Training 1'!AU70*'Data Training 1'!AU75*'Data Training 1'!AU80*'Data Training 1'!AU86*'Data Training 1'!AU93*'Data Training 1'!AU97*'Data Training 1'!AU106*'Data Training 1'!AU110*'Data Training 1'!AU117*'Data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1'!AU191*'Data Training 1'!AU195*'Data Training 1'!AU199*'Data Training 1'!AU203*'Data Training 1'!AU207*'Data Training 1'!AU211*'Data Training 1'!AU216</f>
        <v>4.9801481692875086E-12</v>
      </c>
      <c r="D6" s="6">
        <v>0</v>
      </c>
      <c r="E6" s="6">
        <v>0</v>
      </c>
      <c r="F6" s="6">
        <v>0</v>
      </c>
      <c r="G6" s="6">
        <v>0</v>
      </c>
      <c r="H6" s="6" t="s">
        <v>303</v>
      </c>
      <c r="I6" s="6" t="s">
        <v>303</v>
      </c>
      <c r="J6" s="6" t="s">
        <v>286</v>
      </c>
      <c r="N6" s="6" t="s">
        <v>304</v>
      </c>
      <c r="O6" s="6">
        <v>0</v>
      </c>
      <c r="P6" s="7">
        <v>6</v>
      </c>
      <c r="Q6" s="6">
        <v>0</v>
      </c>
      <c r="R6" s="6">
        <v>0</v>
      </c>
      <c r="S6" s="6">
        <v>0</v>
      </c>
      <c r="T6" s="6">
        <v>0</v>
      </c>
      <c r="U6" s="24">
        <f t="shared" si="1"/>
        <v>6</v>
      </c>
    </row>
    <row r="7" spans="1:22">
      <c r="A7" s="6">
        <f t="shared" si="0"/>
        <v>6</v>
      </c>
      <c r="B7" s="6">
        <f>'Data Training 1'!AW22*'Data Training 1'!AT34*'Data Training 1'!AT38*'Data Training 1'!AT45*'Data Training 1'!AT50*'Data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1'!AT139*'Data Training 1'!AT145*'Data Training 1'!AT151*'Data Training 1'!AT157*'Data Training 1'!AT164*'Data Training 1'!AT168*'Data Training 1'!AT172*'Data Training 1'!AT175*'Data Training 1'!AT179*'Data Training 1'!AT183*'Data Training 1'!AT187*'Data Training 1'!AT192*'Data Training 1'!AT195*'Data Training 1'!AT200*'Data Training 1'!AT203*'Data Training 1'!AT207*'Data Training 1'!AT212*'Data Training 1'!AT216</f>
        <v>1.1758932826320701E-10</v>
      </c>
      <c r="C7" s="47">
        <f>'Data Training 1'!AW23*'Data Training 1'!AU34*'Data Training 1'!AU38*'Data Training 1'!AU45*'Data Training 1'!AU50*'Data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1'!AU139*'Data Training 1'!AU145*'Data Training 1'!AU151*'Data Training 1'!AU157*'Data Training 1'!AU164*'Data Training 1'!AU168*'Data Training 1'!AU172*'Data Training 1'!AU175*'Data Training 1'!AU179*'Data Training 1'!AU183*'Data Training 1'!AU187*'Data Training 1'!AU192*'Data Training 1'!AU195*'Data Training 1'!AU200*'Data Training 1'!AU203*'Data Training 1'!AU207*'Data Training 1'!AU212*'Data Training 1'!AU216</f>
        <v>2.2825679109234415E-11</v>
      </c>
      <c r="D7" s="6">
        <v>0</v>
      </c>
      <c r="E7" s="6">
        <v>0</v>
      </c>
      <c r="F7" s="6">
        <v>0</v>
      </c>
      <c r="G7" s="6">
        <v>0</v>
      </c>
      <c r="H7" s="47" t="s">
        <v>303</v>
      </c>
      <c r="I7" s="47" t="s">
        <v>304</v>
      </c>
      <c r="J7" s="47" t="s">
        <v>287</v>
      </c>
      <c r="N7" s="6" t="s">
        <v>305</v>
      </c>
      <c r="O7" s="6">
        <v>0</v>
      </c>
      <c r="P7" s="6">
        <v>0</v>
      </c>
      <c r="Q7" s="7">
        <v>6</v>
      </c>
      <c r="R7" s="6">
        <v>0</v>
      </c>
      <c r="S7" s="6">
        <v>0</v>
      </c>
      <c r="T7" s="6">
        <v>0</v>
      </c>
      <c r="U7" s="24">
        <f t="shared" si="1"/>
        <v>6</v>
      </c>
    </row>
    <row r="8" spans="1:22">
      <c r="A8" s="6">
        <f t="shared" si="0"/>
        <v>7</v>
      </c>
      <c r="B8" s="6">
        <v>0</v>
      </c>
      <c r="C8" s="24">
        <f>'Data Training 1'!AW23*'Data Training 1'!AU34*'Data Training 1'!AU38*'Data Training 1'!AU43*'Data Training 1'!AU50*'Data Training 1'!AU58*'Data Training 1'!AU64*'Data Training 1'!AU68*'Data Training 1'!AU73*'Data Training 1'!AU80*'Data Training 1'!AU86*'Data Training 1'!AU91*'Data Training 1'!AU97*'Data Training 1'!AU106*'Data Training 1'!AU110*'Data Training 1'!AU115*'Data Training 1'!AU124*'Data Training 1'!AU130*'Data Training 1'!AU136*'Data Training 1'!AU140*'Data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3.2954574213957171E-11</v>
      </c>
      <c r="D8" s="6">
        <v>0</v>
      </c>
      <c r="E8" s="6">
        <v>0</v>
      </c>
      <c r="F8" s="6">
        <v>0</v>
      </c>
      <c r="G8" s="6">
        <v>0</v>
      </c>
      <c r="H8" s="6" t="s">
        <v>304</v>
      </c>
      <c r="I8" s="6" t="s">
        <v>304</v>
      </c>
      <c r="J8" s="6" t="s">
        <v>286</v>
      </c>
      <c r="N8" s="6" t="s">
        <v>306</v>
      </c>
      <c r="O8" s="6">
        <v>0</v>
      </c>
      <c r="P8" s="6">
        <v>0</v>
      </c>
      <c r="Q8" s="6">
        <v>0</v>
      </c>
      <c r="R8" s="7">
        <v>5</v>
      </c>
      <c r="S8" s="6">
        <v>0</v>
      </c>
      <c r="T8" s="6">
        <v>1</v>
      </c>
      <c r="U8" s="24">
        <f t="shared" si="1"/>
        <v>6</v>
      </c>
    </row>
    <row r="9" spans="1:22">
      <c r="A9" s="6">
        <f t="shared" si="0"/>
        <v>8</v>
      </c>
      <c r="B9" s="6">
        <v>0</v>
      </c>
      <c r="C9" s="24">
        <f>'Data Training 1'!AW23*'Data Training 1'!AU34*'Data Training 1'!AU40*'Data Training 1'!AU44*'Data Training 1'!AU52*'Data Training 1'!AU58*'Data Training 1'!AU64*'Data Training 1'!AU69*'Data Training 1'!AU75*'Data Training 1'!AU80*'Data Training 1'!AU87*'Data Training 1'!AU93*'Data Training 1'!AU98*'Data Training 1'!AU106*'Data Training 1'!AU110*'Data Training 1'!AU115*'Data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1'!AU212*'Data Training 1'!AU215</f>
        <v>7.7999625331086933E-10</v>
      </c>
      <c r="D9" s="6">
        <v>0</v>
      </c>
      <c r="E9" s="6">
        <v>0</v>
      </c>
      <c r="F9" s="6">
        <v>0</v>
      </c>
      <c r="G9" s="6">
        <v>0</v>
      </c>
      <c r="H9" s="6" t="s">
        <v>304</v>
      </c>
      <c r="I9" s="6" t="s">
        <v>304</v>
      </c>
      <c r="J9" s="6" t="s">
        <v>286</v>
      </c>
      <c r="N9" s="6" t="s">
        <v>307</v>
      </c>
      <c r="O9" s="6">
        <v>0</v>
      </c>
      <c r="P9" s="6">
        <v>0</v>
      </c>
      <c r="Q9" s="6">
        <v>0</v>
      </c>
      <c r="R9" s="6">
        <v>0</v>
      </c>
      <c r="S9" s="7">
        <v>4</v>
      </c>
      <c r="T9" s="6">
        <v>2</v>
      </c>
      <c r="U9" s="24">
        <f t="shared" si="1"/>
        <v>6</v>
      </c>
    </row>
    <row r="10" spans="1:22">
      <c r="A10" s="6">
        <f t="shared" si="0"/>
        <v>9</v>
      </c>
      <c r="B10" s="6">
        <f>'Data Training 1'!AW22*'Data Training 1'!AT31*'Data Training 1'!AT40*'Data Training 1'!AT44*'Data Training 1'!AT52*'Data Training 1'!AT58*'Data Training 1'!AT64*'Data Training 1'!AT70*'Data Training 1'!AT75*'Data Training 1'!AT80*'Data Training 1'!AT87*'Data Training 1'!AT92*'Data Training 1'!AT99*'Data Training 1'!AT106*'Data Training 1'!AT110*'Data Training 1'!AT116*'Data Training 1'!AT124*'Data Training 1'!AT130*'Data Training 1'!AT136*'Data Training 1'!AT139*'Data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1'!AT211*'Data Training 1'!AT216</f>
        <v>1.4485527127014143E-9</v>
      </c>
      <c r="C10" s="24">
        <f>'Data Training 1'!AW23*'Data Training 1'!AU31*'Data Training 1'!AU40*'Data Training 1'!AU44*'Data Training 1'!AU52*'Data Training 1'!AU58*'Data Training 1'!AU64*'Data Training 1'!AU70*'Data Training 1'!AU75*'Data Training 1'!AU80*'Data Training 1'!AU87*'Data Training 1'!AU92*'Data Training 1'!AU99*'Data Training 1'!AU106*'Data Training 1'!AU110*'Data Training 1'!AU116*'Data Training 1'!AU124*'Data Training 1'!AU130*'Data Training 1'!AU136*'Data Training 1'!AU139*'Data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1'!AU211*'Data Training 1'!AU216</f>
        <v>6.5371114563196674E-9</v>
      </c>
      <c r="D10" s="6">
        <f>'Data Training 1'!AW24*'Data Training 1'!AV31*'Data Training 1'!AV40*'Data Training 1'!AV44*'Data Training 1'!AV52*'Data Training 1'!AV58*'Data Training 1'!AV64*'Data Training 1'!AV70*'Data Training 1'!AV75*'Data Training 1'!AV80*'Data Training 1'!AV87*'Data Training 1'!AV92*'Data Training 1'!AV99*'Data Training 1'!AV106*'Data Training 1'!AV110*'Data Training 1'!AV116*'Data Training 1'!AV124*'Data Training 1'!AV130*'Data Training 1'!AV136*'Data Training 1'!AV139*'Data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1'!AV211*'Data Training 1'!AV216</f>
        <v>2.2132924675319188E-9</v>
      </c>
      <c r="E10" s="6">
        <v>0</v>
      </c>
      <c r="F10" s="6">
        <v>0</v>
      </c>
      <c r="G10" s="6">
        <f>'Data Training 1'!AW27*'Data Training 1'!AY31*'Data Training 1'!AY40*'Data Training 1'!AY44*'Data Training 1'!AY52*'Data Training 1'!AY58*'Data Training 1'!AY64*'Data Training 1'!AY70*'Data Training 1'!AY75*'Data Training 1'!AY80*'Data Training 1'!AY87*'Data Training 1'!AY92*'Data Training 1'!AY99*'Data Training 1'!AY106*'Data Training 1'!AY110*'Data Training 1'!AY116*'Data Training 1'!AY124*'Data Training 1'!AY130*'Data Training 1'!AY136*'Data Training 1'!AY139*'Data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1'!AY211*'Data Training 1'!AY216</f>
        <v>2.0169158387336675E-12</v>
      </c>
      <c r="H10" s="6" t="s">
        <v>304</v>
      </c>
      <c r="I10" s="6" t="s">
        <v>304</v>
      </c>
      <c r="J10" s="6" t="s">
        <v>286</v>
      </c>
      <c r="N10" s="6" t="s">
        <v>308</v>
      </c>
      <c r="O10" s="6">
        <v>0</v>
      </c>
      <c r="P10" s="6">
        <v>0</v>
      </c>
      <c r="Q10" s="6">
        <v>0</v>
      </c>
      <c r="R10" s="6">
        <v>0</v>
      </c>
      <c r="S10" s="6">
        <v>0</v>
      </c>
      <c r="T10" s="7">
        <v>6</v>
      </c>
      <c r="U10" s="24">
        <f t="shared" si="1"/>
        <v>6</v>
      </c>
    </row>
    <row r="11" spans="1:22">
      <c r="A11" s="6">
        <f t="shared" si="0"/>
        <v>10</v>
      </c>
      <c r="B11" s="6">
        <f>'Data Training 1'!AW22*'Data Training 1'!AT33*'Data Training 1'!AT38*'Data Training 1'!AT45*'Data Training 1'!AT52*'Data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1'!AT142*'Data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1.3718754964040826E-8</v>
      </c>
      <c r="C11" s="24">
        <f>'Data Training 1'!AW23*'Data Training 1'!AU33*'Data Training 1'!AU38*'Data Training 1'!AU45*'Data Training 1'!AU52*'Data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1'!AU142*'Data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5.4233813563540962E-9</v>
      </c>
      <c r="D11" s="6">
        <v>0</v>
      </c>
      <c r="E11" s="6">
        <v>0</v>
      </c>
      <c r="F11" s="6">
        <f>'Data Training 1'!AW26*'Data Training 1'!AX33*'Data Training 1'!AX38*'Data Training 1'!AX45*'Data Training 1'!AX52*'Data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1'!AX142*'Data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4.1330783244220867E-10</v>
      </c>
      <c r="G11" s="6">
        <v>0</v>
      </c>
      <c r="H11" s="6" t="s">
        <v>304</v>
      </c>
      <c r="I11" s="6" t="s">
        <v>304</v>
      </c>
      <c r="J11" s="6" t="s">
        <v>286</v>
      </c>
      <c r="N11" s="24" t="s">
        <v>302</v>
      </c>
      <c r="O11" s="24">
        <f t="shared" ref="O11:T11" si="2">SUM(O5:O10)</f>
        <v>4</v>
      </c>
      <c r="P11" s="24">
        <f t="shared" si="2"/>
        <v>8</v>
      </c>
      <c r="Q11" s="24">
        <f t="shared" si="2"/>
        <v>6</v>
      </c>
      <c r="R11" s="24">
        <f t="shared" si="2"/>
        <v>5</v>
      </c>
      <c r="S11" s="24">
        <f t="shared" si="2"/>
        <v>4</v>
      </c>
      <c r="T11" s="24">
        <f t="shared" si="2"/>
        <v>9</v>
      </c>
      <c r="U11" s="24">
        <f t="shared" si="1"/>
        <v>36</v>
      </c>
      <c r="V11" s="48"/>
    </row>
    <row r="12" spans="1:22">
      <c r="A12" s="6">
        <f t="shared" si="0"/>
        <v>11</v>
      </c>
      <c r="B12" s="6">
        <v>0</v>
      </c>
      <c r="C12" s="24">
        <f>'Data Training 1'!AW23*'Data Training 1'!AU31*'Data Training 1'!AU40*'Data Training 1'!AU46*'Data Training 1'!AU52*'Data Training 1'!AU58*'Data Training 1'!AU64*'Data Training 1'!AU70*'Data Training 1'!AU75*'Data Training 1'!AU80*'Data Training 1'!AU85*'Data Training 1'!AU91*'Data Training 1'!AU99*'Data Training 1'!AU106*'Data Training 1'!AU109*'Data Training 1'!AU117*'Data Training 1'!AU124*'Data Training 1'!AU129*'Data Training 1'!AU136*'Data Training 1'!AU142*'Data Training 1'!AU147*'Data Training 1'!AU151*'Data Training 1'!AU157*'Data Training 1'!AU164*'Data Training 1'!AU167*'Data Training 1'!AU171*'Data Training 1'!AU175*'Data Training 1'!AU179*'Data Training 1'!AU183*'Data Training 1'!AU187*'Data Training 1'!AU191*'Data Training 1'!AU195*'Data Training 1'!AU199*'Data Training 1'!AU203*'Data Training 1'!AU207*'Data Training 1'!AU211*'Data Training 1'!AU216</f>
        <v>6.7407083619457886E-11</v>
      </c>
      <c r="D12" s="6">
        <v>0</v>
      </c>
      <c r="E12" s="6">
        <v>0</v>
      </c>
      <c r="F12" s="6">
        <v>0</v>
      </c>
      <c r="G12" s="6">
        <f>'Data Training 1'!AW27*'Data Training 1'!AY31*'Data Training 1'!AY40*'Data Training 1'!AY46*'Data Training 1'!AY52*'Data Training 1'!AY58*'Data Training 1'!AY64*'Data Training 1'!AY70*'Data Training 1'!AY75*'Data Training 1'!AY80*'Data Training 1'!AY85*'Data Training 1'!AY91*'Data Training 1'!AY99*'Data Training 1'!AY106*'Data Training 1'!AY109*'Data Training 1'!AY117*'Data Training 1'!AY124*'Data Training 1'!AY129*'Data Training 1'!AY136*'Data Training 1'!AY142*'Data Training 1'!AY147*'Data Training 1'!AY151*'Data Training 1'!AY157*'Data Training 1'!AY164*'Data Training 1'!AY167*'Data Training 1'!AY171*'Data Training 1'!AY175*'Data Training 1'!AY179*'Data Training 1'!AY183*'Data Training 1'!AY187*'Data Training 1'!AY191*'Data Training 1'!AY195*'Data Training 1'!AY199*'Data Training 1'!AY203*'Data Training 1'!AY207*'Data Training 1'!AY211*'Data Training 1'!AY216</f>
        <v>1.0756884473246228E-12</v>
      </c>
      <c r="H12" s="6" t="s">
        <v>304</v>
      </c>
      <c r="I12" s="6" t="s">
        <v>304</v>
      </c>
      <c r="J12" s="6" t="s">
        <v>286</v>
      </c>
    </row>
    <row r="13" spans="1:22">
      <c r="A13" s="6">
        <f t="shared" si="0"/>
        <v>12</v>
      </c>
      <c r="B13" s="6">
        <v>0</v>
      </c>
      <c r="C13" s="24">
        <f>'Data Training 1'!AW23*'Data Training 1'!AU31*'Data Training 1'!AU40*'Data Training 1'!AU44*'Data Training 1'!AU51*'Data Training 1'!AU58*'Data Training 1'!AU64*'Data Training 1'!AU70*'Data Training 1'!AU75*'Data Training 1'!AU81*'Data Training 1'!AU86*'Data Training 1'!AU91*'Data Training 1'!AU99*'Data Training 1'!AU106*'Data Training 1'!AU110*'Data Training 1'!AU115*'Data Training 1'!AU124*'Data Training 1'!AU130*'Data Training 1'!AU136*'Data Training 1'!AU139*'Data Training 1'!AU145*'Data Training 1'!AU152*'Data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1'!AU215</f>
        <v>2.139418294795528E-9</v>
      </c>
      <c r="D13" s="6">
        <v>0</v>
      </c>
      <c r="E13" s="6">
        <v>0</v>
      </c>
      <c r="F13" s="6">
        <v>0</v>
      </c>
      <c r="G13" s="6">
        <v>0</v>
      </c>
      <c r="H13" s="6" t="s">
        <v>304</v>
      </c>
      <c r="I13" s="6" t="s">
        <v>304</v>
      </c>
      <c r="J13" s="6" t="s">
        <v>286</v>
      </c>
      <c r="N13" s="90" t="s">
        <v>434</v>
      </c>
      <c r="O13" s="91"/>
      <c r="P13" s="91"/>
      <c r="Q13" s="92"/>
      <c r="R13" s="100">
        <f>J38/J40</f>
        <v>0.86111111111111116</v>
      </c>
    </row>
    <row r="14" spans="1:22">
      <c r="A14" s="6">
        <f t="shared" si="0"/>
        <v>13</v>
      </c>
      <c r="B14" s="6">
        <f>'Data Training 1'!AW22*'Data Training 1'!AT33*'Data Training 1'!AT38*'Data Training 1'!AT44*'Data Training 1'!AT51*'Data Training 1'!AT58*'Data Training 1'!AT64*'Data Training 1'!AT70*'Data Training 1'!AT75*'Data Training 1'!AT80*'Data Training 1'!AT86*'Data Training 1'!AT92*'Data Training 1'!AT99*'Data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2.7657010007506294E-8</v>
      </c>
      <c r="C14" s="6">
        <f>'Data Training 1'!AW23*'Data Training 1'!AU33*'Data Training 1'!AU38*'Data Training 1'!AU44*'Data Training 1'!AU51*'Data Training 1'!AU58*'Data Training 1'!AU64*'Data Training 1'!AU70*'Data Training 1'!AU75*'Data Training 1'!AU80*'Data Training 1'!AU86*'Data Training 1'!AU92*'Data Training 1'!AU99*'Data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2.8016191955655727E-9</v>
      </c>
      <c r="D14" s="24">
        <f>'Data Training 1'!AW24*'Data Training 1'!AV33*'Data Training 1'!AV38*'Data Training 1'!AV44*'Data Training 1'!AV51*'Data Training 1'!AV58*'Data Training 1'!AV64*'Data Training 1'!AV70*'Data Training 1'!AV75*'Data Training 1'!AV80*'Data Training 1'!AV86*'Data Training 1'!AV92*'Data Training 1'!AV99*'Data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5.5332311688297959E-8</v>
      </c>
      <c r="E14" s="6">
        <f>'Data Training 1'!AW25*'Data Training 1'!AW33*'Data Training 1'!AW38*'Data Training 1'!AW44*'Data Training 1'!AW51*'Data Training 1'!AW58*'Data Training 1'!AW64*'Data Training 1'!AW70*'Data Training 1'!AW75*'Data Training 1'!AW80*'Data Training 1'!AW86*'Data Training 1'!AW92*'Data Training 1'!AW99*'Data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5.0285880902225259E-9</v>
      </c>
      <c r="F14" s="6">
        <v>0</v>
      </c>
      <c r="G14" s="6">
        <v>0</v>
      </c>
      <c r="H14" s="6" t="s">
        <v>305</v>
      </c>
      <c r="I14" s="6" t="s">
        <v>305</v>
      </c>
      <c r="J14" s="6" t="s">
        <v>286</v>
      </c>
      <c r="N14" s="93" t="s">
        <v>310</v>
      </c>
      <c r="O14" s="94"/>
      <c r="P14" s="94"/>
      <c r="Q14" s="95"/>
      <c r="R14" s="101"/>
    </row>
    <row r="15" spans="1:22">
      <c r="A15" s="6">
        <f t="shared" si="0"/>
        <v>14</v>
      </c>
      <c r="B15" s="6">
        <v>0</v>
      </c>
      <c r="C15" s="6">
        <v>0</v>
      </c>
      <c r="D15" s="24">
        <f>'Data Training 1'!AW24*'Data Training 1'!AV33*'Data Training 1'!AV38*'Data Training 1'!AV44*'Data Training 1'!AV51*'Data Training 1'!AV58*'Data Training 1'!AV63*'Data Training 1'!AV70*'Data Training 1'!AV75*'Data Training 1'!AV80*'Data Training 1'!AV85*'Data Training 1'!AV91*'Data Training 1'!AV100*'Data Training 1'!AV106*'Data Training 1'!AV109*'Data Training 1'!AV118*'Data Training 1'!AV124*'Data Training 1'!AV130*'Data Training 1'!AV136*'Data Training 1'!AV142*'Data Training 1'!AV145*'Data Training 1'!AV152*'Data Training 1'!AV157*'Data Training 1'!AV163*'Data Training 1'!AV167*'Data Training 1'!AV171*'Data Training 1'!AV175*'Data Training 1'!AV179*'Data Training 1'!AV183*'Data Training 1'!AV187*'Data Training 1'!AV191*'Data Training 1'!AV195*'Data Training 1'!AV200*'Data Training 1'!AV203*'Data Training 1'!AV207*'Data Training 1'!AV212*'Data Training 1'!AV215</f>
        <v>7.1134284998730203E-11</v>
      </c>
      <c r="E15" s="6">
        <v>0</v>
      </c>
      <c r="F15" s="6">
        <v>0</v>
      </c>
      <c r="G15" s="6">
        <v>0</v>
      </c>
      <c r="H15" s="6" t="s">
        <v>305</v>
      </c>
      <c r="I15" s="6" t="s">
        <v>305</v>
      </c>
      <c r="J15" s="6" t="s">
        <v>286</v>
      </c>
    </row>
    <row r="16" spans="1:22">
      <c r="A16" s="6">
        <f t="shared" si="0"/>
        <v>15</v>
      </c>
      <c r="B16" s="6">
        <v>0</v>
      </c>
      <c r="C16" s="6">
        <v>0</v>
      </c>
      <c r="D16" s="24">
        <f>'Data Training 1'!AW24*'Data Training 1'!AV33*'Data Training 1'!AV38*'Data Training 1'!AV44*'Data Training 1'!AV52*'Data Training 1'!AV58*'Data Training 1'!AV64*'Data Training 1'!AV69*'Data Training 1'!AV75*'Data Training 1'!AV80*'Data Training 1'!AV86*'Data Training 1'!AV91*'Data Training 1'!AV100*'Data Training 1'!AV105*'Data Training 1'!AV110*'Data Training 1'!AV117*'Data Training 1'!AV124*'Data Training 1'!AV130*'Data Training 1'!AV136*'Data Training 1'!AV142*'Data Training 1'!AV145*'Data Training 1'!AV152*'Data Training 1'!AV158*'Data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5.5891223927573679E-8</v>
      </c>
      <c r="E16" s="6">
        <v>0</v>
      </c>
      <c r="F16" s="6">
        <f>'Data Training 1'!AW26*'Data Training 1'!AX33*'Data Training 1'!AX38*'Data Training 1'!AX44*'Data Training 1'!AX52*'Data Training 1'!AX58*'Data Training 1'!AX64*'Data Training 1'!AX69*'Data Training 1'!AX75*'Data Training 1'!AX80*'Data Training 1'!AX86*'Data Training 1'!AX91*'Data Training 1'!AX100*'Data Training 1'!AX105*'Data Training 1'!AX110*'Data Training 1'!AX117*'Data Training 1'!AX124*'Data Training 1'!AX130*'Data Training 1'!AX136*'Data Training 1'!AX142*'Data Training 1'!AX145*'Data Training 1'!AX152*'Data Training 1'!AX158*'Data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3.9362650708781791E-11</v>
      </c>
      <c r="G16" s="6">
        <v>0</v>
      </c>
      <c r="H16" s="6" t="s">
        <v>305</v>
      </c>
      <c r="I16" s="6" t="s">
        <v>305</v>
      </c>
      <c r="J16" s="6" t="s">
        <v>286</v>
      </c>
      <c r="N16" s="103" t="s">
        <v>442</v>
      </c>
      <c r="O16" s="103"/>
      <c r="P16" s="103"/>
      <c r="Q16" s="103"/>
      <c r="R16" s="103"/>
      <c r="S16" s="103"/>
    </row>
    <row r="17" spans="1:21">
      <c r="A17" s="6">
        <f t="shared" si="0"/>
        <v>16</v>
      </c>
      <c r="B17" s="6">
        <v>0</v>
      </c>
      <c r="C17" s="6">
        <v>0</v>
      </c>
      <c r="D17" s="24">
        <f>'Data Training 1'!AW24*'Data Training 1'!AV33*'Data Training 1'!AV40*'Data Training 1'!AV44*'Data Training 1'!AV50*'Data Training 1'!AV58*'Data Training 1'!AV64*'Data Training 1'!AV69*'Data Training 1'!AV75*'Data Training 1'!AV80*'Data Training 1'!AV85*'Data Training 1'!AV91*'Data Training 1'!AV100*'Data Training 1'!AV104*'Data Training 1'!AV110*'Data Training 1'!AV117*'Data Training 1'!AV124*'Data Training 1'!AV128*'Data Training 1'!AV135*'Data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2.1898000192009295E-11</v>
      </c>
      <c r="E17" s="6">
        <v>0</v>
      </c>
      <c r="F17" s="6">
        <v>0</v>
      </c>
      <c r="G17" s="6">
        <v>0</v>
      </c>
      <c r="H17" s="6" t="s">
        <v>305</v>
      </c>
      <c r="I17" s="6" t="s">
        <v>305</v>
      </c>
      <c r="J17" s="6" t="s">
        <v>286</v>
      </c>
      <c r="N17" s="103" t="s">
        <v>443</v>
      </c>
      <c r="O17" s="103"/>
      <c r="P17" s="103"/>
      <c r="Q17" s="103"/>
      <c r="R17" s="103"/>
      <c r="S17" s="103"/>
    </row>
    <row r="18" spans="1:21">
      <c r="A18" s="6">
        <f t="shared" si="0"/>
        <v>17</v>
      </c>
      <c r="B18" s="6">
        <v>0</v>
      </c>
      <c r="C18" s="6">
        <v>0</v>
      </c>
      <c r="D18" s="24">
        <f>'Data Training 1'!AW24*'Data Training 1'!AV31*'Data Training 1'!AV38*'Data Training 1'!AV46*'Data Training 1'!AV52*'Data Training 1'!AV58*'Data Training 1'!AV64*'Data Training 1'!AV70*'Data Training 1'!AV75*'Data Training 1'!AV80*'Data Training 1'!AV86*'Data Training 1'!AV93*'Data Training 1'!AV99*'Data Training 1'!AV106*'Data Training 1'!AV110*'Data Training 1'!AV117*'Data Training 1'!AV123*'Data Training 1'!AV130*'Data Training 1'!AV136*'Data Training 1'!AV142*'Data Training 1'!AV146*'Data Training 1'!AV154*'Data Training 1'!AV160*'Data Training 1'!AV163*'Data Training 1'!AV167*'Data Training 1'!AV171*'Data Training 1'!AV175*'Data Training 1'!AV179*'Data Training 1'!AV183*'Data Training 1'!AV187*'Data Training 1'!AV192*'Data Training 1'!AV195*'Data Training 1'!AV200*'Data Training 1'!AV203*'Data Training 1'!AV207*'Data Training 1'!AV212*'Data Training 1'!AV216</f>
        <v>2.1170918154383975E-13</v>
      </c>
      <c r="E18" s="6">
        <v>0</v>
      </c>
      <c r="F18" s="6">
        <v>0</v>
      </c>
      <c r="G18" s="6">
        <v>0</v>
      </c>
      <c r="H18" s="6" t="s">
        <v>305</v>
      </c>
      <c r="I18" s="6" t="s">
        <v>305</v>
      </c>
      <c r="J18" s="6" t="s">
        <v>286</v>
      </c>
      <c r="N18" s="27" t="s">
        <v>441</v>
      </c>
      <c r="O18" s="27" t="s">
        <v>444</v>
      </c>
      <c r="P18" s="7" t="s">
        <v>445</v>
      </c>
      <c r="Q18" s="80" t="s">
        <v>446</v>
      </c>
      <c r="R18" s="80"/>
      <c r="S18" s="27" t="s">
        <v>309</v>
      </c>
    </row>
    <row r="19" spans="1:21">
      <c r="A19" s="6">
        <f t="shared" si="0"/>
        <v>18</v>
      </c>
      <c r="B19" s="6">
        <v>0</v>
      </c>
      <c r="C19" s="6">
        <v>0</v>
      </c>
      <c r="D19" s="24">
        <f>PRODUCT('Data Training 1'!AW24,'Data Training 1'!AV34,'Data Training 1'!AV37,'Data Training 1'!AV43,'Data Training 1'!AV52,'Data Training 1'!AV58,'Data Training 1'!AV64,'Data Training 1'!AV70,'Data Training 1'!AV75,'Data Training 1'!AV81,'Data Training 1'!AV86,'Data Training 1'!AV91,'Data Training 1'!AV99,'Data Training 1'!AV105,'Data Training 1'!AV111,'Data Training 1'!AV118,'Data Training 1'!AV124,'Data Training 1'!AV128,'Data Training 1'!AV134,'Data Training 1'!AV141,'Data Training 1'!AV145,'Data Training 1'!AV154,'Data Training 1'!AV158,'Data Training 1'!AV164,'Data Training 1'!AV168,'Data Training 1'!AV172,'Data Training 1'!AV175,'Data Training 1'!AV179,'Data Training 1'!AV183,'Data Training 1'!AV187,'Data Training 1'!AV192,'Data Training 1'!AV195,'Data Training 1'!AV199,'Data Training 1'!AV203,'Data Training 1'!AV207,'Data Training 1'!AV211,'Data Training 1'!AV216)</f>
        <v>7.3319197071459694E-15</v>
      </c>
      <c r="E19" s="6">
        <v>0</v>
      </c>
      <c r="F19" s="6">
        <v>0</v>
      </c>
      <c r="G19" s="6">
        <v>0</v>
      </c>
      <c r="H19" s="6" t="s">
        <v>305</v>
      </c>
      <c r="I19" s="6" t="s">
        <v>305</v>
      </c>
      <c r="J19" s="6" t="s">
        <v>286</v>
      </c>
      <c r="N19" s="6" t="s">
        <v>303</v>
      </c>
      <c r="O19" s="6">
        <v>4</v>
      </c>
      <c r="P19" s="6">
        <v>2</v>
      </c>
      <c r="Q19" s="82">
        <f t="shared" ref="Q19:Q24" si="3">SUM(O19:P19)</f>
        <v>6</v>
      </c>
      <c r="R19" s="82"/>
      <c r="S19" s="26">
        <f t="shared" ref="S19:S24" si="4">O19/Q19</f>
        <v>0.66666666666666663</v>
      </c>
    </row>
    <row r="20" spans="1:21">
      <c r="A20" s="6">
        <f t="shared" si="0"/>
        <v>19</v>
      </c>
      <c r="B20" s="6">
        <f>'Data Training 1'!AW22*'Data Training 1'!AT32*'Data Training 1'!AT38*'Data Training 1'!AT44*'Data Training 1'!AT52*'Data Training 1'!AT58*'Data Training 1'!AT64*'Data Training 1'!AT70*'Data Training 1'!AT75*'Data Training 1'!AT81*'Data Training 1'!AT86*'Data Training 1'!AT92*'Data Training 1'!AT100*'Data Training 1'!AT106*'Data Training 1'!AT110*'Data Training 1'!AT117*'Data Training 1'!AT124*'Data Training 1'!AT130*'Data Training 1'!AT136*'Data Training 1'!AT139*'Data Training 1'!AT145*'Data Training 1'!AT151*'Data Training 1'!AT159*'Data Training 1'!AT164*'Data Training 1'!AT167*'Data Training 1'!AT171*'Data Training 1'!AT175*'Data Training 1'!AT179*'Data Training 1'!AT183*'Data Training 1'!AT188*'Data Training 1'!AT192*'Data Training 1'!AT195*'Data Training 1'!AT200*'Data Training 1'!AT204*'Data Training 1'!AT207*'Data Training 1'!AT211*'Data Training 1'!AT216</f>
        <v>4.5469358308847406E-10</v>
      </c>
      <c r="C20" s="6">
        <v>0</v>
      </c>
      <c r="D20" s="6">
        <v>0</v>
      </c>
      <c r="E20" s="24">
        <f>'Data Training 1'!AW22*'Data Training 1'!AW32*'Data Training 1'!AW38*'Data Training 1'!AW44*'Data Training 1'!AW52*'Data Training 1'!AW58*'Data Training 1'!AW64*'Data Training 1'!AW70*'Data Training 1'!AW75*'Data Training 1'!AW81*'Data Training 1'!AW86*'Data Training 1'!AW92*'Data Training 1'!AW100*'Data Training 1'!AW106*'Data Training 1'!AW110*'Data Training 1'!AW117*'Data Training 1'!AW124*'Data Training 1'!AW130*'Data Training 1'!AW136*'Data Training 1'!AW139*'Data Training 1'!AW145*'Data Training 1'!AW151*'Data Training 1'!AW159*'Data Training 1'!AW164*'Data Training 1'!AW167*'Data Training 1'!AW171*'Data Training 1'!AW175*'Data Training 1'!AW179*'Data Training 1'!AW183*'Data Training 1'!AW188*'Data Training 1'!AW192*'Data Training 1'!AW195*'Data Training 1'!AW200*'Data Training 1'!AW204*'Data Training 1'!AW207*'Data Training 1'!AW211*'Data Training 1'!AW216</f>
        <v>6.0839707758247844E-8</v>
      </c>
      <c r="F20" s="6">
        <v>0</v>
      </c>
      <c r="G20" s="6">
        <v>0</v>
      </c>
      <c r="H20" s="6" t="s">
        <v>306</v>
      </c>
      <c r="I20" s="6" t="s">
        <v>306</v>
      </c>
      <c r="J20" s="6" t="s">
        <v>286</v>
      </c>
      <c r="N20" s="6" t="s">
        <v>304</v>
      </c>
      <c r="O20" s="6">
        <v>6</v>
      </c>
      <c r="P20" s="6">
        <v>0</v>
      </c>
      <c r="Q20" s="82">
        <f t="shared" si="3"/>
        <v>6</v>
      </c>
      <c r="R20" s="82"/>
      <c r="S20" s="26">
        <f t="shared" si="4"/>
        <v>1</v>
      </c>
    </row>
    <row r="21" spans="1:21">
      <c r="A21" s="6">
        <f t="shared" si="0"/>
        <v>20</v>
      </c>
      <c r="B21" s="6">
        <v>0</v>
      </c>
      <c r="C21" s="6">
        <v>0</v>
      </c>
      <c r="D21" s="6">
        <v>0</v>
      </c>
      <c r="E21" s="24">
        <f>'Data Training 1'!AW25*'Data Training 1'!AW34*'Data Training 1'!AW40*'Data Training 1'!AW45*'Data Training 1'!AW52*'Data Training 1'!AW58*'Data Training 1'!AW64*'Data Training 1'!AW70*'Data Training 1'!AW75*'Data Training 1'!AW81*'Data Training 1'!AW87*'Data Training 1'!AW92*'Data Training 1'!AW100*'Data Training 1'!AW106*'Data Training 1'!AW111*'Data Training 1'!AW117*'Data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5.9125080425896835E-8</v>
      </c>
      <c r="F21" s="6">
        <f>'Data Training 1'!AW26*'Data Training 1'!AX34*'Data Training 1'!AX40*'Data Training 1'!AX45*'Data Training 1'!AX52*'Data Training 1'!AX58*'Data Training 1'!AX64*'Data Training 1'!AX70*'Data Training 1'!AX75*'Data Training 1'!AX81*'Data Training 1'!AX87*'Data Training 1'!AX92*'Data Training 1'!AX100*'Data Training 1'!AX106*'Data Training 1'!AX111*'Data Training 1'!AX117*'Data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3.7379334338352473E-8</v>
      </c>
      <c r="G21" s="6">
        <f>'Data Training 1'!AW27*'Data Training 1'!AY34*'Data Training 1'!AY40*'Data Training 1'!AY45*'Data Training 1'!AY52*'Data Training 1'!AY58*'Data Training 1'!AY64*'Data Training 1'!AY70*'Data Training 1'!AY75*'Data Training 1'!AY81*'Data Training 1'!AY87*'Data Training 1'!AY92*'Data Training 1'!AY100*'Data Training 1'!AY106*'Data Training 1'!AY111*'Data Training 1'!AY117*'Data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2.4311039127593316E-10</v>
      </c>
      <c r="H21" s="6" t="s">
        <v>306</v>
      </c>
      <c r="I21" s="6" t="s">
        <v>306</v>
      </c>
      <c r="J21" s="6" t="s">
        <v>286</v>
      </c>
      <c r="N21" s="6" t="s">
        <v>305</v>
      </c>
      <c r="O21" s="6">
        <v>6</v>
      </c>
      <c r="P21" s="6">
        <v>0</v>
      </c>
      <c r="Q21" s="82">
        <f t="shared" si="3"/>
        <v>6</v>
      </c>
      <c r="R21" s="82"/>
      <c r="S21" s="26">
        <f t="shared" si="4"/>
        <v>1</v>
      </c>
    </row>
    <row r="22" spans="1:21">
      <c r="A22" s="6">
        <f t="shared" si="0"/>
        <v>21</v>
      </c>
      <c r="B22" s="6">
        <v>0</v>
      </c>
      <c r="C22" s="6">
        <v>0</v>
      </c>
      <c r="D22" s="6">
        <v>0</v>
      </c>
      <c r="E22" s="24">
        <f>'Data Training 1'!AW25*'Data Training 1'!AW34*'Data Training 1'!AW38*'Data Training 1'!AW45*'Data Training 1'!AW52*'Data Training 1'!AW58*'Data Training 1'!AW64*'Data Training 1'!AW69*'Data Training 1'!AW75*'Data Training 1'!AW80*'Data Training 1'!AW86*'Data Training 1'!AW92*'Data Training 1'!AW97*'Data Training 1'!AW105*'Data Training 1'!AW111*'Data Training 1'!AW116*'Data Training 1'!AW124*'Data Training 1'!AW129*'Data Training 1'!AW135*'Data Training 1'!AW142*'Data Training 1'!AW146*'Data Training 1'!AW153*'Data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1.7102295990961887E-13</v>
      </c>
      <c r="F22" s="6">
        <v>0</v>
      </c>
      <c r="G22" s="6">
        <f>'Data Training 1'!AW27*'Data Training 1'!AY34*'Data Training 1'!AY38*'Data Training 1'!AY45*'Data Training 1'!AY52*'Data Training 1'!AY58*'Data Training 1'!AY64*'Data Training 1'!AY69*'Data Training 1'!AY75*'Data Training 1'!AY80*'Data Training 1'!AY86*'Data Training 1'!AY92*'Data Training 1'!AY97*'Data Training 1'!AY105*'Data Training 1'!AY111*'Data Training 1'!AY116*'Data Training 1'!AY124*'Data Training 1'!AY129*'Data Training 1'!AY135*'Data Training 1'!AY142*'Data Training 1'!AY146*'Data Training 1'!AY153*'Data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1.0504769993404522E-13</v>
      </c>
      <c r="H22" s="6" t="s">
        <v>306</v>
      </c>
      <c r="I22" s="6" t="s">
        <v>306</v>
      </c>
      <c r="J22" s="6" t="s">
        <v>286</v>
      </c>
      <c r="N22" s="6" t="s">
        <v>306</v>
      </c>
      <c r="O22" s="6">
        <v>5</v>
      </c>
      <c r="P22" s="6">
        <v>1</v>
      </c>
      <c r="Q22" s="82">
        <f t="shared" si="3"/>
        <v>6</v>
      </c>
      <c r="R22" s="82"/>
      <c r="S22" s="26">
        <f t="shared" si="4"/>
        <v>0.83333333333333337</v>
      </c>
    </row>
    <row r="23" spans="1:21">
      <c r="A23" s="6">
        <f t="shared" si="0"/>
        <v>22</v>
      </c>
      <c r="B23" s="6">
        <v>0</v>
      </c>
      <c r="C23" s="6">
        <v>0</v>
      </c>
      <c r="D23" s="6">
        <v>0</v>
      </c>
      <c r="E23" s="6">
        <v>0</v>
      </c>
      <c r="F23" s="6">
        <v>0</v>
      </c>
      <c r="G23" s="47">
        <f>PRODUCT('Data Training 1'!AW27,'Data Training 1'!AY34,'Data Training 1'!AY40,'Data Training 1'!AY45,'Data Training 1'!AY52,'Data Training 1'!AY58,'Data Training 1'!AY64,'Data Training 1'!AY70,'Data Training 1'!AY75,'Data Training 1'!AY80,'Data Training 1'!AY85,'Data Training 1'!AY91,'Data Training 1'!AY98,'Data Training 1'!AY105,'Data Training 1'!AY111,'Data Training 1'!AY116,'Data Training 1'!AY124,'Data Training 1'!AY128,'Data Training 1'!AY135,'Data Training 1'!AY142,'Data Training 1'!AY146,'Data Training 1'!AY151,'Data Training 1'!AY157,'Data Training 1'!AY164,'Data Training 1'!AY167,'Data Training 1'!AY171,'Data Training 1'!AY175,'Data Training 1'!AY179,'Data Training 1'!AY183,'Data Training 1'!AY187,'Data Training 1'!AY192,'Data Training 1'!AY196,'Data Training 1'!AY200,'Data Training 1'!AY203,'Data Training 1'!AY207,'Data Training 1'!AY212,'Data Training 1'!AY216)</f>
        <v>4.5273082799857859E-13</v>
      </c>
      <c r="H23" s="47" t="s">
        <v>306</v>
      </c>
      <c r="I23" s="47" t="s">
        <v>308</v>
      </c>
      <c r="J23" s="47" t="s">
        <v>287</v>
      </c>
      <c r="N23" s="6" t="s">
        <v>307</v>
      </c>
      <c r="O23" s="6">
        <v>4</v>
      </c>
      <c r="P23" s="6">
        <v>2</v>
      </c>
      <c r="Q23" s="82">
        <f t="shared" si="3"/>
        <v>6</v>
      </c>
      <c r="R23" s="82"/>
      <c r="S23" s="26">
        <f t="shared" si="4"/>
        <v>0.66666666666666663</v>
      </c>
    </row>
    <row r="24" spans="1:21">
      <c r="A24" s="6">
        <f t="shared" si="0"/>
        <v>23</v>
      </c>
      <c r="B24" s="6">
        <v>0</v>
      </c>
      <c r="C24" s="6">
        <v>0</v>
      </c>
      <c r="D24" s="6">
        <v>0</v>
      </c>
      <c r="E24" s="24">
        <f>PRODUCT('Data Training 1'!AW25,'Data Training 1'!AW33,'Data Training 1'!AW40,'Data Training 1'!AW45,'Data Training 1'!AW52,'Data Training 1'!AW58,'Data Training 1'!AW64,'Data Training 1'!AW70,'Data Training 1'!AW75,'Data Training 1'!AW81,'Data Training 1'!AW87,'Data Training 1'!AW94,'Data Training 1'!AW97,'Data Training 1'!AW106,'Data Training 1'!AW111,'Data Training 1'!AW115,'Data Training 1'!AW124,'Data Training 1'!AW130,'Data Training 1'!AW136,'Data Training 1'!AW139,'Data Training 1'!AW146,'Data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1.6555022519251112E-10</v>
      </c>
      <c r="F24" s="6">
        <v>0</v>
      </c>
      <c r="G24" s="6">
        <v>0</v>
      </c>
      <c r="H24" s="6" t="s">
        <v>306</v>
      </c>
      <c r="I24" s="6" t="s">
        <v>306</v>
      </c>
      <c r="J24" s="6" t="s">
        <v>286</v>
      </c>
      <c r="N24" s="28" t="s">
        <v>308</v>
      </c>
      <c r="O24" s="28">
        <v>6</v>
      </c>
      <c r="P24" s="28">
        <v>0</v>
      </c>
      <c r="Q24" s="111">
        <f t="shared" si="3"/>
        <v>6</v>
      </c>
      <c r="R24" s="111"/>
      <c r="S24" s="29">
        <f t="shared" si="4"/>
        <v>1</v>
      </c>
    </row>
    <row r="25" spans="1:21">
      <c r="A25" s="6">
        <f t="shared" si="0"/>
        <v>24</v>
      </c>
      <c r="B25" s="6">
        <v>0</v>
      </c>
      <c r="C25" s="6">
        <v>0</v>
      </c>
      <c r="D25" s="6">
        <v>0</v>
      </c>
      <c r="E25" s="24">
        <f>PRODUCT('Data Training 1'!AW25,'Data Training 1'!AW32,'Data Training 1'!AW40,'Data Training 1'!AW43,'Data Training 1'!AW52,'Data Training 1'!AW58,'Data Training 1'!AW64,'Data Training 1'!AW70,'Data Training 1'!AW75,'Data Training 1'!AW81,'Data Training 1'!AW85,'Data Training 1'!AW91,'Data Training 1'!AW100,'Data Training 1'!AW105,'Data Training 1'!AW110,'Data Training 1'!AW118,'Data Training 1'!AW124,'Data Training 1'!AW129,'Data Training 1'!AW136,'Data Training 1'!AW142,'Data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8.0449200341484734E-10</v>
      </c>
      <c r="F25" s="6">
        <v>0</v>
      </c>
      <c r="G25" s="6">
        <v>0</v>
      </c>
      <c r="H25" s="6" t="s">
        <v>306</v>
      </c>
      <c r="I25" s="6" t="s">
        <v>306</v>
      </c>
      <c r="J25" s="6" t="s">
        <v>286</v>
      </c>
      <c r="N25" s="110" t="s">
        <v>447</v>
      </c>
      <c r="O25" s="110"/>
      <c r="P25" s="110"/>
      <c r="Q25" s="110"/>
      <c r="R25" s="110"/>
      <c r="S25" s="49">
        <f>SUM(S19:S24)/6</f>
        <v>0.86111111111111116</v>
      </c>
      <c r="T25" s="5"/>
      <c r="U25" s="5"/>
    </row>
    <row r="26" spans="1:21">
      <c r="A26" s="6">
        <f t="shared" si="0"/>
        <v>25</v>
      </c>
      <c r="B26" s="6">
        <v>0</v>
      </c>
      <c r="C26" s="6">
        <v>0</v>
      </c>
      <c r="D26" s="6">
        <v>0</v>
      </c>
      <c r="E26" s="6">
        <f>'Data Training 1'!AW25*'Data Training 1'!AW34*'Data Training 1'!AW38*'Data Training 1'!AW44*'Data Training 1'!AW52*'Data Training 1'!AW58*'Data Training 1'!AW64*'Data Training 1'!AW70*'Data Training 1'!AW75*'Data Training 1'!AW81*'Data Training 1'!AW88*'Data Training 1'!AW92*'Data Training 1'!AW99*'Data Training 1'!AW106*'Data Training 1'!AW111*'Data Training 1'!AW116*'Data Training 1'!AW124*'Data Training 1'!AW130*'Data Training 1'!AW136*'Data Training 1'!AW142*'Data Training 1'!AW146*'Data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1.2515597024553842E-7</v>
      </c>
      <c r="F26" s="6">
        <f>'Data Training 1'!AW26*'Data Training 1'!AX34*'Data Training 1'!AX38*'Data Training 1'!AX44*'Data Training 1'!AX52*'Data Training 1'!AX58*'Data Training 1'!AX64*'Data Training 1'!AX70*'Data Training 1'!AX75*'Data Training 1'!AX81*'Data Training 1'!AX88*'Data Training 1'!AX92*'Data Training 1'!AX99*'Data Training 1'!AX106*'Data Training 1'!AX111*'Data Training 1'!AX116*'Data Training 1'!AX124*'Data Training 1'!AX130*'Data Training 1'!AX136*'Data Training 1'!AX142*'Data Training 1'!AX146*'Data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2.1264687979151626E-8</v>
      </c>
      <c r="G26" s="47">
        <f>'Data Training 1'!AW27*'Data Training 1'!AY34*'Data Training 1'!AY38*'Data Training 1'!AY44*'Data Training 1'!AY52*'Data Training 1'!AY58*'Data Training 1'!AY64*'Data Training 1'!AY70*'Data Training 1'!AY75*'Data Training 1'!AY81*'Data Training 1'!AY88*'Data Training 1'!AY92*'Data Training 1'!AY99*'Data Training 1'!AY106*'Data Training 1'!AY111*'Data Training 1'!AY116*'Data Training 1'!AY124*'Data Training 1'!AY130*'Data Training 1'!AY136*'Data Training 1'!AY142*'Data Training 1'!AY146*'Data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7.5634343952512571E-11</v>
      </c>
      <c r="H26" s="47" t="s">
        <v>307</v>
      </c>
      <c r="I26" s="47" t="s">
        <v>308</v>
      </c>
      <c r="J26" s="47" t="s">
        <v>287</v>
      </c>
    </row>
    <row r="27" spans="1:21">
      <c r="A27" s="6">
        <f t="shared" si="0"/>
        <v>26</v>
      </c>
      <c r="B27" s="6">
        <v>0</v>
      </c>
      <c r="C27" s="6">
        <v>0</v>
      </c>
      <c r="D27" s="6">
        <v>0</v>
      </c>
      <c r="E27" s="6">
        <v>0</v>
      </c>
      <c r="F27" s="24">
        <f>'Data Training 1'!AW26*'Data Training 1'!AX34*'Data Training 1'!AX38*'Data Training 1'!AX46*'Data Training 1'!AX52*'Data Training 1'!AX58*'Data Training 1'!AX64*'Data Training 1'!AX70*'Data Training 1'!AX75*'Data Training 1'!AX81*'Data Training 1'!AX85*'Data Training 1'!AX91*'Data Training 1'!AX98*'Data Training 1'!AX106*'Data Training 1'!AX111*'Data Training 1'!AX118*'Data Training 1'!AX123*'Data Training 1'!AX129*'Data Training 1'!AX136*'Data Training 1'!AX139*'Data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9.0646533889302756E-11</v>
      </c>
      <c r="G27" s="6">
        <v>0</v>
      </c>
      <c r="H27" s="6" t="s">
        <v>307</v>
      </c>
      <c r="I27" s="6" t="s">
        <v>307</v>
      </c>
      <c r="J27" s="6" t="s">
        <v>286</v>
      </c>
      <c r="N27" s="90" t="s">
        <v>435</v>
      </c>
      <c r="O27" s="91"/>
      <c r="P27" s="91"/>
      <c r="Q27" s="91"/>
      <c r="R27" s="91"/>
      <c r="S27" s="92"/>
    </row>
    <row r="28" spans="1:21">
      <c r="A28" s="6">
        <f t="shared" si="0"/>
        <v>27</v>
      </c>
      <c r="B28" s="6">
        <v>0</v>
      </c>
      <c r="C28" s="6">
        <v>0</v>
      </c>
      <c r="D28" s="6">
        <v>0</v>
      </c>
      <c r="E28" s="6">
        <v>0</v>
      </c>
      <c r="F28" s="6">
        <f>'Data Training 1'!AW26*'Data Training 1'!AX34*'Data Training 1'!AX40*'Data Training 1'!AX45*'Data Training 1'!AX52*'Data Training 1'!AX58*'Data Training 1'!AX62*'Data Training 1'!AX70*'Data Training 1'!AX75*'Data Training 1'!AX81*'Data Training 1'!AX87*'Data Training 1'!AX93*'Data Training 1'!AX99*'Data Training 1'!AX105*'Data Training 1'!AX110*'Data Training 1'!AX116*'Data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3.0513742317022442E-9</v>
      </c>
      <c r="G28" s="47">
        <f>'Data Training 1'!AW27*'Data Training 1'!AY34*'Data Training 1'!AY40*'Data Training 1'!AY45*'Data Training 1'!AY52*'Data Training 1'!AY58*'Data Training 1'!AY62*'Data Training 1'!AY70*'Data Training 1'!AY75*'Data Training 1'!AY81*'Data Training 1'!AY87*'Data Training 1'!AY93*'Data Training 1'!AY99*'Data Training 1'!AY105*'Data Training 1'!AY110*'Data Training 1'!AY116*'Data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8.1855350597957332E-13</v>
      </c>
      <c r="H28" s="47" t="s">
        <v>307</v>
      </c>
      <c r="I28" s="47" t="s">
        <v>308</v>
      </c>
      <c r="J28" s="47" t="s">
        <v>287</v>
      </c>
      <c r="N28" s="93" t="s">
        <v>311</v>
      </c>
      <c r="O28" s="94"/>
      <c r="P28" s="94"/>
      <c r="Q28" s="94"/>
      <c r="R28" s="94"/>
      <c r="S28" s="95"/>
    </row>
    <row r="29" spans="1:21">
      <c r="A29" s="6">
        <f t="shared" si="0"/>
        <v>28</v>
      </c>
      <c r="B29" s="6">
        <v>0</v>
      </c>
      <c r="C29" s="6">
        <v>0</v>
      </c>
      <c r="D29" s="6">
        <v>0</v>
      </c>
      <c r="E29" s="6">
        <f>PRODUCT('Data Training 1'!AW25,'Data Training 1'!AW33,'Data Training 1'!AW38,'Data Training 1'!AW46,'Data Training 1'!AW52,'Data Training 1'!AW58,'Data Training 1'!AW64,'Data Training 1'!AW70,'Data Training 1'!AW75,'Data Training 1'!AW80,'Data Training 1'!AW86,'Data Training 1'!AW94,'Data Training 1'!AW99,'Data Training 1'!AW106,'Data Training 1'!AW111,'Data Training 1'!AW117,'Data Training 1'!AW124,'Data Training 1'!AW130,'Data Training 1'!AW136,'Data Training 1'!AW140,'Data Training 1'!AW146,'Data Training 1'!AW151,'Data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1.7168171501445595E-10</v>
      </c>
      <c r="F29" s="24">
        <f>PRODUCT('Data Training 1'!AW26,'Data Training 1'!AX33,'Data Training 1'!AX38,'Data Training 1'!AX46,'Data Training 1'!AX52,'Data Training 1'!AX58,'Data Training 1'!AX64,'Data Training 1'!AX70,'Data Training 1'!AX75,'Data Training 1'!AX80,'Data Training 1'!AX86,'Data Training 1'!AX94,'Data Training 1'!AX99,'Data Training 1'!AX106,'Data Training 1'!AX111,'Data Training 1'!AX117,'Data Training 1'!AX124,'Data Training 1'!AX130,'Data Training 1'!AX136,'Data Training 1'!AX140,'Data Training 1'!AX146,'Data Training 1'!AX151,'Data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8.8998415091315388E-11</v>
      </c>
      <c r="G29" s="6">
        <v>0</v>
      </c>
      <c r="H29" s="6" t="s">
        <v>307</v>
      </c>
      <c r="I29" s="6" t="s">
        <v>307</v>
      </c>
      <c r="J29" s="6" t="s">
        <v>286</v>
      </c>
      <c r="N29" s="39" t="s">
        <v>441</v>
      </c>
      <c r="O29" s="39" t="s">
        <v>444</v>
      </c>
      <c r="P29" s="40" t="s">
        <v>448</v>
      </c>
      <c r="Q29" s="96" t="s">
        <v>312</v>
      </c>
      <c r="R29" s="97"/>
      <c r="S29" s="39" t="s">
        <v>521</v>
      </c>
    </row>
    <row r="30" spans="1:21">
      <c r="A30" s="6">
        <f t="shared" si="0"/>
        <v>29</v>
      </c>
      <c r="B30" s="6">
        <v>0</v>
      </c>
      <c r="C30" s="6">
        <v>0</v>
      </c>
      <c r="D30" s="6">
        <v>0</v>
      </c>
      <c r="E30" s="6">
        <v>0</v>
      </c>
      <c r="F30" s="24">
        <f>PRODUCT('Data Training 1'!AW26,'Data Training 1'!AX33,'Data Training 1'!AX38,'Data Training 1'!AX43,'Data Training 1'!AX52,'Data Training 1'!AX58,'Data Training 1'!AX62,'Data Training 1'!AX70,'Data Training 1'!AX75,'Data Training 1'!AX80,'Data Training 1'!AX87,'Data Training 1'!AX93,'Data Training 1'!AX100,'Data Training 1'!AX106,'Data Training 1'!AX111,'Data Training 1'!AX118,'Data Training 1'!AX124,'Data Training 1'!AX128,'Data Training 1'!AX136,'Data Training 1'!AX141,'Data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3.0998087433165655E-11</v>
      </c>
      <c r="G30" s="6">
        <v>0</v>
      </c>
      <c r="H30" s="6" t="s">
        <v>307</v>
      </c>
      <c r="I30" s="6" t="s">
        <v>307</v>
      </c>
      <c r="J30" s="6" t="s">
        <v>286</v>
      </c>
      <c r="N30" s="6" t="s">
        <v>303</v>
      </c>
      <c r="O30" s="6">
        <v>4</v>
      </c>
      <c r="P30" s="6">
        <v>0</v>
      </c>
      <c r="Q30" s="98">
        <f t="shared" ref="Q30:Q35" si="5">SUM(O30:P30)</f>
        <v>4</v>
      </c>
      <c r="R30" s="99"/>
      <c r="S30" s="26">
        <f t="shared" ref="S30:S35" si="6">O30/Q30</f>
        <v>1</v>
      </c>
    </row>
    <row r="31" spans="1:21">
      <c r="A31" s="6">
        <f t="shared" si="0"/>
        <v>30</v>
      </c>
      <c r="B31" s="6">
        <v>0</v>
      </c>
      <c r="C31" s="6">
        <v>0</v>
      </c>
      <c r="D31" s="6">
        <v>0</v>
      </c>
      <c r="E31" s="6">
        <v>0</v>
      </c>
      <c r="F31" s="24">
        <f>PRODUCT('Data Training 1'!AW26,'Data Training 1'!AX34,'Data Training 1'!AX40,'Data Training 1'!AX44,'Data Training 1'!AX52,'Data Training 1'!AX58,'Data Training 1'!AX64,'Data Training 1'!AX70,'Data Training 1'!AX75,'Data Training 1'!AX81,'Data Training 1'!AX88,'Data Training 1'!AX93,'Data Training 1'!AX99,'Data Training 1'!AX103,'Data Training 1'!AX110,'Data Training 1'!AX117,'Data Training 1'!AX124,'Data Training 1'!AX130,'Data Training 1'!AX136,'Data Training 1'!AX140,'Data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1'!AX212,'Data Training 1'!AX216)</f>
        <v>3.1078811619189511E-9</v>
      </c>
      <c r="G31" s="6">
        <v>0</v>
      </c>
      <c r="H31" s="6" t="s">
        <v>307</v>
      </c>
      <c r="I31" s="6" t="s">
        <v>307</v>
      </c>
      <c r="J31" s="6" t="s">
        <v>286</v>
      </c>
      <c r="N31" s="6" t="s">
        <v>304</v>
      </c>
      <c r="O31" s="6">
        <v>6</v>
      </c>
      <c r="P31" s="6">
        <v>2</v>
      </c>
      <c r="Q31" s="98">
        <f t="shared" si="5"/>
        <v>8</v>
      </c>
      <c r="R31" s="99"/>
      <c r="S31" s="26">
        <f t="shared" si="6"/>
        <v>0.75</v>
      </c>
    </row>
    <row r="32" spans="1:21">
      <c r="A32" s="6">
        <f t="shared" si="0"/>
        <v>31</v>
      </c>
      <c r="B32" s="6">
        <v>0</v>
      </c>
      <c r="C32" s="6">
        <v>0</v>
      </c>
      <c r="D32" s="6">
        <v>0</v>
      </c>
      <c r="E32" s="6">
        <v>0</v>
      </c>
      <c r="F32" s="6">
        <v>0</v>
      </c>
      <c r="G32" s="24">
        <f>'Data Training 1'!AW27*'Data Training 1'!AY34*'Data Training 1'!AY40*'Data Training 1'!AY44*'Data Training 1'!AY52*'Data Training 1'!AY58*'Data Training 1'!AY64*'Data Training 1'!AY70*'Data Training 1'!AY75*'Data Training 1'!AY81*'Data Training 1'!AY85*'Data Training 1'!AY91*'Data Training 1'!AY97*'Data Training 1'!AY106*'Data Training 1'!AY109*'Data Training 1'!AY124*'Data Training 1'!AY118*'Data Training 1'!AY130*'Data Training 1'!AY136*'Data Training 1'!AY140*'Data Training 1'!AY148*'Data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8.0676633549346722E-10</v>
      </c>
      <c r="H32" s="6" t="s">
        <v>308</v>
      </c>
      <c r="I32" s="6" t="s">
        <v>308</v>
      </c>
      <c r="J32" s="6" t="s">
        <v>286</v>
      </c>
      <c r="N32" s="6" t="s">
        <v>305</v>
      </c>
      <c r="O32" s="6">
        <v>6</v>
      </c>
      <c r="P32" s="6">
        <v>0</v>
      </c>
      <c r="Q32" s="98">
        <f t="shared" si="5"/>
        <v>6</v>
      </c>
      <c r="R32" s="99"/>
      <c r="S32" s="26">
        <f t="shared" si="6"/>
        <v>1</v>
      </c>
    </row>
    <row r="33" spans="1:19">
      <c r="A33" s="6">
        <f t="shared" si="0"/>
        <v>32</v>
      </c>
      <c r="B33" s="6">
        <v>0</v>
      </c>
      <c r="C33" s="6">
        <v>0</v>
      </c>
      <c r="D33" s="6">
        <v>0</v>
      </c>
      <c r="E33" s="6">
        <v>0</v>
      </c>
      <c r="F33" s="6">
        <v>0</v>
      </c>
      <c r="G33" s="24">
        <f>'Data Training 1'!AW27*'Data Training 1'!AY31*'Data Training 1'!AY40*'Data Training 1'!AY45*'Data Training 1'!AY52*'Data Training 1'!AY58*'Data Training 1'!AY64*'Data Training 1'!AY69*'Data Training 1'!AY75*'Data Training 1'!AY81*'Data Training 1'!AY85*'Data Training 1'!AY93*'Data Training 1'!AY100*'Data Training 1'!AY106*'Data Training 1'!AY109*'Data Training 1'!AY118*'Data Training 1'!AY124*'Data Training 1'!AY130*'Data Training 1'!AY136*'Data Training 1'!AY142*'Data Training 1'!AY145*'Data Training 1'!AY152*'Data Training 1'!AY159*'Data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1.6408277097135984E-12</v>
      </c>
      <c r="H33" s="6" t="s">
        <v>308</v>
      </c>
      <c r="I33" s="6" t="s">
        <v>308</v>
      </c>
      <c r="J33" s="6" t="s">
        <v>286</v>
      </c>
      <c r="N33" s="6" t="s">
        <v>306</v>
      </c>
      <c r="O33" s="6">
        <v>5</v>
      </c>
      <c r="P33" s="6">
        <v>0</v>
      </c>
      <c r="Q33" s="98">
        <f t="shared" si="5"/>
        <v>5</v>
      </c>
      <c r="R33" s="99"/>
      <c r="S33" s="26">
        <f t="shared" si="6"/>
        <v>1</v>
      </c>
    </row>
    <row r="34" spans="1:19">
      <c r="A34" s="6">
        <f t="shared" si="0"/>
        <v>33</v>
      </c>
      <c r="B34" s="6">
        <v>0</v>
      </c>
      <c r="C34" s="6">
        <v>0</v>
      </c>
      <c r="D34" s="6">
        <v>0</v>
      </c>
      <c r="E34" s="6">
        <v>0</v>
      </c>
      <c r="F34" s="6">
        <v>0</v>
      </c>
      <c r="G34" s="24">
        <f>'Data Training 1'!AW27*'Data Training 1'!AY34*'Data Training 1'!AY40*'Data Training 1'!AY44*'Data Training 1'!AY51*'Data Training 1'!AY58*'Data Training 1'!AY64*'Data Training 1'!AY70*'Data Training 1'!AY76*'Data Training 1'!AY81*'Data Training 1'!AY85*'Data Training 1'!AY91*'Data Training 1'!AY99*'Data Training 1'!AY106*'Data Training 1'!AY111*'Data Training 1'!AY117*'Data Training 1'!AY124*'Data Training 1'!AY128*'Data Training 1'!AY136*'Data Training 1'!AY140*'Data Training 1'!AY147*'Data Training 1'!AY153*'Data Training 1'!AY160*'Data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4.2092742272595132E-14</v>
      </c>
      <c r="H34" s="6" t="s">
        <v>308</v>
      </c>
      <c r="I34" s="6" t="s">
        <v>308</v>
      </c>
      <c r="J34" s="6" t="s">
        <v>286</v>
      </c>
      <c r="N34" s="6" t="s">
        <v>307</v>
      </c>
      <c r="O34" s="6">
        <v>4</v>
      </c>
      <c r="P34" s="6">
        <v>0</v>
      </c>
      <c r="Q34" s="98">
        <f t="shared" si="5"/>
        <v>4</v>
      </c>
      <c r="R34" s="99"/>
      <c r="S34" s="26">
        <f t="shared" si="6"/>
        <v>1</v>
      </c>
    </row>
    <row r="35" spans="1:19">
      <c r="A35" s="6">
        <f t="shared" si="0"/>
        <v>34</v>
      </c>
      <c r="B35" s="6">
        <v>0</v>
      </c>
      <c r="C35" s="6">
        <v>0</v>
      </c>
      <c r="D35" s="6">
        <v>0</v>
      </c>
      <c r="E35" s="6">
        <v>0</v>
      </c>
      <c r="F35" s="6">
        <v>0</v>
      </c>
      <c r="G35" s="24">
        <f>PRODUCT('Data Training 1'!AW27,'Data Training 1'!AY34,'Data Training 1'!AY40,'Data Training 1'!AY45,'Data Training 1'!AY52,'Data Training 1'!AY58,'Data Training 1'!AY64,'Data Training 1'!AY70,'Data Training 1'!AY76,'Data Training 1'!AY81,'Data Training 1'!AY85,'Data Training 1'!AY91,'Data Training 1'!AY100,'Data Training 1'!AY105,'Data Training 1'!AY110,'Data Training 1'!AY118,'Data Training 1'!AY124,'Data Training 1'!AY128,'Data Training 1'!AY136,'Data Training 1'!AY142,'Data Training 1'!AY145,'Data Training 1'!AY152,'Data Training 1'!AY159,'Data Training 1'!AY164,'Data Training 1'!AY167,'Data Training 1'!AY171,'Data Training 1'!AY176,'Data Training 1'!AY179,'Data Training 1'!AY183,'Data Training 1'!AY187,'Data Training 1'!AY192,'Data Training 1'!AY195,'Data Training 1'!AY200,'Data Training 1'!AY203,'Data Training 1'!AY207,'Data Training 1'!AY211,'Data Training 1'!AY216)</f>
        <v>2.7381160477354036E-10</v>
      </c>
      <c r="H35" s="6" t="s">
        <v>308</v>
      </c>
      <c r="I35" s="6" t="s">
        <v>308</v>
      </c>
      <c r="J35" s="6" t="s">
        <v>286</v>
      </c>
      <c r="N35" s="6" t="s">
        <v>308</v>
      </c>
      <c r="O35" s="6">
        <v>6</v>
      </c>
      <c r="P35" s="6">
        <v>3</v>
      </c>
      <c r="Q35" s="82">
        <f t="shared" si="5"/>
        <v>9</v>
      </c>
      <c r="R35" s="82"/>
      <c r="S35" s="26">
        <f t="shared" si="6"/>
        <v>0.66666666666666663</v>
      </c>
    </row>
    <row r="36" spans="1:19">
      <c r="A36" s="6">
        <f t="shared" si="0"/>
        <v>35</v>
      </c>
      <c r="B36" s="6">
        <v>0</v>
      </c>
      <c r="C36" s="6">
        <v>0</v>
      </c>
      <c r="D36" s="6">
        <v>0</v>
      </c>
      <c r="E36" s="6">
        <v>0</v>
      </c>
      <c r="F36" s="6">
        <v>0</v>
      </c>
      <c r="G36" s="24">
        <f>PRODUCT('Data Training 1'!AW27,'Data Training 1'!AY34,'Data Training 1'!AY40,'Data Training 1'!AY44,'Data Training 1'!AY52,'Data Training 1'!AY58,'Data Training 1'!AY64,'Data Training 1'!AY70,'Data Training 1'!AY75,'Data Training 1'!AY81,'Data Training 1'!AY87,'Data Training 1'!AY93,'Data Training 1'!AY98,'Data Training 1'!AY106,'Data Training 1'!AY110,'Data Training 1'!AY116,'Data Training 1'!AY124,'Data Training 1'!AY130,'Data Training 1'!AY136,'Data Training 1'!AY141,'Data Training 1'!AY146,'Data Training 1'!AY151,'Data Training 1'!AY157,'Data Training 1'!AY164,'Data Training 1'!AY167,'Data Training 1'!AY171,'Data Training 1'!AY175,'Data Training 1'!AY180,'Data Training 1'!AY183,'Data Training 1'!AY187,'Data Training 1'!AY192,'Data Training 1'!AY196,'Data Training 1'!AY200,'Data Training 1'!AY204,'Data Training 1'!AY208,'Data Training 1'!AY212,'Data Training 1'!AY216)</f>
        <v>1.7859349221372509E-13</v>
      </c>
      <c r="H36" s="6" t="s">
        <v>308</v>
      </c>
      <c r="I36" s="6" t="s">
        <v>308</v>
      </c>
      <c r="J36" s="6" t="s">
        <v>286</v>
      </c>
      <c r="N36" s="110" t="s">
        <v>449</v>
      </c>
      <c r="O36" s="110"/>
      <c r="P36" s="110"/>
      <c r="Q36" s="110"/>
      <c r="R36" s="110"/>
      <c r="S36" s="50">
        <f>SUM(S30:S35)/6</f>
        <v>0.90277777777777779</v>
      </c>
    </row>
    <row r="37" spans="1:19">
      <c r="A37" s="6">
        <f t="shared" si="0"/>
        <v>36</v>
      </c>
      <c r="B37" s="6">
        <v>0</v>
      </c>
      <c r="C37" s="6">
        <v>0</v>
      </c>
      <c r="D37" s="6">
        <v>0</v>
      </c>
      <c r="E37" s="6">
        <v>0</v>
      </c>
      <c r="F37" s="6">
        <v>0</v>
      </c>
      <c r="G37" s="24">
        <f>PRODUCT('Data Training 1'!AW27,'Data Training 1'!AY34,'Data Training 1'!AY40,'Data Training 1'!AY43,'Data Training 1'!AY52,'Data Training 1'!AY58,'Data Training 1'!AY64,'Data Training 1'!AY70,'Data Training 1'!AY75,'Data Training 1'!AY80,'Data Training 1'!AY85,'Data Training 1'!AY92,'Data Training 1'!AY100,'Data Training 1'!AY106,'Data Training 1'!AY110,'Data Training 1'!AY118,'Data Training 1'!AY124,'Data Training 1'!AY128,'Data Training 1'!AY136,'Data Training 1'!AY140,'Data Training 1'!AY145,'Data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2.9043588077764822E-9</v>
      </c>
      <c r="H37" s="6" t="s">
        <v>308</v>
      </c>
      <c r="I37" s="6" t="s">
        <v>308</v>
      </c>
      <c r="J37" s="6" t="s">
        <v>286</v>
      </c>
    </row>
    <row r="38" spans="1:19">
      <c r="A38" s="112" t="s">
        <v>518</v>
      </c>
      <c r="B38" s="113"/>
      <c r="C38" s="113"/>
      <c r="D38" s="113"/>
      <c r="E38" s="113"/>
      <c r="F38" s="113"/>
      <c r="G38" s="113"/>
      <c r="H38" s="117" t="s">
        <v>286</v>
      </c>
      <c r="I38" s="118"/>
      <c r="J38" s="10">
        <f>COUNTIF(J2:J37,"Sesuai")</f>
        <v>31</v>
      </c>
      <c r="N38" s="87" t="s">
        <v>522</v>
      </c>
      <c r="O38" s="88"/>
      <c r="P38" s="88"/>
      <c r="Q38" s="88"/>
      <c r="R38" s="89"/>
      <c r="S38" s="5">
        <f>2*((S36*S25)/(S36+S25))</f>
        <v>0.88145231846019256</v>
      </c>
    </row>
    <row r="39" spans="1:19">
      <c r="A39" s="114"/>
      <c r="B39" s="115"/>
      <c r="C39" s="115"/>
      <c r="D39" s="115"/>
      <c r="E39" s="115"/>
      <c r="F39" s="115"/>
      <c r="G39" s="115"/>
      <c r="H39" s="98" t="s">
        <v>485</v>
      </c>
      <c r="I39" s="116"/>
      <c r="J39" s="30">
        <f>COUNTIF(J2:J37,"Tidak Sesuai")</f>
        <v>5</v>
      </c>
    </row>
    <row r="40" spans="1:19">
      <c r="A40" s="106" t="s">
        <v>519</v>
      </c>
      <c r="B40" s="107"/>
      <c r="C40" s="107"/>
      <c r="D40" s="107"/>
      <c r="E40" s="107"/>
      <c r="F40" s="107"/>
      <c r="G40" s="107"/>
      <c r="H40" s="107"/>
      <c r="I40" s="108"/>
      <c r="J40" s="24">
        <f>SUM(J38:J39)</f>
        <v>36</v>
      </c>
    </row>
  </sheetData>
  <mergeCells count="32">
    <mergeCell ref="Q21:R21"/>
    <mergeCell ref="N2:U2"/>
    <mergeCell ref="N3:N4"/>
    <mergeCell ref="O3:T3"/>
    <mergeCell ref="U3:U4"/>
    <mergeCell ref="N13:Q13"/>
    <mergeCell ref="R13:R14"/>
    <mergeCell ref="N14:Q14"/>
    <mergeCell ref="N16:S16"/>
    <mergeCell ref="N17:S17"/>
    <mergeCell ref="Q18:R18"/>
    <mergeCell ref="Q19:R19"/>
    <mergeCell ref="Q20:R20"/>
    <mergeCell ref="Q34:R34"/>
    <mergeCell ref="Q22:R22"/>
    <mergeCell ref="Q23:R23"/>
    <mergeCell ref="Q24:R24"/>
    <mergeCell ref="N25:R25"/>
    <mergeCell ref="N27:S27"/>
    <mergeCell ref="N28:S28"/>
    <mergeCell ref="Q29:R29"/>
    <mergeCell ref="Q30:R30"/>
    <mergeCell ref="Q31:R31"/>
    <mergeCell ref="Q32:R32"/>
    <mergeCell ref="Q33:R33"/>
    <mergeCell ref="A40:I40"/>
    <mergeCell ref="Q35:R35"/>
    <mergeCell ref="N36:R36"/>
    <mergeCell ref="N38:R38"/>
    <mergeCell ref="A38:G39"/>
    <mergeCell ref="H38:I38"/>
    <mergeCell ref="H39:I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F3A8-9DAA-4734-BCDE-0B8962EA2D0E}">
  <dimension ref="A1:AN115"/>
  <sheetViews>
    <sheetView topLeftCell="A75" workbookViewId="0">
      <selection activeCell="E80" sqref="E80:AN115"/>
    </sheetView>
  </sheetViews>
  <sheetFormatPr defaultRowHeight="14.4"/>
  <cols>
    <col min="2" max="2" width="21.5546875" bestFit="1" customWidth="1"/>
    <col min="4" max="4" width="18" bestFit="1" customWidth="1"/>
  </cols>
  <sheetData>
    <row r="1" spans="1:40">
      <c r="A1" s="59" t="s">
        <v>288</v>
      </c>
      <c r="B1" s="59" t="s">
        <v>0</v>
      </c>
      <c r="C1" s="59" t="s">
        <v>536</v>
      </c>
      <c r="D1" s="59" t="s">
        <v>64</v>
      </c>
      <c r="E1" s="59" t="s">
        <v>43</v>
      </c>
      <c r="F1" s="59" t="s">
        <v>44</v>
      </c>
      <c r="G1" s="59" t="s">
        <v>45</v>
      </c>
      <c r="H1" s="59" t="s">
        <v>46</v>
      </c>
      <c r="I1" s="59" t="s">
        <v>47</v>
      </c>
      <c r="J1" s="59" t="s">
        <v>48</v>
      </c>
      <c r="K1" s="59" t="s">
        <v>49</v>
      </c>
      <c r="L1" s="59" t="s">
        <v>50</v>
      </c>
      <c r="M1" s="59" t="s">
        <v>51</v>
      </c>
      <c r="N1" s="59" t="s">
        <v>52</v>
      </c>
      <c r="O1" s="59" t="s">
        <v>53</v>
      </c>
      <c r="P1" s="59" t="s">
        <v>54</v>
      </c>
      <c r="Q1" s="59" t="s">
        <v>55</v>
      </c>
      <c r="R1" s="59" t="s">
        <v>56</v>
      </c>
      <c r="S1" s="59" t="s">
        <v>57</v>
      </c>
      <c r="T1" s="59" t="s">
        <v>58</v>
      </c>
      <c r="U1" s="59" t="s">
        <v>59</v>
      </c>
      <c r="V1" s="59" t="s">
        <v>60</v>
      </c>
      <c r="W1" s="59" t="s">
        <v>61</v>
      </c>
      <c r="X1" s="59" t="s">
        <v>62</v>
      </c>
      <c r="Y1" s="59" t="s">
        <v>63</v>
      </c>
      <c r="Z1" s="59" t="s">
        <v>330</v>
      </c>
      <c r="AA1" s="59" t="s">
        <v>331</v>
      </c>
      <c r="AB1" s="59" t="s">
        <v>332</v>
      </c>
      <c r="AC1" s="59" t="s">
        <v>333</v>
      </c>
      <c r="AD1" s="59" t="s">
        <v>334</v>
      </c>
      <c r="AE1" s="59" t="s">
        <v>335</v>
      </c>
      <c r="AF1" s="59" t="s">
        <v>336</v>
      </c>
      <c r="AG1" s="59" t="s">
        <v>337</v>
      </c>
      <c r="AH1" s="59" t="s">
        <v>338</v>
      </c>
      <c r="AI1" s="59" t="s">
        <v>339</v>
      </c>
      <c r="AJ1" s="59" t="s">
        <v>340</v>
      </c>
      <c r="AK1" s="59" t="s">
        <v>341</v>
      </c>
      <c r="AL1" s="59" t="s">
        <v>342</v>
      </c>
      <c r="AM1" s="59" t="s">
        <v>343</v>
      </c>
      <c r="AN1" s="59" t="s">
        <v>390</v>
      </c>
    </row>
    <row r="2" spans="1:40">
      <c r="A2" s="6">
        <f t="shared" ref="A2:A65" si="0">ROW()-1</f>
        <v>1</v>
      </c>
      <c r="B2" s="6" t="s">
        <v>1</v>
      </c>
      <c r="C2" s="6" t="s">
        <v>537</v>
      </c>
      <c r="D2" s="6">
        <v>1</v>
      </c>
      <c r="E2" s="6" t="s">
        <v>2</v>
      </c>
      <c r="F2" s="6" t="s">
        <v>3</v>
      </c>
      <c r="G2" s="6" t="s">
        <v>4</v>
      </c>
      <c r="H2" s="6" t="s">
        <v>5</v>
      </c>
      <c r="I2" s="6" t="s">
        <v>5</v>
      </c>
      <c r="J2" s="6" t="s">
        <v>5</v>
      </c>
      <c r="K2" s="6" t="s">
        <v>2</v>
      </c>
      <c r="L2" s="6" t="s">
        <v>2</v>
      </c>
      <c r="M2" s="6" t="s">
        <v>3</v>
      </c>
      <c r="N2" s="6" t="s">
        <v>2</v>
      </c>
      <c r="O2" s="6" t="s">
        <v>4</v>
      </c>
      <c r="P2" s="6" t="s">
        <v>2</v>
      </c>
      <c r="Q2" s="6" t="s">
        <v>5</v>
      </c>
      <c r="R2" s="6" t="s">
        <v>3</v>
      </c>
      <c r="S2" s="6" t="s">
        <v>3</v>
      </c>
      <c r="T2" s="6" t="s">
        <v>5</v>
      </c>
      <c r="U2" s="6" t="s">
        <v>5</v>
      </c>
      <c r="V2" s="6" t="s">
        <v>5</v>
      </c>
      <c r="W2" s="6" t="s">
        <v>2</v>
      </c>
      <c r="X2" s="6" t="s">
        <v>4</v>
      </c>
      <c r="Y2" s="6" t="s">
        <v>3</v>
      </c>
      <c r="Z2" s="6" t="s">
        <v>4</v>
      </c>
      <c r="AA2" s="6" t="s">
        <v>4</v>
      </c>
      <c r="AB2" s="6" t="s">
        <v>4</v>
      </c>
      <c r="AC2" s="6" t="s">
        <v>4</v>
      </c>
      <c r="AD2" s="6" t="s">
        <v>4</v>
      </c>
      <c r="AE2" s="6" t="s">
        <v>4</v>
      </c>
      <c r="AF2" s="6" t="s">
        <v>4</v>
      </c>
      <c r="AG2" s="6" t="s">
        <v>3</v>
      </c>
      <c r="AH2" s="6" t="s">
        <v>4</v>
      </c>
      <c r="AI2" s="6" t="s">
        <v>4</v>
      </c>
      <c r="AJ2" s="6" t="s">
        <v>3</v>
      </c>
      <c r="AK2" s="6" t="s">
        <v>4</v>
      </c>
      <c r="AL2" s="6" t="s">
        <v>4</v>
      </c>
      <c r="AM2" s="6" t="s">
        <v>4</v>
      </c>
      <c r="AN2" s="6" t="s">
        <v>3</v>
      </c>
    </row>
    <row r="3" spans="1:40">
      <c r="A3" s="6">
        <f t="shared" si="0"/>
        <v>2</v>
      </c>
      <c r="B3" s="6" t="s">
        <v>6</v>
      </c>
      <c r="C3" s="6" t="s">
        <v>537</v>
      </c>
      <c r="D3" s="6">
        <v>1</v>
      </c>
      <c r="E3" s="6" t="s">
        <v>5</v>
      </c>
      <c r="F3" s="6" t="s">
        <v>3</v>
      </c>
      <c r="G3" s="6" t="s">
        <v>2</v>
      </c>
      <c r="H3" s="6" t="s">
        <v>3</v>
      </c>
      <c r="I3" s="6" t="s">
        <v>5</v>
      </c>
      <c r="J3" s="6" t="s">
        <v>3</v>
      </c>
      <c r="K3" s="6" t="s">
        <v>5</v>
      </c>
      <c r="L3" s="6" t="s">
        <v>2</v>
      </c>
      <c r="M3" s="6" t="s">
        <v>2</v>
      </c>
      <c r="N3" s="6" t="s">
        <v>3</v>
      </c>
      <c r="O3" s="6" t="s">
        <v>3</v>
      </c>
      <c r="P3" s="6" t="s">
        <v>4</v>
      </c>
      <c r="Q3" s="6" t="s">
        <v>5</v>
      </c>
      <c r="R3" s="6" t="s">
        <v>3</v>
      </c>
      <c r="S3" s="6" t="s">
        <v>3</v>
      </c>
      <c r="T3" s="6" t="s">
        <v>5</v>
      </c>
      <c r="U3" s="6" t="s">
        <v>5</v>
      </c>
      <c r="V3" s="6" t="s">
        <v>5</v>
      </c>
      <c r="W3" s="6" t="s">
        <v>4</v>
      </c>
      <c r="X3" s="6" t="s">
        <v>4</v>
      </c>
      <c r="Y3" s="6" t="s">
        <v>4</v>
      </c>
      <c r="Z3" s="6" t="s">
        <v>5</v>
      </c>
      <c r="AA3" s="6" t="s">
        <v>3</v>
      </c>
      <c r="AB3" s="6" t="s">
        <v>4</v>
      </c>
      <c r="AC3" s="6" t="s">
        <v>4</v>
      </c>
      <c r="AD3" s="6" t="s">
        <v>4</v>
      </c>
      <c r="AE3" s="6" t="s">
        <v>4</v>
      </c>
      <c r="AF3" s="6" t="s">
        <v>4</v>
      </c>
      <c r="AG3" s="6" t="s">
        <v>4</v>
      </c>
      <c r="AH3" s="6" t="s">
        <v>3</v>
      </c>
      <c r="AI3" s="6" t="s">
        <v>4</v>
      </c>
      <c r="AJ3" s="6" t="s">
        <v>3</v>
      </c>
      <c r="AK3" s="6" t="s">
        <v>4</v>
      </c>
      <c r="AL3" s="6" t="s">
        <v>4</v>
      </c>
      <c r="AM3" s="6" t="s">
        <v>4</v>
      </c>
      <c r="AN3" s="6" t="s">
        <v>3</v>
      </c>
    </row>
    <row r="4" spans="1:40">
      <c r="A4" s="6">
        <f t="shared" si="0"/>
        <v>3</v>
      </c>
      <c r="B4" s="6" t="s">
        <v>7</v>
      </c>
      <c r="C4" s="6" t="s">
        <v>537</v>
      </c>
      <c r="D4" s="6">
        <v>1</v>
      </c>
      <c r="E4" s="6" t="s">
        <v>2</v>
      </c>
      <c r="F4" s="6" t="s">
        <v>3</v>
      </c>
      <c r="G4" s="6" t="s">
        <v>4</v>
      </c>
      <c r="H4" s="6" t="s">
        <v>5</v>
      </c>
      <c r="I4" s="6" t="s">
        <v>5</v>
      </c>
      <c r="J4" s="6" t="s">
        <v>5</v>
      </c>
      <c r="K4" s="6" t="s">
        <v>5</v>
      </c>
      <c r="L4" s="6" t="s">
        <v>2</v>
      </c>
      <c r="M4" s="6" t="s">
        <v>3</v>
      </c>
      <c r="N4" s="6" t="s">
        <v>3</v>
      </c>
      <c r="O4" s="6" t="s">
        <v>4</v>
      </c>
      <c r="P4" s="6" t="s">
        <v>3</v>
      </c>
      <c r="Q4" s="6" t="s">
        <v>5</v>
      </c>
      <c r="R4" s="6" t="s">
        <v>3</v>
      </c>
      <c r="S4" s="6" t="s">
        <v>3</v>
      </c>
      <c r="T4" s="6" t="s">
        <v>5</v>
      </c>
      <c r="U4" s="6" t="s">
        <v>5</v>
      </c>
      <c r="V4" s="6" t="s">
        <v>5</v>
      </c>
      <c r="W4" s="6" t="s">
        <v>2</v>
      </c>
      <c r="X4" s="6" t="s">
        <v>4</v>
      </c>
      <c r="Y4" s="6" t="s">
        <v>3</v>
      </c>
      <c r="Z4" s="6" t="s">
        <v>2</v>
      </c>
      <c r="AA4" s="6" t="s">
        <v>3</v>
      </c>
      <c r="AB4" s="6" t="s">
        <v>4</v>
      </c>
      <c r="AC4" s="6" t="s">
        <v>4</v>
      </c>
      <c r="AD4" s="6" t="s">
        <v>4</v>
      </c>
      <c r="AE4" s="6" t="s">
        <v>4</v>
      </c>
      <c r="AF4" s="6" t="s">
        <v>4</v>
      </c>
      <c r="AG4" s="6" t="s">
        <v>4</v>
      </c>
      <c r="AH4" s="6" t="s">
        <v>4</v>
      </c>
      <c r="AI4" s="6" t="s">
        <v>4</v>
      </c>
      <c r="AJ4" s="6" t="s">
        <v>4</v>
      </c>
      <c r="AK4" s="6" t="s">
        <v>4</v>
      </c>
      <c r="AL4" s="6" t="s">
        <v>4</v>
      </c>
      <c r="AM4" s="6" t="s">
        <v>3</v>
      </c>
      <c r="AN4" s="6" t="s">
        <v>3</v>
      </c>
    </row>
    <row r="5" spans="1:40">
      <c r="A5" s="6">
        <f t="shared" si="0"/>
        <v>4</v>
      </c>
      <c r="B5" s="6" t="s">
        <v>8</v>
      </c>
      <c r="C5" s="6" t="s">
        <v>537</v>
      </c>
      <c r="D5" s="6">
        <v>1</v>
      </c>
      <c r="E5" s="6" t="s">
        <v>5</v>
      </c>
      <c r="F5" s="6" t="s">
        <v>3</v>
      </c>
      <c r="G5" s="6" t="s">
        <v>2</v>
      </c>
      <c r="H5" s="6" t="s">
        <v>3</v>
      </c>
      <c r="I5" s="6" t="s">
        <v>5</v>
      </c>
      <c r="J5" s="6" t="s">
        <v>5</v>
      </c>
      <c r="K5" s="6" t="s">
        <v>5</v>
      </c>
      <c r="L5" s="6" t="s">
        <v>2</v>
      </c>
      <c r="M5" s="6" t="s">
        <v>3</v>
      </c>
      <c r="N5" s="6" t="s">
        <v>3</v>
      </c>
      <c r="O5" s="6" t="s">
        <v>4</v>
      </c>
      <c r="P5" s="6" t="s">
        <v>2</v>
      </c>
      <c r="Q5" s="6" t="s">
        <v>5</v>
      </c>
      <c r="R5" s="6" t="s">
        <v>3</v>
      </c>
      <c r="S5" s="6" t="s">
        <v>2</v>
      </c>
      <c r="T5" s="6" t="s">
        <v>5</v>
      </c>
      <c r="U5" s="6" t="s">
        <v>2</v>
      </c>
      <c r="V5" s="6" t="s">
        <v>2</v>
      </c>
      <c r="W5" s="6" t="s">
        <v>3</v>
      </c>
      <c r="X5" s="6" t="s">
        <v>4</v>
      </c>
      <c r="Y5" s="6" t="s">
        <v>3</v>
      </c>
      <c r="Z5" s="6" t="s">
        <v>3</v>
      </c>
      <c r="AA5" s="6" t="s">
        <v>3</v>
      </c>
      <c r="AB5" s="6" t="s">
        <v>4</v>
      </c>
      <c r="AC5" s="6" t="s">
        <v>4</v>
      </c>
      <c r="AD5" s="6" t="s">
        <v>4</v>
      </c>
      <c r="AE5" s="6" t="s">
        <v>4</v>
      </c>
      <c r="AF5" s="6" t="s">
        <v>4</v>
      </c>
      <c r="AG5" s="6" t="s">
        <v>4</v>
      </c>
      <c r="AH5" s="6" t="s">
        <v>3</v>
      </c>
      <c r="AI5" s="6" t="s">
        <v>4</v>
      </c>
      <c r="AJ5" s="6" t="s">
        <v>3</v>
      </c>
      <c r="AK5" s="6" t="s">
        <v>4</v>
      </c>
      <c r="AL5" s="6" t="s">
        <v>4</v>
      </c>
      <c r="AM5" s="6" t="s">
        <v>4</v>
      </c>
      <c r="AN5" s="6" t="s">
        <v>3</v>
      </c>
    </row>
    <row r="6" spans="1:40">
      <c r="A6" s="6">
        <f t="shared" si="0"/>
        <v>5</v>
      </c>
      <c r="B6" s="6" t="s">
        <v>9</v>
      </c>
      <c r="C6" s="6" t="s">
        <v>537</v>
      </c>
      <c r="D6" s="6">
        <v>1</v>
      </c>
      <c r="E6" s="6" t="s">
        <v>2</v>
      </c>
      <c r="F6" s="6" t="s">
        <v>3</v>
      </c>
      <c r="G6" s="6" t="s">
        <v>3</v>
      </c>
      <c r="H6" s="6" t="s">
        <v>5</v>
      </c>
      <c r="I6" s="6" t="s">
        <v>5</v>
      </c>
      <c r="J6" s="6" t="s">
        <v>3</v>
      </c>
      <c r="K6" s="6" t="s">
        <v>2</v>
      </c>
      <c r="L6" s="6" t="s">
        <v>2</v>
      </c>
      <c r="M6" s="6" t="s">
        <v>2</v>
      </c>
      <c r="N6" s="6" t="s">
        <v>3</v>
      </c>
      <c r="O6" s="6" t="s">
        <v>4</v>
      </c>
      <c r="P6" s="6" t="s">
        <v>5</v>
      </c>
      <c r="Q6" s="6" t="s">
        <v>5</v>
      </c>
      <c r="R6" s="6" t="s">
        <v>3</v>
      </c>
      <c r="S6" s="6" t="s">
        <v>3</v>
      </c>
      <c r="T6" s="6" t="s">
        <v>5</v>
      </c>
      <c r="U6" s="6" t="s">
        <v>5</v>
      </c>
      <c r="V6" s="6" t="s">
        <v>5</v>
      </c>
      <c r="W6" s="6" t="s">
        <v>5</v>
      </c>
      <c r="X6" s="6" t="s">
        <v>4</v>
      </c>
      <c r="Y6" s="6" t="s">
        <v>3</v>
      </c>
      <c r="Z6" s="6" t="s">
        <v>2</v>
      </c>
      <c r="AA6" s="6" t="s">
        <v>3</v>
      </c>
      <c r="AB6" s="6" t="s">
        <v>4</v>
      </c>
      <c r="AC6" s="6" t="s">
        <v>4</v>
      </c>
      <c r="AD6" s="6" t="s">
        <v>4</v>
      </c>
      <c r="AE6" s="6" t="s">
        <v>4</v>
      </c>
      <c r="AF6" s="6" t="s">
        <v>4</v>
      </c>
      <c r="AG6" s="6" t="s">
        <v>3</v>
      </c>
      <c r="AH6" s="6" t="s">
        <v>3</v>
      </c>
      <c r="AI6" s="6" t="s">
        <v>4</v>
      </c>
      <c r="AJ6" s="6" t="s">
        <v>4</v>
      </c>
      <c r="AK6" s="6" t="s">
        <v>4</v>
      </c>
      <c r="AL6" s="6" t="s">
        <v>4</v>
      </c>
      <c r="AM6" s="6" t="s">
        <v>4</v>
      </c>
      <c r="AN6" s="6" t="s">
        <v>3</v>
      </c>
    </row>
    <row r="7" spans="1:40">
      <c r="A7" s="6">
        <f t="shared" si="0"/>
        <v>6</v>
      </c>
      <c r="B7" s="6" t="s">
        <v>10</v>
      </c>
      <c r="C7" s="6" t="s">
        <v>537</v>
      </c>
      <c r="D7" s="6">
        <v>1</v>
      </c>
      <c r="E7" s="6" t="s">
        <v>3</v>
      </c>
      <c r="F7" s="6" t="s">
        <v>3</v>
      </c>
      <c r="G7" s="6" t="s">
        <v>2</v>
      </c>
      <c r="H7" s="6" t="s">
        <v>5</v>
      </c>
      <c r="I7" s="6" t="s">
        <v>5</v>
      </c>
      <c r="J7" s="6" t="s">
        <v>3</v>
      </c>
      <c r="K7" s="6" t="s">
        <v>5</v>
      </c>
      <c r="L7" s="6" t="s">
        <v>2</v>
      </c>
      <c r="M7" s="6" t="s">
        <v>2</v>
      </c>
      <c r="N7" s="6" t="s">
        <v>2</v>
      </c>
      <c r="O7" s="6" t="s">
        <v>3</v>
      </c>
      <c r="P7" s="6" t="s">
        <v>3</v>
      </c>
      <c r="Q7" s="6" t="s">
        <v>5</v>
      </c>
      <c r="R7" s="6" t="s">
        <v>3</v>
      </c>
      <c r="S7" s="6" t="s">
        <v>3</v>
      </c>
      <c r="T7" s="6" t="s">
        <v>5</v>
      </c>
      <c r="U7" s="6" t="s">
        <v>5</v>
      </c>
      <c r="V7" s="6" t="s">
        <v>5</v>
      </c>
      <c r="W7" s="6" t="s">
        <v>5</v>
      </c>
      <c r="X7" s="6" t="s">
        <v>4</v>
      </c>
      <c r="Y7" s="6" t="s">
        <v>3</v>
      </c>
      <c r="Z7" s="6" t="s">
        <v>2</v>
      </c>
      <c r="AA7" s="6" t="s">
        <v>3</v>
      </c>
      <c r="AB7" s="6" t="s">
        <v>4</v>
      </c>
      <c r="AC7" s="6" t="s">
        <v>4</v>
      </c>
      <c r="AD7" s="6" t="s">
        <v>4</v>
      </c>
      <c r="AE7" s="6" t="s">
        <v>4</v>
      </c>
      <c r="AF7" s="6" t="s">
        <v>4</v>
      </c>
      <c r="AG7" s="6" t="s">
        <v>4</v>
      </c>
      <c r="AH7" s="6" t="s">
        <v>3</v>
      </c>
      <c r="AI7" s="6" t="s">
        <v>4</v>
      </c>
      <c r="AJ7" s="6" t="s">
        <v>3</v>
      </c>
      <c r="AK7" s="6" t="s">
        <v>4</v>
      </c>
      <c r="AL7" s="6" t="s">
        <v>4</v>
      </c>
      <c r="AM7" s="6" t="s">
        <v>4</v>
      </c>
      <c r="AN7" s="6" t="s">
        <v>3</v>
      </c>
    </row>
    <row r="8" spans="1:40">
      <c r="A8" s="6">
        <f t="shared" si="0"/>
        <v>7</v>
      </c>
      <c r="B8" s="6" t="s">
        <v>255</v>
      </c>
      <c r="C8" s="6" t="s">
        <v>537</v>
      </c>
      <c r="D8" s="6">
        <v>1</v>
      </c>
      <c r="E8" s="6" t="s">
        <v>3</v>
      </c>
      <c r="F8" s="6" t="s">
        <v>3</v>
      </c>
      <c r="G8" s="6" t="s">
        <v>4</v>
      </c>
      <c r="H8" s="6" t="s">
        <v>3</v>
      </c>
      <c r="I8" s="6" t="s">
        <v>5</v>
      </c>
      <c r="J8" s="6" t="s">
        <v>5</v>
      </c>
      <c r="K8" s="6" t="s">
        <v>2</v>
      </c>
      <c r="L8" s="6" t="s">
        <v>2</v>
      </c>
      <c r="M8" s="6" t="s">
        <v>3</v>
      </c>
      <c r="N8" s="6" t="s">
        <v>3</v>
      </c>
      <c r="O8" s="6" t="s">
        <v>4</v>
      </c>
      <c r="P8" s="6" t="s">
        <v>5</v>
      </c>
      <c r="Q8" s="6" t="s">
        <v>5</v>
      </c>
      <c r="R8" s="6" t="s">
        <v>3</v>
      </c>
      <c r="S8" s="6" t="s">
        <v>2</v>
      </c>
      <c r="T8" s="6" t="s">
        <v>2</v>
      </c>
      <c r="U8" s="6" t="s">
        <v>2</v>
      </c>
      <c r="V8" s="6" t="s">
        <v>2</v>
      </c>
      <c r="W8" s="6" t="s">
        <v>5</v>
      </c>
      <c r="X8" s="6" t="s">
        <v>4</v>
      </c>
      <c r="Y8" s="6" t="s">
        <v>4</v>
      </c>
      <c r="Z8" s="6" t="s">
        <v>4</v>
      </c>
      <c r="AA8" s="6" t="s">
        <v>3</v>
      </c>
      <c r="AB8" s="6" t="s">
        <v>4</v>
      </c>
      <c r="AC8" s="6" t="s">
        <v>4</v>
      </c>
      <c r="AD8" s="6" t="s">
        <v>4</v>
      </c>
      <c r="AE8" s="6" t="s">
        <v>4</v>
      </c>
      <c r="AF8" s="6" t="s">
        <v>4</v>
      </c>
      <c r="AG8" s="6" t="s">
        <v>4</v>
      </c>
      <c r="AH8" s="6" t="s">
        <v>3</v>
      </c>
      <c r="AI8" s="6" t="s">
        <v>4</v>
      </c>
      <c r="AJ8" s="6" t="s">
        <v>3</v>
      </c>
      <c r="AK8" s="6" t="s">
        <v>4</v>
      </c>
      <c r="AL8" s="6" t="s">
        <v>4</v>
      </c>
      <c r="AM8" s="6" t="s">
        <v>3</v>
      </c>
      <c r="AN8" s="6" t="s">
        <v>3</v>
      </c>
    </row>
    <row r="9" spans="1:40">
      <c r="A9" s="6">
        <f t="shared" si="0"/>
        <v>8</v>
      </c>
      <c r="B9" s="6" t="s">
        <v>317</v>
      </c>
      <c r="C9" s="6" t="s">
        <v>537</v>
      </c>
      <c r="D9" s="6">
        <v>1</v>
      </c>
      <c r="E9" s="6" t="s">
        <v>4</v>
      </c>
      <c r="F9" s="6" t="s">
        <v>5</v>
      </c>
      <c r="G9" s="6" t="s">
        <v>3</v>
      </c>
      <c r="H9" s="6" t="s">
        <v>5</v>
      </c>
      <c r="I9" s="6" t="s">
        <v>5</v>
      </c>
      <c r="J9" s="6" t="s">
        <v>5</v>
      </c>
      <c r="K9" s="6" t="s">
        <v>2</v>
      </c>
      <c r="L9" s="6" t="s">
        <v>2</v>
      </c>
      <c r="M9" s="6" t="s">
        <v>2</v>
      </c>
      <c r="N9" s="6" t="s">
        <v>2</v>
      </c>
      <c r="O9" s="6" t="s">
        <v>3</v>
      </c>
      <c r="P9" s="6" t="s">
        <v>5</v>
      </c>
      <c r="Q9" s="6" t="s">
        <v>5</v>
      </c>
      <c r="R9" s="6" t="s">
        <v>3</v>
      </c>
      <c r="S9" s="6" t="s">
        <v>3</v>
      </c>
      <c r="T9" s="6" t="s">
        <v>5</v>
      </c>
      <c r="U9" s="6" t="s">
        <v>5</v>
      </c>
      <c r="V9" s="6" t="s">
        <v>5</v>
      </c>
      <c r="W9" s="6" t="s">
        <v>2</v>
      </c>
      <c r="X9" s="6" t="s">
        <v>4</v>
      </c>
      <c r="Y9" s="6" t="s">
        <v>4</v>
      </c>
      <c r="Z9" s="6" t="s">
        <v>2</v>
      </c>
      <c r="AA9" s="6" t="s">
        <v>4</v>
      </c>
      <c r="AB9" s="6" t="s">
        <v>4</v>
      </c>
      <c r="AC9" s="6" t="s">
        <v>4</v>
      </c>
      <c r="AD9" s="6" t="s">
        <v>4</v>
      </c>
      <c r="AE9" s="6" t="s">
        <v>4</v>
      </c>
      <c r="AF9" s="6" t="s">
        <v>4</v>
      </c>
      <c r="AG9" s="6" t="s">
        <v>4</v>
      </c>
      <c r="AH9" s="6" t="s">
        <v>3</v>
      </c>
      <c r="AI9" s="6" t="s">
        <v>4</v>
      </c>
      <c r="AJ9" s="6" t="s">
        <v>3</v>
      </c>
      <c r="AK9" s="6" t="s">
        <v>4</v>
      </c>
      <c r="AL9" s="6" t="s">
        <v>4</v>
      </c>
      <c r="AM9" s="6" t="s">
        <v>4</v>
      </c>
      <c r="AN9" s="6" t="s">
        <v>3</v>
      </c>
    </row>
    <row r="10" spans="1:40">
      <c r="A10" s="6">
        <f t="shared" si="0"/>
        <v>9</v>
      </c>
      <c r="B10" s="6" t="s">
        <v>313</v>
      </c>
      <c r="C10" s="6" t="s">
        <v>537</v>
      </c>
      <c r="D10" s="6">
        <v>1</v>
      </c>
      <c r="E10" s="6" t="s">
        <v>2</v>
      </c>
      <c r="F10" s="6" t="s">
        <v>3</v>
      </c>
      <c r="G10" s="6" t="s">
        <v>4</v>
      </c>
      <c r="H10" s="6" t="s">
        <v>5</v>
      </c>
      <c r="I10" s="6" t="s">
        <v>5</v>
      </c>
      <c r="J10" s="6" t="s">
        <v>5</v>
      </c>
      <c r="K10" s="6" t="s">
        <v>5</v>
      </c>
      <c r="L10" s="6" t="s">
        <v>2</v>
      </c>
      <c r="M10" s="6" t="s">
        <v>3</v>
      </c>
      <c r="N10" s="6" t="s">
        <v>3</v>
      </c>
      <c r="O10" s="6" t="s">
        <v>4</v>
      </c>
      <c r="P10" s="6" t="s">
        <v>3</v>
      </c>
      <c r="Q10" s="6" t="s">
        <v>5</v>
      </c>
      <c r="R10" s="6" t="s">
        <v>3</v>
      </c>
      <c r="S10" s="6" t="s">
        <v>3</v>
      </c>
      <c r="T10" s="6" t="s">
        <v>5</v>
      </c>
      <c r="U10" s="6" t="s">
        <v>5</v>
      </c>
      <c r="V10" s="6" t="s">
        <v>5</v>
      </c>
      <c r="W10" s="6" t="s">
        <v>2</v>
      </c>
      <c r="X10" s="6" t="s">
        <v>4</v>
      </c>
      <c r="Y10" s="6" t="s">
        <v>3</v>
      </c>
      <c r="Z10" s="6" t="s">
        <v>2</v>
      </c>
      <c r="AA10" s="6" t="s">
        <v>3</v>
      </c>
      <c r="AB10" s="6" t="s">
        <v>4</v>
      </c>
      <c r="AC10" s="6" t="s">
        <v>4</v>
      </c>
      <c r="AD10" s="6" t="s">
        <v>4</v>
      </c>
      <c r="AE10" s="6" t="s">
        <v>4</v>
      </c>
      <c r="AF10" s="6" t="s">
        <v>4</v>
      </c>
      <c r="AG10" s="6" t="s">
        <v>4</v>
      </c>
      <c r="AH10" s="6" t="s">
        <v>4</v>
      </c>
      <c r="AI10" s="6" t="s">
        <v>4</v>
      </c>
      <c r="AJ10" s="6" t="s">
        <v>4</v>
      </c>
      <c r="AK10" s="6" t="s">
        <v>4</v>
      </c>
      <c r="AL10" s="6" t="s">
        <v>4</v>
      </c>
      <c r="AM10" s="6" t="s">
        <v>3</v>
      </c>
      <c r="AN10" s="6" t="s">
        <v>3</v>
      </c>
    </row>
    <row r="11" spans="1:40">
      <c r="A11" s="6">
        <f t="shared" si="0"/>
        <v>10</v>
      </c>
      <c r="B11" s="6" t="s">
        <v>316</v>
      </c>
      <c r="C11" s="6" t="s">
        <v>537</v>
      </c>
      <c r="D11" s="6">
        <v>1</v>
      </c>
      <c r="E11" s="6" t="s">
        <v>2</v>
      </c>
      <c r="F11" s="6" t="s">
        <v>5</v>
      </c>
      <c r="G11" s="6" t="s">
        <v>3</v>
      </c>
      <c r="H11" s="6" t="s">
        <v>5</v>
      </c>
      <c r="I11" s="6" t="s">
        <v>5</v>
      </c>
      <c r="J11" s="6" t="s">
        <v>3</v>
      </c>
      <c r="K11" s="6" t="s">
        <v>2</v>
      </c>
      <c r="L11" s="6" t="s">
        <v>2</v>
      </c>
      <c r="M11" s="6" t="s">
        <v>2</v>
      </c>
      <c r="N11" s="6" t="s">
        <v>3</v>
      </c>
      <c r="O11" s="6" t="s">
        <v>4</v>
      </c>
      <c r="P11" s="6" t="s">
        <v>5</v>
      </c>
      <c r="Q11" s="6" t="s">
        <v>5</v>
      </c>
      <c r="R11" s="6" t="s">
        <v>3</v>
      </c>
      <c r="S11" s="6" t="s">
        <v>3</v>
      </c>
      <c r="T11" s="6" t="s">
        <v>5</v>
      </c>
      <c r="U11" s="6" t="s">
        <v>5</v>
      </c>
      <c r="V11" s="6" t="s">
        <v>5</v>
      </c>
      <c r="W11" s="6" t="s">
        <v>5</v>
      </c>
      <c r="X11" s="6" t="s">
        <v>4</v>
      </c>
      <c r="Y11" s="6" t="s">
        <v>3</v>
      </c>
      <c r="Z11" s="6" t="s">
        <v>2</v>
      </c>
      <c r="AA11" s="6" t="s">
        <v>3</v>
      </c>
      <c r="AB11" s="6" t="s">
        <v>4</v>
      </c>
      <c r="AC11" s="6" t="s">
        <v>4</v>
      </c>
      <c r="AD11" s="6" t="s">
        <v>4</v>
      </c>
      <c r="AE11" s="6" t="s">
        <v>4</v>
      </c>
      <c r="AF11" s="6" t="s">
        <v>4</v>
      </c>
      <c r="AG11" s="6" t="s">
        <v>3</v>
      </c>
      <c r="AH11" s="6" t="s">
        <v>3</v>
      </c>
      <c r="AI11" s="6" t="s">
        <v>4</v>
      </c>
      <c r="AJ11" s="6" t="s">
        <v>4</v>
      </c>
      <c r="AK11" s="6" t="s">
        <v>4</v>
      </c>
      <c r="AL11" s="6" t="s">
        <v>4</v>
      </c>
      <c r="AM11" s="6" t="s">
        <v>4</v>
      </c>
      <c r="AN11" s="6" t="s">
        <v>3</v>
      </c>
    </row>
    <row r="12" spans="1:40">
      <c r="A12" s="6">
        <f t="shared" si="0"/>
        <v>11</v>
      </c>
      <c r="B12" s="6" t="s">
        <v>484</v>
      </c>
      <c r="C12" s="6" t="s">
        <v>537</v>
      </c>
      <c r="D12" s="6">
        <v>1</v>
      </c>
      <c r="E12" s="6" t="s">
        <v>5</v>
      </c>
      <c r="F12" s="6" t="s">
        <v>3</v>
      </c>
      <c r="G12" s="6" t="s">
        <v>2</v>
      </c>
      <c r="H12" s="6" t="s">
        <v>3</v>
      </c>
      <c r="I12" s="6" t="s">
        <v>5</v>
      </c>
      <c r="J12" s="6" t="s">
        <v>5</v>
      </c>
      <c r="K12" s="6" t="s">
        <v>5</v>
      </c>
      <c r="L12" s="6" t="s">
        <v>2</v>
      </c>
      <c r="M12" s="6" t="s">
        <v>2</v>
      </c>
      <c r="N12" s="6" t="s">
        <v>2</v>
      </c>
      <c r="O12" s="6" t="s">
        <v>2</v>
      </c>
      <c r="P12" s="6" t="s">
        <v>5</v>
      </c>
      <c r="Q12" s="6" t="s">
        <v>5</v>
      </c>
      <c r="R12" s="6" t="s">
        <v>3</v>
      </c>
      <c r="S12" s="6" t="s">
        <v>3</v>
      </c>
      <c r="T12" s="6" t="s">
        <v>5</v>
      </c>
      <c r="U12" s="6" t="s">
        <v>5</v>
      </c>
      <c r="V12" s="6" t="s">
        <v>5</v>
      </c>
      <c r="W12" s="6" t="s">
        <v>5</v>
      </c>
      <c r="X12" s="6" t="s">
        <v>4</v>
      </c>
      <c r="Y12" s="6" t="s">
        <v>4</v>
      </c>
      <c r="Z12" s="6" t="s">
        <v>4</v>
      </c>
      <c r="AA12" s="6" t="s">
        <v>3</v>
      </c>
      <c r="AB12" s="6" t="s">
        <v>3</v>
      </c>
      <c r="AC12" s="6" t="s">
        <v>3</v>
      </c>
      <c r="AD12" s="6" t="s">
        <v>4</v>
      </c>
      <c r="AE12" s="6" t="s">
        <v>4</v>
      </c>
      <c r="AF12" s="6" t="s">
        <v>4</v>
      </c>
      <c r="AG12" s="6" t="s">
        <v>4</v>
      </c>
      <c r="AH12" s="6" t="s">
        <v>3</v>
      </c>
      <c r="AI12" s="6" t="s">
        <v>4</v>
      </c>
      <c r="AJ12" s="6" t="s">
        <v>3</v>
      </c>
      <c r="AK12" s="6" t="s">
        <v>3</v>
      </c>
      <c r="AL12" s="6" t="s">
        <v>4</v>
      </c>
      <c r="AM12" s="6" t="s">
        <v>4</v>
      </c>
      <c r="AN12" s="6" t="s">
        <v>3</v>
      </c>
    </row>
    <row r="13" spans="1:40">
      <c r="A13" s="6">
        <f t="shared" si="0"/>
        <v>12</v>
      </c>
      <c r="B13" s="6" t="s">
        <v>460</v>
      </c>
      <c r="C13" s="6" t="s">
        <v>537</v>
      </c>
      <c r="D13" s="6">
        <v>1</v>
      </c>
      <c r="E13" s="6" t="s">
        <v>5</v>
      </c>
      <c r="F13" s="6" t="s">
        <v>3</v>
      </c>
      <c r="G13" s="6" t="s">
        <v>4</v>
      </c>
      <c r="H13" s="6" t="s">
        <v>3</v>
      </c>
      <c r="I13" s="6" t="s">
        <v>5</v>
      </c>
      <c r="J13" s="6" t="s">
        <v>5</v>
      </c>
      <c r="K13" s="6" t="s">
        <v>5</v>
      </c>
      <c r="L13" s="6" t="s">
        <v>2</v>
      </c>
      <c r="M13" s="6" t="s">
        <v>3</v>
      </c>
      <c r="N13" s="6" t="s">
        <v>3</v>
      </c>
      <c r="O13" s="6" t="s">
        <v>2</v>
      </c>
      <c r="P13" s="6" t="s">
        <v>4</v>
      </c>
      <c r="Q13" s="6" t="s">
        <v>5</v>
      </c>
      <c r="R13" s="6" t="s">
        <v>3</v>
      </c>
      <c r="S13" s="6" t="s">
        <v>2</v>
      </c>
      <c r="T13" s="6" t="s">
        <v>5</v>
      </c>
      <c r="U13" s="6" t="s">
        <v>5</v>
      </c>
      <c r="V13" s="6" t="s">
        <v>5</v>
      </c>
      <c r="W13" s="6" t="s">
        <v>5</v>
      </c>
      <c r="X13" s="6" t="s">
        <v>4</v>
      </c>
      <c r="Y13" s="6" t="s">
        <v>4</v>
      </c>
      <c r="Z13" s="6" t="s">
        <v>4</v>
      </c>
      <c r="AA13" s="6" t="s">
        <v>3</v>
      </c>
      <c r="AB13" s="6" t="s">
        <v>3</v>
      </c>
      <c r="AC13" s="6" t="s">
        <v>3</v>
      </c>
      <c r="AD13" s="6" t="s">
        <v>4</v>
      </c>
      <c r="AE13" s="6" t="s">
        <v>4</v>
      </c>
      <c r="AF13" s="6" t="s">
        <v>4</v>
      </c>
      <c r="AG13" s="6" t="s">
        <v>4</v>
      </c>
      <c r="AH13" s="6" t="s">
        <v>4</v>
      </c>
      <c r="AI13" s="6" t="s">
        <v>4</v>
      </c>
      <c r="AJ13" s="6" t="s">
        <v>4</v>
      </c>
      <c r="AK13" s="6" t="s">
        <v>4</v>
      </c>
      <c r="AL13" s="6" t="s">
        <v>4</v>
      </c>
      <c r="AM13" s="6" t="s">
        <v>4</v>
      </c>
      <c r="AN13" s="6" t="s">
        <v>3</v>
      </c>
    </row>
    <row r="14" spans="1:40">
      <c r="A14" s="6">
        <f t="shared" si="0"/>
        <v>13</v>
      </c>
      <c r="B14" s="6" t="s">
        <v>483</v>
      </c>
      <c r="C14" s="6" t="s">
        <v>537</v>
      </c>
      <c r="D14" s="6">
        <v>1</v>
      </c>
      <c r="E14" s="6" t="s">
        <v>5</v>
      </c>
      <c r="F14" s="6" t="s">
        <v>3</v>
      </c>
      <c r="G14" s="6" t="s">
        <v>2</v>
      </c>
      <c r="H14" s="6" t="s">
        <v>3</v>
      </c>
      <c r="I14" s="6" t="s">
        <v>5</v>
      </c>
      <c r="J14" s="6" t="s">
        <v>5</v>
      </c>
      <c r="K14" s="6" t="s">
        <v>5</v>
      </c>
      <c r="L14" s="6" t="s">
        <v>2</v>
      </c>
      <c r="M14" s="6" t="s">
        <v>3</v>
      </c>
      <c r="N14" s="6" t="s">
        <v>3</v>
      </c>
      <c r="O14" s="6" t="s">
        <v>2</v>
      </c>
      <c r="P14" s="6" t="s">
        <v>5</v>
      </c>
      <c r="Q14" s="6" t="s">
        <v>5</v>
      </c>
      <c r="R14" s="6" t="s">
        <v>3</v>
      </c>
      <c r="S14" s="6" t="s">
        <v>2</v>
      </c>
      <c r="T14" s="6" t="s">
        <v>5</v>
      </c>
      <c r="U14" s="6" t="s">
        <v>5</v>
      </c>
      <c r="V14" s="6" t="s">
        <v>5</v>
      </c>
      <c r="W14" s="6" t="s">
        <v>4</v>
      </c>
      <c r="X14" s="6" t="s">
        <v>4</v>
      </c>
      <c r="Y14" s="6" t="s">
        <v>4</v>
      </c>
      <c r="Z14" s="6" t="s">
        <v>4</v>
      </c>
      <c r="AA14" s="6" t="s">
        <v>3</v>
      </c>
      <c r="AB14" s="6" t="s">
        <v>3</v>
      </c>
      <c r="AC14" s="6" t="s">
        <v>3</v>
      </c>
      <c r="AD14" s="6" t="s">
        <v>4</v>
      </c>
      <c r="AE14" s="6" t="s">
        <v>4</v>
      </c>
      <c r="AF14" s="6" t="s">
        <v>4</v>
      </c>
      <c r="AG14" s="6" t="s">
        <v>4</v>
      </c>
      <c r="AH14" s="6" t="s">
        <v>3</v>
      </c>
      <c r="AI14" s="6" t="s">
        <v>4</v>
      </c>
      <c r="AJ14" s="6" t="s">
        <v>3</v>
      </c>
      <c r="AK14" s="6" t="s">
        <v>4</v>
      </c>
      <c r="AL14" s="6" t="s">
        <v>4</v>
      </c>
      <c r="AM14" s="6" t="s">
        <v>3</v>
      </c>
      <c r="AN14" s="6" t="s">
        <v>3</v>
      </c>
    </row>
    <row r="15" spans="1:40">
      <c r="A15" s="6">
        <f t="shared" si="0"/>
        <v>14</v>
      </c>
      <c r="B15" s="6" t="s">
        <v>314</v>
      </c>
      <c r="C15" s="6" t="s">
        <v>537</v>
      </c>
      <c r="D15" s="6">
        <v>2</v>
      </c>
      <c r="E15" s="6" t="s">
        <v>5</v>
      </c>
      <c r="F15" s="6" t="s">
        <v>3</v>
      </c>
      <c r="G15" s="6" t="s">
        <v>4</v>
      </c>
      <c r="H15" s="6" t="s">
        <v>3</v>
      </c>
      <c r="I15" s="6" t="s">
        <v>5</v>
      </c>
      <c r="J15" s="6" t="s">
        <v>5</v>
      </c>
      <c r="K15" s="6" t="s">
        <v>3</v>
      </c>
      <c r="L15" s="6" t="s">
        <v>4</v>
      </c>
      <c r="M15" s="6" t="s">
        <v>3</v>
      </c>
      <c r="N15" s="6" t="s">
        <v>3</v>
      </c>
      <c r="O15" s="6" t="s">
        <v>4</v>
      </c>
      <c r="P15" s="6" t="s">
        <v>4</v>
      </c>
      <c r="Q15" s="6" t="s">
        <v>5</v>
      </c>
      <c r="R15" s="6" t="s">
        <v>3</v>
      </c>
      <c r="S15" s="6" t="s">
        <v>4</v>
      </c>
      <c r="T15" s="6" t="s">
        <v>5</v>
      </c>
      <c r="U15" s="6" t="s">
        <v>5</v>
      </c>
      <c r="V15" s="6" t="s">
        <v>5</v>
      </c>
      <c r="W15" s="6" t="s">
        <v>3</v>
      </c>
      <c r="X15" s="6" t="s">
        <v>4</v>
      </c>
      <c r="Y15" s="6" t="s">
        <v>4</v>
      </c>
      <c r="Z15" s="6" t="s">
        <v>4</v>
      </c>
      <c r="AA15" s="6" t="s">
        <v>3</v>
      </c>
      <c r="AB15" s="6" t="s">
        <v>4</v>
      </c>
      <c r="AC15" s="6" t="s">
        <v>4</v>
      </c>
      <c r="AD15" s="6" t="s">
        <v>4</v>
      </c>
      <c r="AE15" s="6" t="s">
        <v>4</v>
      </c>
      <c r="AF15" s="6" t="s">
        <v>4</v>
      </c>
      <c r="AG15" s="6" t="s">
        <v>4</v>
      </c>
      <c r="AH15" s="6" t="s">
        <v>3</v>
      </c>
      <c r="AI15" s="6" t="s">
        <v>4</v>
      </c>
      <c r="AJ15" s="6" t="s">
        <v>3</v>
      </c>
      <c r="AK15" s="6" t="s">
        <v>4</v>
      </c>
      <c r="AL15" s="6" t="s">
        <v>4</v>
      </c>
      <c r="AM15" s="6" t="s">
        <v>4</v>
      </c>
      <c r="AN15" s="6" t="s">
        <v>3</v>
      </c>
    </row>
    <row r="16" spans="1:40">
      <c r="A16" s="6">
        <f t="shared" si="0"/>
        <v>15</v>
      </c>
      <c r="B16" s="6" t="s">
        <v>315</v>
      </c>
      <c r="C16" s="6" t="s">
        <v>537</v>
      </c>
      <c r="D16" s="6">
        <v>2</v>
      </c>
      <c r="E16" s="6" t="s">
        <v>5</v>
      </c>
      <c r="F16" s="6" t="s">
        <v>5</v>
      </c>
      <c r="G16" s="6" t="s">
        <v>3</v>
      </c>
      <c r="H16" s="6" t="s">
        <v>5</v>
      </c>
      <c r="I16" s="6" t="s">
        <v>5</v>
      </c>
      <c r="J16" s="6" t="s">
        <v>5</v>
      </c>
      <c r="K16" s="6" t="s">
        <v>2</v>
      </c>
      <c r="L16" s="6" t="s">
        <v>2</v>
      </c>
      <c r="M16" s="6" t="s">
        <v>3</v>
      </c>
      <c r="N16" s="6" t="s">
        <v>2</v>
      </c>
      <c r="O16" s="6" t="s">
        <v>2</v>
      </c>
      <c r="P16" s="6" t="s">
        <v>3</v>
      </c>
      <c r="Q16" s="6" t="s">
        <v>5</v>
      </c>
      <c r="R16" s="6" t="s">
        <v>3</v>
      </c>
      <c r="S16" s="6" t="s">
        <v>4</v>
      </c>
      <c r="T16" s="6" t="s">
        <v>5</v>
      </c>
      <c r="U16" s="6" t="s">
        <v>5</v>
      </c>
      <c r="V16" s="6" t="s">
        <v>5</v>
      </c>
      <c r="W16" s="6" t="s">
        <v>5</v>
      </c>
      <c r="X16" s="6" t="s">
        <v>4</v>
      </c>
      <c r="Y16" s="6" t="s">
        <v>3</v>
      </c>
      <c r="Z16" s="6" t="s">
        <v>2</v>
      </c>
      <c r="AA16" s="6" t="s">
        <v>3</v>
      </c>
      <c r="AB16" s="6" t="s">
        <v>4</v>
      </c>
      <c r="AC16" s="6" t="s">
        <v>4</v>
      </c>
      <c r="AD16" s="6" t="s">
        <v>4</v>
      </c>
      <c r="AE16" s="6" t="s">
        <v>4</v>
      </c>
      <c r="AF16" s="6" t="s">
        <v>4</v>
      </c>
      <c r="AG16" s="6" t="s">
        <v>4</v>
      </c>
      <c r="AH16" s="6" t="s">
        <v>3</v>
      </c>
      <c r="AI16" s="6" t="s">
        <v>4</v>
      </c>
      <c r="AJ16" s="6" t="s">
        <v>4</v>
      </c>
      <c r="AK16" s="6" t="s">
        <v>4</v>
      </c>
      <c r="AL16" s="6" t="s">
        <v>4</v>
      </c>
      <c r="AM16" s="6" t="s">
        <v>3</v>
      </c>
      <c r="AN16" s="6" t="s">
        <v>4</v>
      </c>
    </row>
    <row r="17" spans="1:40">
      <c r="A17" s="6">
        <f t="shared" si="0"/>
        <v>16</v>
      </c>
      <c r="B17" s="6" t="s">
        <v>13</v>
      </c>
      <c r="C17" s="6" t="s">
        <v>537</v>
      </c>
      <c r="D17" s="6">
        <v>2</v>
      </c>
      <c r="E17" s="6" t="s">
        <v>5</v>
      </c>
      <c r="F17" s="6" t="s">
        <v>5</v>
      </c>
      <c r="G17" s="6" t="s">
        <v>2</v>
      </c>
      <c r="H17" s="6" t="s">
        <v>2</v>
      </c>
      <c r="I17" s="6" t="s">
        <v>5</v>
      </c>
      <c r="J17" s="6" t="s">
        <v>5</v>
      </c>
      <c r="K17" s="6" t="s">
        <v>2</v>
      </c>
      <c r="L17" s="6" t="s">
        <v>2</v>
      </c>
      <c r="M17" s="6" t="s">
        <v>2</v>
      </c>
      <c r="N17" s="6" t="s">
        <v>4</v>
      </c>
      <c r="O17" s="6" t="s">
        <v>4</v>
      </c>
      <c r="P17" s="6" t="s">
        <v>4</v>
      </c>
      <c r="Q17" s="6" t="s">
        <v>5</v>
      </c>
      <c r="R17" s="6" t="s">
        <v>4</v>
      </c>
      <c r="S17" s="6" t="s">
        <v>5</v>
      </c>
      <c r="T17" s="6" t="s">
        <v>5</v>
      </c>
      <c r="U17" s="6" t="s">
        <v>5</v>
      </c>
      <c r="V17" s="6" t="s">
        <v>5</v>
      </c>
      <c r="W17" s="6" t="s">
        <v>5</v>
      </c>
      <c r="X17" s="6" t="s">
        <v>4</v>
      </c>
      <c r="Y17" s="6" t="s">
        <v>3</v>
      </c>
      <c r="Z17" s="6" t="s">
        <v>2</v>
      </c>
      <c r="AA17" s="6" t="s">
        <v>3</v>
      </c>
      <c r="AB17" s="6" t="s">
        <v>4</v>
      </c>
      <c r="AC17" s="6" t="s">
        <v>4</v>
      </c>
      <c r="AD17" s="6" t="s">
        <v>4</v>
      </c>
      <c r="AE17" s="6" t="s">
        <v>4</v>
      </c>
      <c r="AF17" s="6" t="s">
        <v>4</v>
      </c>
      <c r="AG17" s="6" t="s">
        <v>4</v>
      </c>
      <c r="AH17" s="6" t="s">
        <v>4</v>
      </c>
      <c r="AI17" s="6" t="s">
        <v>4</v>
      </c>
      <c r="AJ17" s="6" t="s">
        <v>3</v>
      </c>
      <c r="AK17" s="6" t="s">
        <v>4</v>
      </c>
      <c r="AL17" s="6" t="s">
        <v>4</v>
      </c>
      <c r="AM17" s="6" t="s">
        <v>4</v>
      </c>
      <c r="AN17" s="6" t="s">
        <v>4</v>
      </c>
    </row>
    <row r="18" spans="1:40">
      <c r="A18" s="6">
        <f t="shared" si="0"/>
        <v>17</v>
      </c>
      <c r="B18" s="6" t="s">
        <v>14</v>
      </c>
      <c r="C18" s="6" t="s">
        <v>537</v>
      </c>
      <c r="D18" s="6">
        <v>2</v>
      </c>
      <c r="E18" s="6" t="s">
        <v>5</v>
      </c>
      <c r="F18" s="6" t="s">
        <v>5</v>
      </c>
      <c r="G18" s="6" t="s">
        <v>3</v>
      </c>
      <c r="H18" s="6" t="s">
        <v>5</v>
      </c>
      <c r="I18" s="6" t="s">
        <v>5</v>
      </c>
      <c r="J18" s="6" t="s">
        <v>5</v>
      </c>
      <c r="K18" s="6" t="s">
        <v>5</v>
      </c>
      <c r="L18" s="6" t="s">
        <v>2</v>
      </c>
      <c r="M18" s="6" t="s">
        <v>2</v>
      </c>
      <c r="N18" s="6" t="s">
        <v>4</v>
      </c>
      <c r="O18" s="6" t="s">
        <v>4</v>
      </c>
      <c r="P18" s="6" t="s">
        <v>2</v>
      </c>
      <c r="Q18" s="6" t="s">
        <v>5</v>
      </c>
      <c r="R18" s="6" t="s">
        <v>4</v>
      </c>
      <c r="S18" s="6" t="s">
        <v>2</v>
      </c>
      <c r="T18" s="6" t="s">
        <v>5</v>
      </c>
      <c r="U18" s="6" t="s">
        <v>3</v>
      </c>
      <c r="V18" s="6" t="s">
        <v>4</v>
      </c>
      <c r="W18" s="6" t="s">
        <v>5</v>
      </c>
      <c r="X18" s="6" t="s">
        <v>2</v>
      </c>
      <c r="Y18" s="6" t="s">
        <v>4</v>
      </c>
      <c r="Z18" s="6" t="s">
        <v>4</v>
      </c>
      <c r="AA18" s="6" t="s">
        <v>3</v>
      </c>
      <c r="AB18" s="6" t="s">
        <v>4</v>
      </c>
      <c r="AC18" s="6" t="s">
        <v>4</v>
      </c>
      <c r="AD18" s="6" t="s">
        <v>4</v>
      </c>
      <c r="AE18" s="6" t="s">
        <v>4</v>
      </c>
      <c r="AF18" s="6" t="s">
        <v>4</v>
      </c>
      <c r="AG18" s="6" t="s">
        <v>4</v>
      </c>
      <c r="AH18" s="6" t="s">
        <v>3</v>
      </c>
      <c r="AI18" s="6" t="s">
        <v>4</v>
      </c>
      <c r="AJ18" s="6" t="s">
        <v>3</v>
      </c>
      <c r="AK18" s="6" t="s">
        <v>4</v>
      </c>
      <c r="AL18" s="6" t="s">
        <v>4</v>
      </c>
      <c r="AM18" s="6" t="s">
        <v>4</v>
      </c>
      <c r="AN18" s="6" t="s">
        <v>3</v>
      </c>
    </row>
    <row r="19" spans="1:40">
      <c r="A19" s="6">
        <f t="shared" si="0"/>
        <v>18</v>
      </c>
      <c r="B19" s="6" t="s">
        <v>15</v>
      </c>
      <c r="C19" s="6" t="s">
        <v>537</v>
      </c>
      <c r="D19" s="6">
        <v>2</v>
      </c>
      <c r="E19" s="6" t="s">
        <v>2</v>
      </c>
      <c r="F19" s="6" t="s">
        <v>5</v>
      </c>
      <c r="G19" s="6" t="s">
        <v>4</v>
      </c>
      <c r="H19" s="6" t="s">
        <v>5</v>
      </c>
      <c r="I19" s="6" t="s">
        <v>5</v>
      </c>
      <c r="J19" s="6" t="s">
        <v>5</v>
      </c>
      <c r="K19" s="6" t="s">
        <v>2</v>
      </c>
      <c r="L19" s="6" t="s">
        <v>2</v>
      </c>
      <c r="M19" s="6" t="s">
        <v>3</v>
      </c>
      <c r="N19" s="6" t="s">
        <v>4</v>
      </c>
      <c r="O19" s="6" t="s">
        <v>4</v>
      </c>
      <c r="P19" s="6" t="s">
        <v>5</v>
      </c>
      <c r="Q19" s="6" t="s">
        <v>5</v>
      </c>
      <c r="R19" s="6" t="s">
        <v>4</v>
      </c>
      <c r="S19" s="6" t="s">
        <v>5</v>
      </c>
      <c r="T19" s="6" t="s">
        <v>5</v>
      </c>
      <c r="U19" s="6" t="s">
        <v>2</v>
      </c>
      <c r="V19" s="6" t="s">
        <v>5</v>
      </c>
      <c r="W19" s="6" t="s">
        <v>5</v>
      </c>
      <c r="X19" s="6" t="s">
        <v>4</v>
      </c>
      <c r="Y19" s="6" t="s">
        <v>4</v>
      </c>
      <c r="Z19" s="6" t="s">
        <v>4</v>
      </c>
      <c r="AA19" s="6" t="s">
        <v>3</v>
      </c>
      <c r="AB19" s="6" t="s">
        <v>4</v>
      </c>
      <c r="AC19" s="6" t="s">
        <v>4</v>
      </c>
      <c r="AD19" s="6" t="s">
        <v>4</v>
      </c>
      <c r="AE19" s="6" t="s">
        <v>4</v>
      </c>
      <c r="AF19" s="6" t="s">
        <v>4</v>
      </c>
      <c r="AG19" s="6" t="s">
        <v>4</v>
      </c>
      <c r="AH19" s="6" t="s">
        <v>3</v>
      </c>
      <c r="AI19" s="6" t="s">
        <v>4</v>
      </c>
      <c r="AJ19" s="6" t="s">
        <v>3</v>
      </c>
      <c r="AK19" s="6" t="s">
        <v>4</v>
      </c>
      <c r="AL19" s="6" t="s">
        <v>4</v>
      </c>
      <c r="AM19" s="6" t="s">
        <v>4</v>
      </c>
      <c r="AN19" s="6" t="s">
        <v>3</v>
      </c>
    </row>
    <row r="20" spans="1:40">
      <c r="A20" s="6">
        <f t="shared" si="0"/>
        <v>19</v>
      </c>
      <c r="B20" s="6" t="s">
        <v>16</v>
      </c>
      <c r="C20" s="6" t="s">
        <v>537</v>
      </c>
      <c r="D20" s="6">
        <v>2</v>
      </c>
      <c r="E20" s="6" t="s">
        <v>5</v>
      </c>
      <c r="F20" s="6" t="s">
        <v>5</v>
      </c>
      <c r="G20" s="6" t="s">
        <v>3</v>
      </c>
      <c r="H20" s="6" t="s">
        <v>5</v>
      </c>
      <c r="I20" s="6" t="s">
        <v>5</v>
      </c>
      <c r="J20" s="6" t="s">
        <v>5</v>
      </c>
      <c r="K20" s="6" t="s">
        <v>2</v>
      </c>
      <c r="L20" s="6" t="s">
        <v>2</v>
      </c>
      <c r="M20" s="6" t="s">
        <v>3</v>
      </c>
      <c r="N20" s="6" t="s">
        <v>2</v>
      </c>
      <c r="O20" s="6" t="s">
        <v>2</v>
      </c>
      <c r="P20" s="6" t="s">
        <v>3</v>
      </c>
      <c r="Q20" s="6" t="s">
        <v>5</v>
      </c>
      <c r="R20" s="6" t="s">
        <v>3</v>
      </c>
      <c r="S20" s="6" t="s">
        <v>4</v>
      </c>
      <c r="T20" s="6" t="s">
        <v>5</v>
      </c>
      <c r="U20" s="6" t="s">
        <v>5</v>
      </c>
      <c r="V20" s="6" t="s">
        <v>5</v>
      </c>
      <c r="W20" s="6" t="s">
        <v>5</v>
      </c>
      <c r="X20" s="6" t="s">
        <v>4</v>
      </c>
      <c r="Y20" s="6" t="s">
        <v>4</v>
      </c>
      <c r="Z20" s="6" t="s">
        <v>2</v>
      </c>
      <c r="AA20" s="6" t="s">
        <v>3</v>
      </c>
      <c r="AB20" s="6" t="s">
        <v>4</v>
      </c>
      <c r="AC20" s="6" t="s">
        <v>4</v>
      </c>
      <c r="AD20" s="6" t="s">
        <v>4</v>
      </c>
      <c r="AE20" s="6" t="s">
        <v>4</v>
      </c>
      <c r="AF20" s="6" t="s">
        <v>4</v>
      </c>
      <c r="AG20" s="6" t="s">
        <v>4</v>
      </c>
      <c r="AH20" s="6" t="s">
        <v>3</v>
      </c>
      <c r="AI20" s="6" t="s">
        <v>4</v>
      </c>
      <c r="AJ20" s="6" t="s">
        <v>4</v>
      </c>
      <c r="AK20" s="6" t="s">
        <v>4</v>
      </c>
      <c r="AL20" s="6" t="s">
        <v>4</v>
      </c>
      <c r="AM20" s="6" t="s">
        <v>3</v>
      </c>
      <c r="AN20" s="6" t="s">
        <v>4</v>
      </c>
    </row>
    <row r="21" spans="1:40">
      <c r="A21" s="6">
        <f t="shared" si="0"/>
        <v>20</v>
      </c>
      <c r="B21" s="6" t="s">
        <v>259</v>
      </c>
      <c r="C21" s="6" t="s">
        <v>537</v>
      </c>
      <c r="D21" s="6">
        <v>2</v>
      </c>
      <c r="E21" s="6" t="s">
        <v>4</v>
      </c>
      <c r="F21" s="6" t="s">
        <v>5</v>
      </c>
      <c r="G21" s="6" t="s">
        <v>2</v>
      </c>
      <c r="H21" s="6" t="s">
        <v>5</v>
      </c>
      <c r="I21" s="6" t="s">
        <v>5</v>
      </c>
      <c r="J21" s="6" t="s">
        <v>5</v>
      </c>
      <c r="K21" s="6" t="s">
        <v>5</v>
      </c>
      <c r="L21" s="6" t="s">
        <v>2</v>
      </c>
      <c r="M21" s="6" t="s">
        <v>3</v>
      </c>
      <c r="N21" s="6" t="s">
        <v>2</v>
      </c>
      <c r="O21" s="6" t="s">
        <v>3</v>
      </c>
      <c r="P21" s="6" t="s">
        <v>5</v>
      </c>
      <c r="Q21" s="6" t="s">
        <v>5</v>
      </c>
      <c r="R21" s="6" t="s">
        <v>3</v>
      </c>
      <c r="S21" s="6" t="s">
        <v>3</v>
      </c>
      <c r="T21" s="6" t="s">
        <v>5</v>
      </c>
      <c r="U21" s="6" t="s">
        <v>5</v>
      </c>
      <c r="V21" s="6" t="s">
        <v>5</v>
      </c>
      <c r="W21" s="6" t="s">
        <v>5</v>
      </c>
      <c r="X21" s="6" t="s">
        <v>4</v>
      </c>
      <c r="Y21" s="6" t="s">
        <v>3</v>
      </c>
      <c r="Z21" s="6" t="s">
        <v>2</v>
      </c>
      <c r="AA21" s="6" t="s">
        <v>3</v>
      </c>
      <c r="AB21" s="6" t="s">
        <v>4</v>
      </c>
      <c r="AC21" s="6" t="s">
        <v>4</v>
      </c>
      <c r="AD21" s="6" t="s">
        <v>4</v>
      </c>
      <c r="AE21" s="6" t="s">
        <v>4</v>
      </c>
      <c r="AF21" s="6" t="s">
        <v>4</v>
      </c>
      <c r="AG21" s="6" t="s">
        <v>4</v>
      </c>
      <c r="AH21" s="6" t="s">
        <v>3</v>
      </c>
      <c r="AI21" s="6" t="s">
        <v>4</v>
      </c>
      <c r="AJ21" s="6" t="s">
        <v>3</v>
      </c>
      <c r="AK21" s="6" t="s">
        <v>4</v>
      </c>
      <c r="AL21" s="6" t="s">
        <v>4</v>
      </c>
      <c r="AM21" s="6" t="s">
        <v>3</v>
      </c>
      <c r="AN21" s="6" t="s">
        <v>3</v>
      </c>
    </row>
    <row r="22" spans="1:40">
      <c r="A22" s="6">
        <f t="shared" si="0"/>
        <v>21</v>
      </c>
      <c r="B22" s="6" t="s">
        <v>260</v>
      </c>
      <c r="C22" s="6" t="s">
        <v>537</v>
      </c>
      <c r="D22" s="6">
        <v>2</v>
      </c>
      <c r="E22" s="6" t="s">
        <v>3</v>
      </c>
      <c r="F22" s="6" t="s">
        <v>5</v>
      </c>
      <c r="G22" s="6" t="s">
        <v>3</v>
      </c>
      <c r="H22" s="6" t="s">
        <v>5</v>
      </c>
      <c r="I22" s="6" t="s">
        <v>5</v>
      </c>
      <c r="J22" s="6" t="s">
        <v>5</v>
      </c>
      <c r="K22" s="6" t="s">
        <v>2</v>
      </c>
      <c r="L22" s="6" t="s">
        <v>2</v>
      </c>
      <c r="M22" s="6" t="s">
        <v>2</v>
      </c>
      <c r="N22" s="6" t="s">
        <v>2</v>
      </c>
      <c r="O22" s="6" t="s">
        <v>2</v>
      </c>
      <c r="P22" s="6" t="s">
        <v>2</v>
      </c>
      <c r="Q22" s="6" t="s">
        <v>5</v>
      </c>
      <c r="R22" s="6" t="s">
        <v>3</v>
      </c>
      <c r="S22" s="6" t="s">
        <v>3</v>
      </c>
      <c r="T22" s="6" t="s">
        <v>5</v>
      </c>
      <c r="U22" s="6" t="s">
        <v>5</v>
      </c>
      <c r="V22" s="6" t="s">
        <v>5</v>
      </c>
      <c r="W22" s="6" t="s">
        <v>5</v>
      </c>
      <c r="X22" s="6" t="s">
        <v>4</v>
      </c>
      <c r="Y22" s="6" t="s">
        <v>4</v>
      </c>
      <c r="Z22" s="6" t="s">
        <v>4</v>
      </c>
      <c r="AA22" s="6" t="s">
        <v>3</v>
      </c>
      <c r="AB22" s="6" t="s">
        <v>4</v>
      </c>
      <c r="AC22" s="6" t="s">
        <v>4</v>
      </c>
      <c r="AD22" s="6" t="s">
        <v>4</v>
      </c>
      <c r="AE22" s="6" t="s">
        <v>4</v>
      </c>
      <c r="AF22" s="6" t="s">
        <v>4</v>
      </c>
      <c r="AG22" s="6" t="s">
        <v>4</v>
      </c>
      <c r="AH22" s="6" t="s">
        <v>3</v>
      </c>
      <c r="AI22" s="6" t="s">
        <v>4</v>
      </c>
      <c r="AJ22" s="6" t="s">
        <v>3</v>
      </c>
      <c r="AK22" s="6" t="s">
        <v>4</v>
      </c>
      <c r="AL22" s="6" t="s">
        <v>4</v>
      </c>
      <c r="AM22" s="6" t="s">
        <v>4</v>
      </c>
      <c r="AN22" s="6" t="s">
        <v>3</v>
      </c>
    </row>
    <row r="23" spans="1:40">
      <c r="A23" s="6">
        <f t="shared" si="0"/>
        <v>22</v>
      </c>
      <c r="B23" s="6" t="s">
        <v>261</v>
      </c>
      <c r="C23" s="6" t="s">
        <v>537</v>
      </c>
      <c r="D23" s="6">
        <v>2</v>
      </c>
      <c r="E23" s="6" t="s">
        <v>5</v>
      </c>
      <c r="F23" s="6" t="s">
        <v>3</v>
      </c>
      <c r="G23" s="6" t="s">
        <v>2</v>
      </c>
      <c r="H23" s="6" t="s">
        <v>2</v>
      </c>
      <c r="I23" s="6" t="s">
        <v>5</v>
      </c>
      <c r="J23" s="6" t="s">
        <v>5</v>
      </c>
      <c r="K23" s="6" t="s">
        <v>5</v>
      </c>
      <c r="L23" s="6" t="s">
        <v>2</v>
      </c>
      <c r="M23" s="6" t="s">
        <v>2</v>
      </c>
      <c r="N23" s="6" t="s">
        <v>2</v>
      </c>
      <c r="O23" s="6" t="s">
        <v>3</v>
      </c>
      <c r="P23" s="6" t="s">
        <v>2</v>
      </c>
      <c r="Q23" s="6" t="s">
        <v>5</v>
      </c>
      <c r="R23" s="6" t="s">
        <v>3</v>
      </c>
      <c r="S23" s="6" t="s">
        <v>2</v>
      </c>
      <c r="T23" s="6" t="s">
        <v>5</v>
      </c>
      <c r="U23" s="6" t="s">
        <v>2</v>
      </c>
      <c r="V23" s="6" t="s">
        <v>2</v>
      </c>
      <c r="W23" s="6" t="s">
        <v>2</v>
      </c>
      <c r="X23" s="6" t="s">
        <v>4</v>
      </c>
      <c r="Y23" s="6" t="s">
        <v>4</v>
      </c>
      <c r="Z23" s="6" t="s">
        <v>4</v>
      </c>
      <c r="AA23" s="6" t="s">
        <v>3</v>
      </c>
      <c r="AB23" s="6" t="s">
        <v>4</v>
      </c>
      <c r="AC23" s="6" t="s">
        <v>4</v>
      </c>
      <c r="AD23" s="6" t="s">
        <v>4</v>
      </c>
      <c r="AE23" s="6" t="s">
        <v>4</v>
      </c>
      <c r="AF23" s="6" t="s">
        <v>4</v>
      </c>
      <c r="AG23" s="6" t="s">
        <v>4</v>
      </c>
      <c r="AH23" s="6" t="s">
        <v>3</v>
      </c>
      <c r="AI23" s="6" t="s">
        <v>4</v>
      </c>
      <c r="AJ23" s="6" t="s">
        <v>3</v>
      </c>
      <c r="AK23" s="6" t="s">
        <v>4</v>
      </c>
      <c r="AL23" s="6" t="s">
        <v>4</v>
      </c>
      <c r="AM23" s="6" t="s">
        <v>3</v>
      </c>
      <c r="AN23" s="6" t="s">
        <v>3</v>
      </c>
    </row>
    <row r="24" spans="1:40">
      <c r="A24" s="6">
        <f t="shared" si="0"/>
        <v>23</v>
      </c>
      <c r="B24" s="6" t="s">
        <v>262</v>
      </c>
      <c r="C24" s="6" t="s">
        <v>537</v>
      </c>
      <c r="D24" s="6">
        <v>2</v>
      </c>
      <c r="E24" s="6" t="s">
        <v>4</v>
      </c>
      <c r="F24" s="6" t="s">
        <v>5</v>
      </c>
      <c r="G24" s="6" t="s">
        <v>3</v>
      </c>
      <c r="H24" s="6" t="s">
        <v>5</v>
      </c>
      <c r="I24" s="6" t="s">
        <v>5</v>
      </c>
      <c r="J24" s="6" t="s">
        <v>5</v>
      </c>
      <c r="K24" s="6" t="s">
        <v>5</v>
      </c>
      <c r="L24" s="6" t="s">
        <v>2</v>
      </c>
      <c r="M24" s="6" t="s">
        <v>3</v>
      </c>
      <c r="N24" s="6" t="s">
        <v>2</v>
      </c>
      <c r="O24" s="6" t="s">
        <v>3</v>
      </c>
      <c r="P24" s="6" t="s">
        <v>2</v>
      </c>
      <c r="Q24" s="6" t="s">
        <v>5</v>
      </c>
      <c r="R24" s="6" t="s">
        <v>3</v>
      </c>
      <c r="S24" s="6" t="s">
        <v>3</v>
      </c>
      <c r="T24" s="6" t="s">
        <v>5</v>
      </c>
      <c r="U24" s="6" t="s">
        <v>5</v>
      </c>
      <c r="V24" s="6" t="s">
        <v>5</v>
      </c>
      <c r="W24" s="6" t="s">
        <v>3</v>
      </c>
      <c r="X24" s="6" t="s">
        <v>4</v>
      </c>
      <c r="Y24" s="6" t="s">
        <v>4</v>
      </c>
      <c r="Z24" s="6" t="s">
        <v>2</v>
      </c>
      <c r="AA24" s="6" t="s">
        <v>3</v>
      </c>
      <c r="AB24" s="6" t="s">
        <v>4</v>
      </c>
      <c r="AC24" s="6" t="s">
        <v>4</v>
      </c>
      <c r="AD24" s="6" t="s">
        <v>4</v>
      </c>
      <c r="AE24" s="6" t="s">
        <v>4</v>
      </c>
      <c r="AF24" s="6" t="s">
        <v>4</v>
      </c>
      <c r="AG24" s="6" t="s">
        <v>4</v>
      </c>
      <c r="AH24" s="6" t="s">
        <v>3</v>
      </c>
      <c r="AI24" s="6" t="s">
        <v>4</v>
      </c>
      <c r="AJ24" s="6" t="s">
        <v>4</v>
      </c>
      <c r="AK24" s="6" t="s">
        <v>4</v>
      </c>
      <c r="AL24" s="6" t="s">
        <v>4</v>
      </c>
      <c r="AM24" s="6" t="s">
        <v>4</v>
      </c>
      <c r="AN24" s="6" t="s">
        <v>3</v>
      </c>
    </row>
    <row r="25" spans="1:40">
      <c r="A25" s="6">
        <f t="shared" si="0"/>
        <v>24</v>
      </c>
      <c r="B25" s="6" t="s">
        <v>461</v>
      </c>
      <c r="C25" s="6" t="s">
        <v>537</v>
      </c>
      <c r="D25" s="6">
        <v>2</v>
      </c>
      <c r="E25" s="6" t="s">
        <v>5</v>
      </c>
      <c r="F25" s="6" t="s">
        <v>5</v>
      </c>
      <c r="G25" s="6" t="s">
        <v>2</v>
      </c>
      <c r="H25" s="6" t="s">
        <v>2</v>
      </c>
      <c r="I25" s="6" t="s">
        <v>5</v>
      </c>
      <c r="J25" s="6" t="s">
        <v>3</v>
      </c>
      <c r="K25" s="6" t="s">
        <v>2</v>
      </c>
      <c r="L25" s="6" t="s">
        <v>2</v>
      </c>
      <c r="M25" s="6" t="s">
        <v>3</v>
      </c>
      <c r="N25" s="6" t="s">
        <v>3</v>
      </c>
      <c r="O25" s="6" t="s">
        <v>4</v>
      </c>
      <c r="P25" s="6" t="s">
        <v>5</v>
      </c>
      <c r="Q25" s="6" t="s">
        <v>5</v>
      </c>
      <c r="R25" s="6" t="s">
        <v>4</v>
      </c>
      <c r="S25" s="6" t="s">
        <v>5</v>
      </c>
      <c r="T25" s="6" t="s">
        <v>5</v>
      </c>
      <c r="U25" s="6" t="s">
        <v>2</v>
      </c>
      <c r="V25" s="6" t="s">
        <v>5</v>
      </c>
      <c r="W25" s="6" t="s">
        <v>5</v>
      </c>
      <c r="X25" s="6" t="s">
        <v>3</v>
      </c>
      <c r="Y25" s="6" t="s">
        <v>4</v>
      </c>
      <c r="Z25" s="6" t="s">
        <v>2</v>
      </c>
      <c r="AA25" s="6" t="s">
        <v>3</v>
      </c>
      <c r="AB25" s="6" t="s">
        <v>3</v>
      </c>
      <c r="AC25" s="6" t="s">
        <v>4</v>
      </c>
      <c r="AD25" s="6" t="s">
        <v>4</v>
      </c>
      <c r="AE25" s="6" t="s">
        <v>4</v>
      </c>
      <c r="AF25" s="6" t="s">
        <v>4</v>
      </c>
      <c r="AG25" s="6" t="s">
        <v>4</v>
      </c>
      <c r="AH25" s="6" t="s">
        <v>3</v>
      </c>
      <c r="AI25" s="6" t="s">
        <v>4</v>
      </c>
      <c r="AJ25" s="6" t="s">
        <v>3</v>
      </c>
      <c r="AK25" s="6" t="s">
        <v>4</v>
      </c>
      <c r="AL25" s="6" t="s">
        <v>4</v>
      </c>
      <c r="AM25" s="6" t="s">
        <v>3</v>
      </c>
      <c r="AN25" s="6" t="s">
        <v>3</v>
      </c>
    </row>
    <row r="26" spans="1:40">
      <c r="A26" s="6">
        <f t="shared" si="0"/>
        <v>25</v>
      </c>
      <c r="B26" s="6" t="s">
        <v>462</v>
      </c>
      <c r="C26" s="6" t="s">
        <v>537</v>
      </c>
      <c r="D26" s="6">
        <v>2</v>
      </c>
      <c r="E26" s="6" t="s">
        <v>5</v>
      </c>
      <c r="F26" s="6" t="s">
        <v>3</v>
      </c>
      <c r="G26" s="6" t="s">
        <v>5</v>
      </c>
      <c r="H26" s="6" t="s">
        <v>5</v>
      </c>
      <c r="I26" s="6" t="s">
        <v>5</v>
      </c>
      <c r="J26" s="6" t="s">
        <v>5</v>
      </c>
      <c r="K26" s="6" t="s">
        <v>5</v>
      </c>
      <c r="L26" s="6" t="s">
        <v>2</v>
      </c>
      <c r="M26" s="6" t="s">
        <v>3</v>
      </c>
      <c r="N26" s="6" t="s">
        <v>3</v>
      </c>
      <c r="O26" s="6" t="s">
        <v>3</v>
      </c>
      <c r="P26" s="6" t="s">
        <v>5</v>
      </c>
      <c r="Q26" s="6" t="s">
        <v>5</v>
      </c>
      <c r="R26" s="6" t="s">
        <v>3</v>
      </c>
      <c r="S26" s="6" t="s">
        <v>5</v>
      </c>
      <c r="T26" s="6" t="s">
        <v>5</v>
      </c>
      <c r="U26" s="6" t="s">
        <v>5</v>
      </c>
      <c r="V26" s="6" t="s">
        <v>5</v>
      </c>
      <c r="W26" s="6" t="s">
        <v>5</v>
      </c>
      <c r="X26" s="6" t="s">
        <v>3</v>
      </c>
      <c r="Y26" s="6" t="s">
        <v>4</v>
      </c>
      <c r="Z26" s="6" t="s">
        <v>4</v>
      </c>
      <c r="AA26" s="6" t="s">
        <v>3</v>
      </c>
      <c r="AB26" s="6" t="s">
        <v>3</v>
      </c>
      <c r="AC26" s="6" t="s">
        <v>3</v>
      </c>
      <c r="AD26" s="6" t="s">
        <v>4</v>
      </c>
      <c r="AE26" s="6" t="s">
        <v>4</v>
      </c>
      <c r="AF26" s="6" t="s">
        <v>4</v>
      </c>
      <c r="AG26" s="6" t="s">
        <v>4</v>
      </c>
      <c r="AH26" s="6" t="s">
        <v>3</v>
      </c>
      <c r="AI26" s="6" t="s">
        <v>4</v>
      </c>
      <c r="AJ26" s="6" t="s">
        <v>4</v>
      </c>
      <c r="AK26" s="6" t="s">
        <v>3</v>
      </c>
      <c r="AL26" s="6" t="s">
        <v>4</v>
      </c>
      <c r="AM26" s="6" t="s">
        <v>4</v>
      </c>
      <c r="AN26" s="6" t="s">
        <v>3</v>
      </c>
    </row>
    <row r="27" spans="1:40">
      <c r="A27" s="6">
        <f t="shared" si="0"/>
        <v>26</v>
      </c>
      <c r="B27" s="6" t="s">
        <v>491</v>
      </c>
      <c r="C27" s="6" t="s">
        <v>537</v>
      </c>
      <c r="D27" s="6">
        <v>2</v>
      </c>
      <c r="E27" s="6" t="s">
        <v>3</v>
      </c>
      <c r="F27" s="6" t="s">
        <v>3</v>
      </c>
      <c r="G27" s="6" t="s">
        <v>3</v>
      </c>
      <c r="H27" s="6" t="s">
        <v>2</v>
      </c>
      <c r="I27" s="6" t="s">
        <v>5</v>
      </c>
      <c r="J27" s="6" t="s">
        <v>5</v>
      </c>
      <c r="K27" s="6" t="s">
        <v>2</v>
      </c>
      <c r="L27" s="6" t="s">
        <v>2</v>
      </c>
      <c r="M27" s="6" t="s">
        <v>2</v>
      </c>
      <c r="N27" s="6" t="s">
        <v>4</v>
      </c>
      <c r="O27" s="6" t="s">
        <v>4</v>
      </c>
      <c r="P27" s="6" t="s">
        <v>4</v>
      </c>
      <c r="Q27" s="6" t="s">
        <v>5</v>
      </c>
      <c r="R27" s="6" t="s">
        <v>4</v>
      </c>
      <c r="S27" s="6" t="s">
        <v>5</v>
      </c>
      <c r="T27" s="6" t="s">
        <v>5</v>
      </c>
      <c r="U27" s="6" t="s">
        <v>5</v>
      </c>
      <c r="V27" s="6" t="s">
        <v>5</v>
      </c>
      <c r="W27" s="6" t="s">
        <v>5</v>
      </c>
      <c r="X27" s="6" t="s">
        <v>4</v>
      </c>
      <c r="Y27" s="6" t="s">
        <v>3</v>
      </c>
      <c r="Z27" s="6" t="s">
        <v>2</v>
      </c>
      <c r="AA27" s="6" t="s">
        <v>3</v>
      </c>
      <c r="AB27" s="6" t="s">
        <v>4</v>
      </c>
      <c r="AC27" s="6" t="s">
        <v>4</v>
      </c>
      <c r="AD27" s="6" t="s">
        <v>4</v>
      </c>
      <c r="AE27" s="6" t="s">
        <v>4</v>
      </c>
      <c r="AF27" s="6" t="s">
        <v>4</v>
      </c>
      <c r="AG27" s="6" t="s">
        <v>4</v>
      </c>
      <c r="AH27" s="6" t="s">
        <v>4</v>
      </c>
      <c r="AI27" s="6" t="s">
        <v>4</v>
      </c>
      <c r="AJ27" s="6" t="s">
        <v>3</v>
      </c>
      <c r="AK27" s="6" t="s">
        <v>4</v>
      </c>
      <c r="AL27" s="6" t="s">
        <v>4</v>
      </c>
      <c r="AM27" s="6" t="s">
        <v>4</v>
      </c>
      <c r="AN27" s="6" t="s">
        <v>3</v>
      </c>
    </row>
    <row r="28" spans="1:40">
      <c r="A28" s="6">
        <f t="shared" si="0"/>
        <v>27</v>
      </c>
      <c r="B28" s="6" t="s">
        <v>17</v>
      </c>
      <c r="C28" s="6" t="s">
        <v>537</v>
      </c>
      <c r="D28" s="6">
        <v>3</v>
      </c>
      <c r="E28" s="6" t="s">
        <v>5</v>
      </c>
      <c r="F28" s="6" t="s">
        <v>3</v>
      </c>
      <c r="G28" s="6" t="s">
        <v>3</v>
      </c>
      <c r="H28" s="6" t="s">
        <v>5</v>
      </c>
      <c r="I28" s="6" t="s">
        <v>5</v>
      </c>
      <c r="J28" s="6" t="s">
        <v>5</v>
      </c>
      <c r="K28" s="6" t="s">
        <v>2</v>
      </c>
      <c r="L28" s="6" t="s">
        <v>2</v>
      </c>
      <c r="M28" s="6" t="s">
        <v>3</v>
      </c>
      <c r="N28" s="6" t="s">
        <v>3</v>
      </c>
      <c r="O28" s="6" t="s">
        <v>4</v>
      </c>
      <c r="P28" s="6" t="s">
        <v>5</v>
      </c>
      <c r="Q28" s="6" t="s">
        <v>2</v>
      </c>
      <c r="R28" s="6" t="s">
        <v>3</v>
      </c>
      <c r="S28" s="6" t="s">
        <v>2</v>
      </c>
      <c r="T28" s="6" t="s">
        <v>5</v>
      </c>
      <c r="U28" s="6" t="s">
        <v>5</v>
      </c>
      <c r="V28" s="6" t="s">
        <v>5</v>
      </c>
      <c r="W28" s="6" t="s">
        <v>5</v>
      </c>
      <c r="X28" s="6" t="s">
        <v>4</v>
      </c>
      <c r="Y28" s="6" t="s">
        <v>3</v>
      </c>
      <c r="Z28" s="6" t="s">
        <v>3</v>
      </c>
      <c r="AA28" s="6" t="s">
        <v>3</v>
      </c>
      <c r="AB28" s="6" t="s">
        <v>4</v>
      </c>
      <c r="AC28" s="6" t="s">
        <v>4</v>
      </c>
      <c r="AD28" s="6" t="s">
        <v>4</v>
      </c>
      <c r="AE28" s="6" t="s">
        <v>4</v>
      </c>
      <c r="AF28" s="6" t="s">
        <v>4</v>
      </c>
      <c r="AG28" s="6" t="s">
        <v>4</v>
      </c>
      <c r="AH28" s="6" t="s">
        <v>3</v>
      </c>
      <c r="AI28" s="6" t="s">
        <v>4</v>
      </c>
      <c r="AJ28" s="6" t="s">
        <v>3</v>
      </c>
      <c r="AK28" s="6" t="s">
        <v>4</v>
      </c>
      <c r="AL28" s="6" t="s">
        <v>4</v>
      </c>
      <c r="AM28" s="6" t="s">
        <v>4</v>
      </c>
      <c r="AN28" s="6" t="s">
        <v>3</v>
      </c>
    </row>
    <row r="29" spans="1:40">
      <c r="A29" s="6">
        <f t="shared" si="0"/>
        <v>28</v>
      </c>
      <c r="B29" s="6" t="s">
        <v>18</v>
      </c>
      <c r="C29" s="6" t="s">
        <v>537</v>
      </c>
      <c r="D29" s="6">
        <v>3</v>
      </c>
      <c r="E29" s="6" t="s">
        <v>5</v>
      </c>
      <c r="F29" s="6" t="s">
        <v>4</v>
      </c>
      <c r="G29" s="6" t="s">
        <v>4</v>
      </c>
      <c r="H29" s="6" t="s">
        <v>3</v>
      </c>
      <c r="I29" s="6" t="s">
        <v>5</v>
      </c>
      <c r="J29" s="6" t="s">
        <v>5</v>
      </c>
      <c r="K29" s="6" t="s">
        <v>5</v>
      </c>
      <c r="L29" s="6" t="s">
        <v>2</v>
      </c>
      <c r="M29" s="6" t="s">
        <v>2</v>
      </c>
      <c r="N29" s="6" t="s">
        <v>3</v>
      </c>
      <c r="O29" s="6" t="s">
        <v>4</v>
      </c>
      <c r="P29" s="6" t="s">
        <v>2</v>
      </c>
      <c r="Q29" s="6" t="s">
        <v>2</v>
      </c>
      <c r="R29" s="6" t="s">
        <v>2</v>
      </c>
      <c r="S29" s="6" t="s">
        <v>5</v>
      </c>
      <c r="T29" s="6" t="s">
        <v>5</v>
      </c>
      <c r="U29" s="6" t="s">
        <v>3</v>
      </c>
      <c r="V29" s="6" t="s">
        <v>3</v>
      </c>
      <c r="W29" s="6" t="s">
        <v>2</v>
      </c>
      <c r="X29" s="6" t="s">
        <v>4</v>
      </c>
      <c r="Y29" s="6" t="s">
        <v>5</v>
      </c>
      <c r="Z29" s="6" t="s">
        <v>3</v>
      </c>
      <c r="AA29" s="6" t="s">
        <v>3</v>
      </c>
      <c r="AB29" s="6" t="s">
        <v>3</v>
      </c>
      <c r="AC29" s="6" t="s">
        <v>3</v>
      </c>
      <c r="AD29" s="6" t="s">
        <v>4</v>
      </c>
      <c r="AE29" s="6" t="s">
        <v>4</v>
      </c>
      <c r="AF29" s="6" t="s">
        <v>4</v>
      </c>
      <c r="AG29" s="6" t="s">
        <v>4</v>
      </c>
      <c r="AH29" s="6" t="s">
        <v>3</v>
      </c>
      <c r="AI29" s="6" t="s">
        <v>4</v>
      </c>
      <c r="AJ29" s="6" t="s">
        <v>4</v>
      </c>
      <c r="AK29" s="6" t="s">
        <v>4</v>
      </c>
      <c r="AL29" s="6" t="s">
        <v>4</v>
      </c>
      <c r="AM29" s="6" t="s">
        <v>4</v>
      </c>
      <c r="AN29" s="6" t="s">
        <v>3</v>
      </c>
    </row>
    <row r="30" spans="1:40">
      <c r="A30" s="6">
        <f t="shared" si="0"/>
        <v>29</v>
      </c>
      <c r="B30" s="6" t="s">
        <v>19</v>
      </c>
      <c r="C30" s="6" t="s">
        <v>537</v>
      </c>
      <c r="D30" s="6">
        <v>3</v>
      </c>
      <c r="E30" s="6" t="s">
        <v>5</v>
      </c>
      <c r="F30" s="6" t="s">
        <v>5</v>
      </c>
      <c r="G30" s="6" t="s">
        <v>4</v>
      </c>
      <c r="H30" s="6" t="s">
        <v>5</v>
      </c>
      <c r="I30" s="6" t="s">
        <v>5</v>
      </c>
      <c r="J30" s="6" t="s">
        <v>2</v>
      </c>
      <c r="K30" s="6" t="s">
        <v>5</v>
      </c>
      <c r="L30" s="6" t="s">
        <v>2</v>
      </c>
      <c r="M30" s="6" t="s">
        <v>3</v>
      </c>
      <c r="N30" s="6" t="s">
        <v>4</v>
      </c>
      <c r="O30" s="6" t="s">
        <v>4</v>
      </c>
      <c r="P30" s="6" t="s">
        <v>2</v>
      </c>
      <c r="Q30" s="6" t="s">
        <v>5</v>
      </c>
      <c r="R30" s="6" t="s">
        <v>5</v>
      </c>
      <c r="S30" s="6" t="s">
        <v>5</v>
      </c>
      <c r="T30" s="6" t="s">
        <v>5</v>
      </c>
      <c r="U30" s="6" t="s">
        <v>5</v>
      </c>
      <c r="V30" s="6" t="s">
        <v>5</v>
      </c>
      <c r="W30" s="6" t="s">
        <v>4</v>
      </c>
      <c r="X30" s="6" t="s">
        <v>4</v>
      </c>
      <c r="Y30" s="6" t="s">
        <v>4</v>
      </c>
      <c r="Z30" s="6" t="s">
        <v>5</v>
      </c>
      <c r="AA30" s="6" t="s">
        <v>3</v>
      </c>
      <c r="AB30" s="6" t="s">
        <v>4</v>
      </c>
      <c r="AC30" s="6" t="s">
        <v>4</v>
      </c>
      <c r="AD30" s="6" t="s">
        <v>4</v>
      </c>
      <c r="AE30" s="6" t="s">
        <v>4</v>
      </c>
      <c r="AF30" s="6" t="s">
        <v>4</v>
      </c>
      <c r="AG30" s="6" t="s">
        <v>4</v>
      </c>
      <c r="AH30" s="6" t="s">
        <v>3</v>
      </c>
      <c r="AI30" s="6" t="s">
        <v>4</v>
      </c>
      <c r="AJ30" s="6" t="s">
        <v>3</v>
      </c>
      <c r="AK30" s="6" t="s">
        <v>4</v>
      </c>
      <c r="AL30" s="6" t="s">
        <v>4</v>
      </c>
      <c r="AM30" s="6" t="s">
        <v>4</v>
      </c>
      <c r="AN30" s="6" t="s">
        <v>3</v>
      </c>
    </row>
    <row r="31" spans="1:40">
      <c r="A31" s="6">
        <f t="shared" si="0"/>
        <v>30</v>
      </c>
      <c r="B31" s="6" t="s">
        <v>20</v>
      </c>
      <c r="C31" s="6" t="s">
        <v>537</v>
      </c>
      <c r="D31" s="6">
        <v>3</v>
      </c>
      <c r="E31" s="6" t="s">
        <v>2</v>
      </c>
      <c r="F31" s="6" t="s">
        <v>3</v>
      </c>
      <c r="G31" s="6" t="s">
        <v>3</v>
      </c>
      <c r="H31" s="6" t="s">
        <v>2</v>
      </c>
      <c r="I31" s="6" t="s">
        <v>5</v>
      </c>
      <c r="J31" s="6" t="s">
        <v>2</v>
      </c>
      <c r="K31" s="6" t="s">
        <v>5</v>
      </c>
      <c r="L31" s="6" t="s">
        <v>2</v>
      </c>
      <c r="M31" s="6" t="s">
        <v>3</v>
      </c>
      <c r="N31" s="6" t="s">
        <v>4</v>
      </c>
      <c r="O31" s="6" t="s">
        <v>4</v>
      </c>
      <c r="P31" s="6" t="s">
        <v>5</v>
      </c>
      <c r="Q31" s="6" t="s">
        <v>5</v>
      </c>
      <c r="R31" s="6" t="s">
        <v>4</v>
      </c>
      <c r="S31" s="6" t="s">
        <v>5</v>
      </c>
      <c r="T31" s="6" t="s">
        <v>5</v>
      </c>
      <c r="U31" s="6" t="s">
        <v>5</v>
      </c>
      <c r="V31" s="6" t="s">
        <v>5</v>
      </c>
      <c r="W31" s="6" t="s">
        <v>5</v>
      </c>
      <c r="X31" s="6" t="s">
        <v>4</v>
      </c>
      <c r="Y31" s="6" t="s">
        <v>4</v>
      </c>
      <c r="Z31" s="6" t="s">
        <v>4</v>
      </c>
      <c r="AA31" s="6" t="s">
        <v>4</v>
      </c>
      <c r="AB31" s="6" t="s">
        <v>4</v>
      </c>
      <c r="AC31" s="6" t="s">
        <v>4</v>
      </c>
      <c r="AD31" s="6" t="s">
        <v>4</v>
      </c>
      <c r="AE31" s="6" t="s">
        <v>4</v>
      </c>
      <c r="AF31" s="6" t="s">
        <v>4</v>
      </c>
      <c r="AG31" s="6" t="s">
        <v>4</v>
      </c>
      <c r="AH31" s="6" t="s">
        <v>4</v>
      </c>
      <c r="AI31" s="6" t="s">
        <v>4</v>
      </c>
      <c r="AJ31" s="6" t="s">
        <v>3</v>
      </c>
      <c r="AK31" s="6" t="s">
        <v>4</v>
      </c>
      <c r="AL31" s="6" t="s">
        <v>4</v>
      </c>
      <c r="AM31" s="6" t="s">
        <v>3</v>
      </c>
      <c r="AN31" s="6" t="s">
        <v>4</v>
      </c>
    </row>
    <row r="32" spans="1:40">
      <c r="A32" s="6">
        <f t="shared" si="0"/>
        <v>31</v>
      </c>
      <c r="B32" s="6" t="s">
        <v>21</v>
      </c>
      <c r="C32" s="6" t="s">
        <v>537</v>
      </c>
      <c r="D32" s="6">
        <v>3</v>
      </c>
      <c r="E32" s="6" t="s">
        <v>2</v>
      </c>
      <c r="F32" s="6" t="s">
        <v>5</v>
      </c>
      <c r="G32" s="6" t="s">
        <v>3</v>
      </c>
      <c r="H32" s="6" t="s">
        <v>5</v>
      </c>
      <c r="I32" s="6" t="s">
        <v>5</v>
      </c>
      <c r="J32" s="6" t="s">
        <v>5</v>
      </c>
      <c r="K32" s="6" t="s">
        <v>5</v>
      </c>
      <c r="L32" s="6" t="s">
        <v>2</v>
      </c>
      <c r="M32" s="6" t="s">
        <v>2</v>
      </c>
      <c r="N32" s="6" t="s">
        <v>3</v>
      </c>
      <c r="O32" s="6" t="s">
        <v>4</v>
      </c>
      <c r="P32" s="6" t="s">
        <v>2</v>
      </c>
      <c r="Q32" s="6" t="s">
        <v>5</v>
      </c>
      <c r="R32" s="6" t="s">
        <v>3</v>
      </c>
      <c r="S32" s="6" t="s">
        <v>3</v>
      </c>
      <c r="T32" s="6" t="s">
        <v>5</v>
      </c>
      <c r="U32" s="6" t="s">
        <v>5</v>
      </c>
      <c r="V32" s="6" t="s">
        <v>5</v>
      </c>
      <c r="W32" s="6" t="s">
        <v>5</v>
      </c>
      <c r="X32" s="6" t="s">
        <v>4</v>
      </c>
      <c r="Y32" s="6" t="s">
        <v>2</v>
      </c>
      <c r="Z32" s="6" t="s">
        <v>2</v>
      </c>
      <c r="AA32" s="6" t="s">
        <v>3</v>
      </c>
      <c r="AB32" s="6" t="s">
        <v>4</v>
      </c>
      <c r="AC32" s="6" t="s">
        <v>4</v>
      </c>
      <c r="AD32" s="6" t="s">
        <v>4</v>
      </c>
      <c r="AE32" s="6" t="s">
        <v>4</v>
      </c>
      <c r="AF32" s="6" t="s">
        <v>4</v>
      </c>
      <c r="AG32" s="6" t="s">
        <v>4</v>
      </c>
      <c r="AH32" s="6" t="s">
        <v>3</v>
      </c>
      <c r="AI32" s="6" t="s">
        <v>4</v>
      </c>
      <c r="AJ32" s="6" t="s">
        <v>3</v>
      </c>
      <c r="AK32" s="6" t="s">
        <v>4</v>
      </c>
      <c r="AL32" s="6" t="s">
        <v>4</v>
      </c>
      <c r="AM32" s="6" t="s">
        <v>4</v>
      </c>
      <c r="AN32" s="6" t="s">
        <v>3</v>
      </c>
    </row>
    <row r="33" spans="1:40">
      <c r="A33" s="6">
        <f t="shared" si="0"/>
        <v>32</v>
      </c>
      <c r="B33" s="6" t="s">
        <v>22</v>
      </c>
      <c r="C33" s="6" t="s">
        <v>537</v>
      </c>
      <c r="D33" s="6">
        <v>3</v>
      </c>
      <c r="E33" s="6" t="s">
        <v>4</v>
      </c>
      <c r="F33" s="6" t="s">
        <v>5</v>
      </c>
      <c r="G33" s="6" t="s">
        <v>3</v>
      </c>
      <c r="H33" s="6" t="s">
        <v>5</v>
      </c>
      <c r="I33" s="6" t="s">
        <v>5</v>
      </c>
      <c r="J33" s="6" t="s">
        <v>5</v>
      </c>
      <c r="K33" s="6" t="s">
        <v>5</v>
      </c>
      <c r="L33" s="6" t="s">
        <v>2</v>
      </c>
      <c r="M33" s="6" t="s">
        <v>3</v>
      </c>
      <c r="N33" s="6" t="s">
        <v>2</v>
      </c>
      <c r="O33" s="6" t="s">
        <v>2</v>
      </c>
      <c r="P33" s="6" t="s">
        <v>5</v>
      </c>
      <c r="Q33" s="6" t="s">
        <v>3</v>
      </c>
      <c r="R33" s="6" t="s">
        <v>3</v>
      </c>
      <c r="S33" s="6" t="s">
        <v>2</v>
      </c>
      <c r="T33" s="6" t="s">
        <v>5</v>
      </c>
      <c r="U33" s="6" t="s">
        <v>2</v>
      </c>
      <c r="V33" s="6" t="s">
        <v>2</v>
      </c>
      <c r="W33" s="6" t="s">
        <v>5</v>
      </c>
      <c r="X33" s="6" t="s">
        <v>4</v>
      </c>
      <c r="Y33" s="6" t="s">
        <v>3</v>
      </c>
      <c r="Z33" s="6" t="s">
        <v>2</v>
      </c>
      <c r="AA33" s="6" t="s">
        <v>3</v>
      </c>
      <c r="AB33" s="6" t="s">
        <v>4</v>
      </c>
      <c r="AC33" s="6" t="s">
        <v>4</v>
      </c>
      <c r="AD33" s="6" t="s">
        <v>4</v>
      </c>
      <c r="AE33" s="6" t="s">
        <v>4</v>
      </c>
      <c r="AF33" s="6" t="s">
        <v>4</v>
      </c>
      <c r="AG33" s="6" t="s">
        <v>4</v>
      </c>
      <c r="AH33" s="6" t="s">
        <v>3</v>
      </c>
      <c r="AI33" s="6" t="s">
        <v>4</v>
      </c>
      <c r="AJ33" s="6" t="s">
        <v>3</v>
      </c>
      <c r="AK33" s="6" t="s">
        <v>4</v>
      </c>
      <c r="AL33" s="6" t="s">
        <v>4</v>
      </c>
      <c r="AM33" s="6" t="s">
        <v>3</v>
      </c>
      <c r="AN33" s="6" t="s">
        <v>3</v>
      </c>
    </row>
    <row r="34" spans="1:40">
      <c r="A34" s="6">
        <f t="shared" si="0"/>
        <v>33</v>
      </c>
      <c r="B34" s="6" t="s">
        <v>263</v>
      </c>
      <c r="C34" s="6" t="s">
        <v>537</v>
      </c>
      <c r="D34" s="6">
        <v>3</v>
      </c>
      <c r="E34" s="6" t="s">
        <v>2</v>
      </c>
      <c r="F34" s="6" t="s">
        <v>5</v>
      </c>
      <c r="G34" s="6" t="s">
        <v>3</v>
      </c>
      <c r="H34" s="6" t="s">
        <v>5</v>
      </c>
      <c r="I34" s="6" t="s">
        <v>5</v>
      </c>
      <c r="J34" s="6" t="s">
        <v>5</v>
      </c>
      <c r="K34" s="6" t="s">
        <v>5</v>
      </c>
      <c r="L34" s="6" t="s">
        <v>2</v>
      </c>
      <c r="M34" s="6" t="s">
        <v>2</v>
      </c>
      <c r="N34" s="6" t="s">
        <v>2</v>
      </c>
      <c r="O34" s="6" t="s">
        <v>3</v>
      </c>
      <c r="P34" s="6" t="s">
        <v>5</v>
      </c>
      <c r="Q34" s="6" t="s">
        <v>5</v>
      </c>
      <c r="R34" s="6" t="s">
        <v>3</v>
      </c>
      <c r="S34" s="6" t="s">
        <v>2</v>
      </c>
      <c r="T34" s="6" t="s">
        <v>2</v>
      </c>
      <c r="U34" s="6" t="s">
        <v>5</v>
      </c>
      <c r="V34" s="6" t="s">
        <v>5</v>
      </c>
      <c r="W34" s="6" t="s">
        <v>2</v>
      </c>
      <c r="X34" s="6" t="s">
        <v>4</v>
      </c>
      <c r="Y34" s="6" t="s">
        <v>2</v>
      </c>
      <c r="Z34" s="6" t="s">
        <v>2</v>
      </c>
      <c r="AA34" s="6" t="s">
        <v>3</v>
      </c>
      <c r="AB34" s="6" t="s">
        <v>4</v>
      </c>
      <c r="AC34" s="6" t="s">
        <v>4</v>
      </c>
      <c r="AD34" s="6" t="s">
        <v>4</v>
      </c>
      <c r="AE34" s="6" t="s">
        <v>4</v>
      </c>
      <c r="AF34" s="6" t="s">
        <v>4</v>
      </c>
      <c r="AG34" s="6" t="s">
        <v>4</v>
      </c>
      <c r="AH34" s="6" t="s">
        <v>3</v>
      </c>
      <c r="AI34" s="6" t="s">
        <v>4</v>
      </c>
      <c r="AJ34" s="6" t="s">
        <v>3</v>
      </c>
      <c r="AK34" s="6" t="s">
        <v>4</v>
      </c>
      <c r="AL34" s="6" t="s">
        <v>4</v>
      </c>
      <c r="AM34" s="6" t="s">
        <v>4</v>
      </c>
      <c r="AN34" s="6" t="s">
        <v>3</v>
      </c>
    </row>
    <row r="35" spans="1:40">
      <c r="A35" s="6">
        <f t="shared" si="0"/>
        <v>34</v>
      </c>
      <c r="B35" s="6" t="s">
        <v>264</v>
      </c>
      <c r="C35" s="6" t="s">
        <v>537</v>
      </c>
      <c r="D35" s="6">
        <v>3</v>
      </c>
      <c r="E35" s="6" t="s">
        <v>5</v>
      </c>
      <c r="F35" s="6" t="s">
        <v>3</v>
      </c>
      <c r="G35" s="6" t="s">
        <v>3</v>
      </c>
      <c r="H35" s="6" t="s">
        <v>5</v>
      </c>
      <c r="I35" s="6" t="s">
        <v>5</v>
      </c>
      <c r="J35" s="6" t="s">
        <v>5</v>
      </c>
      <c r="K35" s="6" t="s">
        <v>5</v>
      </c>
      <c r="L35" s="6" t="s">
        <v>2</v>
      </c>
      <c r="M35" s="6" t="s">
        <v>2</v>
      </c>
      <c r="N35" s="6" t="s">
        <v>3</v>
      </c>
      <c r="O35" s="6" t="s">
        <v>3</v>
      </c>
      <c r="P35" s="6" t="s">
        <v>2</v>
      </c>
      <c r="Q35" s="6" t="s">
        <v>5</v>
      </c>
      <c r="R35" s="6" t="s">
        <v>3</v>
      </c>
      <c r="S35" s="6" t="s">
        <v>3</v>
      </c>
      <c r="T35" s="6" t="s">
        <v>2</v>
      </c>
      <c r="U35" s="6" t="s">
        <v>5</v>
      </c>
      <c r="V35" s="6" t="s">
        <v>5</v>
      </c>
      <c r="W35" s="6" t="s">
        <v>5</v>
      </c>
      <c r="X35" s="6" t="s">
        <v>4</v>
      </c>
      <c r="Y35" s="6" t="s">
        <v>3</v>
      </c>
      <c r="Z35" s="6" t="s">
        <v>2</v>
      </c>
      <c r="AA35" s="6" t="s">
        <v>3</v>
      </c>
      <c r="AB35" s="6" t="s">
        <v>4</v>
      </c>
      <c r="AC35" s="6" t="s">
        <v>4</v>
      </c>
      <c r="AD35" s="6" t="s">
        <v>4</v>
      </c>
      <c r="AE35" s="6" t="s">
        <v>4</v>
      </c>
      <c r="AF35" s="6" t="s">
        <v>4</v>
      </c>
      <c r="AG35" s="6" t="s">
        <v>4</v>
      </c>
      <c r="AH35" s="6" t="s">
        <v>3</v>
      </c>
      <c r="AI35" s="6" t="s">
        <v>4</v>
      </c>
      <c r="AJ35" s="6" t="s">
        <v>4</v>
      </c>
      <c r="AK35" s="6" t="s">
        <v>4</v>
      </c>
      <c r="AL35" s="6" t="s">
        <v>4</v>
      </c>
      <c r="AM35" s="6" t="s">
        <v>3</v>
      </c>
      <c r="AN35" s="6" t="s">
        <v>3</v>
      </c>
    </row>
    <row r="36" spans="1:40">
      <c r="A36" s="6">
        <f t="shared" si="0"/>
        <v>35</v>
      </c>
      <c r="B36" s="6" t="s">
        <v>265</v>
      </c>
      <c r="C36" s="6" t="s">
        <v>537</v>
      </c>
      <c r="D36" s="6">
        <v>3</v>
      </c>
      <c r="E36" s="6" t="s">
        <v>5</v>
      </c>
      <c r="F36" s="6" t="s">
        <v>3</v>
      </c>
      <c r="G36" s="6" t="s">
        <v>3</v>
      </c>
      <c r="H36" s="6" t="s">
        <v>2</v>
      </c>
      <c r="I36" s="6" t="s">
        <v>5</v>
      </c>
      <c r="J36" s="6" t="s">
        <v>5</v>
      </c>
      <c r="K36" s="6" t="s">
        <v>5</v>
      </c>
      <c r="L36" s="6" t="s">
        <v>2</v>
      </c>
      <c r="M36" s="6" t="s">
        <v>3</v>
      </c>
      <c r="N36" s="6" t="s">
        <v>3</v>
      </c>
      <c r="O36" s="6" t="s">
        <v>3</v>
      </c>
      <c r="P36" s="6" t="s">
        <v>2</v>
      </c>
      <c r="Q36" s="6" t="s">
        <v>5</v>
      </c>
      <c r="R36" s="6" t="s">
        <v>3</v>
      </c>
      <c r="S36" s="6" t="s">
        <v>3</v>
      </c>
      <c r="T36" s="6" t="s">
        <v>5</v>
      </c>
      <c r="U36" s="6" t="s">
        <v>5</v>
      </c>
      <c r="V36" s="6" t="s">
        <v>5</v>
      </c>
      <c r="W36" s="6" t="s">
        <v>5</v>
      </c>
      <c r="X36" s="6" t="s">
        <v>4</v>
      </c>
      <c r="Y36" s="6" t="s">
        <v>3</v>
      </c>
      <c r="Z36" s="6" t="s">
        <v>2</v>
      </c>
      <c r="AA36" s="6" t="s">
        <v>3</v>
      </c>
      <c r="AB36" s="6" t="s">
        <v>4</v>
      </c>
      <c r="AC36" s="6" t="s">
        <v>4</v>
      </c>
      <c r="AD36" s="6" t="s">
        <v>4</v>
      </c>
      <c r="AE36" s="6" t="s">
        <v>4</v>
      </c>
      <c r="AF36" s="6" t="s">
        <v>4</v>
      </c>
      <c r="AG36" s="6" t="s">
        <v>4</v>
      </c>
      <c r="AH36" s="6" t="s">
        <v>3</v>
      </c>
      <c r="AI36" s="6" t="s">
        <v>4</v>
      </c>
      <c r="AJ36" s="6" t="s">
        <v>3</v>
      </c>
      <c r="AK36" s="6" t="s">
        <v>4</v>
      </c>
      <c r="AL36" s="6" t="s">
        <v>4</v>
      </c>
      <c r="AM36" s="6" t="s">
        <v>3</v>
      </c>
      <c r="AN36" s="6" t="s">
        <v>3</v>
      </c>
    </row>
    <row r="37" spans="1:40">
      <c r="A37" s="6">
        <f t="shared" si="0"/>
        <v>36</v>
      </c>
      <c r="B37" s="6" t="s">
        <v>266</v>
      </c>
      <c r="C37" s="6" t="s">
        <v>537</v>
      </c>
      <c r="D37" s="6">
        <v>3</v>
      </c>
      <c r="E37" s="6" t="s">
        <v>5</v>
      </c>
      <c r="F37" s="6" t="s">
        <v>3</v>
      </c>
      <c r="G37" s="6" t="s">
        <v>3</v>
      </c>
      <c r="H37" s="6" t="s">
        <v>5</v>
      </c>
      <c r="I37" s="6" t="s">
        <v>5</v>
      </c>
      <c r="J37" s="6" t="s">
        <v>5</v>
      </c>
      <c r="K37" s="6" t="s">
        <v>2</v>
      </c>
      <c r="L37" s="6" t="s">
        <v>2</v>
      </c>
      <c r="M37" s="6" t="s">
        <v>3</v>
      </c>
      <c r="N37" s="6" t="s">
        <v>4</v>
      </c>
      <c r="O37" s="6" t="s">
        <v>4</v>
      </c>
      <c r="P37" s="6" t="s">
        <v>5</v>
      </c>
      <c r="Q37" s="6" t="s">
        <v>2</v>
      </c>
      <c r="R37" s="6" t="s">
        <v>3</v>
      </c>
      <c r="S37" s="6" t="s">
        <v>2</v>
      </c>
      <c r="T37" s="6" t="s">
        <v>5</v>
      </c>
      <c r="U37" s="6" t="s">
        <v>5</v>
      </c>
      <c r="V37" s="6" t="s">
        <v>5</v>
      </c>
      <c r="W37" s="6" t="s">
        <v>5</v>
      </c>
      <c r="X37" s="6" t="s">
        <v>4</v>
      </c>
      <c r="Y37" s="6" t="s">
        <v>3</v>
      </c>
      <c r="Z37" s="6" t="s">
        <v>3</v>
      </c>
      <c r="AA37" s="6" t="s">
        <v>3</v>
      </c>
      <c r="AB37" s="6" t="s">
        <v>4</v>
      </c>
      <c r="AC37" s="6" t="s">
        <v>4</v>
      </c>
      <c r="AD37" s="6" t="s">
        <v>4</v>
      </c>
      <c r="AE37" s="6" t="s">
        <v>4</v>
      </c>
      <c r="AF37" s="6" t="s">
        <v>4</v>
      </c>
      <c r="AG37" s="6" t="s">
        <v>4</v>
      </c>
      <c r="AH37" s="6" t="s">
        <v>3</v>
      </c>
      <c r="AI37" s="6" t="s">
        <v>4</v>
      </c>
      <c r="AJ37" s="6" t="s">
        <v>4</v>
      </c>
      <c r="AK37" s="6" t="s">
        <v>4</v>
      </c>
      <c r="AL37" s="6" t="s">
        <v>4</v>
      </c>
      <c r="AM37" s="6" t="s">
        <v>4</v>
      </c>
      <c r="AN37" s="6" t="s">
        <v>3</v>
      </c>
    </row>
    <row r="38" spans="1:40">
      <c r="A38" s="6">
        <f t="shared" si="0"/>
        <v>37</v>
      </c>
      <c r="B38" s="6" t="s">
        <v>465</v>
      </c>
      <c r="C38" s="6" t="s">
        <v>537</v>
      </c>
      <c r="D38" s="6">
        <v>3</v>
      </c>
      <c r="E38" s="6" t="s">
        <v>5</v>
      </c>
      <c r="F38" s="6" t="s">
        <v>5</v>
      </c>
      <c r="G38" s="6" t="s">
        <v>5</v>
      </c>
      <c r="H38" s="6" t="s">
        <v>5</v>
      </c>
      <c r="I38" s="6" t="s">
        <v>5</v>
      </c>
      <c r="J38" s="6" t="s">
        <v>5</v>
      </c>
      <c r="K38" s="6" t="s">
        <v>5</v>
      </c>
      <c r="L38" s="6" t="s">
        <v>2</v>
      </c>
      <c r="M38" s="6" t="s">
        <v>2</v>
      </c>
      <c r="N38" s="6" t="s">
        <v>2</v>
      </c>
      <c r="O38" s="6" t="s">
        <v>5</v>
      </c>
      <c r="P38" s="6" t="s">
        <v>2</v>
      </c>
      <c r="Q38" s="6" t="s">
        <v>2</v>
      </c>
      <c r="R38" s="6" t="s">
        <v>2</v>
      </c>
      <c r="S38" s="6" t="s">
        <v>2</v>
      </c>
      <c r="T38" s="6" t="s">
        <v>5</v>
      </c>
      <c r="U38" s="6" t="s">
        <v>5</v>
      </c>
      <c r="V38" s="6" t="s">
        <v>5</v>
      </c>
      <c r="W38" s="6" t="s">
        <v>5</v>
      </c>
      <c r="X38" s="6" t="s">
        <v>3</v>
      </c>
      <c r="Y38" s="6" t="s">
        <v>4</v>
      </c>
      <c r="Z38" s="6" t="s">
        <v>4</v>
      </c>
      <c r="AA38" s="6" t="s">
        <v>3</v>
      </c>
      <c r="AB38" s="6" t="s">
        <v>4</v>
      </c>
      <c r="AC38" s="6" t="s">
        <v>3</v>
      </c>
      <c r="AD38" s="6" t="s">
        <v>4</v>
      </c>
      <c r="AE38" s="6" t="s">
        <v>4</v>
      </c>
      <c r="AF38" s="6" t="s">
        <v>4</v>
      </c>
      <c r="AG38" s="6" t="s">
        <v>4</v>
      </c>
      <c r="AH38" s="6" t="s">
        <v>4</v>
      </c>
      <c r="AI38" s="6" t="s">
        <v>4</v>
      </c>
      <c r="AJ38" s="6" t="s">
        <v>3</v>
      </c>
      <c r="AK38" s="6" t="s">
        <v>4</v>
      </c>
      <c r="AL38" s="6" t="s">
        <v>4</v>
      </c>
      <c r="AM38" s="6" t="s">
        <v>4</v>
      </c>
      <c r="AN38" s="6" t="s">
        <v>3</v>
      </c>
    </row>
    <row r="39" spans="1:40">
      <c r="A39" s="6">
        <f t="shared" si="0"/>
        <v>38</v>
      </c>
      <c r="B39" s="6" t="s">
        <v>466</v>
      </c>
      <c r="C39" s="6" t="s">
        <v>537</v>
      </c>
      <c r="D39" s="6">
        <v>3</v>
      </c>
      <c r="E39" s="6" t="s">
        <v>5</v>
      </c>
      <c r="F39" s="6" t="s">
        <v>3</v>
      </c>
      <c r="G39" s="6" t="s">
        <v>3</v>
      </c>
      <c r="H39" s="6" t="s">
        <v>5</v>
      </c>
      <c r="I39" s="6" t="s">
        <v>5</v>
      </c>
      <c r="J39" s="6" t="s">
        <v>5</v>
      </c>
      <c r="K39" s="6" t="s">
        <v>5</v>
      </c>
      <c r="L39" s="6" t="s">
        <v>2</v>
      </c>
      <c r="M39" s="6" t="s">
        <v>3</v>
      </c>
      <c r="N39" s="6" t="s">
        <v>3</v>
      </c>
      <c r="O39" s="6" t="s">
        <v>4</v>
      </c>
      <c r="P39" s="6" t="s">
        <v>5</v>
      </c>
      <c r="Q39" s="6" t="s">
        <v>2</v>
      </c>
      <c r="R39" s="6" t="s">
        <v>3</v>
      </c>
      <c r="S39" s="6" t="s">
        <v>5</v>
      </c>
      <c r="T39" s="6" t="s">
        <v>5</v>
      </c>
      <c r="U39" s="6" t="s">
        <v>5</v>
      </c>
      <c r="V39" s="6" t="s">
        <v>5</v>
      </c>
      <c r="W39" s="6" t="s">
        <v>4</v>
      </c>
      <c r="X39" s="6" t="s">
        <v>4</v>
      </c>
      <c r="Y39" s="6" t="s">
        <v>4</v>
      </c>
      <c r="Z39" s="6" t="s">
        <v>2</v>
      </c>
      <c r="AA39" s="6" t="s">
        <v>3</v>
      </c>
      <c r="AB39" s="6" t="s">
        <v>4</v>
      </c>
      <c r="AC39" s="6" t="s">
        <v>4</v>
      </c>
      <c r="AD39" s="6" t="s">
        <v>4</v>
      </c>
      <c r="AE39" s="6" t="s">
        <v>4</v>
      </c>
      <c r="AF39" s="6" t="s">
        <v>4</v>
      </c>
      <c r="AG39" s="6" t="s">
        <v>4</v>
      </c>
      <c r="AH39" s="6" t="s">
        <v>3</v>
      </c>
      <c r="AI39" s="6" t="s">
        <v>4</v>
      </c>
      <c r="AJ39" s="6" t="s">
        <v>3</v>
      </c>
      <c r="AK39" s="6" t="s">
        <v>4</v>
      </c>
      <c r="AL39" s="6" t="s">
        <v>4</v>
      </c>
      <c r="AM39" s="6" t="s">
        <v>4</v>
      </c>
      <c r="AN39" s="6" t="s">
        <v>4</v>
      </c>
    </row>
    <row r="40" spans="1:40">
      <c r="A40" s="6">
        <f t="shared" si="0"/>
        <v>39</v>
      </c>
      <c r="B40" s="6" t="s">
        <v>493</v>
      </c>
      <c r="C40" s="6" t="s">
        <v>537</v>
      </c>
      <c r="D40" s="6">
        <v>3</v>
      </c>
      <c r="E40" s="6" t="s">
        <v>2</v>
      </c>
      <c r="F40" s="6" t="s">
        <v>5</v>
      </c>
      <c r="G40" s="6" t="s">
        <v>3</v>
      </c>
      <c r="H40" s="6" t="s">
        <v>2</v>
      </c>
      <c r="I40" s="6" t="s">
        <v>5</v>
      </c>
      <c r="J40" s="6" t="s">
        <v>5</v>
      </c>
      <c r="K40" s="6" t="s">
        <v>5</v>
      </c>
      <c r="L40" s="6" t="s">
        <v>2</v>
      </c>
      <c r="M40" s="6" t="s">
        <v>3</v>
      </c>
      <c r="N40" s="6" t="s">
        <v>4</v>
      </c>
      <c r="O40" s="6" t="s">
        <v>4</v>
      </c>
      <c r="P40" s="6" t="s">
        <v>5</v>
      </c>
      <c r="Q40" s="6" t="s">
        <v>5</v>
      </c>
      <c r="R40" s="6" t="s">
        <v>4</v>
      </c>
      <c r="S40" s="6" t="s">
        <v>5</v>
      </c>
      <c r="T40" s="6" t="s">
        <v>5</v>
      </c>
      <c r="U40" s="6" t="s">
        <v>5</v>
      </c>
      <c r="V40" s="6" t="s">
        <v>5</v>
      </c>
      <c r="W40" s="6" t="s">
        <v>5</v>
      </c>
      <c r="X40" s="6" t="s">
        <v>4</v>
      </c>
      <c r="Y40" s="6" t="s">
        <v>4</v>
      </c>
      <c r="Z40" s="6" t="s">
        <v>4</v>
      </c>
      <c r="AA40" s="6" t="s">
        <v>4</v>
      </c>
      <c r="AB40" s="6" t="s">
        <v>4</v>
      </c>
      <c r="AC40" s="6" t="s">
        <v>4</v>
      </c>
      <c r="AD40" s="6" t="s">
        <v>4</v>
      </c>
      <c r="AE40" s="6" t="s">
        <v>4</v>
      </c>
      <c r="AF40" s="6" t="s">
        <v>4</v>
      </c>
      <c r="AG40" s="6" t="s">
        <v>4</v>
      </c>
      <c r="AH40" s="6" t="s">
        <v>4</v>
      </c>
      <c r="AI40" s="6" t="s">
        <v>4</v>
      </c>
      <c r="AJ40" s="6" t="s">
        <v>3</v>
      </c>
      <c r="AK40" s="6" t="s">
        <v>4</v>
      </c>
      <c r="AL40" s="6" t="s">
        <v>4</v>
      </c>
      <c r="AM40" s="6" t="s">
        <v>3</v>
      </c>
      <c r="AN40" s="6" t="s">
        <v>4</v>
      </c>
    </row>
    <row r="41" spans="1:40">
      <c r="A41" s="6">
        <f t="shared" si="0"/>
        <v>40</v>
      </c>
      <c r="B41" s="6" t="s">
        <v>23</v>
      </c>
      <c r="C41" s="6" t="s">
        <v>537</v>
      </c>
      <c r="D41" s="6">
        <v>4</v>
      </c>
      <c r="E41" s="6" t="s">
        <v>3</v>
      </c>
      <c r="F41" s="6" t="s">
        <v>3</v>
      </c>
      <c r="G41" s="6" t="s">
        <v>4</v>
      </c>
      <c r="H41" s="6" t="s">
        <v>2</v>
      </c>
      <c r="I41" s="6" t="s">
        <v>5</v>
      </c>
      <c r="J41" s="6" t="s">
        <v>5</v>
      </c>
      <c r="K41" s="6" t="s">
        <v>5</v>
      </c>
      <c r="L41" s="6" t="s">
        <v>2</v>
      </c>
      <c r="M41" s="6" t="s">
        <v>2</v>
      </c>
      <c r="N41" s="6" t="s">
        <v>2</v>
      </c>
      <c r="O41" s="6" t="s">
        <v>5</v>
      </c>
      <c r="P41" s="6" t="s">
        <v>2</v>
      </c>
      <c r="Q41" s="6" t="s">
        <v>5</v>
      </c>
      <c r="R41" s="6" t="s">
        <v>3</v>
      </c>
      <c r="S41" s="6" t="s">
        <v>3</v>
      </c>
      <c r="T41" s="6" t="s">
        <v>5</v>
      </c>
      <c r="U41" s="6" t="s">
        <v>5</v>
      </c>
      <c r="V41" s="6" t="s">
        <v>5</v>
      </c>
      <c r="W41" s="6" t="s">
        <v>5</v>
      </c>
      <c r="X41" s="6" t="s">
        <v>4</v>
      </c>
      <c r="Y41" s="6" t="s">
        <v>4</v>
      </c>
      <c r="Z41" s="6" t="s">
        <v>2</v>
      </c>
      <c r="AA41" s="6" t="s">
        <v>3</v>
      </c>
      <c r="AB41" s="6" t="s">
        <v>4</v>
      </c>
      <c r="AC41" s="6" t="s">
        <v>4</v>
      </c>
      <c r="AD41" s="6" t="s">
        <v>4</v>
      </c>
      <c r="AE41" s="6" t="s">
        <v>4</v>
      </c>
      <c r="AF41" s="6" t="s">
        <v>4</v>
      </c>
      <c r="AG41" s="6" t="s">
        <v>4</v>
      </c>
      <c r="AH41" s="6" t="s">
        <v>3</v>
      </c>
      <c r="AI41" s="6" t="s">
        <v>4</v>
      </c>
      <c r="AJ41" s="6" t="s">
        <v>3</v>
      </c>
      <c r="AK41" s="6" t="s">
        <v>3</v>
      </c>
      <c r="AL41" s="6" t="s">
        <v>4</v>
      </c>
      <c r="AM41" s="6" t="s">
        <v>3</v>
      </c>
      <c r="AN41" s="6" t="s">
        <v>3</v>
      </c>
    </row>
    <row r="42" spans="1:40">
      <c r="A42" s="6">
        <f t="shared" si="0"/>
        <v>41</v>
      </c>
      <c r="B42" s="6" t="s">
        <v>24</v>
      </c>
      <c r="C42" s="6" t="s">
        <v>537</v>
      </c>
      <c r="D42" s="6">
        <v>4</v>
      </c>
      <c r="E42" s="6" t="s">
        <v>5</v>
      </c>
      <c r="F42" s="6" t="s">
        <v>3</v>
      </c>
      <c r="G42" s="6" t="s">
        <v>3</v>
      </c>
      <c r="H42" s="6" t="s">
        <v>5</v>
      </c>
      <c r="I42" s="6" t="s">
        <v>5</v>
      </c>
      <c r="J42" s="6" t="s">
        <v>5</v>
      </c>
      <c r="K42" s="6" t="s">
        <v>5</v>
      </c>
      <c r="L42" s="6" t="s">
        <v>2</v>
      </c>
      <c r="M42" s="6" t="s">
        <v>2</v>
      </c>
      <c r="N42" s="6" t="s">
        <v>5</v>
      </c>
      <c r="O42" s="6" t="s">
        <v>3</v>
      </c>
      <c r="P42" s="6" t="s">
        <v>4</v>
      </c>
      <c r="Q42" s="6" t="s">
        <v>5</v>
      </c>
      <c r="R42" s="6" t="s">
        <v>3</v>
      </c>
      <c r="S42" s="6" t="s">
        <v>5</v>
      </c>
      <c r="T42" s="6" t="s">
        <v>5</v>
      </c>
      <c r="U42" s="6" t="s">
        <v>5</v>
      </c>
      <c r="V42" s="6" t="s">
        <v>5</v>
      </c>
      <c r="W42" s="6" t="s">
        <v>5</v>
      </c>
      <c r="X42" s="6" t="s">
        <v>4</v>
      </c>
      <c r="Y42" s="6" t="s">
        <v>4</v>
      </c>
      <c r="Z42" s="6" t="s">
        <v>4</v>
      </c>
      <c r="AA42" s="6" t="s">
        <v>3</v>
      </c>
      <c r="AB42" s="6" t="s">
        <v>4</v>
      </c>
      <c r="AC42" s="6" t="s">
        <v>4</v>
      </c>
      <c r="AD42" s="6" t="s">
        <v>4</v>
      </c>
      <c r="AE42" s="6" t="s">
        <v>4</v>
      </c>
      <c r="AF42" s="6" t="s">
        <v>4</v>
      </c>
      <c r="AG42" s="6" t="s">
        <v>4</v>
      </c>
      <c r="AH42" s="6" t="s">
        <v>3</v>
      </c>
      <c r="AI42" s="6" t="s">
        <v>4</v>
      </c>
      <c r="AJ42" s="6" t="s">
        <v>3</v>
      </c>
      <c r="AK42" s="6" t="s">
        <v>4</v>
      </c>
      <c r="AL42" s="6" t="s">
        <v>4</v>
      </c>
      <c r="AM42" s="6" t="s">
        <v>4</v>
      </c>
      <c r="AN42" s="6" t="s">
        <v>3</v>
      </c>
    </row>
    <row r="43" spans="1:40">
      <c r="A43" s="6">
        <f t="shared" si="0"/>
        <v>42</v>
      </c>
      <c r="B43" s="6" t="s">
        <v>25</v>
      </c>
      <c r="C43" s="6" t="s">
        <v>537</v>
      </c>
      <c r="D43" s="6">
        <v>4</v>
      </c>
      <c r="E43" s="6" t="s">
        <v>5</v>
      </c>
      <c r="F43" s="6" t="s">
        <v>5</v>
      </c>
      <c r="G43" s="6" t="s">
        <v>5</v>
      </c>
      <c r="H43" s="6" t="s">
        <v>5</v>
      </c>
      <c r="I43" s="6" t="s">
        <v>5</v>
      </c>
      <c r="J43" s="6" t="s">
        <v>5</v>
      </c>
      <c r="K43" s="6" t="s">
        <v>5</v>
      </c>
      <c r="L43" s="6" t="s">
        <v>2</v>
      </c>
      <c r="M43" s="6" t="s">
        <v>5</v>
      </c>
      <c r="N43" s="6" t="s">
        <v>5</v>
      </c>
      <c r="O43" s="6" t="s">
        <v>3</v>
      </c>
      <c r="P43" s="6" t="s">
        <v>5</v>
      </c>
      <c r="Q43" s="6" t="s">
        <v>5</v>
      </c>
      <c r="R43" s="6" t="s">
        <v>2</v>
      </c>
      <c r="S43" s="6" t="s">
        <v>2</v>
      </c>
      <c r="T43" s="6" t="s">
        <v>5</v>
      </c>
      <c r="U43" s="6" t="s">
        <v>5</v>
      </c>
      <c r="V43" s="6" t="s">
        <v>5</v>
      </c>
      <c r="W43" s="6" t="s">
        <v>5</v>
      </c>
      <c r="X43" s="6" t="s">
        <v>4</v>
      </c>
      <c r="Y43" s="6" t="s">
        <v>3</v>
      </c>
      <c r="Z43" s="6" t="s">
        <v>2</v>
      </c>
      <c r="AA43" s="6" t="s">
        <v>3</v>
      </c>
      <c r="AB43" s="6" t="s">
        <v>4</v>
      </c>
      <c r="AC43" s="6" t="s">
        <v>4</v>
      </c>
      <c r="AD43" s="6" t="s">
        <v>4</v>
      </c>
      <c r="AE43" s="6" t="s">
        <v>4</v>
      </c>
      <c r="AF43" s="6" t="s">
        <v>4</v>
      </c>
      <c r="AG43" s="6" t="s">
        <v>4</v>
      </c>
      <c r="AH43" s="6" t="s">
        <v>3</v>
      </c>
      <c r="AI43" s="6" t="s">
        <v>4</v>
      </c>
      <c r="AJ43" s="6" t="s">
        <v>3</v>
      </c>
      <c r="AK43" s="6" t="s">
        <v>4</v>
      </c>
      <c r="AL43" s="6" t="s">
        <v>4</v>
      </c>
      <c r="AM43" s="6" t="s">
        <v>3</v>
      </c>
      <c r="AN43" s="6" t="s">
        <v>3</v>
      </c>
    </row>
    <row r="44" spans="1:40">
      <c r="A44" s="6">
        <f t="shared" si="0"/>
        <v>43</v>
      </c>
      <c r="B44" s="6" t="s">
        <v>26</v>
      </c>
      <c r="C44" s="6" t="s">
        <v>537</v>
      </c>
      <c r="D44" s="6">
        <v>4</v>
      </c>
      <c r="E44" s="6" t="s">
        <v>3</v>
      </c>
      <c r="F44" s="6" t="s">
        <v>3</v>
      </c>
      <c r="G44" s="6" t="s">
        <v>3</v>
      </c>
      <c r="H44" s="6" t="s">
        <v>5</v>
      </c>
      <c r="I44" s="6" t="s">
        <v>5</v>
      </c>
      <c r="J44" s="6" t="s">
        <v>5</v>
      </c>
      <c r="K44" s="6" t="s">
        <v>5</v>
      </c>
      <c r="L44" s="6" t="s">
        <v>2</v>
      </c>
      <c r="M44" s="6" t="s">
        <v>2</v>
      </c>
      <c r="N44" s="6" t="s">
        <v>4</v>
      </c>
      <c r="O44" s="6" t="s">
        <v>4</v>
      </c>
      <c r="P44" s="6" t="s">
        <v>5</v>
      </c>
      <c r="Q44" s="6" t="s">
        <v>5</v>
      </c>
      <c r="R44" s="6" t="s">
        <v>3</v>
      </c>
      <c r="S44" s="6" t="s">
        <v>2</v>
      </c>
      <c r="T44" s="6" t="s">
        <v>5</v>
      </c>
      <c r="U44" s="6" t="s">
        <v>5</v>
      </c>
      <c r="V44" s="6" t="s">
        <v>5</v>
      </c>
      <c r="W44" s="6" t="s">
        <v>4</v>
      </c>
      <c r="X44" s="6" t="s">
        <v>4</v>
      </c>
      <c r="Y44" s="6" t="s">
        <v>3</v>
      </c>
      <c r="Z44" s="6" t="s">
        <v>4</v>
      </c>
      <c r="AA44" s="6" t="s">
        <v>3</v>
      </c>
      <c r="AB44" s="6" t="s">
        <v>4</v>
      </c>
      <c r="AC44" s="6" t="s">
        <v>4</v>
      </c>
      <c r="AD44" s="6" t="s">
        <v>4</v>
      </c>
      <c r="AE44" s="6" t="s">
        <v>4</v>
      </c>
      <c r="AF44" s="6" t="s">
        <v>4</v>
      </c>
      <c r="AG44" s="6" t="s">
        <v>3</v>
      </c>
      <c r="AH44" s="6" t="s">
        <v>3</v>
      </c>
      <c r="AI44" s="6" t="s">
        <v>4</v>
      </c>
      <c r="AJ44" s="6" t="s">
        <v>3</v>
      </c>
      <c r="AK44" s="6" t="s">
        <v>4</v>
      </c>
      <c r="AL44" s="6" t="s">
        <v>4</v>
      </c>
      <c r="AM44" s="6" t="s">
        <v>4</v>
      </c>
      <c r="AN44" s="6" t="s">
        <v>3</v>
      </c>
    </row>
    <row r="45" spans="1:40">
      <c r="A45" s="6">
        <f t="shared" si="0"/>
        <v>44</v>
      </c>
      <c r="B45" s="6" t="s">
        <v>27</v>
      </c>
      <c r="C45" s="6" t="s">
        <v>537</v>
      </c>
      <c r="D45" s="6">
        <v>4</v>
      </c>
      <c r="E45" s="6" t="s">
        <v>5</v>
      </c>
      <c r="F45" s="6" t="s">
        <v>3</v>
      </c>
      <c r="G45" s="6" t="s">
        <v>4</v>
      </c>
      <c r="H45" s="6" t="s">
        <v>3</v>
      </c>
      <c r="I45" s="6" t="s">
        <v>5</v>
      </c>
      <c r="J45" s="6" t="s">
        <v>5</v>
      </c>
      <c r="K45" s="6" t="s">
        <v>5</v>
      </c>
      <c r="L45" s="6" t="s">
        <v>2</v>
      </c>
      <c r="M45" s="6" t="s">
        <v>3</v>
      </c>
      <c r="N45" s="6" t="s">
        <v>3</v>
      </c>
      <c r="O45" s="6" t="s">
        <v>4</v>
      </c>
      <c r="P45" s="6" t="s">
        <v>5</v>
      </c>
      <c r="Q45" s="6" t="s">
        <v>4</v>
      </c>
      <c r="R45" s="6" t="s">
        <v>2</v>
      </c>
      <c r="S45" s="6" t="s">
        <v>5</v>
      </c>
      <c r="T45" s="6" t="s">
        <v>5</v>
      </c>
      <c r="U45" s="6" t="s">
        <v>5</v>
      </c>
      <c r="V45" s="6" t="s">
        <v>5</v>
      </c>
      <c r="W45" s="6" t="s">
        <v>4</v>
      </c>
      <c r="X45" s="6" t="s">
        <v>4</v>
      </c>
      <c r="Y45" s="6" t="s">
        <v>4</v>
      </c>
      <c r="Z45" s="6" t="s">
        <v>2</v>
      </c>
      <c r="AA45" s="6" t="s">
        <v>3</v>
      </c>
      <c r="AB45" s="6" t="s">
        <v>4</v>
      </c>
      <c r="AC45" s="6" t="s">
        <v>4</v>
      </c>
      <c r="AD45" s="6" t="s">
        <v>4</v>
      </c>
      <c r="AE45" s="6" t="s">
        <v>4</v>
      </c>
      <c r="AF45" s="6" t="s">
        <v>4</v>
      </c>
      <c r="AG45" s="6" t="s">
        <v>4</v>
      </c>
      <c r="AH45" s="6" t="s">
        <v>4</v>
      </c>
      <c r="AI45" s="6" t="s">
        <v>4</v>
      </c>
      <c r="AJ45" s="6" t="s">
        <v>3</v>
      </c>
      <c r="AK45" s="6" t="s">
        <v>4</v>
      </c>
      <c r="AL45" s="6" t="s">
        <v>4</v>
      </c>
      <c r="AM45" s="6" t="s">
        <v>4</v>
      </c>
      <c r="AN45" s="6" t="s">
        <v>3</v>
      </c>
    </row>
    <row r="46" spans="1:40">
      <c r="A46" s="6">
        <f t="shared" si="0"/>
        <v>45</v>
      </c>
      <c r="B46" s="6" t="s">
        <v>28</v>
      </c>
      <c r="C46" s="6" t="s">
        <v>537</v>
      </c>
      <c r="D46" s="6">
        <v>4</v>
      </c>
      <c r="E46" s="6" t="s">
        <v>5</v>
      </c>
      <c r="F46" s="6" t="s">
        <v>3</v>
      </c>
      <c r="G46" s="6" t="s">
        <v>2</v>
      </c>
      <c r="H46" s="6" t="s">
        <v>5</v>
      </c>
      <c r="I46" s="6" t="s">
        <v>5</v>
      </c>
      <c r="J46" s="6" t="s">
        <v>5</v>
      </c>
      <c r="K46" s="6" t="s">
        <v>2</v>
      </c>
      <c r="L46" s="6" t="s">
        <v>2</v>
      </c>
      <c r="M46" s="6" t="s">
        <v>3</v>
      </c>
      <c r="N46" s="6" t="s">
        <v>3</v>
      </c>
      <c r="O46" s="6" t="s">
        <v>3</v>
      </c>
      <c r="P46" s="6" t="s">
        <v>3</v>
      </c>
      <c r="Q46" s="6" t="s">
        <v>2</v>
      </c>
      <c r="R46" s="6" t="s">
        <v>2</v>
      </c>
      <c r="S46" s="6" t="s">
        <v>2</v>
      </c>
      <c r="T46" s="6" t="s">
        <v>5</v>
      </c>
      <c r="U46" s="6" t="s">
        <v>2</v>
      </c>
      <c r="V46" s="6" t="s">
        <v>2</v>
      </c>
      <c r="W46" s="6" t="s">
        <v>5</v>
      </c>
      <c r="X46" s="6" t="s">
        <v>3</v>
      </c>
      <c r="Y46" s="6" t="s">
        <v>2</v>
      </c>
      <c r="Z46" s="6" t="s">
        <v>2</v>
      </c>
      <c r="AA46" s="6" t="s">
        <v>3</v>
      </c>
      <c r="AB46" s="6" t="s">
        <v>4</v>
      </c>
      <c r="AC46" s="6" t="s">
        <v>4</v>
      </c>
      <c r="AD46" s="6" t="s">
        <v>4</v>
      </c>
      <c r="AE46" s="6" t="s">
        <v>4</v>
      </c>
      <c r="AF46" s="6" t="s">
        <v>4</v>
      </c>
      <c r="AG46" s="6" t="s">
        <v>4</v>
      </c>
      <c r="AH46" s="6" t="s">
        <v>3</v>
      </c>
      <c r="AI46" s="6" t="s">
        <v>4</v>
      </c>
      <c r="AJ46" s="6" t="s">
        <v>3</v>
      </c>
      <c r="AK46" s="6" t="s">
        <v>4</v>
      </c>
      <c r="AL46" s="6" t="s">
        <v>4</v>
      </c>
      <c r="AM46" s="6" t="s">
        <v>4</v>
      </c>
      <c r="AN46" s="6" t="s">
        <v>3</v>
      </c>
    </row>
    <row r="47" spans="1:40">
      <c r="A47" s="6">
        <f t="shared" si="0"/>
        <v>46</v>
      </c>
      <c r="B47" s="6" t="s">
        <v>267</v>
      </c>
      <c r="C47" s="6" t="s">
        <v>537</v>
      </c>
      <c r="D47" s="6">
        <v>4</v>
      </c>
      <c r="E47" s="6" t="s">
        <v>5</v>
      </c>
      <c r="F47" s="6" t="s">
        <v>3</v>
      </c>
      <c r="G47" s="6" t="s">
        <v>3</v>
      </c>
      <c r="H47" s="6" t="s">
        <v>2</v>
      </c>
      <c r="I47" s="6" t="s">
        <v>5</v>
      </c>
      <c r="J47" s="6" t="s">
        <v>5</v>
      </c>
      <c r="K47" s="6" t="s">
        <v>5</v>
      </c>
      <c r="L47" s="6" t="s">
        <v>2</v>
      </c>
      <c r="M47" s="6" t="s">
        <v>2</v>
      </c>
      <c r="N47" s="6" t="s">
        <v>2</v>
      </c>
      <c r="O47" s="6" t="s">
        <v>3</v>
      </c>
      <c r="P47" s="6" t="s">
        <v>5</v>
      </c>
      <c r="Q47" s="6" t="s">
        <v>5</v>
      </c>
      <c r="R47" s="6" t="s">
        <v>2</v>
      </c>
      <c r="S47" s="6" t="s">
        <v>2</v>
      </c>
      <c r="T47" s="6" t="s">
        <v>5</v>
      </c>
      <c r="U47" s="6" t="s">
        <v>5</v>
      </c>
      <c r="V47" s="6" t="s">
        <v>5</v>
      </c>
      <c r="W47" s="6" t="s">
        <v>5</v>
      </c>
      <c r="X47" s="6" t="s">
        <v>3</v>
      </c>
      <c r="Y47" s="6" t="s">
        <v>3</v>
      </c>
      <c r="Z47" s="6" t="s">
        <v>2</v>
      </c>
      <c r="AA47" s="6" t="s">
        <v>3</v>
      </c>
      <c r="AB47" s="6" t="s">
        <v>4</v>
      </c>
      <c r="AC47" s="6" t="s">
        <v>4</v>
      </c>
      <c r="AD47" s="6" t="s">
        <v>4</v>
      </c>
      <c r="AE47" s="6" t="s">
        <v>4</v>
      </c>
      <c r="AF47" s="6" t="s">
        <v>4</v>
      </c>
      <c r="AG47" s="6" t="s">
        <v>3</v>
      </c>
      <c r="AH47" s="6" t="s">
        <v>3</v>
      </c>
      <c r="AI47" s="6" t="s">
        <v>4</v>
      </c>
      <c r="AJ47" s="6" t="s">
        <v>3</v>
      </c>
      <c r="AK47" s="6" t="s">
        <v>4</v>
      </c>
      <c r="AL47" s="6" t="s">
        <v>4</v>
      </c>
      <c r="AM47" s="6" t="s">
        <v>3</v>
      </c>
      <c r="AN47" s="6" t="s">
        <v>3</v>
      </c>
    </row>
    <row r="48" spans="1:40">
      <c r="A48" s="6">
        <f t="shared" si="0"/>
        <v>47</v>
      </c>
      <c r="B48" s="6" t="s">
        <v>268</v>
      </c>
      <c r="C48" s="6" t="s">
        <v>537</v>
      </c>
      <c r="D48" s="6">
        <v>4</v>
      </c>
      <c r="E48" s="6" t="s">
        <v>2</v>
      </c>
      <c r="F48" s="6" t="s">
        <v>3</v>
      </c>
      <c r="G48" s="6" t="s">
        <v>3</v>
      </c>
      <c r="H48" s="6" t="s">
        <v>5</v>
      </c>
      <c r="I48" s="6" t="s">
        <v>5</v>
      </c>
      <c r="J48" s="6" t="s">
        <v>5</v>
      </c>
      <c r="K48" s="6" t="s">
        <v>5</v>
      </c>
      <c r="L48" s="6" t="s">
        <v>2</v>
      </c>
      <c r="M48" s="6" t="s">
        <v>2</v>
      </c>
      <c r="N48" s="6" t="s">
        <v>4</v>
      </c>
      <c r="O48" s="6" t="s">
        <v>4</v>
      </c>
      <c r="P48" s="6" t="s">
        <v>4</v>
      </c>
      <c r="Q48" s="6" t="s">
        <v>5</v>
      </c>
      <c r="R48" s="6" t="s">
        <v>3</v>
      </c>
      <c r="S48" s="6" t="s">
        <v>4</v>
      </c>
      <c r="T48" s="6" t="s">
        <v>5</v>
      </c>
      <c r="U48" s="6" t="s">
        <v>5</v>
      </c>
      <c r="V48" s="6" t="s">
        <v>5</v>
      </c>
      <c r="W48" s="6" t="s">
        <v>4</v>
      </c>
      <c r="X48" s="6" t="s">
        <v>4</v>
      </c>
      <c r="Y48" s="6" t="s">
        <v>3</v>
      </c>
      <c r="Z48" s="6" t="s">
        <v>2</v>
      </c>
      <c r="AA48" s="6" t="s">
        <v>3</v>
      </c>
      <c r="AB48" s="6" t="s">
        <v>4</v>
      </c>
      <c r="AC48" s="6" t="s">
        <v>4</v>
      </c>
      <c r="AD48" s="6" t="s">
        <v>4</v>
      </c>
      <c r="AE48" s="6" t="s">
        <v>3</v>
      </c>
      <c r="AF48" s="6" t="s">
        <v>4</v>
      </c>
      <c r="AG48" s="6" t="s">
        <v>4</v>
      </c>
      <c r="AH48" s="6" t="s">
        <v>3</v>
      </c>
      <c r="AI48" s="6" t="s">
        <v>4</v>
      </c>
      <c r="AJ48" s="6" t="s">
        <v>3</v>
      </c>
      <c r="AK48" s="6" t="s">
        <v>3</v>
      </c>
      <c r="AL48" s="6" t="s">
        <v>4</v>
      </c>
      <c r="AM48" s="6" t="s">
        <v>4</v>
      </c>
      <c r="AN48" s="6" t="s">
        <v>3</v>
      </c>
    </row>
    <row r="49" spans="1:40">
      <c r="A49" s="6">
        <f t="shared" si="0"/>
        <v>48</v>
      </c>
      <c r="B49" s="6" t="s">
        <v>269</v>
      </c>
      <c r="C49" s="6" t="s">
        <v>537</v>
      </c>
      <c r="D49" s="6">
        <v>4</v>
      </c>
      <c r="E49" s="6" t="s">
        <v>3</v>
      </c>
      <c r="F49" s="6" t="s">
        <v>3</v>
      </c>
      <c r="G49" s="6" t="s">
        <v>4</v>
      </c>
      <c r="H49" s="6" t="s">
        <v>2</v>
      </c>
      <c r="I49" s="6" t="s">
        <v>5</v>
      </c>
      <c r="J49" s="6" t="s">
        <v>5</v>
      </c>
      <c r="K49" s="6" t="s">
        <v>5</v>
      </c>
      <c r="L49" s="6" t="s">
        <v>2</v>
      </c>
      <c r="M49" s="6" t="s">
        <v>2</v>
      </c>
      <c r="N49" s="6" t="s">
        <v>2</v>
      </c>
      <c r="O49" s="6" t="s">
        <v>5</v>
      </c>
      <c r="P49" s="6" t="s">
        <v>2</v>
      </c>
      <c r="Q49" s="6" t="s">
        <v>5</v>
      </c>
      <c r="R49" s="6" t="s">
        <v>3</v>
      </c>
      <c r="S49" s="6" t="s">
        <v>3</v>
      </c>
      <c r="T49" s="6" t="s">
        <v>5</v>
      </c>
      <c r="U49" s="6" t="s">
        <v>5</v>
      </c>
      <c r="V49" s="6" t="s">
        <v>5</v>
      </c>
      <c r="W49" s="6" t="s">
        <v>5</v>
      </c>
      <c r="X49" s="6" t="s">
        <v>4</v>
      </c>
      <c r="Y49" s="6" t="s">
        <v>4</v>
      </c>
      <c r="Z49" s="6" t="s">
        <v>2</v>
      </c>
      <c r="AA49" s="6" t="s">
        <v>3</v>
      </c>
      <c r="AB49" s="6" t="s">
        <v>4</v>
      </c>
      <c r="AC49" s="6" t="s">
        <v>4</v>
      </c>
      <c r="AD49" s="6" t="s">
        <v>4</v>
      </c>
      <c r="AE49" s="6" t="s">
        <v>3</v>
      </c>
      <c r="AF49" s="6" t="s">
        <v>4</v>
      </c>
      <c r="AG49" s="6" t="s">
        <v>4</v>
      </c>
      <c r="AH49" s="6" t="s">
        <v>3</v>
      </c>
      <c r="AI49" s="6" t="s">
        <v>4</v>
      </c>
      <c r="AJ49" s="6" t="s">
        <v>3</v>
      </c>
      <c r="AK49" s="6" t="s">
        <v>3</v>
      </c>
      <c r="AL49" s="6" t="s">
        <v>4</v>
      </c>
      <c r="AM49" s="6" t="s">
        <v>3</v>
      </c>
      <c r="AN49" s="6" t="s">
        <v>3</v>
      </c>
    </row>
    <row r="50" spans="1:40">
      <c r="A50" s="6">
        <f t="shared" si="0"/>
        <v>49</v>
      </c>
      <c r="B50" s="6" t="s">
        <v>270</v>
      </c>
      <c r="C50" s="6" t="s">
        <v>537</v>
      </c>
      <c r="D50" s="6">
        <v>4</v>
      </c>
      <c r="E50" s="6" t="s">
        <v>5</v>
      </c>
      <c r="F50" s="6" t="s">
        <v>3</v>
      </c>
      <c r="G50" s="6" t="s">
        <v>2</v>
      </c>
      <c r="H50" s="6" t="s">
        <v>5</v>
      </c>
      <c r="I50" s="6" t="s">
        <v>5</v>
      </c>
      <c r="J50" s="6" t="s">
        <v>5</v>
      </c>
      <c r="K50" s="6" t="s">
        <v>5</v>
      </c>
      <c r="L50" s="6" t="s">
        <v>2</v>
      </c>
      <c r="M50" s="6" t="s">
        <v>2</v>
      </c>
      <c r="N50" s="6" t="s">
        <v>2</v>
      </c>
      <c r="O50" s="6" t="s">
        <v>3</v>
      </c>
      <c r="P50" s="6" t="s">
        <v>5</v>
      </c>
      <c r="Q50" s="6" t="s">
        <v>5</v>
      </c>
      <c r="R50" s="6" t="s">
        <v>2</v>
      </c>
      <c r="S50" s="6" t="s">
        <v>2</v>
      </c>
      <c r="T50" s="6" t="s">
        <v>5</v>
      </c>
      <c r="U50" s="6" t="s">
        <v>5</v>
      </c>
      <c r="V50" s="6" t="s">
        <v>5</v>
      </c>
      <c r="W50" s="6" t="s">
        <v>5</v>
      </c>
      <c r="X50" s="6" t="s">
        <v>3</v>
      </c>
      <c r="Y50" s="6" t="s">
        <v>3</v>
      </c>
      <c r="Z50" s="6" t="s">
        <v>2</v>
      </c>
      <c r="AA50" s="6" t="s">
        <v>3</v>
      </c>
      <c r="AB50" s="6" t="s">
        <v>4</v>
      </c>
      <c r="AC50" s="6" t="s">
        <v>4</v>
      </c>
      <c r="AD50" s="6" t="s">
        <v>4</v>
      </c>
      <c r="AE50" s="6" t="s">
        <v>4</v>
      </c>
      <c r="AF50" s="6" t="s">
        <v>4</v>
      </c>
      <c r="AG50" s="6" t="s">
        <v>3</v>
      </c>
      <c r="AH50" s="6" t="s">
        <v>3</v>
      </c>
      <c r="AI50" s="6" t="s">
        <v>4</v>
      </c>
      <c r="AJ50" s="6" t="s">
        <v>3</v>
      </c>
      <c r="AK50" s="6" t="s">
        <v>3</v>
      </c>
      <c r="AL50" s="6" t="s">
        <v>4</v>
      </c>
      <c r="AM50" s="6" t="s">
        <v>3</v>
      </c>
      <c r="AN50" s="6" t="s">
        <v>3</v>
      </c>
    </row>
    <row r="51" spans="1:40">
      <c r="A51" s="6">
        <f t="shared" si="0"/>
        <v>50</v>
      </c>
      <c r="B51" s="6" t="s">
        <v>469</v>
      </c>
      <c r="C51" s="6" t="s">
        <v>537</v>
      </c>
      <c r="D51" s="6">
        <v>4</v>
      </c>
      <c r="E51" s="6" t="s">
        <v>5</v>
      </c>
      <c r="F51" s="6" t="s">
        <v>5</v>
      </c>
      <c r="G51" s="6" t="s">
        <v>2</v>
      </c>
      <c r="H51" s="6" t="s">
        <v>3</v>
      </c>
      <c r="I51" s="6" t="s">
        <v>5</v>
      </c>
      <c r="J51" s="6" t="s">
        <v>5</v>
      </c>
      <c r="K51" s="6" t="s">
        <v>5</v>
      </c>
      <c r="L51" s="6" t="s">
        <v>2</v>
      </c>
      <c r="M51" s="6" t="s">
        <v>3</v>
      </c>
      <c r="N51" s="6" t="s">
        <v>3</v>
      </c>
      <c r="O51" s="6" t="s">
        <v>5</v>
      </c>
      <c r="P51" s="6" t="s">
        <v>2</v>
      </c>
      <c r="Q51" s="6" t="s">
        <v>5</v>
      </c>
      <c r="R51" s="6" t="s">
        <v>3</v>
      </c>
      <c r="S51" s="6" t="s">
        <v>2</v>
      </c>
      <c r="T51" s="6" t="s">
        <v>5</v>
      </c>
      <c r="U51" s="6" t="s">
        <v>5</v>
      </c>
      <c r="V51" s="6" t="s">
        <v>5</v>
      </c>
      <c r="W51" s="6" t="s">
        <v>5</v>
      </c>
      <c r="X51" s="6" t="s">
        <v>3</v>
      </c>
      <c r="Y51" s="6" t="s">
        <v>4</v>
      </c>
      <c r="Z51" s="6" t="s">
        <v>4</v>
      </c>
      <c r="AA51" s="6" t="s">
        <v>3</v>
      </c>
      <c r="AB51" s="6" t="s">
        <v>4</v>
      </c>
      <c r="AC51" s="6" t="s">
        <v>4</v>
      </c>
      <c r="AD51" s="6" t="s">
        <v>4</v>
      </c>
      <c r="AE51" s="6" t="s">
        <v>4</v>
      </c>
      <c r="AF51" s="6" t="s">
        <v>4</v>
      </c>
      <c r="AG51" s="6" t="s">
        <v>4</v>
      </c>
      <c r="AH51" s="6" t="s">
        <v>3</v>
      </c>
      <c r="AI51" s="6" t="s">
        <v>4</v>
      </c>
      <c r="AJ51" s="6" t="s">
        <v>3</v>
      </c>
      <c r="AK51" s="6" t="s">
        <v>4</v>
      </c>
      <c r="AL51" s="6" t="s">
        <v>4</v>
      </c>
      <c r="AM51" s="6" t="s">
        <v>3</v>
      </c>
      <c r="AN51" s="6" t="s">
        <v>3</v>
      </c>
    </row>
    <row r="52" spans="1:40">
      <c r="A52" s="6">
        <f t="shared" si="0"/>
        <v>51</v>
      </c>
      <c r="B52" s="6" t="s">
        <v>470</v>
      </c>
      <c r="C52" s="6" t="s">
        <v>537</v>
      </c>
      <c r="D52" s="6">
        <v>4</v>
      </c>
      <c r="E52" s="6" t="s">
        <v>5</v>
      </c>
      <c r="F52" s="6" t="s">
        <v>5</v>
      </c>
      <c r="G52" s="6" t="s">
        <v>5</v>
      </c>
      <c r="H52" s="6" t="s">
        <v>5</v>
      </c>
      <c r="I52" s="6" t="s">
        <v>5</v>
      </c>
      <c r="J52" s="6" t="s">
        <v>5</v>
      </c>
      <c r="K52" s="6" t="s">
        <v>5</v>
      </c>
      <c r="L52" s="6" t="s">
        <v>2</v>
      </c>
      <c r="M52" s="6" t="s">
        <v>2</v>
      </c>
      <c r="N52" s="6" t="s">
        <v>2</v>
      </c>
      <c r="O52" s="6" t="s">
        <v>3</v>
      </c>
      <c r="P52" s="6" t="s">
        <v>3</v>
      </c>
      <c r="Q52" s="6" t="s">
        <v>5</v>
      </c>
      <c r="R52" s="6" t="s">
        <v>3</v>
      </c>
      <c r="S52" s="6" t="s">
        <v>3</v>
      </c>
      <c r="T52" s="6" t="s">
        <v>5</v>
      </c>
      <c r="U52" s="6" t="s">
        <v>5</v>
      </c>
      <c r="V52" s="6" t="s">
        <v>5</v>
      </c>
      <c r="W52" s="6" t="s">
        <v>5</v>
      </c>
      <c r="X52" s="6" t="s">
        <v>4</v>
      </c>
      <c r="Y52" s="6" t="s">
        <v>4</v>
      </c>
      <c r="Z52" s="6" t="s">
        <v>2</v>
      </c>
      <c r="AA52" s="6" t="s">
        <v>3</v>
      </c>
      <c r="AB52" s="6" t="s">
        <v>3</v>
      </c>
      <c r="AC52" s="6" t="s">
        <v>3</v>
      </c>
      <c r="AD52" s="6" t="s">
        <v>4</v>
      </c>
      <c r="AE52" s="6" t="s">
        <v>4</v>
      </c>
      <c r="AF52" s="6" t="s">
        <v>4</v>
      </c>
      <c r="AG52" s="6" t="s">
        <v>4</v>
      </c>
      <c r="AH52" s="6" t="s">
        <v>3</v>
      </c>
      <c r="AI52" s="6" t="s">
        <v>4</v>
      </c>
      <c r="AJ52" s="6" t="s">
        <v>3</v>
      </c>
      <c r="AK52" s="6" t="s">
        <v>3</v>
      </c>
      <c r="AL52" s="6" t="s">
        <v>4</v>
      </c>
      <c r="AM52" s="6" t="s">
        <v>4</v>
      </c>
      <c r="AN52" s="6" t="s">
        <v>3</v>
      </c>
    </row>
    <row r="53" spans="1:40">
      <c r="A53" s="6">
        <f t="shared" si="0"/>
        <v>52</v>
      </c>
      <c r="B53" s="6" t="s">
        <v>487</v>
      </c>
      <c r="C53" s="6" t="s">
        <v>537</v>
      </c>
      <c r="D53" s="6">
        <v>4</v>
      </c>
      <c r="E53" s="6" t="s">
        <v>5</v>
      </c>
      <c r="F53" s="6" t="s">
        <v>5</v>
      </c>
      <c r="G53" s="6" t="s">
        <v>4</v>
      </c>
      <c r="H53" s="6" t="s">
        <v>5</v>
      </c>
      <c r="I53" s="6" t="s">
        <v>5</v>
      </c>
      <c r="J53" s="6" t="s">
        <v>5</v>
      </c>
      <c r="K53" s="6" t="s">
        <v>5</v>
      </c>
      <c r="L53" s="6" t="s">
        <v>2</v>
      </c>
      <c r="M53" s="6" t="s">
        <v>2</v>
      </c>
      <c r="N53" s="6" t="s">
        <v>4</v>
      </c>
      <c r="O53" s="6" t="s">
        <v>4</v>
      </c>
      <c r="P53" s="6" t="s">
        <v>4</v>
      </c>
      <c r="Q53" s="6" t="s">
        <v>5</v>
      </c>
      <c r="R53" s="6" t="s">
        <v>4</v>
      </c>
      <c r="S53" s="6" t="s">
        <v>5</v>
      </c>
      <c r="T53" s="6" t="s">
        <v>5</v>
      </c>
      <c r="U53" s="6" t="s">
        <v>3</v>
      </c>
      <c r="V53" s="6" t="s">
        <v>5</v>
      </c>
      <c r="W53" s="6" t="s">
        <v>3</v>
      </c>
      <c r="X53" s="6" t="s">
        <v>4</v>
      </c>
      <c r="Y53" s="6" t="s">
        <v>4</v>
      </c>
      <c r="Z53" s="6" t="s">
        <v>2</v>
      </c>
      <c r="AA53" s="6" t="s">
        <v>3</v>
      </c>
      <c r="AB53" s="6" t="s">
        <v>4</v>
      </c>
      <c r="AC53" s="6" t="s">
        <v>4</v>
      </c>
      <c r="AD53" s="6" t="s">
        <v>4</v>
      </c>
      <c r="AE53" s="6" t="s">
        <v>4</v>
      </c>
      <c r="AF53" s="6" t="s">
        <v>4</v>
      </c>
      <c r="AG53" s="6" t="s">
        <v>3</v>
      </c>
      <c r="AH53" s="6" t="s">
        <v>3</v>
      </c>
      <c r="AI53" s="6" t="s">
        <v>4</v>
      </c>
      <c r="AJ53" s="6" t="s">
        <v>3</v>
      </c>
      <c r="AK53" s="6" t="s">
        <v>4</v>
      </c>
      <c r="AL53" s="6" t="s">
        <v>4</v>
      </c>
      <c r="AM53" s="6" t="s">
        <v>4</v>
      </c>
      <c r="AN53" s="6" t="s">
        <v>3</v>
      </c>
    </row>
    <row r="54" spans="1:40">
      <c r="A54" s="6">
        <f t="shared" si="0"/>
        <v>53</v>
      </c>
      <c r="B54" s="6" t="s">
        <v>29</v>
      </c>
      <c r="C54" s="6" t="s">
        <v>537</v>
      </c>
      <c r="D54" s="6">
        <v>5</v>
      </c>
      <c r="E54" s="6" t="s">
        <v>5</v>
      </c>
      <c r="F54" s="6" t="s">
        <v>3</v>
      </c>
      <c r="G54" s="6" t="s">
        <v>5</v>
      </c>
      <c r="H54" s="6" t="s">
        <v>5</v>
      </c>
      <c r="I54" s="6" t="s">
        <v>5</v>
      </c>
      <c r="J54" s="6" t="s">
        <v>5</v>
      </c>
      <c r="K54" s="6" t="s">
        <v>5</v>
      </c>
      <c r="L54" s="6" t="s">
        <v>2</v>
      </c>
      <c r="M54" s="6" t="s">
        <v>2</v>
      </c>
      <c r="N54" s="6" t="s">
        <v>4</v>
      </c>
      <c r="O54" s="6" t="s">
        <v>4</v>
      </c>
      <c r="P54" s="6" t="s">
        <v>3</v>
      </c>
      <c r="Q54" s="6" t="s">
        <v>5</v>
      </c>
      <c r="R54" s="6" t="s">
        <v>2</v>
      </c>
      <c r="S54" s="6" t="s">
        <v>5</v>
      </c>
      <c r="T54" s="6" t="s">
        <v>2</v>
      </c>
      <c r="U54" s="6" t="s">
        <v>2</v>
      </c>
      <c r="V54" s="6" t="s">
        <v>5</v>
      </c>
      <c r="W54" s="6" t="s">
        <v>4</v>
      </c>
      <c r="X54" s="6" t="s">
        <v>3</v>
      </c>
      <c r="Y54" s="6" t="s">
        <v>3</v>
      </c>
      <c r="Z54" s="6" t="s">
        <v>4</v>
      </c>
      <c r="AA54" s="6" t="s">
        <v>3</v>
      </c>
      <c r="AB54" s="6" t="s">
        <v>4</v>
      </c>
      <c r="AC54" s="6" t="s">
        <v>4</v>
      </c>
      <c r="AD54" s="6" t="s">
        <v>4</v>
      </c>
      <c r="AE54" s="6" t="s">
        <v>4</v>
      </c>
      <c r="AF54" s="6" t="s">
        <v>4</v>
      </c>
      <c r="AG54" s="6" t="s">
        <v>4</v>
      </c>
      <c r="AH54" s="6" t="s">
        <v>3</v>
      </c>
      <c r="AI54" s="6" t="s">
        <v>4</v>
      </c>
      <c r="AJ54" s="6" t="s">
        <v>3</v>
      </c>
      <c r="AK54" s="6" t="s">
        <v>4</v>
      </c>
      <c r="AL54" s="6" t="s">
        <v>4</v>
      </c>
      <c r="AM54" s="6" t="s">
        <v>4</v>
      </c>
      <c r="AN54" s="6" t="s">
        <v>3</v>
      </c>
    </row>
    <row r="55" spans="1:40">
      <c r="A55" s="6">
        <f t="shared" si="0"/>
        <v>54</v>
      </c>
      <c r="B55" s="6" t="s">
        <v>30</v>
      </c>
      <c r="C55" s="6" t="s">
        <v>537</v>
      </c>
      <c r="D55" s="6">
        <v>5</v>
      </c>
      <c r="E55" s="6" t="s">
        <v>2</v>
      </c>
      <c r="F55" s="6" t="s">
        <v>5</v>
      </c>
      <c r="G55" s="6" t="s">
        <v>3</v>
      </c>
      <c r="H55" s="6" t="s">
        <v>5</v>
      </c>
      <c r="I55" s="6" t="s">
        <v>5</v>
      </c>
      <c r="J55" s="6" t="s">
        <v>3</v>
      </c>
      <c r="K55" s="6" t="s">
        <v>5</v>
      </c>
      <c r="L55" s="6" t="s">
        <v>2</v>
      </c>
      <c r="M55" s="6" t="s">
        <v>2</v>
      </c>
      <c r="N55" s="6" t="s">
        <v>5</v>
      </c>
      <c r="O55" s="6" t="s">
        <v>2</v>
      </c>
      <c r="P55" s="6" t="s">
        <v>2</v>
      </c>
      <c r="Q55" s="6" t="s">
        <v>4</v>
      </c>
      <c r="R55" s="6" t="s">
        <v>3</v>
      </c>
      <c r="S55" s="6" t="s">
        <v>2</v>
      </c>
      <c r="T55" s="6" t="s">
        <v>5</v>
      </c>
      <c r="U55" s="6" t="s">
        <v>5</v>
      </c>
      <c r="V55" s="6" t="s">
        <v>5</v>
      </c>
      <c r="W55" s="6" t="s">
        <v>3</v>
      </c>
      <c r="X55" s="6" t="s">
        <v>3</v>
      </c>
      <c r="Y55" s="6" t="s">
        <v>3</v>
      </c>
      <c r="Z55" s="6" t="s">
        <v>4</v>
      </c>
      <c r="AA55" s="6" t="s">
        <v>3</v>
      </c>
      <c r="AB55" s="6" t="s">
        <v>4</v>
      </c>
      <c r="AC55" s="6" t="s">
        <v>4</v>
      </c>
      <c r="AD55" s="6" t="s">
        <v>4</v>
      </c>
      <c r="AE55" s="6" t="s">
        <v>4</v>
      </c>
      <c r="AF55" s="6" t="s">
        <v>4</v>
      </c>
      <c r="AG55" s="6" t="s">
        <v>3</v>
      </c>
      <c r="AH55" s="6" t="s">
        <v>4</v>
      </c>
      <c r="AI55" s="6" t="s">
        <v>4</v>
      </c>
      <c r="AJ55" s="6" t="s">
        <v>3</v>
      </c>
      <c r="AK55" s="6" t="s">
        <v>4</v>
      </c>
      <c r="AL55" s="6" t="s">
        <v>4</v>
      </c>
      <c r="AM55" s="6" t="s">
        <v>4</v>
      </c>
      <c r="AN55" s="6" t="s">
        <v>3</v>
      </c>
    </row>
    <row r="56" spans="1:40">
      <c r="A56" s="6">
        <f t="shared" si="0"/>
        <v>55</v>
      </c>
      <c r="B56" s="6" t="s">
        <v>31</v>
      </c>
      <c r="C56" s="6" t="s">
        <v>537</v>
      </c>
      <c r="D56" s="6">
        <v>5</v>
      </c>
      <c r="E56" s="6" t="s">
        <v>4</v>
      </c>
      <c r="F56" s="6" t="s">
        <v>5</v>
      </c>
      <c r="G56" s="6" t="s">
        <v>2</v>
      </c>
      <c r="H56" s="6" t="s">
        <v>5</v>
      </c>
      <c r="I56" s="6" t="s">
        <v>5</v>
      </c>
      <c r="J56" s="6" t="s">
        <v>5</v>
      </c>
      <c r="K56" s="6" t="s">
        <v>2</v>
      </c>
      <c r="L56" s="6" t="s">
        <v>2</v>
      </c>
      <c r="M56" s="6" t="s">
        <v>2</v>
      </c>
      <c r="N56" s="6" t="s">
        <v>4</v>
      </c>
      <c r="O56" s="6" t="s">
        <v>4</v>
      </c>
      <c r="P56" s="6" t="s">
        <v>4</v>
      </c>
      <c r="Q56" s="6" t="s">
        <v>5</v>
      </c>
      <c r="R56" s="6" t="s">
        <v>4</v>
      </c>
      <c r="S56" s="6" t="s">
        <v>5</v>
      </c>
      <c r="T56" s="6" t="s">
        <v>5</v>
      </c>
      <c r="U56" s="6" t="s">
        <v>5</v>
      </c>
      <c r="V56" s="6" t="s">
        <v>5</v>
      </c>
      <c r="W56" s="6" t="s">
        <v>5</v>
      </c>
      <c r="X56" s="6" t="s">
        <v>4</v>
      </c>
      <c r="Y56" s="6" t="s">
        <v>3</v>
      </c>
      <c r="Z56" s="6" t="s">
        <v>3</v>
      </c>
      <c r="AA56" s="6" t="s">
        <v>3</v>
      </c>
      <c r="AB56" s="6" t="s">
        <v>4</v>
      </c>
      <c r="AC56" s="6" t="s">
        <v>4</v>
      </c>
      <c r="AD56" s="6" t="s">
        <v>4</v>
      </c>
      <c r="AE56" s="6" t="s">
        <v>4</v>
      </c>
      <c r="AF56" s="6" t="s">
        <v>4</v>
      </c>
      <c r="AG56" s="6" t="s">
        <v>4</v>
      </c>
      <c r="AH56" s="6" t="s">
        <v>3</v>
      </c>
      <c r="AI56" s="6" t="s">
        <v>4</v>
      </c>
      <c r="AJ56" s="6" t="s">
        <v>3</v>
      </c>
      <c r="AK56" s="6" t="s">
        <v>4</v>
      </c>
      <c r="AL56" s="6" t="s">
        <v>4</v>
      </c>
      <c r="AM56" s="6" t="s">
        <v>4</v>
      </c>
      <c r="AN56" s="6" t="s">
        <v>3</v>
      </c>
    </row>
    <row r="57" spans="1:40">
      <c r="A57" s="6">
        <f t="shared" si="0"/>
        <v>56</v>
      </c>
      <c r="B57" s="6" t="s">
        <v>32</v>
      </c>
      <c r="C57" s="6" t="s">
        <v>537</v>
      </c>
      <c r="D57" s="6">
        <v>5</v>
      </c>
      <c r="E57" s="6" t="s">
        <v>5</v>
      </c>
      <c r="F57" s="6" t="s">
        <v>3</v>
      </c>
      <c r="G57" s="6" t="s">
        <v>3</v>
      </c>
      <c r="H57" s="6" t="s">
        <v>5</v>
      </c>
      <c r="I57" s="6" t="s">
        <v>5</v>
      </c>
      <c r="J57" s="6" t="s">
        <v>5</v>
      </c>
      <c r="K57" s="6" t="s">
        <v>5</v>
      </c>
      <c r="L57" s="6" t="s">
        <v>2</v>
      </c>
      <c r="M57" s="6" t="s">
        <v>4</v>
      </c>
      <c r="N57" s="6" t="s">
        <v>4</v>
      </c>
      <c r="O57" s="6" t="s">
        <v>4</v>
      </c>
      <c r="P57" s="6" t="s">
        <v>5</v>
      </c>
      <c r="Q57" s="6" t="s">
        <v>2</v>
      </c>
      <c r="R57" s="6" t="s">
        <v>4</v>
      </c>
      <c r="S57" s="6" t="s">
        <v>5</v>
      </c>
      <c r="T57" s="6" t="s">
        <v>5</v>
      </c>
      <c r="U57" s="6" t="s">
        <v>3</v>
      </c>
      <c r="V57" s="6" t="s">
        <v>3</v>
      </c>
      <c r="W57" s="6" t="s">
        <v>3</v>
      </c>
      <c r="X57" s="6" t="s">
        <v>4</v>
      </c>
      <c r="Y57" s="6" t="s">
        <v>3</v>
      </c>
      <c r="Z57" s="6" t="s">
        <v>2</v>
      </c>
      <c r="AA57" s="6" t="s">
        <v>3</v>
      </c>
      <c r="AB57" s="6" t="s">
        <v>4</v>
      </c>
      <c r="AC57" s="6" t="s">
        <v>4</v>
      </c>
      <c r="AD57" s="6" t="s">
        <v>4</v>
      </c>
      <c r="AE57" s="6" t="s">
        <v>4</v>
      </c>
      <c r="AF57" s="6" t="s">
        <v>4</v>
      </c>
      <c r="AG57" s="6" t="s">
        <v>4</v>
      </c>
      <c r="AH57" s="6" t="s">
        <v>3</v>
      </c>
      <c r="AI57" s="6" t="s">
        <v>4</v>
      </c>
      <c r="AJ57" s="6" t="s">
        <v>3</v>
      </c>
      <c r="AK57" s="6" t="s">
        <v>4</v>
      </c>
      <c r="AL57" s="6" t="s">
        <v>4</v>
      </c>
      <c r="AM57" s="6" t="s">
        <v>4</v>
      </c>
      <c r="AN57" s="6" t="s">
        <v>3</v>
      </c>
    </row>
    <row r="58" spans="1:40">
      <c r="A58" s="6">
        <f t="shared" si="0"/>
        <v>57</v>
      </c>
      <c r="B58" s="6" t="s">
        <v>33</v>
      </c>
      <c r="C58" s="6" t="s">
        <v>537</v>
      </c>
      <c r="D58" s="6">
        <v>5</v>
      </c>
      <c r="E58" s="6" t="s">
        <v>5</v>
      </c>
      <c r="F58" s="6" t="s">
        <v>3</v>
      </c>
      <c r="G58" s="6" t="s">
        <v>4</v>
      </c>
      <c r="H58" s="6" t="s">
        <v>5</v>
      </c>
      <c r="I58" s="6" t="s">
        <v>5</v>
      </c>
      <c r="J58" s="6" t="s">
        <v>3</v>
      </c>
      <c r="K58" s="6" t="s">
        <v>5</v>
      </c>
      <c r="L58" s="6" t="s">
        <v>2</v>
      </c>
      <c r="M58" s="6" t="s">
        <v>3</v>
      </c>
      <c r="N58" s="6" t="s">
        <v>2</v>
      </c>
      <c r="O58" s="6" t="s">
        <v>2</v>
      </c>
      <c r="P58" s="6" t="s">
        <v>5</v>
      </c>
      <c r="Q58" s="6" t="s">
        <v>5</v>
      </c>
      <c r="R58" s="6" t="s">
        <v>2</v>
      </c>
      <c r="S58" s="6" t="s">
        <v>5</v>
      </c>
      <c r="T58" s="6" t="s">
        <v>5</v>
      </c>
      <c r="U58" s="6" t="s">
        <v>3</v>
      </c>
      <c r="V58" s="6" t="s">
        <v>5</v>
      </c>
      <c r="W58" s="6" t="s">
        <v>2</v>
      </c>
      <c r="X58" s="6" t="s">
        <v>4</v>
      </c>
      <c r="Y58" s="6" t="s">
        <v>4</v>
      </c>
      <c r="Z58" s="6" t="s">
        <v>2</v>
      </c>
      <c r="AA58" s="6" t="s">
        <v>3</v>
      </c>
      <c r="AB58" s="6" t="s">
        <v>4</v>
      </c>
      <c r="AC58" s="6" t="s">
        <v>4</v>
      </c>
      <c r="AD58" s="6" t="s">
        <v>4</v>
      </c>
      <c r="AE58" s="6" t="s">
        <v>4</v>
      </c>
      <c r="AF58" s="6" t="s">
        <v>4</v>
      </c>
      <c r="AG58" s="6" t="s">
        <v>4</v>
      </c>
      <c r="AH58" s="6" t="s">
        <v>3</v>
      </c>
      <c r="AI58" s="6" t="s">
        <v>4</v>
      </c>
      <c r="AJ58" s="6" t="s">
        <v>3</v>
      </c>
      <c r="AK58" s="6" t="s">
        <v>4</v>
      </c>
      <c r="AL58" s="6" t="s">
        <v>4</v>
      </c>
      <c r="AM58" s="6" t="s">
        <v>3</v>
      </c>
      <c r="AN58" s="6" t="s">
        <v>3</v>
      </c>
    </row>
    <row r="59" spans="1:40">
      <c r="A59" s="6">
        <f t="shared" si="0"/>
        <v>58</v>
      </c>
      <c r="B59" s="6" t="s">
        <v>34</v>
      </c>
      <c r="C59" s="6" t="s">
        <v>537</v>
      </c>
      <c r="D59" s="6">
        <v>5</v>
      </c>
      <c r="E59" s="6" t="s">
        <v>5</v>
      </c>
      <c r="F59" s="6" t="s">
        <v>5</v>
      </c>
      <c r="G59" s="6" t="s">
        <v>3</v>
      </c>
      <c r="H59" s="6" t="s">
        <v>5</v>
      </c>
      <c r="I59" s="6" t="s">
        <v>5</v>
      </c>
      <c r="J59" s="6" t="s">
        <v>3</v>
      </c>
      <c r="K59" s="6" t="s">
        <v>5</v>
      </c>
      <c r="L59" s="6" t="s">
        <v>2</v>
      </c>
      <c r="M59" s="6" t="s">
        <v>4</v>
      </c>
      <c r="N59" s="6" t="s">
        <v>4</v>
      </c>
      <c r="O59" s="6" t="s">
        <v>4</v>
      </c>
      <c r="P59" s="6" t="s">
        <v>5</v>
      </c>
      <c r="Q59" s="6" t="s">
        <v>2</v>
      </c>
      <c r="R59" s="6" t="s">
        <v>4</v>
      </c>
      <c r="S59" s="6" t="s">
        <v>5</v>
      </c>
      <c r="T59" s="6" t="s">
        <v>5</v>
      </c>
      <c r="U59" s="6" t="s">
        <v>2</v>
      </c>
      <c r="V59" s="6" t="s">
        <v>5</v>
      </c>
      <c r="W59" s="6" t="s">
        <v>5</v>
      </c>
      <c r="X59" s="6" t="s">
        <v>3</v>
      </c>
      <c r="Y59" s="6" t="s">
        <v>3</v>
      </c>
      <c r="Z59" s="6" t="s">
        <v>4</v>
      </c>
      <c r="AA59" s="6" t="s">
        <v>3</v>
      </c>
      <c r="AB59" s="6" t="s">
        <v>4</v>
      </c>
      <c r="AC59" s="6" t="s">
        <v>4</v>
      </c>
      <c r="AD59" s="6" t="s">
        <v>4</v>
      </c>
      <c r="AE59" s="6" t="s">
        <v>4</v>
      </c>
      <c r="AF59" s="6" t="s">
        <v>4</v>
      </c>
      <c r="AG59" s="6" t="s">
        <v>4</v>
      </c>
      <c r="AH59" s="6" t="s">
        <v>4</v>
      </c>
      <c r="AI59" s="6" t="s">
        <v>4</v>
      </c>
      <c r="AJ59" s="6" t="s">
        <v>3</v>
      </c>
      <c r="AK59" s="6" t="s">
        <v>4</v>
      </c>
      <c r="AL59" s="6" t="s">
        <v>4</v>
      </c>
      <c r="AM59" s="6" t="s">
        <v>3</v>
      </c>
      <c r="AN59" s="6" t="s">
        <v>3</v>
      </c>
    </row>
    <row r="60" spans="1:40">
      <c r="A60" s="6">
        <f t="shared" si="0"/>
        <v>59</v>
      </c>
      <c r="B60" s="6" t="s">
        <v>271</v>
      </c>
      <c r="C60" s="6" t="s">
        <v>537</v>
      </c>
      <c r="D60" s="6">
        <v>5</v>
      </c>
      <c r="E60" s="6" t="s">
        <v>5</v>
      </c>
      <c r="F60" s="6" t="s">
        <v>3</v>
      </c>
      <c r="G60" s="6" t="s">
        <v>2</v>
      </c>
      <c r="H60" s="6" t="s">
        <v>5</v>
      </c>
      <c r="I60" s="6" t="s">
        <v>5</v>
      </c>
      <c r="J60" s="6" t="s">
        <v>5</v>
      </c>
      <c r="K60" s="6" t="s">
        <v>5</v>
      </c>
      <c r="L60" s="6" t="s">
        <v>2</v>
      </c>
      <c r="M60" s="6" t="s">
        <v>2</v>
      </c>
      <c r="N60" s="6" t="s">
        <v>2</v>
      </c>
      <c r="O60" s="6" t="s">
        <v>3</v>
      </c>
      <c r="P60" s="6" t="s">
        <v>2</v>
      </c>
      <c r="Q60" s="6" t="s">
        <v>5</v>
      </c>
      <c r="R60" s="6" t="s">
        <v>2</v>
      </c>
      <c r="S60" s="6" t="s">
        <v>2</v>
      </c>
      <c r="T60" s="6" t="s">
        <v>5</v>
      </c>
      <c r="U60" s="6" t="s">
        <v>5</v>
      </c>
      <c r="V60" s="6" t="s">
        <v>5</v>
      </c>
      <c r="W60" s="6" t="s">
        <v>5</v>
      </c>
      <c r="X60" s="6" t="s">
        <v>3</v>
      </c>
      <c r="Y60" s="6" t="s">
        <v>3</v>
      </c>
      <c r="Z60" s="6" t="s">
        <v>2</v>
      </c>
      <c r="AA60" s="6" t="s">
        <v>3</v>
      </c>
      <c r="AB60" s="6" t="s">
        <v>4</v>
      </c>
      <c r="AC60" s="6" t="s">
        <v>4</v>
      </c>
      <c r="AD60" s="6" t="s">
        <v>4</v>
      </c>
      <c r="AE60" s="6" t="s">
        <v>4</v>
      </c>
      <c r="AF60" s="6" t="s">
        <v>4</v>
      </c>
      <c r="AG60" s="6" t="s">
        <v>3</v>
      </c>
      <c r="AH60" s="6" t="s">
        <v>3</v>
      </c>
      <c r="AI60" s="6" t="s">
        <v>4</v>
      </c>
      <c r="AJ60" s="6" t="s">
        <v>3</v>
      </c>
      <c r="AK60" s="6" t="s">
        <v>4</v>
      </c>
      <c r="AL60" s="6" t="s">
        <v>4</v>
      </c>
      <c r="AM60" s="6" t="s">
        <v>3</v>
      </c>
      <c r="AN60" s="6" t="s">
        <v>3</v>
      </c>
    </row>
    <row r="61" spans="1:40">
      <c r="A61" s="6">
        <f t="shared" si="0"/>
        <v>60</v>
      </c>
      <c r="B61" s="6" t="s">
        <v>272</v>
      </c>
      <c r="C61" s="6" t="s">
        <v>537</v>
      </c>
      <c r="D61" s="6">
        <v>5</v>
      </c>
      <c r="E61" s="6" t="s">
        <v>5</v>
      </c>
      <c r="F61" s="6" t="s">
        <v>5</v>
      </c>
      <c r="G61" s="6" t="s">
        <v>2</v>
      </c>
      <c r="H61" s="6" t="s">
        <v>5</v>
      </c>
      <c r="I61" s="6" t="s">
        <v>5</v>
      </c>
      <c r="J61" s="6" t="s">
        <v>3</v>
      </c>
      <c r="K61" s="6" t="s">
        <v>5</v>
      </c>
      <c r="L61" s="6" t="s">
        <v>2</v>
      </c>
      <c r="M61" s="6" t="s">
        <v>2</v>
      </c>
      <c r="N61" s="6" t="s">
        <v>2</v>
      </c>
      <c r="O61" s="6" t="s">
        <v>2</v>
      </c>
      <c r="P61" s="6" t="s">
        <v>2</v>
      </c>
      <c r="Q61" s="6" t="s">
        <v>2</v>
      </c>
      <c r="R61" s="6" t="s">
        <v>3</v>
      </c>
      <c r="S61" s="6" t="s">
        <v>3</v>
      </c>
      <c r="T61" s="6" t="s">
        <v>5</v>
      </c>
      <c r="U61" s="6" t="s">
        <v>5</v>
      </c>
      <c r="V61" s="6" t="s">
        <v>5</v>
      </c>
      <c r="W61" s="6" t="s">
        <v>5</v>
      </c>
      <c r="X61" s="6" t="s">
        <v>3</v>
      </c>
      <c r="Y61" s="6" t="s">
        <v>3</v>
      </c>
      <c r="Z61" s="6" t="s">
        <v>2</v>
      </c>
      <c r="AA61" s="6" t="s">
        <v>3</v>
      </c>
      <c r="AB61" s="6" t="s">
        <v>4</v>
      </c>
      <c r="AC61" s="6" t="s">
        <v>4</v>
      </c>
      <c r="AD61" s="6" t="s">
        <v>4</v>
      </c>
      <c r="AE61" s="6" t="s">
        <v>4</v>
      </c>
      <c r="AF61" s="6" t="s">
        <v>4</v>
      </c>
      <c r="AG61" s="6" t="s">
        <v>3</v>
      </c>
      <c r="AH61" s="6" t="s">
        <v>3</v>
      </c>
      <c r="AI61" s="6" t="s">
        <v>4</v>
      </c>
      <c r="AJ61" s="6" t="s">
        <v>3</v>
      </c>
      <c r="AK61" s="6" t="s">
        <v>3</v>
      </c>
      <c r="AL61" s="6" t="s">
        <v>4</v>
      </c>
      <c r="AM61" s="6" t="s">
        <v>3</v>
      </c>
      <c r="AN61" s="6" t="s">
        <v>3</v>
      </c>
    </row>
    <row r="62" spans="1:40">
      <c r="A62" s="6">
        <f t="shared" si="0"/>
        <v>61</v>
      </c>
      <c r="B62" s="6" t="s">
        <v>273</v>
      </c>
      <c r="C62" s="6" t="s">
        <v>537</v>
      </c>
      <c r="D62" s="6">
        <v>5</v>
      </c>
      <c r="E62" s="6" t="s">
        <v>5</v>
      </c>
      <c r="F62" s="6" t="s">
        <v>5</v>
      </c>
      <c r="G62" s="6" t="s">
        <v>2</v>
      </c>
      <c r="H62" s="6" t="s">
        <v>5</v>
      </c>
      <c r="I62" s="6" t="s">
        <v>5</v>
      </c>
      <c r="J62" s="6" t="s">
        <v>3</v>
      </c>
      <c r="K62" s="6" t="s">
        <v>5</v>
      </c>
      <c r="L62" s="6" t="s">
        <v>2</v>
      </c>
      <c r="M62" s="6" t="s">
        <v>3</v>
      </c>
      <c r="N62" s="6" t="s">
        <v>5</v>
      </c>
      <c r="O62" s="6" t="s">
        <v>2</v>
      </c>
      <c r="P62" s="6" t="s">
        <v>5</v>
      </c>
      <c r="Q62" s="6" t="s">
        <v>5</v>
      </c>
      <c r="R62" s="6" t="s">
        <v>2</v>
      </c>
      <c r="S62" s="6" t="s">
        <v>2</v>
      </c>
      <c r="T62" s="6" t="s">
        <v>5</v>
      </c>
      <c r="U62" s="6" t="s">
        <v>5</v>
      </c>
      <c r="V62" s="6" t="s">
        <v>5</v>
      </c>
      <c r="W62" s="6" t="s">
        <v>5</v>
      </c>
      <c r="X62" s="6" t="s">
        <v>3</v>
      </c>
      <c r="Y62" s="6" t="s">
        <v>3</v>
      </c>
      <c r="Z62" s="6" t="s">
        <v>2</v>
      </c>
      <c r="AA62" s="6" t="s">
        <v>3</v>
      </c>
      <c r="AB62" s="6" t="s">
        <v>4</v>
      </c>
      <c r="AC62" s="6" t="s">
        <v>4</v>
      </c>
      <c r="AD62" s="6" t="s">
        <v>4</v>
      </c>
      <c r="AE62" s="6" t="s">
        <v>4</v>
      </c>
      <c r="AF62" s="6" t="s">
        <v>4</v>
      </c>
      <c r="AG62" s="6" t="s">
        <v>4</v>
      </c>
      <c r="AH62" s="6" t="s">
        <v>3</v>
      </c>
      <c r="AI62" s="6" t="s">
        <v>4</v>
      </c>
      <c r="AJ62" s="6" t="s">
        <v>3</v>
      </c>
      <c r="AK62" s="6" t="s">
        <v>3</v>
      </c>
      <c r="AL62" s="6" t="s">
        <v>4</v>
      </c>
      <c r="AM62" s="6" t="s">
        <v>4</v>
      </c>
      <c r="AN62" s="6" t="s">
        <v>3</v>
      </c>
    </row>
    <row r="63" spans="1:40">
      <c r="A63" s="6">
        <f t="shared" si="0"/>
        <v>62</v>
      </c>
      <c r="B63" s="6" t="s">
        <v>274</v>
      </c>
      <c r="C63" s="6" t="s">
        <v>537</v>
      </c>
      <c r="D63" s="6">
        <v>5</v>
      </c>
      <c r="E63" s="6" t="s">
        <v>5</v>
      </c>
      <c r="F63" s="6" t="s">
        <v>3</v>
      </c>
      <c r="G63" s="6" t="s">
        <v>3</v>
      </c>
      <c r="H63" s="6" t="s">
        <v>5</v>
      </c>
      <c r="I63" s="6" t="s">
        <v>5</v>
      </c>
      <c r="J63" s="6" t="s">
        <v>5</v>
      </c>
      <c r="K63" s="6" t="s">
        <v>5</v>
      </c>
      <c r="L63" s="6" t="s">
        <v>2</v>
      </c>
      <c r="M63" s="6" t="s">
        <v>2</v>
      </c>
      <c r="N63" s="6" t="s">
        <v>5</v>
      </c>
      <c r="O63" s="6" t="s">
        <v>3</v>
      </c>
      <c r="P63" s="6" t="s">
        <v>2</v>
      </c>
      <c r="Q63" s="6" t="s">
        <v>5</v>
      </c>
      <c r="R63" s="6" t="s">
        <v>2</v>
      </c>
      <c r="S63" s="6" t="s">
        <v>3</v>
      </c>
      <c r="T63" s="6" t="s">
        <v>5</v>
      </c>
      <c r="U63" s="6" t="s">
        <v>5</v>
      </c>
      <c r="V63" s="6" t="s">
        <v>5</v>
      </c>
      <c r="W63" s="6" t="s">
        <v>5</v>
      </c>
      <c r="X63" s="6" t="s">
        <v>3</v>
      </c>
      <c r="Y63" s="6" t="s">
        <v>3</v>
      </c>
      <c r="Z63" s="6" t="s">
        <v>2</v>
      </c>
      <c r="AA63" s="6" t="s">
        <v>3</v>
      </c>
      <c r="AB63" s="6" t="s">
        <v>4</v>
      </c>
      <c r="AC63" s="6" t="s">
        <v>4</v>
      </c>
      <c r="AD63" s="6" t="s">
        <v>4</v>
      </c>
      <c r="AE63" s="6" t="s">
        <v>4</v>
      </c>
      <c r="AF63" s="6" t="s">
        <v>4</v>
      </c>
      <c r="AG63" s="6" t="s">
        <v>4</v>
      </c>
      <c r="AH63" s="6" t="s">
        <v>3</v>
      </c>
      <c r="AI63" s="6" t="s">
        <v>4</v>
      </c>
      <c r="AJ63" s="6" t="s">
        <v>3</v>
      </c>
      <c r="AK63" s="6" t="s">
        <v>4</v>
      </c>
      <c r="AL63" s="6" t="s">
        <v>4</v>
      </c>
      <c r="AM63" s="6" t="s">
        <v>4</v>
      </c>
      <c r="AN63" s="6" t="s">
        <v>3</v>
      </c>
    </row>
    <row r="64" spans="1:40">
      <c r="A64" s="6">
        <f t="shared" si="0"/>
        <v>63</v>
      </c>
      <c r="B64" s="6" t="s">
        <v>473</v>
      </c>
      <c r="C64" s="6" t="s">
        <v>537</v>
      </c>
      <c r="D64" s="6">
        <v>5</v>
      </c>
      <c r="E64" s="6" t="s">
        <v>5</v>
      </c>
      <c r="F64" s="6" t="s">
        <v>3</v>
      </c>
      <c r="G64" s="6" t="s">
        <v>5</v>
      </c>
      <c r="H64" s="6" t="s">
        <v>5</v>
      </c>
      <c r="I64" s="6" t="s">
        <v>5</v>
      </c>
      <c r="J64" s="6" t="s">
        <v>5</v>
      </c>
      <c r="K64" s="6" t="s">
        <v>5</v>
      </c>
      <c r="L64" s="6" t="s">
        <v>2</v>
      </c>
      <c r="M64" s="6" t="s">
        <v>3</v>
      </c>
      <c r="N64" s="6" t="s">
        <v>3</v>
      </c>
      <c r="O64" s="6" t="s">
        <v>5</v>
      </c>
      <c r="P64" s="6" t="s">
        <v>2</v>
      </c>
      <c r="Q64" s="6" t="s">
        <v>5</v>
      </c>
      <c r="R64" s="6" t="s">
        <v>2</v>
      </c>
      <c r="S64" s="6" t="s">
        <v>2</v>
      </c>
      <c r="T64" s="6" t="s">
        <v>5</v>
      </c>
      <c r="U64" s="6" t="s">
        <v>5</v>
      </c>
      <c r="V64" s="6" t="s">
        <v>5</v>
      </c>
      <c r="W64" s="6" t="s">
        <v>3</v>
      </c>
      <c r="X64" s="6" t="s">
        <v>3</v>
      </c>
      <c r="Y64" s="6" t="s">
        <v>4</v>
      </c>
      <c r="Z64" s="6" t="s">
        <v>4</v>
      </c>
      <c r="AA64" s="6" t="s">
        <v>3</v>
      </c>
      <c r="AB64" s="6" t="s">
        <v>4</v>
      </c>
      <c r="AC64" s="6" t="s">
        <v>4</v>
      </c>
      <c r="AD64" s="6" t="s">
        <v>4</v>
      </c>
      <c r="AE64" s="6" t="s">
        <v>4</v>
      </c>
      <c r="AF64" s="6" t="s">
        <v>4</v>
      </c>
      <c r="AG64" s="6" t="s">
        <v>3</v>
      </c>
      <c r="AH64" s="6" t="s">
        <v>3</v>
      </c>
      <c r="AI64" s="6" t="s">
        <v>4</v>
      </c>
      <c r="AJ64" s="6" t="s">
        <v>3</v>
      </c>
      <c r="AK64" s="6" t="s">
        <v>4</v>
      </c>
      <c r="AL64" s="6" t="s">
        <v>4</v>
      </c>
      <c r="AM64" s="6" t="s">
        <v>3</v>
      </c>
      <c r="AN64" s="6" t="s">
        <v>3</v>
      </c>
    </row>
    <row r="65" spans="1:40">
      <c r="A65" s="6">
        <f t="shared" si="0"/>
        <v>64</v>
      </c>
      <c r="B65" s="6" t="s">
        <v>478</v>
      </c>
      <c r="C65" s="6" t="s">
        <v>537</v>
      </c>
      <c r="D65" s="6">
        <v>5</v>
      </c>
      <c r="E65" s="6" t="s">
        <v>5</v>
      </c>
      <c r="F65" s="6" t="s">
        <v>5</v>
      </c>
      <c r="G65" s="6" t="s">
        <v>2</v>
      </c>
      <c r="H65" s="6" t="s">
        <v>5</v>
      </c>
      <c r="I65" s="6" t="s">
        <v>5</v>
      </c>
      <c r="J65" s="6" t="s">
        <v>3</v>
      </c>
      <c r="K65" s="6" t="s">
        <v>5</v>
      </c>
      <c r="L65" s="6" t="s">
        <v>2</v>
      </c>
      <c r="M65" s="6" t="s">
        <v>3</v>
      </c>
      <c r="N65" s="6" t="s">
        <v>5</v>
      </c>
      <c r="O65" s="6" t="s">
        <v>2</v>
      </c>
      <c r="P65" s="6" t="s">
        <v>5</v>
      </c>
      <c r="Q65" s="6" t="s">
        <v>5</v>
      </c>
      <c r="R65" s="6" t="s">
        <v>2</v>
      </c>
      <c r="S65" s="6" t="s">
        <v>2</v>
      </c>
      <c r="T65" s="6" t="s">
        <v>5</v>
      </c>
      <c r="U65" s="6" t="s">
        <v>5</v>
      </c>
      <c r="V65" s="6" t="s">
        <v>5</v>
      </c>
      <c r="W65" s="6" t="s">
        <v>5</v>
      </c>
      <c r="X65" s="6" t="s">
        <v>3</v>
      </c>
      <c r="Y65" s="6" t="s">
        <v>3</v>
      </c>
      <c r="Z65" s="6" t="s">
        <v>2</v>
      </c>
      <c r="AA65" s="6" t="s">
        <v>3</v>
      </c>
      <c r="AB65" s="6" t="s">
        <v>4</v>
      </c>
      <c r="AC65" s="6" t="s">
        <v>4</v>
      </c>
      <c r="AD65" s="6" t="s">
        <v>4</v>
      </c>
      <c r="AE65" s="6" t="s">
        <v>4</v>
      </c>
      <c r="AF65" s="6" t="s">
        <v>4</v>
      </c>
      <c r="AG65" s="6" t="s">
        <v>4</v>
      </c>
      <c r="AH65" s="6" t="s">
        <v>3</v>
      </c>
      <c r="AI65" s="6" t="s">
        <v>4</v>
      </c>
      <c r="AJ65" s="6" t="s">
        <v>3</v>
      </c>
      <c r="AK65" s="6" t="s">
        <v>4</v>
      </c>
      <c r="AL65" s="6" t="s">
        <v>4</v>
      </c>
      <c r="AM65" s="6" t="s">
        <v>3</v>
      </c>
      <c r="AN65" s="6" t="s">
        <v>3</v>
      </c>
    </row>
    <row r="66" spans="1:40">
      <c r="A66" s="6">
        <f t="shared" ref="A66:A115" si="1">ROW()-1</f>
        <v>65</v>
      </c>
      <c r="B66" s="6" t="s">
        <v>494</v>
      </c>
      <c r="C66" s="6" t="s">
        <v>537</v>
      </c>
      <c r="D66" s="6">
        <v>5</v>
      </c>
      <c r="E66" s="6" t="s">
        <v>2</v>
      </c>
      <c r="F66" s="6" t="s">
        <v>5</v>
      </c>
      <c r="G66" s="6" t="s">
        <v>2</v>
      </c>
      <c r="H66" s="6" t="s">
        <v>5</v>
      </c>
      <c r="I66" s="6" t="s">
        <v>5</v>
      </c>
      <c r="J66" s="6" t="s">
        <v>5</v>
      </c>
      <c r="K66" s="6" t="s">
        <v>2</v>
      </c>
      <c r="L66" s="6" t="s">
        <v>2</v>
      </c>
      <c r="M66" s="6" t="s">
        <v>2</v>
      </c>
      <c r="N66" s="6" t="s">
        <v>4</v>
      </c>
      <c r="O66" s="6" t="s">
        <v>4</v>
      </c>
      <c r="P66" s="6" t="s">
        <v>4</v>
      </c>
      <c r="Q66" s="6" t="s">
        <v>5</v>
      </c>
      <c r="R66" s="6" t="s">
        <v>4</v>
      </c>
      <c r="S66" s="6" t="s">
        <v>5</v>
      </c>
      <c r="T66" s="6" t="s">
        <v>5</v>
      </c>
      <c r="U66" s="6" t="s">
        <v>5</v>
      </c>
      <c r="V66" s="6" t="s">
        <v>5</v>
      </c>
      <c r="W66" s="6" t="s">
        <v>5</v>
      </c>
      <c r="X66" s="6" t="s">
        <v>4</v>
      </c>
      <c r="Y66" s="6" t="s">
        <v>3</v>
      </c>
      <c r="Z66" s="6" t="s">
        <v>3</v>
      </c>
      <c r="AA66" s="6" t="s">
        <v>3</v>
      </c>
      <c r="AB66" s="6" t="s">
        <v>4</v>
      </c>
      <c r="AC66" s="6" t="s">
        <v>4</v>
      </c>
      <c r="AD66" s="6" t="s">
        <v>4</v>
      </c>
      <c r="AE66" s="6" t="s">
        <v>4</v>
      </c>
      <c r="AF66" s="6" t="s">
        <v>3</v>
      </c>
      <c r="AG66" s="6" t="s">
        <v>3</v>
      </c>
      <c r="AH66" s="6" t="s">
        <v>3</v>
      </c>
      <c r="AI66" s="6" t="s">
        <v>4</v>
      </c>
      <c r="AJ66" s="6" t="s">
        <v>3</v>
      </c>
      <c r="AK66" s="6" t="s">
        <v>4</v>
      </c>
      <c r="AL66" s="6" t="s">
        <v>4</v>
      </c>
      <c r="AM66" s="6" t="s">
        <v>4</v>
      </c>
      <c r="AN66" s="6" t="s">
        <v>3</v>
      </c>
    </row>
    <row r="67" spans="1:40">
      <c r="A67" s="6">
        <f t="shared" si="1"/>
        <v>66</v>
      </c>
      <c r="B67" s="6" t="s">
        <v>35</v>
      </c>
      <c r="C67" s="6" t="s">
        <v>537</v>
      </c>
      <c r="D67" s="52">
        <v>6</v>
      </c>
      <c r="E67" s="6" t="s">
        <v>5</v>
      </c>
      <c r="F67" s="6" t="s">
        <v>3</v>
      </c>
      <c r="G67" s="6" t="s">
        <v>3</v>
      </c>
      <c r="H67" s="6" t="s">
        <v>5</v>
      </c>
      <c r="I67" s="6" t="s">
        <v>5</v>
      </c>
      <c r="J67" s="6" t="s">
        <v>5</v>
      </c>
      <c r="K67" s="6" t="s">
        <v>5</v>
      </c>
      <c r="L67" s="6" t="s">
        <v>5</v>
      </c>
      <c r="M67" s="6" t="s">
        <v>2</v>
      </c>
      <c r="N67" s="6" t="s">
        <v>3</v>
      </c>
      <c r="O67" s="6" t="s">
        <v>2</v>
      </c>
      <c r="P67" s="6" t="s">
        <v>3</v>
      </c>
      <c r="Q67" s="6" t="s">
        <v>2</v>
      </c>
      <c r="R67" s="6" t="s">
        <v>2</v>
      </c>
      <c r="S67" s="6" t="s">
        <v>3</v>
      </c>
      <c r="T67" s="6" t="s">
        <v>5</v>
      </c>
      <c r="U67" s="6" t="s">
        <v>2</v>
      </c>
      <c r="V67" s="6" t="s">
        <v>5</v>
      </c>
      <c r="W67" s="6" t="s">
        <v>3</v>
      </c>
      <c r="X67" s="6" t="s">
        <v>3</v>
      </c>
      <c r="Y67" s="6" t="s">
        <v>3</v>
      </c>
      <c r="Z67" s="6" t="s">
        <v>2</v>
      </c>
      <c r="AA67" s="6" t="s">
        <v>3</v>
      </c>
      <c r="AB67" s="6" t="s">
        <v>4</v>
      </c>
      <c r="AC67" s="6" t="s">
        <v>4</v>
      </c>
      <c r="AD67" s="6" t="s">
        <v>3</v>
      </c>
      <c r="AE67" s="6" t="s">
        <v>4</v>
      </c>
      <c r="AF67" s="6" t="s">
        <v>4</v>
      </c>
      <c r="AG67" s="6" t="s">
        <v>3</v>
      </c>
      <c r="AH67" s="6" t="s">
        <v>3</v>
      </c>
      <c r="AI67" s="6" t="s">
        <v>4</v>
      </c>
      <c r="AJ67" s="6" t="s">
        <v>3</v>
      </c>
      <c r="AK67" s="6" t="s">
        <v>4</v>
      </c>
      <c r="AL67" s="6" t="s">
        <v>4</v>
      </c>
      <c r="AM67" s="6" t="s">
        <v>3</v>
      </c>
      <c r="AN67" s="6" t="s">
        <v>3</v>
      </c>
    </row>
    <row r="68" spans="1:40">
      <c r="A68" s="6">
        <f t="shared" si="1"/>
        <v>67</v>
      </c>
      <c r="B68" s="6" t="s">
        <v>36</v>
      </c>
      <c r="C68" s="6" t="s">
        <v>537</v>
      </c>
      <c r="D68" s="52">
        <v>6</v>
      </c>
      <c r="E68" s="6" t="s">
        <v>5</v>
      </c>
      <c r="F68" s="6" t="s">
        <v>5</v>
      </c>
      <c r="G68" s="6" t="s">
        <v>5</v>
      </c>
      <c r="H68" s="6" t="s">
        <v>5</v>
      </c>
      <c r="I68" s="6" t="s">
        <v>5</v>
      </c>
      <c r="J68" s="6" t="s">
        <v>5</v>
      </c>
      <c r="K68" s="6" t="s">
        <v>5</v>
      </c>
      <c r="L68" s="6" t="s">
        <v>2</v>
      </c>
      <c r="M68" s="6" t="s">
        <v>4</v>
      </c>
      <c r="N68" s="6" t="s">
        <v>4</v>
      </c>
      <c r="O68" s="6" t="s">
        <v>4</v>
      </c>
      <c r="P68" s="6" t="s">
        <v>5</v>
      </c>
      <c r="Q68" s="6" t="s">
        <v>5</v>
      </c>
      <c r="R68" s="6" t="s">
        <v>3</v>
      </c>
      <c r="S68" s="6" t="s">
        <v>5</v>
      </c>
      <c r="T68" s="6" t="s">
        <v>5</v>
      </c>
      <c r="U68" s="6" t="s">
        <v>2</v>
      </c>
      <c r="V68" s="6" t="s">
        <v>5</v>
      </c>
      <c r="W68" s="6" t="s">
        <v>3</v>
      </c>
      <c r="X68" s="6" t="s">
        <v>3</v>
      </c>
      <c r="Y68" s="6" t="s">
        <v>3</v>
      </c>
      <c r="Z68" s="6" t="s">
        <v>2</v>
      </c>
      <c r="AA68" s="6" t="s">
        <v>3</v>
      </c>
      <c r="AB68" s="6" t="s">
        <v>4</v>
      </c>
      <c r="AC68" s="6" t="s">
        <v>4</v>
      </c>
      <c r="AD68" s="6" t="s">
        <v>4</v>
      </c>
      <c r="AE68" s="6" t="s">
        <v>4</v>
      </c>
      <c r="AF68" s="6" t="s">
        <v>3</v>
      </c>
      <c r="AG68" s="6" t="s">
        <v>3</v>
      </c>
      <c r="AH68" s="6" t="s">
        <v>3</v>
      </c>
      <c r="AI68" s="6" t="s">
        <v>4</v>
      </c>
      <c r="AJ68" s="6" t="s">
        <v>3</v>
      </c>
      <c r="AK68" s="6" t="s">
        <v>3</v>
      </c>
      <c r="AL68" s="6" t="s">
        <v>3</v>
      </c>
      <c r="AM68" s="6" t="s">
        <v>3</v>
      </c>
      <c r="AN68" s="6" t="s">
        <v>3</v>
      </c>
    </row>
    <row r="69" spans="1:40">
      <c r="A69" s="6">
        <f t="shared" si="1"/>
        <v>68</v>
      </c>
      <c r="B69" s="6" t="s">
        <v>37</v>
      </c>
      <c r="C69" s="6" t="s">
        <v>537</v>
      </c>
      <c r="D69" s="52">
        <v>6</v>
      </c>
      <c r="E69" s="6" t="s">
        <v>5</v>
      </c>
      <c r="F69" s="6" t="s">
        <v>3</v>
      </c>
      <c r="G69" s="6" t="s">
        <v>2</v>
      </c>
      <c r="H69" s="6" t="s">
        <v>5</v>
      </c>
      <c r="I69" s="6" t="s">
        <v>5</v>
      </c>
      <c r="J69" s="6" t="s">
        <v>5</v>
      </c>
      <c r="K69" s="6" t="s">
        <v>5</v>
      </c>
      <c r="L69" s="6" t="s">
        <v>2</v>
      </c>
      <c r="M69" s="6" t="s">
        <v>2</v>
      </c>
      <c r="N69" s="6" t="s">
        <v>4</v>
      </c>
      <c r="O69" s="6" t="s">
        <v>4</v>
      </c>
      <c r="P69" s="6" t="s">
        <v>5</v>
      </c>
      <c r="Q69" s="6" t="s">
        <v>5</v>
      </c>
      <c r="R69" s="6" t="s">
        <v>4</v>
      </c>
      <c r="S69" s="6" t="s">
        <v>5</v>
      </c>
      <c r="T69" s="6" t="s">
        <v>5</v>
      </c>
      <c r="U69" s="6" t="s">
        <v>2</v>
      </c>
      <c r="V69" s="6" t="s">
        <v>5</v>
      </c>
      <c r="W69" s="6" t="s">
        <v>5</v>
      </c>
      <c r="X69" s="6" t="s">
        <v>4</v>
      </c>
      <c r="Y69" s="6" t="s">
        <v>3</v>
      </c>
      <c r="Z69" s="6" t="s">
        <v>2</v>
      </c>
      <c r="AA69" s="6" t="s">
        <v>3</v>
      </c>
      <c r="AB69" s="6" t="s">
        <v>3</v>
      </c>
      <c r="AC69" s="6" t="s">
        <v>4</v>
      </c>
      <c r="AD69" s="6" t="s">
        <v>4</v>
      </c>
      <c r="AE69" s="6" t="s">
        <v>4</v>
      </c>
      <c r="AF69" s="6" t="s">
        <v>4</v>
      </c>
      <c r="AG69" s="6" t="s">
        <v>4</v>
      </c>
      <c r="AH69" s="6" t="s">
        <v>3</v>
      </c>
      <c r="AI69" s="6" t="s">
        <v>4</v>
      </c>
      <c r="AJ69" s="6" t="s">
        <v>3</v>
      </c>
      <c r="AK69" s="6" t="s">
        <v>4</v>
      </c>
      <c r="AL69" s="6" t="s">
        <v>4</v>
      </c>
      <c r="AM69" s="6" t="s">
        <v>4</v>
      </c>
      <c r="AN69" s="6" t="s">
        <v>3</v>
      </c>
    </row>
    <row r="70" spans="1:40">
      <c r="A70" s="6">
        <f t="shared" si="1"/>
        <v>69</v>
      </c>
      <c r="B70" s="6" t="s">
        <v>38</v>
      </c>
      <c r="C70" s="6" t="s">
        <v>537</v>
      </c>
      <c r="D70" s="52">
        <v>6</v>
      </c>
      <c r="E70" s="6" t="s">
        <v>5</v>
      </c>
      <c r="F70" s="6" t="s">
        <v>3</v>
      </c>
      <c r="G70" s="6" t="s">
        <v>5</v>
      </c>
      <c r="H70" s="6" t="s">
        <v>5</v>
      </c>
      <c r="I70" s="6" t="s">
        <v>5</v>
      </c>
      <c r="J70" s="6" t="s">
        <v>5</v>
      </c>
      <c r="K70" s="6" t="s">
        <v>5</v>
      </c>
      <c r="L70" s="6" t="s">
        <v>2</v>
      </c>
      <c r="M70" s="6" t="s">
        <v>2</v>
      </c>
      <c r="N70" s="6" t="s">
        <v>4</v>
      </c>
      <c r="O70" s="6" t="s">
        <v>3</v>
      </c>
      <c r="P70" s="6" t="s">
        <v>5</v>
      </c>
      <c r="Q70" s="6" t="s">
        <v>2</v>
      </c>
      <c r="R70" s="6" t="s">
        <v>3</v>
      </c>
      <c r="S70" s="6" t="s">
        <v>2</v>
      </c>
      <c r="T70" s="6" t="s">
        <v>5</v>
      </c>
      <c r="U70" s="6" t="s">
        <v>5</v>
      </c>
      <c r="V70" s="6" t="s">
        <v>5</v>
      </c>
      <c r="W70" s="6" t="s">
        <v>5</v>
      </c>
      <c r="X70" s="6" t="s">
        <v>2</v>
      </c>
      <c r="Y70" s="6" t="s">
        <v>2</v>
      </c>
      <c r="Z70" s="6" t="s">
        <v>2</v>
      </c>
      <c r="AA70" s="6" t="s">
        <v>3</v>
      </c>
      <c r="AB70" s="6" t="s">
        <v>4</v>
      </c>
      <c r="AC70" s="6" t="s">
        <v>4</v>
      </c>
      <c r="AD70" s="6" t="s">
        <v>4</v>
      </c>
      <c r="AE70" s="6" t="s">
        <v>4</v>
      </c>
      <c r="AF70" s="6" t="s">
        <v>4</v>
      </c>
      <c r="AG70" s="6" t="s">
        <v>3</v>
      </c>
      <c r="AH70" s="6" t="s">
        <v>4</v>
      </c>
      <c r="AI70" s="6" t="s">
        <v>4</v>
      </c>
      <c r="AJ70" s="6" t="s">
        <v>4</v>
      </c>
      <c r="AK70" s="6" t="s">
        <v>4</v>
      </c>
      <c r="AL70" s="6" t="s">
        <v>4</v>
      </c>
      <c r="AM70" s="6" t="s">
        <v>4</v>
      </c>
      <c r="AN70" s="6" t="s">
        <v>3</v>
      </c>
    </row>
    <row r="71" spans="1:40">
      <c r="A71" s="6">
        <f t="shared" si="1"/>
        <v>70</v>
      </c>
      <c r="B71" s="6" t="s">
        <v>254</v>
      </c>
      <c r="C71" s="6" t="s">
        <v>537</v>
      </c>
      <c r="D71" s="52">
        <v>6</v>
      </c>
      <c r="E71" s="6" t="s">
        <v>4</v>
      </c>
      <c r="F71" s="6" t="s">
        <v>5</v>
      </c>
      <c r="G71" s="6" t="s">
        <v>2</v>
      </c>
      <c r="H71" s="6" t="s">
        <v>5</v>
      </c>
      <c r="I71" s="6" t="s">
        <v>5</v>
      </c>
      <c r="J71" s="6" t="s">
        <v>5</v>
      </c>
      <c r="K71" s="6" t="s">
        <v>2</v>
      </c>
      <c r="L71" s="6" t="s">
        <v>2</v>
      </c>
      <c r="M71" s="6" t="s">
        <v>2</v>
      </c>
      <c r="N71" s="6" t="s">
        <v>4</v>
      </c>
      <c r="O71" s="6" t="s">
        <v>3</v>
      </c>
      <c r="P71" s="6" t="s">
        <v>5</v>
      </c>
      <c r="Q71" s="6" t="s">
        <v>5</v>
      </c>
      <c r="R71" s="6" t="s">
        <v>4</v>
      </c>
      <c r="S71" s="6" t="s">
        <v>5</v>
      </c>
      <c r="T71" s="6" t="s">
        <v>5</v>
      </c>
      <c r="U71" s="6" t="s">
        <v>5</v>
      </c>
      <c r="V71" s="6" t="s">
        <v>5</v>
      </c>
      <c r="W71" s="6" t="s">
        <v>5</v>
      </c>
      <c r="X71" s="6" t="s">
        <v>4</v>
      </c>
      <c r="Y71" s="6" t="s">
        <v>3</v>
      </c>
      <c r="Z71" s="6" t="s">
        <v>2</v>
      </c>
      <c r="AA71" s="6" t="s">
        <v>3</v>
      </c>
      <c r="AB71" s="6" t="s">
        <v>4</v>
      </c>
      <c r="AC71" s="6" t="s">
        <v>4</v>
      </c>
      <c r="AD71" s="6" t="s">
        <v>4</v>
      </c>
      <c r="AE71" s="6" t="s">
        <v>3</v>
      </c>
      <c r="AF71" s="6" t="s">
        <v>4</v>
      </c>
      <c r="AG71" s="6" t="s">
        <v>3</v>
      </c>
      <c r="AH71" s="6" t="s">
        <v>3</v>
      </c>
      <c r="AI71" s="6" t="s">
        <v>3</v>
      </c>
      <c r="AJ71" s="6" t="s">
        <v>3</v>
      </c>
      <c r="AK71" s="6" t="s">
        <v>3</v>
      </c>
      <c r="AL71" s="6" t="s">
        <v>3</v>
      </c>
      <c r="AM71" s="6" t="s">
        <v>3</v>
      </c>
      <c r="AN71" s="6" t="s">
        <v>3</v>
      </c>
    </row>
    <row r="72" spans="1:40">
      <c r="A72" s="6">
        <f t="shared" si="1"/>
        <v>71</v>
      </c>
      <c r="B72" s="6" t="s">
        <v>253</v>
      </c>
      <c r="C72" s="6" t="s">
        <v>537</v>
      </c>
      <c r="D72" s="52">
        <v>6</v>
      </c>
      <c r="E72" s="6" t="s">
        <v>5</v>
      </c>
      <c r="F72" s="6" t="s">
        <v>5</v>
      </c>
      <c r="G72" s="6" t="s">
        <v>3</v>
      </c>
      <c r="H72" s="6" t="s">
        <v>2</v>
      </c>
      <c r="I72" s="6" t="s">
        <v>5</v>
      </c>
      <c r="J72" s="6" t="s">
        <v>5</v>
      </c>
      <c r="K72" s="6" t="s">
        <v>5</v>
      </c>
      <c r="L72" s="6" t="s">
        <v>5</v>
      </c>
      <c r="M72" s="6" t="s">
        <v>2</v>
      </c>
      <c r="N72" s="6" t="s">
        <v>4</v>
      </c>
      <c r="O72" s="6" t="s">
        <v>4</v>
      </c>
      <c r="P72" s="6" t="s">
        <v>2</v>
      </c>
      <c r="Q72" s="6" t="s">
        <v>5</v>
      </c>
      <c r="R72" s="6" t="s">
        <v>2</v>
      </c>
      <c r="S72" s="6" t="s">
        <v>2</v>
      </c>
      <c r="T72" s="6" t="s">
        <v>5</v>
      </c>
      <c r="U72" s="6" t="s">
        <v>3</v>
      </c>
      <c r="V72" s="6" t="s">
        <v>5</v>
      </c>
      <c r="W72" s="6" t="s">
        <v>3</v>
      </c>
      <c r="X72" s="6" t="s">
        <v>2</v>
      </c>
      <c r="Y72" s="6" t="s">
        <v>2</v>
      </c>
      <c r="Z72" s="6" t="s">
        <v>5</v>
      </c>
      <c r="AA72" s="6" t="s">
        <v>3</v>
      </c>
      <c r="AB72" s="6" t="s">
        <v>4</v>
      </c>
      <c r="AC72" s="6" t="s">
        <v>4</v>
      </c>
      <c r="AD72" s="6" t="s">
        <v>4</v>
      </c>
      <c r="AE72" s="6" t="s">
        <v>3</v>
      </c>
      <c r="AF72" s="6" t="s">
        <v>4</v>
      </c>
      <c r="AG72" s="6" t="s">
        <v>3</v>
      </c>
      <c r="AH72" s="6" t="s">
        <v>3</v>
      </c>
      <c r="AI72" s="6" t="s">
        <v>3</v>
      </c>
      <c r="AJ72" s="6" t="s">
        <v>3</v>
      </c>
      <c r="AK72" s="6" t="s">
        <v>3</v>
      </c>
      <c r="AL72" s="6" t="s">
        <v>3</v>
      </c>
      <c r="AM72" s="6" t="s">
        <v>4</v>
      </c>
      <c r="AN72" s="6" t="s">
        <v>3</v>
      </c>
    </row>
    <row r="73" spans="1:40">
      <c r="A73" s="6">
        <f t="shared" si="1"/>
        <v>72</v>
      </c>
      <c r="B73" s="6" t="s">
        <v>275</v>
      </c>
      <c r="C73" s="6" t="s">
        <v>537</v>
      </c>
      <c r="D73" s="52">
        <v>6</v>
      </c>
      <c r="E73" s="6" t="s">
        <v>5</v>
      </c>
      <c r="F73" s="6" t="s">
        <v>3</v>
      </c>
      <c r="G73" s="6" t="s">
        <v>3</v>
      </c>
      <c r="H73" s="6" t="s">
        <v>5</v>
      </c>
      <c r="I73" s="6" t="s">
        <v>5</v>
      </c>
      <c r="J73" s="6" t="s">
        <v>5</v>
      </c>
      <c r="K73" s="6" t="s">
        <v>5</v>
      </c>
      <c r="L73" s="6" t="s">
        <v>2</v>
      </c>
      <c r="M73" s="6" t="s">
        <v>2</v>
      </c>
      <c r="N73" s="6" t="s">
        <v>5</v>
      </c>
      <c r="O73" s="6" t="s">
        <v>3</v>
      </c>
      <c r="P73" s="6" t="s">
        <v>5</v>
      </c>
      <c r="Q73" s="6" t="s">
        <v>5</v>
      </c>
      <c r="R73" s="6" t="s">
        <v>3</v>
      </c>
      <c r="S73" s="6" t="s">
        <v>2</v>
      </c>
      <c r="T73" s="6" t="s">
        <v>5</v>
      </c>
      <c r="U73" s="6" t="s">
        <v>5</v>
      </c>
      <c r="V73" s="6" t="s">
        <v>5</v>
      </c>
      <c r="W73" s="6" t="s">
        <v>5</v>
      </c>
      <c r="X73" s="6" t="s">
        <v>4</v>
      </c>
      <c r="Y73" s="6" t="s">
        <v>4</v>
      </c>
      <c r="Z73" s="6" t="s">
        <v>4</v>
      </c>
      <c r="AA73" s="6" t="s">
        <v>3</v>
      </c>
      <c r="AB73" s="6" t="s">
        <v>4</v>
      </c>
      <c r="AC73" s="6" t="s">
        <v>4</v>
      </c>
      <c r="AD73" s="6" t="s">
        <v>4</v>
      </c>
      <c r="AE73" s="6" t="s">
        <v>4</v>
      </c>
      <c r="AF73" s="6" t="s">
        <v>4</v>
      </c>
      <c r="AG73" s="6" t="s">
        <v>4</v>
      </c>
      <c r="AH73" s="6" t="s">
        <v>3</v>
      </c>
      <c r="AI73" s="6" t="s">
        <v>4</v>
      </c>
      <c r="AJ73" s="6" t="s">
        <v>3</v>
      </c>
      <c r="AK73" s="6" t="s">
        <v>3</v>
      </c>
      <c r="AL73" s="6" t="s">
        <v>3</v>
      </c>
      <c r="AM73" s="6" t="s">
        <v>4</v>
      </c>
      <c r="AN73" s="6" t="s">
        <v>3</v>
      </c>
    </row>
    <row r="74" spans="1:40">
      <c r="A74" s="6">
        <f t="shared" si="1"/>
        <v>73</v>
      </c>
      <c r="B74" s="6" t="s">
        <v>276</v>
      </c>
      <c r="C74" s="6" t="s">
        <v>537</v>
      </c>
      <c r="D74" s="52">
        <v>6</v>
      </c>
      <c r="E74" s="6" t="s">
        <v>5</v>
      </c>
      <c r="F74" s="6" t="s">
        <v>5</v>
      </c>
      <c r="G74" s="6" t="s">
        <v>5</v>
      </c>
      <c r="H74" s="6" t="s">
        <v>5</v>
      </c>
      <c r="I74" s="6" t="s">
        <v>5</v>
      </c>
      <c r="J74" s="6" t="s">
        <v>5</v>
      </c>
      <c r="K74" s="6" t="s">
        <v>5</v>
      </c>
      <c r="L74" s="6" t="s">
        <v>2</v>
      </c>
      <c r="M74" s="6" t="s">
        <v>3</v>
      </c>
      <c r="N74" s="6" t="s">
        <v>5</v>
      </c>
      <c r="O74" s="6" t="s">
        <v>4</v>
      </c>
      <c r="P74" s="6" t="s">
        <v>5</v>
      </c>
      <c r="Q74" s="6" t="s">
        <v>2</v>
      </c>
      <c r="R74" s="6" t="s">
        <v>2</v>
      </c>
      <c r="S74" s="6" t="s">
        <v>2</v>
      </c>
      <c r="T74" s="6" t="s">
        <v>5</v>
      </c>
      <c r="U74" s="6" t="s">
        <v>3</v>
      </c>
      <c r="V74" s="6" t="s">
        <v>5</v>
      </c>
      <c r="W74" s="6" t="s">
        <v>5</v>
      </c>
      <c r="X74" s="6" t="s">
        <v>3</v>
      </c>
      <c r="Y74" s="6" t="s">
        <v>2</v>
      </c>
      <c r="Z74" s="6" t="s">
        <v>2</v>
      </c>
      <c r="AA74" s="6" t="s">
        <v>3</v>
      </c>
      <c r="AB74" s="6" t="s">
        <v>4</v>
      </c>
      <c r="AC74" s="6" t="s">
        <v>4</v>
      </c>
      <c r="AD74" s="6" t="s">
        <v>4</v>
      </c>
      <c r="AE74" s="6" t="s">
        <v>4</v>
      </c>
      <c r="AF74" s="6" t="s">
        <v>4</v>
      </c>
      <c r="AG74" s="6" t="s">
        <v>4</v>
      </c>
      <c r="AH74" s="6" t="s">
        <v>4</v>
      </c>
      <c r="AI74" s="6" t="s">
        <v>4</v>
      </c>
      <c r="AJ74" s="6" t="s">
        <v>3</v>
      </c>
      <c r="AK74" s="6" t="s">
        <v>3</v>
      </c>
      <c r="AL74" s="6" t="s">
        <v>4</v>
      </c>
      <c r="AM74" s="6" t="s">
        <v>4</v>
      </c>
      <c r="AN74" s="6" t="s">
        <v>3</v>
      </c>
    </row>
    <row r="75" spans="1:40">
      <c r="A75" s="6">
        <f t="shared" si="1"/>
        <v>74</v>
      </c>
      <c r="B75" s="6" t="s">
        <v>277</v>
      </c>
      <c r="C75" s="6" t="s">
        <v>537</v>
      </c>
      <c r="D75" s="52">
        <v>6</v>
      </c>
      <c r="E75" s="6" t="s">
        <v>5</v>
      </c>
      <c r="F75" s="6" t="s">
        <v>3</v>
      </c>
      <c r="G75" s="6" t="s">
        <v>4</v>
      </c>
      <c r="H75" s="6" t="s">
        <v>5</v>
      </c>
      <c r="I75" s="6" t="s">
        <v>5</v>
      </c>
      <c r="J75" s="6" t="s">
        <v>3</v>
      </c>
      <c r="K75" s="6" t="s">
        <v>2</v>
      </c>
      <c r="L75" s="6" t="s">
        <v>2</v>
      </c>
      <c r="M75" s="6" t="s">
        <v>3</v>
      </c>
      <c r="N75" s="6" t="s">
        <v>3</v>
      </c>
      <c r="O75" s="6" t="s">
        <v>4</v>
      </c>
      <c r="P75" s="6" t="s">
        <v>5</v>
      </c>
      <c r="Q75" s="6" t="s">
        <v>5</v>
      </c>
      <c r="R75" s="6" t="s">
        <v>3</v>
      </c>
      <c r="S75" s="6" t="s">
        <v>5</v>
      </c>
      <c r="T75" s="6" t="s">
        <v>5</v>
      </c>
      <c r="U75" s="6" t="s">
        <v>5</v>
      </c>
      <c r="V75" s="6" t="s">
        <v>5</v>
      </c>
      <c r="W75" s="6" t="s">
        <v>4</v>
      </c>
      <c r="X75" s="6" t="s">
        <v>4</v>
      </c>
      <c r="Y75" s="6" t="s">
        <v>3</v>
      </c>
      <c r="Z75" s="6" t="s">
        <v>4</v>
      </c>
      <c r="AA75" s="6" t="s">
        <v>3</v>
      </c>
      <c r="AB75" s="6" t="s">
        <v>3</v>
      </c>
      <c r="AC75" s="6" t="s">
        <v>3</v>
      </c>
      <c r="AD75" s="6" t="s">
        <v>4</v>
      </c>
      <c r="AE75" s="6" t="s">
        <v>4</v>
      </c>
      <c r="AF75" s="6" t="s">
        <v>4</v>
      </c>
      <c r="AG75" s="6" t="s">
        <v>4</v>
      </c>
      <c r="AH75" s="6" t="s">
        <v>4</v>
      </c>
      <c r="AI75" s="6" t="s">
        <v>4</v>
      </c>
      <c r="AJ75" s="6" t="s">
        <v>4</v>
      </c>
      <c r="AK75" s="6" t="s">
        <v>4</v>
      </c>
      <c r="AL75" s="6" t="s">
        <v>4</v>
      </c>
      <c r="AM75" s="6" t="s">
        <v>4</v>
      </c>
      <c r="AN75" s="6" t="s">
        <v>4</v>
      </c>
    </row>
    <row r="76" spans="1:40">
      <c r="A76" s="6">
        <f t="shared" si="1"/>
        <v>75</v>
      </c>
      <c r="B76" s="6" t="s">
        <v>278</v>
      </c>
      <c r="C76" s="6" t="s">
        <v>537</v>
      </c>
      <c r="D76" s="52">
        <v>6</v>
      </c>
      <c r="E76" s="6" t="s">
        <v>5</v>
      </c>
      <c r="F76" s="6" t="s">
        <v>5</v>
      </c>
      <c r="G76" s="6" t="s">
        <v>3</v>
      </c>
      <c r="H76" s="6" t="s">
        <v>5</v>
      </c>
      <c r="I76" s="6" t="s">
        <v>5</v>
      </c>
      <c r="J76" s="6" t="s">
        <v>5</v>
      </c>
      <c r="K76" s="6" t="s">
        <v>5</v>
      </c>
      <c r="L76" s="6" t="s">
        <v>2</v>
      </c>
      <c r="M76" s="6" t="s">
        <v>2</v>
      </c>
      <c r="N76" s="6" t="s">
        <v>4</v>
      </c>
      <c r="O76" s="6" t="s">
        <v>4</v>
      </c>
      <c r="P76" s="6" t="s">
        <v>4</v>
      </c>
      <c r="Q76" s="6" t="s">
        <v>5</v>
      </c>
      <c r="R76" s="6" t="s">
        <v>4</v>
      </c>
      <c r="S76" s="6" t="s">
        <v>5</v>
      </c>
      <c r="T76" s="6" t="s">
        <v>5</v>
      </c>
      <c r="U76" s="6" t="s">
        <v>5</v>
      </c>
      <c r="V76" s="6" t="s">
        <v>5</v>
      </c>
      <c r="W76" s="6" t="s">
        <v>3</v>
      </c>
      <c r="X76" s="6" t="s">
        <v>5</v>
      </c>
      <c r="Y76" s="6" t="s">
        <v>2</v>
      </c>
      <c r="Z76" s="6" t="s">
        <v>4</v>
      </c>
      <c r="AA76" s="6" t="s">
        <v>3</v>
      </c>
      <c r="AB76" s="6" t="s">
        <v>4</v>
      </c>
      <c r="AC76" s="6" t="s">
        <v>4</v>
      </c>
      <c r="AD76" s="6" t="s">
        <v>4</v>
      </c>
      <c r="AE76" s="6" t="s">
        <v>4</v>
      </c>
      <c r="AF76" s="6" t="s">
        <v>4</v>
      </c>
      <c r="AG76" s="6" t="s">
        <v>4</v>
      </c>
      <c r="AH76" s="6" t="s">
        <v>3</v>
      </c>
      <c r="AI76" s="6" t="s">
        <v>4</v>
      </c>
      <c r="AJ76" s="6" t="s">
        <v>3</v>
      </c>
      <c r="AK76" s="6" t="s">
        <v>3</v>
      </c>
      <c r="AL76" s="6" t="s">
        <v>4</v>
      </c>
      <c r="AM76" s="6" t="s">
        <v>4</v>
      </c>
      <c r="AN76" s="6" t="s">
        <v>3</v>
      </c>
    </row>
    <row r="77" spans="1:40">
      <c r="A77" s="6">
        <f t="shared" si="1"/>
        <v>76</v>
      </c>
      <c r="B77" s="6" t="s">
        <v>474</v>
      </c>
      <c r="C77" s="6" t="s">
        <v>537</v>
      </c>
      <c r="D77" s="6">
        <v>6</v>
      </c>
      <c r="E77" s="6" t="s">
        <v>5</v>
      </c>
      <c r="F77" s="6" t="s">
        <v>5</v>
      </c>
      <c r="G77" s="6" t="s">
        <v>3</v>
      </c>
      <c r="H77" s="6" t="s">
        <v>5</v>
      </c>
      <c r="I77" s="6" t="s">
        <v>5</v>
      </c>
      <c r="J77" s="6" t="s">
        <v>5</v>
      </c>
      <c r="K77" s="6" t="s">
        <v>2</v>
      </c>
      <c r="L77" s="6" t="s">
        <v>2</v>
      </c>
      <c r="M77" s="6" t="s">
        <v>2</v>
      </c>
      <c r="N77" s="6" t="s">
        <v>2</v>
      </c>
      <c r="O77" s="6" t="s">
        <v>4</v>
      </c>
      <c r="P77" s="6" t="s">
        <v>5</v>
      </c>
      <c r="Q77" s="6" t="s">
        <v>2</v>
      </c>
      <c r="R77" s="6" t="s">
        <v>3</v>
      </c>
      <c r="S77" s="6" t="s">
        <v>3</v>
      </c>
      <c r="T77" s="6" t="s">
        <v>5</v>
      </c>
      <c r="U77" s="6" t="s">
        <v>3</v>
      </c>
      <c r="V77" s="6" t="s">
        <v>2</v>
      </c>
      <c r="W77" s="6" t="s">
        <v>3</v>
      </c>
      <c r="X77" s="6" t="s">
        <v>4</v>
      </c>
      <c r="Y77" s="6" t="s">
        <v>4</v>
      </c>
      <c r="Z77" s="6" t="s">
        <v>4</v>
      </c>
      <c r="AA77" s="6" t="s">
        <v>3</v>
      </c>
      <c r="AB77" s="6" t="s">
        <v>4</v>
      </c>
      <c r="AC77" s="6" t="s">
        <v>4</v>
      </c>
      <c r="AD77" s="6" t="s">
        <v>4</v>
      </c>
      <c r="AE77" s="6" t="s">
        <v>4</v>
      </c>
      <c r="AF77" s="6" t="s">
        <v>4</v>
      </c>
      <c r="AG77" s="6" t="s">
        <v>4</v>
      </c>
      <c r="AH77" s="6" t="s">
        <v>3</v>
      </c>
      <c r="AI77" s="6" t="s">
        <v>4</v>
      </c>
      <c r="AJ77" s="6" t="s">
        <v>3</v>
      </c>
      <c r="AK77" s="6" t="s">
        <v>4</v>
      </c>
      <c r="AL77" s="6" t="s">
        <v>3</v>
      </c>
      <c r="AM77" s="6" t="s">
        <v>3</v>
      </c>
      <c r="AN77" s="6" t="s">
        <v>3</v>
      </c>
    </row>
    <row r="78" spans="1:40">
      <c r="A78" s="6">
        <f t="shared" si="1"/>
        <v>77</v>
      </c>
      <c r="B78" s="6" t="s">
        <v>476</v>
      </c>
      <c r="C78" s="6" t="s">
        <v>537</v>
      </c>
      <c r="D78" s="6">
        <v>6</v>
      </c>
      <c r="E78" s="6" t="s">
        <v>5</v>
      </c>
      <c r="F78" s="6" t="s">
        <v>5</v>
      </c>
      <c r="G78" s="6" t="s">
        <v>5</v>
      </c>
      <c r="H78" s="6" t="s">
        <v>5</v>
      </c>
      <c r="I78" s="6" t="s">
        <v>5</v>
      </c>
      <c r="J78" s="6" t="s">
        <v>5</v>
      </c>
      <c r="K78" s="6" t="s">
        <v>5</v>
      </c>
      <c r="L78" s="6" t="s">
        <v>2</v>
      </c>
      <c r="M78" s="6" t="s">
        <v>3</v>
      </c>
      <c r="N78" s="6" t="s">
        <v>3</v>
      </c>
      <c r="O78" s="6" t="s">
        <v>4</v>
      </c>
      <c r="P78" s="6" t="s">
        <v>3</v>
      </c>
      <c r="Q78" s="6" t="s">
        <v>5</v>
      </c>
      <c r="R78" s="6" t="s">
        <v>3</v>
      </c>
      <c r="S78" s="6" t="s">
        <v>3</v>
      </c>
      <c r="T78" s="6" t="s">
        <v>5</v>
      </c>
      <c r="U78" s="6" t="s">
        <v>3</v>
      </c>
      <c r="V78" s="6" t="s">
        <v>5</v>
      </c>
      <c r="W78" s="6" t="s">
        <v>4</v>
      </c>
      <c r="X78" s="6" t="s">
        <v>2</v>
      </c>
      <c r="Y78" s="6" t="s">
        <v>5</v>
      </c>
      <c r="Z78" s="6" t="s">
        <v>4</v>
      </c>
      <c r="AA78" s="6" t="s">
        <v>3</v>
      </c>
      <c r="AB78" s="6" t="s">
        <v>4</v>
      </c>
      <c r="AC78" s="6" t="s">
        <v>4</v>
      </c>
      <c r="AD78" s="6" t="s">
        <v>4</v>
      </c>
      <c r="AE78" s="6" t="s">
        <v>4</v>
      </c>
      <c r="AF78" s="6" t="s">
        <v>3</v>
      </c>
      <c r="AG78" s="6" t="s">
        <v>4</v>
      </c>
      <c r="AH78" s="6" t="s">
        <v>3</v>
      </c>
      <c r="AI78" s="6" t="s">
        <v>4</v>
      </c>
      <c r="AJ78" s="6" t="s">
        <v>3</v>
      </c>
      <c r="AK78" s="6" t="s">
        <v>4</v>
      </c>
      <c r="AL78" s="6" t="s">
        <v>3</v>
      </c>
      <c r="AM78" s="6" t="s">
        <v>3</v>
      </c>
      <c r="AN78" s="6" t="s">
        <v>3</v>
      </c>
    </row>
    <row r="79" spans="1:40">
      <c r="A79" s="6">
        <f t="shared" si="1"/>
        <v>78</v>
      </c>
      <c r="B79" s="6" t="s">
        <v>489</v>
      </c>
      <c r="C79" s="6" t="s">
        <v>537</v>
      </c>
      <c r="D79" s="6">
        <v>6</v>
      </c>
      <c r="E79" s="6" t="s">
        <v>5</v>
      </c>
      <c r="F79" s="6" t="s">
        <v>5</v>
      </c>
      <c r="G79" s="6" t="s">
        <v>4</v>
      </c>
      <c r="H79" s="6" t="s">
        <v>5</v>
      </c>
      <c r="I79" s="6" t="s">
        <v>5</v>
      </c>
      <c r="J79" s="6" t="s">
        <v>3</v>
      </c>
      <c r="K79" s="6" t="s">
        <v>5</v>
      </c>
      <c r="L79" s="6" t="s">
        <v>2</v>
      </c>
      <c r="M79" s="6" t="s">
        <v>2</v>
      </c>
      <c r="N79" s="6" t="s">
        <v>4</v>
      </c>
      <c r="O79" s="6" t="s">
        <v>3</v>
      </c>
      <c r="P79" s="6" t="s">
        <v>5</v>
      </c>
      <c r="Q79" s="6" t="s">
        <v>5</v>
      </c>
      <c r="R79" s="6" t="s">
        <v>4</v>
      </c>
      <c r="S79" s="6" t="s">
        <v>5</v>
      </c>
      <c r="T79" s="6" t="s">
        <v>5</v>
      </c>
      <c r="U79" s="6" t="s">
        <v>5</v>
      </c>
      <c r="V79" s="6" t="s">
        <v>5</v>
      </c>
      <c r="W79" s="6" t="s">
        <v>2</v>
      </c>
      <c r="X79" s="6" t="s">
        <v>4</v>
      </c>
      <c r="Y79" s="6" t="s">
        <v>5</v>
      </c>
      <c r="Z79" s="6" t="s">
        <v>2</v>
      </c>
      <c r="AA79" s="6" t="s">
        <v>3</v>
      </c>
      <c r="AB79" s="6" t="s">
        <v>4</v>
      </c>
      <c r="AC79" s="6" t="s">
        <v>4</v>
      </c>
      <c r="AD79" s="6" t="s">
        <v>4</v>
      </c>
      <c r="AE79" s="6" t="s">
        <v>4</v>
      </c>
      <c r="AF79" s="6" t="s">
        <v>4</v>
      </c>
      <c r="AG79" s="6" t="s">
        <v>4</v>
      </c>
      <c r="AH79" s="6" t="s">
        <v>3</v>
      </c>
      <c r="AI79" s="6" t="s">
        <v>4</v>
      </c>
      <c r="AJ79" s="6" t="s">
        <v>4</v>
      </c>
      <c r="AK79" s="6" t="s">
        <v>4</v>
      </c>
      <c r="AL79" s="6" t="s">
        <v>3</v>
      </c>
      <c r="AM79" s="6" t="s">
        <v>4</v>
      </c>
      <c r="AN79" s="6" t="s">
        <v>3</v>
      </c>
    </row>
    <row r="80" spans="1:40">
      <c r="A80" s="6">
        <f t="shared" si="1"/>
        <v>79</v>
      </c>
      <c r="B80" s="6" t="s">
        <v>256</v>
      </c>
      <c r="C80" s="6" t="s">
        <v>538</v>
      </c>
      <c r="D80" s="6">
        <v>1</v>
      </c>
      <c r="E80" s="6" t="s">
        <v>3</v>
      </c>
      <c r="F80" s="6" t="s">
        <v>5</v>
      </c>
      <c r="G80" s="6" t="s">
        <v>3</v>
      </c>
      <c r="H80" s="6" t="s">
        <v>5</v>
      </c>
      <c r="I80" s="6" t="s">
        <v>5</v>
      </c>
      <c r="J80" s="6" t="s">
        <v>5</v>
      </c>
      <c r="K80" s="6" t="s">
        <v>5</v>
      </c>
      <c r="L80" s="6" t="s">
        <v>2</v>
      </c>
      <c r="M80" s="6" t="s">
        <v>3</v>
      </c>
      <c r="N80" s="6" t="s">
        <v>3</v>
      </c>
      <c r="O80" s="6" t="s">
        <v>3</v>
      </c>
      <c r="P80" s="6" t="s">
        <v>4</v>
      </c>
      <c r="Q80" s="6" t="s">
        <v>5</v>
      </c>
      <c r="R80" s="6" t="s">
        <v>3</v>
      </c>
      <c r="S80" s="6" t="s">
        <v>4</v>
      </c>
      <c r="T80" s="6" t="s">
        <v>5</v>
      </c>
      <c r="U80" s="6" t="s">
        <v>5</v>
      </c>
      <c r="V80" s="6" t="s">
        <v>5</v>
      </c>
      <c r="W80" s="6" t="s">
        <v>3</v>
      </c>
      <c r="X80" s="6" t="s">
        <v>4</v>
      </c>
      <c r="Y80" s="6" t="s">
        <v>3</v>
      </c>
      <c r="Z80" s="6" t="s">
        <v>2</v>
      </c>
      <c r="AA80" s="6" t="s">
        <v>3</v>
      </c>
      <c r="AB80" s="6" t="s">
        <v>4</v>
      </c>
      <c r="AC80" s="6" t="s">
        <v>4</v>
      </c>
      <c r="AD80" s="6" t="s">
        <v>4</v>
      </c>
      <c r="AE80" s="6" t="s">
        <v>4</v>
      </c>
      <c r="AF80" s="6" t="s">
        <v>4</v>
      </c>
      <c r="AG80" s="6" t="s">
        <v>4</v>
      </c>
      <c r="AH80" s="6" t="s">
        <v>3</v>
      </c>
      <c r="AI80" s="6" t="s">
        <v>4</v>
      </c>
      <c r="AJ80" s="6" t="s">
        <v>3</v>
      </c>
      <c r="AK80" s="6" t="s">
        <v>4</v>
      </c>
      <c r="AL80" s="6" t="s">
        <v>4</v>
      </c>
      <c r="AM80" s="6" t="s">
        <v>4</v>
      </c>
      <c r="AN80" s="6" t="s">
        <v>3</v>
      </c>
    </row>
    <row r="81" spans="1:40">
      <c r="A81" s="6">
        <f t="shared" si="1"/>
        <v>80</v>
      </c>
      <c r="B81" s="6" t="s">
        <v>257</v>
      </c>
      <c r="C81" s="6" t="s">
        <v>538</v>
      </c>
      <c r="D81" s="6">
        <v>1</v>
      </c>
      <c r="E81" s="6" t="s">
        <v>3</v>
      </c>
      <c r="F81" s="6" t="s">
        <v>3</v>
      </c>
      <c r="G81" s="6" t="s">
        <v>2</v>
      </c>
      <c r="H81" s="6" t="s">
        <v>3</v>
      </c>
      <c r="I81" s="6" t="s">
        <v>5</v>
      </c>
      <c r="J81" s="6" t="s">
        <v>5</v>
      </c>
      <c r="K81" s="6" t="s">
        <v>5</v>
      </c>
      <c r="L81" s="6" t="s">
        <v>2</v>
      </c>
      <c r="M81" s="6" t="s">
        <v>2</v>
      </c>
      <c r="N81" s="6" t="s">
        <v>2</v>
      </c>
      <c r="O81" s="6" t="s">
        <v>3</v>
      </c>
      <c r="P81" s="6" t="s">
        <v>2</v>
      </c>
      <c r="Q81" s="6" t="s">
        <v>5</v>
      </c>
      <c r="R81" s="6" t="s">
        <v>3</v>
      </c>
      <c r="S81" s="6" t="s">
        <v>3</v>
      </c>
      <c r="T81" s="6" t="s">
        <v>5</v>
      </c>
      <c r="U81" s="6" t="s">
        <v>5</v>
      </c>
      <c r="V81" s="6" t="s">
        <v>5</v>
      </c>
      <c r="W81" s="6" t="s">
        <v>2</v>
      </c>
      <c r="X81" s="6" t="s">
        <v>4</v>
      </c>
      <c r="Y81" s="6" t="s">
        <v>3</v>
      </c>
      <c r="Z81" s="6" t="s">
        <v>4</v>
      </c>
      <c r="AA81" s="6" t="s">
        <v>3</v>
      </c>
      <c r="AB81" s="6" t="s">
        <v>4</v>
      </c>
      <c r="AC81" s="6" t="s">
        <v>4</v>
      </c>
      <c r="AD81" s="6" t="s">
        <v>4</v>
      </c>
      <c r="AE81" s="6" t="s">
        <v>4</v>
      </c>
      <c r="AF81" s="6" t="s">
        <v>4</v>
      </c>
      <c r="AG81" s="6" t="s">
        <v>4</v>
      </c>
      <c r="AH81" s="6" t="s">
        <v>3</v>
      </c>
      <c r="AI81" s="6" t="s">
        <v>4</v>
      </c>
      <c r="AJ81" s="6" t="s">
        <v>3</v>
      </c>
      <c r="AK81" s="6" t="s">
        <v>4</v>
      </c>
      <c r="AL81" s="6" t="s">
        <v>4</v>
      </c>
      <c r="AM81" s="6" t="s">
        <v>4</v>
      </c>
      <c r="AN81" s="6" t="s">
        <v>3</v>
      </c>
    </row>
    <row r="82" spans="1:40">
      <c r="A82" s="6">
        <f t="shared" si="1"/>
        <v>81</v>
      </c>
      <c r="B82" s="6" t="s">
        <v>258</v>
      </c>
      <c r="C82" s="6" t="s">
        <v>538</v>
      </c>
      <c r="D82" s="6">
        <v>1</v>
      </c>
      <c r="E82" s="6" t="s">
        <v>3</v>
      </c>
      <c r="F82" s="6" t="s">
        <v>5</v>
      </c>
      <c r="G82" s="6" t="s">
        <v>2</v>
      </c>
      <c r="H82" s="6" t="s">
        <v>5</v>
      </c>
      <c r="I82" s="6" t="s">
        <v>5</v>
      </c>
      <c r="J82" s="6" t="s">
        <v>5</v>
      </c>
      <c r="K82" s="6" t="s">
        <v>5</v>
      </c>
      <c r="L82" s="6" t="s">
        <v>2</v>
      </c>
      <c r="M82" s="6" t="s">
        <v>3</v>
      </c>
      <c r="N82" s="6" t="s">
        <v>3</v>
      </c>
      <c r="O82" s="6" t="s">
        <v>2</v>
      </c>
      <c r="P82" s="6" t="s">
        <v>4</v>
      </c>
      <c r="Q82" s="6" t="s">
        <v>4</v>
      </c>
      <c r="R82" s="6" t="s">
        <v>3</v>
      </c>
      <c r="S82" s="6" t="s">
        <v>4</v>
      </c>
      <c r="T82" s="6" t="s">
        <v>2</v>
      </c>
      <c r="U82" s="6" t="s">
        <v>2</v>
      </c>
      <c r="V82" s="6" t="s">
        <v>2</v>
      </c>
      <c r="W82" s="6" t="s">
        <v>5</v>
      </c>
      <c r="X82" s="6" t="s">
        <v>4</v>
      </c>
      <c r="Y82" s="6" t="s">
        <v>4</v>
      </c>
      <c r="Z82" s="6" t="s">
        <v>2</v>
      </c>
      <c r="AA82" s="6" t="s">
        <v>3</v>
      </c>
      <c r="AB82" s="6" t="s">
        <v>4</v>
      </c>
      <c r="AC82" s="6" t="s">
        <v>4</v>
      </c>
      <c r="AD82" s="6" t="s">
        <v>4</v>
      </c>
      <c r="AE82" s="6" t="s">
        <v>4</v>
      </c>
      <c r="AF82" s="6" t="s">
        <v>4</v>
      </c>
      <c r="AG82" s="6" t="s">
        <v>4</v>
      </c>
      <c r="AH82" s="6" t="s">
        <v>3</v>
      </c>
      <c r="AI82" s="6" t="s">
        <v>4</v>
      </c>
      <c r="AJ82" s="6" t="s">
        <v>3</v>
      </c>
      <c r="AK82" s="6" t="s">
        <v>4</v>
      </c>
      <c r="AL82" s="6" t="s">
        <v>4</v>
      </c>
      <c r="AM82" s="6" t="s">
        <v>4</v>
      </c>
      <c r="AN82" s="6" t="s">
        <v>3</v>
      </c>
    </row>
    <row r="83" spans="1:40">
      <c r="A83" s="6">
        <f t="shared" si="1"/>
        <v>82</v>
      </c>
      <c r="B83" s="6" t="s">
        <v>457</v>
      </c>
      <c r="C83" s="6" t="s">
        <v>538</v>
      </c>
      <c r="D83" s="6">
        <v>1</v>
      </c>
      <c r="E83" s="6" t="s">
        <v>4</v>
      </c>
      <c r="F83" s="6" t="s">
        <v>2</v>
      </c>
      <c r="G83" s="6" t="s">
        <v>3</v>
      </c>
      <c r="H83" s="6" t="s">
        <v>3</v>
      </c>
      <c r="I83" s="6" t="s">
        <v>5</v>
      </c>
      <c r="J83" s="6" t="s">
        <v>5</v>
      </c>
      <c r="K83" s="6" t="s">
        <v>5</v>
      </c>
      <c r="L83" s="6" t="s">
        <v>2</v>
      </c>
      <c r="M83" s="6" t="s">
        <v>3</v>
      </c>
      <c r="N83" s="6" t="s">
        <v>3</v>
      </c>
      <c r="O83" s="6" t="s">
        <v>4</v>
      </c>
      <c r="P83" s="6" t="s">
        <v>4</v>
      </c>
      <c r="Q83" s="6" t="s">
        <v>5</v>
      </c>
      <c r="R83" s="6" t="s">
        <v>3</v>
      </c>
      <c r="S83" s="6" t="s">
        <v>5</v>
      </c>
      <c r="T83" s="6" t="s">
        <v>5</v>
      </c>
      <c r="U83" s="6" t="s">
        <v>5</v>
      </c>
      <c r="V83" s="6" t="s">
        <v>5</v>
      </c>
      <c r="W83" s="6" t="s">
        <v>4</v>
      </c>
      <c r="X83" s="6" t="s">
        <v>4</v>
      </c>
      <c r="Y83" s="6" t="s">
        <v>4</v>
      </c>
      <c r="Z83" s="6" t="s">
        <v>4</v>
      </c>
      <c r="AA83" s="6" t="s">
        <v>3</v>
      </c>
      <c r="AB83" s="6" t="s">
        <v>3</v>
      </c>
      <c r="AC83" s="6" t="s">
        <v>3</v>
      </c>
      <c r="AD83" s="6" t="s">
        <v>4</v>
      </c>
      <c r="AE83" s="6" t="s">
        <v>4</v>
      </c>
      <c r="AF83" s="6" t="s">
        <v>4</v>
      </c>
      <c r="AG83" s="6" t="s">
        <v>4</v>
      </c>
      <c r="AH83" s="6" t="s">
        <v>3</v>
      </c>
      <c r="AI83" s="6" t="s">
        <v>4</v>
      </c>
      <c r="AJ83" s="6" t="s">
        <v>3</v>
      </c>
      <c r="AK83" s="6" t="s">
        <v>4</v>
      </c>
      <c r="AL83" s="6" t="s">
        <v>4</v>
      </c>
      <c r="AM83" s="6" t="s">
        <v>4</v>
      </c>
      <c r="AN83" s="6" t="s">
        <v>3</v>
      </c>
    </row>
    <row r="84" spans="1:40">
      <c r="A84" s="6">
        <f t="shared" si="1"/>
        <v>83</v>
      </c>
      <c r="B84" s="6" t="s">
        <v>458</v>
      </c>
      <c r="C84" s="6" t="s">
        <v>538</v>
      </c>
      <c r="D84" s="6">
        <v>1</v>
      </c>
      <c r="E84" s="6" t="s">
        <v>5</v>
      </c>
      <c r="F84" s="6" t="s">
        <v>3</v>
      </c>
      <c r="G84" s="6" t="s">
        <v>4</v>
      </c>
      <c r="H84" s="6" t="s">
        <v>2</v>
      </c>
      <c r="I84" s="6" t="s">
        <v>5</v>
      </c>
      <c r="J84" s="6" t="s">
        <v>5</v>
      </c>
      <c r="K84" s="6" t="s">
        <v>5</v>
      </c>
      <c r="L84" s="6" t="s">
        <v>2</v>
      </c>
      <c r="M84" s="6" t="s">
        <v>2</v>
      </c>
      <c r="N84" s="6" t="s">
        <v>3</v>
      </c>
      <c r="O84" s="6" t="s">
        <v>3</v>
      </c>
      <c r="P84" s="6" t="s">
        <v>2</v>
      </c>
      <c r="Q84" s="6" t="s">
        <v>4</v>
      </c>
      <c r="R84" s="6" t="s">
        <v>3</v>
      </c>
      <c r="S84" s="6" t="s">
        <v>2</v>
      </c>
      <c r="T84" s="6" t="s">
        <v>5</v>
      </c>
      <c r="U84" s="6" t="s">
        <v>2</v>
      </c>
      <c r="V84" s="6" t="s">
        <v>5</v>
      </c>
      <c r="W84" s="6" t="s">
        <v>5</v>
      </c>
      <c r="X84" s="6" t="s">
        <v>4</v>
      </c>
      <c r="Y84" s="6" t="s">
        <v>4</v>
      </c>
      <c r="Z84" s="6" t="s">
        <v>2</v>
      </c>
      <c r="AA84" s="6" t="s">
        <v>3</v>
      </c>
      <c r="AB84" s="6" t="s">
        <v>3</v>
      </c>
      <c r="AC84" s="6" t="s">
        <v>3</v>
      </c>
      <c r="AD84" s="6" t="s">
        <v>4</v>
      </c>
      <c r="AE84" s="6" t="s">
        <v>4</v>
      </c>
      <c r="AF84" s="6" t="s">
        <v>4</v>
      </c>
      <c r="AG84" s="6" t="s">
        <v>4</v>
      </c>
      <c r="AH84" s="6" t="s">
        <v>3</v>
      </c>
      <c r="AI84" s="6" t="s">
        <v>4</v>
      </c>
      <c r="AJ84" s="6" t="s">
        <v>3</v>
      </c>
      <c r="AK84" s="6" t="s">
        <v>4</v>
      </c>
      <c r="AL84" s="6" t="s">
        <v>3</v>
      </c>
      <c r="AM84" s="6" t="s">
        <v>3</v>
      </c>
      <c r="AN84" s="6" t="s">
        <v>3</v>
      </c>
    </row>
    <row r="85" spans="1:40">
      <c r="A85" s="6">
        <f t="shared" si="1"/>
        <v>84</v>
      </c>
      <c r="B85" s="6" t="s">
        <v>459</v>
      </c>
      <c r="C85" s="6" t="s">
        <v>538</v>
      </c>
      <c r="D85" s="6">
        <v>1</v>
      </c>
      <c r="E85" s="6" t="s">
        <v>5</v>
      </c>
      <c r="F85" s="6" t="s">
        <v>5</v>
      </c>
      <c r="G85" s="6" t="s">
        <v>4</v>
      </c>
      <c r="H85" s="6" t="s">
        <v>5</v>
      </c>
      <c r="I85" s="6" t="s">
        <v>5</v>
      </c>
      <c r="J85" s="6" t="s">
        <v>5</v>
      </c>
      <c r="K85" s="6" t="s">
        <v>5</v>
      </c>
      <c r="L85" s="6" t="s">
        <v>2</v>
      </c>
      <c r="M85" s="6" t="s">
        <v>3</v>
      </c>
      <c r="N85" s="6" t="s">
        <v>4</v>
      </c>
      <c r="O85" s="6" t="s">
        <v>3</v>
      </c>
      <c r="P85" s="6" t="s">
        <v>3</v>
      </c>
      <c r="Q85" s="6" t="s">
        <v>5</v>
      </c>
      <c r="R85" s="6" t="s">
        <v>3</v>
      </c>
      <c r="S85" s="6" t="s">
        <v>3</v>
      </c>
      <c r="T85" s="6" t="s">
        <v>5</v>
      </c>
      <c r="U85" s="6" t="s">
        <v>3</v>
      </c>
      <c r="V85" s="6" t="s">
        <v>3</v>
      </c>
      <c r="W85" s="6" t="s">
        <v>5</v>
      </c>
      <c r="X85" s="6" t="s">
        <v>4</v>
      </c>
      <c r="Y85" s="6" t="s">
        <v>3</v>
      </c>
      <c r="Z85" s="6" t="s">
        <v>2</v>
      </c>
      <c r="AA85" s="6" t="s">
        <v>3</v>
      </c>
      <c r="AB85" s="6" t="s">
        <v>3</v>
      </c>
      <c r="AC85" s="6" t="s">
        <v>3</v>
      </c>
      <c r="AD85" s="6" t="s">
        <v>4</v>
      </c>
      <c r="AE85" s="6" t="s">
        <v>4</v>
      </c>
      <c r="AF85" s="6" t="s">
        <v>4</v>
      </c>
      <c r="AG85" s="6" t="s">
        <v>4</v>
      </c>
      <c r="AH85" s="6" t="s">
        <v>3</v>
      </c>
      <c r="AI85" s="6" t="s">
        <v>4</v>
      </c>
      <c r="AJ85" s="6" t="s">
        <v>3</v>
      </c>
      <c r="AK85" s="6" t="s">
        <v>3</v>
      </c>
      <c r="AL85" s="6" t="s">
        <v>4</v>
      </c>
      <c r="AM85" s="6" t="s">
        <v>4</v>
      </c>
      <c r="AN85" s="6" t="s">
        <v>3</v>
      </c>
    </row>
    <row r="86" spans="1:40">
      <c r="A86" s="6">
        <f t="shared" si="1"/>
        <v>85</v>
      </c>
      <c r="B86" s="6" t="s">
        <v>11</v>
      </c>
      <c r="C86" s="6" t="s">
        <v>538</v>
      </c>
      <c r="D86" s="6">
        <v>2</v>
      </c>
      <c r="E86" s="6" t="s">
        <v>4</v>
      </c>
      <c r="F86" s="6" t="s">
        <v>5</v>
      </c>
      <c r="G86" s="6" t="s">
        <v>3</v>
      </c>
      <c r="H86" s="6" t="s">
        <v>3</v>
      </c>
      <c r="I86" s="6" t="s">
        <v>5</v>
      </c>
      <c r="J86" s="6" t="s">
        <v>5</v>
      </c>
      <c r="K86" s="6" t="s">
        <v>5</v>
      </c>
      <c r="L86" s="6" t="s">
        <v>2</v>
      </c>
      <c r="M86" s="6" t="s">
        <v>2</v>
      </c>
      <c r="N86" s="6" t="s">
        <v>3</v>
      </c>
      <c r="O86" s="6" t="s">
        <v>4</v>
      </c>
      <c r="P86" s="6" t="s">
        <v>2</v>
      </c>
      <c r="Q86" s="6" t="s">
        <v>5</v>
      </c>
      <c r="R86" s="6" t="s">
        <v>3</v>
      </c>
      <c r="S86" s="6" t="s">
        <v>4</v>
      </c>
      <c r="T86" s="6" t="s">
        <v>5</v>
      </c>
      <c r="U86" s="6" t="s">
        <v>5</v>
      </c>
      <c r="V86" s="6" t="s">
        <v>5</v>
      </c>
      <c r="W86" s="6" t="s">
        <v>4</v>
      </c>
      <c r="X86" s="6" t="s">
        <v>4</v>
      </c>
      <c r="Y86" s="6" t="s">
        <v>4</v>
      </c>
      <c r="Z86" s="6" t="s">
        <v>4</v>
      </c>
      <c r="AA86" s="6" t="s">
        <v>3</v>
      </c>
      <c r="AB86" s="6" t="s">
        <v>4</v>
      </c>
      <c r="AC86" s="6" t="s">
        <v>4</v>
      </c>
      <c r="AD86" s="6" t="s">
        <v>4</v>
      </c>
      <c r="AE86" s="6" t="s">
        <v>4</v>
      </c>
      <c r="AF86" s="6" t="s">
        <v>4</v>
      </c>
      <c r="AG86" s="6" t="s">
        <v>4</v>
      </c>
      <c r="AH86" s="6" t="s">
        <v>3</v>
      </c>
      <c r="AI86" s="6" t="s">
        <v>4</v>
      </c>
      <c r="AJ86" s="6" t="s">
        <v>4</v>
      </c>
      <c r="AK86" s="6" t="s">
        <v>4</v>
      </c>
      <c r="AL86" s="6" t="s">
        <v>4</v>
      </c>
      <c r="AM86" s="6" t="s">
        <v>3</v>
      </c>
      <c r="AN86" s="6" t="s">
        <v>3</v>
      </c>
    </row>
    <row r="87" spans="1:40">
      <c r="A87" s="6">
        <f t="shared" si="1"/>
        <v>86</v>
      </c>
      <c r="B87" s="6" t="s">
        <v>12</v>
      </c>
      <c r="C87" s="6" t="s">
        <v>538</v>
      </c>
      <c r="D87" s="6">
        <v>2</v>
      </c>
      <c r="E87" s="6" t="s">
        <v>5</v>
      </c>
      <c r="F87" s="6" t="s">
        <v>3</v>
      </c>
      <c r="G87" s="6" t="s">
        <v>4</v>
      </c>
      <c r="H87" s="6" t="s">
        <v>3</v>
      </c>
      <c r="I87" s="6" t="s">
        <v>5</v>
      </c>
      <c r="J87" s="6" t="s">
        <v>5</v>
      </c>
      <c r="K87" s="6" t="s">
        <v>3</v>
      </c>
      <c r="L87" s="6" t="s">
        <v>4</v>
      </c>
      <c r="M87" s="6" t="s">
        <v>3</v>
      </c>
      <c r="N87" s="6" t="s">
        <v>3</v>
      </c>
      <c r="O87" s="6" t="s">
        <v>4</v>
      </c>
      <c r="P87" s="6" t="s">
        <v>4</v>
      </c>
      <c r="Q87" s="6" t="s">
        <v>5</v>
      </c>
      <c r="R87" s="6" t="s">
        <v>3</v>
      </c>
      <c r="S87" s="6" t="s">
        <v>4</v>
      </c>
      <c r="T87" s="6" t="s">
        <v>5</v>
      </c>
      <c r="U87" s="6" t="s">
        <v>5</v>
      </c>
      <c r="V87" s="6" t="s">
        <v>5</v>
      </c>
      <c r="W87" s="6" t="s">
        <v>4</v>
      </c>
      <c r="X87" s="6" t="s">
        <v>4</v>
      </c>
      <c r="Y87" s="6" t="s">
        <v>4</v>
      </c>
      <c r="Z87" s="6" t="s">
        <v>4</v>
      </c>
      <c r="AA87" s="6" t="s">
        <v>3</v>
      </c>
      <c r="AB87" s="6" t="s">
        <v>4</v>
      </c>
      <c r="AC87" s="6" t="s">
        <v>4</v>
      </c>
      <c r="AD87" s="6" t="s">
        <v>4</v>
      </c>
      <c r="AE87" s="6" t="s">
        <v>4</v>
      </c>
      <c r="AF87" s="6" t="s">
        <v>4</v>
      </c>
      <c r="AG87" s="6" t="s">
        <v>4</v>
      </c>
      <c r="AH87" s="6" t="s">
        <v>3</v>
      </c>
      <c r="AI87" s="6" t="s">
        <v>4</v>
      </c>
      <c r="AJ87" s="6" t="s">
        <v>3</v>
      </c>
      <c r="AK87" s="6" t="s">
        <v>4</v>
      </c>
      <c r="AL87" s="6" t="s">
        <v>4</v>
      </c>
      <c r="AM87" s="6" t="s">
        <v>4</v>
      </c>
      <c r="AN87" s="6" t="s">
        <v>3</v>
      </c>
    </row>
    <row r="88" spans="1:40">
      <c r="A88" s="6">
        <f t="shared" si="1"/>
        <v>87</v>
      </c>
      <c r="B88" s="6" t="s">
        <v>318</v>
      </c>
      <c r="C88" s="6" t="s">
        <v>538</v>
      </c>
      <c r="D88" s="6">
        <v>2</v>
      </c>
      <c r="E88" s="6" t="s">
        <v>4</v>
      </c>
      <c r="F88" s="6" t="s">
        <v>5</v>
      </c>
      <c r="G88" s="6" t="s">
        <v>3</v>
      </c>
      <c r="H88" s="6" t="s">
        <v>5</v>
      </c>
      <c r="I88" s="6" t="s">
        <v>5</v>
      </c>
      <c r="J88" s="6" t="s">
        <v>5</v>
      </c>
      <c r="K88" s="6" t="s">
        <v>5</v>
      </c>
      <c r="L88" s="6" t="s">
        <v>2</v>
      </c>
      <c r="M88" s="6" t="s">
        <v>3</v>
      </c>
      <c r="N88" s="6" t="s">
        <v>2</v>
      </c>
      <c r="O88" s="6" t="s">
        <v>3</v>
      </c>
      <c r="P88" s="6" t="s">
        <v>2</v>
      </c>
      <c r="Q88" s="6" t="s">
        <v>5</v>
      </c>
      <c r="R88" s="6" t="s">
        <v>3</v>
      </c>
      <c r="S88" s="6" t="s">
        <v>3</v>
      </c>
      <c r="T88" s="6" t="s">
        <v>5</v>
      </c>
      <c r="U88" s="6" t="s">
        <v>5</v>
      </c>
      <c r="V88" s="6" t="s">
        <v>5</v>
      </c>
      <c r="W88" s="6" t="s">
        <v>4</v>
      </c>
      <c r="X88" s="6" t="s">
        <v>4</v>
      </c>
      <c r="Y88" s="6" t="s">
        <v>3</v>
      </c>
      <c r="Z88" s="6" t="s">
        <v>2</v>
      </c>
      <c r="AA88" s="6" t="s">
        <v>3</v>
      </c>
      <c r="AB88" s="6" t="s">
        <v>4</v>
      </c>
      <c r="AC88" s="6" t="s">
        <v>4</v>
      </c>
      <c r="AD88" s="6" t="s">
        <v>4</v>
      </c>
      <c r="AE88" s="6" t="s">
        <v>4</v>
      </c>
      <c r="AF88" s="6" t="s">
        <v>4</v>
      </c>
      <c r="AG88" s="6" t="s">
        <v>4</v>
      </c>
      <c r="AH88" s="6" t="s">
        <v>3</v>
      </c>
      <c r="AI88" s="6" t="s">
        <v>4</v>
      </c>
      <c r="AJ88" s="6" t="s">
        <v>4</v>
      </c>
      <c r="AK88" s="6" t="s">
        <v>4</v>
      </c>
      <c r="AL88" s="6" t="s">
        <v>4</v>
      </c>
      <c r="AM88" s="6" t="s">
        <v>4</v>
      </c>
      <c r="AN88" s="6" t="s">
        <v>3</v>
      </c>
    </row>
    <row r="89" spans="1:40">
      <c r="A89" s="6">
        <f t="shared" si="1"/>
        <v>88</v>
      </c>
      <c r="B89" s="6" t="s">
        <v>463</v>
      </c>
      <c r="C89" s="6" t="s">
        <v>538</v>
      </c>
      <c r="D89" s="6">
        <v>2</v>
      </c>
      <c r="E89" s="6" t="s">
        <v>2</v>
      </c>
      <c r="F89" s="6" t="s">
        <v>3</v>
      </c>
      <c r="G89" s="6" t="s">
        <v>2</v>
      </c>
      <c r="H89" s="6" t="s">
        <v>5</v>
      </c>
      <c r="I89" s="6" t="s">
        <v>5</v>
      </c>
      <c r="J89" s="6" t="s">
        <v>5</v>
      </c>
      <c r="K89" s="6" t="s">
        <v>5</v>
      </c>
      <c r="L89" s="6" t="s">
        <v>2</v>
      </c>
      <c r="M89" s="6" t="s">
        <v>3</v>
      </c>
      <c r="N89" s="6" t="s">
        <v>3</v>
      </c>
      <c r="O89" s="6" t="s">
        <v>2</v>
      </c>
      <c r="P89" s="6" t="s">
        <v>5</v>
      </c>
      <c r="Q89" s="6" t="s">
        <v>5</v>
      </c>
      <c r="R89" s="6" t="s">
        <v>3</v>
      </c>
      <c r="S89" s="6" t="s">
        <v>2</v>
      </c>
      <c r="T89" s="6" t="s">
        <v>5</v>
      </c>
      <c r="U89" s="6" t="s">
        <v>5</v>
      </c>
      <c r="V89" s="6" t="s">
        <v>5</v>
      </c>
      <c r="W89" s="6" t="s">
        <v>5</v>
      </c>
      <c r="X89" s="6" t="s">
        <v>4</v>
      </c>
      <c r="Y89" s="6" t="s">
        <v>4</v>
      </c>
      <c r="Z89" s="6" t="s">
        <v>4</v>
      </c>
      <c r="AA89" s="6" t="s">
        <v>3</v>
      </c>
      <c r="AB89" s="6" t="s">
        <v>4</v>
      </c>
      <c r="AC89" s="6" t="s">
        <v>4</v>
      </c>
      <c r="AD89" s="6" t="s">
        <v>4</v>
      </c>
      <c r="AE89" s="6" t="s">
        <v>4</v>
      </c>
      <c r="AF89" s="6" t="s">
        <v>4</v>
      </c>
      <c r="AG89" s="6" t="s">
        <v>4</v>
      </c>
      <c r="AH89" s="6" t="s">
        <v>3</v>
      </c>
      <c r="AI89" s="6" t="s">
        <v>4</v>
      </c>
      <c r="AJ89" s="6" t="s">
        <v>3</v>
      </c>
      <c r="AK89" s="6" t="s">
        <v>4</v>
      </c>
      <c r="AL89" s="6" t="s">
        <v>4</v>
      </c>
      <c r="AM89" s="6" t="s">
        <v>4</v>
      </c>
      <c r="AN89" s="6" t="s">
        <v>3</v>
      </c>
    </row>
    <row r="90" spans="1:40">
      <c r="A90" s="6">
        <f t="shared" si="1"/>
        <v>89</v>
      </c>
      <c r="B90" s="6" t="s">
        <v>464</v>
      </c>
      <c r="C90" s="6" t="s">
        <v>538</v>
      </c>
      <c r="D90" s="6">
        <v>2</v>
      </c>
      <c r="E90" s="6" t="s">
        <v>4</v>
      </c>
      <c r="F90" s="6" t="s">
        <v>5</v>
      </c>
      <c r="G90" s="6" t="s">
        <v>5</v>
      </c>
      <c r="H90" s="6" t="s">
        <v>5</v>
      </c>
      <c r="I90" s="6" t="s">
        <v>5</v>
      </c>
      <c r="J90" s="6" t="s">
        <v>5</v>
      </c>
      <c r="K90" s="6" t="s">
        <v>5</v>
      </c>
      <c r="L90" s="6" t="s">
        <v>2</v>
      </c>
      <c r="M90" s="6" t="s">
        <v>3</v>
      </c>
      <c r="N90" s="6" t="s">
        <v>4</v>
      </c>
      <c r="O90" s="6" t="s">
        <v>4</v>
      </c>
      <c r="P90" s="6" t="s">
        <v>2</v>
      </c>
      <c r="Q90" s="6" t="s">
        <v>5</v>
      </c>
      <c r="R90" s="6" t="s">
        <v>4</v>
      </c>
      <c r="S90" s="6" t="s">
        <v>2</v>
      </c>
      <c r="T90" s="6" t="s">
        <v>5</v>
      </c>
      <c r="U90" s="6" t="s">
        <v>2</v>
      </c>
      <c r="V90" s="6" t="s">
        <v>5</v>
      </c>
      <c r="W90" s="6" t="s">
        <v>5</v>
      </c>
      <c r="X90" s="6" t="s">
        <v>2</v>
      </c>
      <c r="Y90" s="6" t="s">
        <v>4</v>
      </c>
      <c r="Z90" s="6" t="s">
        <v>4</v>
      </c>
      <c r="AA90" s="6" t="s">
        <v>3</v>
      </c>
      <c r="AB90" s="6" t="s">
        <v>4</v>
      </c>
      <c r="AC90" s="6" t="s">
        <v>4</v>
      </c>
      <c r="AD90" s="6" t="s">
        <v>4</v>
      </c>
      <c r="AE90" s="6" t="s">
        <v>4</v>
      </c>
      <c r="AF90" s="6" t="s">
        <v>4</v>
      </c>
      <c r="AG90" s="6" t="s">
        <v>4</v>
      </c>
      <c r="AH90" s="6" t="s">
        <v>4</v>
      </c>
      <c r="AI90" s="6" t="s">
        <v>4</v>
      </c>
      <c r="AJ90" s="6" t="s">
        <v>4</v>
      </c>
      <c r="AK90" s="6" t="s">
        <v>4</v>
      </c>
      <c r="AL90" s="6" t="s">
        <v>4</v>
      </c>
      <c r="AM90" s="6" t="s">
        <v>4</v>
      </c>
      <c r="AN90" s="6" t="s">
        <v>3</v>
      </c>
    </row>
    <row r="91" spans="1:40">
      <c r="A91" s="6">
        <f t="shared" si="1"/>
        <v>90</v>
      </c>
      <c r="B91" s="6" t="s">
        <v>490</v>
      </c>
      <c r="C91" s="6" t="s">
        <v>538</v>
      </c>
      <c r="D91" s="6">
        <v>2</v>
      </c>
      <c r="E91" s="6" t="s">
        <v>4</v>
      </c>
      <c r="F91" s="6" t="s">
        <v>5</v>
      </c>
      <c r="G91" s="6" t="s">
        <v>3</v>
      </c>
      <c r="H91" s="6" t="s">
        <v>2</v>
      </c>
      <c r="I91" s="6" t="s">
        <v>5</v>
      </c>
      <c r="J91" s="6" t="s">
        <v>5</v>
      </c>
      <c r="K91" s="6" t="s">
        <v>5</v>
      </c>
      <c r="L91" s="6" t="s">
        <v>2</v>
      </c>
      <c r="M91" s="6" t="s">
        <v>2</v>
      </c>
      <c r="N91" s="6" t="s">
        <v>3</v>
      </c>
      <c r="O91" s="6" t="s">
        <v>4</v>
      </c>
      <c r="P91" s="6" t="s">
        <v>2</v>
      </c>
      <c r="Q91" s="6" t="s">
        <v>5</v>
      </c>
      <c r="R91" s="6" t="s">
        <v>3</v>
      </c>
      <c r="S91" s="6" t="s">
        <v>4</v>
      </c>
      <c r="T91" s="6" t="s">
        <v>5</v>
      </c>
      <c r="U91" s="6" t="s">
        <v>5</v>
      </c>
      <c r="V91" s="6" t="s">
        <v>5</v>
      </c>
      <c r="W91" s="6" t="s">
        <v>4</v>
      </c>
      <c r="X91" s="6" t="s">
        <v>4</v>
      </c>
      <c r="Y91" s="6" t="s">
        <v>3</v>
      </c>
      <c r="Z91" s="6" t="s">
        <v>4</v>
      </c>
      <c r="AA91" s="6" t="s">
        <v>3</v>
      </c>
      <c r="AB91" s="6" t="s">
        <v>4</v>
      </c>
      <c r="AC91" s="6" t="s">
        <v>4</v>
      </c>
      <c r="AD91" s="6" t="s">
        <v>4</v>
      </c>
      <c r="AE91" s="6" t="s">
        <v>4</v>
      </c>
      <c r="AF91" s="6" t="s">
        <v>4</v>
      </c>
      <c r="AG91" s="6" t="s">
        <v>4</v>
      </c>
      <c r="AH91" s="6" t="s">
        <v>3</v>
      </c>
      <c r="AI91" s="6" t="s">
        <v>4</v>
      </c>
      <c r="AJ91" s="6" t="s">
        <v>3</v>
      </c>
      <c r="AK91" s="6" t="s">
        <v>4</v>
      </c>
      <c r="AL91" s="6" t="s">
        <v>4</v>
      </c>
      <c r="AM91" s="6" t="s">
        <v>4</v>
      </c>
      <c r="AN91" s="6" t="s">
        <v>4</v>
      </c>
    </row>
    <row r="92" spans="1:40">
      <c r="A92" s="6">
        <f t="shared" si="1"/>
        <v>91</v>
      </c>
      <c r="B92" s="6" t="s">
        <v>319</v>
      </c>
      <c r="C92" s="6" t="s">
        <v>538</v>
      </c>
      <c r="D92" s="6">
        <v>3</v>
      </c>
      <c r="E92" s="6" t="s">
        <v>2</v>
      </c>
      <c r="F92" s="6" t="s">
        <v>3</v>
      </c>
      <c r="G92" s="6" t="s">
        <v>3</v>
      </c>
      <c r="H92" s="6" t="s">
        <v>2</v>
      </c>
      <c r="I92" s="6" t="s">
        <v>5</v>
      </c>
      <c r="J92" s="6" t="s">
        <v>5</v>
      </c>
      <c r="K92" s="6" t="s">
        <v>5</v>
      </c>
      <c r="L92" s="6" t="s">
        <v>2</v>
      </c>
      <c r="M92" s="6" t="s">
        <v>3</v>
      </c>
      <c r="N92" s="6" t="s">
        <v>3</v>
      </c>
      <c r="O92" s="6" t="s">
        <v>3</v>
      </c>
      <c r="P92" s="6" t="s">
        <v>2</v>
      </c>
      <c r="Q92" s="6" t="s">
        <v>5</v>
      </c>
      <c r="R92" s="6" t="s">
        <v>3</v>
      </c>
      <c r="S92" s="6" t="s">
        <v>3</v>
      </c>
      <c r="T92" s="6" t="s">
        <v>5</v>
      </c>
      <c r="U92" s="6" t="s">
        <v>5</v>
      </c>
      <c r="V92" s="6" t="s">
        <v>5</v>
      </c>
      <c r="W92" s="6" t="s">
        <v>5</v>
      </c>
      <c r="X92" s="6" t="s">
        <v>4</v>
      </c>
      <c r="Y92" s="6" t="s">
        <v>3</v>
      </c>
      <c r="Z92" s="6" t="s">
        <v>2</v>
      </c>
      <c r="AA92" s="6" t="s">
        <v>3</v>
      </c>
      <c r="AB92" s="6" t="s">
        <v>4</v>
      </c>
      <c r="AC92" s="6" t="s">
        <v>4</v>
      </c>
      <c r="AD92" s="6" t="s">
        <v>4</v>
      </c>
      <c r="AE92" s="6" t="s">
        <v>4</v>
      </c>
      <c r="AF92" s="6" t="s">
        <v>4</v>
      </c>
      <c r="AG92" s="6" t="s">
        <v>4</v>
      </c>
      <c r="AH92" s="6" t="s">
        <v>3</v>
      </c>
      <c r="AI92" s="6" t="s">
        <v>4</v>
      </c>
      <c r="AJ92" s="6" t="s">
        <v>3</v>
      </c>
      <c r="AK92" s="6" t="s">
        <v>4</v>
      </c>
      <c r="AL92" s="6" t="s">
        <v>4</v>
      </c>
      <c r="AM92" s="6" t="s">
        <v>3</v>
      </c>
      <c r="AN92" s="6" t="s">
        <v>3</v>
      </c>
    </row>
    <row r="93" spans="1:40">
      <c r="A93" s="6">
        <f t="shared" si="1"/>
        <v>92</v>
      </c>
      <c r="B93" s="6" t="s">
        <v>501</v>
      </c>
      <c r="C93" s="6" t="s">
        <v>538</v>
      </c>
      <c r="D93" s="6">
        <v>3</v>
      </c>
      <c r="E93" s="6" t="s">
        <v>2</v>
      </c>
      <c r="F93" s="6" t="s">
        <v>3</v>
      </c>
      <c r="G93" s="6" t="s">
        <v>3</v>
      </c>
      <c r="H93" s="6" t="s">
        <v>2</v>
      </c>
      <c r="I93" s="6" t="s">
        <v>5</v>
      </c>
      <c r="J93" s="6" t="s">
        <v>2</v>
      </c>
      <c r="K93" s="6" t="s">
        <v>5</v>
      </c>
      <c r="L93" s="6" t="s">
        <v>2</v>
      </c>
      <c r="M93" s="6" t="s">
        <v>3</v>
      </c>
      <c r="N93" s="6" t="s">
        <v>4</v>
      </c>
      <c r="O93" s="6" t="s">
        <v>4</v>
      </c>
      <c r="P93" s="6" t="s">
        <v>5</v>
      </c>
      <c r="Q93" s="6" t="s">
        <v>5</v>
      </c>
      <c r="R93" s="6" t="s">
        <v>4</v>
      </c>
      <c r="S93" s="6" t="s">
        <v>5</v>
      </c>
      <c r="T93" s="6" t="s">
        <v>5</v>
      </c>
      <c r="U93" s="6" t="s">
        <v>5</v>
      </c>
      <c r="V93" s="6" t="s">
        <v>5</v>
      </c>
      <c r="W93" s="6" t="s">
        <v>5</v>
      </c>
      <c r="X93" s="6" t="s">
        <v>4</v>
      </c>
      <c r="Y93" s="6" t="s">
        <v>3</v>
      </c>
      <c r="Z93" s="6" t="s">
        <v>4</v>
      </c>
      <c r="AA93" s="6" t="s">
        <v>4</v>
      </c>
      <c r="AB93" s="6" t="s">
        <v>4</v>
      </c>
      <c r="AC93" s="6" t="s">
        <v>4</v>
      </c>
      <c r="AD93" s="6" t="s">
        <v>4</v>
      </c>
      <c r="AE93" s="6" t="s">
        <v>4</v>
      </c>
      <c r="AF93" s="6" t="s">
        <v>4</v>
      </c>
      <c r="AG93" s="6" t="s">
        <v>4</v>
      </c>
      <c r="AH93" s="6" t="s">
        <v>4</v>
      </c>
      <c r="AI93" s="6" t="s">
        <v>4</v>
      </c>
      <c r="AJ93" s="6" t="s">
        <v>3</v>
      </c>
      <c r="AK93" s="6" t="s">
        <v>4</v>
      </c>
      <c r="AL93" s="6" t="s">
        <v>4</v>
      </c>
      <c r="AM93" s="6" t="s">
        <v>3</v>
      </c>
      <c r="AN93" s="6" t="s">
        <v>4</v>
      </c>
    </row>
    <row r="94" spans="1:40">
      <c r="A94" s="6">
        <f t="shared" si="1"/>
        <v>93</v>
      </c>
      <c r="B94" s="6" t="s">
        <v>320</v>
      </c>
      <c r="C94" s="6" t="s">
        <v>538</v>
      </c>
      <c r="D94" s="6">
        <v>3</v>
      </c>
      <c r="E94" s="6" t="s">
        <v>2</v>
      </c>
      <c r="F94" s="6" t="s">
        <v>3</v>
      </c>
      <c r="G94" s="6" t="s">
        <v>3</v>
      </c>
      <c r="H94" s="6" t="s">
        <v>5</v>
      </c>
      <c r="I94" s="6" t="s">
        <v>5</v>
      </c>
      <c r="J94" s="6" t="s">
        <v>5</v>
      </c>
      <c r="K94" s="6" t="s">
        <v>2</v>
      </c>
      <c r="L94" s="6" t="s">
        <v>2</v>
      </c>
      <c r="M94" s="6" t="s">
        <v>3</v>
      </c>
      <c r="N94" s="6" t="s">
        <v>3</v>
      </c>
      <c r="O94" s="6" t="s">
        <v>4</v>
      </c>
      <c r="P94" s="6" t="s">
        <v>5</v>
      </c>
      <c r="Q94" s="6" t="s">
        <v>2</v>
      </c>
      <c r="R94" s="6" t="s">
        <v>3</v>
      </c>
      <c r="S94" s="6" t="s">
        <v>2</v>
      </c>
      <c r="T94" s="6" t="s">
        <v>5</v>
      </c>
      <c r="U94" s="6" t="s">
        <v>5</v>
      </c>
      <c r="V94" s="6" t="s">
        <v>5</v>
      </c>
      <c r="W94" s="6" t="s">
        <v>5</v>
      </c>
      <c r="X94" s="6" t="s">
        <v>4</v>
      </c>
      <c r="Y94" s="6" t="s">
        <v>3</v>
      </c>
      <c r="Z94" s="6" t="s">
        <v>3</v>
      </c>
      <c r="AA94" s="6" t="s">
        <v>3</v>
      </c>
      <c r="AB94" s="6" t="s">
        <v>4</v>
      </c>
      <c r="AC94" s="6" t="s">
        <v>4</v>
      </c>
      <c r="AD94" s="6" t="s">
        <v>4</v>
      </c>
      <c r="AE94" s="6" t="s">
        <v>4</v>
      </c>
      <c r="AF94" s="6" t="s">
        <v>4</v>
      </c>
      <c r="AG94" s="6" t="s">
        <v>4</v>
      </c>
      <c r="AH94" s="6" t="s">
        <v>3</v>
      </c>
      <c r="AI94" s="6" t="s">
        <v>4</v>
      </c>
      <c r="AJ94" s="6" t="s">
        <v>3</v>
      </c>
      <c r="AK94" s="6" t="s">
        <v>4</v>
      </c>
      <c r="AL94" s="6" t="s">
        <v>4</v>
      </c>
      <c r="AM94" s="6" t="s">
        <v>3</v>
      </c>
      <c r="AN94" s="6" t="s">
        <v>3</v>
      </c>
    </row>
    <row r="95" spans="1:40">
      <c r="A95" s="6">
        <f t="shared" si="1"/>
        <v>94</v>
      </c>
      <c r="B95" s="6" t="s">
        <v>467</v>
      </c>
      <c r="C95" s="6" t="s">
        <v>538</v>
      </c>
      <c r="D95" s="6">
        <v>3</v>
      </c>
      <c r="E95" s="6" t="s">
        <v>2</v>
      </c>
      <c r="F95" s="6" t="s">
        <v>5</v>
      </c>
      <c r="G95" s="6" t="s">
        <v>3</v>
      </c>
      <c r="H95" s="6" t="s">
        <v>3</v>
      </c>
      <c r="I95" s="6" t="s">
        <v>5</v>
      </c>
      <c r="J95" s="6" t="s">
        <v>5</v>
      </c>
      <c r="K95" s="6" t="s">
        <v>2</v>
      </c>
      <c r="L95" s="6" t="s">
        <v>2</v>
      </c>
      <c r="M95" s="6" t="s">
        <v>3</v>
      </c>
      <c r="N95" s="6" t="s">
        <v>4</v>
      </c>
      <c r="O95" s="6" t="s">
        <v>4</v>
      </c>
      <c r="P95" s="6" t="s">
        <v>5</v>
      </c>
      <c r="Q95" s="6" t="s">
        <v>3</v>
      </c>
      <c r="R95" s="6" t="s">
        <v>3</v>
      </c>
      <c r="S95" s="6" t="s">
        <v>2</v>
      </c>
      <c r="T95" s="6" t="s">
        <v>5</v>
      </c>
      <c r="U95" s="6" t="s">
        <v>3</v>
      </c>
      <c r="V95" s="6" t="s">
        <v>2</v>
      </c>
      <c r="W95" s="6" t="s">
        <v>5</v>
      </c>
      <c r="X95" s="6" t="s">
        <v>4</v>
      </c>
      <c r="Y95" s="6" t="s">
        <v>3</v>
      </c>
      <c r="Z95" s="6" t="s">
        <v>2</v>
      </c>
      <c r="AA95" s="6" t="s">
        <v>3</v>
      </c>
      <c r="AB95" s="6" t="s">
        <v>4</v>
      </c>
      <c r="AC95" s="6" t="s">
        <v>4</v>
      </c>
      <c r="AD95" s="6" t="s">
        <v>4</v>
      </c>
      <c r="AE95" s="6" t="s">
        <v>4</v>
      </c>
      <c r="AF95" s="6" t="s">
        <v>4</v>
      </c>
      <c r="AG95" s="6" t="s">
        <v>4</v>
      </c>
      <c r="AH95" s="6" t="s">
        <v>3</v>
      </c>
      <c r="AI95" s="6" t="s">
        <v>4</v>
      </c>
      <c r="AJ95" s="6" t="s">
        <v>3</v>
      </c>
      <c r="AK95" s="6" t="s">
        <v>4</v>
      </c>
      <c r="AL95" s="6" t="s">
        <v>4</v>
      </c>
      <c r="AM95" s="6" t="s">
        <v>4</v>
      </c>
      <c r="AN95" s="6" t="s">
        <v>3</v>
      </c>
    </row>
    <row r="96" spans="1:40">
      <c r="A96" s="6">
        <f t="shared" si="1"/>
        <v>95</v>
      </c>
      <c r="B96" s="6" t="s">
        <v>468</v>
      </c>
      <c r="C96" s="6" t="s">
        <v>538</v>
      </c>
      <c r="D96" s="6">
        <v>3</v>
      </c>
      <c r="E96" s="6" t="s">
        <v>4</v>
      </c>
      <c r="F96" s="6" t="s">
        <v>3</v>
      </c>
      <c r="G96" s="6" t="s">
        <v>5</v>
      </c>
      <c r="H96" s="6" t="s">
        <v>5</v>
      </c>
      <c r="I96" s="6" t="s">
        <v>5</v>
      </c>
      <c r="J96" s="6" t="s">
        <v>5</v>
      </c>
      <c r="K96" s="6" t="s">
        <v>5</v>
      </c>
      <c r="L96" s="6" t="s">
        <v>2</v>
      </c>
      <c r="M96" s="6" t="s">
        <v>3</v>
      </c>
      <c r="N96" s="6" t="s">
        <v>3</v>
      </c>
      <c r="O96" s="6" t="s">
        <v>2</v>
      </c>
      <c r="P96" s="6" t="s">
        <v>2</v>
      </c>
      <c r="Q96" s="6" t="s">
        <v>5</v>
      </c>
      <c r="R96" s="6" t="s">
        <v>3</v>
      </c>
      <c r="S96" s="6" t="s">
        <v>2</v>
      </c>
      <c r="T96" s="6" t="s">
        <v>2</v>
      </c>
      <c r="U96" s="6" t="s">
        <v>5</v>
      </c>
      <c r="V96" s="6" t="s">
        <v>5</v>
      </c>
      <c r="W96" s="6" t="s">
        <v>5</v>
      </c>
      <c r="X96" s="6" t="s">
        <v>3</v>
      </c>
      <c r="Y96" s="6" t="s">
        <v>5</v>
      </c>
      <c r="Z96" s="6" t="s">
        <v>5</v>
      </c>
      <c r="AA96" s="6" t="s">
        <v>4</v>
      </c>
      <c r="AB96" s="6" t="s">
        <v>4</v>
      </c>
      <c r="AC96" s="6" t="s">
        <v>4</v>
      </c>
      <c r="AD96" s="6" t="s">
        <v>4</v>
      </c>
      <c r="AE96" s="6" t="s">
        <v>4</v>
      </c>
      <c r="AF96" s="6" t="s">
        <v>4</v>
      </c>
      <c r="AG96" s="6" t="s">
        <v>4</v>
      </c>
      <c r="AH96" s="6" t="s">
        <v>3</v>
      </c>
      <c r="AI96" s="6" t="s">
        <v>4</v>
      </c>
      <c r="AJ96" s="6" t="s">
        <v>3</v>
      </c>
      <c r="AK96" s="6" t="s">
        <v>4</v>
      </c>
      <c r="AL96" s="6" t="s">
        <v>4</v>
      </c>
      <c r="AM96" s="6" t="s">
        <v>3</v>
      </c>
      <c r="AN96" s="6" t="s">
        <v>3</v>
      </c>
    </row>
    <row r="97" spans="1:40">
      <c r="A97" s="6">
        <f t="shared" si="1"/>
        <v>96</v>
      </c>
      <c r="B97" s="6" t="s">
        <v>492</v>
      </c>
      <c r="C97" s="6" t="s">
        <v>538</v>
      </c>
      <c r="D97" s="6">
        <v>3</v>
      </c>
      <c r="E97" s="6" t="s">
        <v>5</v>
      </c>
      <c r="F97" s="6" t="s">
        <v>4</v>
      </c>
      <c r="G97" s="6" t="s">
        <v>4</v>
      </c>
      <c r="H97" s="6" t="s">
        <v>5</v>
      </c>
      <c r="I97" s="6" t="s">
        <v>5</v>
      </c>
      <c r="J97" s="6" t="s">
        <v>5</v>
      </c>
      <c r="K97" s="6" t="s">
        <v>5</v>
      </c>
      <c r="L97" s="6" t="s">
        <v>2</v>
      </c>
      <c r="M97" s="6" t="s">
        <v>2</v>
      </c>
      <c r="N97" s="6" t="s">
        <v>3</v>
      </c>
      <c r="O97" s="6" t="s">
        <v>4</v>
      </c>
      <c r="P97" s="6" t="s">
        <v>2</v>
      </c>
      <c r="Q97" s="6" t="s">
        <v>2</v>
      </c>
      <c r="R97" s="6" t="s">
        <v>2</v>
      </c>
      <c r="S97" s="6" t="s">
        <v>5</v>
      </c>
      <c r="T97" s="6" t="s">
        <v>5</v>
      </c>
      <c r="U97" s="6" t="s">
        <v>3</v>
      </c>
      <c r="V97" s="6" t="s">
        <v>3</v>
      </c>
      <c r="W97" s="6" t="s">
        <v>2</v>
      </c>
      <c r="X97" s="6" t="s">
        <v>4</v>
      </c>
      <c r="Y97" s="6" t="s">
        <v>5</v>
      </c>
      <c r="Z97" s="6" t="s">
        <v>3</v>
      </c>
      <c r="AA97" s="6" t="s">
        <v>3</v>
      </c>
      <c r="AB97" s="6" t="s">
        <v>3</v>
      </c>
      <c r="AC97" s="6" t="s">
        <v>3</v>
      </c>
      <c r="AD97" s="6" t="s">
        <v>4</v>
      </c>
      <c r="AE97" s="6" t="s">
        <v>4</v>
      </c>
      <c r="AF97" s="6" t="s">
        <v>4</v>
      </c>
      <c r="AG97" s="6" t="s">
        <v>4</v>
      </c>
      <c r="AH97" s="6" t="s">
        <v>3</v>
      </c>
      <c r="AI97" s="6" t="s">
        <v>4</v>
      </c>
      <c r="AJ97" s="6" t="s">
        <v>4</v>
      </c>
      <c r="AK97" s="6" t="s">
        <v>4</v>
      </c>
      <c r="AL97" s="6" t="s">
        <v>4</v>
      </c>
      <c r="AM97" s="6" t="s">
        <v>4</v>
      </c>
      <c r="AN97" s="6" t="s">
        <v>3</v>
      </c>
    </row>
    <row r="98" spans="1:40">
      <c r="A98" s="6">
        <f t="shared" si="1"/>
        <v>97</v>
      </c>
      <c r="B98" s="6" t="s">
        <v>321</v>
      </c>
      <c r="C98" s="6" t="s">
        <v>538</v>
      </c>
      <c r="D98" s="6">
        <v>4</v>
      </c>
      <c r="E98" s="6" t="s">
        <v>3</v>
      </c>
      <c r="F98" s="6" t="s">
        <v>3</v>
      </c>
      <c r="G98" s="6" t="s">
        <v>3</v>
      </c>
      <c r="H98" s="6" t="s">
        <v>5</v>
      </c>
      <c r="I98" s="6" t="s">
        <v>5</v>
      </c>
      <c r="J98" s="6" t="s">
        <v>5</v>
      </c>
      <c r="K98" s="6" t="s">
        <v>5</v>
      </c>
      <c r="L98" s="6" t="s">
        <v>2</v>
      </c>
      <c r="M98" s="6" t="s">
        <v>2</v>
      </c>
      <c r="N98" s="6" t="s">
        <v>3</v>
      </c>
      <c r="O98" s="6" t="s">
        <v>4</v>
      </c>
      <c r="P98" s="6" t="s">
        <v>5</v>
      </c>
      <c r="Q98" s="6" t="s">
        <v>5</v>
      </c>
      <c r="R98" s="6" t="s">
        <v>3</v>
      </c>
      <c r="S98" s="6" t="s">
        <v>2</v>
      </c>
      <c r="T98" s="6" t="s">
        <v>5</v>
      </c>
      <c r="U98" s="6" t="s">
        <v>5</v>
      </c>
      <c r="V98" s="6" t="s">
        <v>5</v>
      </c>
      <c r="W98" s="6" t="s">
        <v>4</v>
      </c>
      <c r="X98" s="6" t="s">
        <v>4</v>
      </c>
      <c r="Y98" s="6" t="s">
        <v>4</v>
      </c>
      <c r="Z98" s="6" t="s">
        <v>2</v>
      </c>
      <c r="AA98" s="6" t="s">
        <v>3</v>
      </c>
      <c r="AB98" s="6" t="s">
        <v>4</v>
      </c>
      <c r="AC98" s="6" t="s">
        <v>4</v>
      </c>
      <c r="AD98" s="6" t="s">
        <v>4</v>
      </c>
      <c r="AE98" s="6" t="s">
        <v>4</v>
      </c>
      <c r="AF98" s="6" t="s">
        <v>4</v>
      </c>
      <c r="AG98" s="6" t="s">
        <v>3</v>
      </c>
      <c r="AH98" s="6" t="s">
        <v>3</v>
      </c>
      <c r="AI98" s="6" t="s">
        <v>4</v>
      </c>
      <c r="AJ98" s="6" t="s">
        <v>3</v>
      </c>
      <c r="AK98" s="6" t="s">
        <v>3</v>
      </c>
      <c r="AL98" s="6" t="s">
        <v>4</v>
      </c>
      <c r="AM98" s="6" t="s">
        <v>4</v>
      </c>
      <c r="AN98" s="6" t="s">
        <v>3</v>
      </c>
    </row>
    <row r="99" spans="1:40">
      <c r="A99" s="6">
        <f t="shared" si="1"/>
        <v>98</v>
      </c>
      <c r="B99" s="6" t="s">
        <v>322</v>
      </c>
      <c r="C99" s="6" t="s">
        <v>538</v>
      </c>
      <c r="D99" s="6">
        <v>4</v>
      </c>
      <c r="E99" s="6" t="s">
        <v>5</v>
      </c>
      <c r="F99" s="6" t="s">
        <v>5</v>
      </c>
      <c r="G99" s="6" t="s">
        <v>2</v>
      </c>
      <c r="H99" s="6" t="s">
        <v>5</v>
      </c>
      <c r="I99" s="6" t="s">
        <v>5</v>
      </c>
      <c r="J99" s="6" t="s">
        <v>5</v>
      </c>
      <c r="K99" s="6" t="s">
        <v>5</v>
      </c>
      <c r="L99" s="6" t="s">
        <v>2</v>
      </c>
      <c r="M99" s="6" t="s">
        <v>2</v>
      </c>
      <c r="N99" s="6" t="s">
        <v>2</v>
      </c>
      <c r="O99" s="6" t="s">
        <v>3</v>
      </c>
      <c r="P99" s="6" t="s">
        <v>5</v>
      </c>
      <c r="Q99" s="6" t="s">
        <v>5</v>
      </c>
      <c r="R99" s="6" t="s">
        <v>2</v>
      </c>
      <c r="S99" s="6" t="s">
        <v>2</v>
      </c>
      <c r="T99" s="6" t="s">
        <v>5</v>
      </c>
      <c r="U99" s="6" t="s">
        <v>5</v>
      </c>
      <c r="V99" s="6" t="s">
        <v>5</v>
      </c>
      <c r="W99" s="6" t="s">
        <v>5</v>
      </c>
      <c r="X99" s="6" t="s">
        <v>3</v>
      </c>
      <c r="Y99" s="6" t="s">
        <v>3</v>
      </c>
      <c r="Z99" s="6" t="s">
        <v>2</v>
      </c>
      <c r="AA99" s="6" t="s">
        <v>3</v>
      </c>
      <c r="AB99" s="6" t="s">
        <v>4</v>
      </c>
      <c r="AC99" s="6" t="s">
        <v>4</v>
      </c>
      <c r="AD99" s="6" t="s">
        <v>4</v>
      </c>
      <c r="AE99" s="6" t="s">
        <v>4</v>
      </c>
      <c r="AF99" s="6" t="s">
        <v>4</v>
      </c>
      <c r="AG99" s="6" t="s">
        <v>3</v>
      </c>
      <c r="AH99" s="6" t="s">
        <v>3</v>
      </c>
      <c r="AI99" s="6" t="s">
        <v>4</v>
      </c>
      <c r="AJ99" s="6" t="s">
        <v>3</v>
      </c>
      <c r="AK99" s="6" t="s">
        <v>3</v>
      </c>
      <c r="AL99" s="6" t="s">
        <v>4</v>
      </c>
      <c r="AM99" s="6" t="s">
        <v>3</v>
      </c>
      <c r="AN99" s="6" t="s">
        <v>3</v>
      </c>
    </row>
    <row r="100" spans="1:40">
      <c r="A100" s="6">
        <f t="shared" si="1"/>
        <v>99</v>
      </c>
      <c r="B100" s="6" t="s">
        <v>323</v>
      </c>
      <c r="C100" s="6" t="s">
        <v>538</v>
      </c>
      <c r="D100" s="6">
        <v>4</v>
      </c>
      <c r="E100" s="6" t="s">
        <v>5</v>
      </c>
      <c r="F100" s="6" t="s">
        <v>3</v>
      </c>
      <c r="G100" s="6" t="s">
        <v>2</v>
      </c>
      <c r="H100" s="6" t="s">
        <v>5</v>
      </c>
      <c r="I100" s="6" t="s">
        <v>5</v>
      </c>
      <c r="J100" s="6" t="s">
        <v>5</v>
      </c>
      <c r="K100" s="6" t="s">
        <v>2</v>
      </c>
      <c r="L100" s="6" t="s">
        <v>2</v>
      </c>
      <c r="M100" s="6" t="s">
        <v>3</v>
      </c>
      <c r="N100" s="6" t="s">
        <v>3</v>
      </c>
      <c r="O100" s="6" t="s">
        <v>3</v>
      </c>
      <c r="P100" s="6" t="s">
        <v>3</v>
      </c>
      <c r="Q100" s="6" t="s">
        <v>2</v>
      </c>
      <c r="R100" s="6" t="s">
        <v>2</v>
      </c>
      <c r="S100" s="6" t="s">
        <v>2</v>
      </c>
      <c r="T100" s="6" t="s">
        <v>5</v>
      </c>
      <c r="U100" s="6" t="s">
        <v>2</v>
      </c>
      <c r="V100" s="6" t="s">
        <v>2</v>
      </c>
      <c r="W100" s="6" t="s">
        <v>5</v>
      </c>
      <c r="X100" s="6" t="s">
        <v>3</v>
      </c>
      <c r="Y100" s="6" t="s">
        <v>2</v>
      </c>
      <c r="Z100" s="6" t="s">
        <v>2</v>
      </c>
      <c r="AA100" s="6" t="s">
        <v>3</v>
      </c>
      <c r="AB100" s="6" t="s">
        <v>4</v>
      </c>
      <c r="AC100" s="6" t="s">
        <v>4</v>
      </c>
      <c r="AD100" s="6" t="s">
        <v>4</v>
      </c>
      <c r="AE100" s="6" t="s">
        <v>4</v>
      </c>
      <c r="AF100" s="6" t="s">
        <v>4</v>
      </c>
      <c r="AG100" s="6" t="s">
        <v>3</v>
      </c>
      <c r="AH100" s="6" t="s">
        <v>3</v>
      </c>
      <c r="AI100" s="6" t="s">
        <v>4</v>
      </c>
      <c r="AJ100" s="6" t="s">
        <v>3</v>
      </c>
      <c r="AK100" s="6" t="s">
        <v>4</v>
      </c>
      <c r="AL100" s="6" t="s">
        <v>4</v>
      </c>
      <c r="AM100" s="6" t="s">
        <v>4</v>
      </c>
      <c r="AN100" s="6" t="s">
        <v>3</v>
      </c>
    </row>
    <row r="101" spans="1:40">
      <c r="A101" s="6">
        <f t="shared" si="1"/>
        <v>100</v>
      </c>
      <c r="B101" s="6" t="s">
        <v>471</v>
      </c>
      <c r="C101" s="6" t="s">
        <v>538</v>
      </c>
      <c r="D101" s="6">
        <v>4</v>
      </c>
      <c r="E101" s="6" t="s">
        <v>5</v>
      </c>
      <c r="F101" s="6" t="s">
        <v>5</v>
      </c>
      <c r="G101" s="6" t="s">
        <v>2</v>
      </c>
      <c r="H101" s="6" t="s">
        <v>5</v>
      </c>
      <c r="I101" s="6" t="s">
        <v>5</v>
      </c>
      <c r="J101" s="6" t="s">
        <v>5</v>
      </c>
      <c r="K101" s="6" t="s">
        <v>5</v>
      </c>
      <c r="L101" s="6" t="s">
        <v>2</v>
      </c>
      <c r="M101" s="6" t="s">
        <v>3</v>
      </c>
      <c r="N101" s="6" t="s">
        <v>4</v>
      </c>
      <c r="O101" s="6" t="s">
        <v>4</v>
      </c>
      <c r="P101" s="6" t="s">
        <v>3</v>
      </c>
      <c r="Q101" s="6" t="s">
        <v>2</v>
      </c>
      <c r="R101" s="6" t="s">
        <v>2</v>
      </c>
      <c r="S101" s="6" t="s">
        <v>3</v>
      </c>
      <c r="T101" s="6" t="s">
        <v>5</v>
      </c>
      <c r="U101" s="6" t="s">
        <v>3</v>
      </c>
      <c r="V101" s="6" t="s">
        <v>2</v>
      </c>
      <c r="W101" s="6" t="s">
        <v>5</v>
      </c>
      <c r="X101" s="6" t="s">
        <v>3</v>
      </c>
      <c r="Y101" s="6" t="s">
        <v>4</v>
      </c>
      <c r="Z101" s="6" t="s">
        <v>4</v>
      </c>
      <c r="AA101" s="6" t="s">
        <v>3</v>
      </c>
      <c r="AB101" s="6" t="s">
        <v>4</v>
      </c>
      <c r="AC101" s="6" t="s">
        <v>4</v>
      </c>
      <c r="AD101" s="6" t="s">
        <v>4</v>
      </c>
      <c r="AE101" s="6" t="s">
        <v>4</v>
      </c>
      <c r="AF101" s="6" t="s">
        <v>4</v>
      </c>
      <c r="AG101" s="6" t="s">
        <v>4</v>
      </c>
      <c r="AH101" s="6" t="s">
        <v>3</v>
      </c>
      <c r="AI101" s="6" t="s">
        <v>3</v>
      </c>
      <c r="AJ101" s="6" t="s">
        <v>3</v>
      </c>
      <c r="AK101" s="6" t="s">
        <v>4</v>
      </c>
      <c r="AL101" s="6" t="s">
        <v>4</v>
      </c>
      <c r="AM101" s="6" t="s">
        <v>3</v>
      </c>
      <c r="AN101" s="6" t="s">
        <v>3</v>
      </c>
    </row>
    <row r="102" spans="1:40">
      <c r="A102" s="6">
        <f t="shared" si="1"/>
        <v>101</v>
      </c>
      <c r="B102" s="6" t="s">
        <v>472</v>
      </c>
      <c r="C102" s="6" t="s">
        <v>538</v>
      </c>
      <c r="D102" s="6">
        <v>4</v>
      </c>
      <c r="E102" s="6" t="s">
        <v>2</v>
      </c>
      <c r="F102" s="6" t="s">
        <v>5</v>
      </c>
      <c r="G102" s="6" t="s">
        <v>2</v>
      </c>
      <c r="H102" s="6" t="s">
        <v>5</v>
      </c>
      <c r="I102" s="6" t="s">
        <v>5</v>
      </c>
      <c r="J102" s="6" t="s">
        <v>5</v>
      </c>
      <c r="K102" s="6" t="s">
        <v>5</v>
      </c>
      <c r="L102" s="6" t="s">
        <v>2</v>
      </c>
      <c r="M102" s="6" t="s">
        <v>2</v>
      </c>
      <c r="N102" s="6" t="s">
        <v>2</v>
      </c>
      <c r="O102" s="6" t="s">
        <v>5</v>
      </c>
      <c r="P102" s="6" t="s">
        <v>4</v>
      </c>
      <c r="Q102" s="6" t="s">
        <v>5</v>
      </c>
      <c r="R102" s="6" t="s">
        <v>2</v>
      </c>
      <c r="S102" s="6" t="s">
        <v>4</v>
      </c>
      <c r="T102" s="6" t="s">
        <v>5</v>
      </c>
      <c r="U102" s="6" t="s">
        <v>5</v>
      </c>
      <c r="V102" s="6" t="s">
        <v>5</v>
      </c>
      <c r="W102" s="6" t="s">
        <v>4</v>
      </c>
      <c r="X102" s="6" t="s">
        <v>3</v>
      </c>
      <c r="Y102" s="6" t="s">
        <v>4</v>
      </c>
      <c r="Z102" s="6" t="s">
        <v>4</v>
      </c>
      <c r="AA102" s="6" t="s">
        <v>3</v>
      </c>
      <c r="AB102" s="6" t="s">
        <v>4</v>
      </c>
      <c r="AC102" s="6" t="s">
        <v>4</v>
      </c>
      <c r="AD102" s="6" t="s">
        <v>4</v>
      </c>
      <c r="AE102" s="6" t="s">
        <v>4</v>
      </c>
      <c r="AF102" s="6" t="s">
        <v>4</v>
      </c>
      <c r="AG102" s="6" t="s">
        <v>4</v>
      </c>
      <c r="AH102" s="6" t="s">
        <v>3</v>
      </c>
      <c r="AI102" s="6" t="s">
        <v>4</v>
      </c>
      <c r="AJ102" s="6" t="s">
        <v>3</v>
      </c>
      <c r="AK102" s="6" t="s">
        <v>4</v>
      </c>
      <c r="AL102" s="6" t="s">
        <v>4</v>
      </c>
      <c r="AM102" s="6" t="s">
        <v>3</v>
      </c>
      <c r="AN102" s="6" t="s">
        <v>3</v>
      </c>
    </row>
    <row r="103" spans="1:40">
      <c r="A103" s="6">
        <f t="shared" si="1"/>
        <v>102</v>
      </c>
      <c r="B103" s="6" t="s">
        <v>486</v>
      </c>
      <c r="C103" s="6" t="s">
        <v>538</v>
      </c>
      <c r="D103" s="6">
        <v>4</v>
      </c>
      <c r="E103" s="6" t="s">
        <v>3</v>
      </c>
      <c r="F103" s="6" t="s">
        <v>5</v>
      </c>
      <c r="G103" s="6" t="s">
        <v>4</v>
      </c>
      <c r="H103" s="6" t="s">
        <v>5</v>
      </c>
      <c r="I103" s="6" t="s">
        <v>5</v>
      </c>
      <c r="J103" s="6" t="s">
        <v>5</v>
      </c>
      <c r="K103" s="6" t="s">
        <v>5</v>
      </c>
      <c r="L103" s="6" t="s">
        <v>2</v>
      </c>
      <c r="M103" s="6" t="s">
        <v>2</v>
      </c>
      <c r="N103" s="6" t="s">
        <v>4</v>
      </c>
      <c r="O103" s="6" t="s">
        <v>4</v>
      </c>
      <c r="P103" s="6" t="s">
        <v>5</v>
      </c>
      <c r="Q103" s="6" t="s">
        <v>2</v>
      </c>
      <c r="R103" s="6" t="s">
        <v>3</v>
      </c>
      <c r="S103" s="6" t="s">
        <v>5</v>
      </c>
      <c r="T103" s="6" t="s">
        <v>5</v>
      </c>
      <c r="U103" s="6" t="s">
        <v>2</v>
      </c>
      <c r="V103" s="6" t="s">
        <v>5</v>
      </c>
      <c r="W103" s="6" t="s">
        <v>5</v>
      </c>
      <c r="X103" s="6" t="s">
        <v>4</v>
      </c>
      <c r="Y103" s="6" t="s">
        <v>4</v>
      </c>
      <c r="Z103" s="6" t="s">
        <v>2</v>
      </c>
      <c r="AA103" s="6" t="s">
        <v>3</v>
      </c>
      <c r="AB103" s="6" t="s">
        <v>4</v>
      </c>
      <c r="AC103" s="6" t="s">
        <v>4</v>
      </c>
      <c r="AD103" s="6" t="s">
        <v>4</v>
      </c>
      <c r="AE103" s="6" t="s">
        <v>4</v>
      </c>
      <c r="AF103" s="6" t="s">
        <v>4</v>
      </c>
      <c r="AG103" s="6" t="s">
        <v>4</v>
      </c>
      <c r="AH103" s="6" t="s">
        <v>3</v>
      </c>
      <c r="AI103" s="6" t="s">
        <v>4</v>
      </c>
      <c r="AJ103" s="6" t="s">
        <v>3</v>
      </c>
      <c r="AK103" s="6" t="s">
        <v>4</v>
      </c>
      <c r="AL103" s="6" t="s">
        <v>4</v>
      </c>
      <c r="AM103" s="6" t="s">
        <v>4</v>
      </c>
      <c r="AN103" s="6" t="s">
        <v>3</v>
      </c>
    </row>
    <row r="104" spans="1:40">
      <c r="A104" s="6">
        <f t="shared" si="1"/>
        <v>103</v>
      </c>
      <c r="B104" s="6" t="s">
        <v>324</v>
      </c>
      <c r="C104" s="6" t="s">
        <v>538</v>
      </c>
      <c r="D104" s="6">
        <v>5</v>
      </c>
      <c r="E104" s="6" t="s">
        <v>5</v>
      </c>
      <c r="F104" s="6" t="s">
        <v>3</v>
      </c>
      <c r="G104" s="6" t="s">
        <v>3</v>
      </c>
      <c r="H104" s="6" t="s">
        <v>5</v>
      </c>
      <c r="I104" s="6" t="s">
        <v>5</v>
      </c>
      <c r="J104" s="6" t="s">
        <v>5</v>
      </c>
      <c r="K104" s="6" t="s">
        <v>5</v>
      </c>
      <c r="L104" s="6" t="s">
        <v>2</v>
      </c>
      <c r="M104" s="6" t="s">
        <v>2</v>
      </c>
      <c r="N104" s="6" t="s">
        <v>5</v>
      </c>
      <c r="O104" s="6" t="s">
        <v>3</v>
      </c>
      <c r="P104" s="6" t="s">
        <v>2</v>
      </c>
      <c r="Q104" s="6" t="s">
        <v>5</v>
      </c>
      <c r="R104" s="6" t="s">
        <v>2</v>
      </c>
      <c r="S104" s="6" t="s">
        <v>3</v>
      </c>
      <c r="T104" s="6" t="s">
        <v>5</v>
      </c>
      <c r="U104" s="6" t="s">
        <v>5</v>
      </c>
      <c r="V104" s="6" t="s">
        <v>5</v>
      </c>
      <c r="W104" s="6" t="s">
        <v>5</v>
      </c>
      <c r="X104" s="6" t="s">
        <v>3</v>
      </c>
      <c r="Y104" s="6" t="s">
        <v>4</v>
      </c>
      <c r="Z104" s="6" t="s">
        <v>2</v>
      </c>
      <c r="AA104" s="6" t="s">
        <v>3</v>
      </c>
      <c r="AB104" s="6" t="s">
        <v>4</v>
      </c>
      <c r="AC104" s="6" t="s">
        <v>4</v>
      </c>
      <c r="AD104" s="6" t="s">
        <v>4</v>
      </c>
      <c r="AE104" s="6" t="s">
        <v>4</v>
      </c>
      <c r="AF104" s="6" t="s">
        <v>4</v>
      </c>
      <c r="AG104" s="6" t="s">
        <v>4</v>
      </c>
      <c r="AH104" s="6" t="s">
        <v>3</v>
      </c>
      <c r="AI104" s="6" t="s">
        <v>4</v>
      </c>
      <c r="AJ104" s="6" t="s">
        <v>3</v>
      </c>
      <c r="AK104" s="6" t="s">
        <v>4</v>
      </c>
      <c r="AL104" s="6" t="s">
        <v>4</v>
      </c>
      <c r="AM104" s="6" t="s">
        <v>4</v>
      </c>
      <c r="AN104" s="6" t="s">
        <v>3</v>
      </c>
    </row>
    <row r="105" spans="1:40">
      <c r="A105" s="6">
        <f t="shared" si="1"/>
        <v>104</v>
      </c>
      <c r="B105" s="6" t="s">
        <v>325</v>
      </c>
      <c r="C105" s="6" t="s">
        <v>538</v>
      </c>
      <c r="D105" s="6">
        <v>5</v>
      </c>
      <c r="E105" s="6" t="s">
        <v>5</v>
      </c>
      <c r="F105" s="6" t="s">
        <v>3</v>
      </c>
      <c r="G105" s="6" t="s">
        <v>5</v>
      </c>
      <c r="H105" s="6" t="s">
        <v>5</v>
      </c>
      <c r="I105" s="6" t="s">
        <v>5</v>
      </c>
      <c r="J105" s="6" t="s">
        <v>5</v>
      </c>
      <c r="K105" s="6" t="s">
        <v>5</v>
      </c>
      <c r="L105" s="6" t="s">
        <v>2</v>
      </c>
      <c r="M105" s="6" t="s">
        <v>2</v>
      </c>
      <c r="N105" s="6" t="s">
        <v>4</v>
      </c>
      <c r="O105" s="6" t="s">
        <v>4</v>
      </c>
      <c r="P105" s="6" t="s">
        <v>3</v>
      </c>
      <c r="Q105" s="6" t="s">
        <v>5</v>
      </c>
      <c r="R105" s="6" t="s">
        <v>2</v>
      </c>
      <c r="S105" s="6" t="s">
        <v>5</v>
      </c>
      <c r="T105" s="6" t="s">
        <v>2</v>
      </c>
      <c r="U105" s="6" t="s">
        <v>2</v>
      </c>
      <c r="V105" s="6" t="s">
        <v>5</v>
      </c>
      <c r="W105" s="6" t="s">
        <v>4</v>
      </c>
      <c r="X105" s="6" t="s">
        <v>3</v>
      </c>
      <c r="Y105" s="6" t="s">
        <v>3</v>
      </c>
      <c r="Z105" s="6" t="s">
        <v>4</v>
      </c>
      <c r="AA105" s="6" t="s">
        <v>3</v>
      </c>
      <c r="AB105" s="6" t="s">
        <v>4</v>
      </c>
      <c r="AC105" s="6" t="s">
        <v>4</v>
      </c>
      <c r="AD105" s="6" t="s">
        <v>4</v>
      </c>
      <c r="AE105" s="6" t="s">
        <v>4</v>
      </c>
      <c r="AF105" s="6" t="s">
        <v>4</v>
      </c>
      <c r="AG105" s="6" t="s">
        <v>3</v>
      </c>
      <c r="AH105" s="6" t="s">
        <v>3</v>
      </c>
      <c r="AI105" s="6" t="s">
        <v>4</v>
      </c>
      <c r="AJ105" s="6" t="s">
        <v>3</v>
      </c>
      <c r="AK105" s="6" t="s">
        <v>4</v>
      </c>
      <c r="AL105" s="6" t="s">
        <v>4</v>
      </c>
      <c r="AM105" s="6" t="s">
        <v>4</v>
      </c>
      <c r="AN105" s="6" t="s">
        <v>3</v>
      </c>
    </row>
    <row r="106" spans="1:40">
      <c r="A106" s="6">
        <f t="shared" si="1"/>
        <v>105</v>
      </c>
      <c r="B106" s="6" t="s">
        <v>326</v>
      </c>
      <c r="C106" s="6" t="s">
        <v>538</v>
      </c>
      <c r="D106" s="6">
        <v>5</v>
      </c>
      <c r="E106" s="6" t="s">
        <v>5</v>
      </c>
      <c r="F106" s="6" t="s">
        <v>5</v>
      </c>
      <c r="G106" s="6" t="s">
        <v>2</v>
      </c>
      <c r="H106" s="6" t="s">
        <v>5</v>
      </c>
      <c r="I106" s="6" t="s">
        <v>5</v>
      </c>
      <c r="J106" s="6" t="s">
        <v>3</v>
      </c>
      <c r="K106" s="6" t="s">
        <v>5</v>
      </c>
      <c r="L106" s="6" t="s">
        <v>2</v>
      </c>
      <c r="M106" s="6" t="s">
        <v>2</v>
      </c>
      <c r="N106" s="6" t="s">
        <v>2</v>
      </c>
      <c r="O106" s="6" t="s">
        <v>2</v>
      </c>
      <c r="P106" s="6" t="s">
        <v>2</v>
      </c>
      <c r="Q106" s="6" t="s">
        <v>2</v>
      </c>
      <c r="R106" s="6" t="s">
        <v>3</v>
      </c>
      <c r="S106" s="6" t="s">
        <v>3</v>
      </c>
      <c r="T106" s="6" t="s">
        <v>5</v>
      </c>
      <c r="U106" s="6" t="s">
        <v>5</v>
      </c>
      <c r="V106" s="6" t="s">
        <v>5</v>
      </c>
      <c r="W106" s="6" t="s">
        <v>5</v>
      </c>
      <c r="X106" s="6" t="s">
        <v>3</v>
      </c>
      <c r="Y106" s="6" t="s">
        <v>3</v>
      </c>
      <c r="Z106" s="6" t="s">
        <v>2</v>
      </c>
      <c r="AA106" s="6" t="s">
        <v>3</v>
      </c>
      <c r="AB106" s="6" t="s">
        <v>4</v>
      </c>
      <c r="AC106" s="6" t="s">
        <v>4</v>
      </c>
      <c r="AD106" s="6" t="s">
        <v>4</v>
      </c>
      <c r="AE106" s="6" t="s">
        <v>4</v>
      </c>
      <c r="AF106" s="6" t="s">
        <v>4</v>
      </c>
      <c r="AG106" s="6" t="s">
        <v>3</v>
      </c>
      <c r="AH106" s="6" t="s">
        <v>3</v>
      </c>
      <c r="AI106" s="6" t="s">
        <v>4</v>
      </c>
      <c r="AJ106" s="6" t="s">
        <v>3</v>
      </c>
      <c r="AK106" s="6" t="s">
        <v>3</v>
      </c>
      <c r="AL106" s="6" t="s">
        <v>4</v>
      </c>
      <c r="AM106" s="6" t="s">
        <v>3</v>
      </c>
      <c r="AN106" s="6" t="s">
        <v>3</v>
      </c>
    </row>
    <row r="107" spans="1:40">
      <c r="A107" s="6">
        <f t="shared" si="1"/>
        <v>106</v>
      </c>
      <c r="B107" s="6" t="s">
        <v>479</v>
      </c>
      <c r="C107" s="6" t="s">
        <v>538</v>
      </c>
      <c r="D107" s="6">
        <v>5</v>
      </c>
      <c r="E107" s="6" t="s">
        <v>2</v>
      </c>
      <c r="F107" s="6" t="s">
        <v>3</v>
      </c>
      <c r="G107" s="6" t="s">
        <v>5</v>
      </c>
      <c r="H107" s="6" t="s">
        <v>5</v>
      </c>
      <c r="I107" s="6" t="s">
        <v>5</v>
      </c>
      <c r="J107" s="6" t="s">
        <v>5</v>
      </c>
      <c r="K107" s="6" t="s">
        <v>5</v>
      </c>
      <c r="L107" s="6" t="s">
        <v>2</v>
      </c>
      <c r="M107" s="6" t="s">
        <v>3</v>
      </c>
      <c r="N107" s="6" t="s">
        <v>3</v>
      </c>
      <c r="O107" s="6" t="s">
        <v>5</v>
      </c>
      <c r="P107" s="6" t="s">
        <v>2</v>
      </c>
      <c r="Q107" s="6" t="s">
        <v>5</v>
      </c>
      <c r="R107" s="6" t="s">
        <v>2</v>
      </c>
      <c r="S107" s="6" t="s">
        <v>2</v>
      </c>
      <c r="T107" s="6" t="s">
        <v>5</v>
      </c>
      <c r="U107" s="6" t="s">
        <v>5</v>
      </c>
      <c r="V107" s="6" t="s">
        <v>5</v>
      </c>
      <c r="W107" s="6" t="s">
        <v>3</v>
      </c>
      <c r="X107" s="6" t="s">
        <v>3</v>
      </c>
      <c r="Y107" s="6" t="s">
        <v>4</v>
      </c>
      <c r="Z107" s="6" t="s">
        <v>2</v>
      </c>
      <c r="AA107" s="6" t="s">
        <v>3</v>
      </c>
      <c r="AB107" s="6" t="s">
        <v>4</v>
      </c>
      <c r="AC107" s="6" t="s">
        <v>4</v>
      </c>
      <c r="AD107" s="6" t="s">
        <v>4</v>
      </c>
      <c r="AE107" s="6" t="s">
        <v>4</v>
      </c>
      <c r="AF107" s="6" t="s">
        <v>4</v>
      </c>
      <c r="AG107" s="6" t="s">
        <v>3</v>
      </c>
      <c r="AH107" s="6" t="s">
        <v>3</v>
      </c>
      <c r="AI107" s="6" t="s">
        <v>4</v>
      </c>
      <c r="AJ107" s="6" t="s">
        <v>3</v>
      </c>
      <c r="AK107" s="6" t="s">
        <v>4</v>
      </c>
      <c r="AL107" s="6" t="s">
        <v>4</v>
      </c>
      <c r="AM107" s="6" t="s">
        <v>4</v>
      </c>
      <c r="AN107" s="6" t="s">
        <v>3</v>
      </c>
    </row>
    <row r="108" spans="1:40">
      <c r="A108" s="6">
        <f t="shared" si="1"/>
        <v>107</v>
      </c>
      <c r="B108" s="6" t="s">
        <v>480</v>
      </c>
      <c r="C108" s="6" t="s">
        <v>538</v>
      </c>
      <c r="D108" s="6">
        <v>5</v>
      </c>
      <c r="E108" s="6" t="s">
        <v>2</v>
      </c>
      <c r="F108" s="6" t="s">
        <v>3</v>
      </c>
      <c r="G108" s="6" t="s">
        <v>4</v>
      </c>
      <c r="H108" s="6" t="s">
        <v>5</v>
      </c>
      <c r="I108" s="6" t="s">
        <v>5</v>
      </c>
      <c r="J108" s="6" t="s">
        <v>3</v>
      </c>
      <c r="K108" s="6" t="s">
        <v>5</v>
      </c>
      <c r="L108" s="6" t="s">
        <v>2</v>
      </c>
      <c r="M108" s="6" t="s">
        <v>3</v>
      </c>
      <c r="N108" s="6" t="s">
        <v>2</v>
      </c>
      <c r="O108" s="6" t="s">
        <v>2</v>
      </c>
      <c r="P108" s="6" t="s">
        <v>5</v>
      </c>
      <c r="Q108" s="6" t="s">
        <v>5</v>
      </c>
      <c r="R108" s="6" t="s">
        <v>2</v>
      </c>
      <c r="S108" s="6" t="s">
        <v>5</v>
      </c>
      <c r="T108" s="6" t="s">
        <v>5</v>
      </c>
      <c r="U108" s="6" t="s">
        <v>3</v>
      </c>
      <c r="V108" s="6" t="s">
        <v>5</v>
      </c>
      <c r="W108" s="6" t="s">
        <v>2</v>
      </c>
      <c r="X108" s="6" t="s">
        <v>4</v>
      </c>
      <c r="Y108" s="6" t="s">
        <v>4</v>
      </c>
      <c r="Z108" s="6" t="s">
        <v>2</v>
      </c>
      <c r="AA108" s="6" t="s">
        <v>3</v>
      </c>
      <c r="AB108" s="6" t="s">
        <v>4</v>
      </c>
      <c r="AC108" s="6" t="s">
        <v>4</v>
      </c>
      <c r="AD108" s="6" t="s">
        <v>4</v>
      </c>
      <c r="AE108" s="6" t="s">
        <v>4</v>
      </c>
      <c r="AF108" s="6" t="s">
        <v>4</v>
      </c>
      <c r="AG108" s="6" t="s">
        <v>4</v>
      </c>
      <c r="AH108" s="6" t="s">
        <v>3</v>
      </c>
      <c r="AI108" s="6" t="s">
        <v>4</v>
      </c>
      <c r="AJ108" s="6" t="s">
        <v>3</v>
      </c>
      <c r="AK108" s="6" t="s">
        <v>4</v>
      </c>
      <c r="AL108" s="6" t="s">
        <v>4</v>
      </c>
      <c r="AM108" s="6" t="s">
        <v>3</v>
      </c>
      <c r="AN108" s="6" t="s">
        <v>3</v>
      </c>
    </row>
    <row r="109" spans="1:40">
      <c r="A109" s="6">
        <f t="shared" si="1"/>
        <v>108</v>
      </c>
      <c r="B109" s="6" t="s">
        <v>496</v>
      </c>
      <c r="C109" s="6" t="s">
        <v>538</v>
      </c>
      <c r="D109" s="6">
        <v>5</v>
      </c>
      <c r="E109" s="6" t="s">
        <v>5</v>
      </c>
      <c r="F109" s="6" t="s">
        <v>5</v>
      </c>
      <c r="G109" s="6" t="s">
        <v>3</v>
      </c>
      <c r="H109" s="6" t="s">
        <v>5</v>
      </c>
      <c r="I109" s="6" t="s">
        <v>5</v>
      </c>
      <c r="J109" s="6" t="s">
        <v>5</v>
      </c>
      <c r="K109" s="6" t="s">
        <v>5</v>
      </c>
      <c r="L109" s="6" t="s">
        <v>2</v>
      </c>
      <c r="M109" s="6" t="s">
        <v>2</v>
      </c>
      <c r="N109" s="6" t="s">
        <v>5</v>
      </c>
      <c r="O109" s="6" t="s">
        <v>2</v>
      </c>
      <c r="P109" s="6" t="s">
        <v>2</v>
      </c>
      <c r="Q109" s="6" t="s">
        <v>4</v>
      </c>
      <c r="R109" s="6" t="s">
        <v>3</v>
      </c>
      <c r="S109" s="6" t="s">
        <v>2</v>
      </c>
      <c r="T109" s="6" t="s">
        <v>5</v>
      </c>
      <c r="U109" s="6" t="s">
        <v>5</v>
      </c>
      <c r="V109" s="6" t="s">
        <v>5</v>
      </c>
      <c r="W109" s="6" t="s">
        <v>3</v>
      </c>
      <c r="X109" s="6" t="s">
        <v>3</v>
      </c>
      <c r="Y109" s="6" t="s">
        <v>3</v>
      </c>
      <c r="Z109" s="6" t="s">
        <v>4</v>
      </c>
      <c r="AA109" s="6" t="s">
        <v>3</v>
      </c>
      <c r="AB109" s="6" t="s">
        <v>4</v>
      </c>
      <c r="AC109" s="6" t="s">
        <v>4</v>
      </c>
      <c r="AD109" s="6" t="s">
        <v>4</v>
      </c>
      <c r="AE109" s="6" t="s">
        <v>4</v>
      </c>
      <c r="AF109" s="6" t="s">
        <v>4</v>
      </c>
      <c r="AG109" s="6" t="s">
        <v>3</v>
      </c>
      <c r="AH109" s="6" t="s">
        <v>3</v>
      </c>
      <c r="AI109" s="6" t="s">
        <v>4</v>
      </c>
      <c r="AJ109" s="6" t="s">
        <v>3</v>
      </c>
      <c r="AK109" s="6" t="s">
        <v>4</v>
      </c>
      <c r="AL109" s="6" t="s">
        <v>4</v>
      </c>
      <c r="AM109" s="6" t="s">
        <v>3</v>
      </c>
      <c r="AN109" s="6" t="s">
        <v>3</v>
      </c>
    </row>
    <row r="110" spans="1:40">
      <c r="A110" s="6">
        <f t="shared" si="1"/>
        <v>109</v>
      </c>
      <c r="B110" s="6" t="s">
        <v>430</v>
      </c>
      <c r="C110" s="6" t="s">
        <v>538</v>
      </c>
      <c r="D110" s="6">
        <v>6</v>
      </c>
      <c r="E110" s="6" t="s">
        <v>5</v>
      </c>
      <c r="F110" s="6" t="s">
        <v>5</v>
      </c>
      <c r="G110" s="6" t="s">
        <v>3</v>
      </c>
      <c r="H110" s="6" t="s">
        <v>5</v>
      </c>
      <c r="I110" s="6" t="s">
        <v>5</v>
      </c>
      <c r="J110" s="6" t="s">
        <v>5</v>
      </c>
      <c r="K110" s="6" t="s">
        <v>5</v>
      </c>
      <c r="L110" s="6" t="s">
        <v>2</v>
      </c>
      <c r="M110" s="6" t="s">
        <v>2</v>
      </c>
      <c r="N110" s="6" t="s">
        <v>4</v>
      </c>
      <c r="O110" s="6" t="s">
        <v>4</v>
      </c>
      <c r="P110" s="6" t="s">
        <v>4</v>
      </c>
      <c r="Q110" s="6" t="s">
        <v>5</v>
      </c>
      <c r="R110" s="6" t="s">
        <v>4</v>
      </c>
      <c r="S110" s="6" t="s">
        <v>5</v>
      </c>
      <c r="T110" s="6" t="s">
        <v>5</v>
      </c>
      <c r="U110" s="6" t="s">
        <v>5</v>
      </c>
      <c r="V110" s="6" t="s">
        <v>5</v>
      </c>
      <c r="W110" s="6" t="s">
        <v>3</v>
      </c>
      <c r="X110" s="6" t="s">
        <v>5</v>
      </c>
      <c r="Y110" s="6" t="s">
        <v>2</v>
      </c>
      <c r="Z110" s="6" t="s">
        <v>2</v>
      </c>
      <c r="AA110" s="6" t="s">
        <v>3</v>
      </c>
      <c r="AB110" s="6" t="s">
        <v>4</v>
      </c>
      <c r="AC110" s="6" t="s">
        <v>4</v>
      </c>
      <c r="AD110" s="6" t="s">
        <v>4</v>
      </c>
      <c r="AE110" s="6" t="s">
        <v>4</v>
      </c>
      <c r="AF110" s="6" t="s">
        <v>4</v>
      </c>
      <c r="AG110" s="6" t="s">
        <v>4</v>
      </c>
      <c r="AH110" s="6" t="s">
        <v>3</v>
      </c>
      <c r="AI110" s="6" t="s">
        <v>4</v>
      </c>
      <c r="AJ110" s="6" t="s">
        <v>3</v>
      </c>
      <c r="AK110" s="6" t="s">
        <v>3</v>
      </c>
      <c r="AL110" s="6" t="s">
        <v>4</v>
      </c>
      <c r="AM110" s="6" t="s">
        <v>3</v>
      </c>
      <c r="AN110" s="6" t="s">
        <v>3</v>
      </c>
    </row>
    <row r="111" spans="1:40">
      <c r="A111" s="6">
        <f t="shared" si="1"/>
        <v>110</v>
      </c>
      <c r="B111" s="6" t="s">
        <v>327</v>
      </c>
      <c r="C111" s="6" t="s">
        <v>538</v>
      </c>
      <c r="D111" s="6">
        <v>6</v>
      </c>
      <c r="E111" s="6" t="s">
        <v>4</v>
      </c>
      <c r="F111" s="6" t="s">
        <v>5</v>
      </c>
      <c r="G111" s="6" t="s">
        <v>2</v>
      </c>
      <c r="H111" s="6" t="s">
        <v>5</v>
      </c>
      <c r="I111" s="6" t="s">
        <v>5</v>
      </c>
      <c r="J111" s="6" t="s">
        <v>5</v>
      </c>
      <c r="K111" s="6" t="s">
        <v>2</v>
      </c>
      <c r="L111" s="6" t="s">
        <v>2</v>
      </c>
      <c r="M111" s="6" t="s">
        <v>2</v>
      </c>
      <c r="N111" s="6" t="s">
        <v>4</v>
      </c>
      <c r="O111" s="6" t="s">
        <v>2</v>
      </c>
      <c r="P111" s="6" t="s">
        <v>5</v>
      </c>
      <c r="Q111" s="6" t="s">
        <v>5</v>
      </c>
      <c r="R111" s="6" t="s">
        <v>4</v>
      </c>
      <c r="S111" s="6" t="s">
        <v>5</v>
      </c>
      <c r="T111" s="6" t="s">
        <v>5</v>
      </c>
      <c r="U111" s="6" t="s">
        <v>5</v>
      </c>
      <c r="V111" s="6" t="s">
        <v>5</v>
      </c>
      <c r="W111" s="6" t="s">
        <v>5</v>
      </c>
      <c r="X111" s="6" t="s">
        <v>4</v>
      </c>
      <c r="Y111" s="6" t="s">
        <v>3</v>
      </c>
      <c r="Z111" s="6" t="s">
        <v>2</v>
      </c>
      <c r="AA111" s="6" t="s">
        <v>3</v>
      </c>
      <c r="AB111" s="6" t="s">
        <v>4</v>
      </c>
      <c r="AC111" s="6" t="s">
        <v>4</v>
      </c>
      <c r="AD111" s="6" t="s">
        <v>4</v>
      </c>
      <c r="AE111" s="6" t="s">
        <v>3</v>
      </c>
      <c r="AF111" s="6" t="s">
        <v>4</v>
      </c>
      <c r="AG111" s="6" t="s">
        <v>3</v>
      </c>
      <c r="AH111" s="6" t="s">
        <v>3</v>
      </c>
      <c r="AI111" s="6" t="s">
        <v>3</v>
      </c>
      <c r="AJ111" s="6" t="s">
        <v>3</v>
      </c>
      <c r="AK111" s="6" t="s">
        <v>3</v>
      </c>
      <c r="AL111" s="6" t="s">
        <v>3</v>
      </c>
      <c r="AM111" s="6" t="s">
        <v>3</v>
      </c>
      <c r="AN111" s="6" t="s">
        <v>3</v>
      </c>
    </row>
    <row r="112" spans="1:40">
      <c r="A112" s="6">
        <f t="shared" si="1"/>
        <v>111</v>
      </c>
      <c r="B112" s="6" t="s">
        <v>328</v>
      </c>
      <c r="C112" s="6" t="s">
        <v>538</v>
      </c>
      <c r="D112" s="6">
        <v>6</v>
      </c>
      <c r="E112" s="6" t="s">
        <v>5</v>
      </c>
      <c r="F112" s="6" t="s">
        <v>5</v>
      </c>
      <c r="G112" s="6" t="s">
        <v>3</v>
      </c>
      <c r="H112" s="6" t="s">
        <v>2</v>
      </c>
      <c r="I112" s="6" t="s">
        <v>5</v>
      </c>
      <c r="J112" s="6" t="s">
        <v>5</v>
      </c>
      <c r="K112" s="6" t="s">
        <v>5</v>
      </c>
      <c r="L112" s="6" t="s">
        <v>5</v>
      </c>
      <c r="M112" s="6" t="s">
        <v>2</v>
      </c>
      <c r="N112" s="6" t="s">
        <v>4</v>
      </c>
      <c r="O112" s="6" t="s">
        <v>4</v>
      </c>
      <c r="P112" s="6" t="s">
        <v>2</v>
      </c>
      <c r="Q112" s="6" t="s">
        <v>5</v>
      </c>
      <c r="R112" s="6" t="s">
        <v>2</v>
      </c>
      <c r="S112" s="6" t="s">
        <v>2</v>
      </c>
      <c r="T112" s="6" t="s">
        <v>5</v>
      </c>
      <c r="U112" s="6" t="s">
        <v>3</v>
      </c>
      <c r="V112" s="6" t="s">
        <v>5</v>
      </c>
      <c r="W112" s="6" t="s">
        <v>3</v>
      </c>
      <c r="X112" s="6" t="s">
        <v>2</v>
      </c>
      <c r="Y112" s="6" t="s">
        <v>2</v>
      </c>
      <c r="Z112" s="6" t="s">
        <v>5</v>
      </c>
      <c r="AA112" s="6" t="s">
        <v>3</v>
      </c>
      <c r="AB112" s="6" t="s">
        <v>4</v>
      </c>
      <c r="AC112" s="6" t="s">
        <v>4</v>
      </c>
      <c r="AD112" s="6" t="s">
        <v>4</v>
      </c>
      <c r="AE112" s="6" t="s">
        <v>3</v>
      </c>
      <c r="AF112" s="6" t="s">
        <v>4</v>
      </c>
      <c r="AG112" s="6" t="s">
        <v>3</v>
      </c>
      <c r="AH112" s="6" t="s">
        <v>3</v>
      </c>
      <c r="AI112" s="6" t="s">
        <v>3</v>
      </c>
      <c r="AJ112" s="6" t="s">
        <v>3</v>
      </c>
      <c r="AK112" s="6" t="s">
        <v>3</v>
      </c>
      <c r="AL112" s="6" t="s">
        <v>3</v>
      </c>
      <c r="AM112" s="6" t="s">
        <v>3</v>
      </c>
      <c r="AN112" s="6" t="s">
        <v>3</v>
      </c>
    </row>
    <row r="113" spans="1:40">
      <c r="A113" s="6">
        <f t="shared" si="1"/>
        <v>112</v>
      </c>
      <c r="B113" s="6" t="s">
        <v>475</v>
      </c>
      <c r="C113" s="6" t="s">
        <v>538</v>
      </c>
      <c r="D113" s="6">
        <v>6</v>
      </c>
      <c r="E113" s="6" t="s">
        <v>5</v>
      </c>
      <c r="F113" s="6" t="s">
        <v>5</v>
      </c>
      <c r="G113" s="6" t="s">
        <v>2</v>
      </c>
      <c r="H113" s="6" t="s">
        <v>5</v>
      </c>
      <c r="I113" s="6" t="s">
        <v>5</v>
      </c>
      <c r="J113" s="6" t="s">
        <v>5</v>
      </c>
      <c r="K113" s="6" t="s">
        <v>5</v>
      </c>
      <c r="L113" s="6" t="s">
        <v>5</v>
      </c>
      <c r="M113" s="6" t="s">
        <v>2</v>
      </c>
      <c r="N113" s="6" t="s">
        <v>4</v>
      </c>
      <c r="O113" s="6" t="s">
        <v>4</v>
      </c>
      <c r="P113" s="6" t="s">
        <v>5</v>
      </c>
      <c r="Q113" s="6" t="s">
        <v>2</v>
      </c>
      <c r="R113" s="6" t="s">
        <v>3</v>
      </c>
      <c r="S113" s="6" t="s">
        <v>5</v>
      </c>
      <c r="T113" s="6" t="s">
        <v>5</v>
      </c>
      <c r="U113" s="6" t="s">
        <v>3</v>
      </c>
      <c r="V113" s="6" t="s">
        <v>5</v>
      </c>
      <c r="W113" s="6" t="s">
        <v>5</v>
      </c>
      <c r="X113" s="6" t="s">
        <v>4</v>
      </c>
      <c r="Y113" s="6" t="s">
        <v>3</v>
      </c>
      <c r="Z113" s="6" t="s">
        <v>2</v>
      </c>
      <c r="AA113" s="6" t="s">
        <v>3</v>
      </c>
      <c r="AB113" s="6" t="s">
        <v>4</v>
      </c>
      <c r="AC113" s="6" t="s">
        <v>4</v>
      </c>
      <c r="AD113" s="6" t="s">
        <v>3</v>
      </c>
      <c r="AE113" s="6" t="s">
        <v>4</v>
      </c>
      <c r="AF113" s="6" t="s">
        <v>4</v>
      </c>
      <c r="AG113" s="6" t="s">
        <v>4</v>
      </c>
      <c r="AH113" s="6" t="s">
        <v>3</v>
      </c>
      <c r="AI113" s="6" t="s">
        <v>4</v>
      </c>
      <c r="AJ113" s="6" t="s">
        <v>3</v>
      </c>
      <c r="AK113" s="6" t="s">
        <v>4</v>
      </c>
      <c r="AL113" s="6" t="s">
        <v>4</v>
      </c>
      <c r="AM113" s="6" t="s">
        <v>4</v>
      </c>
      <c r="AN113" s="6" t="s">
        <v>3</v>
      </c>
    </row>
    <row r="114" spans="1:40">
      <c r="A114" s="6">
        <f t="shared" si="1"/>
        <v>113</v>
      </c>
      <c r="B114" s="6" t="s">
        <v>477</v>
      </c>
      <c r="C114" s="6" t="s">
        <v>538</v>
      </c>
      <c r="D114" s="6">
        <v>6</v>
      </c>
      <c r="E114" s="6" t="s">
        <v>5</v>
      </c>
      <c r="F114" s="6" t="s">
        <v>5</v>
      </c>
      <c r="G114" s="6" t="s">
        <v>3</v>
      </c>
      <c r="H114" s="6" t="s">
        <v>5</v>
      </c>
      <c r="I114" s="6" t="s">
        <v>5</v>
      </c>
      <c r="J114" s="6" t="s">
        <v>5</v>
      </c>
      <c r="K114" s="6" t="s">
        <v>5</v>
      </c>
      <c r="L114" s="6" t="s">
        <v>2</v>
      </c>
      <c r="M114" s="6" t="s">
        <v>2</v>
      </c>
      <c r="N114" s="6" t="s">
        <v>2</v>
      </c>
      <c r="O114" s="6" t="s">
        <v>2</v>
      </c>
      <c r="P114" s="6" t="s">
        <v>3</v>
      </c>
      <c r="Q114" s="6" t="s">
        <v>5</v>
      </c>
      <c r="R114" s="6" t="s">
        <v>3</v>
      </c>
      <c r="S114" s="6" t="s">
        <v>3</v>
      </c>
      <c r="T114" s="6" t="s">
        <v>5</v>
      </c>
      <c r="U114" s="6" t="s">
        <v>5</v>
      </c>
      <c r="V114" s="6" t="s">
        <v>5</v>
      </c>
      <c r="W114" s="6" t="s">
        <v>2</v>
      </c>
      <c r="X114" s="6" t="s">
        <v>3</v>
      </c>
      <c r="Y114" s="6" t="s">
        <v>4</v>
      </c>
      <c r="Z114" s="6" t="s">
        <v>4</v>
      </c>
      <c r="AA114" s="6" t="s">
        <v>3</v>
      </c>
      <c r="AB114" s="6" t="s">
        <v>4</v>
      </c>
      <c r="AC114" s="6" t="s">
        <v>4</v>
      </c>
      <c r="AD114" s="6" t="s">
        <v>4</v>
      </c>
      <c r="AE114" s="6" t="s">
        <v>3</v>
      </c>
      <c r="AF114" s="6" t="s">
        <v>4</v>
      </c>
      <c r="AG114" s="6" t="s">
        <v>4</v>
      </c>
      <c r="AH114" s="6" t="s">
        <v>3</v>
      </c>
      <c r="AI114" s="6" t="s">
        <v>3</v>
      </c>
      <c r="AJ114" s="6" t="s">
        <v>3</v>
      </c>
      <c r="AK114" s="6" t="s">
        <v>3</v>
      </c>
      <c r="AL114" s="6" t="s">
        <v>3</v>
      </c>
      <c r="AM114" s="6" t="s">
        <v>3</v>
      </c>
      <c r="AN114" s="6" t="s">
        <v>3</v>
      </c>
    </row>
    <row r="115" spans="1:40">
      <c r="A115" s="6">
        <f t="shared" si="1"/>
        <v>114</v>
      </c>
      <c r="B115" s="6" t="s">
        <v>488</v>
      </c>
      <c r="C115" s="6" t="s">
        <v>538</v>
      </c>
      <c r="D115" s="6">
        <v>6</v>
      </c>
      <c r="E115" s="6" t="s">
        <v>5</v>
      </c>
      <c r="F115" s="6" t="s">
        <v>5</v>
      </c>
      <c r="G115" s="6" t="s">
        <v>4</v>
      </c>
      <c r="H115" s="6" t="s">
        <v>5</v>
      </c>
      <c r="I115" s="6" t="s">
        <v>5</v>
      </c>
      <c r="J115" s="6" t="s">
        <v>5</v>
      </c>
      <c r="K115" s="6" t="s">
        <v>5</v>
      </c>
      <c r="L115" s="6" t="s">
        <v>2</v>
      </c>
      <c r="M115" s="6" t="s">
        <v>3</v>
      </c>
      <c r="N115" s="6" t="s">
        <v>4</v>
      </c>
      <c r="O115" s="6" t="s">
        <v>3</v>
      </c>
      <c r="P115" s="6" t="s">
        <v>5</v>
      </c>
      <c r="Q115" s="6" t="s">
        <v>5</v>
      </c>
      <c r="R115" s="6" t="s">
        <v>3</v>
      </c>
      <c r="S115" s="6" t="s">
        <v>5</v>
      </c>
      <c r="T115" s="6" t="s">
        <v>5</v>
      </c>
      <c r="U115" s="6" t="s">
        <v>3</v>
      </c>
      <c r="V115" s="6" t="s">
        <v>5</v>
      </c>
      <c r="W115" s="6" t="s">
        <v>3</v>
      </c>
      <c r="X115" s="6" t="s">
        <v>4</v>
      </c>
      <c r="Y115" s="6" t="s">
        <v>2</v>
      </c>
      <c r="Z115" s="6" t="s">
        <v>2</v>
      </c>
      <c r="AA115" s="6" t="s">
        <v>3</v>
      </c>
      <c r="AB115" s="6" t="s">
        <v>4</v>
      </c>
      <c r="AC115" s="6" t="s">
        <v>4</v>
      </c>
      <c r="AD115" s="6" t="s">
        <v>4</v>
      </c>
      <c r="AE115" s="6" t="s">
        <v>4</v>
      </c>
      <c r="AF115" s="6" t="s">
        <v>4</v>
      </c>
      <c r="AG115" s="6" t="s">
        <v>4</v>
      </c>
      <c r="AH115" s="6" t="s">
        <v>3</v>
      </c>
      <c r="AI115" s="6" t="s">
        <v>4</v>
      </c>
      <c r="AJ115" s="6" t="s">
        <v>3</v>
      </c>
      <c r="AK115" s="6" t="s">
        <v>3</v>
      </c>
      <c r="AL115" s="6" t="s">
        <v>4</v>
      </c>
      <c r="AM115" s="6" t="s">
        <v>3</v>
      </c>
      <c r="AN115" s="6"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BDABA-0F44-44A3-9AA4-ECD07E3B4F5E}">
  <dimension ref="A1:CT1338"/>
  <sheetViews>
    <sheetView tabSelected="1" topLeftCell="C1" workbookViewId="0">
      <selection activeCell="C9" sqref="C9"/>
    </sheetView>
  </sheetViews>
  <sheetFormatPr defaultRowHeight="14.4"/>
  <cols>
    <col min="2" max="2" width="30.5546875" bestFit="1" customWidth="1"/>
    <col min="3" max="3" width="18" bestFit="1" customWidth="1"/>
    <col min="40" max="40" width="14" customWidth="1"/>
    <col min="41" max="41" width="6.33203125" customWidth="1"/>
    <col min="42" max="43" width="18.44140625" customWidth="1"/>
    <col min="44" max="44" width="32.5546875" bestFit="1" customWidth="1"/>
    <col min="45" max="45" width="29" bestFit="1" customWidth="1"/>
    <col min="46" max="50" width="19.5546875" bestFit="1" customWidth="1"/>
    <col min="51" max="51" width="25.109375" bestFit="1" customWidth="1"/>
    <col min="52" max="52" width="22.88671875" style="19" bestFit="1" customWidth="1"/>
    <col min="53" max="53" width="5.21875" style="19" bestFit="1" customWidth="1"/>
    <col min="54" max="54" width="7.5546875" style="19" bestFit="1" customWidth="1"/>
    <col min="55" max="55" width="9.33203125" style="19" bestFit="1" customWidth="1"/>
    <col min="56" max="58" width="8.88671875" style="19"/>
    <col min="61" max="61" width="18" bestFit="1" customWidth="1"/>
    <col min="62" max="62" width="19.33203125" bestFit="1" customWidth="1"/>
    <col min="63" max="63" width="19.5546875" bestFit="1" customWidth="1"/>
    <col min="64" max="64" width="10.88671875" bestFit="1" customWidth="1"/>
  </cols>
  <sheetData>
    <row r="1" spans="1:98" s="2" customFormat="1">
      <c r="A1" s="59" t="s">
        <v>288</v>
      </c>
      <c r="B1" s="59" t="s">
        <v>0</v>
      </c>
      <c r="C1" s="59" t="s">
        <v>64</v>
      </c>
      <c r="D1" s="59" t="s">
        <v>43</v>
      </c>
      <c r="E1" s="59" t="s">
        <v>44</v>
      </c>
      <c r="F1" s="59" t="s">
        <v>45</v>
      </c>
      <c r="G1" s="59" t="s">
        <v>46</v>
      </c>
      <c r="H1" s="59" t="s">
        <v>47</v>
      </c>
      <c r="I1" s="59" t="s">
        <v>48</v>
      </c>
      <c r="J1" s="59" t="s">
        <v>49</v>
      </c>
      <c r="K1" s="59" t="s">
        <v>50</v>
      </c>
      <c r="L1" s="59" t="s">
        <v>51</v>
      </c>
      <c r="M1" s="59" t="s">
        <v>52</v>
      </c>
      <c r="N1" s="59" t="s">
        <v>53</v>
      </c>
      <c r="O1" s="59" t="s">
        <v>54</v>
      </c>
      <c r="P1" s="59" t="s">
        <v>55</v>
      </c>
      <c r="Q1" s="59" t="s">
        <v>56</v>
      </c>
      <c r="R1" s="59" t="s">
        <v>57</v>
      </c>
      <c r="S1" s="59" t="s">
        <v>58</v>
      </c>
      <c r="T1" s="59" t="s">
        <v>59</v>
      </c>
      <c r="U1" s="59" t="s">
        <v>60</v>
      </c>
      <c r="V1" s="59" t="s">
        <v>61</v>
      </c>
      <c r="W1" s="59" t="s">
        <v>62</v>
      </c>
      <c r="X1" s="59" t="s">
        <v>63</v>
      </c>
      <c r="Y1" s="59" t="s">
        <v>330</v>
      </c>
      <c r="Z1" s="59" t="s">
        <v>331</v>
      </c>
      <c r="AA1" s="59" t="s">
        <v>332</v>
      </c>
      <c r="AB1" s="59" t="s">
        <v>333</v>
      </c>
      <c r="AC1" s="59" t="s">
        <v>334</v>
      </c>
      <c r="AD1" s="59" t="s">
        <v>335</v>
      </c>
      <c r="AE1" s="59" t="s">
        <v>336</v>
      </c>
      <c r="AF1" s="59" t="s">
        <v>337</v>
      </c>
      <c r="AG1" s="59" t="s">
        <v>338</v>
      </c>
      <c r="AH1" s="59" t="s">
        <v>339</v>
      </c>
      <c r="AI1" s="59" t="s">
        <v>340</v>
      </c>
      <c r="AJ1" s="59" t="s">
        <v>341</v>
      </c>
      <c r="AK1" s="59" t="s">
        <v>342</v>
      </c>
      <c r="AL1" s="59" t="s">
        <v>343</v>
      </c>
      <c r="AM1" s="59" t="s">
        <v>390</v>
      </c>
      <c r="AZ1" s="58"/>
      <c r="BA1" s="58"/>
      <c r="BB1" s="58"/>
      <c r="BC1" s="58"/>
      <c r="BD1" s="58"/>
      <c r="BE1" s="58"/>
      <c r="BF1" s="58"/>
    </row>
    <row r="2" spans="1:98">
      <c r="A2" s="6">
        <f t="shared" ref="A2:A65" si="0">ROW()-1</f>
        <v>1</v>
      </c>
      <c r="B2" s="6" t="s">
        <v>1</v>
      </c>
      <c r="C2" s="6">
        <v>1</v>
      </c>
      <c r="D2" s="6" t="s">
        <v>2</v>
      </c>
      <c r="E2" s="6" t="s">
        <v>3</v>
      </c>
      <c r="F2" s="6" t="s">
        <v>4</v>
      </c>
      <c r="G2" s="6" t="s">
        <v>5</v>
      </c>
      <c r="H2" s="6" t="s">
        <v>5</v>
      </c>
      <c r="I2" s="6" t="s">
        <v>5</v>
      </c>
      <c r="J2" s="6" t="s">
        <v>2</v>
      </c>
      <c r="K2" s="6" t="s">
        <v>2</v>
      </c>
      <c r="L2" s="6" t="s">
        <v>3</v>
      </c>
      <c r="M2" s="6" t="s">
        <v>2</v>
      </c>
      <c r="N2" s="6" t="s">
        <v>4</v>
      </c>
      <c r="O2" s="6" t="s">
        <v>2</v>
      </c>
      <c r="P2" s="6" t="s">
        <v>5</v>
      </c>
      <c r="Q2" s="6" t="s">
        <v>3</v>
      </c>
      <c r="R2" s="6" t="s">
        <v>3</v>
      </c>
      <c r="S2" s="6" t="s">
        <v>5</v>
      </c>
      <c r="T2" s="6" t="s">
        <v>5</v>
      </c>
      <c r="U2" s="6" t="s">
        <v>5</v>
      </c>
      <c r="V2" s="6" t="s">
        <v>2</v>
      </c>
      <c r="W2" s="6" t="s">
        <v>4</v>
      </c>
      <c r="X2" s="6" t="s">
        <v>3</v>
      </c>
      <c r="Y2" s="6" t="s">
        <v>4</v>
      </c>
      <c r="Z2" s="6" t="s">
        <v>4</v>
      </c>
      <c r="AA2" s="6" t="s">
        <v>4</v>
      </c>
      <c r="AB2" s="6" t="s">
        <v>4</v>
      </c>
      <c r="AC2" s="6" t="s">
        <v>4</v>
      </c>
      <c r="AD2" s="6" t="s">
        <v>4</v>
      </c>
      <c r="AE2" s="6" t="s">
        <v>4</v>
      </c>
      <c r="AF2" s="6" t="s">
        <v>3</v>
      </c>
      <c r="AG2" s="6" t="s">
        <v>4</v>
      </c>
      <c r="AH2" s="6" t="s">
        <v>4</v>
      </c>
      <c r="AI2" s="6" t="s">
        <v>3</v>
      </c>
      <c r="AJ2" s="6" t="s">
        <v>4</v>
      </c>
      <c r="AK2" s="6" t="s">
        <v>4</v>
      </c>
      <c r="AL2" s="6" t="s">
        <v>4</v>
      </c>
      <c r="AM2" s="6" t="s">
        <v>3</v>
      </c>
      <c r="BI2" s="5"/>
    </row>
    <row r="3" spans="1:98">
      <c r="A3" s="6">
        <f t="shared" si="0"/>
        <v>2</v>
      </c>
      <c r="B3" s="6" t="s">
        <v>6</v>
      </c>
      <c r="C3" s="6">
        <v>1</v>
      </c>
      <c r="D3" s="6" t="s">
        <v>5</v>
      </c>
      <c r="E3" s="6" t="s">
        <v>3</v>
      </c>
      <c r="F3" s="6" t="s">
        <v>2</v>
      </c>
      <c r="G3" s="6" t="s">
        <v>3</v>
      </c>
      <c r="H3" s="6" t="s">
        <v>5</v>
      </c>
      <c r="I3" s="6" t="s">
        <v>3</v>
      </c>
      <c r="J3" s="6" t="s">
        <v>5</v>
      </c>
      <c r="K3" s="6" t="s">
        <v>2</v>
      </c>
      <c r="L3" s="6" t="s">
        <v>2</v>
      </c>
      <c r="M3" s="6" t="s">
        <v>3</v>
      </c>
      <c r="N3" s="6" t="s">
        <v>3</v>
      </c>
      <c r="O3" s="6" t="s">
        <v>4</v>
      </c>
      <c r="P3" s="6" t="s">
        <v>5</v>
      </c>
      <c r="Q3" s="6" t="s">
        <v>3</v>
      </c>
      <c r="R3" s="6" t="s">
        <v>3</v>
      </c>
      <c r="S3" s="6" t="s">
        <v>5</v>
      </c>
      <c r="T3" s="6" t="s">
        <v>5</v>
      </c>
      <c r="U3" s="6" t="s">
        <v>5</v>
      </c>
      <c r="V3" s="6" t="s">
        <v>4</v>
      </c>
      <c r="W3" s="6" t="s">
        <v>4</v>
      </c>
      <c r="X3" s="6" t="s">
        <v>4</v>
      </c>
      <c r="Y3" s="6" t="s">
        <v>5</v>
      </c>
      <c r="Z3" s="6" t="s">
        <v>3</v>
      </c>
      <c r="AA3" s="6" t="s">
        <v>4</v>
      </c>
      <c r="AB3" s="6" t="s">
        <v>4</v>
      </c>
      <c r="AC3" s="6" t="s">
        <v>4</v>
      </c>
      <c r="AD3" s="6" t="s">
        <v>4</v>
      </c>
      <c r="AE3" s="6" t="s">
        <v>4</v>
      </c>
      <c r="AF3" s="6" t="s">
        <v>4</v>
      </c>
      <c r="AG3" s="6" t="s">
        <v>3</v>
      </c>
      <c r="AH3" s="6" t="s">
        <v>4</v>
      </c>
      <c r="AI3" s="6" t="s">
        <v>3</v>
      </c>
      <c r="AJ3" s="6" t="s">
        <v>4</v>
      </c>
      <c r="AK3" s="6" t="s">
        <v>4</v>
      </c>
      <c r="AL3" s="6" t="s">
        <v>4</v>
      </c>
      <c r="AM3" s="6" t="s">
        <v>3</v>
      </c>
      <c r="AZ3"/>
      <c r="BG3" s="19"/>
      <c r="BI3" s="75"/>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row>
    <row r="4" spans="1:98" ht="17.399999999999999" customHeight="1">
      <c r="A4" s="6">
        <f t="shared" si="0"/>
        <v>3</v>
      </c>
      <c r="B4" s="6" t="s">
        <v>7</v>
      </c>
      <c r="C4" s="6">
        <v>1</v>
      </c>
      <c r="D4" s="6" t="s">
        <v>2</v>
      </c>
      <c r="E4" s="6" t="s">
        <v>3</v>
      </c>
      <c r="F4" s="6" t="s">
        <v>4</v>
      </c>
      <c r="G4" s="6" t="s">
        <v>5</v>
      </c>
      <c r="H4" s="6" t="s">
        <v>5</v>
      </c>
      <c r="I4" s="6" t="s">
        <v>5</v>
      </c>
      <c r="J4" s="6" t="s">
        <v>5</v>
      </c>
      <c r="K4" s="6" t="s">
        <v>2</v>
      </c>
      <c r="L4" s="6" t="s">
        <v>3</v>
      </c>
      <c r="M4" s="6" t="s">
        <v>3</v>
      </c>
      <c r="N4" s="6" t="s">
        <v>4</v>
      </c>
      <c r="O4" s="6" t="s">
        <v>3</v>
      </c>
      <c r="P4" s="6" t="s">
        <v>5</v>
      </c>
      <c r="Q4" s="6" t="s">
        <v>3</v>
      </c>
      <c r="R4" s="6" t="s">
        <v>3</v>
      </c>
      <c r="S4" s="6" t="s">
        <v>5</v>
      </c>
      <c r="T4" s="6" t="s">
        <v>5</v>
      </c>
      <c r="U4" s="6" t="s">
        <v>5</v>
      </c>
      <c r="V4" s="6" t="s">
        <v>2</v>
      </c>
      <c r="W4" s="6" t="s">
        <v>4</v>
      </c>
      <c r="X4" s="6" t="s">
        <v>3</v>
      </c>
      <c r="Y4" s="6" t="s">
        <v>2</v>
      </c>
      <c r="Z4" s="6" t="s">
        <v>3</v>
      </c>
      <c r="AA4" s="6" t="s">
        <v>4</v>
      </c>
      <c r="AB4" s="6" t="s">
        <v>4</v>
      </c>
      <c r="AC4" s="6" t="s">
        <v>4</v>
      </c>
      <c r="AD4" s="6" t="s">
        <v>4</v>
      </c>
      <c r="AE4" s="6" t="s">
        <v>4</v>
      </c>
      <c r="AF4" s="6" t="s">
        <v>4</v>
      </c>
      <c r="AG4" s="6" t="s">
        <v>4</v>
      </c>
      <c r="AH4" s="6" t="s">
        <v>4</v>
      </c>
      <c r="AI4" s="6" t="s">
        <v>4</v>
      </c>
      <c r="AJ4" s="6" t="s">
        <v>4</v>
      </c>
      <c r="AK4" s="6" t="s">
        <v>4</v>
      </c>
      <c r="AL4" s="6" t="s">
        <v>3</v>
      </c>
      <c r="AM4" s="6" t="s">
        <v>3</v>
      </c>
      <c r="AR4" s="4" t="s">
        <v>39</v>
      </c>
      <c r="AS4" s="4"/>
      <c r="BG4" s="19"/>
      <c r="BI4" s="75"/>
    </row>
    <row r="5" spans="1:98">
      <c r="A5" s="6">
        <f t="shared" si="0"/>
        <v>4</v>
      </c>
      <c r="B5" s="6" t="s">
        <v>8</v>
      </c>
      <c r="C5" s="6">
        <v>1</v>
      </c>
      <c r="D5" s="6" t="s">
        <v>5</v>
      </c>
      <c r="E5" s="6" t="s">
        <v>3</v>
      </c>
      <c r="F5" s="6" t="s">
        <v>2</v>
      </c>
      <c r="G5" s="6" t="s">
        <v>3</v>
      </c>
      <c r="H5" s="6" t="s">
        <v>5</v>
      </c>
      <c r="I5" s="6" t="s">
        <v>5</v>
      </c>
      <c r="J5" s="6" t="s">
        <v>5</v>
      </c>
      <c r="K5" s="6" t="s">
        <v>2</v>
      </c>
      <c r="L5" s="6" t="s">
        <v>3</v>
      </c>
      <c r="M5" s="6" t="s">
        <v>3</v>
      </c>
      <c r="N5" s="6" t="s">
        <v>4</v>
      </c>
      <c r="O5" s="6" t="s">
        <v>2</v>
      </c>
      <c r="P5" s="6" t="s">
        <v>5</v>
      </c>
      <c r="Q5" s="6" t="s">
        <v>3</v>
      </c>
      <c r="R5" s="6" t="s">
        <v>2</v>
      </c>
      <c r="S5" s="6" t="s">
        <v>5</v>
      </c>
      <c r="T5" s="6" t="s">
        <v>2</v>
      </c>
      <c r="U5" s="6" t="s">
        <v>2</v>
      </c>
      <c r="V5" s="6" t="s">
        <v>3</v>
      </c>
      <c r="W5" s="6" t="s">
        <v>4</v>
      </c>
      <c r="X5" s="6" t="s">
        <v>3</v>
      </c>
      <c r="Y5" s="6" t="s">
        <v>3</v>
      </c>
      <c r="Z5" s="6" t="s">
        <v>3</v>
      </c>
      <c r="AA5" s="6" t="s">
        <v>4</v>
      </c>
      <c r="AB5" s="6" t="s">
        <v>4</v>
      </c>
      <c r="AC5" s="6" t="s">
        <v>4</v>
      </c>
      <c r="AD5" s="6" t="s">
        <v>4</v>
      </c>
      <c r="AE5" s="6" t="s">
        <v>4</v>
      </c>
      <c r="AF5" s="6" t="s">
        <v>4</v>
      </c>
      <c r="AG5" s="6" t="s">
        <v>3</v>
      </c>
      <c r="AH5" s="6" t="s">
        <v>4</v>
      </c>
      <c r="AI5" s="6" t="s">
        <v>3</v>
      </c>
      <c r="AJ5" s="6" t="s">
        <v>4</v>
      </c>
      <c r="AK5" s="6" t="s">
        <v>4</v>
      </c>
      <c r="AL5" s="6" t="s">
        <v>4</v>
      </c>
      <c r="AM5" s="6" t="s">
        <v>3</v>
      </c>
      <c r="AT5" s="54" t="s">
        <v>451</v>
      </c>
      <c r="AU5" s="54" t="s">
        <v>452</v>
      </c>
      <c r="AV5" s="19"/>
      <c r="AW5" s="19"/>
      <c r="AX5" s="19"/>
      <c r="AY5" s="19"/>
      <c r="BG5" s="19"/>
    </row>
    <row r="6" spans="1:98">
      <c r="A6" s="6">
        <f t="shared" si="0"/>
        <v>5</v>
      </c>
      <c r="B6" s="6" t="s">
        <v>9</v>
      </c>
      <c r="C6" s="6">
        <v>1</v>
      </c>
      <c r="D6" s="6" t="s">
        <v>2</v>
      </c>
      <c r="E6" s="6" t="s">
        <v>3</v>
      </c>
      <c r="F6" s="6" t="s">
        <v>3</v>
      </c>
      <c r="G6" s="6" t="s">
        <v>5</v>
      </c>
      <c r="H6" s="6" t="s">
        <v>5</v>
      </c>
      <c r="I6" s="6" t="s">
        <v>3</v>
      </c>
      <c r="J6" s="6" t="s">
        <v>2</v>
      </c>
      <c r="K6" s="6" t="s">
        <v>2</v>
      </c>
      <c r="L6" s="6" t="s">
        <v>2</v>
      </c>
      <c r="M6" s="6" t="s">
        <v>3</v>
      </c>
      <c r="N6" s="6" t="s">
        <v>4</v>
      </c>
      <c r="O6" s="6" t="s">
        <v>5</v>
      </c>
      <c r="P6" s="6" t="s">
        <v>5</v>
      </c>
      <c r="Q6" s="6" t="s">
        <v>3</v>
      </c>
      <c r="R6" s="6" t="s">
        <v>3</v>
      </c>
      <c r="S6" s="6" t="s">
        <v>5</v>
      </c>
      <c r="T6" s="6" t="s">
        <v>5</v>
      </c>
      <c r="U6" s="6" t="s">
        <v>5</v>
      </c>
      <c r="V6" s="6" t="s">
        <v>5</v>
      </c>
      <c r="W6" s="6" t="s">
        <v>4</v>
      </c>
      <c r="X6" s="6" t="s">
        <v>3</v>
      </c>
      <c r="Y6" s="6" t="s">
        <v>2</v>
      </c>
      <c r="Z6" s="6" t="s">
        <v>3</v>
      </c>
      <c r="AA6" s="6" t="s">
        <v>4</v>
      </c>
      <c r="AB6" s="6" t="s">
        <v>4</v>
      </c>
      <c r="AC6" s="6" t="s">
        <v>4</v>
      </c>
      <c r="AD6" s="6" t="s">
        <v>4</v>
      </c>
      <c r="AE6" s="6" t="s">
        <v>4</v>
      </c>
      <c r="AF6" s="6" t="s">
        <v>3</v>
      </c>
      <c r="AG6" s="6" t="s">
        <v>3</v>
      </c>
      <c r="AH6" s="6" t="s">
        <v>4</v>
      </c>
      <c r="AI6" s="6" t="s">
        <v>4</v>
      </c>
      <c r="AJ6" s="6" t="s">
        <v>4</v>
      </c>
      <c r="AK6" s="6" t="s">
        <v>4</v>
      </c>
      <c r="AL6" s="6" t="s">
        <v>4</v>
      </c>
      <c r="AM6" s="6" t="s">
        <v>3</v>
      </c>
      <c r="AT6" s="41">
        <f>COUNT(A2:A79)</f>
        <v>78</v>
      </c>
      <c r="AU6" s="41"/>
      <c r="AV6" s="19"/>
      <c r="AW6" s="19"/>
      <c r="AX6" s="19"/>
      <c r="AY6" s="19"/>
      <c r="BG6" s="19"/>
      <c r="BI6" s="57"/>
    </row>
    <row r="7" spans="1:98">
      <c r="A7" s="6">
        <f t="shared" si="0"/>
        <v>6</v>
      </c>
      <c r="B7" s="6" t="s">
        <v>10</v>
      </c>
      <c r="C7" s="6">
        <v>1</v>
      </c>
      <c r="D7" s="6" t="s">
        <v>3</v>
      </c>
      <c r="E7" s="6" t="s">
        <v>3</v>
      </c>
      <c r="F7" s="6" t="s">
        <v>2</v>
      </c>
      <c r="G7" s="6" t="s">
        <v>5</v>
      </c>
      <c r="H7" s="6" t="s">
        <v>5</v>
      </c>
      <c r="I7" s="6" t="s">
        <v>3</v>
      </c>
      <c r="J7" s="6" t="s">
        <v>5</v>
      </c>
      <c r="K7" s="6" t="s">
        <v>2</v>
      </c>
      <c r="L7" s="6" t="s">
        <v>2</v>
      </c>
      <c r="M7" s="6" t="s">
        <v>2</v>
      </c>
      <c r="N7" s="6" t="s">
        <v>3</v>
      </c>
      <c r="O7" s="6" t="s">
        <v>3</v>
      </c>
      <c r="P7" s="6" t="s">
        <v>5</v>
      </c>
      <c r="Q7" s="6" t="s">
        <v>3</v>
      </c>
      <c r="R7" s="6" t="s">
        <v>3</v>
      </c>
      <c r="S7" s="6" t="s">
        <v>5</v>
      </c>
      <c r="T7" s="6" t="s">
        <v>5</v>
      </c>
      <c r="U7" s="6" t="s">
        <v>5</v>
      </c>
      <c r="V7" s="6" t="s">
        <v>5</v>
      </c>
      <c r="W7" s="6" t="s">
        <v>4</v>
      </c>
      <c r="X7" s="6" t="s">
        <v>3</v>
      </c>
      <c r="Y7" s="6" t="s">
        <v>2</v>
      </c>
      <c r="Z7" s="6" t="s">
        <v>3</v>
      </c>
      <c r="AA7" s="6" t="s">
        <v>4</v>
      </c>
      <c r="AB7" s="6" t="s">
        <v>4</v>
      </c>
      <c r="AC7" s="6" t="s">
        <v>4</v>
      </c>
      <c r="AD7" s="6" t="s">
        <v>4</v>
      </c>
      <c r="AE7" s="6" t="s">
        <v>4</v>
      </c>
      <c r="AF7" s="6" t="s">
        <v>4</v>
      </c>
      <c r="AG7" s="6" t="s">
        <v>3</v>
      </c>
      <c r="AH7" s="6" t="s">
        <v>4</v>
      </c>
      <c r="AI7" s="6" t="s">
        <v>3</v>
      </c>
      <c r="AJ7" s="6" t="s">
        <v>4</v>
      </c>
      <c r="AK7" s="6" t="s">
        <v>4</v>
      </c>
      <c r="AL7" s="6" t="s">
        <v>4</v>
      </c>
      <c r="AM7" s="6" t="s">
        <v>3</v>
      </c>
      <c r="AV7" s="19"/>
      <c r="AW7" s="19"/>
      <c r="AX7" s="19"/>
      <c r="AY7" s="19"/>
      <c r="BG7" s="19"/>
    </row>
    <row r="8" spans="1:98">
      <c r="A8" s="6">
        <f t="shared" si="0"/>
        <v>7</v>
      </c>
      <c r="B8" s="6" t="s">
        <v>255</v>
      </c>
      <c r="C8" s="6">
        <v>1</v>
      </c>
      <c r="D8" s="6" t="s">
        <v>3</v>
      </c>
      <c r="E8" s="6" t="s">
        <v>3</v>
      </c>
      <c r="F8" s="6" t="s">
        <v>4</v>
      </c>
      <c r="G8" s="6" t="s">
        <v>3</v>
      </c>
      <c r="H8" s="6" t="s">
        <v>5</v>
      </c>
      <c r="I8" s="6" t="s">
        <v>5</v>
      </c>
      <c r="J8" s="6" t="s">
        <v>2</v>
      </c>
      <c r="K8" s="6" t="s">
        <v>2</v>
      </c>
      <c r="L8" s="6" t="s">
        <v>3</v>
      </c>
      <c r="M8" s="6" t="s">
        <v>3</v>
      </c>
      <c r="N8" s="6" t="s">
        <v>4</v>
      </c>
      <c r="O8" s="6" t="s">
        <v>5</v>
      </c>
      <c r="P8" s="6" t="s">
        <v>5</v>
      </c>
      <c r="Q8" s="6" t="s">
        <v>3</v>
      </c>
      <c r="R8" s="6" t="s">
        <v>2</v>
      </c>
      <c r="S8" s="6" t="s">
        <v>2</v>
      </c>
      <c r="T8" s="6" t="s">
        <v>2</v>
      </c>
      <c r="U8" s="6" t="s">
        <v>2</v>
      </c>
      <c r="V8" s="6" t="s">
        <v>5</v>
      </c>
      <c r="W8" s="6" t="s">
        <v>4</v>
      </c>
      <c r="X8" s="6" t="s">
        <v>4</v>
      </c>
      <c r="Y8" s="6" t="s">
        <v>4</v>
      </c>
      <c r="Z8" s="6" t="s">
        <v>3</v>
      </c>
      <c r="AA8" s="6" t="s">
        <v>4</v>
      </c>
      <c r="AB8" s="6" t="s">
        <v>4</v>
      </c>
      <c r="AC8" s="6" t="s">
        <v>4</v>
      </c>
      <c r="AD8" s="6" t="s">
        <v>4</v>
      </c>
      <c r="AE8" s="6" t="s">
        <v>4</v>
      </c>
      <c r="AF8" s="6" t="s">
        <v>4</v>
      </c>
      <c r="AG8" s="6" t="s">
        <v>3</v>
      </c>
      <c r="AH8" s="6" t="s">
        <v>4</v>
      </c>
      <c r="AI8" s="6" t="s">
        <v>3</v>
      </c>
      <c r="AJ8" s="6" t="s">
        <v>4</v>
      </c>
      <c r="AK8" s="6" t="s">
        <v>4</v>
      </c>
      <c r="AL8" s="6" t="s">
        <v>3</v>
      </c>
      <c r="AM8" s="6" t="s">
        <v>3</v>
      </c>
      <c r="AT8" s="72" t="s">
        <v>64</v>
      </c>
      <c r="AU8" s="56" t="s">
        <v>303</v>
      </c>
      <c r="AV8" s="56" t="s">
        <v>304</v>
      </c>
      <c r="AW8" s="56" t="s">
        <v>305</v>
      </c>
      <c r="AX8" s="56" t="s">
        <v>306</v>
      </c>
      <c r="AY8" s="56" t="s">
        <v>307</v>
      </c>
      <c r="AZ8" s="56" t="s">
        <v>308</v>
      </c>
      <c r="BG8" s="19"/>
      <c r="BI8" s="3"/>
    </row>
    <row r="9" spans="1:98">
      <c r="A9" s="6">
        <f t="shared" si="0"/>
        <v>8</v>
      </c>
      <c r="B9" s="6" t="s">
        <v>317</v>
      </c>
      <c r="C9" s="6">
        <v>1</v>
      </c>
      <c r="D9" s="6" t="s">
        <v>4</v>
      </c>
      <c r="E9" s="6" t="s">
        <v>5</v>
      </c>
      <c r="F9" s="6" t="s">
        <v>3</v>
      </c>
      <c r="G9" s="6" t="s">
        <v>5</v>
      </c>
      <c r="H9" s="6" t="s">
        <v>5</v>
      </c>
      <c r="I9" s="6" t="s">
        <v>5</v>
      </c>
      <c r="J9" s="6" t="s">
        <v>2</v>
      </c>
      <c r="K9" s="6" t="s">
        <v>2</v>
      </c>
      <c r="L9" s="6" t="s">
        <v>2</v>
      </c>
      <c r="M9" s="6" t="s">
        <v>2</v>
      </c>
      <c r="N9" s="6" t="s">
        <v>3</v>
      </c>
      <c r="O9" s="6" t="s">
        <v>5</v>
      </c>
      <c r="P9" s="6" t="s">
        <v>5</v>
      </c>
      <c r="Q9" s="6" t="s">
        <v>3</v>
      </c>
      <c r="R9" s="6" t="s">
        <v>3</v>
      </c>
      <c r="S9" s="6" t="s">
        <v>5</v>
      </c>
      <c r="T9" s="6" t="s">
        <v>5</v>
      </c>
      <c r="U9" s="6" t="s">
        <v>5</v>
      </c>
      <c r="V9" s="6" t="s">
        <v>2</v>
      </c>
      <c r="W9" s="6" t="s">
        <v>4</v>
      </c>
      <c r="X9" s="6" t="s">
        <v>4</v>
      </c>
      <c r="Y9" s="6" t="s">
        <v>2</v>
      </c>
      <c r="Z9" s="6" t="s">
        <v>4</v>
      </c>
      <c r="AA9" s="6" t="s">
        <v>4</v>
      </c>
      <c r="AB9" s="6" t="s">
        <v>4</v>
      </c>
      <c r="AC9" s="6" t="s">
        <v>4</v>
      </c>
      <c r="AD9" s="6" t="s">
        <v>4</v>
      </c>
      <c r="AE9" s="6" t="s">
        <v>4</v>
      </c>
      <c r="AF9" s="6" t="s">
        <v>4</v>
      </c>
      <c r="AG9" s="6" t="s">
        <v>3</v>
      </c>
      <c r="AH9" s="6" t="s">
        <v>4</v>
      </c>
      <c r="AI9" s="6" t="s">
        <v>3</v>
      </c>
      <c r="AJ9" s="6" t="s">
        <v>4</v>
      </c>
      <c r="AK9" s="6" t="s">
        <v>4</v>
      </c>
      <c r="AL9" s="6" t="s">
        <v>4</v>
      </c>
      <c r="AM9" s="6" t="s">
        <v>3</v>
      </c>
      <c r="AR9" s="69" t="s">
        <v>40</v>
      </c>
      <c r="AS9" s="70"/>
      <c r="AT9" s="73"/>
      <c r="AU9" s="55">
        <f>COUNTIF(C:C,1)</f>
        <v>13</v>
      </c>
      <c r="AV9" s="55">
        <f>COUNTIF(C:C,2)</f>
        <v>13</v>
      </c>
      <c r="AW9" s="55">
        <f>COUNTIF(C:C,3)</f>
        <v>13</v>
      </c>
      <c r="AX9" s="55">
        <f>COUNTIF(C:C,4)</f>
        <v>13</v>
      </c>
      <c r="AY9" s="55">
        <f>COUNTIF(C:C,5)</f>
        <v>13</v>
      </c>
      <c r="AZ9" s="55">
        <f>COUNTIF(C:C,6)</f>
        <v>13</v>
      </c>
      <c r="BG9" s="19"/>
    </row>
    <row r="10" spans="1:98">
      <c r="A10" s="6">
        <f t="shared" si="0"/>
        <v>9</v>
      </c>
      <c r="B10" s="6" t="s">
        <v>313</v>
      </c>
      <c r="C10" s="6">
        <v>1</v>
      </c>
      <c r="D10" s="6" t="s">
        <v>2</v>
      </c>
      <c r="E10" s="6" t="s">
        <v>3</v>
      </c>
      <c r="F10" s="6" t="s">
        <v>4</v>
      </c>
      <c r="G10" s="6" t="s">
        <v>5</v>
      </c>
      <c r="H10" s="6" t="s">
        <v>5</v>
      </c>
      <c r="I10" s="6" t="s">
        <v>5</v>
      </c>
      <c r="J10" s="6" t="s">
        <v>5</v>
      </c>
      <c r="K10" s="6" t="s">
        <v>2</v>
      </c>
      <c r="L10" s="6" t="s">
        <v>3</v>
      </c>
      <c r="M10" s="6" t="s">
        <v>3</v>
      </c>
      <c r="N10" s="6" t="s">
        <v>4</v>
      </c>
      <c r="O10" s="6" t="s">
        <v>3</v>
      </c>
      <c r="P10" s="6" t="s">
        <v>5</v>
      </c>
      <c r="Q10" s="6" t="s">
        <v>3</v>
      </c>
      <c r="R10" s="6" t="s">
        <v>3</v>
      </c>
      <c r="S10" s="6" t="s">
        <v>5</v>
      </c>
      <c r="T10" s="6" t="s">
        <v>5</v>
      </c>
      <c r="U10" s="6" t="s">
        <v>5</v>
      </c>
      <c r="V10" s="6" t="s">
        <v>2</v>
      </c>
      <c r="W10" s="6" t="s">
        <v>4</v>
      </c>
      <c r="X10" s="6" t="s">
        <v>3</v>
      </c>
      <c r="Y10" s="6" t="s">
        <v>2</v>
      </c>
      <c r="Z10" s="6" t="s">
        <v>3</v>
      </c>
      <c r="AA10" s="6" t="s">
        <v>4</v>
      </c>
      <c r="AB10" s="6" t="s">
        <v>4</v>
      </c>
      <c r="AC10" s="6" t="s">
        <v>4</v>
      </c>
      <c r="AD10" s="6" t="s">
        <v>4</v>
      </c>
      <c r="AE10" s="6" t="s">
        <v>4</v>
      </c>
      <c r="AF10" s="6" t="s">
        <v>4</v>
      </c>
      <c r="AG10" s="6" t="s">
        <v>4</v>
      </c>
      <c r="AH10" s="6" t="s">
        <v>4</v>
      </c>
      <c r="AI10" s="6" t="s">
        <v>4</v>
      </c>
      <c r="AJ10" s="6" t="s">
        <v>4</v>
      </c>
      <c r="AK10" s="6" t="s">
        <v>4</v>
      </c>
      <c r="AL10" s="6" t="s">
        <v>3</v>
      </c>
      <c r="AM10" s="6" t="s">
        <v>3</v>
      </c>
      <c r="AR10" s="71" t="s">
        <v>41</v>
      </c>
      <c r="AS10" s="71"/>
      <c r="AZ10"/>
      <c r="BG10" s="19"/>
      <c r="BI10" s="3"/>
    </row>
    <row r="11" spans="1:98">
      <c r="A11" s="6">
        <f t="shared" si="0"/>
        <v>10</v>
      </c>
      <c r="B11" s="6" t="s">
        <v>316</v>
      </c>
      <c r="C11" s="6">
        <v>1</v>
      </c>
      <c r="D11" s="6" t="s">
        <v>2</v>
      </c>
      <c r="E11" s="6" t="s">
        <v>5</v>
      </c>
      <c r="F11" s="6" t="s">
        <v>3</v>
      </c>
      <c r="G11" s="6" t="s">
        <v>5</v>
      </c>
      <c r="H11" s="6" t="s">
        <v>5</v>
      </c>
      <c r="I11" s="6" t="s">
        <v>3</v>
      </c>
      <c r="J11" s="6" t="s">
        <v>2</v>
      </c>
      <c r="K11" s="6" t="s">
        <v>2</v>
      </c>
      <c r="L11" s="6" t="s">
        <v>2</v>
      </c>
      <c r="M11" s="6" t="s">
        <v>3</v>
      </c>
      <c r="N11" s="6" t="s">
        <v>4</v>
      </c>
      <c r="O11" s="6" t="s">
        <v>5</v>
      </c>
      <c r="P11" s="6" t="s">
        <v>5</v>
      </c>
      <c r="Q11" s="6" t="s">
        <v>3</v>
      </c>
      <c r="R11" s="6" t="s">
        <v>3</v>
      </c>
      <c r="S11" s="6" t="s">
        <v>5</v>
      </c>
      <c r="T11" s="6" t="s">
        <v>5</v>
      </c>
      <c r="U11" s="6" t="s">
        <v>5</v>
      </c>
      <c r="V11" s="6" t="s">
        <v>5</v>
      </c>
      <c r="W11" s="6" t="s">
        <v>4</v>
      </c>
      <c r="X11" s="6" t="s">
        <v>3</v>
      </c>
      <c r="Y11" s="6" t="s">
        <v>2</v>
      </c>
      <c r="Z11" s="6" t="s">
        <v>3</v>
      </c>
      <c r="AA11" s="6" t="s">
        <v>4</v>
      </c>
      <c r="AB11" s="6" t="s">
        <v>4</v>
      </c>
      <c r="AC11" s="6" t="s">
        <v>4</v>
      </c>
      <c r="AD11" s="6" t="s">
        <v>4</v>
      </c>
      <c r="AE11" s="6" t="s">
        <v>4</v>
      </c>
      <c r="AF11" s="6" t="s">
        <v>3</v>
      </c>
      <c r="AG11" s="6" t="s">
        <v>3</v>
      </c>
      <c r="AH11" s="6" t="s">
        <v>4</v>
      </c>
      <c r="AI11" s="6" t="s">
        <v>4</v>
      </c>
      <c r="AJ11" s="6" t="s">
        <v>4</v>
      </c>
      <c r="AK11" s="6" t="s">
        <v>4</v>
      </c>
      <c r="AL11" s="6" t="s">
        <v>4</v>
      </c>
      <c r="AM11" s="6" t="s">
        <v>3</v>
      </c>
      <c r="AR11" s="71" t="s">
        <v>42</v>
      </c>
      <c r="AS11" s="71"/>
      <c r="AZ11"/>
      <c r="BG11" s="19"/>
    </row>
    <row r="12" spans="1:98">
      <c r="A12" s="6">
        <f t="shared" si="0"/>
        <v>11</v>
      </c>
      <c r="B12" s="6" t="s">
        <v>484</v>
      </c>
      <c r="C12" s="6">
        <v>1</v>
      </c>
      <c r="D12" s="6" t="s">
        <v>5</v>
      </c>
      <c r="E12" s="6" t="s">
        <v>3</v>
      </c>
      <c r="F12" s="6" t="s">
        <v>2</v>
      </c>
      <c r="G12" s="6" t="s">
        <v>3</v>
      </c>
      <c r="H12" s="6" t="s">
        <v>5</v>
      </c>
      <c r="I12" s="6" t="s">
        <v>5</v>
      </c>
      <c r="J12" s="6" t="s">
        <v>5</v>
      </c>
      <c r="K12" s="6" t="s">
        <v>2</v>
      </c>
      <c r="L12" s="6" t="s">
        <v>2</v>
      </c>
      <c r="M12" s="6" t="s">
        <v>2</v>
      </c>
      <c r="N12" s="6" t="s">
        <v>2</v>
      </c>
      <c r="O12" s="6" t="s">
        <v>5</v>
      </c>
      <c r="P12" s="6" t="s">
        <v>5</v>
      </c>
      <c r="Q12" s="6" t="s">
        <v>3</v>
      </c>
      <c r="R12" s="6" t="s">
        <v>3</v>
      </c>
      <c r="S12" s="6" t="s">
        <v>5</v>
      </c>
      <c r="T12" s="6" t="s">
        <v>5</v>
      </c>
      <c r="U12" s="6" t="s">
        <v>5</v>
      </c>
      <c r="V12" s="6" t="s">
        <v>5</v>
      </c>
      <c r="W12" s="6" t="s">
        <v>4</v>
      </c>
      <c r="X12" s="6" t="s">
        <v>4</v>
      </c>
      <c r="Y12" s="6" t="s">
        <v>4</v>
      </c>
      <c r="Z12" s="6" t="s">
        <v>3</v>
      </c>
      <c r="AA12" s="6" t="s">
        <v>3</v>
      </c>
      <c r="AB12" s="6" t="s">
        <v>3</v>
      </c>
      <c r="AC12" s="6" t="s">
        <v>4</v>
      </c>
      <c r="AD12" s="6" t="s">
        <v>4</v>
      </c>
      <c r="AE12" s="6" t="s">
        <v>4</v>
      </c>
      <c r="AF12" s="6" t="s">
        <v>4</v>
      </c>
      <c r="AG12" s="6" t="s">
        <v>3</v>
      </c>
      <c r="AH12" s="6" t="s">
        <v>4</v>
      </c>
      <c r="AI12" s="6" t="s">
        <v>3</v>
      </c>
      <c r="AJ12" s="6" t="s">
        <v>3</v>
      </c>
      <c r="AK12" s="6" t="s">
        <v>4</v>
      </c>
      <c r="AL12" s="6" t="s">
        <v>4</v>
      </c>
      <c r="AM12" s="6" t="s">
        <v>3</v>
      </c>
      <c r="AR12" s="71" t="s">
        <v>453</v>
      </c>
      <c r="AS12" s="71"/>
      <c r="AZ12"/>
      <c r="BG12" s="19"/>
      <c r="BI12" s="3"/>
    </row>
    <row r="13" spans="1:98">
      <c r="A13" s="6">
        <f t="shared" si="0"/>
        <v>12</v>
      </c>
      <c r="B13" s="6" t="s">
        <v>460</v>
      </c>
      <c r="C13" s="6">
        <v>1</v>
      </c>
      <c r="D13" s="6" t="s">
        <v>5</v>
      </c>
      <c r="E13" s="6" t="s">
        <v>3</v>
      </c>
      <c r="F13" s="6" t="s">
        <v>4</v>
      </c>
      <c r="G13" s="6" t="s">
        <v>3</v>
      </c>
      <c r="H13" s="6" t="s">
        <v>5</v>
      </c>
      <c r="I13" s="6" t="s">
        <v>5</v>
      </c>
      <c r="J13" s="6" t="s">
        <v>5</v>
      </c>
      <c r="K13" s="6" t="s">
        <v>2</v>
      </c>
      <c r="L13" s="6" t="s">
        <v>3</v>
      </c>
      <c r="M13" s="6" t="s">
        <v>3</v>
      </c>
      <c r="N13" s="6" t="s">
        <v>2</v>
      </c>
      <c r="O13" s="6" t="s">
        <v>4</v>
      </c>
      <c r="P13" s="6" t="s">
        <v>5</v>
      </c>
      <c r="Q13" s="6" t="s">
        <v>3</v>
      </c>
      <c r="R13" s="6" t="s">
        <v>2</v>
      </c>
      <c r="S13" s="6" t="s">
        <v>5</v>
      </c>
      <c r="T13" s="6" t="s">
        <v>5</v>
      </c>
      <c r="U13" s="6" t="s">
        <v>5</v>
      </c>
      <c r="V13" s="6" t="s">
        <v>5</v>
      </c>
      <c r="W13" s="6" t="s">
        <v>4</v>
      </c>
      <c r="X13" s="6" t="s">
        <v>4</v>
      </c>
      <c r="Y13" s="6" t="s">
        <v>4</v>
      </c>
      <c r="Z13" s="6" t="s">
        <v>3</v>
      </c>
      <c r="AA13" s="6" t="s">
        <v>3</v>
      </c>
      <c r="AB13" s="6" t="s">
        <v>3</v>
      </c>
      <c r="AC13" s="6" t="s">
        <v>4</v>
      </c>
      <c r="AD13" s="6" t="s">
        <v>4</v>
      </c>
      <c r="AE13" s="6" t="s">
        <v>4</v>
      </c>
      <c r="AF13" s="6" t="s">
        <v>4</v>
      </c>
      <c r="AG13" s="6" t="s">
        <v>4</v>
      </c>
      <c r="AH13" s="6" t="s">
        <v>4</v>
      </c>
      <c r="AI13" s="6" t="s">
        <v>4</v>
      </c>
      <c r="AJ13" s="6" t="s">
        <v>4</v>
      </c>
      <c r="AK13" s="6" t="s">
        <v>4</v>
      </c>
      <c r="AL13" s="6" t="s">
        <v>4</v>
      </c>
      <c r="AM13" s="6" t="s">
        <v>3</v>
      </c>
      <c r="AR13" s="71" t="s">
        <v>454</v>
      </c>
      <c r="AS13" s="71"/>
      <c r="AZ13"/>
      <c r="BG13" s="19"/>
    </row>
    <row r="14" spans="1:98">
      <c r="A14" s="6">
        <f t="shared" si="0"/>
        <v>13</v>
      </c>
      <c r="B14" s="6" t="s">
        <v>483</v>
      </c>
      <c r="C14" s="6">
        <v>1</v>
      </c>
      <c r="D14" s="6" t="s">
        <v>5</v>
      </c>
      <c r="E14" s="6" t="s">
        <v>3</v>
      </c>
      <c r="F14" s="6" t="s">
        <v>2</v>
      </c>
      <c r="G14" s="6" t="s">
        <v>3</v>
      </c>
      <c r="H14" s="6" t="s">
        <v>5</v>
      </c>
      <c r="I14" s="6" t="s">
        <v>5</v>
      </c>
      <c r="J14" s="6" t="s">
        <v>5</v>
      </c>
      <c r="K14" s="6" t="s">
        <v>2</v>
      </c>
      <c r="L14" s="6" t="s">
        <v>3</v>
      </c>
      <c r="M14" s="6" t="s">
        <v>3</v>
      </c>
      <c r="N14" s="6" t="s">
        <v>2</v>
      </c>
      <c r="O14" s="6" t="s">
        <v>5</v>
      </c>
      <c r="P14" s="6" t="s">
        <v>5</v>
      </c>
      <c r="Q14" s="6" t="s">
        <v>3</v>
      </c>
      <c r="R14" s="6" t="s">
        <v>2</v>
      </c>
      <c r="S14" s="6" t="s">
        <v>5</v>
      </c>
      <c r="T14" s="6" t="s">
        <v>5</v>
      </c>
      <c r="U14" s="6" t="s">
        <v>5</v>
      </c>
      <c r="V14" s="6" t="s">
        <v>4</v>
      </c>
      <c r="W14" s="6" t="s">
        <v>4</v>
      </c>
      <c r="X14" s="6" t="s">
        <v>4</v>
      </c>
      <c r="Y14" s="6" t="s">
        <v>4</v>
      </c>
      <c r="Z14" s="6" t="s">
        <v>3</v>
      </c>
      <c r="AA14" s="6" t="s">
        <v>3</v>
      </c>
      <c r="AB14" s="6" t="s">
        <v>3</v>
      </c>
      <c r="AC14" s="6" t="s">
        <v>4</v>
      </c>
      <c r="AD14" s="6" t="s">
        <v>4</v>
      </c>
      <c r="AE14" s="6" t="s">
        <v>4</v>
      </c>
      <c r="AF14" s="6" t="s">
        <v>4</v>
      </c>
      <c r="AG14" s="6" t="s">
        <v>3</v>
      </c>
      <c r="AH14" s="6" t="s">
        <v>4</v>
      </c>
      <c r="AI14" s="6" t="s">
        <v>3</v>
      </c>
      <c r="AJ14" s="6" t="s">
        <v>4</v>
      </c>
      <c r="AK14" s="6" t="s">
        <v>4</v>
      </c>
      <c r="AL14" s="6" t="s">
        <v>3</v>
      </c>
      <c r="AM14" s="6" t="s">
        <v>3</v>
      </c>
      <c r="AR14" s="71" t="s">
        <v>456</v>
      </c>
      <c r="AS14" s="71"/>
      <c r="AZ14"/>
      <c r="BG14" s="19"/>
      <c r="BI14" s="3"/>
    </row>
    <row r="15" spans="1:98">
      <c r="A15" s="6">
        <f t="shared" si="0"/>
        <v>14</v>
      </c>
      <c r="B15" s="6" t="s">
        <v>314</v>
      </c>
      <c r="C15" s="6">
        <v>2</v>
      </c>
      <c r="D15" s="6" t="s">
        <v>5</v>
      </c>
      <c r="E15" s="6" t="s">
        <v>3</v>
      </c>
      <c r="F15" s="6" t="s">
        <v>4</v>
      </c>
      <c r="G15" s="6" t="s">
        <v>3</v>
      </c>
      <c r="H15" s="6" t="s">
        <v>5</v>
      </c>
      <c r="I15" s="6" t="s">
        <v>5</v>
      </c>
      <c r="J15" s="6" t="s">
        <v>3</v>
      </c>
      <c r="K15" s="6" t="s">
        <v>4</v>
      </c>
      <c r="L15" s="6" t="s">
        <v>3</v>
      </c>
      <c r="M15" s="6" t="s">
        <v>3</v>
      </c>
      <c r="N15" s="6" t="s">
        <v>4</v>
      </c>
      <c r="O15" s="6" t="s">
        <v>4</v>
      </c>
      <c r="P15" s="6" t="s">
        <v>5</v>
      </c>
      <c r="Q15" s="6" t="s">
        <v>3</v>
      </c>
      <c r="R15" s="6" t="s">
        <v>4</v>
      </c>
      <c r="S15" s="6" t="s">
        <v>5</v>
      </c>
      <c r="T15" s="6" t="s">
        <v>5</v>
      </c>
      <c r="U15" s="6" t="s">
        <v>5</v>
      </c>
      <c r="V15" s="6" t="s">
        <v>3</v>
      </c>
      <c r="W15" s="6" t="s">
        <v>4</v>
      </c>
      <c r="X15" s="6" t="s">
        <v>4</v>
      </c>
      <c r="Y15" s="6" t="s">
        <v>4</v>
      </c>
      <c r="Z15" s="6" t="s">
        <v>3</v>
      </c>
      <c r="AA15" s="6" t="s">
        <v>4</v>
      </c>
      <c r="AB15" s="6" t="s">
        <v>4</v>
      </c>
      <c r="AC15" s="6" t="s">
        <v>4</v>
      </c>
      <c r="AD15" s="6" t="s">
        <v>4</v>
      </c>
      <c r="AE15" s="6" t="s">
        <v>4</v>
      </c>
      <c r="AF15" s="6" t="s">
        <v>4</v>
      </c>
      <c r="AG15" s="6" t="s">
        <v>3</v>
      </c>
      <c r="AH15" s="6" t="s">
        <v>4</v>
      </c>
      <c r="AI15" s="6" t="s">
        <v>3</v>
      </c>
      <c r="AJ15" s="6" t="s">
        <v>4</v>
      </c>
      <c r="AK15" s="6" t="s">
        <v>4</v>
      </c>
      <c r="AL15" s="6" t="s">
        <v>4</v>
      </c>
      <c r="AM15" s="6" t="s">
        <v>3</v>
      </c>
      <c r="AR15" s="71" t="s">
        <v>455</v>
      </c>
      <c r="AS15" s="71"/>
      <c r="AZ15"/>
      <c r="BG15" s="19"/>
    </row>
    <row r="16" spans="1:98">
      <c r="A16" s="6">
        <f t="shared" si="0"/>
        <v>15</v>
      </c>
      <c r="B16" s="6" t="s">
        <v>315</v>
      </c>
      <c r="C16" s="6">
        <v>2</v>
      </c>
      <c r="D16" s="6" t="s">
        <v>5</v>
      </c>
      <c r="E16" s="6" t="s">
        <v>5</v>
      </c>
      <c r="F16" s="6" t="s">
        <v>3</v>
      </c>
      <c r="G16" s="6" t="s">
        <v>5</v>
      </c>
      <c r="H16" s="6" t="s">
        <v>5</v>
      </c>
      <c r="I16" s="6" t="s">
        <v>5</v>
      </c>
      <c r="J16" s="6" t="s">
        <v>2</v>
      </c>
      <c r="K16" s="6" t="s">
        <v>2</v>
      </c>
      <c r="L16" s="6" t="s">
        <v>3</v>
      </c>
      <c r="M16" s="6" t="s">
        <v>2</v>
      </c>
      <c r="N16" s="6" t="s">
        <v>2</v>
      </c>
      <c r="O16" s="6" t="s">
        <v>3</v>
      </c>
      <c r="P16" s="6" t="s">
        <v>5</v>
      </c>
      <c r="Q16" s="6" t="s">
        <v>3</v>
      </c>
      <c r="R16" s="6" t="s">
        <v>4</v>
      </c>
      <c r="S16" s="6" t="s">
        <v>5</v>
      </c>
      <c r="T16" s="6" t="s">
        <v>5</v>
      </c>
      <c r="U16" s="6" t="s">
        <v>5</v>
      </c>
      <c r="V16" s="6" t="s">
        <v>5</v>
      </c>
      <c r="W16" s="6" t="s">
        <v>4</v>
      </c>
      <c r="X16" s="6" t="s">
        <v>3</v>
      </c>
      <c r="Y16" s="6" t="s">
        <v>2</v>
      </c>
      <c r="Z16" s="6" t="s">
        <v>3</v>
      </c>
      <c r="AA16" s="6" t="s">
        <v>4</v>
      </c>
      <c r="AB16" s="6" t="s">
        <v>4</v>
      </c>
      <c r="AC16" s="6" t="s">
        <v>4</v>
      </c>
      <c r="AD16" s="6" t="s">
        <v>4</v>
      </c>
      <c r="AE16" s="6" t="s">
        <v>4</v>
      </c>
      <c r="AF16" s="6" t="s">
        <v>4</v>
      </c>
      <c r="AG16" s="6" t="s">
        <v>3</v>
      </c>
      <c r="AH16" s="6" t="s">
        <v>4</v>
      </c>
      <c r="AI16" s="6" t="s">
        <v>4</v>
      </c>
      <c r="AJ16" s="6" t="s">
        <v>4</v>
      </c>
      <c r="AK16" s="6" t="s">
        <v>4</v>
      </c>
      <c r="AL16" s="6" t="s">
        <v>3</v>
      </c>
      <c r="AM16" s="6" t="s">
        <v>4</v>
      </c>
      <c r="AZ16"/>
      <c r="BG16" s="19"/>
      <c r="BI16" s="3"/>
    </row>
    <row r="17" spans="1:98">
      <c r="A17" s="6">
        <f t="shared" si="0"/>
        <v>16</v>
      </c>
      <c r="B17" s="6" t="s">
        <v>13</v>
      </c>
      <c r="C17" s="6">
        <v>2</v>
      </c>
      <c r="D17" s="6" t="s">
        <v>5</v>
      </c>
      <c r="E17" s="6" t="s">
        <v>5</v>
      </c>
      <c r="F17" s="6" t="s">
        <v>2</v>
      </c>
      <c r="G17" s="6" t="s">
        <v>2</v>
      </c>
      <c r="H17" s="6" t="s">
        <v>5</v>
      </c>
      <c r="I17" s="6" t="s">
        <v>5</v>
      </c>
      <c r="J17" s="6" t="s">
        <v>2</v>
      </c>
      <c r="K17" s="6" t="s">
        <v>2</v>
      </c>
      <c r="L17" s="6" t="s">
        <v>2</v>
      </c>
      <c r="M17" s="6" t="s">
        <v>4</v>
      </c>
      <c r="N17" s="6" t="s">
        <v>4</v>
      </c>
      <c r="O17" s="6" t="s">
        <v>4</v>
      </c>
      <c r="P17" s="6" t="s">
        <v>5</v>
      </c>
      <c r="Q17" s="6" t="s">
        <v>4</v>
      </c>
      <c r="R17" s="6" t="s">
        <v>5</v>
      </c>
      <c r="S17" s="6" t="s">
        <v>5</v>
      </c>
      <c r="T17" s="6" t="s">
        <v>5</v>
      </c>
      <c r="U17" s="6" t="s">
        <v>5</v>
      </c>
      <c r="V17" s="6" t="s">
        <v>5</v>
      </c>
      <c r="W17" s="6" t="s">
        <v>4</v>
      </c>
      <c r="X17" s="6" t="s">
        <v>3</v>
      </c>
      <c r="Y17" s="6" t="s">
        <v>2</v>
      </c>
      <c r="Z17" s="6" t="s">
        <v>3</v>
      </c>
      <c r="AA17" s="6" t="s">
        <v>4</v>
      </c>
      <c r="AB17" s="6" t="s">
        <v>4</v>
      </c>
      <c r="AC17" s="6" t="s">
        <v>4</v>
      </c>
      <c r="AD17" s="6" t="s">
        <v>4</v>
      </c>
      <c r="AE17" s="6" t="s">
        <v>4</v>
      </c>
      <c r="AF17" s="6" t="s">
        <v>4</v>
      </c>
      <c r="AG17" s="6" t="s">
        <v>4</v>
      </c>
      <c r="AH17" s="6" t="s">
        <v>4</v>
      </c>
      <c r="AI17" s="6" t="s">
        <v>3</v>
      </c>
      <c r="AJ17" s="6" t="s">
        <v>4</v>
      </c>
      <c r="AK17" s="6" t="s">
        <v>4</v>
      </c>
      <c r="AL17" s="6" t="s">
        <v>4</v>
      </c>
      <c r="AM17" s="6" t="s">
        <v>4</v>
      </c>
      <c r="BG17" s="19"/>
    </row>
    <row r="18" spans="1:98">
      <c r="A18" s="6">
        <f t="shared" si="0"/>
        <v>17</v>
      </c>
      <c r="B18" s="6" t="s">
        <v>14</v>
      </c>
      <c r="C18" s="6">
        <v>2</v>
      </c>
      <c r="D18" s="6" t="s">
        <v>5</v>
      </c>
      <c r="E18" s="6" t="s">
        <v>5</v>
      </c>
      <c r="F18" s="6" t="s">
        <v>3</v>
      </c>
      <c r="G18" s="6" t="s">
        <v>5</v>
      </c>
      <c r="H18" s="6" t="s">
        <v>5</v>
      </c>
      <c r="I18" s="6" t="s">
        <v>5</v>
      </c>
      <c r="J18" s="6" t="s">
        <v>5</v>
      </c>
      <c r="K18" s="6" t="s">
        <v>2</v>
      </c>
      <c r="L18" s="6" t="s">
        <v>2</v>
      </c>
      <c r="M18" s="6" t="s">
        <v>4</v>
      </c>
      <c r="N18" s="6" t="s">
        <v>4</v>
      </c>
      <c r="O18" s="6" t="s">
        <v>2</v>
      </c>
      <c r="P18" s="6" t="s">
        <v>5</v>
      </c>
      <c r="Q18" s="6" t="s">
        <v>4</v>
      </c>
      <c r="R18" s="6" t="s">
        <v>2</v>
      </c>
      <c r="S18" s="6" t="s">
        <v>5</v>
      </c>
      <c r="T18" s="6" t="s">
        <v>3</v>
      </c>
      <c r="U18" s="6" t="s">
        <v>4</v>
      </c>
      <c r="V18" s="6" t="s">
        <v>5</v>
      </c>
      <c r="W18" s="6" t="s">
        <v>2</v>
      </c>
      <c r="X18" s="6" t="s">
        <v>4</v>
      </c>
      <c r="Y18" s="6" t="s">
        <v>4</v>
      </c>
      <c r="Z18" s="6" t="s">
        <v>3</v>
      </c>
      <c r="AA18" s="6" t="s">
        <v>4</v>
      </c>
      <c r="AB18" s="6" t="s">
        <v>4</v>
      </c>
      <c r="AC18" s="6" t="s">
        <v>4</v>
      </c>
      <c r="AD18" s="6" t="s">
        <v>4</v>
      </c>
      <c r="AE18" s="6" t="s">
        <v>4</v>
      </c>
      <c r="AF18" s="6" t="s">
        <v>4</v>
      </c>
      <c r="AG18" s="6" t="s">
        <v>3</v>
      </c>
      <c r="AH18" s="6" t="s">
        <v>4</v>
      </c>
      <c r="AI18" s="6" t="s">
        <v>3</v>
      </c>
      <c r="AJ18" s="6" t="s">
        <v>4</v>
      </c>
      <c r="AK18" s="6" t="s">
        <v>4</v>
      </c>
      <c r="AL18" s="6" t="s">
        <v>4</v>
      </c>
      <c r="AM18" s="6" t="s">
        <v>3</v>
      </c>
      <c r="AZ18"/>
      <c r="BG18" s="19"/>
    </row>
    <row r="19" spans="1:98">
      <c r="A19" s="6">
        <f t="shared" si="0"/>
        <v>18</v>
      </c>
      <c r="B19" s="6" t="s">
        <v>15</v>
      </c>
      <c r="C19" s="6">
        <v>2</v>
      </c>
      <c r="D19" s="6" t="s">
        <v>2</v>
      </c>
      <c r="E19" s="6" t="s">
        <v>5</v>
      </c>
      <c r="F19" s="6" t="s">
        <v>4</v>
      </c>
      <c r="G19" s="6" t="s">
        <v>5</v>
      </c>
      <c r="H19" s="6" t="s">
        <v>5</v>
      </c>
      <c r="I19" s="6" t="s">
        <v>5</v>
      </c>
      <c r="J19" s="6" t="s">
        <v>2</v>
      </c>
      <c r="K19" s="6" t="s">
        <v>2</v>
      </c>
      <c r="L19" s="6" t="s">
        <v>3</v>
      </c>
      <c r="M19" s="6" t="s">
        <v>4</v>
      </c>
      <c r="N19" s="6" t="s">
        <v>4</v>
      </c>
      <c r="O19" s="6" t="s">
        <v>5</v>
      </c>
      <c r="P19" s="6" t="s">
        <v>5</v>
      </c>
      <c r="Q19" s="6" t="s">
        <v>4</v>
      </c>
      <c r="R19" s="6" t="s">
        <v>5</v>
      </c>
      <c r="S19" s="6" t="s">
        <v>5</v>
      </c>
      <c r="T19" s="6" t="s">
        <v>2</v>
      </c>
      <c r="U19" s="6" t="s">
        <v>5</v>
      </c>
      <c r="V19" s="6" t="s">
        <v>5</v>
      </c>
      <c r="W19" s="6" t="s">
        <v>4</v>
      </c>
      <c r="X19" s="6" t="s">
        <v>4</v>
      </c>
      <c r="Y19" s="6" t="s">
        <v>4</v>
      </c>
      <c r="Z19" s="6" t="s">
        <v>3</v>
      </c>
      <c r="AA19" s="6" t="s">
        <v>4</v>
      </c>
      <c r="AB19" s="6" t="s">
        <v>4</v>
      </c>
      <c r="AC19" s="6" t="s">
        <v>4</v>
      </c>
      <c r="AD19" s="6" t="s">
        <v>4</v>
      </c>
      <c r="AE19" s="6" t="s">
        <v>4</v>
      </c>
      <c r="AF19" s="6" t="s">
        <v>4</v>
      </c>
      <c r="AG19" s="6" t="s">
        <v>3</v>
      </c>
      <c r="AH19" s="6" t="s">
        <v>4</v>
      </c>
      <c r="AI19" s="6" t="s">
        <v>3</v>
      </c>
      <c r="AJ19" s="6" t="s">
        <v>4</v>
      </c>
      <c r="AK19" s="6" t="s">
        <v>4</v>
      </c>
      <c r="AL19" s="6" t="s">
        <v>4</v>
      </c>
      <c r="AM19" s="6" t="s">
        <v>3</v>
      </c>
      <c r="AZ19"/>
      <c r="BG19" s="19"/>
      <c r="BI19" s="75"/>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row>
    <row r="20" spans="1:98">
      <c r="A20" s="6">
        <f t="shared" si="0"/>
        <v>19</v>
      </c>
      <c r="B20" s="6" t="s">
        <v>16</v>
      </c>
      <c r="C20" s="6">
        <v>2</v>
      </c>
      <c r="D20" s="6" t="s">
        <v>5</v>
      </c>
      <c r="E20" s="6" t="s">
        <v>5</v>
      </c>
      <c r="F20" s="6" t="s">
        <v>3</v>
      </c>
      <c r="G20" s="6" t="s">
        <v>5</v>
      </c>
      <c r="H20" s="6" t="s">
        <v>5</v>
      </c>
      <c r="I20" s="6" t="s">
        <v>5</v>
      </c>
      <c r="J20" s="6" t="s">
        <v>2</v>
      </c>
      <c r="K20" s="6" t="s">
        <v>2</v>
      </c>
      <c r="L20" s="6" t="s">
        <v>3</v>
      </c>
      <c r="M20" s="6" t="s">
        <v>2</v>
      </c>
      <c r="N20" s="6" t="s">
        <v>2</v>
      </c>
      <c r="O20" s="6" t="s">
        <v>3</v>
      </c>
      <c r="P20" s="6" t="s">
        <v>5</v>
      </c>
      <c r="Q20" s="6" t="s">
        <v>3</v>
      </c>
      <c r="R20" s="6" t="s">
        <v>4</v>
      </c>
      <c r="S20" s="6" t="s">
        <v>5</v>
      </c>
      <c r="T20" s="6" t="s">
        <v>5</v>
      </c>
      <c r="U20" s="6" t="s">
        <v>5</v>
      </c>
      <c r="V20" s="6" t="s">
        <v>5</v>
      </c>
      <c r="W20" s="6" t="s">
        <v>4</v>
      </c>
      <c r="X20" s="6" t="s">
        <v>4</v>
      </c>
      <c r="Y20" s="6" t="s">
        <v>2</v>
      </c>
      <c r="Z20" s="6" t="s">
        <v>3</v>
      </c>
      <c r="AA20" s="6" t="s">
        <v>4</v>
      </c>
      <c r="AB20" s="6" t="s">
        <v>4</v>
      </c>
      <c r="AC20" s="6" t="s">
        <v>4</v>
      </c>
      <c r="AD20" s="6" t="s">
        <v>4</v>
      </c>
      <c r="AE20" s="6" t="s">
        <v>4</v>
      </c>
      <c r="AF20" s="6" t="s">
        <v>4</v>
      </c>
      <c r="AG20" s="6" t="s">
        <v>3</v>
      </c>
      <c r="AH20" s="6" t="s">
        <v>4</v>
      </c>
      <c r="AI20" s="6" t="s">
        <v>4</v>
      </c>
      <c r="AJ20" s="6" t="s">
        <v>4</v>
      </c>
      <c r="AK20" s="6" t="s">
        <v>4</v>
      </c>
      <c r="AL20" s="6" t="s">
        <v>3</v>
      </c>
      <c r="AM20" s="6" t="s">
        <v>4</v>
      </c>
      <c r="AZ20"/>
      <c r="BG20" s="19"/>
      <c r="BI20" s="75"/>
    </row>
    <row r="21" spans="1:98">
      <c r="A21" s="6">
        <f t="shared" si="0"/>
        <v>20</v>
      </c>
      <c r="B21" s="6" t="s">
        <v>259</v>
      </c>
      <c r="C21" s="6">
        <v>2</v>
      </c>
      <c r="D21" s="6" t="s">
        <v>4</v>
      </c>
      <c r="E21" s="6" t="s">
        <v>5</v>
      </c>
      <c r="F21" s="6" t="s">
        <v>2</v>
      </c>
      <c r="G21" s="6" t="s">
        <v>5</v>
      </c>
      <c r="H21" s="6" t="s">
        <v>5</v>
      </c>
      <c r="I21" s="6" t="s">
        <v>5</v>
      </c>
      <c r="J21" s="6" t="s">
        <v>5</v>
      </c>
      <c r="K21" s="6" t="s">
        <v>2</v>
      </c>
      <c r="L21" s="6" t="s">
        <v>3</v>
      </c>
      <c r="M21" s="6" t="s">
        <v>2</v>
      </c>
      <c r="N21" s="6" t="s">
        <v>3</v>
      </c>
      <c r="O21" s="6" t="s">
        <v>5</v>
      </c>
      <c r="P21" s="6" t="s">
        <v>5</v>
      </c>
      <c r="Q21" s="6" t="s">
        <v>3</v>
      </c>
      <c r="R21" s="6" t="s">
        <v>3</v>
      </c>
      <c r="S21" s="6" t="s">
        <v>5</v>
      </c>
      <c r="T21" s="6" t="s">
        <v>5</v>
      </c>
      <c r="U21" s="6" t="s">
        <v>5</v>
      </c>
      <c r="V21" s="6" t="s">
        <v>5</v>
      </c>
      <c r="W21" s="6" t="s">
        <v>4</v>
      </c>
      <c r="X21" s="6" t="s">
        <v>3</v>
      </c>
      <c r="Y21" s="6" t="s">
        <v>2</v>
      </c>
      <c r="Z21" s="6" t="s">
        <v>3</v>
      </c>
      <c r="AA21" s="6" t="s">
        <v>4</v>
      </c>
      <c r="AB21" s="6" t="s">
        <v>4</v>
      </c>
      <c r="AC21" s="6" t="s">
        <v>4</v>
      </c>
      <c r="AD21" s="6" t="s">
        <v>4</v>
      </c>
      <c r="AE21" s="6" t="s">
        <v>4</v>
      </c>
      <c r="AF21" s="6" t="s">
        <v>4</v>
      </c>
      <c r="AG21" s="6" t="s">
        <v>3</v>
      </c>
      <c r="AH21" s="6" t="s">
        <v>4</v>
      </c>
      <c r="AI21" s="6" t="s">
        <v>3</v>
      </c>
      <c r="AJ21" s="6" t="s">
        <v>4</v>
      </c>
      <c r="AK21" s="6" t="s">
        <v>4</v>
      </c>
      <c r="AL21" s="6" t="s">
        <v>3</v>
      </c>
      <c r="AM21" s="6" t="s">
        <v>3</v>
      </c>
      <c r="AR21" s="5" t="s">
        <v>450</v>
      </c>
      <c r="AS21" s="5"/>
      <c r="AZ21"/>
      <c r="BG21" s="19"/>
    </row>
    <row r="22" spans="1:98">
      <c r="A22" s="6">
        <f t="shared" si="0"/>
        <v>21</v>
      </c>
      <c r="B22" s="6" t="s">
        <v>260</v>
      </c>
      <c r="C22" s="6">
        <v>2</v>
      </c>
      <c r="D22" s="6" t="s">
        <v>3</v>
      </c>
      <c r="E22" s="6" t="s">
        <v>5</v>
      </c>
      <c r="F22" s="6" t="s">
        <v>3</v>
      </c>
      <c r="G22" s="6" t="s">
        <v>5</v>
      </c>
      <c r="H22" s="6" t="s">
        <v>5</v>
      </c>
      <c r="I22" s="6" t="s">
        <v>5</v>
      </c>
      <c r="J22" s="6" t="s">
        <v>2</v>
      </c>
      <c r="K22" s="6" t="s">
        <v>2</v>
      </c>
      <c r="L22" s="6" t="s">
        <v>2</v>
      </c>
      <c r="M22" s="6" t="s">
        <v>2</v>
      </c>
      <c r="N22" s="6" t="s">
        <v>2</v>
      </c>
      <c r="O22" s="6" t="s">
        <v>2</v>
      </c>
      <c r="P22" s="6" t="s">
        <v>5</v>
      </c>
      <c r="Q22" s="6" t="s">
        <v>3</v>
      </c>
      <c r="R22" s="6" t="s">
        <v>3</v>
      </c>
      <c r="S22" s="6" t="s">
        <v>5</v>
      </c>
      <c r="T22" s="6" t="s">
        <v>5</v>
      </c>
      <c r="U22" s="6" t="s">
        <v>5</v>
      </c>
      <c r="V22" s="6" t="s">
        <v>5</v>
      </c>
      <c r="W22" s="6" t="s">
        <v>4</v>
      </c>
      <c r="X22" s="6" t="s">
        <v>4</v>
      </c>
      <c r="Y22" s="6" t="s">
        <v>4</v>
      </c>
      <c r="Z22" s="6" t="s">
        <v>3</v>
      </c>
      <c r="AA22" s="6" t="s">
        <v>4</v>
      </c>
      <c r="AB22" s="6" t="s">
        <v>4</v>
      </c>
      <c r="AC22" s="6" t="s">
        <v>4</v>
      </c>
      <c r="AD22" s="6" t="s">
        <v>4</v>
      </c>
      <c r="AE22" s="6" t="s">
        <v>4</v>
      </c>
      <c r="AF22" s="6" t="s">
        <v>4</v>
      </c>
      <c r="AG22" s="6" t="s">
        <v>3</v>
      </c>
      <c r="AH22" s="6" t="s">
        <v>4</v>
      </c>
      <c r="AI22" s="6" t="s">
        <v>3</v>
      </c>
      <c r="AJ22" s="6" t="s">
        <v>4</v>
      </c>
      <c r="AK22" s="6" t="s">
        <v>4</v>
      </c>
      <c r="AL22" s="6" t="s">
        <v>4</v>
      </c>
      <c r="AM22" s="6" t="s">
        <v>3</v>
      </c>
      <c r="AS22" s="32" t="s">
        <v>279</v>
      </c>
      <c r="AT22" s="6" t="s">
        <v>289</v>
      </c>
      <c r="AU22" s="8">
        <v>13</v>
      </c>
      <c r="AV22" s="30" t="s">
        <v>502</v>
      </c>
      <c r="AW22" s="30">
        <f>AU9/AT6</f>
        <v>0.16666666666666666</v>
      </c>
      <c r="BG22" s="19"/>
      <c r="BI22" s="3"/>
    </row>
    <row r="23" spans="1:98">
      <c r="A23" s="6">
        <f t="shared" si="0"/>
        <v>22</v>
      </c>
      <c r="B23" s="6" t="s">
        <v>261</v>
      </c>
      <c r="C23" s="6">
        <v>2</v>
      </c>
      <c r="D23" s="6" t="s">
        <v>5</v>
      </c>
      <c r="E23" s="6" t="s">
        <v>3</v>
      </c>
      <c r="F23" s="6" t="s">
        <v>2</v>
      </c>
      <c r="G23" s="6" t="s">
        <v>2</v>
      </c>
      <c r="H23" s="6" t="s">
        <v>5</v>
      </c>
      <c r="I23" s="6" t="s">
        <v>5</v>
      </c>
      <c r="J23" s="6" t="s">
        <v>5</v>
      </c>
      <c r="K23" s="6" t="s">
        <v>2</v>
      </c>
      <c r="L23" s="6" t="s">
        <v>2</v>
      </c>
      <c r="M23" s="6" t="s">
        <v>2</v>
      </c>
      <c r="N23" s="6" t="s">
        <v>3</v>
      </c>
      <c r="O23" s="6" t="s">
        <v>2</v>
      </c>
      <c r="P23" s="6" t="s">
        <v>5</v>
      </c>
      <c r="Q23" s="6" t="s">
        <v>3</v>
      </c>
      <c r="R23" s="6" t="s">
        <v>2</v>
      </c>
      <c r="S23" s="6" t="s">
        <v>5</v>
      </c>
      <c r="T23" s="6" t="s">
        <v>2</v>
      </c>
      <c r="U23" s="6" t="s">
        <v>2</v>
      </c>
      <c r="V23" s="6" t="s">
        <v>2</v>
      </c>
      <c r="W23" s="6" t="s">
        <v>4</v>
      </c>
      <c r="X23" s="6" t="s">
        <v>4</v>
      </c>
      <c r="Y23" s="6" t="s">
        <v>4</v>
      </c>
      <c r="Z23" s="6" t="s">
        <v>3</v>
      </c>
      <c r="AA23" s="6" t="s">
        <v>4</v>
      </c>
      <c r="AB23" s="6" t="s">
        <v>4</v>
      </c>
      <c r="AC23" s="6" t="s">
        <v>4</v>
      </c>
      <c r="AD23" s="6" t="s">
        <v>4</v>
      </c>
      <c r="AE23" s="6" t="s">
        <v>4</v>
      </c>
      <c r="AF23" s="6" t="s">
        <v>4</v>
      </c>
      <c r="AG23" s="6" t="s">
        <v>3</v>
      </c>
      <c r="AH23" s="6" t="s">
        <v>4</v>
      </c>
      <c r="AI23" s="6" t="s">
        <v>3</v>
      </c>
      <c r="AJ23" s="6" t="s">
        <v>4</v>
      </c>
      <c r="AK23" s="6" t="s">
        <v>4</v>
      </c>
      <c r="AL23" s="6" t="s">
        <v>3</v>
      </c>
      <c r="AM23" s="6" t="s">
        <v>3</v>
      </c>
      <c r="AS23" s="32" t="s">
        <v>280</v>
      </c>
      <c r="AT23" s="6" t="s">
        <v>481</v>
      </c>
      <c r="AU23" s="8">
        <v>13</v>
      </c>
      <c r="AV23" s="14" t="s">
        <v>502</v>
      </c>
      <c r="AW23" s="30">
        <f>AV9/AT6</f>
        <v>0.16666666666666666</v>
      </c>
      <c r="BG23" s="19"/>
    </row>
    <row r="24" spans="1:98">
      <c r="A24" s="6">
        <f t="shared" si="0"/>
        <v>23</v>
      </c>
      <c r="B24" s="6" t="s">
        <v>262</v>
      </c>
      <c r="C24" s="6">
        <v>2</v>
      </c>
      <c r="D24" s="6" t="s">
        <v>4</v>
      </c>
      <c r="E24" s="6" t="s">
        <v>5</v>
      </c>
      <c r="F24" s="6" t="s">
        <v>3</v>
      </c>
      <c r="G24" s="6" t="s">
        <v>5</v>
      </c>
      <c r="H24" s="6" t="s">
        <v>5</v>
      </c>
      <c r="I24" s="6" t="s">
        <v>5</v>
      </c>
      <c r="J24" s="6" t="s">
        <v>5</v>
      </c>
      <c r="K24" s="6" t="s">
        <v>2</v>
      </c>
      <c r="L24" s="6" t="s">
        <v>3</v>
      </c>
      <c r="M24" s="6" t="s">
        <v>2</v>
      </c>
      <c r="N24" s="6" t="s">
        <v>3</v>
      </c>
      <c r="O24" s="6" t="s">
        <v>2</v>
      </c>
      <c r="P24" s="6" t="s">
        <v>5</v>
      </c>
      <c r="Q24" s="6" t="s">
        <v>3</v>
      </c>
      <c r="R24" s="6" t="s">
        <v>3</v>
      </c>
      <c r="S24" s="6" t="s">
        <v>5</v>
      </c>
      <c r="T24" s="6" t="s">
        <v>5</v>
      </c>
      <c r="U24" s="6" t="s">
        <v>5</v>
      </c>
      <c r="V24" s="6" t="s">
        <v>3</v>
      </c>
      <c r="W24" s="6" t="s">
        <v>4</v>
      </c>
      <c r="X24" s="6" t="s">
        <v>4</v>
      </c>
      <c r="Y24" s="6" t="s">
        <v>2</v>
      </c>
      <c r="Z24" s="6" t="s">
        <v>3</v>
      </c>
      <c r="AA24" s="6" t="s">
        <v>4</v>
      </c>
      <c r="AB24" s="6" t="s">
        <v>4</v>
      </c>
      <c r="AC24" s="6" t="s">
        <v>4</v>
      </c>
      <c r="AD24" s="6" t="s">
        <v>4</v>
      </c>
      <c r="AE24" s="6" t="s">
        <v>4</v>
      </c>
      <c r="AF24" s="6" t="s">
        <v>4</v>
      </c>
      <c r="AG24" s="6" t="s">
        <v>3</v>
      </c>
      <c r="AH24" s="6" t="s">
        <v>4</v>
      </c>
      <c r="AI24" s="6" t="s">
        <v>4</v>
      </c>
      <c r="AJ24" s="6" t="s">
        <v>4</v>
      </c>
      <c r="AK24" s="6" t="s">
        <v>4</v>
      </c>
      <c r="AL24" s="6" t="s">
        <v>4</v>
      </c>
      <c r="AM24" s="6" t="s">
        <v>3</v>
      </c>
      <c r="AS24" s="32" t="s">
        <v>281</v>
      </c>
      <c r="AT24" s="6" t="s">
        <v>290</v>
      </c>
      <c r="AU24" s="8">
        <v>13</v>
      </c>
      <c r="AV24" s="14" t="s">
        <v>502</v>
      </c>
      <c r="AW24" s="30">
        <f>AW9/AT6</f>
        <v>0.16666666666666666</v>
      </c>
      <c r="BG24" s="19"/>
      <c r="BI24" s="3"/>
    </row>
    <row r="25" spans="1:98">
      <c r="A25" s="6">
        <f t="shared" si="0"/>
        <v>24</v>
      </c>
      <c r="B25" s="6" t="s">
        <v>461</v>
      </c>
      <c r="C25" s="6">
        <v>2</v>
      </c>
      <c r="D25" s="6" t="s">
        <v>5</v>
      </c>
      <c r="E25" s="6" t="s">
        <v>5</v>
      </c>
      <c r="F25" s="6" t="s">
        <v>2</v>
      </c>
      <c r="G25" s="6" t="s">
        <v>2</v>
      </c>
      <c r="H25" s="6" t="s">
        <v>5</v>
      </c>
      <c r="I25" s="6" t="s">
        <v>3</v>
      </c>
      <c r="J25" s="6" t="s">
        <v>2</v>
      </c>
      <c r="K25" s="6" t="s">
        <v>2</v>
      </c>
      <c r="L25" s="6" t="s">
        <v>3</v>
      </c>
      <c r="M25" s="6" t="s">
        <v>3</v>
      </c>
      <c r="N25" s="6" t="s">
        <v>4</v>
      </c>
      <c r="O25" s="6" t="s">
        <v>5</v>
      </c>
      <c r="P25" s="6" t="s">
        <v>5</v>
      </c>
      <c r="Q25" s="6" t="s">
        <v>4</v>
      </c>
      <c r="R25" s="6" t="s">
        <v>5</v>
      </c>
      <c r="S25" s="6" t="s">
        <v>5</v>
      </c>
      <c r="T25" s="6" t="s">
        <v>2</v>
      </c>
      <c r="U25" s="6" t="s">
        <v>5</v>
      </c>
      <c r="V25" s="6" t="s">
        <v>5</v>
      </c>
      <c r="W25" s="6" t="s">
        <v>3</v>
      </c>
      <c r="X25" s="6" t="s">
        <v>4</v>
      </c>
      <c r="Y25" s="6" t="s">
        <v>2</v>
      </c>
      <c r="Z25" s="6" t="s">
        <v>3</v>
      </c>
      <c r="AA25" s="6" t="s">
        <v>3</v>
      </c>
      <c r="AB25" s="6" t="s">
        <v>4</v>
      </c>
      <c r="AC25" s="6" t="s">
        <v>4</v>
      </c>
      <c r="AD25" s="6" t="s">
        <v>4</v>
      </c>
      <c r="AE25" s="6" t="s">
        <v>4</v>
      </c>
      <c r="AF25" s="6" t="s">
        <v>4</v>
      </c>
      <c r="AG25" s="6" t="s">
        <v>3</v>
      </c>
      <c r="AH25" s="6" t="s">
        <v>4</v>
      </c>
      <c r="AI25" s="6" t="s">
        <v>3</v>
      </c>
      <c r="AJ25" s="6" t="s">
        <v>4</v>
      </c>
      <c r="AK25" s="6" t="s">
        <v>4</v>
      </c>
      <c r="AL25" s="6" t="s">
        <v>3</v>
      </c>
      <c r="AM25" s="6" t="s">
        <v>3</v>
      </c>
      <c r="AS25" s="32" t="s">
        <v>282</v>
      </c>
      <c r="AT25" s="6" t="s">
        <v>291</v>
      </c>
      <c r="AU25" s="8">
        <v>13</v>
      </c>
      <c r="AV25" s="14" t="s">
        <v>502</v>
      </c>
      <c r="AW25" s="30">
        <f>AX9/AT6</f>
        <v>0.16666666666666666</v>
      </c>
      <c r="BG25" s="19"/>
    </row>
    <row r="26" spans="1:98">
      <c r="A26" s="6">
        <f t="shared" si="0"/>
        <v>25</v>
      </c>
      <c r="B26" s="6" t="s">
        <v>462</v>
      </c>
      <c r="C26" s="6">
        <v>2</v>
      </c>
      <c r="D26" s="6" t="s">
        <v>5</v>
      </c>
      <c r="E26" s="6" t="s">
        <v>3</v>
      </c>
      <c r="F26" s="6" t="s">
        <v>5</v>
      </c>
      <c r="G26" s="6" t="s">
        <v>5</v>
      </c>
      <c r="H26" s="6" t="s">
        <v>5</v>
      </c>
      <c r="I26" s="6" t="s">
        <v>5</v>
      </c>
      <c r="J26" s="6" t="s">
        <v>5</v>
      </c>
      <c r="K26" s="6" t="s">
        <v>2</v>
      </c>
      <c r="L26" s="6" t="s">
        <v>3</v>
      </c>
      <c r="M26" s="6" t="s">
        <v>3</v>
      </c>
      <c r="N26" s="6" t="s">
        <v>3</v>
      </c>
      <c r="O26" s="6" t="s">
        <v>5</v>
      </c>
      <c r="P26" s="6" t="s">
        <v>5</v>
      </c>
      <c r="Q26" s="6" t="s">
        <v>3</v>
      </c>
      <c r="R26" s="6" t="s">
        <v>5</v>
      </c>
      <c r="S26" s="6" t="s">
        <v>5</v>
      </c>
      <c r="T26" s="6" t="s">
        <v>5</v>
      </c>
      <c r="U26" s="6" t="s">
        <v>5</v>
      </c>
      <c r="V26" s="6" t="s">
        <v>5</v>
      </c>
      <c r="W26" s="6" t="s">
        <v>3</v>
      </c>
      <c r="X26" s="6" t="s">
        <v>4</v>
      </c>
      <c r="Y26" s="6" t="s">
        <v>4</v>
      </c>
      <c r="Z26" s="6" t="s">
        <v>3</v>
      </c>
      <c r="AA26" s="6" t="s">
        <v>3</v>
      </c>
      <c r="AB26" s="6" t="s">
        <v>3</v>
      </c>
      <c r="AC26" s="6" t="s">
        <v>4</v>
      </c>
      <c r="AD26" s="6" t="s">
        <v>4</v>
      </c>
      <c r="AE26" s="6" t="s">
        <v>4</v>
      </c>
      <c r="AF26" s="6" t="s">
        <v>4</v>
      </c>
      <c r="AG26" s="6" t="s">
        <v>3</v>
      </c>
      <c r="AH26" s="6" t="s">
        <v>4</v>
      </c>
      <c r="AI26" s="6" t="s">
        <v>4</v>
      </c>
      <c r="AJ26" s="6" t="s">
        <v>3</v>
      </c>
      <c r="AK26" s="6" t="s">
        <v>4</v>
      </c>
      <c r="AL26" s="6" t="s">
        <v>4</v>
      </c>
      <c r="AM26" s="6" t="s">
        <v>3</v>
      </c>
      <c r="AS26" s="32" t="s">
        <v>283</v>
      </c>
      <c r="AT26" s="6" t="s">
        <v>292</v>
      </c>
      <c r="AU26" s="8">
        <v>13</v>
      </c>
      <c r="AV26" s="14" t="s">
        <v>502</v>
      </c>
      <c r="AW26" s="30">
        <f>AY9/AT6</f>
        <v>0.16666666666666666</v>
      </c>
      <c r="BG26" s="19"/>
      <c r="BI26" s="3"/>
    </row>
    <row r="27" spans="1:98">
      <c r="A27" s="6">
        <f t="shared" si="0"/>
        <v>26</v>
      </c>
      <c r="B27" s="6" t="s">
        <v>491</v>
      </c>
      <c r="C27" s="6">
        <v>2</v>
      </c>
      <c r="D27" s="6" t="s">
        <v>3</v>
      </c>
      <c r="E27" s="6" t="s">
        <v>3</v>
      </c>
      <c r="F27" s="6" t="s">
        <v>3</v>
      </c>
      <c r="G27" s="6" t="s">
        <v>2</v>
      </c>
      <c r="H27" s="6" t="s">
        <v>5</v>
      </c>
      <c r="I27" s="6" t="s">
        <v>5</v>
      </c>
      <c r="J27" s="6" t="s">
        <v>2</v>
      </c>
      <c r="K27" s="6" t="s">
        <v>2</v>
      </c>
      <c r="L27" s="6" t="s">
        <v>2</v>
      </c>
      <c r="M27" s="6" t="s">
        <v>4</v>
      </c>
      <c r="N27" s="6" t="s">
        <v>4</v>
      </c>
      <c r="O27" s="6" t="s">
        <v>4</v>
      </c>
      <c r="P27" s="6" t="s">
        <v>5</v>
      </c>
      <c r="Q27" s="6" t="s">
        <v>4</v>
      </c>
      <c r="R27" s="6" t="s">
        <v>5</v>
      </c>
      <c r="S27" s="6" t="s">
        <v>5</v>
      </c>
      <c r="T27" s="6" t="s">
        <v>5</v>
      </c>
      <c r="U27" s="6" t="s">
        <v>5</v>
      </c>
      <c r="V27" s="6" t="s">
        <v>5</v>
      </c>
      <c r="W27" s="6" t="s">
        <v>4</v>
      </c>
      <c r="X27" s="6" t="s">
        <v>3</v>
      </c>
      <c r="Y27" s="6" t="s">
        <v>2</v>
      </c>
      <c r="Z27" s="6" t="s">
        <v>3</v>
      </c>
      <c r="AA27" s="6" t="s">
        <v>4</v>
      </c>
      <c r="AB27" s="6" t="s">
        <v>4</v>
      </c>
      <c r="AC27" s="6" t="s">
        <v>4</v>
      </c>
      <c r="AD27" s="6" t="s">
        <v>4</v>
      </c>
      <c r="AE27" s="6" t="s">
        <v>4</v>
      </c>
      <c r="AF27" s="6" t="s">
        <v>4</v>
      </c>
      <c r="AG27" s="6" t="s">
        <v>4</v>
      </c>
      <c r="AH27" s="6" t="s">
        <v>4</v>
      </c>
      <c r="AI27" s="6" t="s">
        <v>3</v>
      </c>
      <c r="AJ27" s="6" t="s">
        <v>4</v>
      </c>
      <c r="AK27" s="6" t="s">
        <v>4</v>
      </c>
      <c r="AL27" s="6" t="s">
        <v>4</v>
      </c>
      <c r="AM27" s="6" t="s">
        <v>3</v>
      </c>
      <c r="AS27" s="32" t="s">
        <v>284</v>
      </c>
      <c r="AT27" s="6" t="s">
        <v>293</v>
      </c>
      <c r="AU27" s="32">
        <v>13</v>
      </c>
      <c r="AV27" s="14" t="s">
        <v>502</v>
      </c>
      <c r="AW27" s="30">
        <f>AZ9/AT6</f>
        <v>0.16666666666666666</v>
      </c>
      <c r="BG27" s="19"/>
    </row>
    <row r="28" spans="1:98">
      <c r="A28" s="6">
        <f t="shared" si="0"/>
        <v>27</v>
      </c>
      <c r="B28" s="6" t="s">
        <v>17</v>
      </c>
      <c r="C28" s="6">
        <v>3</v>
      </c>
      <c r="D28" s="6" t="s">
        <v>5</v>
      </c>
      <c r="E28" s="6" t="s">
        <v>3</v>
      </c>
      <c r="F28" s="6" t="s">
        <v>3</v>
      </c>
      <c r="G28" s="6" t="s">
        <v>5</v>
      </c>
      <c r="H28" s="6" t="s">
        <v>5</v>
      </c>
      <c r="I28" s="6" t="s">
        <v>5</v>
      </c>
      <c r="J28" s="6" t="s">
        <v>2</v>
      </c>
      <c r="K28" s="6" t="s">
        <v>2</v>
      </c>
      <c r="L28" s="6" t="s">
        <v>3</v>
      </c>
      <c r="M28" s="6" t="s">
        <v>3</v>
      </c>
      <c r="N28" s="6" t="s">
        <v>4</v>
      </c>
      <c r="O28" s="6" t="s">
        <v>5</v>
      </c>
      <c r="P28" s="6" t="s">
        <v>2</v>
      </c>
      <c r="Q28" s="6" t="s">
        <v>3</v>
      </c>
      <c r="R28" s="6" t="s">
        <v>2</v>
      </c>
      <c r="S28" s="6" t="s">
        <v>5</v>
      </c>
      <c r="T28" s="6" t="s">
        <v>5</v>
      </c>
      <c r="U28" s="6" t="s">
        <v>5</v>
      </c>
      <c r="V28" s="6" t="s">
        <v>5</v>
      </c>
      <c r="W28" s="6" t="s">
        <v>4</v>
      </c>
      <c r="X28" s="6" t="s">
        <v>3</v>
      </c>
      <c r="Y28" s="6" t="s">
        <v>3</v>
      </c>
      <c r="Z28" s="6" t="s">
        <v>3</v>
      </c>
      <c r="AA28" s="6" t="s">
        <v>4</v>
      </c>
      <c r="AB28" s="6" t="s">
        <v>4</v>
      </c>
      <c r="AC28" s="6" t="s">
        <v>4</v>
      </c>
      <c r="AD28" s="6" t="s">
        <v>4</v>
      </c>
      <c r="AE28" s="6" t="s">
        <v>4</v>
      </c>
      <c r="AF28" s="6" t="s">
        <v>4</v>
      </c>
      <c r="AG28" s="6" t="s">
        <v>3</v>
      </c>
      <c r="AH28" s="6" t="s">
        <v>4</v>
      </c>
      <c r="AI28" s="6" t="s">
        <v>3</v>
      </c>
      <c r="AJ28" s="6" t="s">
        <v>4</v>
      </c>
      <c r="AK28" s="6" t="s">
        <v>4</v>
      </c>
      <c r="AL28" s="6" t="s">
        <v>4</v>
      </c>
      <c r="AM28" s="6" t="s">
        <v>3</v>
      </c>
      <c r="AZ28"/>
      <c r="BG28" s="19"/>
      <c r="BI28" s="3"/>
    </row>
    <row r="29" spans="1:98">
      <c r="A29" s="6">
        <f t="shared" si="0"/>
        <v>28</v>
      </c>
      <c r="B29" s="6" t="s">
        <v>18</v>
      </c>
      <c r="C29" s="6">
        <v>3</v>
      </c>
      <c r="D29" s="6" t="s">
        <v>5</v>
      </c>
      <c r="E29" s="6" t="s">
        <v>4</v>
      </c>
      <c r="F29" s="6" t="s">
        <v>4</v>
      </c>
      <c r="G29" s="6" t="s">
        <v>3</v>
      </c>
      <c r="H29" s="6" t="s">
        <v>5</v>
      </c>
      <c r="I29" s="6" t="s">
        <v>5</v>
      </c>
      <c r="J29" s="6" t="s">
        <v>5</v>
      </c>
      <c r="K29" s="6" t="s">
        <v>2</v>
      </c>
      <c r="L29" s="6" t="s">
        <v>2</v>
      </c>
      <c r="M29" s="6" t="s">
        <v>3</v>
      </c>
      <c r="N29" s="6" t="s">
        <v>4</v>
      </c>
      <c r="O29" s="6" t="s">
        <v>2</v>
      </c>
      <c r="P29" s="6" t="s">
        <v>2</v>
      </c>
      <c r="Q29" s="6" t="s">
        <v>2</v>
      </c>
      <c r="R29" s="6" t="s">
        <v>5</v>
      </c>
      <c r="S29" s="6" t="s">
        <v>5</v>
      </c>
      <c r="T29" s="6" t="s">
        <v>3</v>
      </c>
      <c r="U29" s="6" t="s">
        <v>3</v>
      </c>
      <c r="V29" s="6" t="s">
        <v>2</v>
      </c>
      <c r="W29" s="6" t="s">
        <v>4</v>
      </c>
      <c r="X29" s="6" t="s">
        <v>5</v>
      </c>
      <c r="Y29" s="6" t="s">
        <v>3</v>
      </c>
      <c r="Z29" s="6" t="s">
        <v>3</v>
      </c>
      <c r="AA29" s="6" t="s">
        <v>3</v>
      </c>
      <c r="AB29" s="6" t="s">
        <v>3</v>
      </c>
      <c r="AC29" s="6" t="s">
        <v>4</v>
      </c>
      <c r="AD29" s="6" t="s">
        <v>4</v>
      </c>
      <c r="AE29" s="6" t="s">
        <v>4</v>
      </c>
      <c r="AF29" s="6" t="s">
        <v>4</v>
      </c>
      <c r="AG29" s="6" t="s">
        <v>3</v>
      </c>
      <c r="AH29" s="6" t="s">
        <v>4</v>
      </c>
      <c r="AI29" s="6" t="s">
        <v>4</v>
      </c>
      <c r="AJ29" s="6" t="s">
        <v>4</v>
      </c>
      <c r="AK29" s="6" t="s">
        <v>4</v>
      </c>
      <c r="AL29" s="6" t="s">
        <v>4</v>
      </c>
      <c r="AM29" s="6" t="s">
        <v>3</v>
      </c>
      <c r="AR29" s="5" t="s">
        <v>482</v>
      </c>
      <c r="AZ29"/>
      <c r="BG29" s="19"/>
    </row>
    <row r="30" spans="1:98">
      <c r="A30" s="6">
        <f t="shared" si="0"/>
        <v>29</v>
      </c>
      <c r="B30" s="6" t="s">
        <v>19</v>
      </c>
      <c r="C30" s="6">
        <v>3</v>
      </c>
      <c r="D30" s="6" t="s">
        <v>5</v>
      </c>
      <c r="E30" s="6" t="s">
        <v>5</v>
      </c>
      <c r="F30" s="6" t="s">
        <v>4</v>
      </c>
      <c r="G30" s="6" t="s">
        <v>5</v>
      </c>
      <c r="H30" s="6" t="s">
        <v>5</v>
      </c>
      <c r="I30" s="6" t="s">
        <v>2</v>
      </c>
      <c r="J30" s="6" t="s">
        <v>5</v>
      </c>
      <c r="K30" s="6" t="s">
        <v>2</v>
      </c>
      <c r="L30" s="6" t="s">
        <v>3</v>
      </c>
      <c r="M30" s="6" t="s">
        <v>4</v>
      </c>
      <c r="N30" s="6" t="s">
        <v>4</v>
      </c>
      <c r="O30" s="6" t="s">
        <v>2</v>
      </c>
      <c r="P30" s="6" t="s">
        <v>5</v>
      </c>
      <c r="Q30" s="6" t="s">
        <v>5</v>
      </c>
      <c r="R30" s="6" t="s">
        <v>5</v>
      </c>
      <c r="S30" s="6" t="s">
        <v>5</v>
      </c>
      <c r="T30" s="6" t="s">
        <v>5</v>
      </c>
      <c r="U30" s="6" t="s">
        <v>5</v>
      </c>
      <c r="V30" s="6" t="s">
        <v>4</v>
      </c>
      <c r="W30" s="6" t="s">
        <v>4</v>
      </c>
      <c r="X30" s="6" t="s">
        <v>4</v>
      </c>
      <c r="Y30" s="6" t="s">
        <v>5</v>
      </c>
      <c r="Z30" s="6" t="s">
        <v>3</v>
      </c>
      <c r="AA30" s="6" t="s">
        <v>4</v>
      </c>
      <c r="AB30" s="6" t="s">
        <v>4</v>
      </c>
      <c r="AC30" s="6" t="s">
        <v>4</v>
      </c>
      <c r="AD30" s="6" t="s">
        <v>4</v>
      </c>
      <c r="AE30" s="6" t="s">
        <v>4</v>
      </c>
      <c r="AF30" s="6" t="s">
        <v>4</v>
      </c>
      <c r="AG30" s="6" t="s">
        <v>3</v>
      </c>
      <c r="AH30" s="6" t="s">
        <v>4</v>
      </c>
      <c r="AI30" s="6" t="s">
        <v>3</v>
      </c>
      <c r="AJ30" s="6" t="s">
        <v>4</v>
      </c>
      <c r="AK30" s="6" t="s">
        <v>4</v>
      </c>
      <c r="AL30" s="6" t="s">
        <v>4</v>
      </c>
      <c r="AM30" s="6" t="s">
        <v>3</v>
      </c>
      <c r="AS30" s="7" t="s">
        <v>232</v>
      </c>
      <c r="AT30" s="7">
        <v>1</v>
      </c>
      <c r="AU30" s="7">
        <v>2</v>
      </c>
      <c r="AV30" s="7">
        <v>3</v>
      </c>
      <c r="AW30" s="7">
        <v>4</v>
      </c>
      <c r="AX30" s="7">
        <v>5</v>
      </c>
      <c r="AY30" s="7">
        <v>6</v>
      </c>
      <c r="AZ30"/>
      <c r="BA30"/>
      <c r="BB30"/>
      <c r="BC30"/>
      <c r="BD30"/>
      <c r="BE30"/>
      <c r="BF30"/>
    </row>
    <row r="31" spans="1:98">
      <c r="A31" s="6">
        <f t="shared" si="0"/>
        <v>30</v>
      </c>
      <c r="B31" s="6" t="s">
        <v>20</v>
      </c>
      <c r="C31" s="6">
        <v>3</v>
      </c>
      <c r="D31" s="6" t="s">
        <v>2</v>
      </c>
      <c r="E31" s="6" t="s">
        <v>3</v>
      </c>
      <c r="F31" s="6" t="s">
        <v>3</v>
      </c>
      <c r="G31" s="6" t="s">
        <v>2</v>
      </c>
      <c r="H31" s="6" t="s">
        <v>5</v>
      </c>
      <c r="I31" s="6" t="s">
        <v>2</v>
      </c>
      <c r="J31" s="6" t="s">
        <v>5</v>
      </c>
      <c r="K31" s="6" t="s">
        <v>2</v>
      </c>
      <c r="L31" s="6" t="s">
        <v>3</v>
      </c>
      <c r="M31" s="6" t="s">
        <v>4</v>
      </c>
      <c r="N31" s="6" t="s">
        <v>4</v>
      </c>
      <c r="O31" s="6" t="s">
        <v>5</v>
      </c>
      <c r="P31" s="6" t="s">
        <v>5</v>
      </c>
      <c r="Q31" s="6" t="s">
        <v>4</v>
      </c>
      <c r="R31" s="6" t="s">
        <v>5</v>
      </c>
      <c r="S31" s="6" t="s">
        <v>5</v>
      </c>
      <c r="T31" s="6" t="s">
        <v>5</v>
      </c>
      <c r="U31" s="6" t="s">
        <v>5</v>
      </c>
      <c r="V31" s="6" t="s">
        <v>5</v>
      </c>
      <c r="W31" s="6" t="s">
        <v>4</v>
      </c>
      <c r="X31" s="6" t="s">
        <v>4</v>
      </c>
      <c r="Y31" s="6" t="s">
        <v>4</v>
      </c>
      <c r="Z31" s="6" t="s">
        <v>4</v>
      </c>
      <c r="AA31" s="6" t="s">
        <v>4</v>
      </c>
      <c r="AB31" s="6" t="s">
        <v>4</v>
      </c>
      <c r="AC31" s="6" t="s">
        <v>4</v>
      </c>
      <c r="AD31" s="6" t="s">
        <v>4</v>
      </c>
      <c r="AE31" s="6" t="s">
        <v>4</v>
      </c>
      <c r="AF31" s="6" t="s">
        <v>4</v>
      </c>
      <c r="AG31" s="6" t="s">
        <v>4</v>
      </c>
      <c r="AH31" s="6" t="s">
        <v>4</v>
      </c>
      <c r="AI31" s="6" t="s">
        <v>3</v>
      </c>
      <c r="AJ31" s="6" t="s">
        <v>4</v>
      </c>
      <c r="AK31" s="6" t="s">
        <v>4</v>
      </c>
      <c r="AL31" s="6" t="s">
        <v>3</v>
      </c>
      <c r="AM31" s="6" t="s">
        <v>4</v>
      </c>
      <c r="AS31" s="6" t="s">
        <v>65</v>
      </c>
      <c r="AT31" s="6">
        <f>COUNTIFS(D:D,"A",C:C,1)/COUNTIF(C:C,1)</f>
        <v>7.6923076923076927E-2</v>
      </c>
      <c r="AU31" s="6">
        <f>COUNTIFS(D:D,"A",C:C,2)/COUNTIF(C:C,2)</f>
        <v>0.15384615384615385</v>
      </c>
      <c r="AV31" s="6">
        <f>COUNTIFS(D:D,"A",C:C,3)/COUNTIF(C:C,3)</f>
        <v>7.6923076923076927E-2</v>
      </c>
      <c r="AW31" s="6">
        <f>COUNTIFS(D:D,"A",C:C,4)/COUNTIF(C:C,4)</f>
        <v>0</v>
      </c>
      <c r="AX31" s="6">
        <f>COUNTIFS(D:D,"A",C:C,5)/COUNTIF(C:C,5)</f>
        <v>7.6923076923076927E-2</v>
      </c>
      <c r="AY31" s="6">
        <f>COUNTIFS(D:D,"A",C:C,6)/COUNTIF(C:C,6)</f>
        <v>7.6923076923076927E-2</v>
      </c>
      <c r="AZ31"/>
      <c r="BA31"/>
      <c r="BB31"/>
      <c r="BC31"/>
      <c r="BD31"/>
      <c r="BE31"/>
      <c r="BF31"/>
    </row>
    <row r="32" spans="1:98">
      <c r="A32" s="6">
        <f t="shared" si="0"/>
        <v>31</v>
      </c>
      <c r="B32" s="6" t="s">
        <v>21</v>
      </c>
      <c r="C32" s="6">
        <v>3</v>
      </c>
      <c r="D32" s="6" t="s">
        <v>2</v>
      </c>
      <c r="E32" s="6" t="s">
        <v>5</v>
      </c>
      <c r="F32" s="6" t="s">
        <v>3</v>
      </c>
      <c r="G32" s="6" t="s">
        <v>5</v>
      </c>
      <c r="H32" s="6" t="s">
        <v>5</v>
      </c>
      <c r="I32" s="6" t="s">
        <v>5</v>
      </c>
      <c r="J32" s="6" t="s">
        <v>5</v>
      </c>
      <c r="K32" s="6" t="s">
        <v>2</v>
      </c>
      <c r="L32" s="6" t="s">
        <v>2</v>
      </c>
      <c r="M32" s="6" t="s">
        <v>3</v>
      </c>
      <c r="N32" s="6" t="s">
        <v>4</v>
      </c>
      <c r="O32" s="6" t="s">
        <v>2</v>
      </c>
      <c r="P32" s="6" t="s">
        <v>5</v>
      </c>
      <c r="Q32" s="6" t="s">
        <v>3</v>
      </c>
      <c r="R32" s="6" t="s">
        <v>3</v>
      </c>
      <c r="S32" s="6" t="s">
        <v>5</v>
      </c>
      <c r="T32" s="6" t="s">
        <v>5</v>
      </c>
      <c r="U32" s="6" t="s">
        <v>5</v>
      </c>
      <c r="V32" s="6" t="s">
        <v>5</v>
      </c>
      <c r="W32" s="6" t="s">
        <v>4</v>
      </c>
      <c r="X32" s="6" t="s">
        <v>2</v>
      </c>
      <c r="Y32" s="6" t="s">
        <v>2</v>
      </c>
      <c r="Z32" s="6" t="s">
        <v>3</v>
      </c>
      <c r="AA32" s="6" t="s">
        <v>4</v>
      </c>
      <c r="AB32" s="6" t="s">
        <v>4</v>
      </c>
      <c r="AC32" s="6" t="s">
        <v>4</v>
      </c>
      <c r="AD32" s="6" t="s">
        <v>4</v>
      </c>
      <c r="AE32" s="6" t="s">
        <v>4</v>
      </c>
      <c r="AF32" s="6" t="s">
        <v>4</v>
      </c>
      <c r="AG32" s="6" t="s">
        <v>3</v>
      </c>
      <c r="AH32" s="6" t="s">
        <v>4</v>
      </c>
      <c r="AI32" s="6" t="s">
        <v>3</v>
      </c>
      <c r="AJ32" s="6" t="s">
        <v>4</v>
      </c>
      <c r="AK32" s="6" t="s">
        <v>4</v>
      </c>
      <c r="AL32" s="6" t="s">
        <v>4</v>
      </c>
      <c r="AM32" s="6" t="s">
        <v>3</v>
      </c>
      <c r="AS32" s="6" t="s">
        <v>66</v>
      </c>
      <c r="AT32" s="6">
        <f>COUNTIFS(D:D,"B",C:C,1)/COUNTIF(C:C,1)</f>
        <v>0.15384615384615385</v>
      </c>
      <c r="AU32" s="6">
        <f>COUNTIFS(D:D,"B",C:C,2)/COUNTIF(C:C,2)</f>
        <v>0.15384615384615385</v>
      </c>
      <c r="AV32" s="6">
        <f>COUNTIFS(D:D,"B",C:C,3)/COUNTIF(C:C,3)</f>
        <v>0</v>
      </c>
      <c r="AW32" s="6">
        <f>COUNTIFS(D:D,"B",C:C,4)/COUNTIF(C:C,4)</f>
        <v>0.23076923076923078</v>
      </c>
      <c r="AX32" s="6">
        <f>COUNTIFS(D:D,"B",C:C,5)/COUNTIF(C:C,5)</f>
        <v>0</v>
      </c>
      <c r="AY32" s="6">
        <f>COUNTIFS(D:D,"B",C:C,6)/COUNTIF(C:C,6)</f>
        <v>0</v>
      </c>
      <c r="AZ32"/>
      <c r="BA32"/>
      <c r="BB32"/>
      <c r="BC32"/>
      <c r="BD32"/>
      <c r="BE32"/>
      <c r="BF32"/>
    </row>
    <row r="33" spans="1:98">
      <c r="A33" s="6">
        <f t="shared" si="0"/>
        <v>32</v>
      </c>
      <c r="B33" s="6" t="s">
        <v>22</v>
      </c>
      <c r="C33" s="6">
        <v>3</v>
      </c>
      <c r="D33" s="6" t="s">
        <v>4</v>
      </c>
      <c r="E33" s="6" t="s">
        <v>5</v>
      </c>
      <c r="F33" s="6" t="s">
        <v>3</v>
      </c>
      <c r="G33" s="6" t="s">
        <v>5</v>
      </c>
      <c r="H33" s="6" t="s">
        <v>5</v>
      </c>
      <c r="I33" s="6" t="s">
        <v>5</v>
      </c>
      <c r="J33" s="6" t="s">
        <v>5</v>
      </c>
      <c r="K33" s="6" t="s">
        <v>2</v>
      </c>
      <c r="L33" s="6" t="s">
        <v>3</v>
      </c>
      <c r="M33" s="6" t="s">
        <v>2</v>
      </c>
      <c r="N33" s="6" t="s">
        <v>2</v>
      </c>
      <c r="O33" s="6" t="s">
        <v>5</v>
      </c>
      <c r="P33" s="6" t="s">
        <v>3</v>
      </c>
      <c r="Q33" s="6" t="s">
        <v>3</v>
      </c>
      <c r="R33" s="6" t="s">
        <v>2</v>
      </c>
      <c r="S33" s="6" t="s">
        <v>5</v>
      </c>
      <c r="T33" s="6" t="s">
        <v>2</v>
      </c>
      <c r="U33" s="6" t="s">
        <v>2</v>
      </c>
      <c r="V33" s="6" t="s">
        <v>5</v>
      </c>
      <c r="W33" s="6" t="s">
        <v>4</v>
      </c>
      <c r="X33" s="6" t="s">
        <v>3</v>
      </c>
      <c r="Y33" s="6" t="s">
        <v>2</v>
      </c>
      <c r="Z33" s="6" t="s">
        <v>3</v>
      </c>
      <c r="AA33" s="6" t="s">
        <v>4</v>
      </c>
      <c r="AB33" s="6" t="s">
        <v>4</v>
      </c>
      <c r="AC33" s="6" t="s">
        <v>4</v>
      </c>
      <c r="AD33" s="6" t="s">
        <v>4</v>
      </c>
      <c r="AE33" s="6" t="s">
        <v>4</v>
      </c>
      <c r="AF33" s="6" t="s">
        <v>4</v>
      </c>
      <c r="AG33" s="6" t="s">
        <v>3</v>
      </c>
      <c r="AH33" s="6" t="s">
        <v>4</v>
      </c>
      <c r="AI33" s="6" t="s">
        <v>3</v>
      </c>
      <c r="AJ33" s="6" t="s">
        <v>4</v>
      </c>
      <c r="AK33" s="6" t="s">
        <v>4</v>
      </c>
      <c r="AL33" s="6" t="s">
        <v>3</v>
      </c>
      <c r="AM33" s="6" t="s">
        <v>3</v>
      </c>
      <c r="AS33" s="6" t="s">
        <v>67</v>
      </c>
      <c r="AT33" s="6">
        <f>COUNTIFS(D:D,"C",C:C,1)/COUNTIF(C:C,1)</f>
        <v>0.38461538461538464</v>
      </c>
      <c r="AU33" s="6">
        <f>COUNTIFS(D:D,"C",C:C,2)/COUNTIF(C:C,2)</f>
        <v>7.6923076923076927E-2</v>
      </c>
      <c r="AV33" s="6">
        <f>COUNTIFS(D:D,"C",C:C,3)/COUNTIF(C:C,3)</f>
        <v>0.30769230769230771</v>
      </c>
      <c r="AW33" s="6">
        <f>COUNTIFS(D:D,"C",C:C,4)/COUNTIF(C:C,4)</f>
        <v>7.6923076923076927E-2</v>
      </c>
      <c r="AX33" s="6">
        <f>COUNTIFS(D:D,"C",C:C,5)/COUNTIF(C:C,5)</f>
        <v>0.15384615384615385</v>
      </c>
      <c r="AY33" s="6">
        <f>COUNTIFS(D:D,"C",C:C,6)/COUNTIF(C:C,6)</f>
        <v>0</v>
      </c>
      <c r="AZ33"/>
      <c r="BA33"/>
      <c r="BB33"/>
      <c r="BC33"/>
      <c r="BD33"/>
      <c r="BE33"/>
      <c r="BF33"/>
      <c r="BI33" s="75"/>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row>
    <row r="34" spans="1:98">
      <c r="A34" s="6">
        <f t="shared" si="0"/>
        <v>33</v>
      </c>
      <c r="B34" s="6" t="s">
        <v>263</v>
      </c>
      <c r="C34" s="6">
        <v>3</v>
      </c>
      <c r="D34" s="6" t="s">
        <v>2</v>
      </c>
      <c r="E34" s="6" t="s">
        <v>5</v>
      </c>
      <c r="F34" s="6" t="s">
        <v>3</v>
      </c>
      <c r="G34" s="6" t="s">
        <v>5</v>
      </c>
      <c r="H34" s="6" t="s">
        <v>5</v>
      </c>
      <c r="I34" s="6" t="s">
        <v>5</v>
      </c>
      <c r="J34" s="6" t="s">
        <v>5</v>
      </c>
      <c r="K34" s="6" t="s">
        <v>2</v>
      </c>
      <c r="L34" s="6" t="s">
        <v>2</v>
      </c>
      <c r="M34" s="6" t="s">
        <v>2</v>
      </c>
      <c r="N34" s="6" t="s">
        <v>3</v>
      </c>
      <c r="O34" s="6" t="s">
        <v>5</v>
      </c>
      <c r="P34" s="6" t="s">
        <v>5</v>
      </c>
      <c r="Q34" s="6" t="s">
        <v>3</v>
      </c>
      <c r="R34" s="6" t="s">
        <v>2</v>
      </c>
      <c r="S34" s="6" t="s">
        <v>2</v>
      </c>
      <c r="T34" s="6" t="s">
        <v>5</v>
      </c>
      <c r="U34" s="6" t="s">
        <v>5</v>
      </c>
      <c r="V34" s="6" t="s">
        <v>2</v>
      </c>
      <c r="W34" s="6" t="s">
        <v>4</v>
      </c>
      <c r="X34" s="6" t="s">
        <v>2</v>
      </c>
      <c r="Y34" s="6" t="s">
        <v>2</v>
      </c>
      <c r="Z34" s="6" t="s">
        <v>3</v>
      </c>
      <c r="AA34" s="6" t="s">
        <v>4</v>
      </c>
      <c r="AB34" s="6" t="s">
        <v>4</v>
      </c>
      <c r="AC34" s="6" t="s">
        <v>4</v>
      </c>
      <c r="AD34" s="6" t="s">
        <v>4</v>
      </c>
      <c r="AE34" s="6" t="s">
        <v>4</v>
      </c>
      <c r="AF34" s="6" t="s">
        <v>4</v>
      </c>
      <c r="AG34" s="6" t="s">
        <v>3</v>
      </c>
      <c r="AH34" s="6" t="s">
        <v>4</v>
      </c>
      <c r="AI34" s="6" t="s">
        <v>3</v>
      </c>
      <c r="AJ34" s="6" t="s">
        <v>4</v>
      </c>
      <c r="AK34" s="6" t="s">
        <v>4</v>
      </c>
      <c r="AL34" s="6" t="s">
        <v>4</v>
      </c>
      <c r="AM34" s="6" t="s">
        <v>3</v>
      </c>
      <c r="AS34" s="6" t="s">
        <v>68</v>
      </c>
      <c r="AT34" s="6">
        <f>COUNTIFS(D:D,"D",C:C,1)/COUNTIF(C:C,1)</f>
        <v>0.38461538461538464</v>
      </c>
      <c r="AU34" s="6">
        <f>COUNTIFS(D:D,"D",C:C,2)/COUNTIF(C:C,2)</f>
        <v>0.61538461538461542</v>
      </c>
      <c r="AV34" s="6">
        <f>COUNTIFS(D:D,"D",C:C,3)/COUNTIF(C:C,3)</f>
        <v>0.61538461538461542</v>
      </c>
      <c r="AW34" s="6">
        <f>COUNTIFS(D:D,"D",C:C,4)/COUNTIF(C:C,4)</f>
        <v>0.69230769230769229</v>
      </c>
      <c r="AX34" s="6">
        <f>COUNTIFS(D:D,"D",C:C,5)/COUNTIF(C:C,5)</f>
        <v>0.76923076923076927</v>
      </c>
      <c r="AY34" s="6">
        <f>COUNTIFS(D:D,"D",C:C,6)/COUNTIF(C:C,6)</f>
        <v>0.92307692307692313</v>
      </c>
      <c r="AZ34"/>
      <c r="BA34"/>
      <c r="BB34"/>
      <c r="BC34"/>
      <c r="BD34"/>
      <c r="BE34"/>
      <c r="BF34"/>
      <c r="BI34" s="75"/>
    </row>
    <row r="35" spans="1:98">
      <c r="A35" s="6">
        <f t="shared" si="0"/>
        <v>34</v>
      </c>
      <c r="B35" s="6" t="s">
        <v>264</v>
      </c>
      <c r="C35" s="6">
        <v>3</v>
      </c>
      <c r="D35" s="6" t="s">
        <v>5</v>
      </c>
      <c r="E35" s="6" t="s">
        <v>3</v>
      </c>
      <c r="F35" s="6" t="s">
        <v>3</v>
      </c>
      <c r="G35" s="6" t="s">
        <v>5</v>
      </c>
      <c r="H35" s="6" t="s">
        <v>5</v>
      </c>
      <c r="I35" s="6" t="s">
        <v>5</v>
      </c>
      <c r="J35" s="6" t="s">
        <v>5</v>
      </c>
      <c r="K35" s="6" t="s">
        <v>2</v>
      </c>
      <c r="L35" s="6" t="s">
        <v>2</v>
      </c>
      <c r="M35" s="6" t="s">
        <v>3</v>
      </c>
      <c r="N35" s="6" t="s">
        <v>3</v>
      </c>
      <c r="O35" s="6" t="s">
        <v>2</v>
      </c>
      <c r="P35" s="6" t="s">
        <v>5</v>
      </c>
      <c r="Q35" s="6" t="s">
        <v>3</v>
      </c>
      <c r="R35" s="6" t="s">
        <v>3</v>
      </c>
      <c r="S35" s="6" t="s">
        <v>2</v>
      </c>
      <c r="T35" s="6" t="s">
        <v>5</v>
      </c>
      <c r="U35" s="6" t="s">
        <v>5</v>
      </c>
      <c r="V35" s="6" t="s">
        <v>5</v>
      </c>
      <c r="W35" s="6" t="s">
        <v>4</v>
      </c>
      <c r="X35" s="6" t="s">
        <v>3</v>
      </c>
      <c r="Y35" s="6" t="s">
        <v>2</v>
      </c>
      <c r="Z35" s="6" t="s">
        <v>3</v>
      </c>
      <c r="AA35" s="6" t="s">
        <v>4</v>
      </c>
      <c r="AB35" s="6" t="s">
        <v>4</v>
      </c>
      <c r="AC35" s="6" t="s">
        <v>4</v>
      </c>
      <c r="AD35" s="6" t="s">
        <v>4</v>
      </c>
      <c r="AE35" s="6" t="s">
        <v>4</v>
      </c>
      <c r="AF35" s="6" t="s">
        <v>4</v>
      </c>
      <c r="AG35" s="6" t="s">
        <v>3</v>
      </c>
      <c r="AH35" s="6" t="s">
        <v>4</v>
      </c>
      <c r="AI35" s="6" t="s">
        <v>4</v>
      </c>
      <c r="AJ35" s="6" t="s">
        <v>4</v>
      </c>
      <c r="AK35" s="6" t="s">
        <v>4</v>
      </c>
      <c r="AL35" s="6" t="s">
        <v>3</v>
      </c>
      <c r="AM35" s="6" t="s">
        <v>3</v>
      </c>
      <c r="AT35">
        <f>SUM(AT31:AT34)</f>
        <v>1</v>
      </c>
      <c r="AU35">
        <f>SUM(AU31:AU34)</f>
        <v>1</v>
      </c>
      <c r="AV35">
        <f>SUM(AV31:AV34)</f>
        <v>1</v>
      </c>
      <c r="AZ35"/>
      <c r="BA35" s="34"/>
      <c r="BB35" s="34"/>
      <c r="BC35" s="34"/>
      <c r="BD35" s="34"/>
      <c r="BE35" s="34"/>
      <c r="BF35" s="34"/>
      <c r="BG35" s="34"/>
    </row>
    <row r="36" spans="1:98">
      <c r="A36" s="6">
        <f t="shared" si="0"/>
        <v>35</v>
      </c>
      <c r="B36" s="6" t="s">
        <v>265</v>
      </c>
      <c r="C36" s="6">
        <v>3</v>
      </c>
      <c r="D36" s="6" t="s">
        <v>5</v>
      </c>
      <c r="E36" s="6" t="s">
        <v>3</v>
      </c>
      <c r="F36" s="6" t="s">
        <v>3</v>
      </c>
      <c r="G36" s="6" t="s">
        <v>2</v>
      </c>
      <c r="H36" s="6" t="s">
        <v>5</v>
      </c>
      <c r="I36" s="6" t="s">
        <v>5</v>
      </c>
      <c r="J36" s="6" t="s">
        <v>5</v>
      </c>
      <c r="K36" s="6" t="s">
        <v>2</v>
      </c>
      <c r="L36" s="6" t="s">
        <v>3</v>
      </c>
      <c r="M36" s="6" t="s">
        <v>3</v>
      </c>
      <c r="N36" s="6" t="s">
        <v>3</v>
      </c>
      <c r="O36" s="6" t="s">
        <v>2</v>
      </c>
      <c r="P36" s="6" t="s">
        <v>5</v>
      </c>
      <c r="Q36" s="6" t="s">
        <v>3</v>
      </c>
      <c r="R36" s="6" t="s">
        <v>3</v>
      </c>
      <c r="S36" s="6" t="s">
        <v>5</v>
      </c>
      <c r="T36" s="6" t="s">
        <v>5</v>
      </c>
      <c r="U36" s="6" t="s">
        <v>5</v>
      </c>
      <c r="V36" s="6" t="s">
        <v>5</v>
      </c>
      <c r="W36" s="6" t="s">
        <v>4</v>
      </c>
      <c r="X36" s="6" t="s">
        <v>3</v>
      </c>
      <c r="Y36" s="6" t="s">
        <v>2</v>
      </c>
      <c r="Z36" s="6" t="s">
        <v>3</v>
      </c>
      <c r="AA36" s="6" t="s">
        <v>4</v>
      </c>
      <c r="AB36" s="6" t="s">
        <v>4</v>
      </c>
      <c r="AC36" s="6" t="s">
        <v>4</v>
      </c>
      <c r="AD36" s="6" t="s">
        <v>4</v>
      </c>
      <c r="AE36" s="6" t="s">
        <v>4</v>
      </c>
      <c r="AF36" s="6" t="s">
        <v>4</v>
      </c>
      <c r="AG36" s="6" t="s">
        <v>3</v>
      </c>
      <c r="AH36" s="6" t="s">
        <v>4</v>
      </c>
      <c r="AI36" s="6" t="s">
        <v>3</v>
      </c>
      <c r="AJ36" s="6" t="s">
        <v>4</v>
      </c>
      <c r="AK36" s="6" t="s">
        <v>4</v>
      </c>
      <c r="AL36" s="6" t="s">
        <v>3</v>
      </c>
      <c r="AM36" s="6" t="s">
        <v>3</v>
      </c>
      <c r="AS36" s="7" t="s">
        <v>233</v>
      </c>
      <c r="AT36" s="7">
        <v>1</v>
      </c>
      <c r="AU36" s="7">
        <v>2</v>
      </c>
      <c r="AV36" s="7">
        <v>3</v>
      </c>
      <c r="AW36" s="7">
        <v>4</v>
      </c>
      <c r="AX36" s="7">
        <v>5</v>
      </c>
      <c r="AY36" s="7">
        <v>6</v>
      </c>
      <c r="AZ36"/>
      <c r="BA36" s="34"/>
      <c r="BB36" s="34"/>
      <c r="BC36" s="34"/>
      <c r="BD36" s="34"/>
      <c r="BE36" s="34"/>
      <c r="BF36" s="34"/>
      <c r="BG36" s="34"/>
      <c r="BI36" s="3"/>
    </row>
    <row r="37" spans="1:98">
      <c r="A37" s="6">
        <f t="shared" si="0"/>
        <v>36</v>
      </c>
      <c r="B37" s="6" t="s">
        <v>266</v>
      </c>
      <c r="C37" s="6">
        <v>3</v>
      </c>
      <c r="D37" s="6" t="s">
        <v>5</v>
      </c>
      <c r="E37" s="6" t="s">
        <v>3</v>
      </c>
      <c r="F37" s="6" t="s">
        <v>3</v>
      </c>
      <c r="G37" s="6" t="s">
        <v>5</v>
      </c>
      <c r="H37" s="6" t="s">
        <v>5</v>
      </c>
      <c r="I37" s="6" t="s">
        <v>5</v>
      </c>
      <c r="J37" s="6" t="s">
        <v>2</v>
      </c>
      <c r="K37" s="6" t="s">
        <v>2</v>
      </c>
      <c r="L37" s="6" t="s">
        <v>3</v>
      </c>
      <c r="M37" s="6" t="s">
        <v>4</v>
      </c>
      <c r="N37" s="6" t="s">
        <v>4</v>
      </c>
      <c r="O37" s="6" t="s">
        <v>5</v>
      </c>
      <c r="P37" s="6" t="s">
        <v>2</v>
      </c>
      <c r="Q37" s="6" t="s">
        <v>3</v>
      </c>
      <c r="R37" s="6" t="s">
        <v>2</v>
      </c>
      <c r="S37" s="6" t="s">
        <v>5</v>
      </c>
      <c r="T37" s="6" t="s">
        <v>5</v>
      </c>
      <c r="U37" s="6" t="s">
        <v>5</v>
      </c>
      <c r="V37" s="6" t="s">
        <v>5</v>
      </c>
      <c r="W37" s="6" t="s">
        <v>4</v>
      </c>
      <c r="X37" s="6" t="s">
        <v>3</v>
      </c>
      <c r="Y37" s="6" t="s">
        <v>3</v>
      </c>
      <c r="Z37" s="6" t="s">
        <v>3</v>
      </c>
      <c r="AA37" s="6" t="s">
        <v>4</v>
      </c>
      <c r="AB37" s="6" t="s">
        <v>4</v>
      </c>
      <c r="AC37" s="6" t="s">
        <v>4</v>
      </c>
      <c r="AD37" s="6" t="s">
        <v>4</v>
      </c>
      <c r="AE37" s="6" t="s">
        <v>4</v>
      </c>
      <c r="AF37" s="6" t="s">
        <v>4</v>
      </c>
      <c r="AG37" s="6" t="s">
        <v>3</v>
      </c>
      <c r="AH37" s="6" t="s">
        <v>4</v>
      </c>
      <c r="AI37" s="6" t="s">
        <v>4</v>
      </c>
      <c r="AJ37" s="6" t="s">
        <v>4</v>
      </c>
      <c r="AK37" s="6" t="s">
        <v>4</v>
      </c>
      <c r="AL37" s="6" t="s">
        <v>4</v>
      </c>
      <c r="AM37" s="6" t="s">
        <v>3</v>
      </c>
      <c r="AS37" s="6" t="s">
        <v>69</v>
      </c>
      <c r="AT37" s="6">
        <f>COUNTIFS(E:E,"A",C:C,1)/COUNTIF(C:C,1)</f>
        <v>0</v>
      </c>
      <c r="AU37" s="6">
        <f>COUNTIFS(E:E,"A",C:C,2)/COUNTIF(C:C,2)</f>
        <v>0</v>
      </c>
      <c r="AV37" s="6">
        <f>COUNTIFS(E:E,"A",C:C,3)/COUNTIF(C:C,3)</f>
        <v>7.6923076923076927E-2</v>
      </c>
      <c r="AW37" s="6">
        <f>COUNTIFS(E:E,"A",C:C,4)/COUNTIF(C:C,4)</f>
        <v>0</v>
      </c>
      <c r="AX37" s="6">
        <f>COUNTIFS(E:E,"A",C:C,5)/COUNTIF(C:C,5)</f>
        <v>0</v>
      </c>
      <c r="AY37" s="6">
        <f>COUNTIFS(E:E,"A",C:C,6)/COUNTIF(C:C,6)</f>
        <v>0</v>
      </c>
      <c r="AZ37"/>
      <c r="BA37" s="33"/>
      <c r="BB37" s="33"/>
      <c r="BC37" s="33"/>
      <c r="BD37" s="33"/>
      <c r="BE37" s="33"/>
      <c r="BF37" s="33"/>
      <c r="BG37" s="33"/>
    </row>
    <row r="38" spans="1:98">
      <c r="A38" s="6">
        <f t="shared" si="0"/>
        <v>37</v>
      </c>
      <c r="B38" s="6" t="s">
        <v>465</v>
      </c>
      <c r="C38" s="6">
        <v>3</v>
      </c>
      <c r="D38" s="6" t="s">
        <v>5</v>
      </c>
      <c r="E38" s="6" t="s">
        <v>5</v>
      </c>
      <c r="F38" s="6" t="s">
        <v>5</v>
      </c>
      <c r="G38" s="6" t="s">
        <v>5</v>
      </c>
      <c r="H38" s="6" t="s">
        <v>5</v>
      </c>
      <c r="I38" s="6" t="s">
        <v>5</v>
      </c>
      <c r="J38" s="6" t="s">
        <v>5</v>
      </c>
      <c r="K38" s="6" t="s">
        <v>2</v>
      </c>
      <c r="L38" s="6" t="s">
        <v>2</v>
      </c>
      <c r="M38" s="6" t="s">
        <v>2</v>
      </c>
      <c r="N38" s="6" t="s">
        <v>5</v>
      </c>
      <c r="O38" s="6" t="s">
        <v>2</v>
      </c>
      <c r="P38" s="6" t="s">
        <v>2</v>
      </c>
      <c r="Q38" s="6" t="s">
        <v>2</v>
      </c>
      <c r="R38" s="6" t="s">
        <v>2</v>
      </c>
      <c r="S38" s="6" t="s">
        <v>5</v>
      </c>
      <c r="T38" s="6" t="s">
        <v>5</v>
      </c>
      <c r="U38" s="6" t="s">
        <v>5</v>
      </c>
      <c r="V38" s="6" t="s">
        <v>5</v>
      </c>
      <c r="W38" s="6" t="s">
        <v>3</v>
      </c>
      <c r="X38" s="6" t="s">
        <v>4</v>
      </c>
      <c r="Y38" s="6" t="s">
        <v>4</v>
      </c>
      <c r="Z38" s="6" t="s">
        <v>3</v>
      </c>
      <c r="AA38" s="6" t="s">
        <v>4</v>
      </c>
      <c r="AB38" s="6" t="s">
        <v>3</v>
      </c>
      <c r="AC38" s="6" t="s">
        <v>4</v>
      </c>
      <c r="AD38" s="6" t="s">
        <v>4</v>
      </c>
      <c r="AE38" s="6" t="s">
        <v>4</v>
      </c>
      <c r="AF38" s="6" t="s">
        <v>4</v>
      </c>
      <c r="AG38" s="6" t="s">
        <v>4</v>
      </c>
      <c r="AH38" s="6" t="s">
        <v>4</v>
      </c>
      <c r="AI38" s="6" t="s">
        <v>3</v>
      </c>
      <c r="AJ38" s="6" t="s">
        <v>4</v>
      </c>
      <c r="AK38" s="6" t="s">
        <v>4</v>
      </c>
      <c r="AL38" s="6" t="s">
        <v>4</v>
      </c>
      <c r="AM38" s="6" t="s">
        <v>3</v>
      </c>
      <c r="AS38" s="6" t="s">
        <v>70</v>
      </c>
      <c r="AT38" s="6">
        <f>COUNTIFS(E:E,"B",C:C,1)/COUNTIF(C:C,1)</f>
        <v>0.84615384615384615</v>
      </c>
      <c r="AU38" s="6">
        <f>COUNTIFS(E:E,"B",C:C,2)/COUNTIF(C:C,2)</f>
        <v>0.30769230769230771</v>
      </c>
      <c r="AV38" s="6">
        <f>COUNTIFS(E:E,"B",C:C,3)/COUNTIF(C:C,3)</f>
        <v>0.46153846153846156</v>
      </c>
      <c r="AW38" s="6">
        <f>COUNTIFS(E:E,"B",C:C,4)/COUNTIF(C:C,4)</f>
        <v>0.69230769230769229</v>
      </c>
      <c r="AX38" s="6">
        <f>COUNTIFS(E:E,"B",C:C,5)/COUNTIF(C:C,5)</f>
        <v>0.46153846153846156</v>
      </c>
      <c r="AY38" s="6">
        <f>COUNTIFS(E:E,"B",C:C,6)/COUNTIF(C:C,6)</f>
        <v>0.38461538461538464</v>
      </c>
      <c r="AZ38"/>
      <c r="BA38" s="31"/>
      <c r="BB38" s="31"/>
      <c r="BC38" s="31"/>
      <c r="BD38" s="31"/>
      <c r="BE38" s="31"/>
      <c r="BF38" s="31"/>
      <c r="BG38" s="31"/>
      <c r="BI38" s="3"/>
    </row>
    <row r="39" spans="1:98">
      <c r="A39" s="6">
        <f t="shared" si="0"/>
        <v>38</v>
      </c>
      <c r="B39" s="6" t="s">
        <v>466</v>
      </c>
      <c r="C39" s="6">
        <v>3</v>
      </c>
      <c r="D39" s="6" t="s">
        <v>5</v>
      </c>
      <c r="E39" s="6" t="s">
        <v>3</v>
      </c>
      <c r="F39" s="6" t="s">
        <v>3</v>
      </c>
      <c r="G39" s="6" t="s">
        <v>5</v>
      </c>
      <c r="H39" s="6" t="s">
        <v>5</v>
      </c>
      <c r="I39" s="6" t="s">
        <v>5</v>
      </c>
      <c r="J39" s="6" t="s">
        <v>5</v>
      </c>
      <c r="K39" s="6" t="s">
        <v>2</v>
      </c>
      <c r="L39" s="6" t="s">
        <v>3</v>
      </c>
      <c r="M39" s="6" t="s">
        <v>3</v>
      </c>
      <c r="N39" s="6" t="s">
        <v>4</v>
      </c>
      <c r="O39" s="6" t="s">
        <v>5</v>
      </c>
      <c r="P39" s="6" t="s">
        <v>2</v>
      </c>
      <c r="Q39" s="6" t="s">
        <v>3</v>
      </c>
      <c r="R39" s="6" t="s">
        <v>5</v>
      </c>
      <c r="S39" s="6" t="s">
        <v>5</v>
      </c>
      <c r="T39" s="6" t="s">
        <v>5</v>
      </c>
      <c r="U39" s="6" t="s">
        <v>5</v>
      </c>
      <c r="V39" s="6" t="s">
        <v>4</v>
      </c>
      <c r="W39" s="6" t="s">
        <v>4</v>
      </c>
      <c r="X39" s="6" t="s">
        <v>4</v>
      </c>
      <c r="Y39" s="6" t="s">
        <v>2</v>
      </c>
      <c r="Z39" s="6" t="s">
        <v>3</v>
      </c>
      <c r="AA39" s="6" t="s">
        <v>4</v>
      </c>
      <c r="AB39" s="6" t="s">
        <v>4</v>
      </c>
      <c r="AC39" s="6" t="s">
        <v>4</v>
      </c>
      <c r="AD39" s="6" t="s">
        <v>4</v>
      </c>
      <c r="AE39" s="6" t="s">
        <v>4</v>
      </c>
      <c r="AF39" s="6" t="s">
        <v>4</v>
      </c>
      <c r="AG39" s="6" t="s">
        <v>3</v>
      </c>
      <c r="AH39" s="6" t="s">
        <v>4</v>
      </c>
      <c r="AI39" s="6" t="s">
        <v>3</v>
      </c>
      <c r="AJ39" s="6" t="s">
        <v>4</v>
      </c>
      <c r="AK39" s="6" t="s">
        <v>4</v>
      </c>
      <c r="AL39" s="6" t="s">
        <v>4</v>
      </c>
      <c r="AM39" s="6" t="s">
        <v>4</v>
      </c>
      <c r="AS39" s="6" t="s">
        <v>71</v>
      </c>
      <c r="AT39" s="6">
        <f>COUNTIFS(E:E,"C",C:C,1)/COUNTIF(C:C,1)</f>
        <v>0</v>
      </c>
      <c r="AU39" s="6">
        <f>COUNTIFS(E:E,"C",C:C,2)/COUNTIF(C:C,2)</f>
        <v>0</v>
      </c>
      <c r="AV39" s="6">
        <f>COUNTIFS(E:E,"C",C:C,3)/COUNTIF(C:C,3)</f>
        <v>0</v>
      </c>
      <c r="AW39" s="6">
        <f>COUNTIFS(E:E,"C",C:C,4)/COUNTIF(C:C,4)</f>
        <v>0</v>
      </c>
      <c r="AX39" s="6">
        <f>COUNTIFS(E:E,"C",C:C,5)/COUNTIF(C:C,5)</f>
        <v>0</v>
      </c>
      <c r="AY39" s="6">
        <f>COUNTIFS(E:E,"C",C:C,6)/COUNTIF(C:C,6)</f>
        <v>0</v>
      </c>
      <c r="AZ39"/>
      <c r="BA39" s="31"/>
      <c r="BB39" s="34"/>
      <c r="BC39" s="31"/>
      <c r="BD39" s="31"/>
      <c r="BE39" s="31"/>
      <c r="BF39" s="31"/>
      <c r="BG39" s="31"/>
    </row>
    <row r="40" spans="1:98">
      <c r="A40" s="6">
        <f t="shared" si="0"/>
        <v>39</v>
      </c>
      <c r="B40" s="6" t="s">
        <v>493</v>
      </c>
      <c r="C40" s="6">
        <v>3</v>
      </c>
      <c r="D40" s="6" t="s">
        <v>2</v>
      </c>
      <c r="E40" s="6" t="s">
        <v>5</v>
      </c>
      <c r="F40" s="6" t="s">
        <v>3</v>
      </c>
      <c r="G40" s="6" t="s">
        <v>2</v>
      </c>
      <c r="H40" s="6" t="s">
        <v>5</v>
      </c>
      <c r="I40" s="6" t="s">
        <v>5</v>
      </c>
      <c r="J40" s="6" t="s">
        <v>5</v>
      </c>
      <c r="K40" s="6" t="s">
        <v>2</v>
      </c>
      <c r="L40" s="6" t="s">
        <v>3</v>
      </c>
      <c r="M40" s="6" t="s">
        <v>4</v>
      </c>
      <c r="N40" s="6" t="s">
        <v>4</v>
      </c>
      <c r="O40" s="6" t="s">
        <v>5</v>
      </c>
      <c r="P40" s="6" t="s">
        <v>5</v>
      </c>
      <c r="Q40" s="6" t="s">
        <v>4</v>
      </c>
      <c r="R40" s="6" t="s">
        <v>5</v>
      </c>
      <c r="S40" s="6" t="s">
        <v>5</v>
      </c>
      <c r="T40" s="6" t="s">
        <v>5</v>
      </c>
      <c r="U40" s="6" t="s">
        <v>5</v>
      </c>
      <c r="V40" s="6" t="s">
        <v>5</v>
      </c>
      <c r="W40" s="6" t="s">
        <v>4</v>
      </c>
      <c r="X40" s="6" t="s">
        <v>4</v>
      </c>
      <c r="Y40" s="6" t="s">
        <v>4</v>
      </c>
      <c r="Z40" s="6" t="s">
        <v>4</v>
      </c>
      <c r="AA40" s="6" t="s">
        <v>4</v>
      </c>
      <c r="AB40" s="6" t="s">
        <v>4</v>
      </c>
      <c r="AC40" s="6" t="s">
        <v>4</v>
      </c>
      <c r="AD40" s="6" t="s">
        <v>4</v>
      </c>
      <c r="AE40" s="6" t="s">
        <v>4</v>
      </c>
      <c r="AF40" s="6" t="s">
        <v>4</v>
      </c>
      <c r="AG40" s="6" t="s">
        <v>4</v>
      </c>
      <c r="AH40" s="6" t="s">
        <v>4</v>
      </c>
      <c r="AI40" s="6" t="s">
        <v>3</v>
      </c>
      <c r="AJ40" s="6" t="s">
        <v>4</v>
      </c>
      <c r="AK40" s="6" t="s">
        <v>4</v>
      </c>
      <c r="AL40" s="6" t="s">
        <v>3</v>
      </c>
      <c r="AM40" s="6" t="s">
        <v>4</v>
      </c>
      <c r="AS40" s="6" t="s">
        <v>72</v>
      </c>
      <c r="AT40" s="6">
        <f>COUNTIFS(E:E,"D",C:C,1)/COUNTIF(C:C,1)</f>
        <v>0.15384615384615385</v>
      </c>
      <c r="AU40" s="6">
        <f>COUNTIFS(E:E,"D",C:C,2)/COUNTIF(C:C,2)</f>
        <v>0.69230769230769229</v>
      </c>
      <c r="AV40" s="6">
        <f>COUNTIFS(E:E,"D",C:C,3)/COUNTIF(C:C,3)</f>
        <v>0.46153846153846156</v>
      </c>
      <c r="AW40" s="6">
        <f>COUNTIFS(E:E,"D",C:C,4)/COUNTIF(C:C,4)</f>
        <v>0.30769230769230771</v>
      </c>
      <c r="AX40" s="6">
        <f>COUNTIFS(E:E,"D",C:C,5)/COUNTIF(C:C,5)</f>
        <v>0.53846153846153844</v>
      </c>
      <c r="AY40" s="6">
        <f>COUNTIFS(E:E,"D",C:C,6)/COUNTIF(C:C,6)</f>
        <v>0.61538461538461542</v>
      </c>
      <c r="AZ40"/>
      <c r="BA40" s="31"/>
      <c r="BB40" s="31"/>
      <c r="BC40" s="31"/>
      <c r="BD40" s="31"/>
      <c r="BE40" s="31"/>
      <c r="BF40" s="31"/>
      <c r="BG40" s="31"/>
      <c r="BI40" s="3"/>
    </row>
    <row r="41" spans="1:98">
      <c r="A41" s="6">
        <f t="shared" si="0"/>
        <v>40</v>
      </c>
      <c r="B41" s="6" t="s">
        <v>23</v>
      </c>
      <c r="C41" s="6">
        <v>4</v>
      </c>
      <c r="D41" s="6" t="s">
        <v>3</v>
      </c>
      <c r="E41" s="6" t="s">
        <v>3</v>
      </c>
      <c r="F41" s="6" t="s">
        <v>4</v>
      </c>
      <c r="G41" s="6" t="s">
        <v>2</v>
      </c>
      <c r="H41" s="6" t="s">
        <v>5</v>
      </c>
      <c r="I41" s="6" t="s">
        <v>5</v>
      </c>
      <c r="J41" s="6" t="s">
        <v>5</v>
      </c>
      <c r="K41" s="6" t="s">
        <v>2</v>
      </c>
      <c r="L41" s="6" t="s">
        <v>2</v>
      </c>
      <c r="M41" s="6" t="s">
        <v>2</v>
      </c>
      <c r="N41" s="6" t="s">
        <v>5</v>
      </c>
      <c r="O41" s="6" t="s">
        <v>2</v>
      </c>
      <c r="P41" s="6" t="s">
        <v>5</v>
      </c>
      <c r="Q41" s="6" t="s">
        <v>3</v>
      </c>
      <c r="R41" s="6" t="s">
        <v>3</v>
      </c>
      <c r="S41" s="6" t="s">
        <v>5</v>
      </c>
      <c r="T41" s="6" t="s">
        <v>5</v>
      </c>
      <c r="U41" s="6" t="s">
        <v>5</v>
      </c>
      <c r="V41" s="6" t="s">
        <v>5</v>
      </c>
      <c r="W41" s="6" t="s">
        <v>4</v>
      </c>
      <c r="X41" s="6" t="s">
        <v>4</v>
      </c>
      <c r="Y41" s="6" t="s">
        <v>2</v>
      </c>
      <c r="Z41" s="6" t="s">
        <v>3</v>
      </c>
      <c r="AA41" s="6" t="s">
        <v>4</v>
      </c>
      <c r="AB41" s="6" t="s">
        <v>4</v>
      </c>
      <c r="AC41" s="6" t="s">
        <v>4</v>
      </c>
      <c r="AD41" s="6" t="s">
        <v>4</v>
      </c>
      <c r="AE41" s="6" t="s">
        <v>4</v>
      </c>
      <c r="AF41" s="6" t="s">
        <v>4</v>
      </c>
      <c r="AG41" s="6" t="s">
        <v>3</v>
      </c>
      <c r="AH41" s="6" t="s">
        <v>4</v>
      </c>
      <c r="AI41" s="6" t="s">
        <v>3</v>
      </c>
      <c r="AJ41" s="6" t="s">
        <v>3</v>
      </c>
      <c r="AK41" s="6" t="s">
        <v>4</v>
      </c>
      <c r="AL41" s="6" t="s">
        <v>3</v>
      </c>
      <c r="AM41" s="6" t="s">
        <v>3</v>
      </c>
      <c r="AZ41"/>
      <c r="BA41" s="31"/>
      <c r="BB41" s="31"/>
      <c r="BC41" s="31"/>
      <c r="BD41" s="31"/>
      <c r="BE41" s="31"/>
      <c r="BF41" s="31"/>
      <c r="BG41" s="31"/>
    </row>
    <row r="42" spans="1:98">
      <c r="A42" s="6">
        <f t="shared" si="0"/>
        <v>41</v>
      </c>
      <c r="B42" s="6" t="s">
        <v>24</v>
      </c>
      <c r="C42" s="6">
        <v>4</v>
      </c>
      <c r="D42" s="6" t="s">
        <v>5</v>
      </c>
      <c r="E42" s="6" t="s">
        <v>3</v>
      </c>
      <c r="F42" s="6" t="s">
        <v>3</v>
      </c>
      <c r="G42" s="6" t="s">
        <v>5</v>
      </c>
      <c r="H42" s="6" t="s">
        <v>5</v>
      </c>
      <c r="I42" s="6" t="s">
        <v>5</v>
      </c>
      <c r="J42" s="6" t="s">
        <v>5</v>
      </c>
      <c r="K42" s="6" t="s">
        <v>2</v>
      </c>
      <c r="L42" s="6" t="s">
        <v>2</v>
      </c>
      <c r="M42" s="6" t="s">
        <v>5</v>
      </c>
      <c r="N42" s="6" t="s">
        <v>3</v>
      </c>
      <c r="O42" s="6" t="s">
        <v>4</v>
      </c>
      <c r="P42" s="6" t="s">
        <v>5</v>
      </c>
      <c r="Q42" s="6" t="s">
        <v>3</v>
      </c>
      <c r="R42" s="6" t="s">
        <v>5</v>
      </c>
      <c r="S42" s="6" t="s">
        <v>5</v>
      </c>
      <c r="T42" s="6" t="s">
        <v>5</v>
      </c>
      <c r="U42" s="6" t="s">
        <v>5</v>
      </c>
      <c r="V42" s="6" t="s">
        <v>5</v>
      </c>
      <c r="W42" s="6" t="s">
        <v>4</v>
      </c>
      <c r="X42" s="6" t="s">
        <v>4</v>
      </c>
      <c r="Y42" s="6" t="s">
        <v>4</v>
      </c>
      <c r="Z42" s="6" t="s">
        <v>3</v>
      </c>
      <c r="AA42" s="6" t="s">
        <v>4</v>
      </c>
      <c r="AB42" s="6" t="s">
        <v>4</v>
      </c>
      <c r="AC42" s="6" t="s">
        <v>4</v>
      </c>
      <c r="AD42" s="6" t="s">
        <v>4</v>
      </c>
      <c r="AE42" s="6" t="s">
        <v>4</v>
      </c>
      <c r="AF42" s="6" t="s">
        <v>4</v>
      </c>
      <c r="AG42" s="6" t="s">
        <v>3</v>
      </c>
      <c r="AH42" s="6" t="s">
        <v>4</v>
      </c>
      <c r="AI42" s="6" t="s">
        <v>3</v>
      </c>
      <c r="AJ42" s="6" t="s">
        <v>4</v>
      </c>
      <c r="AK42" s="6" t="s">
        <v>4</v>
      </c>
      <c r="AL42" s="6" t="s">
        <v>4</v>
      </c>
      <c r="AM42" s="6" t="s">
        <v>3</v>
      </c>
      <c r="AS42" s="7" t="s">
        <v>234</v>
      </c>
      <c r="AT42" s="7">
        <v>1</v>
      </c>
      <c r="AU42" s="7">
        <v>2</v>
      </c>
      <c r="AV42" s="7">
        <v>3</v>
      </c>
      <c r="AW42" s="7">
        <v>4</v>
      </c>
      <c r="AX42" s="7">
        <v>5</v>
      </c>
      <c r="AY42" s="7">
        <v>6</v>
      </c>
      <c r="AZ42"/>
      <c r="BA42" s="31"/>
      <c r="BB42" s="31"/>
      <c r="BC42" s="31"/>
      <c r="BD42" s="31"/>
      <c r="BE42" s="31"/>
      <c r="BF42" s="31"/>
      <c r="BG42" s="31"/>
      <c r="BI42" s="3"/>
    </row>
    <row r="43" spans="1:98">
      <c r="A43" s="6">
        <f t="shared" si="0"/>
        <v>42</v>
      </c>
      <c r="B43" s="6" t="s">
        <v>25</v>
      </c>
      <c r="C43" s="6">
        <v>4</v>
      </c>
      <c r="D43" s="6" t="s">
        <v>5</v>
      </c>
      <c r="E43" s="6" t="s">
        <v>5</v>
      </c>
      <c r="F43" s="6" t="s">
        <v>5</v>
      </c>
      <c r="G43" s="6" t="s">
        <v>5</v>
      </c>
      <c r="H43" s="6" t="s">
        <v>5</v>
      </c>
      <c r="I43" s="6" t="s">
        <v>5</v>
      </c>
      <c r="J43" s="6" t="s">
        <v>5</v>
      </c>
      <c r="K43" s="6" t="s">
        <v>2</v>
      </c>
      <c r="L43" s="6" t="s">
        <v>5</v>
      </c>
      <c r="M43" s="6" t="s">
        <v>5</v>
      </c>
      <c r="N43" s="6" t="s">
        <v>3</v>
      </c>
      <c r="O43" s="6" t="s">
        <v>5</v>
      </c>
      <c r="P43" s="6" t="s">
        <v>5</v>
      </c>
      <c r="Q43" s="6" t="s">
        <v>2</v>
      </c>
      <c r="R43" s="6" t="s">
        <v>2</v>
      </c>
      <c r="S43" s="6" t="s">
        <v>5</v>
      </c>
      <c r="T43" s="6" t="s">
        <v>5</v>
      </c>
      <c r="U43" s="6" t="s">
        <v>5</v>
      </c>
      <c r="V43" s="6" t="s">
        <v>5</v>
      </c>
      <c r="W43" s="6" t="s">
        <v>4</v>
      </c>
      <c r="X43" s="6" t="s">
        <v>3</v>
      </c>
      <c r="Y43" s="6" t="s">
        <v>2</v>
      </c>
      <c r="Z43" s="6" t="s">
        <v>3</v>
      </c>
      <c r="AA43" s="6" t="s">
        <v>4</v>
      </c>
      <c r="AB43" s="6" t="s">
        <v>4</v>
      </c>
      <c r="AC43" s="6" t="s">
        <v>4</v>
      </c>
      <c r="AD43" s="6" t="s">
        <v>4</v>
      </c>
      <c r="AE43" s="6" t="s">
        <v>4</v>
      </c>
      <c r="AF43" s="6" t="s">
        <v>4</v>
      </c>
      <c r="AG43" s="6" t="s">
        <v>3</v>
      </c>
      <c r="AH43" s="6" t="s">
        <v>4</v>
      </c>
      <c r="AI43" s="6" t="s">
        <v>3</v>
      </c>
      <c r="AJ43" s="6" t="s">
        <v>4</v>
      </c>
      <c r="AK43" s="6" t="s">
        <v>4</v>
      </c>
      <c r="AL43" s="6" t="s">
        <v>3</v>
      </c>
      <c r="AM43" s="6" t="s">
        <v>3</v>
      </c>
      <c r="AS43" s="6" t="s">
        <v>73</v>
      </c>
      <c r="AT43" s="6">
        <f>COUNTIFS(F:F,"A",C:C,1)/COUNTIF(C:C,1)</f>
        <v>0.38461538461538464</v>
      </c>
      <c r="AU43" s="6">
        <f>COUNTIFS(F:F,"A",C:C,2)/COUNTIF(C:C,2)</f>
        <v>0.15384615384615385</v>
      </c>
      <c r="AV43" s="6">
        <f>COUNTIFS(F:F,"A",C:C,3)/COUNTIF(C:C,3)</f>
        <v>0.15384615384615385</v>
      </c>
      <c r="AW43" s="6">
        <f>COUNTIFS(F:F,"A",C:C,4)/COUNTIF(C:C,4)</f>
        <v>0.30769230769230771</v>
      </c>
      <c r="AX43" s="6">
        <f>COUNTIFS(F:F,"A",C:C,5)/COUNTIF(C:C,5)</f>
        <v>7.6923076923076927E-2</v>
      </c>
      <c r="AY43" s="6">
        <f>COUNTIFS(F:F,"A",C:C,6)/COUNTIF(C:C,6)</f>
        <v>0.15384615384615385</v>
      </c>
      <c r="AZ43"/>
      <c r="BA43" s="33"/>
      <c r="BB43" s="33"/>
      <c r="BC43" s="33"/>
      <c r="BD43" s="33"/>
      <c r="BE43" s="33"/>
      <c r="BF43" s="33"/>
      <c r="BG43" s="33"/>
    </row>
    <row r="44" spans="1:98">
      <c r="A44" s="6">
        <f t="shared" si="0"/>
        <v>43</v>
      </c>
      <c r="B44" s="6" t="s">
        <v>26</v>
      </c>
      <c r="C44" s="6">
        <v>4</v>
      </c>
      <c r="D44" s="6" t="s">
        <v>3</v>
      </c>
      <c r="E44" s="6" t="s">
        <v>3</v>
      </c>
      <c r="F44" s="6" t="s">
        <v>3</v>
      </c>
      <c r="G44" s="6" t="s">
        <v>5</v>
      </c>
      <c r="H44" s="6" t="s">
        <v>5</v>
      </c>
      <c r="I44" s="6" t="s">
        <v>5</v>
      </c>
      <c r="J44" s="6" t="s">
        <v>5</v>
      </c>
      <c r="K44" s="6" t="s">
        <v>2</v>
      </c>
      <c r="L44" s="6" t="s">
        <v>2</v>
      </c>
      <c r="M44" s="6" t="s">
        <v>4</v>
      </c>
      <c r="N44" s="6" t="s">
        <v>4</v>
      </c>
      <c r="O44" s="6" t="s">
        <v>5</v>
      </c>
      <c r="P44" s="6" t="s">
        <v>5</v>
      </c>
      <c r="Q44" s="6" t="s">
        <v>3</v>
      </c>
      <c r="R44" s="6" t="s">
        <v>2</v>
      </c>
      <c r="S44" s="6" t="s">
        <v>5</v>
      </c>
      <c r="T44" s="6" t="s">
        <v>5</v>
      </c>
      <c r="U44" s="6" t="s">
        <v>5</v>
      </c>
      <c r="V44" s="6" t="s">
        <v>4</v>
      </c>
      <c r="W44" s="6" t="s">
        <v>4</v>
      </c>
      <c r="X44" s="6" t="s">
        <v>3</v>
      </c>
      <c r="Y44" s="6" t="s">
        <v>4</v>
      </c>
      <c r="Z44" s="6" t="s">
        <v>3</v>
      </c>
      <c r="AA44" s="6" t="s">
        <v>4</v>
      </c>
      <c r="AB44" s="6" t="s">
        <v>4</v>
      </c>
      <c r="AC44" s="6" t="s">
        <v>4</v>
      </c>
      <c r="AD44" s="6" t="s">
        <v>4</v>
      </c>
      <c r="AE44" s="6" t="s">
        <v>4</v>
      </c>
      <c r="AF44" s="6" t="s">
        <v>3</v>
      </c>
      <c r="AG44" s="6" t="s">
        <v>3</v>
      </c>
      <c r="AH44" s="6" t="s">
        <v>4</v>
      </c>
      <c r="AI44" s="6" t="s">
        <v>3</v>
      </c>
      <c r="AJ44" s="6" t="s">
        <v>4</v>
      </c>
      <c r="AK44" s="6" t="s">
        <v>4</v>
      </c>
      <c r="AL44" s="6" t="s">
        <v>4</v>
      </c>
      <c r="AM44" s="6" t="s">
        <v>3</v>
      </c>
      <c r="AS44" s="6" t="s">
        <v>74</v>
      </c>
      <c r="AT44" s="6">
        <f>COUNTIFS(F:F,"B",C:C,1)/COUNTIF(C:C,1)</f>
        <v>0.23076923076923078</v>
      </c>
      <c r="AU44" s="6">
        <f>COUNTIFS(F:F,"B",C:C,2)/COUNTIF(C:C,2)</f>
        <v>0.46153846153846156</v>
      </c>
      <c r="AV44" s="6">
        <f>COUNTIFS(F:F,"B",C:C,3)/COUNTIF(C:C,3)</f>
        <v>0.76923076923076927</v>
      </c>
      <c r="AW44" s="6">
        <f>COUNTIFS(F:F,"B",C:C,4)/COUNTIF(C:C,4)</f>
        <v>0.30769230769230771</v>
      </c>
      <c r="AX44" s="6">
        <f>COUNTIFS(F:F,"B",C:C,5)/COUNTIF(C:C,5)</f>
        <v>0.30769230769230771</v>
      </c>
      <c r="AY44" s="6">
        <f>COUNTIFS(F:F,"B",C:C,6)/COUNTIF(C:C,6)</f>
        <v>0.38461538461538464</v>
      </c>
      <c r="AZ44"/>
      <c r="BA44" s="31"/>
      <c r="BB44" s="31"/>
      <c r="BC44" s="31"/>
      <c r="BD44" s="31"/>
      <c r="BE44" s="31"/>
      <c r="BF44" s="31"/>
      <c r="BG44" s="31"/>
      <c r="BH44" s="31"/>
      <c r="BI44" s="3"/>
    </row>
    <row r="45" spans="1:98">
      <c r="A45" s="6">
        <f t="shared" si="0"/>
        <v>44</v>
      </c>
      <c r="B45" s="6" t="s">
        <v>27</v>
      </c>
      <c r="C45" s="6">
        <v>4</v>
      </c>
      <c r="D45" s="6" t="s">
        <v>5</v>
      </c>
      <c r="E45" s="6" t="s">
        <v>3</v>
      </c>
      <c r="F45" s="6" t="s">
        <v>4</v>
      </c>
      <c r="G45" s="6" t="s">
        <v>3</v>
      </c>
      <c r="H45" s="6" t="s">
        <v>5</v>
      </c>
      <c r="I45" s="6" t="s">
        <v>5</v>
      </c>
      <c r="J45" s="6" t="s">
        <v>5</v>
      </c>
      <c r="K45" s="6" t="s">
        <v>2</v>
      </c>
      <c r="L45" s="6" t="s">
        <v>3</v>
      </c>
      <c r="M45" s="6" t="s">
        <v>3</v>
      </c>
      <c r="N45" s="6" t="s">
        <v>4</v>
      </c>
      <c r="O45" s="6" t="s">
        <v>5</v>
      </c>
      <c r="P45" s="6" t="s">
        <v>4</v>
      </c>
      <c r="Q45" s="6" t="s">
        <v>2</v>
      </c>
      <c r="R45" s="6" t="s">
        <v>5</v>
      </c>
      <c r="S45" s="6" t="s">
        <v>5</v>
      </c>
      <c r="T45" s="6" t="s">
        <v>5</v>
      </c>
      <c r="U45" s="6" t="s">
        <v>5</v>
      </c>
      <c r="V45" s="6" t="s">
        <v>4</v>
      </c>
      <c r="W45" s="6" t="s">
        <v>4</v>
      </c>
      <c r="X45" s="6" t="s">
        <v>4</v>
      </c>
      <c r="Y45" s="6" t="s">
        <v>2</v>
      </c>
      <c r="Z45" s="6" t="s">
        <v>3</v>
      </c>
      <c r="AA45" s="6" t="s">
        <v>4</v>
      </c>
      <c r="AB45" s="6" t="s">
        <v>4</v>
      </c>
      <c r="AC45" s="6" t="s">
        <v>4</v>
      </c>
      <c r="AD45" s="6" t="s">
        <v>4</v>
      </c>
      <c r="AE45" s="6" t="s">
        <v>4</v>
      </c>
      <c r="AF45" s="6" t="s">
        <v>4</v>
      </c>
      <c r="AG45" s="6" t="s">
        <v>4</v>
      </c>
      <c r="AH45" s="6" t="s">
        <v>4</v>
      </c>
      <c r="AI45" s="6" t="s">
        <v>3</v>
      </c>
      <c r="AJ45" s="6" t="s">
        <v>4</v>
      </c>
      <c r="AK45" s="6" t="s">
        <v>4</v>
      </c>
      <c r="AL45" s="6" t="s">
        <v>4</v>
      </c>
      <c r="AM45" s="6" t="s">
        <v>3</v>
      </c>
      <c r="AS45" s="6" t="s">
        <v>75</v>
      </c>
      <c r="AT45" s="6">
        <f>COUNTIFS(F:F,"C",C:C,1)/COUNTIF(C:C,1)</f>
        <v>0.38461538461538464</v>
      </c>
      <c r="AU45" s="6">
        <f>COUNTIFS(F:F,"C",C:C,2)/COUNTIF(C:C,2)</f>
        <v>0.30769230769230771</v>
      </c>
      <c r="AV45" s="6">
        <f>COUNTIFS(F:F,"C",C:C,3)/COUNTIF(C:C,3)</f>
        <v>0</v>
      </c>
      <c r="AW45" s="6">
        <f>COUNTIFS(F:F,"C",C:C,4)/COUNTIF(C:C,4)</f>
        <v>0.23076923076923078</v>
      </c>
      <c r="AX45" s="6">
        <f>COUNTIFS(F:F,"C",C:C,5)/COUNTIF(C:C,5)</f>
        <v>0.46153846153846156</v>
      </c>
      <c r="AY45" s="6">
        <f>COUNTIFS(F:F,"C",C:C,6)/COUNTIF(C:C,6)</f>
        <v>0.15384615384615385</v>
      </c>
      <c r="AZ45"/>
      <c r="BA45" s="31"/>
      <c r="BB45" s="31"/>
      <c r="BC45" s="31"/>
      <c r="BD45" s="31"/>
      <c r="BE45" s="31"/>
      <c r="BF45" s="31"/>
      <c r="BG45" s="31"/>
    </row>
    <row r="46" spans="1:98">
      <c r="A46" s="6">
        <f t="shared" si="0"/>
        <v>45</v>
      </c>
      <c r="B46" s="6" t="s">
        <v>28</v>
      </c>
      <c r="C46" s="6">
        <v>4</v>
      </c>
      <c r="D46" s="6" t="s">
        <v>5</v>
      </c>
      <c r="E46" s="6" t="s">
        <v>3</v>
      </c>
      <c r="F46" s="6" t="s">
        <v>2</v>
      </c>
      <c r="G46" s="6" t="s">
        <v>5</v>
      </c>
      <c r="H46" s="6" t="s">
        <v>5</v>
      </c>
      <c r="I46" s="6" t="s">
        <v>5</v>
      </c>
      <c r="J46" s="6" t="s">
        <v>2</v>
      </c>
      <c r="K46" s="6" t="s">
        <v>2</v>
      </c>
      <c r="L46" s="6" t="s">
        <v>3</v>
      </c>
      <c r="M46" s="6" t="s">
        <v>3</v>
      </c>
      <c r="N46" s="6" t="s">
        <v>3</v>
      </c>
      <c r="O46" s="6" t="s">
        <v>3</v>
      </c>
      <c r="P46" s="6" t="s">
        <v>2</v>
      </c>
      <c r="Q46" s="6" t="s">
        <v>2</v>
      </c>
      <c r="R46" s="6" t="s">
        <v>2</v>
      </c>
      <c r="S46" s="6" t="s">
        <v>5</v>
      </c>
      <c r="T46" s="6" t="s">
        <v>2</v>
      </c>
      <c r="U46" s="6" t="s">
        <v>2</v>
      </c>
      <c r="V46" s="6" t="s">
        <v>5</v>
      </c>
      <c r="W46" s="6" t="s">
        <v>3</v>
      </c>
      <c r="X46" s="6" t="s">
        <v>2</v>
      </c>
      <c r="Y46" s="6" t="s">
        <v>2</v>
      </c>
      <c r="Z46" s="6" t="s">
        <v>3</v>
      </c>
      <c r="AA46" s="6" t="s">
        <v>4</v>
      </c>
      <c r="AB46" s="6" t="s">
        <v>4</v>
      </c>
      <c r="AC46" s="6" t="s">
        <v>4</v>
      </c>
      <c r="AD46" s="6" t="s">
        <v>4</v>
      </c>
      <c r="AE46" s="6" t="s">
        <v>4</v>
      </c>
      <c r="AF46" s="6" t="s">
        <v>4</v>
      </c>
      <c r="AG46" s="6" t="s">
        <v>3</v>
      </c>
      <c r="AH46" s="6" t="s">
        <v>4</v>
      </c>
      <c r="AI46" s="6" t="s">
        <v>3</v>
      </c>
      <c r="AJ46" s="6" t="s">
        <v>4</v>
      </c>
      <c r="AK46" s="6" t="s">
        <v>4</v>
      </c>
      <c r="AL46" s="6" t="s">
        <v>4</v>
      </c>
      <c r="AM46" s="6" t="s">
        <v>3</v>
      </c>
      <c r="AS46" s="6" t="s">
        <v>76</v>
      </c>
      <c r="AT46" s="6">
        <f>COUNTIFS(F:F,"D",C:C,1)/COUNTIF(C:C,1)</f>
        <v>0</v>
      </c>
      <c r="AU46" s="6">
        <f>COUNTIFS(F:F,"D",C:C,2)/COUNTIF(C:C,2)</f>
        <v>7.6923076923076927E-2</v>
      </c>
      <c r="AV46" s="6">
        <f>COUNTIFS(F:F,"D",C:C,3)/COUNTIF(C:C,3)</f>
        <v>7.6923076923076927E-2</v>
      </c>
      <c r="AW46" s="6">
        <f>COUNTIFS(F:F,"D",C:C,4)/COUNTIF(C:C,4)</f>
        <v>0.15384615384615385</v>
      </c>
      <c r="AX46" s="6">
        <f>COUNTIFS(F:F,"D",C:C,5)/COUNTIF(C:C,5)</f>
        <v>0.15384615384615385</v>
      </c>
      <c r="AY46" s="6">
        <f>COUNTIFS(F:F,"D",C:C,6)/COUNTIF(C:C,6)</f>
        <v>0.30769230769230771</v>
      </c>
      <c r="AZ46"/>
      <c r="BA46" s="31"/>
      <c r="BB46" s="31"/>
      <c r="BC46" s="31"/>
      <c r="BD46" s="31"/>
      <c r="BE46" s="31"/>
      <c r="BF46" s="31"/>
      <c r="BG46" s="31"/>
      <c r="BI46" s="3"/>
    </row>
    <row r="47" spans="1:98">
      <c r="A47" s="6">
        <f t="shared" si="0"/>
        <v>46</v>
      </c>
      <c r="B47" s="6" t="s">
        <v>267</v>
      </c>
      <c r="C47" s="6">
        <v>4</v>
      </c>
      <c r="D47" s="6" t="s">
        <v>5</v>
      </c>
      <c r="E47" s="6" t="s">
        <v>3</v>
      </c>
      <c r="F47" s="6" t="s">
        <v>3</v>
      </c>
      <c r="G47" s="6" t="s">
        <v>2</v>
      </c>
      <c r="H47" s="6" t="s">
        <v>5</v>
      </c>
      <c r="I47" s="6" t="s">
        <v>5</v>
      </c>
      <c r="J47" s="6" t="s">
        <v>5</v>
      </c>
      <c r="K47" s="6" t="s">
        <v>2</v>
      </c>
      <c r="L47" s="6" t="s">
        <v>2</v>
      </c>
      <c r="M47" s="6" t="s">
        <v>2</v>
      </c>
      <c r="N47" s="6" t="s">
        <v>3</v>
      </c>
      <c r="O47" s="6" t="s">
        <v>5</v>
      </c>
      <c r="P47" s="6" t="s">
        <v>5</v>
      </c>
      <c r="Q47" s="6" t="s">
        <v>2</v>
      </c>
      <c r="R47" s="6" t="s">
        <v>2</v>
      </c>
      <c r="S47" s="6" t="s">
        <v>5</v>
      </c>
      <c r="T47" s="6" t="s">
        <v>5</v>
      </c>
      <c r="U47" s="6" t="s">
        <v>5</v>
      </c>
      <c r="V47" s="6" t="s">
        <v>5</v>
      </c>
      <c r="W47" s="6" t="s">
        <v>3</v>
      </c>
      <c r="X47" s="6" t="s">
        <v>3</v>
      </c>
      <c r="Y47" s="6" t="s">
        <v>2</v>
      </c>
      <c r="Z47" s="6" t="s">
        <v>3</v>
      </c>
      <c r="AA47" s="6" t="s">
        <v>4</v>
      </c>
      <c r="AB47" s="6" t="s">
        <v>4</v>
      </c>
      <c r="AC47" s="6" t="s">
        <v>4</v>
      </c>
      <c r="AD47" s="6" t="s">
        <v>4</v>
      </c>
      <c r="AE47" s="6" t="s">
        <v>4</v>
      </c>
      <c r="AF47" s="6" t="s">
        <v>3</v>
      </c>
      <c r="AG47" s="6" t="s">
        <v>3</v>
      </c>
      <c r="AH47" s="6" t="s">
        <v>4</v>
      </c>
      <c r="AI47" s="6" t="s">
        <v>3</v>
      </c>
      <c r="AJ47" s="6" t="s">
        <v>4</v>
      </c>
      <c r="AK47" s="6" t="s">
        <v>4</v>
      </c>
      <c r="AL47" s="6" t="s">
        <v>3</v>
      </c>
      <c r="AM47" s="6" t="s">
        <v>3</v>
      </c>
      <c r="AZ47"/>
      <c r="BA47" s="31"/>
      <c r="BB47" s="31"/>
      <c r="BC47" s="31"/>
      <c r="BD47" s="31"/>
      <c r="BE47" s="31"/>
      <c r="BF47" s="31"/>
      <c r="BG47" s="31"/>
    </row>
    <row r="48" spans="1:98">
      <c r="A48" s="6">
        <f t="shared" si="0"/>
        <v>47</v>
      </c>
      <c r="B48" s="6" t="s">
        <v>268</v>
      </c>
      <c r="C48" s="6">
        <v>4</v>
      </c>
      <c r="D48" s="6" t="s">
        <v>2</v>
      </c>
      <c r="E48" s="6" t="s">
        <v>3</v>
      </c>
      <c r="F48" s="6" t="s">
        <v>3</v>
      </c>
      <c r="G48" s="6" t="s">
        <v>5</v>
      </c>
      <c r="H48" s="6" t="s">
        <v>5</v>
      </c>
      <c r="I48" s="6" t="s">
        <v>5</v>
      </c>
      <c r="J48" s="6" t="s">
        <v>5</v>
      </c>
      <c r="K48" s="6" t="s">
        <v>2</v>
      </c>
      <c r="L48" s="6" t="s">
        <v>2</v>
      </c>
      <c r="M48" s="6" t="s">
        <v>4</v>
      </c>
      <c r="N48" s="6" t="s">
        <v>4</v>
      </c>
      <c r="O48" s="6" t="s">
        <v>4</v>
      </c>
      <c r="P48" s="6" t="s">
        <v>5</v>
      </c>
      <c r="Q48" s="6" t="s">
        <v>3</v>
      </c>
      <c r="R48" s="6" t="s">
        <v>4</v>
      </c>
      <c r="S48" s="6" t="s">
        <v>5</v>
      </c>
      <c r="T48" s="6" t="s">
        <v>5</v>
      </c>
      <c r="U48" s="6" t="s">
        <v>5</v>
      </c>
      <c r="V48" s="6" t="s">
        <v>4</v>
      </c>
      <c r="W48" s="6" t="s">
        <v>4</v>
      </c>
      <c r="X48" s="6" t="s">
        <v>3</v>
      </c>
      <c r="Y48" s="6" t="s">
        <v>2</v>
      </c>
      <c r="Z48" s="6" t="s">
        <v>3</v>
      </c>
      <c r="AA48" s="6" t="s">
        <v>4</v>
      </c>
      <c r="AB48" s="6" t="s">
        <v>4</v>
      </c>
      <c r="AC48" s="6" t="s">
        <v>4</v>
      </c>
      <c r="AD48" s="6" t="s">
        <v>3</v>
      </c>
      <c r="AE48" s="6" t="s">
        <v>4</v>
      </c>
      <c r="AF48" s="6" t="s">
        <v>4</v>
      </c>
      <c r="AG48" s="6" t="s">
        <v>3</v>
      </c>
      <c r="AH48" s="6" t="s">
        <v>4</v>
      </c>
      <c r="AI48" s="6" t="s">
        <v>3</v>
      </c>
      <c r="AJ48" s="6" t="s">
        <v>3</v>
      </c>
      <c r="AK48" s="6" t="s">
        <v>4</v>
      </c>
      <c r="AL48" s="6" t="s">
        <v>4</v>
      </c>
      <c r="AM48" s="6" t="s">
        <v>3</v>
      </c>
      <c r="AS48" s="7" t="s">
        <v>235</v>
      </c>
      <c r="AT48" s="7">
        <v>1</v>
      </c>
      <c r="AU48" s="7">
        <v>2</v>
      </c>
      <c r="AV48" s="7">
        <v>3</v>
      </c>
      <c r="AW48" s="7">
        <v>4</v>
      </c>
      <c r="AX48" s="7">
        <v>5</v>
      </c>
      <c r="AY48" s="7">
        <v>6</v>
      </c>
      <c r="AZ48"/>
      <c r="BA48" s="31"/>
      <c r="BB48" s="31"/>
      <c r="BC48" s="31"/>
      <c r="BD48" s="31"/>
      <c r="BE48" s="31"/>
      <c r="BF48" s="31"/>
      <c r="BG48" s="31"/>
    </row>
    <row r="49" spans="1:98">
      <c r="A49" s="6">
        <f t="shared" si="0"/>
        <v>48</v>
      </c>
      <c r="B49" s="6" t="s">
        <v>269</v>
      </c>
      <c r="C49" s="6">
        <v>4</v>
      </c>
      <c r="D49" s="6" t="s">
        <v>3</v>
      </c>
      <c r="E49" s="6" t="s">
        <v>3</v>
      </c>
      <c r="F49" s="6" t="s">
        <v>4</v>
      </c>
      <c r="G49" s="6" t="s">
        <v>2</v>
      </c>
      <c r="H49" s="6" t="s">
        <v>5</v>
      </c>
      <c r="I49" s="6" t="s">
        <v>5</v>
      </c>
      <c r="J49" s="6" t="s">
        <v>5</v>
      </c>
      <c r="K49" s="6" t="s">
        <v>2</v>
      </c>
      <c r="L49" s="6" t="s">
        <v>2</v>
      </c>
      <c r="M49" s="6" t="s">
        <v>2</v>
      </c>
      <c r="N49" s="6" t="s">
        <v>5</v>
      </c>
      <c r="O49" s="6" t="s">
        <v>2</v>
      </c>
      <c r="P49" s="6" t="s">
        <v>5</v>
      </c>
      <c r="Q49" s="6" t="s">
        <v>3</v>
      </c>
      <c r="R49" s="6" t="s">
        <v>3</v>
      </c>
      <c r="S49" s="6" t="s">
        <v>5</v>
      </c>
      <c r="T49" s="6" t="s">
        <v>5</v>
      </c>
      <c r="U49" s="6" t="s">
        <v>5</v>
      </c>
      <c r="V49" s="6" t="s">
        <v>5</v>
      </c>
      <c r="W49" s="6" t="s">
        <v>4</v>
      </c>
      <c r="X49" s="6" t="s">
        <v>4</v>
      </c>
      <c r="Y49" s="6" t="s">
        <v>2</v>
      </c>
      <c r="Z49" s="6" t="s">
        <v>3</v>
      </c>
      <c r="AA49" s="6" t="s">
        <v>4</v>
      </c>
      <c r="AB49" s="6" t="s">
        <v>4</v>
      </c>
      <c r="AC49" s="6" t="s">
        <v>4</v>
      </c>
      <c r="AD49" s="6" t="s">
        <v>3</v>
      </c>
      <c r="AE49" s="6" t="s">
        <v>4</v>
      </c>
      <c r="AF49" s="6" t="s">
        <v>4</v>
      </c>
      <c r="AG49" s="6" t="s">
        <v>3</v>
      </c>
      <c r="AH49" s="6" t="s">
        <v>4</v>
      </c>
      <c r="AI49" s="6" t="s">
        <v>3</v>
      </c>
      <c r="AJ49" s="6" t="s">
        <v>3</v>
      </c>
      <c r="AK49" s="6" t="s">
        <v>4</v>
      </c>
      <c r="AL49" s="6" t="s">
        <v>3</v>
      </c>
      <c r="AM49" s="6" t="s">
        <v>3</v>
      </c>
      <c r="AS49" s="6" t="s">
        <v>77</v>
      </c>
      <c r="AT49" s="6">
        <f>COUNTIFS(G:G,"A",C:C,1)/COUNTIF(C:C,1)</f>
        <v>0</v>
      </c>
      <c r="AU49" s="6">
        <f>COUNTIFS(G:G,"A",C:C,2)/COUNTIF(C:C,2)</f>
        <v>0</v>
      </c>
      <c r="AV49" s="6">
        <f>COUNTIFS(G:G,"A",C:C,3)/COUNTIF(C:C,3)</f>
        <v>0</v>
      </c>
      <c r="AW49" s="6">
        <f>COUNTIFS(G:G,"A",C:C,4)/COUNTIF(C:C,4)</f>
        <v>0</v>
      </c>
      <c r="AX49" s="6">
        <f>COUNTIFS(G:G,"A",C:C,5)/COUNTIF(C:C,5)</f>
        <v>0</v>
      </c>
      <c r="AY49" s="6">
        <f>COUNTIFS(G:G,"A",C:C,6)/COUNTIF(C:C,6)</f>
        <v>0</v>
      </c>
      <c r="AZ49"/>
      <c r="BA49" s="31"/>
      <c r="BB49" s="31"/>
      <c r="BC49" s="31"/>
      <c r="BD49" s="31"/>
      <c r="BE49" s="31"/>
      <c r="BF49" s="31"/>
      <c r="BG49" s="31"/>
      <c r="BI49" s="75"/>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row>
    <row r="50" spans="1:98">
      <c r="A50" s="6">
        <f t="shared" si="0"/>
        <v>49</v>
      </c>
      <c r="B50" s="6" t="s">
        <v>270</v>
      </c>
      <c r="C50" s="6">
        <v>4</v>
      </c>
      <c r="D50" s="6" t="s">
        <v>5</v>
      </c>
      <c r="E50" s="6" t="s">
        <v>3</v>
      </c>
      <c r="F50" s="6" t="s">
        <v>2</v>
      </c>
      <c r="G50" s="6" t="s">
        <v>5</v>
      </c>
      <c r="H50" s="6" t="s">
        <v>5</v>
      </c>
      <c r="I50" s="6" t="s">
        <v>5</v>
      </c>
      <c r="J50" s="6" t="s">
        <v>5</v>
      </c>
      <c r="K50" s="6" t="s">
        <v>2</v>
      </c>
      <c r="L50" s="6" t="s">
        <v>2</v>
      </c>
      <c r="M50" s="6" t="s">
        <v>2</v>
      </c>
      <c r="N50" s="6" t="s">
        <v>3</v>
      </c>
      <c r="O50" s="6" t="s">
        <v>5</v>
      </c>
      <c r="P50" s="6" t="s">
        <v>5</v>
      </c>
      <c r="Q50" s="6" t="s">
        <v>2</v>
      </c>
      <c r="R50" s="6" t="s">
        <v>2</v>
      </c>
      <c r="S50" s="6" t="s">
        <v>5</v>
      </c>
      <c r="T50" s="6" t="s">
        <v>5</v>
      </c>
      <c r="U50" s="6" t="s">
        <v>5</v>
      </c>
      <c r="V50" s="6" t="s">
        <v>5</v>
      </c>
      <c r="W50" s="6" t="s">
        <v>3</v>
      </c>
      <c r="X50" s="6" t="s">
        <v>3</v>
      </c>
      <c r="Y50" s="6" t="s">
        <v>2</v>
      </c>
      <c r="Z50" s="6" t="s">
        <v>3</v>
      </c>
      <c r="AA50" s="6" t="s">
        <v>4</v>
      </c>
      <c r="AB50" s="6" t="s">
        <v>4</v>
      </c>
      <c r="AC50" s="6" t="s">
        <v>4</v>
      </c>
      <c r="AD50" s="6" t="s">
        <v>4</v>
      </c>
      <c r="AE50" s="6" t="s">
        <v>4</v>
      </c>
      <c r="AF50" s="6" t="s">
        <v>3</v>
      </c>
      <c r="AG50" s="6" t="s">
        <v>3</v>
      </c>
      <c r="AH50" s="6" t="s">
        <v>4</v>
      </c>
      <c r="AI50" s="6" t="s">
        <v>3</v>
      </c>
      <c r="AJ50" s="6" t="s">
        <v>3</v>
      </c>
      <c r="AK50" s="6" t="s">
        <v>4</v>
      </c>
      <c r="AL50" s="6" t="s">
        <v>3</v>
      </c>
      <c r="AM50" s="6" t="s">
        <v>3</v>
      </c>
      <c r="AS50" s="6" t="s">
        <v>78</v>
      </c>
      <c r="AT50" s="6">
        <f>COUNTIFS(G:G,"B",C:C,1)/COUNTIF(C:C,1)</f>
        <v>0.46153846153846156</v>
      </c>
      <c r="AU50" s="6">
        <f>COUNTIFS(G:G,"B",C:C,2)/COUNTIF(C:C,2)</f>
        <v>7.6923076923076927E-2</v>
      </c>
      <c r="AV50" s="6">
        <f>COUNTIFS(G:G,"B",C:C,3)/COUNTIF(C:C,3)</f>
        <v>7.6923076923076927E-2</v>
      </c>
      <c r="AW50" s="6">
        <f>COUNTIFS(G:G,"B",C:C,4)/COUNTIF(C:C,4)</f>
        <v>0.15384615384615385</v>
      </c>
      <c r="AX50" s="6">
        <f>COUNTIFS(G:G,"B",C:C,5)/COUNTIF(C:C,5)</f>
        <v>0</v>
      </c>
      <c r="AY50" s="6">
        <f>COUNTIFS(G:G,"B",C:C,6)/COUNTIF(C:C,6)</f>
        <v>0</v>
      </c>
      <c r="AZ50"/>
      <c r="BA50" s="31"/>
      <c r="BB50" s="31"/>
      <c r="BC50" s="31"/>
      <c r="BD50" s="31"/>
      <c r="BE50" s="31"/>
      <c r="BF50" s="31"/>
      <c r="BG50" s="31"/>
      <c r="BI50" s="75"/>
    </row>
    <row r="51" spans="1:98">
      <c r="A51" s="6">
        <f t="shared" si="0"/>
        <v>50</v>
      </c>
      <c r="B51" s="6" t="s">
        <v>469</v>
      </c>
      <c r="C51" s="6">
        <v>4</v>
      </c>
      <c r="D51" s="6" t="s">
        <v>5</v>
      </c>
      <c r="E51" s="6" t="s">
        <v>5</v>
      </c>
      <c r="F51" s="6" t="s">
        <v>2</v>
      </c>
      <c r="G51" s="6" t="s">
        <v>3</v>
      </c>
      <c r="H51" s="6" t="s">
        <v>5</v>
      </c>
      <c r="I51" s="6" t="s">
        <v>5</v>
      </c>
      <c r="J51" s="6" t="s">
        <v>5</v>
      </c>
      <c r="K51" s="6" t="s">
        <v>2</v>
      </c>
      <c r="L51" s="6" t="s">
        <v>3</v>
      </c>
      <c r="M51" s="6" t="s">
        <v>3</v>
      </c>
      <c r="N51" s="6" t="s">
        <v>5</v>
      </c>
      <c r="O51" s="6" t="s">
        <v>2</v>
      </c>
      <c r="P51" s="6" t="s">
        <v>5</v>
      </c>
      <c r="Q51" s="6" t="s">
        <v>3</v>
      </c>
      <c r="R51" s="6" t="s">
        <v>2</v>
      </c>
      <c r="S51" s="6" t="s">
        <v>5</v>
      </c>
      <c r="T51" s="6" t="s">
        <v>5</v>
      </c>
      <c r="U51" s="6" t="s">
        <v>5</v>
      </c>
      <c r="V51" s="6" t="s">
        <v>5</v>
      </c>
      <c r="W51" s="6" t="s">
        <v>3</v>
      </c>
      <c r="X51" s="6" t="s">
        <v>4</v>
      </c>
      <c r="Y51" s="6" t="s">
        <v>4</v>
      </c>
      <c r="Z51" s="6" t="s">
        <v>3</v>
      </c>
      <c r="AA51" s="6" t="s">
        <v>4</v>
      </c>
      <c r="AB51" s="6" t="s">
        <v>4</v>
      </c>
      <c r="AC51" s="6" t="s">
        <v>4</v>
      </c>
      <c r="AD51" s="6" t="s">
        <v>4</v>
      </c>
      <c r="AE51" s="6" t="s">
        <v>4</v>
      </c>
      <c r="AF51" s="6" t="s">
        <v>4</v>
      </c>
      <c r="AG51" s="6" t="s">
        <v>3</v>
      </c>
      <c r="AH51" s="6" t="s">
        <v>4</v>
      </c>
      <c r="AI51" s="6" t="s">
        <v>3</v>
      </c>
      <c r="AJ51" s="6" t="s">
        <v>4</v>
      </c>
      <c r="AK51" s="6" t="s">
        <v>4</v>
      </c>
      <c r="AL51" s="6" t="s">
        <v>3</v>
      </c>
      <c r="AM51" s="6" t="s">
        <v>3</v>
      </c>
      <c r="AS51" s="6" t="s">
        <v>79</v>
      </c>
      <c r="AT51" s="6">
        <f>COUNTIFS(G:G,"C",C:C,1)/COUNTIF(C:C,1)</f>
        <v>0</v>
      </c>
      <c r="AU51" s="6">
        <f>COUNTIFS(G:G,"C",C:C,2)/COUNTIF(C:C,2)</f>
        <v>0.30769230769230771</v>
      </c>
      <c r="AV51" s="6">
        <f>COUNTIFS(G:G,"C",C:C,3)/COUNTIF(C:C,3)</f>
        <v>0.23076923076923078</v>
      </c>
      <c r="AW51" s="6">
        <f>COUNTIFS(G:G,"C",C:C,4)/COUNTIF(C:C,4)</f>
        <v>0.23076923076923078</v>
      </c>
      <c r="AX51" s="6">
        <f>COUNTIFS(G:G,"C",C:C,5)/COUNTIF(C:C,5)</f>
        <v>0</v>
      </c>
      <c r="AY51" s="6">
        <f>COUNTIFS(G:G,"C",C:C,6)/COUNTIF(C:C,6)</f>
        <v>7.6923076923076927E-2</v>
      </c>
      <c r="AZ51"/>
      <c r="BA51" s="33"/>
      <c r="BB51" s="33"/>
      <c r="BC51" s="33"/>
      <c r="BD51" s="34"/>
      <c r="BE51" s="33"/>
      <c r="BF51" s="33"/>
      <c r="BG51" s="33"/>
    </row>
    <row r="52" spans="1:98">
      <c r="A52" s="6">
        <f t="shared" si="0"/>
        <v>51</v>
      </c>
      <c r="B52" s="6" t="s">
        <v>470</v>
      </c>
      <c r="C52" s="6">
        <v>4</v>
      </c>
      <c r="D52" s="6" t="s">
        <v>5</v>
      </c>
      <c r="E52" s="6" t="s">
        <v>5</v>
      </c>
      <c r="F52" s="6" t="s">
        <v>5</v>
      </c>
      <c r="G52" s="6" t="s">
        <v>5</v>
      </c>
      <c r="H52" s="6" t="s">
        <v>5</v>
      </c>
      <c r="I52" s="6" t="s">
        <v>5</v>
      </c>
      <c r="J52" s="6" t="s">
        <v>5</v>
      </c>
      <c r="K52" s="6" t="s">
        <v>2</v>
      </c>
      <c r="L52" s="6" t="s">
        <v>2</v>
      </c>
      <c r="M52" s="6" t="s">
        <v>2</v>
      </c>
      <c r="N52" s="6" t="s">
        <v>3</v>
      </c>
      <c r="O52" s="6" t="s">
        <v>3</v>
      </c>
      <c r="P52" s="6" t="s">
        <v>5</v>
      </c>
      <c r="Q52" s="6" t="s">
        <v>3</v>
      </c>
      <c r="R52" s="6" t="s">
        <v>3</v>
      </c>
      <c r="S52" s="6" t="s">
        <v>5</v>
      </c>
      <c r="T52" s="6" t="s">
        <v>5</v>
      </c>
      <c r="U52" s="6" t="s">
        <v>5</v>
      </c>
      <c r="V52" s="6" t="s">
        <v>5</v>
      </c>
      <c r="W52" s="6" t="s">
        <v>4</v>
      </c>
      <c r="X52" s="6" t="s">
        <v>4</v>
      </c>
      <c r="Y52" s="6" t="s">
        <v>2</v>
      </c>
      <c r="Z52" s="6" t="s">
        <v>3</v>
      </c>
      <c r="AA52" s="6" t="s">
        <v>3</v>
      </c>
      <c r="AB52" s="6" t="s">
        <v>3</v>
      </c>
      <c r="AC52" s="6" t="s">
        <v>4</v>
      </c>
      <c r="AD52" s="6" t="s">
        <v>4</v>
      </c>
      <c r="AE52" s="6" t="s">
        <v>4</v>
      </c>
      <c r="AF52" s="6" t="s">
        <v>4</v>
      </c>
      <c r="AG52" s="6" t="s">
        <v>3</v>
      </c>
      <c r="AH52" s="6" t="s">
        <v>4</v>
      </c>
      <c r="AI52" s="6" t="s">
        <v>3</v>
      </c>
      <c r="AJ52" s="6" t="s">
        <v>3</v>
      </c>
      <c r="AK52" s="6" t="s">
        <v>4</v>
      </c>
      <c r="AL52" s="6" t="s">
        <v>4</v>
      </c>
      <c r="AM52" s="6" t="s">
        <v>3</v>
      </c>
      <c r="AS52" s="6" t="s">
        <v>80</v>
      </c>
      <c r="AT52" s="6">
        <f>COUNTIFS(G:G,"D",C:C,1)/COUNTIF(C:C,1)</f>
        <v>0.53846153846153844</v>
      </c>
      <c r="AU52" s="6">
        <f>COUNTIFS(G:G,"D",C:C,2)/COUNTIF(C:C,2)</f>
        <v>0.61538461538461542</v>
      </c>
      <c r="AV52" s="6">
        <f>COUNTIFS(G:G,"D",C:C,3)/COUNTIF(C:C,3)</f>
        <v>0.69230769230769229</v>
      </c>
      <c r="AW52" s="6">
        <f>COUNTIFS(G:G,"D",C:C,4)/COUNTIF(C:C,4)</f>
        <v>0.61538461538461542</v>
      </c>
      <c r="AX52" s="6">
        <f>COUNTIFS(G:G,"D",C:C,5)/COUNTIF(C:C,5)</f>
        <v>1</v>
      </c>
      <c r="AY52" s="6">
        <f>COUNTIFS(G:G,"D",C:C,6)/COUNTIF(C:C,6)</f>
        <v>0.92307692307692313</v>
      </c>
      <c r="AZ52"/>
      <c r="BA52" s="31"/>
      <c r="BB52" s="31"/>
      <c r="BC52" s="31"/>
      <c r="BD52" s="31"/>
      <c r="BE52" s="31"/>
      <c r="BF52" s="31"/>
      <c r="BG52" s="31"/>
      <c r="BI52" s="3"/>
    </row>
    <row r="53" spans="1:98">
      <c r="A53" s="6">
        <f t="shared" si="0"/>
        <v>52</v>
      </c>
      <c r="B53" s="6" t="s">
        <v>487</v>
      </c>
      <c r="C53" s="6">
        <v>4</v>
      </c>
      <c r="D53" s="6" t="s">
        <v>5</v>
      </c>
      <c r="E53" s="6" t="s">
        <v>5</v>
      </c>
      <c r="F53" s="6" t="s">
        <v>4</v>
      </c>
      <c r="G53" s="6" t="s">
        <v>5</v>
      </c>
      <c r="H53" s="6" t="s">
        <v>5</v>
      </c>
      <c r="I53" s="6" t="s">
        <v>5</v>
      </c>
      <c r="J53" s="6" t="s">
        <v>5</v>
      </c>
      <c r="K53" s="6" t="s">
        <v>2</v>
      </c>
      <c r="L53" s="6" t="s">
        <v>2</v>
      </c>
      <c r="M53" s="6" t="s">
        <v>4</v>
      </c>
      <c r="N53" s="6" t="s">
        <v>4</v>
      </c>
      <c r="O53" s="6" t="s">
        <v>4</v>
      </c>
      <c r="P53" s="6" t="s">
        <v>5</v>
      </c>
      <c r="Q53" s="6" t="s">
        <v>4</v>
      </c>
      <c r="R53" s="6" t="s">
        <v>5</v>
      </c>
      <c r="S53" s="6" t="s">
        <v>5</v>
      </c>
      <c r="T53" s="6" t="s">
        <v>3</v>
      </c>
      <c r="U53" s="6" t="s">
        <v>5</v>
      </c>
      <c r="V53" s="6" t="s">
        <v>3</v>
      </c>
      <c r="W53" s="6" t="s">
        <v>4</v>
      </c>
      <c r="X53" s="6" t="s">
        <v>4</v>
      </c>
      <c r="Y53" s="6" t="s">
        <v>2</v>
      </c>
      <c r="Z53" s="6" t="s">
        <v>3</v>
      </c>
      <c r="AA53" s="6" t="s">
        <v>4</v>
      </c>
      <c r="AB53" s="6" t="s">
        <v>4</v>
      </c>
      <c r="AC53" s="6" t="s">
        <v>4</v>
      </c>
      <c r="AD53" s="6" t="s">
        <v>4</v>
      </c>
      <c r="AE53" s="6" t="s">
        <v>4</v>
      </c>
      <c r="AF53" s="6" t="s">
        <v>3</v>
      </c>
      <c r="AG53" s="6" t="s">
        <v>3</v>
      </c>
      <c r="AH53" s="6" t="s">
        <v>4</v>
      </c>
      <c r="AI53" s="6" t="s">
        <v>3</v>
      </c>
      <c r="AJ53" s="6" t="s">
        <v>4</v>
      </c>
      <c r="AK53" s="6" t="s">
        <v>4</v>
      </c>
      <c r="AL53" s="6" t="s">
        <v>4</v>
      </c>
      <c r="AM53" s="6" t="s">
        <v>3</v>
      </c>
      <c r="AZ53"/>
      <c r="BA53" s="31"/>
      <c r="BB53" s="31"/>
      <c r="BC53" s="31"/>
      <c r="BD53" s="31"/>
      <c r="BE53" s="31"/>
      <c r="BF53" s="31"/>
      <c r="BG53" s="31"/>
    </row>
    <row r="54" spans="1:98">
      <c r="A54" s="6">
        <f t="shared" si="0"/>
        <v>53</v>
      </c>
      <c r="B54" s="6" t="s">
        <v>29</v>
      </c>
      <c r="C54" s="6">
        <v>5</v>
      </c>
      <c r="D54" s="6" t="s">
        <v>5</v>
      </c>
      <c r="E54" s="6" t="s">
        <v>3</v>
      </c>
      <c r="F54" s="6" t="s">
        <v>5</v>
      </c>
      <c r="G54" s="6" t="s">
        <v>5</v>
      </c>
      <c r="H54" s="6" t="s">
        <v>5</v>
      </c>
      <c r="I54" s="6" t="s">
        <v>5</v>
      </c>
      <c r="J54" s="6" t="s">
        <v>5</v>
      </c>
      <c r="K54" s="6" t="s">
        <v>2</v>
      </c>
      <c r="L54" s="6" t="s">
        <v>2</v>
      </c>
      <c r="M54" s="6" t="s">
        <v>4</v>
      </c>
      <c r="N54" s="6" t="s">
        <v>4</v>
      </c>
      <c r="O54" s="6" t="s">
        <v>3</v>
      </c>
      <c r="P54" s="6" t="s">
        <v>5</v>
      </c>
      <c r="Q54" s="6" t="s">
        <v>2</v>
      </c>
      <c r="R54" s="6" t="s">
        <v>5</v>
      </c>
      <c r="S54" s="6" t="s">
        <v>2</v>
      </c>
      <c r="T54" s="6" t="s">
        <v>2</v>
      </c>
      <c r="U54" s="6" t="s">
        <v>5</v>
      </c>
      <c r="V54" s="6" t="s">
        <v>4</v>
      </c>
      <c r="W54" s="6" t="s">
        <v>3</v>
      </c>
      <c r="X54" s="6" t="s">
        <v>3</v>
      </c>
      <c r="Y54" s="6" t="s">
        <v>4</v>
      </c>
      <c r="Z54" s="6" t="s">
        <v>3</v>
      </c>
      <c r="AA54" s="6" t="s">
        <v>4</v>
      </c>
      <c r="AB54" s="6" t="s">
        <v>4</v>
      </c>
      <c r="AC54" s="6" t="s">
        <v>4</v>
      </c>
      <c r="AD54" s="6" t="s">
        <v>4</v>
      </c>
      <c r="AE54" s="6" t="s">
        <v>4</v>
      </c>
      <c r="AF54" s="6" t="s">
        <v>4</v>
      </c>
      <c r="AG54" s="6" t="s">
        <v>3</v>
      </c>
      <c r="AH54" s="6" t="s">
        <v>4</v>
      </c>
      <c r="AI54" s="6" t="s">
        <v>3</v>
      </c>
      <c r="AJ54" s="6" t="s">
        <v>4</v>
      </c>
      <c r="AK54" s="6" t="s">
        <v>4</v>
      </c>
      <c r="AL54" s="6" t="s">
        <v>4</v>
      </c>
      <c r="AM54" s="6" t="s">
        <v>3</v>
      </c>
      <c r="AS54" s="7" t="s">
        <v>236</v>
      </c>
      <c r="AT54" s="7">
        <v>1</v>
      </c>
      <c r="AU54" s="7">
        <v>2</v>
      </c>
      <c r="AV54" s="7">
        <v>3</v>
      </c>
      <c r="AW54" s="7">
        <v>4</v>
      </c>
      <c r="AX54" s="7">
        <v>5</v>
      </c>
      <c r="AY54" s="7">
        <v>6</v>
      </c>
      <c r="AZ54"/>
      <c r="BA54" s="31"/>
      <c r="BB54" s="31"/>
      <c r="BC54" s="31"/>
      <c r="BD54" s="31"/>
      <c r="BE54" s="31"/>
      <c r="BF54" s="31"/>
      <c r="BG54" s="31"/>
      <c r="BI54" s="3"/>
    </row>
    <row r="55" spans="1:98">
      <c r="A55" s="6">
        <f t="shared" si="0"/>
        <v>54</v>
      </c>
      <c r="B55" s="6" t="s">
        <v>30</v>
      </c>
      <c r="C55" s="6">
        <v>5</v>
      </c>
      <c r="D55" s="6" t="s">
        <v>2</v>
      </c>
      <c r="E55" s="6" t="s">
        <v>5</v>
      </c>
      <c r="F55" s="6" t="s">
        <v>3</v>
      </c>
      <c r="G55" s="6" t="s">
        <v>5</v>
      </c>
      <c r="H55" s="6" t="s">
        <v>5</v>
      </c>
      <c r="I55" s="6" t="s">
        <v>3</v>
      </c>
      <c r="J55" s="6" t="s">
        <v>5</v>
      </c>
      <c r="K55" s="6" t="s">
        <v>2</v>
      </c>
      <c r="L55" s="6" t="s">
        <v>2</v>
      </c>
      <c r="M55" s="6" t="s">
        <v>5</v>
      </c>
      <c r="N55" s="6" t="s">
        <v>2</v>
      </c>
      <c r="O55" s="6" t="s">
        <v>2</v>
      </c>
      <c r="P55" s="6" t="s">
        <v>4</v>
      </c>
      <c r="Q55" s="6" t="s">
        <v>3</v>
      </c>
      <c r="R55" s="6" t="s">
        <v>2</v>
      </c>
      <c r="S55" s="6" t="s">
        <v>5</v>
      </c>
      <c r="T55" s="6" t="s">
        <v>5</v>
      </c>
      <c r="U55" s="6" t="s">
        <v>5</v>
      </c>
      <c r="V55" s="6" t="s">
        <v>3</v>
      </c>
      <c r="W55" s="6" t="s">
        <v>3</v>
      </c>
      <c r="X55" s="6" t="s">
        <v>3</v>
      </c>
      <c r="Y55" s="6" t="s">
        <v>4</v>
      </c>
      <c r="Z55" s="6" t="s">
        <v>3</v>
      </c>
      <c r="AA55" s="6" t="s">
        <v>4</v>
      </c>
      <c r="AB55" s="6" t="s">
        <v>4</v>
      </c>
      <c r="AC55" s="6" t="s">
        <v>4</v>
      </c>
      <c r="AD55" s="6" t="s">
        <v>4</v>
      </c>
      <c r="AE55" s="6" t="s">
        <v>4</v>
      </c>
      <c r="AF55" s="6" t="s">
        <v>3</v>
      </c>
      <c r="AG55" s="6" t="s">
        <v>4</v>
      </c>
      <c r="AH55" s="6" t="s">
        <v>4</v>
      </c>
      <c r="AI55" s="6" t="s">
        <v>3</v>
      </c>
      <c r="AJ55" s="6" t="s">
        <v>4</v>
      </c>
      <c r="AK55" s="6" t="s">
        <v>4</v>
      </c>
      <c r="AL55" s="6" t="s">
        <v>4</v>
      </c>
      <c r="AM55" s="6" t="s">
        <v>3</v>
      </c>
      <c r="AS55" s="6" t="s">
        <v>81</v>
      </c>
      <c r="AT55" s="6">
        <f>COUNTIFS(H:H,"A",C:C,1)/COUNTIF(C:C,1)</f>
        <v>0</v>
      </c>
      <c r="AU55" s="6">
        <f>COUNTIFS(H:H,"A",C:C,2)/COUNTIF(C:C,2)</f>
        <v>0</v>
      </c>
      <c r="AV55" s="6">
        <f>COUNTIFS(H:H,"A",C:C,3)/COUNTIF(C:C,3)</f>
        <v>0</v>
      </c>
      <c r="AW55" s="6">
        <f>COUNTIFS(H:H,"A",C:C,4)/COUNTIF(C:C,4)</f>
        <v>0</v>
      </c>
      <c r="AX55" s="6">
        <f>COUNTIFS(H:H,"A",C:C,5)/COUNTIF(C:C,5)</f>
        <v>0</v>
      </c>
      <c r="AY55" s="6">
        <f>COUNTIFS(H:H,"A",C:C,6)/COUNTIF(C:C,6)</f>
        <v>0</v>
      </c>
      <c r="AZ55"/>
      <c r="BA55" s="31"/>
      <c r="BB55" s="31"/>
      <c r="BC55" s="31"/>
      <c r="BD55" s="31"/>
      <c r="BE55" s="31"/>
      <c r="BF55" s="31"/>
      <c r="BG55" s="31"/>
    </row>
    <row r="56" spans="1:98">
      <c r="A56" s="6">
        <f t="shared" si="0"/>
        <v>55</v>
      </c>
      <c r="B56" s="6" t="s">
        <v>31</v>
      </c>
      <c r="C56" s="6">
        <v>5</v>
      </c>
      <c r="D56" s="6" t="s">
        <v>4</v>
      </c>
      <c r="E56" s="6" t="s">
        <v>5</v>
      </c>
      <c r="F56" s="6" t="s">
        <v>2</v>
      </c>
      <c r="G56" s="6" t="s">
        <v>5</v>
      </c>
      <c r="H56" s="6" t="s">
        <v>5</v>
      </c>
      <c r="I56" s="6" t="s">
        <v>5</v>
      </c>
      <c r="J56" s="6" t="s">
        <v>2</v>
      </c>
      <c r="K56" s="6" t="s">
        <v>2</v>
      </c>
      <c r="L56" s="6" t="s">
        <v>2</v>
      </c>
      <c r="M56" s="6" t="s">
        <v>4</v>
      </c>
      <c r="N56" s="6" t="s">
        <v>4</v>
      </c>
      <c r="O56" s="6" t="s">
        <v>4</v>
      </c>
      <c r="P56" s="6" t="s">
        <v>5</v>
      </c>
      <c r="Q56" s="6" t="s">
        <v>4</v>
      </c>
      <c r="R56" s="6" t="s">
        <v>5</v>
      </c>
      <c r="S56" s="6" t="s">
        <v>5</v>
      </c>
      <c r="T56" s="6" t="s">
        <v>5</v>
      </c>
      <c r="U56" s="6" t="s">
        <v>5</v>
      </c>
      <c r="V56" s="6" t="s">
        <v>5</v>
      </c>
      <c r="W56" s="6" t="s">
        <v>4</v>
      </c>
      <c r="X56" s="6" t="s">
        <v>3</v>
      </c>
      <c r="Y56" s="6" t="s">
        <v>3</v>
      </c>
      <c r="Z56" s="6" t="s">
        <v>3</v>
      </c>
      <c r="AA56" s="6" t="s">
        <v>4</v>
      </c>
      <c r="AB56" s="6" t="s">
        <v>4</v>
      </c>
      <c r="AC56" s="6" t="s">
        <v>4</v>
      </c>
      <c r="AD56" s="6" t="s">
        <v>4</v>
      </c>
      <c r="AE56" s="6" t="s">
        <v>4</v>
      </c>
      <c r="AF56" s="6" t="s">
        <v>4</v>
      </c>
      <c r="AG56" s="6" t="s">
        <v>3</v>
      </c>
      <c r="AH56" s="6" t="s">
        <v>4</v>
      </c>
      <c r="AI56" s="6" t="s">
        <v>3</v>
      </c>
      <c r="AJ56" s="6" t="s">
        <v>4</v>
      </c>
      <c r="AK56" s="6" t="s">
        <v>4</v>
      </c>
      <c r="AL56" s="6" t="s">
        <v>4</v>
      </c>
      <c r="AM56" s="6" t="s">
        <v>3</v>
      </c>
      <c r="AS56" s="6" t="s">
        <v>82</v>
      </c>
      <c r="AT56" s="6">
        <f>COUNTIFS(H:H,"B",C:C,1)/COUNTIF(C:C,1)</f>
        <v>0</v>
      </c>
      <c r="AU56" s="6">
        <f>COUNTIFS(H:H,"B",C:C,2)/COUNTIF(C:C,2)</f>
        <v>0</v>
      </c>
      <c r="AV56" s="6">
        <f>COUNTIFS(H:H,"B",C:C,3)/COUNTIF(C:C,3)</f>
        <v>0</v>
      </c>
      <c r="AW56" s="6">
        <f>COUNTIFS(H:H,"B",C:C,4)/COUNTIF(C:C,4)</f>
        <v>0</v>
      </c>
      <c r="AX56" s="6">
        <f>COUNTIFS(H:H,"B",C:C,5)/COUNTIF(C:C,5)</f>
        <v>0</v>
      </c>
      <c r="AY56" s="6">
        <f>COUNTIFS(H:H,"B",C:C,6)/COUNTIF(C:C,6)</f>
        <v>0</v>
      </c>
      <c r="AZ56"/>
      <c r="BA56" s="31"/>
      <c r="BB56" s="31"/>
      <c r="BC56" s="31"/>
      <c r="BD56" s="31"/>
      <c r="BE56" s="31"/>
      <c r="BF56" s="36"/>
      <c r="BG56" s="31"/>
      <c r="BI56" s="3"/>
    </row>
    <row r="57" spans="1:98">
      <c r="A57" s="6">
        <f t="shared" si="0"/>
        <v>56</v>
      </c>
      <c r="B57" s="6" t="s">
        <v>32</v>
      </c>
      <c r="C57" s="6">
        <v>5</v>
      </c>
      <c r="D57" s="6" t="s">
        <v>5</v>
      </c>
      <c r="E57" s="6" t="s">
        <v>3</v>
      </c>
      <c r="F57" s="6" t="s">
        <v>3</v>
      </c>
      <c r="G57" s="6" t="s">
        <v>5</v>
      </c>
      <c r="H57" s="6" t="s">
        <v>5</v>
      </c>
      <c r="I57" s="6" t="s">
        <v>5</v>
      </c>
      <c r="J57" s="6" t="s">
        <v>5</v>
      </c>
      <c r="K57" s="6" t="s">
        <v>2</v>
      </c>
      <c r="L57" s="6" t="s">
        <v>4</v>
      </c>
      <c r="M57" s="6" t="s">
        <v>4</v>
      </c>
      <c r="N57" s="6" t="s">
        <v>4</v>
      </c>
      <c r="O57" s="6" t="s">
        <v>5</v>
      </c>
      <c r="P57" s="6" t="s">
        <v>2</v>
      </c>
      <c r="Q57" s="6" t="s">
        <v>4</v>
      </c>
      <c r="R57" s="6" t="s">
        <v>5</v>
      </c>
      <c r="S57" s="6" t="s">
        <v>5</v>
      </c>
      <c r="T57" s="6" t="s">
        <v>3</v>
      </c>
      <c r="U57" s="6" t="s">
        <v>3</v>
      </c>
      <c r="V57" s="6" t="s">
        <v>3</v>
      </c>
      <c r="W57" s="6" t="s">
        <v>4</v>
      </c>
      <c r="X57" s="6" t="s">
        <v>3</v>
      </c>
      <c r="Y57" s="6" t="s">
        <v>2</v>
      </c>
      <c r="Z57" s="6" t="s">
        <v>3</v>
      </c>
      <c r="AA57" s="6" t="s">
        <v>4</v>
      </c>
      <c r="AB57" s="6" t="s">
        <v>4</v>
      </c>
      <c r="AC57" s="6" t="s">
        <v>4</v>
      </c>
      <c r="AD57" s="6" t="s">
        <v>4</v>
      </c>
      <c r="AE57" s="6" t="s">
        <v>4</v>
      </c>
      <c r="AF57" s="6" t="s">
        <v>4</v>
      </c>
      <c r="AG57" s="6" t="s">
        <v>3</v>
      </c>
      <c r="AH57" s="6" t="s">
        <v>4</v>
      </c>
      <c r="AI57" s="6" t="s">
        <v>3</v>
      </c>
      <c r="AJ57" s="6" t="s">
        <v>4</v>
      </c>
      <c r="AK57" s="6" t="s">
        <v>4</v>
      </c>
      <c r="AL57" s="6" t="s">
        <v>4</v>
      </c>
      <c r="AM57" s="6" t="s">
        <v>3</v>
      </c>
      <c r="AS57" s="6" t="s">
        <v>83</v>
      </c>
      <c r="AT57" s="6">
        <f>COUNTIFS(H:H,"C",C:C,1)/COUNTIF(C:C,1)</f>
        <v>0</v>
      </c>
      <c r="AU57" s="6">
        <f>COUNTIFS(H:H,"C",C:C,2)/COUNTIF(C:C,2)</f>
        <v>0</v>
      </c>
      <c r="AV57" s="6">
        <f>COUNTIFS(H:H,"C",C:C,3)/COUNTIF(C:C,3)</f>
        <v>0</v>
      </c>
      <c r="AW57" s="6">
        <f>COUNTIFS(H:H,"C",C:C,4)/COUNTIF(C:C,4)</f>
        <v>0</v>
      </c>
      <c r="AX57" s="6">
        <f>COUNTIFS(H:H,"C",C:C,5)/COUNTIF(C:C,5)</f>
        <v>0</v>
      </c>
      <c r="AY57" s="6">
        <f>COUNTIFS(H:H,"C",C:C,6)/COUNTIF(C:C,6)</f>
        <v>0</v>
      </c>
      <c r="AZ57"/>
      <c r="BA57" s="33"/>
      <c r="BB57" s="33"/>
      <c r="BC57" s="33"/>
      <c r="BD57" s="33"/>
      <c r="BE57" s="33"/>
      <c r="BF57" s="33"/>
      <c r="BG57" s="33"/>
    </row>
    <row r="58" spans="1:98">
      <c r="A58" s="6">
        <f t="shared" si="0"/>
        <v>57</v>
      </c>
      <c r="B58" s="6" t="s">
        <v>33</v>
      </c>
      <c r="C58" s="6">
        <v>5</v>
      </c>
      <c r="D58" s="6" t="s">
        <v>5</v>
      </c>
      <c r="E58" s="6" t="s">
        <v>3</v>
      </c>
      <c r="F58" s="6" t="s">
        <v>4</v>
      </c>
      <c r="G58" s="6" t="s">
        <v>5</v>
      </c>
      <c r="H58" s="6" t="s">
        <v>5</v>
      </c>
      <c r="I58" s="6" t="s">
        <v>3</v>
      </c>
      <c r="J58" s="6" t="s">
        <v>5</v>
      </c>
      <c r="K58" s="6" t="s">
        <v>2</v>
      </c>
      <c r="L58" s="6" t="s">
        <v>3</v>
      </c>
      <c r="M58" s="6" t="s">
        <v>2</v>
      </c>
      <c r="N58" s="6" t="s">
        <v>2</v>
      </c>
      <c r="O58" s="6" t="s">
        <v>5</v>
      </c>
      <c r="P58" s="6" t="s">
        <v>5</v>
      </c>
      <c r="Q58" s="6" t="s">
        <v>2</v>
      </c>
      <c r="R58" s="6" t="s">
        <v>5</v>
      </c>
      <c r="S58" s="6" t="s">
        <v>5</v>
      </c>
      <c r="T58" s="6" t="s">
        <v>3</v>
      </c>
      <c r="U58" s="6" t="s">
        <v>5</v>
      </c>
      <c r="V58" s="6" t="s">
        <v>2</v>
      </c>
      <c r="W58" s="6" t="s">
        <v>4</v>
      </c>
      <c r="X58" s="6" t="s">
        <v>4</v>
      </c>
      <c r="Y58" s="6" t="s">
        <v>2</v>
      </c>
      <c r="Z58" s="6" t="s">
        <v>3</v>
      </c>
      <c r="AA58" s="6" t="s">
        <v>4</v>
      </c>
      <c r="AB58" s="6" t="s">
        <v>4</v>
      </c>
      <c r="AC58" s="6" t="s">
        <v>4</v>
      </c>
      <c r="AD58" s="6" t="s">
        <v>4</v>
      </c>
      <c r="AE58" s="6" t="s">
        <v>4</v>
      </c>
      <c r="AF58" s="6" t="s">
        <v>4</v>
      </c>
      <c r="AG58" s="6" t="s">
        <v>3</v>
      </c>
      <c r="AH58" s="6" t="s">
        <v>4</v>
      </c>
      <c r="AI58" s="6" t="s">
        <v>3</v>
      </c>
      <c r="AJ58" s="6" t="s">
        <v>4</v>
      </c>
      <c r="AK58" s="6" t="s">
        <v>4</v>
      </c>
      <c r="AL58" s="6" t="s">
        <v>3</v>
      </c>
      <c r="AM58" s="6" t="s">
        <v>3</v>
      </c>
      <c r="AS58" s="6" t="s">
        <v>84</v>
      </c>
      <c r="AT58" s="6">
        <f>COUNTIFS(H:H,"D",C:C,1)/COUNTIF(C:C,1)</f>
        <v>1</v>
      </c>
      <c r="AU58" s="6">
        <f>COUNTIFS(H:H,"D",C:C,2)/COUNTIF(C:C,2)</f>
        <v>1</v>
      </c>
      <c r="AV58" s="6">
        <f>COUNTIFS(H:H,"D",C:C,3)/COUNTIF(C:C,3)</f>
        <v>1</v>
      </c>
      <c r="AW58" s="6">
        <f>COUNTIFS(H:H,"D",C:C,4)/COUNTIF(C:C,4)</f>
        <v>1</v>
      </c>
      <c r="AX58" s="6">
        <f>COUNTIFS(H:H,"D",C:C,5)/COUNTIF(C:C,5)</f>
        <v>1</v>
      </c>
      <c r="AY58" s="6">
        <f>COUNTIFS(H:H,"D",C:C,6)/COUNTIF(C:C,6)</f>
        <v>1</v>
      </c>
      <c r="AZ58"/>
      <c r="BA58" s="33"/>
      <c r="BB58" s="33"/>
      <c r="BC58" s="33"/>
      <c r="BD58" s="33"/>
      <c r="BE58" s="33"/>
      <c r="BF58" s="33"/>
      <c r="BG58" s="33"/>
      <c r="BI58" s="3"/>
    </row>
    <row r="59" spans="1:98">
      <c r="A59" s="6">
        <f t="shared" si="0"/>
        <v>58</v>
      </c>
      <c r="B59" s="6" t="s">
        <v>34</v>
      </c>
      <c r="C59" s="6">
        <v>5</v>
      </c>
      <c r="D59" s="6" t="s">
        <v>5</v>
      </c>
      <c r="E59" s="6" t="s">
        <v>5</v>
      </c>
      <c r="F59" s="6" t="s">
        <v>3</v>
      </c>
      <c r="G59" s="6" t="s">
        <v>5</v>
      </c>
      <c r="H59" s="6" t="s">
        <v>5</v>
      </c>
      <c r="I59" s="6" t="s">
        <v>3</v>
      </c>
      <c r="J59" s="6" t="s">
        <v>5</v>
      </c>
      <c r="K59" s="6" t="s">
        <v>2</v>
      </c>
      <c r="L59" s="6" t="s">
        <v>4</v>
      </c>
      <c r="M59" s="6" t="s">
        <v>4</v>
      </c>
      <c r="N59" s="6" t="s">
        <v>4</v>
      </c>
      <c r="O59" s="6" t="s">
        <v>5</v>
      </c>
      <c r="P59" s="6" t="s">
        <v>2</v>
      </c>
      <c r="Q59" s="6" t="s">
        <v>4</v>
      </c>
      <c r="R59" s="6" t="s">
        <v>5</v>
      </c>
      <c r="S59" s="6" t="s">
        <v>5</v>
      </c>
      <c r="T59" s="6" t="s">
        <v>2</v>
      </c>
      <c r="U59" s="6" t="s">
        <v>5</v>
      </c>
      <c r="V59" s="6" t="s">
        <v>5</v>
      </c>
      <c r="W59" s="6" t="s">
        <v>3</v>
      </c>
      <c r="X59" s="6" t="s">
        <v>3</v>
      </c>
      <c r="Y59" s="6" t="s">
        <v>4</v>
      </c>
      <c r="Z59" s="6" t="s">
        <v>3</v>
      </c>
      <c r="AA59" s="6" t="s">
        <v>4</v>
      </c>
      <c r="AB59" s="6" t="s">
        <v>4</v>
      </c>
      <c r="AC59" s="6" t="s">
        <v>4</v>
      </c>
      <c r="AD59" s="6" t="s">
        <v>4</v>
      </c>
      <c r="AE59" s="6" t="s">
        <v>4</v>
      </c>
      <c r="AF59" s="6" t="s">
        <v>4</v>
      </c>
      <c r="AG59" s="6" t="s">
        <v>4</v>
      </c>
      <c r="AH59" s="6" t="s">
        <v>4</v>
      </c>
      <c r="AI59" s="6" t="s">
        <v>3</v>
      </c>
      <c r="AJ59" s="6" t="s">
        <v>4</v>
      </c>
      <c r="AK59" s="6" t="s">
        <v>4</v>
      </c>
      <c r="AL59" s="6" t="s">
        <v>3</v>
      </c>
      <c r="AM59" s="6" t="s">
        <v>3</v>
      </c>
      <c r="AZ59"/>
      <c r="BA59" s="33"/>
      <c r="BB59" s="33"/>
      <c r="BC59" s="33"/>
      <c r="BD59" s="33"/>
      <c r="BE59" s="33"/>
      <c r="BF59" s="33"/>
      <c r="BG59" s="33"/>
    </row>
    <row r="60" spans="1:98">
      <c r="A60" s="6">
        <f t="shared" si="0"/>
        <v>59</v>
      </c>
      <c r="B60" s="6" t="s">
        <v>271</v>
      </c>
      <c r="C60" s="6">
        <v>5</v>
      </c>
      <c r="D60" s="6" t="s">
        <v>5</v>
      </c>
      <c r="E60" s="6" t="s">
        <v>3</v>
      </c>
      <c r="F60" s="6" t="s">
        <v>2</v>
      </c>
      <c r="G60" s="6" t="s">
        <v>5</v>
      </c>
      <c r="H60" s="6" t="s">
        <v>5</v>
      </c>
      <c r="I60" s="6" t="s">
        <v>5</v>
      </c>
      <c r="J60" s="6" t="s">
        <v>5</v>
      </c>
      <c r="K60" s="6" t="s">
        <v>2</v>
      </c>
      <c r="L60" s="6" t="s">
        <v>2</v>
      </c>
      <c r="M60" s="6" t="s">
        <v>2</v>
      </c>
      <c r="N60" s="6" t="s">
        <v>3</v>
      </c>
      <c r="O60" s="6" t="s">
        <v>2</v>
      </c>
      <c r="P60" s="6" t="s">
        <v>5</v>
      </c>
      <c r="Q60" s="6" t="s">
        <v>2</v>
      </c>
      <c r="R60" s="6" t="s">
        <v>2</v>
      </c>
      <c r="S60" s="6" t="s">
        <v>5</v>
      </c>
      <c r="T60" s="6" t="s">
        <v>5</v>
      </c>
      <c r="U60" s="6" t="s">
        <v>5</v>
      </c>
      <c r="V60" s="6" t="s">
        <v>5</v>
      </c>
      <c r="W60" s="6" t="s">
        <v>3</v>
      </c>
      <c r="X60" s="6" t="s">
        <v>3</v>
      </c>
      <c r="Y60" s="6" t="s">
        <v>2</v>
      </c>
      <c r="Z60" s="6" t="s">
        <v>3</v>
      </c>
      <c r="AA60" s="6" t="s">
        <v>4</v>
      </c>
      <c r="AB60" s="6" t="s">
        <v>4</v>
      </c>
      <c r="AC60" s="6" t="s">
        <v>4</v>
      </c>
      <c r="AD60" s="6" t="s">
        <v>4</v>
      </c>
      <c r="AE60" s="6" t="s">
        <v>4</v>
      </c>
      <c r="AF60" s="6" t="s">
        <v>3</v>
      </c>
      <c r="AG60" s="6" t="s">
        <v>3</v>
      </c>
      <c r="AH60" s="6" t="s">
        <v>4</v>
      </c>
      <c r="AI60" s="6" t="s">
        <v>3</v>
      </c>
      <c r="AJ60" s="6" t="s">
        <v>4</v>
      </c>
      <c r="AK60" s="6" t="s">
        <v>4</v>
      </c>
      <c r="AL60" s="6" t="s">
        <v>3</v>
      </c>
      <c r="AM60" s="6" t="s">
        <v>3</v>
      </c>
      <c r="AS60" s="7" t="s">
        <v>237</v>
      </c>
      <c r="AT60" s="7">
        <v>1</v>
      </c>
      <c r="AU60" s="7">
        <v>2</v>
      </c>
      <c r="AV60" s="7">
        <v>3</v>
      </c>
      <c r="AW60" s="7">
        <v>4</v>
      </c>
      <c r="AX60" s="7">
        <v>5</v>
      </c>
      <c r="AY60" s="7">
        <v>6</v>
      </c>
      <c r="AZ60"/>
      <c r="BA60" s="31"/>
      <c r="BB60" s="31"/>
      <c r="BC60" s="31"/>
      <c r="BD60" s="31"/>
      <c r="BE60" s="31"/>
      <c r="BF60" s="31"/>
      <c r="BG60" s="31"/>
      <c r="BI60" s="3"/>
    </row>
    <row r="61" spans="1:98">
      <c r="A61" s="6">
        <f t="shared" si="0"/>
        <v>60</v>
      </c>
      <c r="B61" s="6" t="s">
        <v>272</v>
      </c>
      <c r="C61" s="6">
        <v>5</v>
      </c>
      <c r="D61" s="6" t="s">
        <v>5</v>
      </c>
      <c r="E61" s="6" t="s">
        <v>5</v>
      </c>
      <c r="F61" s="6" t="s">
        <v>2</v>
      </c>
      <c r="G61" s="6" t="s">
        <v>5</v>
      </c>
      <c r="H61" s="6" t="s">
        <v>5</v>
      </c>
      <c r="I61" s="6" t="s">
        <v>3</v>
      </c>
      <c r="J61" s="6" t="s">
        <v>5</v>
      </c>
      <c r="K61" s="6" t="s">
        <v>2</v>
      </c>
      <c r="L61" s="6" t="s">
        <v>2</v>
      </c>
      <c r="M61" s="6" t="s">
        <v>2</v>
      </c>
      <c r="N61" s="6" t="s">
        <v>2</v>
      </c>
      <c r="O61" s="6" t="s">
        <v>2</v>
      </c>
      <c r="P61" s="6" t="s">
        <v>2</v>
      </c>
      <c r="Q61" s="6" t="s">
        <v>3</v>
      </c>
      <c r="R61" s="6" t="s">
        <v>3</v>
      </c>
      <c r="S61" s="6" t="s">
        <v>5</v>
      </c>
      <c r="T61" s="6" t="s">
        <v>5</v>
      </c>
      <c r="U61" s="6" t="s">
        <v>5</v>
      </c>
      <c r="V61" s="6" t="s">
        <v>5</v>
      </c>
      <c r="W61" s="6" t="s">
        <v>3</v>
      </c>
      <c r="X61" s="6" t="s">
        <v>3</v>
      </c>
      <c r="Y61" s="6" t="s">
        <v>2</v>
      </c>
      <c r="Z61" s="6" t="s">
        <v>3</v>
      </c>
      <c r="AA61" s="6" t="s">
        <v>4</v>
      </c>
      <c r="AB61" s="6" t="s">
        <v>4</v>
      </c>
      <c r="AC61" s="6" t="s">
        <v>4</v>
      </c>
      <c r="AD61" s="6" t="s">
        <v>4</v>
      </c>
      <c r="AE61" s="6" t="s">
        <v>4</v>
      </c>
      <c r="AF61" s="6" t="s">
        <v>3</v>
      </c>
      <c r="AG61" s="6" t="s">
        <v>3</v>
      </c>
      <c r="AH61" s="6" t="s">
        <v>4</v>
      </c>
      <c r="AI61" s="6" t="s">
        <v>3</v>
      </c>
      <c r="AJ61" s="6" t="s">
        <v>3</v>
      </c>
      <c r="AK61" s="6" t="s">
        <v>4</v>
      </c>
      <c r="AL61" s="6" t="s">
        <v>3</v>
      </c>
      <c r="AM61" s="6" t="s">
        <v>3</v>
      </c>
      <c r="AS61" s="6" t="s">
        <v>162</v>
      </c>
      <c r="AT61" s="6">
        <f>COUNTIFS(I:I,"A",C:C,1)/COUNTIF(C:C,1)</f>
        <v>0</v>
      </c>
      <c r="AU61" s="6">
        <f>COUNTIFS(I:I,"A",C:C,2)/COUNTIF(C:C,2)</f>
        <v>0</v>
      </c>
      <c r="AV61" s="6">
        <f>COUNTIFS(I:I,"A",C:C,3)/COUNTIF(C:C,3)</f>
        <v>0</v>
      </c>
      <c r="AW61" s="6">
        <f>COUNTIFS(I:I,"A",C:C,4)/COUNTIF(C:C,4)</f>
        <v>0</v>
      </c>
      <c r="AX61" s="6">
        <f>COUNTIFS(I:I,"A",C:C,5)/COUNTIF(C:C,5)</f>
        <v>0</v>
      </c>
      <c r="AY61" s="6">
        <f>COUNTIFS(I:I,"A",C:C,6)/COUNTIF(C:C,6)</f>
        <v>0</v>
      </c>
      <c r="AZ61"/>
      <c r="BA61" s="31"/>
      <c r="BB61" s="31"/>
      <c r="BC61" s="31"/>
      <c r="BD61" s="31"/>
      <c r="BE61" s="31"/>
      <c r="BF61" s="31"/>
      <c r="BG61" s="31"/>
    </row>
    <row r="62" spans="1:98">
      <c r="A62" s="6">
        <f t="shared" si="0"/>
        <v>61</v>
      </c>
      <c r="B62" s="6" t="s">
        <v>273</v>
      </c>
      <c r="C62" s="6">
        <v>5</v>
      </c>
      <c r="D62" s="6" t="s">
        <v>5</v>
      </c>
      <c r="E62" s="6" t="s">
        <v>5</v>
      </c>
      <c r="F62" s="6" t="s">
        <v>2</v>
      </c>
      <c r="G62" s="6" t="s">
        <v>5</v>
      </c>
      <c r="H62" s="6" t="s">
        <v>5</v>
      </c>
      <c r="I62" s="6" t="s">
        <v>3</v>
      </c>
      <c r="J62" s="6" t="s">
        <v>5</v>
      </c>
      <c r="K62" s="6" t="s">
        <v>2</v>
      </c>
      <c r="L62" s="6" t="s">
        <v>3</v>
      </c>
      <c r="M62" s="6" t="s">
        <v>5</v>
      </c>
      <c r="N62" s="6" t="s">
        <v>2</v>
      </c>
      <c r="O62" s="6" t="s">
        <v>5</v>
      </c>
      <c r="P62" s="6" t="s">
        <v>5</v>
      </c>
      <c r="Q62" s="6" t="s">
        <v>2</v>
      </c>
      <c r="R62" s="6" t="s">
        <v>2</v>
      </c>
      <c r="S62" s="6" t="s">
        <v>5</v>
      </c>
      <c r="T62" s="6" t="s">
        <v>5</v>
      </c>
      <c r="U62" s="6" t="s">
        <v>5</v>
      </c>
      <c r="V62" s="6" t="s">
        <v>5</v>
      </c>
      <c r="W62" s="6" t="s">
        <v>3</v>
      </c>
      <c r="X62" s="6" t="s">
        <v>3</v>
      </c>
      <c r="Y62" s="6" t="s">
        <v>2</v>
      </c>
      <c r="Z62" s="6" t="s">
        <v>3</v>
      </c>
      <c r="AA62" s="6" t="s">
        <v>4</v>
      </c>
      <c r="AB62" s="6" t="s">
        <v>4</v>
      </c>
      <c r="AC62" s="6" t="s">
        <v>4</v>
      </c>
      <c r="AD62" s="6" t="s">
        <v>4</v>
      </c>
      <c r="AE62" s="6" t="s">
        <v>4</v>
      </c>
      <c r="AF62" s="6" t="s">
        <v>4</v>
      </c>
      <c r="AG62" s="6" t="s">
        <v>3</v>
      </c>
      <c r="AH62" s="6" t="s">
        <v>4</v>
      </c>
      <c r="AI62" s="6" t="s">
        <v>3</v>
      </c>
      <c r="AJ62" s="6" t="s">
        <v>3</v>
      </c>
      <c r="AK62" s="6" t="s">
        <v>4</v>
      </c>
      <c r="AL62" s="6" t="s">
        <v>4</v>
      </c>
      <c r="AM62" s="6" t="s">
        <v>3</v>
      </c>
      <c r="AS62" s="6" t="s">
        <v>163</v>
      </c>
      <c r="AT62" s="6">
        <f>COUNTIFS(I:I,"B",C:C,1)/COUNTIF(C:C,1)</f>
        <v>0.30769230769230771</v>
      </c>
      <c r="AU62" s="6">
        <f>COUNTIFS(I:I,"B",C:C,2)/COUNTIF(C:C,2)</f>
        <v>7.6923076923076927E-2</v>
      </c>
      <c r="AV62" s="6">
        <f>COUNTIFS(I:I,"B",C:C,3)/COUNTIF(C:C,3)</f>
        <v>0</v>
      </c>
      <c r="AW62" s="6">
        <f>COUNTIFS(I:I,"B",C:C,4)/COUNTIF(C:C,4)</f>
        <v>0</v>
      </c>
      <c r="AX62" s="6">
        <f>COUNTIFS(I:I,"B",C:C,5)/COUNTIF(C:C,5)</f>
        <v>0.46153846153846156</v>
      </c>
      <c r="AY62" s="6">
        <f>COUNTIFS(I:I,"B",C:C,6)/COUNTIF(C:C,6)</f>
        <v>0.15384615384615385</v>
      </c>
      <c r="AZ62"/>
      <c r="BA62" s="31"/>
      <c r="BB62" s="31"/>
      <c r="BC62" s="31"/>
      <c r="BD62" s="31"/>
      <c r="BE62" s="31"/>
      <c r="BF62" s="31"/>
      <c r="BG62" s="31"/>
      <c r="BI62" s="3"/>
    </row>
    <row r="63" spans="1:98">
      <c r="A63" s="6">
        <f t="shared" si="0"/>
        <v>62</v>
      </c>
      <c r="B63" s="6" t="s">
        <v>274</v>
      </c>
      <c r="C63" s="6">
        <v>5</v>
      </c>
      <c r="D63" s="6" t="s">
        <v>5</v>
      </c>
      <c r="E63" s="6" t="s">
        <v>3</v>
      </c>
      <c r="F63" s="6" t="s">
        <v>3</v>
      </c>
      <c r="G63" s="6" t="s">
        <v>5</v>
      </c>
      <c r="H63" s="6" t="s">
        <v>5</v>
      </c>
      <c r="I63" s="6" t="s">
        <v>5</v>
      </c>
      <c r="J63" s="6" t="s">
        <v>5</v>
      </c>
      <c r="K63" s="6" t="s">
        <v>2</v>
      </c>
      <c r="L63" s="6" t="s">
        <v>2</v>
      </c>
      <c r="M63" s="6" t="s">
        <v>5</v>
      </c>
      <c r="N63" s="6" t="s">
        <v>3</v>
      </c>
      <c r="O63" s="6" t="s">
        <v>2</v>
      </c>
      <c r="P63" s="6" t="s">
        <v>5</v>
      </c>
      <c r="Q63" s="6" t="s">
        <v>2</v>
      </c>
      <c r="R63" s="6" t="s">
        <v>3</v>
      </c>
      <c r="S63" s="6" t="s">
        <v>5</v>
      </c>
      <c r="T63" s="6" t="s">
        <v>5</v>
      </c>
      <c r="U63" s="6" t="s">
        <v>5</v>
      </c>
      <c r="V63" s="6" t="s">
        <v>5</v>
      </c>
      <c r="W63" s="6" t="s">
        <v>3</v>
      </c>
      <c r="X63" s="6" t="s">
        <v>3</v>
      </c>
      <c r="Y63" s="6" t="s">
        <v>2</v>
      </c>
      <c r="Z63" s="6" t="s">
        <v>3</v>
      </c>
      <c r="AA63" s="6" t="s">
        <v>4</v>
      </c>
      <c r="AB63" s="6" t="s">
        <v>4</v>
      </c>
      <c r="AC63" s="6" t="s">
        <v>4</v>
      </c>
      <c r="AD63" s="6" t="s">
        <v>4</v>
      </c>
      <c r="AE63" s="6" t="s">
        <v>4</v>
      </c>
      <c r="AF63" s="6" t="s">
        <v>4</v>
      </c>
      <c r="AG63" s="6" t="s">
        <v>3</v>
      </c>
      <c r="AH63" s="6" t="s">
        <v>4</v>
      </c>
      <c r="AI63" s="6" t="s">
        <v>3</v>
      </c>
      <c r="AJ63" s="6" t="s">
        <v>4</v>
      </c>
      <c r="AK63" s="6" t="s">
        <v>4</v>
      </c>
      <c r="AL63" s="6" t="s">
        <v>4</v>
      </c>
      <c r="AM63" s="6" t="s">
        <v>3</v>
      </c>
      <c r="AS63" s="6" t="s">
        <v>164</v>
      </c>
      <c r="AT63" s="6">
        <f>COUNTIFS(I:I,"C",C:C,1)/COUNTIF(C:C,1)</f>
        <v>0</v>
      </c>
      <c r="AU63" s="6">
        <f>COUNTIFS(I:I,"C",C:C,2)/COUNTIF(C:C,2)</f>
        <v>0</v>
      </c>
      <c r="AV63" s="6">
        <f>COUNTIFS(I:I,"C",C:C,3)/COUNTIF(C:C,3)</f>
        <v>0.15384615384615385</v>
      </c>
      <c r="AW63" s="6">
        <f>COUNTIFS(I:I,"C",C:C,4)/COUNTIF(C:C,4)</f>
        <v>0</v>
      </c>
      <c r="AX63" s="6">
        <f>COUNTIFS(I:I,"C",C:C,5)/COUNTIF(C:C,5)</f>
        <v>0</v>
      </c>
      <c r="AY63" s="6">
        <f>COUNTIFS(I:I,"C",C:C,6)/COUNTIF(C:C,6)</f>
        <v>0</v>
      </c>
      <c r="AZ63"/>
      <c r="BA63" s="31"/>
      <c r="BB63" s="31"/>
      <c r="BC63" s="31"/>
      <c r="BD63" s="31"/>
      <c r="BE63" s="31"/>
      <c r="BF63" s="31"/>
      <c r="BG63" s="31"/>
    </row>
    <row r="64" spans="1:98">
      <c r="A64" s="6">
        <f t="shared" si="0"/>
        <v>63</v>
      </c>
      <c r="B64" s="6" t="s">
        <v>473</v>
      </c>
      <c r="C64" s="6">
        <v>5</v>
      </c>
      <c r="D64" s="6" t="s">
        <v>5</v>
      </c>
      <c r="E64" s="6" t="s">
        <v>3</v>
      </c>
      <c r="F64" s="6" t="s">
        <v>5</v>
      </c>
      <c r="G64" s="6" t="s">
        <v>5</v>
      </c>
      <c r="H64" s="6" t="s">
        <v>5</v>
      </c>
      <c r="I64" s="6" t="s">
        <v>5</v>
      </c>
      <c r="J64" s="6" t="s">
        <v>5</v>
      </c>
      <c r="K64" s="6" t="s">
        <v>2</v>
      </c>
      <c r="L64" s="6" t="s">
        <v>3</v>
      </c>
      <c r="M64" s="6" t="s">
        <v>3</v>
      </c>
      <c r="N64" s="6" t="s">
        <v>5</v>
      </c>
      <c r="O64" s="6" t="s">
        <v>2</v>
      </c>
      <c r="P64" s="6" t="s">
        <v>5</v>
      </c>
      <c r="Q64" s="6" t="s">
        <v>2</v>
      </c>
      <c r="R64" s="6" t="s">
        <v>2</v>
      </c>
      <c r="S64" s="6" t="s">
        <v>5</v>
      </c>
      <c r="T64" s="6" t="s">
        <v>5</v>
      </c>
      <c r="U64" s="6" t="s">
        <v>5</v>
      </c>
      <c r="V64" s="6" t="s">
        <v>3</v>
      </c>
      <c r="W64" s="6" t="s">
        <v>3</v>
      </c>
      <c r="X64" s="6" t="s">
        <v>4</v>
      </c>
      <c r="Y64" s="6" t="s">
        <v>4</v>
      </c>
      <c r="Z64" s="6" t="s">
        <v>3</v>
      </c>
      <c r="AA64" s="6" t="s">
        <v>4</v>
      </c>
      <c r="AB64" s="6" t="s">
        <v>4</v>
      </c>
      <c r="AC64" s="6" t="s">
        <v>4</v>
      </c>
      <c r="AD64" s="6" t="s">
        <v>4</v>
      </c>
      <c r="AE64" s="6" t="s">
        <v>4</v>
      </c>
      <c r="AF64" s="6" t="s">
        <v>3</v>
      </c>
      <c r="AG64" s="6" t="s">
        <v>3</v>
      </c>
      <c r="AH64" s="6" t="s">
        <v>4</v>
      </c>
      <c r="AI64" s="6" t="s">
        <v>3</v>
      </c>
      <c r="AJ64" s="6" t="s">
        <v>4</v>
      </c>
      <c r="AK64" s="6" t="s">
        <v>4</v>
      </c>
      <c r="AL64" s="6" t="s">
        <v>3</v>
      </c>
      <c r="AM64" s="6" t="s">
        <v>3</v>
      </c>
      <c r="AS64" s="6" t="s">
        <v>165</v>
      </c>
      <c r="AT64" s="6">
        <f>COUNTIFS(I:I,"D",C:C,1)/COUNTIF(C:C,1)</f>
        <v>0.69230769230769229</v>
      </c>
      <c r="AU64" s="6">
        <f>COUNTIFS(I:I,"D",C:C,2)/COUNTIF(C:C,2)</f>
        <v>0.92307692307692313</v>
      </c>
      <c r="AV64" s="6">
        <f>COUNTIFS(I:I,"D",C:C,3)/COUNTIF(C:C,3)</f>
        <v>0.84615384615384615</v>
      </c>
      <c r="AW64" s="6">
        <f>COUNTIFS(I:I,"D",C:C,4)/COUNTIF(C:C,4)</f>
        <v>1</v>
      </c>
      <c r="AX64" s="6">
        <f>COUNTIFS(I:I,"D",C:C,5)/COUNTIF(C:C,5)</f>
        <v>0.53846153846153844</v>
      </c>
      <c r="AY64" s="6">
        <f>COUNTIFS(I:I,"D",C:C,6)/COUNTIF(C:C,6)</f>
        <v>0.84615384615384615</v>
      </c>
      <c r="AZ64"/>
      <c r="BA64" s="31"/>
      <c r="BB64" s="31"/>
      <c r="BC64" s="31"/>
      <c r="BD64" s="31"/>
      <c r="BE64" s="31"/>
      <c r="BF64" s="31"/>
      <c r="BG64" s="31"/>
    </row>
    <row r="65" spans="1:98">
      <c r="A65" s="6">
        <f t="shared" si="0"/>
        <v>64</v>
      </c>
      <c r="B65" s="6" t="s">
        <v>478</v>
      </c>
      <c r="C65" s="6">
        <v>5</v>
      </c>
      <c r="D65" s="6" t="s">
        <v>5</v>
      </c>
      <c r="E65" s="6" t="s">
        <v>5</v>
      </c>
      <c r="F65" s="6" t="s">
        <v>2</v>
      </c>
      <c r="G65" s="6" t="s">
        <v>5</v>
      </c>
      <c r="H65" s="6" t="s">
        <v>5</v>
      </c>
      <c r="I65" s="6" t="s">
        <v>3</v>
      </c>
      <c r="J65" s="6" t="s">
        <v>5</v>
      </c>
      <c r="K65" s="6" t="s">
        <v>2</v>
      </c>
      <c r="L65" s="6" t="s">
        <v>3</v>
      </c>
      <c r="M65" s="6" t="s">
        <v>5</v>
      </c>
      <c r="N65" s="6" t="s">
        <v>2</v>
      </c>
      <c r="O65" s="6" t="s">
        <v>5</v>
      </c>
      <c r="P65" s="6" t="s">
        <v>5</v>
      </c>
      <c r="Q65" s="6" t="s">
        <v>2</v>
      </c>
      <c r="R65" s="6" t="s">
        <v>2</v>
      </c>
      <c r="S65" s="6" t="s">
        <v>5</v>
      </c>
      <c r="T65" s="6" t="s">
        <v>5</v>
      </c>
      <c r="U65" s="6" t="s">
        <v>5</v>
      </c>
      <c r="V65" s="6" t="s">
        <v>5</v>
      </c>
      <c r="W65" s="6" t="s">
        <v>3</v>
      </c>
      <c r="X65" s="6" t="s">
        <v>3</v>
      </c>
      <c r="Y65" s="6" t="s">
        <v>2</v>
      </c>
      <c r="Z65" s="6" t="s">
        <v>3</v>
      </c>
      <c r="AA65" s="6" t="s">
        <v>4</v>
      </c>
      <c r="AB65" s="6" t="s">
        <v>4</v>
      </c>
      <c r="AC65" s="6" t="s">
        <v>4</v>
      </c>
      <c r="AD65" s="6" t="s">
        <v>4</v>
      </c>
      <c r="AE65" s="6" t="s">
        <v>4</v>
      </c>
      <c r="AF65" s="6" t="s">
        <v>4</v>
      </c>
      <c r="AG65" s="6" t="s">
        <v>3</v>
      </c>
      <c r="AH65" s="6" t="s">
        <v>4</v>
      </c>
      <c r="AI65" s="6" t="s">
        <v>3</v>
      </c>
      <c r="AJ65" s="6" t="s">
        <v>4</v>
      </c>
      <c r="AK65" s="6" t="s">
        <v>4</v>
      </c>
      <c r="AL65" s="6" t="s">
        <v>3</v>
      </c>
      <c r="AM65" s="6" t="s">
        <v>3</v>
      </c>
      <c r="AZ65"/>
      <c r="BA65" s="33"/>
      <c r="BB65" s="33"/>
      <c r="BC65" s="33"/>
      <c r="BD65" s="33"/>
      <c r="BE65" s="33"/>
      <c r="BF65" s="33"/>
      <c r="BG65" s="33"/>
      <c r="BI65" s="75"/>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row>
    <row r="66" spans="1:98">
      <c r="A66" s="6">
        <f t="shared" ref="A66:A79" si="1">ROW()-1</f>
        <v>65</v>
      </c>
      <c r="B66" s="6" t="s">
        <v>494</v>
      </c>
      <c r="C66" s="6">
        <v>5</v>
      </c>
      <c r="D66" s="6" t="s">
        <v>2</v>
      </c>
      <c r="E66" s="6" t="s">
        <v>5</v>
      </c>
      <c r="F66" s="6" t="s">
        <v>2</v>
      </c>
      <c r="G66" s="6" t="s">
        <v>5</v>
      </c>
      <c r="H66" s="6" t="s">
        <v>5</v>
      </c>
      <c r="I66" s="6" t="s">
        <v>5</v>
      </c>
      <c r="J66" s="6" t="s">
        <v>2</v>
      </c>
      <c r="K66" s="6" t="s">
        <v>2</v>
      </c>
      <c r="L66" s="6" t="s">
        <v>2</v>
      </c>
      <c r="M66" s="6" t="s">
        <v>4</v>
      </c>
      <c r="N66" s="6" t="s">
        <v>4</v>
      </c>
      <c r="O66" s="6" t="s">
        <v>4</v>
      </c>
      <c r="P66" s="6" t="s">
        <v>5</v>
      </c>
      <c r="Q66" s="6" t="s">
        <v>4</v>
      </c>
      <c r="R66" s="6" t="s">
        <v>5</v>
      </c>
      <c r="S66" s="6" t="s">
        <v>5</v>
      </c>
      <c r="T66" s="6" t="s">
        <v>5</v>
      </c>
      <c r="U66" s="6" t="s">
        <v>5</v>
      </c>
      <c r="V66" s="6" t="s">
        <v>5</v>
      </c>
      <c r="W66" s="6" t="s">
        <v>4</v>
      </c>
      <c r="X66" s="6" t="s">
        <v>3</v>
      </c>
      <c r="Y66" s="6" t="s">
        <v>3</v>
      </c>
      <c r="Z66" s="6" t="s">
        <v>3</v>
      </c>
      <c r="AA66" s="6" t="s">
        <v>4</v>
      </c>
      <c r="AB66" s="6" t="s">
        <v>4</v>
      </c>
      <c r="AC66" s="6" t="s">
        <v>4</v>
      </c>
      <c r="AD66" s="6" t="s">
        <v>4</v>
      </c>
      <c r="AE66" s="6" t="s">
        <v>3</v>
      </c>
      <c r="AF66" s="6" t="s">
        <v>3</v>
      </c>
      <c r="AG66" s="6" t="s">
        <v>3</v>
      </c>
      <c r="AH66" s="6" t="s">
        <v>4</v>
      </c>
      <c r="AI66" s="6" t="s">
        <v>3</v>
      </c>
      <c r="AJ66" s="6" t="s">
        <v>4</v>
      </c>
      <c r="AK66" s="6" t="s">
        <v>4</v>
      </c>
      <c r="AL66" s="6" t="s">
        <v>4</v>
      </c>
      <c r="AM66" s="6" t="s">
        <v>3</v>
      </c>
      <c r="AS66" s="7" t="s">
        <v>238</v>
      </c>
      <c r="AT66" s="7">
        <v>1</v>
      </c>
      <c r="AU66" s="7">
        <v>2</v>
      </c>
      <c r="AV66" s="7">
        <v>3</v>
      </c>
      <c r="AW66" s="7">
        <v>4</v>
      </c>
      <c r="AX66" s="7">
        <v>5</v>
      </c>
      <c r="AY66" s="7">
        <v>6</v>
      </c>
      <c r="AZ66"/>
      <c r="BA66" s="31"/>
      <c r="BB66" s="31"/>
      <c r="BC66" s="31"/>
      <c r="BD66" s="31"/>
      <c r="BE66" s="31"/>
      <c r="BF66" s="31"/>
      <c r="BG66" s="31"/>
      <c r="BI66" s="75"/>
    </row>
    <row r="67" spans="1:98">
      <c r="A67" s="6">
        <f t="shared" si="1"/>
        <v>66</v>
      </c>
      <c r="B67" s="6" t="s">
        <v>35</v>
      </c>
      <c r="C67" s="52">
        <v>6</v>
      </c>
      <c r="D67" s="6" t="s">
        <v>5</v>
      </c>
      <c r="E67" s="6" t="s">
        <v>3</v>
      </c>
      <c r="F67" s="6" t="s">
        <v>3</v>
      </c>
      <c r="G67" s="6" t="s">
        <v>5</v>
      </c>
      <c r="H67" s="6" t="s">
        <v>5</v>
      </c>
      <c r="I67" s="6" t="s">
        <v>5</v>
      </c>
      <c r="J67" s="6" t="s">
        <v>5</v>
      </c>
      <c r="K67" s="6" t="s">
        <v>5</v>
      </c>
      <c r="L67" s="6" t="s">
        <v>2</v>
      </c>
      <c r="M67" s="6" t="s">
        <v>3</v>
      </c>
      <c r="N67" s="6" t="s">
        <v>2</v>
      </c>
      <c r="O67" s="6" t="s">
        <v>3</v>
      </c>
      <c r="P67" s="6" t="s">
        <v>2</v>
      </c>
      <c r="Q67" s="6" t="s">
        <v>2</v>
      </c>
      <c r="R67" s="6" t="s">
        <v>3</v>
      </c>
      <c r="S67" s="6" t="s">
        <v>5</v>
      </c>
      <c r="T67" s="6" t="s">
        <v>2</v>
      </c>
      <c r="U67" s="6" t="s">
        <v>5</v>
      </c>
      <c r="V67" s="6" t="s">
        <v>3</v>
      </c>
      <c r="W67" s="6" t="s">
        <v>3</v>
      </c>
      <c r="X67" s="6" t="s">
        <v>3</v>
      </c>
      <c r="Y67" s="6" t="s">
        <v>2</v>
      </c>
      <c r="Z67" s="6" t="s">
        <v>3</v>
      </c>
      <c r="AA67" s="6" t="s">
        <v>4</v>
      </c>
      <c r="AB67" s="6" t="s">
        <v>4</v>
      </c>
      <c r="AC67" s="6" t="s">
        <v>3</v>
      </c>
      <c r="AD67" s="6" t="s">
        <v>4</v>
      </c>
      <c r="AE67" s="6" t="s">
        <v>4</v>
      </c>
      <c r="AF67" s="6" t="s">
        <v>3</v>
      </c>
      <c r="AG67" s="6" t="s">
        <v>3</v>
      </c>
      <c r="AH67" s="6" t="s">
        <v>4</v>
      </c>
      <c r="AI67" s="6" t="s">
        <v>3</v>
      </c>
      <c r="AJ67" s="6" t="s">
        <v>4</v>
      </c>
      <c r="AK67" s="6" t="s">
        <v>4</v>
      </c>
      <c r="AL67" s="6" t="s">
        <v>3</v>
      </c>
      <c r="AM67" s="6" t="s">
        <v>3</v>
      </c>
      <c r="AS67" s="6" t="s">
        <v>166</v>
      </c>
      <c r="AT67" s="6">
        <f>COUNTIFS(J:J,"A",C:C,1)/COUNTIF(C:C,1)</f>
        <v>0</v>
      </c>
      <c r="AU67" s="6">
        <f>COUNTIFS(J:J,"A",C:C,2)/COUNTIF(C:C,2)</f>
        <v>0</v>
      </c>
      <c r="AV67" s="6">
        <f>COUNTIFS(J:J,"A",C:C,3)/COUNTIF(C:C,3)</f>
        <v>0</v>
      </c>
      <c r="AW67" s="6">
        <f>COUNTIFS(J:J,"A",C:C,4)/COUNTIF(C:C,4)</f>
        <v>0</v>
      </c>
      <c r="AX67" s="6">
        <f>COUNTIFS(J:J,"A",C:C,5)/COUNTIF(C:C,5)</f>
        <v>0</v>
      </c>
      <c r="AY67" s="6">
        <f>COUNTIFS(J:J,"A",C:C,6)/COUNTIF(C:C,6)</f>
        <v>0</v>
      </c>
      <c r="AZ67"/>
      <c r="BA67" s="31"/>
      <c r="BB67" s="31"/>
      <c r="BC67" s="31"/>
      <c r="BD67" s="31"/>
      <c r="BE67" s="31"/>
      <c r="BF67" s="31"/>
      <c r="BG67" s="31"/>
    </row>
    <row r="68" spans="1:98">
      <c r="A68" s="6">
        <f t="shared" si="1"/>
        <v>67</v>
      </c>
      <c r="B68" s="6" t="s">
        <v>36</v>
      </c>
      <c r="C68" s="52">
        <v>6</v>
      </c>
      <c r="D68" s="6" t="s">
        <v>5</v>
      </c>
      <c r="E68" s="6" t="s">
        <v>5</v>
      </c>
      <c r="F68" s="6" t="s">
        <v>5</v>
      </c>
      <c r="G68" s="6" t="s">
        <v>5</v>
      </c>
      <c r="H68" s="6" t="s">
        <v>5</v>
      </c>
      <c r="I68" s="6" t="s">
        <v>5</v>
      </c>
      <c r="J68" s="6" t="s">
        <v>5</v>
      </c>
      <c r="K68" s="6" t="s">
        <v>2</v>
      </c>
      <c r="L68" s="6" t="s">
        <v>4</v>
      </c>
      <c r="M68" s="6" t="s">
        <v>4</v>
      </c>
      <c r="N68" s="6" t="s">
        <v>4</v>
      </c>
      <c r="O68" s="6" t="s">
        <v>5</v>
      </c>
      <c r="P68" s="6" t="s">
        <v>5</v>
      </c>
      <c r="Q68" s="6" t="s">
        <v>3</v>
      </c>
      <c r="R68" s="6" t="s">
        <v>5</v>
      </c>
      <c r="S68" s="6" t="s">
        <v>5</v>
      </c>
      <c r="T68" s="6" t="s">
        <v>2</v>
      </c>
      <c r="U68" s="6" t="s">
        <v>5</v>
      </c>
      <c r="V68" s="6" t="s">
        <v>3</v>
      </c>
      <c r="W68" s="6" t="s">
        <v>3</v>
      </c>
      <c r="X68" s="6" t="s">
        <v>3</v>
      </c>
      <c r="Y68" s="6" t="s">
        <v>2</v>
      </c>
      <c r="Z68" s="6" t="s">
        <v>3</v>
      </c>
      <c r="AA68" s="6" t="s">
        <v>4</v>
      </c>
      <c r="AB68" s="6" t="s">
        <v>4</v>
      </c>
      <c r="AC68" s="6" t="s">
        <v>4</v>
      </c>
      <c r="AD68" s="6" t="s">
        <v>4</v>
      </c>
      <c r="AE68" s="6" t="s">
        <v>3</v>
      </c>
      <c r="AF68" s="6" t="s">
        <v>3</v>
      </c>
      <c r="AG68" s="6" t="s">
        <v>3</v>
      </c>
      <c r="AH68" s="6" t="s">
        <v>4</v>
      </c>
      <c r="AI68" s="6" t="s">
        <v>3</v>
      </c>
      <c r="AJ68" s="6" t="s">
        <v>3</v>
      </c>
      <c r="AK68" s="6" t="s">
        <v>3</v>
      </c>
      <c r="AL68" s="6" t="s">
        <v>3</v>
      </c>
      <c r="AM68" s="6" t="s">
        <v>3</v>
      </c>
      <c r="AS68" s="6" t="s">
        <v>167</v>
      </c>
      <c r="AT68" s="6">
        <f>COUNTIFS(J:J,"B",C:C,1)/COUNTIF(C:C,1)</f>
        <v>0</v>
      </c>
      <c r="AU68" s="6">
        <f>COUNTIFS(J:J,"B",C:C,2)/COUNTIF(C:C,2)</f>
        <v>7.6923076923076927E-2</v>
      </c>
      <c r="AV68" s="6">
        <f>COUNTIFS(J:J,"B",C:C,3)/COUNTIF(C:C,3)</f>
        <v>0</v>
      </c>
      <c r="AW68" s="6">
        <f>COUNTIFS(J:J,"B",C:C,4)/COUNTIF(C:C,4)</f>
        <v>0</v>
      </c>
      <c r="AX68" s="6">
        <f>COUNTIFS(J:J,"B",C:C,5)/COUNTIF(C:C,5)</f>
        <v>0</v>
      </c>
      <c r="AY68" s="6">
        <f>COUNTIFS(J:J,"B",C:C,6)/COUNTIF(C:C,6)</f>
        <v>0</v>
      </c>
      <c r="AZ68"/>
      <c r="BA68" s="31"/>
      <c r="BB68" s="31"/>
      <c r="BC68" s="31"/>
      <c r="BD68" s="31"/>
      <c r="BE68" s="31"/>
      <c r="BF68" s="31"/>
      <c r="BG68" s="31"/>
      <c r="BI68" s="3"/>
    </row>
    <row r="69" spans="1:98">
      <c r="A69" s="6">
        <f t="shared" si="1"/>
        <v>68</v>
      </c>
      <c r="B69" s="6" t="s">
        <v>37</v>
      </c>
      <c r="C69" s="52">
        <v>6</v>
      </c>
      <c r="D69" s="6" t="s">
        <v>5</v>
      </c>
      <c r="E69" s="6" t="s">
        <v>3</v>
      </c>
      <c r="F69" s="6" t="s">
        <v>2</v>
      </c>
      <c r="G69" s="6" t="s">
        <v>5</v>
      </c>
      <c r="H69" s="6" t="s">
        <v>5</v>
      </c>
      <c r="I69" s="6" t="s">
        <v>5</v>
      </c>
      <c r="J69" s="6" t="s">
        <v>5</v>
      </c>
      <c r="K69" s="6" t="s">
        <v>2</v>
      </c>
      <c r="L69" s="6" t="s">
        <v>2</v>
      </c>
      <c r="M69" s="6" t="s">
        <v>4</v>
      </c>
      <c r="N69" s="6" t="s">
        <v>4</v>
      </c>
      <c r="O69" s="6" t="s">
        <v>5</v>
      </c>
      <c r="P69" s="6" t="s">
        <v>5</v>
      </c>
      <c r="Q69" s="6" t="s">
        <v>4</v>
      </c>
      <c r="R69" s="6" t="s">
        <v>5</v>
      </c>
      <c r="S69" s="6" t="s">
        <v>5</v>
      </c>
      <c r="T69" s="6" t="s">
        <v>2</v>
      </c>
      <c r="U69" s="6" t="s">
        <v>5</v>
      </c>
      <c r="V69" s="6" t="s">
        <v>5</v>
      </c>
      <c r="W69" s="6" t="s">
        <v>4</v>
      </c>
      <c r="X69" s="6" t="s">
        <v>3</v>
      </c>
      <c r="Y69" s="6" t="s">
        <v>2</v>
      </c>
      <c r="Z69" s="6" t="s">
        <v>3</v>
      </c>
      <c r="AA69" s="6" t="s">
        <v>3</v>
      </c>
      <c r="AB69" s="6" t="s">
        <v>4</v>
      </c>
      <c r="AC69" s="6" t="s">
        <v>4</v>
      </c>
      <c r="AD69" s="6" t="s">
        <v>4</v>
      </c>
      <c r="AE69" s="6" t="s">
        <v>4</v>
      </c>
      <c r="AF69" s="6" t="s">
        <v>4</v>
      </c>
      <c r="AG69" s="6" t="s">
        <v>3</v>
      </c>
      <c r="AH69" s="6" t="s">
        <v>4</v>
      </c>
      <c r="AI69" s="6" t="s">
        <v>3</v>
      </c>
      <c r="AJ69" s="6" t="s">
        <v>4</v>
      </c>
      <c r="AK69" s="6" t="s">
        <v>4</v>
      </c>
      <c r="AL69" s="6" t="s">
        <v>4</v>
      </c>
      <c r="AM69" s="6" t="s">
        <v>3</v>
      </c>
      <c r="AS69" s="6" t="s">
        <v>168</v>
      </c>
      <c r="AT69" s="6">
        <f>COUNTIFS(J:J,"C",C:C,1)/COUNTIF(C:C,1)</f>
        <v>0.38461538461538464</v>
      </c>
      <c r="AU69" s="6">
        <f>COUNTIFS(J:J,"C",C:C,2)/COUNTIF(C:C,2)</f>
        <v>0.53846153846153844</v>
      </c>
      <c r="AV69" s="6">
        <f>COUNTIFS(J:J,"C",C:C,3)/COUNTIF(C:C,3)</f>
        <v>0.15384615384615385</v>
      </c>
      <c r="AW69" s="6">
        <f>COUNTIFS(J:J,"C",C:C,4)/COUNTIF(C:C,4)</f>
        <v>7.6923076923076927E-2</v>
      </c>
      <c r="AX69" s="6">
        <f>COUNTIFS(J:J,"C",C:C,5)/COUNTIF(C:C,5)</f>
        <v>0.15384615384615385</v>
      </c>
      <c r="AY69" s="6">
        <f>COUNTIFS(J:J,"C",C:C,6)/COUNTIF(C:C,6)</f>
        <v>0.23076923076923078</v>
      </c>
      <c r="AZ69"/>
      <c r="BA69" s="31"/>
      <c r="BB69" s="31"/>
      <c r="BC69" s="31"/>
      <c r="BD69" s="31"/>
      <c r="BE69" s="31"/>
      <c r="BF69" s="31"/>
      <c r="BG69" s="31"/>
    </row>
    <row r="70" spans="1:98">
      <c r="A70" s="6">
        <f t="shared" si="1"/>
        <v>69</v>
      </c>
      <c r="B70" s="6" t="s">
        <v>38</v>
      </c>
      <c r="C70" s="52">
        <v>6</v>
      </c>
      <c r="D70" s="6" t="s">
        <v>5</v>
      </c>
      <c r="E70" s="6" t="s">
        <v>3</v>
      </c>
      <c r="F70" s="6" t="s">
        <v>5</v>
      </c>
      <c r="G70" s="6" t="s">
        <v>5</v>
      </c>
      <c r="H70" s="6" t="s">
        <v>5</v>
      </c>
      <c r="I70" s="6" t="s">
        <v>5</v>
      </c>
      <c r="J70" s="6" t="s">
        <v>5</v>
      </c>
      <c r="K70" s="6" t="s">
        <v>2</v>
      </c>
      <c r="L70" s="6" t="s">
        <v>2</v>
      </c>
      <c r="M70" s="6" t="s">
        <v>4</v>
      </c>
      <c r="N70" s="6" t="s">
        <v>3</v>
      </c>
      <c r="O70" s="6" t="s">
        <v>5</v>
      </c>
      <c r="P70" s="6" t="s">
        <v>2</v>
      </c>
      <c r="Q70" s="6" t="s">
        <v>3</v>
      </c>
      <c r="R70" s="6" t="s">
        <v>2</v>
      </c>
      <c r="S70" s="6" t="s">
        <v>5</v>
      </c>
      <c r="T70" s="6" t="s">
        <v>5</v>
      </c>
      <c r="U70" s="6" t="s">
        <v>5</v>
      </c>
      <c r="V70" s="6" t="s">
        <v>5</v>
      </c>
      <c r="W70" s="6" t="s">
        <v>2</v>
      </c>
      <c r="X70" s="6" t="s">
        <v>2</v>
      </c>
      <c r="Y70" s="6" t="s">
        <v>2</v>
      </c>
      <c r="Z70" s="6" t="s">
        <v>3</v>
      </c>
      <c r="AA70" s="6" t="s">
        <v>4</v>
      </c>
      <c r="AB70" s="6" t="s">
        <v>4</v>
      </c>
      <c r="AC70" s="6" t="s">
        <v>4</v>
      </c>
      <c r="AD70" s="6" t="s">
        <v>4</v>
      </c>
      <c r="AE70" s="6" t="s">
        <v>4</v>
      </c>
      <c r="AF70" s="6" t="s">
        <v>3</v>
      </c>
      <c r="AG70" s="6" t="s">
        <v>4</v>
      </c>
      <c r="AH70" s="6" t="s">
        <v>4</v>
      </c>
      <c r="AI70" s="6" t="s">
        <v>4</v>
      </c>
      <c r="AJ70" s="6" t="s">
        <v>4</v>
      </c>
      <c r="AK70" s="6" t="s">
        <v>4</v>
      </c>
      <c r="AL70" s="6" t="s">
        <v>4</v>
      </c>
      <c r="AM70" s="6" t="s">
        <v>3</v>
      </c>
      <c r="AS70" s="6" t="s">
        <v>169</v>
      </c>
      <c r="AT70" s="6">
        <f>COUNTIFS(J:J,"D",C:C,1)/COUNTIF(C:C,1)</f>
        <v>0.61538461538461542</v>
      </c>
      <c r="AU70" s="6">
        <f>COUNTIFS(J:J,"D",C:C,2)/COUNTIF(C:C,2)</f>
        <v>0.38461538461538464</v>
      </c>
      <c r="AV70" s="6">
        <f>COUNTIFS(J:J,"D",C:C,3)/COUNTIF(C:C,3)</f>
        <v>0.84615384615384615</v>
      </c>
      <c r="AW70" s="6">
        <f>COUNTIFS(J:J,"D",C:C,4)/COUNTIF(C:C,4)</f>
        <v>0.92307692307692313</v>
      </c>
      <c r="AX70" s="6">
        <f>COUNTIFS(J:J,"D",C:C,5)/COUNTIF(C:C,5)</f>
        <v>0.84615384615384615</v>
      </c>
      <c r="AY70" s="6">
        <f>COUNTIFS(J:J,"D",C:C,6)/COUNTIF(C:C,6)</f>
        <v>0.76923076923076927</v>
      </c>
      <c r="AZ70"/>
      <c r="BA70" s="31"/>
      <c r="BB70" s="31"/>
      <c r="BC70" s="31"/>
      <c r="BD70" s="31"/>
      <c r="BE70" s="31"/>
      <c r="BF70" s="31"/>
      <c r="BG70" s="31"/>
      <c r="BI70" s="3"/>
    </row>
    <row r="71" spans="1:98">
      <c r="A71" s="6">
        <f t="shared" si="1"/>
        <v>70</v>
      </c>
      <c r="B71" s="6" t="s">
        <v>254</v>
      </c>
      <c r="C71" s="52">
        <v>6</v>
      </c>
      <c r="D71" s="6" t="s">
        <v>4</v>
      </c>
      <c r="E71" s="6" t="s">
        <v>5</v>
      </c>
      <c r="F71" s="6" t="s">
        <v>2</v>
      </c>
      <c r="G71" s="6" t="s">
        <v>5</v>
      </c>
      <c r="H71" s="6" t="s">
        <v>5</v>
      </c>
      <c r="I71" s="6" t="s">
        <v>5</v>
      </c>
      <c r="J71" s="6" t="s">
        <v>2</v>
      </c>
      <c r="K71" s="6" t="s">
        <v>2</v>
      </c>
      <c r="L71" s="6" t="s">
        <v>2</v>
      </c>
      <c r="M71" s="6" t="s">
        <v>4</v>
      </c>
      <c r="N71" s="6" t="s">
        <v>3</v>
      </c>
      <c r="O71" s="6" t="s">
        <v>5</v>
      </c>
      <c r="P71" s="6" t="s">
        <v>5</v>
      </c>
      <c r="Q71" s="6" t="s">
        <v>4</v>
      </c>
      <c r="R71" s="6" t="s">
        <v>5</v>
      </c>
      <c r="S71" s="6" t="s">
        <v>5</v>
      </c>
      <c r="T71" s="6" t="s">
        <v>5</v>
      </c>
      <c r="U71" s="6" t="s">
        <v>5</v>
      </c>
      <c r="V71" s="6" t="s">
        <v>5</v>
      </c>
      <c r="W71" s="6" t="s">
        <v>4</v>
      </c>
      <c r="X71" s="6" t="s">
        <v>3</v>
      </c>
      <c r="Y71" s="6" t="s">
        <v>2</v>
      </c>
      <c r="Z71" s="6" t="s">
        <v>3</v>
      </c>
      <c r="AA71" s="6" t="s">
        <v>4</v>
      </c>
      <c r="AB71" s="6" t="s">
        <v>4</v>
      </c>
      <c r="AC71" s="6" t="s">
        <v>4</v>
      </c>
      <c r="AD71" s="6" t="s">
        <v>3</v>
      </c>
      <c r="AE71" s="6" t="s">
        <v>4</v>
      </c>
      <c r="AF71" s="6" t="s">
        <v>3</v>
      </c>
      <c r="AG71" s="6" t="s">
        <v>3</v>
      </c>
      <c r="AH71" s="6" t="s">
        <v>3</v>
      </c>
      <c r="AI71" s="6" t="s">
        <v>3</v>
      </c>
      <c r="AJ71" s="6" t="s">
        <v>3</v>
      </c>
      <c r="AK71" s="6" t="s">
        <v>3</v>
      </c>
      <c r="AL71" s="6" t="s">
        <v>3</v>
      </c>
      <c r="AM71" s="6" t="s">
        <v>3</v>
      </c>
      <c r="AZ71"/>
      <c r="BA71" s="33"/>
      <c r="BB71" s="33"/>
      <c r="BC71" s="33"/>
      <c r="BD71" s="33"/>
      <c r="BE71" s="33"/>
      <c r="BF71" s="33"/>
      <c r="BG71" s="33"/>
    </row>
    <row r="72" spans="1:98">
      <c r="A72" s="6">
        <f t="shared" si="1"/>
        <v>71</v>
      </c>
      <c r="B72" s="6" t="s">
        <v>253</v>
      </c>
      <c r="C72" s="52">
        <v>6</v>
      </c>
      <c r="D72" s="6" t="s">
        <v>5</v>
      </c>
      <c r="E72" s="6" t="s">
        <v>5</v>
      </c>
      <c r="F72" s="6" t="s">
        <v>3</v>
      </c>
      <c r="G72" s="6" t="s">
        <v>2</v>
      </c>
      <c r="H72" s="6" t="s">
        <v>5</v>
      </c>
      <c r="I72" s="6" t="s">
        <v>5</v>
      </c>
      <c r="J72" s="6" t="s">
        <v>5</v>
      </c>
      <c r="K72" s="6" t="s">
        <v>5</v>
      </c>
      <c r="L72" s="6" t="s">
        <v>2</v>
      </c>
      <c r="M72" s="6" t="s">
        <v>4</v>
      </c>
      <c r="N72" s="6" t="s">
        <v>4</v>
      </c>
      <c r="O72" s="6" t="s">
        <v>2</v>
      </c>
      <c r="P72" s="6" t="s">
        <v>5</v>
      </c>
      <c r="Q72" s="6" t="s">
        <v>2</v>
      </c>
      <c r="R72" s="6" t="s">
        <v>2</v>
      </c>
      <c r="S72" s="6" t="s">
        <v>5</v>
      </c>
      <c r="T72" s="6" t="s">
        <v>3</v>
      </c>
      <c r="U72" s="6" t="s">
        <v>5</v>
      </c>
      <c r="V72" s="6" t="s">
        <v>3</v>
      </c>
      <c r="W72" s="6" t="s">
        <v>2</v>
      </c>
      <c r="X72" s="6" t="s">
        <v>2</v>
      </c>
      <c r="Y72" s="6" t="s">
        <v>5</v>
      </c>
      <c r="Z72" s="6" t="s">
        <v>3</v>
      </c>
      <c r="AA72" s="6" t="s">
        <v>4</v>
      </c>
      <c r="AB72" s="6" t="s">
        <v>4</v>
      </c>
      <c r="AC72" s="6" t="s">
        <v>4</v>
      </c>
      <c r="AD72" s="6" t="s">
        <v>3</v>
      </c>
      <c r="AE72" s="6" t="s">
        <v>4</v>
      </c>
      <c r="AF72" s="6" t="s">
        <v>3</v>
      </c>
      <c r="AG72" s="6" t="s">
        <v>3</v>
      </c>
      <c r="AH72" s="6" t="s">
        <v>3</v>
      </c>
      <c r="AI72" s="6" t="s">
        <v>3</v>
      </c>
      <c r="AJ72" s="6" t="s">
        <v>3</v>
      </c>
      <c r="AK72" s="6" t="s">
        <v>3</v>
      </c>
      <c r="AL72" s="6" t="s">
        <v>4</v>
      </c>
      <c r="AM72" s="6" t="s">
        <v>3</v>
      </c>
      <c r="AS72" s="7" t="s">
        <v>239</v>
      </c>
      <c r="AT72" s="7">
        <v>1</v>
      </c>
      <c r="AU72" s="7">
        <v>2</v>
      </c>
      <c r="AV72" s="7">
        <v>3</v>
      </c>
      <c r="AW72" s="7">
        <v>4</v>
      </c>
      <c r="AX72" s="7">
        <v>5</v>
      </c>
      <c r="AY72" s="7">
        <v>6</v>
      </c>
      <c r="AZ72"/>
      <c r="BA72" s="31"/>
      <c r="BB72" s="31"/>
      <c r="BC72" s="31"/>
      <c r="BD72" s="31"/>
      <c r="BE72" s="31"/>
      <c r="BF72" s="31"/>
      <c r="BG72" s="31"/>
      <c r="BI72" s="3"/>
    </row>
    <row r="73" spans="1:98">
      <c r="A73" s="6">
        <f t="shared" si="1"/>
        <v>72</v>
      </c>
      <c r="B73" s="6" t="s">
        <v>275</v>
      </c>
      <c r="C73" s="52">
        <v>6</v>
      </c>
      <c r="D73" s="6" t="s">
        <v>5</v>
      </c>
      <c r="E73" s="6" t="s">
        <v>3</v>
      </c>
      <c r="F73" s="6" t="s">
        <v>3</v>
      </c>
      <c r="G73" s="6" t="s">
        <v>5</v>
      </c>
      <c r="H73" s="6" t="s">
        <v>5</v>
      </c>
      <c r="I73" s="6" t="s">
        <v>5</v>
      </c>
      <c r="J73" s="6" t="s">
        <v>5</v>
      </c>
      <c r="K73" s="6" t="s">
        <v>2</v>
      </c>
      <c r="L73" s="6" t="s">
        <v>2</v>
      </c>
      <c r="M73" s="6" t="s">
        <v>5</v>
      </c>
      <c r="N73" s="6" t="s">
        <v>3</v>
      </c>
      <c r="O73" s="6" t="s">
        <v>5</v>
      </c>
      <c r="P73" s="6" t="s">
        <v>5</v>
      </c>
      <c r="Q73" s="6" t="s">
        <v>3</v>
      </c>
      <c r="R73" s="6" t="s">
        <v>2</v>
      </c>
      <c r="S73" s="6" t="s">
        <v>5</v>
      </c>
      <c r="T73" s="6" t="s">
        <v>5</v>
      </c>
      <c r="U73" s="6" t="s">
        <v>5</v>
      </c>
      <c r="V73" s="6" t="s">
        <v>5</v>
      </c>
      <c r="W73" s="6" t="s">
        <v>4</v>
      </c>
      <c r="X73" s="6" t="s">
        <v>4</v>
      </c>
      <c r="Y73" s="6" t="s">
        <v>4</v>
      </c>
      <c r="Z73" s="6" t="s">
        <v>3</v>
      </c>
      <c r="AA73" s="6" t="s">
        <v>4</v>
      </c>
      <c r="AB73" s="6" t="s">
        <v>4</v>
      </c>
      <c r="AC73" s="6" t="s">
        <v>4</v>
      </c>
      <c r="AD73" s="6" t="s">
        <v>4</v>
      </c>
      <c r="AE73" s="6" t="s">
        <v>4</v>
      </c>
      <c r="AF73" s="6" t="s">
        <v>4</v>
      </c>
      <c r="AG73" s="6" t="s">
        <v>3</v>
      </c>
      <c r="AH73" s="6" t="s">
        <v>4</v>
      </c>
      <c r="AI73" s="6" t="s">
        <v>3</v>
      </c>
      <c r="AJ73" s="6" t="s">
        <v>3</v>
      </c>
      <c r="AK73" s="6" t="s">
        <v>3</v>
      </c>
      <c r="AL73" s="6" t="s">
        <v>4</v>
      </c>
      <c r="AM73" s="6" t="s">
        <v>3</v>
      </c>
      <c r="AS73" s="6" t="s">
        <v>170</v>
      </c>
      <c r="AT73" s="6">
        <f>COUNTIFS(K:K,"A",C:C,1)/COUNTIF(C:C,1)</f>
        <v>0</v>
      </c>
      <c r="AU73" s="6">
        <f>COUNTIFS(K:K,"A",C:C,2)/COUNTIF(C:C,2)</f>
        <v>7.6923076923076927E-2</v>
      </c>
      <c r="AV73" s="6">
        <f>COUNTIFS(K:K,"A",C:C,3)/COUNTIF(C:C,3)</f>
        <v>0</v>
      </c>
      <c r="AW73" s="6">
        <f>COUNTIFS(K:K,"A",C:C,4)/COUNTIF(C:C,4)</f>
        <v>0</v>
      </c>
      <c r="AX73" s="6">
        <f>COUNTIFS(K:K,"A",C:C,5)/COUNTIF(C:C,5)</f>
        <v>0</v>
      </c>
      <c r="AY73" s="6">
        <f>COUNTIFS(K:K,"A",C:C,6)/COUNTIF(C:C,6)</f>
        <v>0</v>
      </c>
      <c r="AZ73"/>
      <c r="BA73" s="31"/>
      <c r="BB73" s="31"/>
      <c r="BC73" s="31"/>
      <c r="BD73" s="31"/>
      <c r="BE73" s="31"/>
      <c r="BF73" s="31"/>
      <c r="BG73" s="31"/>
    </row>
    <row r="74" spans="1:98">
      <c r="A74" s="6">
        <f t="shared" si="1"/>
        <v>73</v>
      </c>
      <c r="B74" s="6" t="s">
        <v>276</v>
      </c>
      <c r="C74" s="52">
        <v>6</v>
      </c>
      <c r="D74" s="6" t="s">
        <v>5</v>
      </c>
      <c r="E74" s="6" t="s">
        <v>5</v>
      </c>
      <c r="F74" s="6" t="s">
        <v>5</v>
      </c>
      <c r="G74" s="6" t="s">
        <v>5</v>
      </c>
      <c r="H74" s="6" t="s">
        <v>5</v>
      </c>
      <c r="I74" s="6" t="s">
        <v>5</v>
      </c>
      <c r="J74" s="6" t="s">
        <v>5</v>
      </c>
      <c r="K74" s="6" t="s">
        <v>2</v>
      </c>
      <c r="L74" s="6" t="s">
        <v>3</v>
      </c>
      <c r="M74" s="6" t="s">
        <v>5</v>
      </c>
      <c r="N74" s="6" t="s">
        <v>4</v>
      </c>
      <c r="O74" s="6" t="s">
        <v>5</v>
      </c>
      <c r="P74" s="6" t="s">
        <v>2</v>
      </c>
      <c r="Q74" s="6" t="s">
        <v>2</v>
      </c>
      <c r="R74" s="6" t="s">
        <v>2</v>
      </c>
      <c r="S74" s="6" t="s">
        <v>5</v>
      </c>
      <c r="T74" s="6" t="s">
        <v>3</v>
      </c>
      <c r="U74" s="6" t="s">
        <v>5</v>
      </c>
      <c r="V74" s="6" t="s">
        <v>5</v>
      </c>
      <c r="W74" s="6" t="s">
        <v>3</v>
      </c>
      <c r="X74" s="6" t="s">
        <v>2</v>
      </c>
      <c r="Y74" s="6" t="s">
        <v>2</v>
      </c>
      <c r="Z74" s="6" t="s">
        <v>3</v>
      </c>
      <c r="AA74" s="6" t="s">
        <v>4</v>
      </c>
      <c r="AB74" s="6" t="s">
        <v>4</v>
      </c>
      <c r="AC74" s="6" t="s">
        <v>4</v>
      </c>
      <c r="AD74" s="6" t="s">
        <v>4</v>
      </c>
      <c r="AE74" s="6" t="s">
        <v>4</v>
      </c>
      <c r="AF74" s="6" t="s">
        <v>4</v>
      </c>
      <c r="AG74" s="6" t="s">
        <v>4</v>
      </c>
      <c r="AH74" s="6" t="s">
        <v>4</v>
      </c>
      <c r="AI74" s="6" t="s">
        <v>3</v>
      </c>
      <c r="AJ74" s="6" t="s">
        <v>3</v>
      </c>
      <c r="AK74" s="6" t="s">
        <v>4</v>
      </c>
      <c r="AL74" s="6" t="s">
        <v>4</v>
      </c>
      <c r="AM74" s="6" t="s">
        <v>3</v>
      </c>
      <c r="AS74" s="6" t="s">
        <v>171</v>
      </c>
      <c r="AT74" s="6">
        <f>COUNTIFS(K:K,"B",C:C,1)/COUNTIF(C:C,1)</f>
        <v>0</v>
      </c>
      <c r="AU74" s="6">
        <f>COUNTIFS(K:K,"B",C:C,2)/COUNTIF(C:C,2)</f>
        <v>0</v>
      </c>
      <c r="AV74" s="6">
        <f>COUNTIFS(K:K,"B",C:C,3)/COUNTIF(C:C,3)</f>
        <v>0</v>
      </c>
      <c r="AW74" s="6">
        <f>COUNTIFS(K:K,"B",C:C,4)/COUNTIF(C:C,4)</f>
        <v>0</v>
      </c>
      <c r="AX74" s="6">
        <f>COUNTIFS(K:K,"B",C:C,5)/COUNTIF(C:C,5)</f>
        <v>0</v>
      </c>
      <c r="AY74" s="6">
        <f>COUNTIFS(K:K,"B",C:C,6)/COUNTIF(C:C,6)</f>
        <v>0</v>
      </c>
      <c r="AZ74"/>
      <c r="BA74" s="31"/>
      <c r="BB74" s="31"/>
      <c r="BC74" s="31"/>
      <c r="BD74" s="31"/>
      <c r="BE74" s="31"/>
      <c r="BF74" s="31"/>
      <c r="BG74" s="31"/>
      <c r="BI74" s="3"/>
    </row>
    <row r="75" spans="1:98">
      <c r="A75" s="6">
        <f t="shared" si="1"/>
        <v>74</v>
      </c>
      <c r="B75" s="6" t="s">
        <v>277</v>
      </c>
      <c r="C75" s="52">
        <v>6</v>
      </c>
      <c r="D75" s="6" t="s">
        <v>5</v>
      </c>
      <c r="E75" s="6" t="s">
        <v>3</v>
      </c>
      <c r="F75" s="6" t="s">
        <v>4</v>
      </c>
      <c r="G75" s="6" t="s">
        <v>5</v>
      </c>
      <c r="H75" s="6" t="s">
        <v>5</v>
      </c>
      <c r="I75" s="6" t="s">
        <v>3</v>
      </c>
      <c r="J75" s="6" t="s">
        <v>2</v>
      </c>
      <c r="K75" s="6" t="s">
        <v>2</v>
      </c>
      <c r="L75" s="6" t="s">
        <v>3</v>
      </c>
      <c r="M75" s="6" t="s">
        <v>3</v>
      </c>
      <c r="N75" s="6" t="s">
        <v>4</v>
      </c>
      <c r="O75" s="6" t="s">
        <v>5</v>
      </c>
      <c r="P75" s="6" t="s">
        <v>5</v>
      </c>
      <c r="Q75" s="6" t="s">
        <v>3</v>
      </c>
      <c r="R75" s="6" t="s">
        <v>5</v>
      </c>
      <c r="S75" s="6" t="s">
        <v>5</v>
      </c>
      <c r="T75" s="6" t="s">
        <v>5</v>
      </c>
      <c r="U75" s="6" t="s">
        <v>5</v>
      </c>
      <c r="V75" s="6" t="s">
        <v>4</v>
      </c>
      <c r="W75" s="6" t="s">
        <v>4</v>
      </c>
      <c r="X75" s="6" t="s">
        <v>3</v>
      </c>
      <c r="Y75" s="6" t="s">
        <v>4</v>
      </c>
      <c r="Z75" s="6" t="s">
        <v>3</v>
      </c>
      <c r="AA75" s="6" t="s">
        <v>3</v>
      </c>
      <c r="AB75" s="6" t="s">
        <v>3</v>
      </c>
      <c r="AC75" s="6" t="s">
        <v>4</v>
      </c>
      <c r="AD75" s="6" t="s">
        <v>4</v>
      </c>
      <c r="AE75" s="6" t="s">
        <v>4</v>
      </c>
      <c r="AF75" s="6" t="s">
        <v>4</v>
      </c>
      <c r="AG75" s="6" t="s">
        <v>4</v>
      </c>
      <c r="AH75" s="6" t="s">
        <v>4</v>
      </c>
      <c r="AI75" s="6" t="s">
        <v>4</v>
      </c>
      <c r="AJ75" s="6" t="s">
        <v>4</v>
      </c>
      <c r="AK75" s="6" t="s">
        <v>4</v>
      </c>
      <c r="AL75" s="6" t="s">
        <v>4</v>
      </c>
      <c r="AM75" s="6" t="s">
        <v>4</v>
      </c>
      <c r="AS75" s="6" t="s">
        <v>172</v>
      </c>
      <c r="AT75" s="6">
        <f>COUNTIFS(K:K,"C",C:C,1)/COUNTIF(C:C,1)</f>
        <v>1</v>
      </c>
      <c r="AU75" s="6">
        <f>COUNTIFS(K:K,"C",C:C,2)/COUNTIF(C:C,2)</f>
        <v>0.92307692307692313</v>
      </c>
      <c r="AV75" s="6">
        <f>COUNTIFS(K:K,"C",C:C,3)/COUNTIF(C:C,3)</f>
        <v>1</v>
      </c>
      <c r="AW75" s="6">
        <f>COUNTIFS(K:K,"C",C:C,4)/COUNTIF(C:C,4)</f>
        <v>1</v>
      </c>
      <c r="AX75" s="6">
        <f>COUNTIFS(K:K,"C",C:C,5)/COUNTIF(C:C,5)</f>
        <v>1</v>
      </c>
      <c r="AY75" s="6">
        <f>COUNTIFS(K:K,"C",C:C,6)/COUNTIF(C:C,6)</f>
        <v>0.84615384615384615</v>
      </c>
      <c r="AZ75"/>
      <c r="BA75" s="31"/>
      <c r="BB75" s="31"/>
      <c r="BC75" s="31"/>
      <c r="BD75" s="31"/>
      <c r="BE75" s="31"/>
      <c r="BF75" s="31"/>
      <c r="BG75" s="31"/>
    </row>
    <row r="76" spans="1:98">
      <c r="A76" s="6">
        <f t="shared" si="1"/>
        <v>75</v>
      </c>
      <c r="B76" s="6" t="s">
        <v>278</v>
      </c>
      <c r="C76" s="52">
        <v>6</v>
      </c>
      <c r="D76" s="6" t="s">
        <v>5</v>
      </c>
      <c r="E76" s="6" t="s">
        <v>5</v>
      </c>
      <c r="F76" s="6" t="s">
        <v>3</v>
      </c>
      <c r="G76" s="6" t="s">
        <v>5</v>
      </c>
      <c r="H76" s="6" t="s">
        <v>5</v>
      </c>
      <c r="I76" s="6" t="s">
        <v>5</v>
      </c>
      <c r="J76" s="6" t="s">
        <v>5</v>
      </c>
      <c r="K76" s="6" t="s">
        <v>2</v>
      </c>
      <c r="L76" s="6" t="s">
        <v>2</v>
      </c>
      <c r="M76" s="6" t="s">
        <v>4</v>
      </c>
      <c r="N76" s="6" t="s">
        <v>4</v>
      </c>
      <c r="O76" s="6" t="s">
        <v>4</v>
      </c>
      <c r="P76" s="6" t="s">
        <v>5</v>
      </c>
      <c r="Q76" s="6" t="s">
        <v>4</v>
      </c>
      <c r="R76" s="6" t="s">
        <v>5</v>
      </c>
      <c r="S76" s="6" t="s">
        <v>5</v>
      </c>
      <c r="T76" s="6" t="s">
        <v>5</v>
      </c>
      <c r="U76" s="6" t="s">
        <v>5</v>
      </c>
      <c r="V76" s="6" t="s">
        <v>3</v>
      </c>
      <c r="W76" s="6" t="s">
        <v>5</v>
      </c>
      <c r="X76" s="6" t="s">
        <v>2</v>
      </c>
      <c r="Y76" s="6" t="s">
        <v>4</v>
      </c>
      <c r="Z76" s="6" t="s">
        <v>3</v>
      </c>
      <c r="AA76" s="6" t="s">
        <v>4</v>
      </c>
      <c r="AB76" s="6" t="s">
        <v>4</v>
      </c>
      <c r="AC76" s="6" t="s">
        <v>4</v>
      </c>
      <c r="AD76" s="6" t="s">
        <v>4</v>
      </c>
      <c r="AE76" s="6" t="s">
        <v>4</v>
      </c>
      <c r="AF76" s="6" t="s">
        <v>4</v>
      </c>
      <c r="AG76" s="6" t="s">
        <v>3</v>
      </c>
      <c r="AH76" s="6" t="s">
        <v>4</v>
      </c>
      <c r="AI76" s="6" t="s">
        <v>3</v>
      </c>
      <c r="AJ76" s="6" t="s">
        <v>3</v>
      </c>
      <c r="AK76" s="6" t="s">
        <v>4</v>
      </c>
      <c r="AL76" s="6" t="s">
        <v>4</v>
      </c>
      <c r="AM76" s="6" t="s">
        <v>3</v>
      </c>
      <c r="AS76" s="6" t="s">
        <v>173</v>
      </c>
      <c r="AT76" s="6">
        <f>COUNTIFS(K:K,"D",C:C,1)/COUNTIF(C:C,1)</f>
        <v>0</v>
      </c>
      <c r="AU76" s="6">
        <f>COUNTIFS(K:K,"D",C:C,2)/COUNTIF(C:C,2)</f>
        <v>0</v>
      </c>
      <c r="AV76" s="6">
        <f>COUNTIFS(K:K,"D",C:C,3)/COUNTIF(C:C,3)</f>
        <v>0</v>
      </c>
      <c r="AW76" s="6">
        <f>COUNTIFS(K:K,"D",C:C,4)/COUNTIF(C:C,4)</f>
        <v>0</v>
      </c>
      <c r="AX76" s="6">
        <f>COUNTIFS(K:K,"D",C:C,5)/COUNTIF(C:C,5)</f>
        <v>0</v>
      </c>
      <c r="AY76" s="6">
        <f>COUNTIFS(K:K,"D",C:C,6)/COUNTIF(C:C,6)</f>
        <v>0.15384615384615385</v>
      </c>
      <c r="AZ76"/>
      <c r="BA76" s="31"/>
      <c r="BB76" s="31"/>
      <c r="BC76" s="31"/>
      <c r="BD76" s="31"/>
      <c r="BE76" s="31"/>
      <c r="BF76" s="31"/>
      <c r="BG76" s="31"/>
      <c r="BI76" s="3"/>
    </row>
    <row r="77" spans="1:98">
      <c r="A77" s="6">
        <f t="shared" si="1"/>
        <v>76</v>
      </c>
      <c r="B77" s="6" t="s">
        <v>474</v>
      </c>
      <c r="C77" s="6">
        <v>6</v>
      </c>
      <c r="D77" s="6" t="s">
        <v>5</v>
      </c>
      <c r="E77" s="6" t="s">
        <v>5</v>
      </c>
      <c r="F77" s="6" t="s">
        <v>3</v>
      </c>
      <c r="G77" s="6" t="s">
        <v>5</v>
      </c>
      <c r="H77" s="6" t="s">
        <v>5</v>
      </c>
      <c r="I77" s="6" t="s">
        <v>5</v>
      </c>
      <c r="J77" s="6" t="s">
        <v>2</v>
      </c>
      <c r="K77" s="6" t="s">
        <v>2</v>
      </c>
      <c r="L77" s="6" t="s">
        <v>2</v>
      </c>
      <c r="M77" s="6" t="s">
        <v>2</v>
      </c>
      <c r="N77" s="6" t="s">
        <v>4</v>
      </c>
      <c r="O77" s="6" t="s">
        <v>5</v>
      </c>
      <c r="P77" s="6" t="s">
        <v>2</v>
      </c>
      <c r="Q77" s="6" t="s">
        <v>3</v>
      </c>
      <c r="R77" s="6" t="s">
        <v>3</v>
      </c>
      <c r="S77" s="6" t="s">
        <v>5</v>
      </c>
      <c r="T77" s="6" t="s">
        <v>3</v>
      </c>
      <c r="U77" s="6" t="s">
        <v>2</v>
      </c>
      <c r="V77" s="6" t="s">
        <v>3</v>
      </c>
      <c r="W77" s="6" t="s">
        <v>4</v>
      </c>
      <c r="X77" s="6" t="s">
        <v>4</v>
      </c>
      <c r="Y77" s="6" t="s">
        <v>4</v>
      </c>
      <c r="Z77" s="6" t="s">
        <v>3</v>
      </c>
      <c r="AA77" s="6" t="s">
        <v>4</v>
      </c>
      <c r="AB77" s="6" t="s">
        <v>4</v>
      </c>
      <c r="AC77" s="6" t="s">
        <v>4</v>
      </c>
      <c r="AD77" s="6" t="s">
        <v>4</v>
      </c>
      <c r="AE77" s="6" t="s">
        <v>4</v>
      </c>
      <c r="AF77" s="6" t="s">
        <v>4</v>
      </c>
      <c r="AG77" s="6" t="s">
        <v>3</v>
      </c>
      <c r="AH77" s="6" t="s">
        <v>4</v>
      </c>
      <c r="AI77" s="6" t="s">
        <v>3</v>
      </c>
      <c r="AJ77" s="6" t="s">
        <v>4</v>
      </c>
      <c r="AK77" s="6" t="s">
        <v>3</v>
      </c>
      <c r="AL77" s="6" t="s">
        <v>3</v>
      </c>
      <c r="AM77" s="6" t="s">
        <v>3</v>
      </c>
      <c r="AZ77"/>
      <c r="BA77" s="33"/>
      <c r="BB77" s="33"/>
      <c r="BC77" s="33"/>
      <c r="BD77" s="33"/>
      <c r="BE77" s="33"/>
      <c r="BF77" s="33"/>
      <c r="BG77" s="33"/>
    </row>
    <row r="78" spans="1:98">
      <c r="A78" s="6">
        <f t="shared" si="1"/>
        <v>77</v>
      </c>
      <c r="B78" s="6" t="s">
        <v>476</v>
      </c>
      <c r="C78" s="6">
        <v>6</v>
      </c>
      <c r="D78" s="6" t="s">
        <v>5</v>
      </c>
      <c r="E78" s="6" t="s">
        <v>5</v>
      </c>
      <c r="F78" s="6" t="s">
        <v>5</v>
      </c>
      <c r="G78" s="6" t="s">
        <v>5</v>
      </c>
      <c r="H78" s="6" t="s">
        <v>5</v>
      </c>
      <c r="I78" s="6" t="s">
        <v>5</v>
      </c>
      <c r="J78" s="6" t="s">
        <v>5</v>
      </c>
      <c r="K78" s="6" t="s">
        <v>2</v>
      </c>
      <c r="L78" s="6" t="s">
        <v>3</v>
      </c>
      <c r="M78" s="6" t="s">
        <v>3</v>
      </c>
      <c r="N78" s="6" t="s">
        <v>4</v>
      </c>
      <c r="O78" s="6" t="s">
        <v>3</v>
      </c>
      <c r="P78" s="6" t="s">
        <v>5</v>
      </c>
      <c r="Q78" s="6" t="s">
        <v>3</v>
      </c>
      <c r="R78" s="6" t="s">
        <v>3</v>
      </c>
      <c r="S78" s="6" t="s">
        <v>5</v>
      </c>
      <c r="T78" s="6" t="s">
        <v>3</v>
      </c>
      <c r="U78" s="6" t="s">
        <v>5</v>
      </c>
      <c r="V78" s="6" t="s">
        <v>4</v>
      </c>
      <c r="W78" s="6" t="s">
        <v>2</v>
      </c>
      <c r="X78" s="6" t="s">
        <v>5</v>
      </c>
      <c r="Y78" s="6" t="s">
        <v>4</v>
      </c>
      <c r="Z78" s="6" t="s">
        <v>3</v>
      </c>
      <c r="AA78" s="6" t="s">
        <v>4</v>
      </c>
      <c r="AB78" s="6" t="s">
        <v>4</v>
      </c>
      <c r="AC78" s="6" t="s">
        <v>4</v>
      </c>
      <c r="AD78" s="6" t="s">
        <v>4</v>
      </c>
      <c r="AE78" s="6" t="s">
        <v>3</v>
      </c>
      <c r="AF78" s="6" t="s">
        <v>4</v>
      </c>
      <c r="AG78" s="6" t="s">
        <v>3</v>
      </c>
      <c r="AH78" s="6" t="s">
        <v>4</v>
      </c>
      <c r="AI78" s="6" t="s">
        <v>3</v>
      </c>
      <c r="AJ78" s="6" t="s">
        <v>4</v>
      </c>
      <c r="AK78" s="6" t="s">
        <v>3</v>
      </c>
      <c r="AL78" s="6" t="s">
        <v>3</v>
      </c>
      <c r="AM78" s="6" t="s">
        <v>3</v>
      </c>
      <c r="AS78" s="7" t="s">
        <v>240</v>
      </c>
      <c r="AT78" s="7">
        <v>1</v>
      </c>
      <c r="AU78" s="7">
        <v>2</v>
      </c>
      <c r="AV78" s="7">
        <v>3</v>
      </c>
      <c r="AW78" s="7">
        <v>4</v>
      </c>
      <c r="AX78" s="7">
        <v>5</v>
      </c>
      <c r="AY78" s="7">
        <v>6</v>
      </c>
      <c r="AZ78"/>
      <c r="BA78" s="31"/>
      <c r="BB78" s="31"/>
      <c r="BC78" s="31"/>
      <c r="BD78" s="31"/>
      <c r="BE78" s="31"/>
      <c r="BF78" s="31"/>
      <c r="BG78" s="31"/>
      <c r="BI78" s="3"/>
    </row>
    <row r="79" spans="1:98">
      <c r="A79" s="6">
        <f t="shared" si="1"/>
        <v>78</v>
      </c>
      <c r="B79" s="6" t="s">
        <v>489</v>
      </c>
      <c r="C79" s="6">
        <v>6</v>
      </c>
      <c r="D79" s="6" t="s">
        <v>5</v>
      </c>
      <c r="E79" s="6" t="s">
        <v>5</v>
      </c>
      <c r="F79" s="6" t="s">
        <v>4</v>
      </c>
      <c r="G79" s="6" t="s">
        <v>5</v>
      </c>
      <c r="H79" s="6" t="s">
        <v>5</v>
      </c>
      <c r="I79" s="6" t="s">
        <v>3</v>
      </c>
      <c r="J79" s="6" t="s">
        <v>5</v>
      </c>
      <c r="K79" s="6" t="s">
        <v>2</v>
      </c>
      <c r="L79" s="6" t="s">
        <v>2</v>
      </c>
      <c r="M79" s="6" t="s">
        <v>4</v>
      </c>
      <c r="N79" s="6" t="s">
        <v>3</v>
      </c>
      <c r="O79" s="6" t="s">
        <v>5</v>
      </c>
      <c r="P79" s="6" t="s">
        <v>5</v>
      </c>
      <c r="Q79" s="6" t="s">
        <v>4</v>
      </c>
      <c r="R79" s="6" t="s">
        <v>5</v>
      </c>
      <c r="S79" s="6" t="s">
        <v>5</v>
      </c>
      <c r="T79" s="6" t="s">
        <v>5</v>
      </c>
      <c r="U79" s="6" t="s">
        <v>5</v>
      </c>
      <c r="V79" s="6" t="s">
        <v>2</v>
      </c>
      <c r="W79" s="6" t="s">
        <v>4</v>
      </c>
      <c r="X79" s="6" t="s">
        <v>5</v>
      </c>
      <c r="Y79" s="6" t="s">
        <v>2</v>
      </c>
      <c r="Z79" s="6" t="s">
        <v>3</v>
      </c>
      <c r="AA79" s="6" t="s">
        <v>4</v>
      </c>
      <c r="AB79" s="6" t="s">
        <v>4</v>
      </c>
      <c r="AC79" s="6" t="s">
        <v>4</v>
      </c>
      <c r="AD79" s="6" t="s">
        <v>4</v>
      </c>
      <c r="AE79" s="6" t="s">
        <v>4</v>
      </c>
      <c r="AF79" s="6" t="s">
        <v>4</v>
      </c>
      <c r="AG79" s="6" t="s">
        <v>3</v>
      </c>
      <c r="AH79" s="6" t="s">
        <v>4</v>
      </c>
      <c r="AI79" s="6" t="s">
        <v>4</v>
      </c>
      <c r="AJ79" s="6" t="s">
        <v>4</v>
      </c>
      <c r="AK79" s="6" t="s">
        <v>3</v>
      </c>
      <c r="AL79" s="6" t="s">
        <v>4</v>
      </c>
      <c r="AM79" s="6" t="s">
        <v>3</v>
      </c>
      <c r="AS79" s="6" t="s">
        <v>174</v>
      </c>
      <c r="AT79" s="6">
        <f>COUNTIFS(L:L,"A",C:C,1)/COUNTIF(C:C,1)</f>
        <v>0</v>
      </c>
      <c r="AU79" s="6">
        <f>COUNTIFS(L:L,"A",C:C,2)/COUNTIF(C:C,2)</f>
        <v>0</v>
      </c>
      <c r="AV79" s="6">
        <f>COUNTIFS(L:L,"A",C:C,3)/COUNTIF(C:C,3)</f>
        <v>0</v>
      </c>
      <c r="AW79" s="6">
        <f>COUNTIFS(L:L,"A",C:C,4)/COUNTIF(C:C,4)</f>
        <v>0</v>
      </c>
      <c r="AX79" s="6">
        <f>COUNTIFS(L:L,"A",C:C,5)/COUNTIF(C:C,5)</f>
        <v>0.15384615384615385</v>
      </c>
      <c r="AY79" s="6">
        <f>COUNTIFS(L:L,"A",C:C,6)/COUNTIF(C:C,6)</f>
        <v>7.6923076923076927E-2</v>
      </c>
      <c r="AZ79"/>
      <c r="BA79" s="31"/>
      <c r="BB79" s="31"/>
      <c r="BC79" s="31"/>
      <c r="BD79" s="31"/>
      <c r="BE79" s="31"/>
      <c r="BF79" s="31"/>
      <c r="BG79" s="31"/>
    </row>
    <row r="80" spans="1:98">
      <c r="AS80" s="6" t="s">
        <v>175</v>
      </c>
      <c r="AT80" s="6">
        <f>COUNTIFS(L:L,"B",C:C,1)/COUNTIF(C:C,1)</f>
        <v>0.53846153846153844</v>
      </c>
      <c r="AU80" s="6">
        <f>COUNTIFS(L:L,"B",C:C,2)/COUNTIF(C:C,2)</f>
        <v>0.61538461538461542</v>
      </c>
      <c r="AV80" s="6">
        <f>COUNTIFS(L:L,"B",C:C,3)/COUNTIF(C:C,3)</f>
        <v>0.61538461538461542</v>
      </c>
      <c r="AW80" s="6">
        <f>COUNTIFS(L:L,"B",C:C,4)/COUNTIF(C:C,4)</f>
        <v>0.23076923076923078</v>
      </c>
      <c r="AX80" s="6">
        <f>COUNTIFS(L:L,"B",C:C,5)/COUNTIF(C:C,5)</f>
        <v>0.30769230769230771</v>
      </c>
      <c r="AY80" s="6">
        <f>COUNTIFS(L:L,"B",C:C,6)/COUNTIF(C:C,6)</f>
        <v>0.23076923076923078</v>
      </c>
      <c r="AZ80"/>
      <c r="BA80" s="31"/>
      <c r="BB80" s="31"/>
      <c r="BC80" s="31"/>
      <c r="BD80" s="31"/>
      <c r="BE80" s="31"/>
      <c r="BF80" s="31"/>
      <c r="BG80" s="31"/>
    </row>
    <row r="81" spans="45:98">
      <c r="AS81" s="6" t="s">
        <v>176</v>
      </c>
      <c r="AT81" s="6">
        <f>COUNTIFS(L:L,"C",C:C,1)/COUNTIF(C:C,1)</f>
        <v>0.46153846153846156</v>
      </c>
      <c r="AU81" s="6">
        <f>COUNTIFS(L:L,"C",C:C,2)/COUNTIF(C:C,2)</f>
        <v>0.38461538461538464</v>
      </c>
      <c r="AV81" s="6">
        <f>COUNTIFS(L:L,"C",C:C,3)/COUNTIF(C:C,3)</f>
        <v>0.38461538461538464</v>
      </c>
      <c r="AW81" s="6">
        <f>COUNTIFS(L:L,"C",C:C,4)/COUNTIF(C:C,4)</f>
        <v>0.69230769230769229</v>
      </c>
      <c r="AX81" s="6">
        <f>COUNTIFS(L:L,"C",C:C,5)/COUNTIF(C:C,5)</f>
        <v>0.53846153846153844</v>
      </c>
      <c r="AY81" s="6">
        <f>COUNTIFS(L:L,"C",C:C,6)/COUNTIF(C:C,6)</f>
        <v>0.69230769230769229</v>
      </c>
      <c r="AZ81"/>
      <c r="BA81" s="31"/>
      <c r="BB81" s="31"/>
      <c r="BC81" s="31"/>
      <c r="BD81" s="31"/>
      <c r="BE81" s="31"/>
      <c r="BF81" s="31"/>
      <c r="BG81" s="31"/>
      <c r="BI81" s="75"/>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row>
    <row r="82" spans="45:98">
      <c r="AS82" s="6" t="s">
        <v>177</v>
      </c>
      <c r="AT82" s="6">
        <f>COUNTIFS(L:L,"D",C:C,1)/COUNTIF(C:C,1)</f>
        <v>0</v>
      </c>
      <c r="AU82" s="6">
        <f>COUNTIFS(L:L,"D",C:C,2)/COUNTIF(C:C,2)</f>
        <v>0</v>
      </c>
      <c r="AV82" s="6">
        <f>COUNTIFS(L:L,"D",C:C,3)/COUNTIF(C:C,3)</f>
        <v>0</v>
      </c>
      <c r="AW82" s="6">
        <f>COUNTIFS(L:L,"D",C:C,4)/COUNTIF(C:C,4)</f>
        <v>7.6923076923076927E-2</v>
      </c>
      <c r="AX82" s="6">
        <f>COUNTIFS(L:L,"D",C:C,5)/COUNTIF(C:C,5)</f>
        <v>0</v>
      </c>
      <c r="AY82" s="6">
        <f>COUNTIFS(L:L,"D",C:C,6)/COUNTIF(C:C,6)</f>
        <v>0</v>
      </c>
      <c r="AZ82"/>
      <c r="BA82" s="31"/>
      <c r="BB82" s="31"/>
      <c r="BC82" s="31"/>
      <c r="BD82" s="31"/>
      <c r="BE82" s="31"/>
      <c r="BF82" s="31"/>
      <c r="BG82" s="31"/>
      <c r="BI82" s="75"/>
    </row>
    <row r="83" spans="45:98">
      <c r="AZ83"/>
      <c r="BA83" s="33"/>
      <c r="BB83" s="33"/>
      <c r="BC83" s="33"/>
      <c r="BD83" s="33"/>
      <c r="BE83" s="33"/>
      <c r="BF83" s="33"/>
      <c r="BG83" s="33"/>
    </row>
    <row r="84" spans="45:98">
      <c r="AS84" s="7" t="s">
        <v>241</v>
      </c>
      <c r="AT84" s="7">
        <v>1</v>
      </c>
      <c r="AU84" s="7">
        <v>2</v>
      </c>
      <c r="AV84" s="7">
        <v>3</v>
      </c>
      <c r="AW84" s="7">
        <v>4</v>
      </c>
      <c r="AX84" s="7">
        <v>5</v>
      </c>
      <c r="AY84" s="7">
        <v>6</v>
      </c>
      <c r="AZ84"/>
      <c r="BA84" s="31"/>
      <c r="BB84" s="31"/>
      <c r="BC84" s="31"/>
      <c r="BD84" s="31"/>
      <c r="BE84" s="31"/>
      <c r="BF84" s="31"/>
      <c r="BG84" s="31"/>
      <c r="BI84" s="3"/>
    </row>
    <row r="85" spans="45:98">
      <c r="AS85" s="6" t="s">
        <v>178</v>
      </c>
      <c r="AT85" s="6">
        <f>COUNTIFS(M:M,"A",C:C,1)/COUNTIF(C:C,1)</f>
        <v>0</v>
      </c>
      <c r="AU85" s="6">
        <f>COUNTIFS(M:M,"A",C:C,2)/COUNTIF(C:C,2)</f>
        <v>0.30769230769230771</v>
      </c>
      <c r="AV85" s="6">
        <f>COUNTIFS(M:M,"A",C:C,3)/COUNTIF(C:C,3)</f>
        <v>0.30769230769230771</v>
      </c>
      <c r="AW85" s="6">
        <f>COUNTIFS(M:M,"A",C:C,4)/COUNTIF(C:C,4)</f>
        <v>0.23076923076923078</v>
      </c>
      <c r="AX85" s="6">
        <f>COUNTIFS(M:M,"A",C:C,5)/COUNTIF(C:C,5)</f>
        <v>0.38461538461538464</v>
      </c>
      <c r="AY85" s="6">
        <f>COUNTIFS(M:M,"A",C:C,6)/COUNTIF(C:C,6)</f>
        <v>0.53846153846153844</v>
      </c>
      <c r="AZ85"/>
      <c r="BA85" s="31"/>
      <c r="BB85" s="31"/>
      <c r="BC85" s="31"/>
      <c r="BD85" s="31"/>
      <c r="BE85" s="31"/>
      <c r="BF85" s="31"/>
      <c r="BG85" s="31"/>
    </row>
    <row r="86" spans="45:98">
      <c r="AS86" s="6" t="s">
        <v>179</v>
      </c>
      <c r="AT86" s="6">
        <f>COUNTIFS(M:M,"B",C:C,1)/COUNTIF(C:C,1)</f>
        <v>0.69230769230769229</v>
      </c>
      <c r="AU86" s="6">
        <f>COUNTIFS(M:M,"B",C:C,2)/COUNTIF(C:C,2)</f>
        <v>0.23076923076923078</v>
      </c>
      <c r="AV86" s="6">
        <f>COUNTIFS(M:M,"B",C:C,3)/COUNTIF(C:C,3)</f>
        <v>0.46153846153846156</v>
      </c>
      <c r="AW86" s="6">
        <f>COUNTIFS(M:M,"B",C:C,4)/COUNTIF(C:C,4)</f>
        <v>0.23076923076923078</v>
      </c>
      <c r="AX86" s="6">
        <f>COUNTIFS(M:M,"B",C:C,5)/COUNTIF(C:C,5)</f>
        <v>7.6923076923076927E-2</v>
      </c>
      <c r="AY86" s="6">
        <f>COUNTIFS(M:M,"B",C:C,6)/COUNTIF(C:C,6)</f>
        <v>0.23076923076923078</v>
      </c>
      <c r="AZ86"/>
      <c r="BA86" s="31"/>
      <c r="BB86" s="31"/>
      <c r="BC86" s="31"/>
      <c r="BD86" s="31"/>
      <c r="BE86" s="31"/>
      <c r="BF86" s="31"/>
      <c r="BG86" s="31"/>
      <c r="BI86" s="3"/>
    </row>
    <row r="87" spans="45:98">
      <c r="AS87" s="6" t="s">
        <v>180</v>
      </c>
      <c r="AT87" s="6">
        <f>COUNTIFS(M:M,"C",C:C,1)/COUNTIF(C:C,1)</f>
        <v>0.30769230769230771</v>
      </c>
      <c r="AU87" s="6">
        <f>COUNTIFS(M:M,"C",C:C,2)/COUNTIF(C:C,2)</f>
        <v>0.46153846153846156</v>
      </c>
      <c r="AV87" s="6">
        <f>COUNTIFS(M:M,"C",C:C,3)/COUNTIF(C:C,3)</f>
        <v>0.23076923076923078</v>
      </c>
      <c r="AW87" s="6">
        <f>COUNTIFS(M:M,"C",C:C,4)/COUNTIF(C:C,4)</f>
        <v>0.38461538461538464</v>
      </c>
      <c r="AX87" s="6">
        <f>COUNTIFS(M:M,"C",C:C,5)/COUNTIF(C:C,5)</f>
        <v>0.23076923076923078</v>
      </c>
      <c r="AY87" s="6">
        <f>COUNTIFS(M:M,"C",C:C,6)/COUNTIF(C:C,6)</f>
        <v>7.6923076923076927E-2</v>
      </c>
      <c r="AZ87"/>
      <c r="BA87" s="31"/>
      <c r="BB87" s="31"/>
      <c r="BC87" s="31"/>
      <c r="BD87" s="31"/>
      <c r="BE87" s="31"/>
      <c r="BF87" s="31"/>
      <c r="BG87" s="31"/>
    </row>
    <row r="88" spans="45:98">
      <c r="AS88" s="6" t="s">
        <v>181</v>
      </c>
      <c r="AT88" s="6">
        <f>COUNTIFS(M:M,"D",C:C,1)/COUNTIF(C:C,1)</f>
        <v>0</v>
      </c>
      <c r="AU88" s="6">
        <f>COUNTIFS(M:M,"D",C:C,2)/COUNTIF(C:C,2)</f>
        <v>0</v>
      </c>
      <c r="AV88" s="6">
        <f>COUNTIFS(M:M,"D",C:C,3)/COUNTIF(C:C,3)</f>
        <v>0</v>
      </c>
      <c r="AW88" s="6">
        <f>COUNTIFS(M:M,"D",C:C,4)/COUNTIF(C:C,4)</f>
        <v>0.15384615384615385</v>
      </c>
      <c r="AX88" s="6">
        <f>COUNTIFS(M:M,"D",C:C,5)/COUNTIF(C:C,5)</f>
        <v>0.30769230769230771</v>
      </c>
      <c r="AY88" s="6">
        <f>COUNTIFS(M:M,"D",C:C,6)/COUNTIF(C:C,6)</f>
        <v>0.15384615384615385</v>
      </c>
      <c r="AZ88"/>
      <c r="BA88" s="31"/>
      <c r="BB88" s="31"/>
      <c r="BC88" s="31"/>
      <c r="BD88" s="31"/>
      <c r="BE88" s="31"/>
      <c r="BF88" s="31"/>
      <c r="BG88" s="31"/>
      <c r="BI88" s="3"/>
    </row>
    <row r="89" spans="45:98">
      <c r="AZ89"/>
      <c r="BA89" s="33"/>
      <c r="BB89" s="33"/>
      <c r="BC89" s="33"/>
      <c r="BD89" s="33"/>
      <c r="BE89" s="33"/>
      <c r="BF89" s="33"/>
      <c r="BG89" s="33"/>
    </row>
    <row r="90" spans="45:98">
      <c r="AS90" s="7" t="s">
        <v>242</v>
      </c>
      <c r="AT90" s="7">
        <v>1</v>
      </c>
      <c r="AU90" s="7">
        <v>2</v>
      </c>
      <c r="AV90" s="7">
        <v>3</v>
      </c>
      <c r="AW90" s="7">
        <v>4</v>
      </c>
      <c r="AX90" s="7">
        <v>5</v>
      </c>
      <c r="AY90" s="7">
        <v>6</v>
      </c>
      <c r="AZ90"/>
      <c r="BA90" s="31"/>
      <c r="BB90" s="31"/>
      <c r="BC90" s="31"/>
      <c r="BD90" s="31"/>
      <c r="BE90" s="31"/>
      <c r="BF90" s="31"/>
      <c r="BG90" s="31"/>
      <c r="BI90" s="3"/>
    </row>
    <row r="91" spans="45:98">
      <c r="AS91" s="6" t="s">
        <v>182</v>
      </c>
      <c r="AT91" s="6">
        <f>COUNTIFS(N:N,"A",C:C,1)/COUNTIF(C:C,1)</f>
        <v>0.53846153846153844</v>
      </c>
      <c r="AU91" s="6">
        <f>COUNTIFS(N:N,"A",C:C,2)/COUNTIF(C:C,2)</f>
        <v>0.46153846153846156</v>
      </c>
      <c r="AV91" s="6">
        <f>COUNTIFS(N:N,"A",C:C,3)/COUNTIF(C:C,3)</f>
        <v>0.61538461538461542</v>
      </c>
      <c r="AW91" s="6">
        <f>COUNTIFS(N:N,"A",C:C,4)/COUNTIF(C:C,4)</f>
        <v>0.30769230769230771</v>
      </c>
      <c r="AX91" s="6">
        <f>COUNTIFS(N:N,"A",C:C,5)/COUNTIF(C:C,5)</f>
        <v>0.38461538461538464</v>
      </c>
      <c r="AY91" s="6">
        <f>COUNTIFS(N:N,"A",C:C,6)/COUNTIF(C:C,6)</f>
        <v>0.61538461538461542</v>
      </c>
      <c r="AZ91"/>
      <c r="BA91" s="31"/>
      <c r="BB91" s="31"/>
      <c r="BC91" s="31"/>
      <c r="BD91" s="31"/>
      <c r="BE91" s="31"/>
      <c r="BF91" s="31"/>
      <c r="BG91" s="31"/>
    </row>
    <row r="92" spans="45:98">
      <c r="AS92" s="6" t="s">
        <v>183</v>
      </c>
      <c r="AT92" s="6">
        <f>COUNTIFS(N:N,"B",C:C,1)/COUNTIF(C:C,1)</f>
        <v>0.23076923076923078</v>
      </c>
      <c r="AU92" s="6">
        <f>COUNTIFS(N:N,"B",C:C,2)/COUNTIF(C:C,2)</f>
        <v>0.30769230769230771</v>
      </c>
      <c r="AV92" s="6">
        <f>COUNTIFS(N:N,"B",C:C,3)/COUNTIF(C:C,3)</f>
        <v>0.23076923076923078</v>
      </c>
      <c r="AW92" s="6">
        <f>COUNTIFS(N:N,"B",C:C,4)/COUNTIF(C:C,4)</f>
        <v>0.46153846153846156</v>
      </c>
      <c r="AX92" s="6">
        <f>COUNTIFS(N:N,"B",C:C,5)/COUNTIF(C:C,5)</f>
        <v>0.15384615384615385</v>
      </c>
      <c r="AY92" s="6">
        <f>COUNTIFS(N:N,"B",C:C,6)/COUNTIF(C:C,6)</f>
        <v>0.30769230769230771</v>
      </c>
      <c r="AZ92"/>
      <c r="BA92" s="31"/>
      <c r="BB92" s="31"/>
      <c r="BC92" s="31"/>
      <c r="BD92" s="31"/>
      <c r="BE92" s="31"/>
      <c r="BF92" s="31"/>
      <c r="BG92" s="31"/>
      <c r="BI92" s="3"/>
    </row>
    <row r="93" spans="45:98">
      <c r="AS93" s="6" t="s">
        <v>184</v>
      </c>
      <c r="AT93" s="6">
        <f>COUNTIFS(N:N,"C",C:C,1)/COUNTIF(C:C,1)</f>
        <v>0.23076923076923078</v>
      </c>
      <c r="AU93" s="6">
        <f>COUNTIFS(N:N,"C",C:C,2)/COUNTIF(C:C,2)</f>
        <v>0.23076923076923078</v>
      </c>
      <c r="AV93" s="6">
        <f>COUNTIFS(N:N,"C",C:C,3)/COUNTIF(C:C,3)</f>
        <v>7.6923076923076927E-2</v>
      </c>
      <c r="AW93" s="6">
        <f>COUNTIFS(N:N,"C",C:C,4)/COUNTIF(C:C,4)</f>
        <v>0</v>
      </c>
      <c r="AX93" s="6">
        <f>COUNTIFS(N:N,"C",C:C,5)/COUNTIF(C:C,5)</f>
        <v>0.38461538461538464</v>
      </c>
      <c r="AY93" s="6">
        <f>COUNTIFS(N:N,"C",C:C,6)/COUNTIF(C:C,6)</f>
        <v>7.6923076923076927E-2</v>
      </c>
      <c r="AZ93"/>
      <c r="BA93" s="31"/>
      <c r="BB93" s="31"/>
      <c r="BC93" s="31"/>
      <c r="BD93" s="31"/>
      <c r="BE93" s="31"/>
      <c r="BF93" s="31"/>
      <c r="BG93" s="31"/>
    </row>
    <row r="94" spans="45:98">
      <c r="AS94" s="6" t="s">
        <v>185</v>
      </c>
      <c r="AT94" s="6">
        <f>COUNTIFS(N:N,"D",C:C,1)/COUNTIF(C:C,1)</f>
        <v>0</v>
      </c>
      <c r="AU94" s="6">
        <f>COUNTIFS(N:N,"D",C:C,2)/COUNTIF(C:C,2)</f>
        <v>0</v>
      </c>
      <c r="AV94" s="6">
        <f>COUNTIFS(N:N,"D",C:C,3)/COUNTIF(C:C,3)</f>
        <v>7.6923076923076927E-2</v>
      </c>
      <c r="AW94" s="6">
        <f>COUNTIFS(N:N,"D",C:C,4)/COUNTIF(C:C,4)</f>
        <v>0.23076923076923078</v>
      </c>
      <c r="AX94" s="6">
        <f>COUNTIFS(N:N,"D",C:C,5)/COUNTIF(C:C,5)</f>
        <v>7.6923076923076927E-2</v>
      </c>
      <c r="AY94" s="6">
        <f>COUNTIFS(N:N,"D",C:C,6)/COUNTIF(C:C,6)</f>
        <v>0</v>
      </c>
      <c r="AZ94"/>
      <c r="BA94" s="31"/>
      <c r="BB94" s="31"/>
      <c r="BC94" s="31"/>
      <c r="BD94" s="31"/>
      <c r="BE94" s="31"/>
      <c r="BF94" s="31"/>
      <c r="BG94" s="31"/>
      <c r="BI94" s="3"/>
    </row>
    <row r="95" spans="45:98">
      <c r="AZ95"/>
      <c r="BA95" s="33"/>
      <c r="BB95" s="33"/>
      <c r="BC95" s="33"/>
      <c r="BD95" s="33"/>
      <c r="BE95" s="33"/>
      <c r="BF95" s="33"/>
      <c r="BG95" s="33"/>
    </row>
    <row r="96" spans="45:98">
      <c r="AS96" s="7" t="s">
        <v>243</v>
      </c>
      <c r="AT96" s="7">
        <v>1</v>
      </c>
      <c r="AU96" s="7">
        <v>2</v>
      </c>
      <c r="AV96" s="7">
        <v>3</v>
      </c>
      <c r="AW96" s="7">
        <v>4</v>
      </c>
      <c r="AX96" s="7">
        <v>5</v>
      </c>
      <c r="AY96" s="7">
        <v>6</v>
      </c>
      <c r="AZ96"/>
      <c r="BA96" s="31"/>
      <c r="BB96" s="31"/>
      <c r="BC96" s="31"/>
      <c r="BD96" s="31"/>
      <c r="BE96" s="31"/>
      <c r="BF96" s="31"/>
      <c r="BG96" s="31"/>
    </row>
    <row r="97" spans="45:98">
      <c r="AS97" s="6" t="s">
        <v>186</v>
      </c>
      <c r="AT97" s="6">
        <f>COUNTIFS(O:O,"A",C:C,1)/COUNTIF(C:C,1)</f>
        <v>0.15384615384615385</v>
      </c>
      <c r="AU97" s="6">
        <f>COUNTIFS(O:O,"A",C:C,2)/COUNTIF(C:C,2)</f>
        <v>0.23076923076923078</v>
      </c>
      <c r="AV97" s="6">
        <f>COUNTIFS(O:O,"A",C:C,3)/COUNTIF(C:C,3)</f>
        <v>0</v>
      </c>
      <c r="AW97" s="6">
        <f>COUNTIFS(O:O,"A",C:C,4)/COUNTIF(C:C,4)</f>
        <v>0.23076923076923078</v>
      </c>
      <c r="AX97" s="6">
        <f>COUNTIFS(O:O,"A",C:C,5)/COUNTIF(C:C,5)</f>
        <v>0.15384615384615385</v>
      </c>
      <c r="AY97" s="6">
        <f>COUNTIFS(O:O,"A",C:C,6)/COUNTIF(C:C,6)</f>
        <v>7.6923076923076927E-2</v>
      </c>
      <c r="AZ97"/>
      <c r="BA97" s="31"/>
      <c r="BB97" s="31"/>
      <c r="BC97" s="31"/>
      <c r="BD97" s="31"/>
      <c r="BE97" s="31"/>
      <c r="BF97" s="31"/>
      <c r="BG97" s="31"/>
      <c r="BI97" s="75"/>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row>
    <row r="98" spans="45:98">
      <c r="AS98" s="6" t="s">
        <v>188</v>
      </c>
      <c r="AT98" s="6">
        <f>COUNTIFS(O:O,"B",C:C,1)/COUNTIF(C:C,1)</f>
        <v>0.23076923076923078</v>
      </c>
      <c r="AU98" s="6">
        <f>COUNTIFS(O:O,"B",C:C,2)/COUNTIF(C:C,2)</f>
        <v>0.15384615384615385</v>
      </c>
      <c r="AV98" s="6">
        <f>COUNTIFS(O:O,"B",C:C,3)/COUNTIF(C:C,3)</f>
        <v>0</v>
      </c>
      <c r="AW98" s="6">
        <f>COUNTIFS(O:O,"B",C:C,4)/COUNTIF(C:C,4)</f>
        <v>0.15384615384615385</v>
      </c>
      <c r="AX98" s="6">
        <f>COUNTIFS(O:O,"B",C:C,5)/COUNTIF(C:C,5)</f>
        <v>7.6923076923076927E-2</v>
      </c>
      <c r="AY98" s="6">
        <f>COUNTIFS(O:O,"B",C:C,6)/COUNTIF(C:C,6)</f>
        <v>0.15384615384615385</v>
      </c>
      <c r="AZ98"/>
      <c r="BA98" s="31"/>
      <c r="BB98" s="31"/>
      <c r="BC98" s="31"/>
      <c r="BD98" s="31"/>
      <c r="BE98" s="31"/>
      <c r="BF98" s="31"/>
      <c r="BG98" s="31"/>
      <c r="BI98" s="75"/>
    </row>
    <row r="99" spans="45:98">
      <c r="AS99" s="6" t="s">
        <v>189</v>
      </c>
      <c r="AT99" s="6">
        <f>COUNTIFS(O:O,"C",C:C,1)/COUNTIF(C:C,1)</f>
        <v>0.15384615384615385</v>
      </c>
      <c r="AU99" s="6">
        <f>COUNTIFS(O:O,"C",C:C,2)/COUNTIF(C:C,2)</f>
        <v>0.30769230769230771</v>
      </c>
      <c r="AV99" s="6">
        <f>COUNTIFS(O:O,"C",C:C,3)/COUNTIF(C:C,3)</f>
        <v>0.46153846153846156</v>
      </c>
      <c r="AW99" s="6">
        <f>COUNTIFS(O:O,"C",C:C,4)/COUNTIF(C:C,4)</f>
        <v>0.23076923076923078</v>
      </c>
      <c r="AX99" s="6">
        <f>COUNTIFS(O:O,"C",C:C,5)/COUNTIF(C:C,5)</f>
        <v>0.38461538461538464</v>
      </c>
      <c r="AY99" s="6">
        <f>COUNTIFS(O:O,"C",C:C,6)/COUNTIF(C:C,6)</f>
        <v>7.6923076923076927E-2</v>
      </c>
      <c r="AZ99"/>
      <c r="BA99" s="31"/>
      <c r="BB99" s="31"/>
      <c r="BC99" s="31"/>
      <c r="BD99" s="31"/>
      <c r="BE99" s="31"/>
      <c r="BF99" s="31"/>
      <c r="BG99" s="31"/>
    </row>
    <row r="100" spans="45:98">
      <c r="AS100" s="6" t="s">
        <v>190</v>
      </c>
      <c r="AT100" s="6">
        <f>COUNTIFS(O:O,"D",C:C,1)/COUNTIF(C:C,1)</f>
        <v>0.46153846153846156</v>
      </c>
      <c r="AU100" s="6">
        <f>COUNTIFS(O:O,"D",C:C,2)/COUNTIF(C:C,2)</f>
        <v>0.30769230769230771</v>
      </c>
      <c r="AV100" s="6">
        <f>COUNTIFS(O:O,"D",C:C,3)/COUNTIF(C:C,3)</f>
        <v>0.53846153846153844</v>
      </c>
      <c r="AW100" s="6">
        <f>COUNTIFS(O:O,"D",C:C,4)/COUNTIF(C:C,4)</f>
        <v>0.38461538461538464</v>
      </c>
      <c r="AX100" s="6">
        <f>COUNTIFS(O:O,"D",C:C,5)/COUNTIF(C:C,5)</f>
        <v>0.38461538461538464</v>
      </c>
      <c r="AY100" s="6">
        <f>COUNTIFS(O:O,"D",C:C,6)/COUNTIF(C:C,6)</f>
        <v>0.69230769230769229</v>
      </c>
      <c r="AZ100"/>
      <c r="BA100" s="31"/>
      <c r="BB100" s="31"/>
      <c r="BC100" s="31"/>
      <c r="BD100" s="31"/>
      <c r="BE100" s="31"/>
      <c r="BF100" s="31"/>
      <c r="BG100" s="31"/>
      <c r="BI100" s="3"/>
    </row>
    <row r="101" spans="45:98">
      <c r="AZ101"/>
      <c r="BA101" s="33"/>
      <c r="BB101" s="33"/>
      <c r="BC101" s="33"/>
      <c r="BD101" s="33"/>
      <c r="BE101" s="33"/>
      <c r="BF101" s="33"/>
      <c r="BG101" s="33"/>
    </row>
    <row r="102" spans="45:98">
      <c r="AS102" s="7" t="s">
        <v>244</v>
      </c>
      <c r="AT102" s="7">
        <v>1</v>
      </c>
      <c r="AU102" s="7">
        <v>2</v>
      </c>
      <c r="AV102" s="7">
        <v>3</v>
      </c>
      <c r="AW102" s="7">
        <v>4</v>
      </c>
      <c r="AX102" s="7">
        <v>5</v>
      </c>
      <c r="AY102" s="7">
        <v>6</v>
      </c>
      <c r="AZ102"/>
      <c r="BA102" s="31"/>
      <c r="BB102" s="31"/>
      <c r="BC102" s="31"/>
      <c r="BD102" s="31"/>
      <c r="BE102" s="31"/>
      <c r="BF102" s="31"/>
      <c r="BG102" s="31"/>
      <c r="BI102" s="3"/>
    </row>
    <row r="103" spans="45:98">
      <c r="AS103" s="6" t="s">
        <v>191</v>
      </c>
      <c r="AT103" s="6">
        <f>COUNTIFS(P:P,"A",C:C,1)/COUNTIF(C:C,1)</f>
        <v>0</v>
      </c>
      <c r="AU103" s="6">
        <f>COUNTIFS(P:P,"A",C:C,2)/COUNTIF(C:C,2)</f>
        <v>0</v>
      </c>
      <c r="AV103" s="6">
        <f>COUNTIFS(P:P,"A",C:C,3)/COUNTIF(C:C,3)</f>
        <v>0</v>
      </c>
      <c r="AW103" s="6">
        <f>COUNTIFS(P:P,"A",C:C,4)/COUNTIF(C:C,4)</f>
        <v>7.6923076923076927E-2</v>
      </c>
      <c r="AX103" s="6">
        <f>COUNTIFS(P:P,"A",C:C,5)/COUNTIF(C:C,5)</f>
        <v>7.6923076923076927E-2</v>
      </c>
      <c r="AY103" s="6">
        <f>COUNTIFS(P:P,"A",C:C,6)/COUNTIF(C:C,6)</f>
        <v>0</v>
      </c>
      <c r="AZ103"/>
      <c r="BA103" s="31"/>
      <c r="BB103" s="31"/>
      <c r="BC103" s="31"/>
      <c r="BD103" s="31"/>
      <c r="BE103" s="31"/>
      <c r="BF103" s="31"/>
      <c r="BG103" s="31"/>
    </row>
    <row r="104" spans="45:98">
      <c r="AS104" s="6" t="s">
        <v>187</v>
      </c>
      <c r="AT104" s="6">
        <f>COUNTIFS(P:P,"B",C:C,1)/COUNTIF(C:C,1)</f>
        <v>0</v>
      </c>
      <c r="AU104" s="6">
        <f>COUNTIFS(P:P,"B",C:C,2)/COUNTIF(C:C,2)</f>
        <v>0</v>
      </c>
      <c r="AV104" s="6">
        <f>COUNTIFS(P:P,"B",C:C,3)/COUNTIF(C:C,3)</f>
        <v>7.6923076923076927E-2</v>
      </c>
      <c r="AW104" s="6">
        <f>COUNTIFS(P:P,"B",C:C,4)/COUNTIF(C:C,4)</f>
        <v>0</v>
      </c>
      <c r="AX104" s="6">
        <f>COUNTIFS(P:P,"B",C:C,5)/COUNTIF(C:C,5)</f>
        <v>0</v>
      </c>
      <c r="AY104" s="6">
        <f>COUNTIFS(P:P,"B",C:C,6)/COUNTIF(C:C,6)</f>
        <v>0</v>
      </c>
      <c r="AZ104"/>
      <c r="BA104" s="31"/>
      <c r="BB104" s="31"/>
      <c r="BC104" s="31"/>
      <c r="BD104" s="31"/>
      <c r="BE104" s="31"/>
      <c r="BF104" s="31"/>
      <c r="BG104" s="31"/>
      <c r="BI104" s="3"/>
    </row>
    <row r="105" spans="45:98">
      <c r="AS105" s="6" t="s">
        <v>192</v>
      </c>
      <c r="AT105" s="6">
        <f>COUNTIFS(P:P,"C",C:C,1)/COUNTIF(C:C,1)</f>
        <v>0</v>
      </c>
      <c r="AU105" s="6">
        <f>COUNTIFS(P:P,"C",C:C,2)/COUNTIF(C:C,2)</f>
        <v>0</v>
      </c>
      <c r="AV105" s="6">
        <f>COUNTIFS(P:P,"C",C:C,3)/COUNTIF(C:C,3)</f>
        <v>0.38461538461538464</v>
      </c>
      <c r="AW105" s="6">
        <f>COUNTIFS(P:P,"C",C:C,4)/COUNTIF(C:C,4)</f>
        <v>7.6923076923076927E-2</v>
      </c>
      <c r="AX105" s="6">
        <f>COUNTIFS(P:P,"C",C:C,5)/COUNTIF(C:C,5)</f>
        <v>0.23076923076923078</v>
      </c>
      <c r="AY105" s="6">
        <f>COUNTIFS(P:P,"C",C:C,6)/COUNTIF(C:C,6)</f>
        <v>0.30769230769230771</v>
      </c>
      <c r="AZ105"/>
      <c r="BA105" s="31"/>
      <c r="BB105" s="31"/>
      <c r="BC105" s="31"/>
      <c r="BD105" s="31"/>
      <c r="BE105" s="31"/>
      <c r="BF105" s="31"/>
      <c r="BG105" s="31"/>
    </row>
    <row r="106" spans="45:98">
      <c r="AS106" s="6" t="s">
        <v>193</v>
      </c>
      <c r="AT106" s="6">
        <f>COUNTIFS(P:P,"D",C:C,1)/COUNTIF(C:C,1)</f>
        <v>1</v>
      </c>
      <c r="AU106" s="6">
        <f>COUNTIFS(P:P,"D",C:C,2)/COUNTIF(C:C,2)</f>
        <v>1</v>
      </c>
      <c r="AV106" s="6">
        <f>COUNTIFS(P:P,"D",C:C,3)/COUNTIF(C:C,3)</f>
        <v>0.53846153846153844</v>
      </c>
      <c r="AW106" s="6">
        <f>COUNTIFS(P:P,"D",C:C,4)/COUNTIF(C:C,4)</f>
        <v>0.84615384615384615</v>
      </c>
      <c r="AX106" s="6">
        <f>COUNTIFS(P:P,"D",C:C,5)/COUNTIF(C:C,5)</f>
        <v>0.69230769230769229</v>
      </c>
      <c r="AY106" s="6">
        <f>COUNTIFS(P:P,"D",C:C,6)/COUNTIF(C:C,6)</f>
        <v>0.69230769230769229</v>
      </c>
      <c r="AZ106"/>
      <c r="BA106" s="31"/>
      <c r="BB106" s="31"/>
      <c r="BC106" s="31"/>
      <c r="BD106" s="31"/>
      <c r="BE106" s="31"/>
      <c r="BF106" s="31"/>
      <c r="BG106" s="31"/>
      <c r="BI106" s="3"/>
    </row>
    <row r="107" spans="45:98">
      <c r="AZ107"/>
      <c r="BA107" s="33"/>
      <c r="BB107" s="33"/>
      <c r="BC107" s="33"/>
      <c r="BD107" s="33"/>
      <c r="BE107" s="33"/>
      <c r="BF107" s="33"/>
      <c r="BG107" s="33"/>
    </row>
    <row r="108" spans="45:98">
      <c r="AS108" s="7" t="s">
        <v>245</v>
      </c>
      <c r="AT108" s="7">
        <v>1</v>
      </c>
      <c r="AU108" s="7">
        <v>2</v>
      </c>
      <c r="AV108" s="7">
        <v>3</v>
      </c>
      <c r="AW108" s="7">
        <v>4</v>
      </c>
      <c r="AX108" s="7">
        <v>5</v>
      </c>
      <c r="AY108" s="7">
        <v>6</v>
      </c>
      <c r="AZ108"/>
      <c r="BA108" s="31"/>
      <c r="BB108" s="31"/>
      <c r="BC108" s="31"/>
      <c r="BD108" s="31"/>
      <c r="BE108" s="31"/>
      <c r="BF108" s="31"/>
      <c r="BG108" s="31"/>
      <c r="BI108" s="3"/>
    </row>
    <row r="109" spans="45:98">
      <c r="AS109" s="6" t="s">
        <v>194</v>
      </c>
      <c r="AT109" s="6">
        <f>COUNTIFS(Q:Q,"A",C:C,1)/COUNTIF(C:C,1)</f>
        <v>0</v>
      </c>
      <c r="AU109" s="6">
        <f>COUNTIFS(Q:Q,"A",C:C,2)/COUNTIF(C:C,2)</f>
        <v>0.38461538461538464</v>
      </c>
      <c r="AV109" s="6">
        <f>COUNTIFS(Q:Q,"A",C:C,3)/COUNTIF(C:C,3)</f>
        <v>0.15384615384615385</v>
      </c>
      <c r="AW109" s="6">
        <f>COUNTIFS(Q:Q,"A",C:C,4)/COUNTIF(C:C,4)</f>
        <v>7.6923076923076927E-2</v>
      </c>
      <c r="AX109" s="6">
        <f>COUNTIFS(Q:Q,"A",C:C,5)/COUNTIF(C:C,5)</f>
        <v>0.30769230769230771</v>
      </c>
      <c r="AY109" s="6">
        <f>COUNTIFS(Q:Q,"A",C:C,6)/COUNTIF(C:C,6)</f>
        <v>0.30769230769230771</v>
      </c>
      <c r="AZ109"/>
      <c r="BA109" s="31"/>
      <c r="BB109" s="31"/>
      <c r="BC109" s="31"/>
      <c r="BD109" s="31"/>
      <c r="BE109" s="31"/>
      <c r="BF109" s="31"/>
      <c r="BG109" s="31"/>
    </row>
    <row r="110" spans="45:98">
      <c r="AS110" s="6" t="s">
        <v>195</v>
      </c>
      <c r="AT110" s="6">
        <f>COUNTIFS(Q:Q,"B",C:C,1)/COUNTIF(C:C,1)</f>
        <v>1</v>
      </c>
      <c r="AU110" s="6">
        <f>COUNTIFS(Q:Q,"B",C:C,2)/COUNTIF(C:C,2)</f>
        <v>0.61538461538461542</v>
      </c>
      <c r="AV110" s="6">
        <f>COUNTIFS(Q:Q,"B",C:C,3)/COUNTIF(C:C,3)</f>
        <v>0.61538461538461542</v>
      </c>
      <c r="AW110" s="6">
        <f>COUNTIFS(Q:Q,"B",C:C,4)/COUNTIF(C:C,4)</f>
        <v>0.53846153846153844</v>
      </c>
      <c r="AX110" s="6">
        <f>COUNTIFS(Q:Q,"B",C:C,5)/COUNTIF(C:C,5)</f>
        <v>0.15384615384615385</v>
      </c>
      <c r="AY110" s="6">
        <f>COUNTIFS(Q:Q,"B",C:C,6)/COUNTIF(C:C,6)</f>
        <v>0.46153846153846156</v>
      </c>
      <c r="AZ110"/>
      <c r="BA110" s="31"/>
      <c r="BB110" s="31"/>
      <c r="BC110" s="31"/>
      <c r="BD110" s="31"/>
      <c r="BE110" s="31"/>
      <c r="BF110" s="31"/>
      <c r="BG110" s="31"/>
      <c r="BI110" s="3"/>
    </row>
    <row r="111" spans="45:98">
      <c r="AS111" s="6" t="s">
        <v>196</v>
      </c>
      <c r="AT111" s="6">
        <f>COUNTIFS(Q:Q,"C",C:C,1)/COUNTIF(C:C,1)</f>
        <v>0</v>
      </c>
      <c r="AU111" s="6">
        <f>COUNTIFS(Q:Q,"C",C:C,2)/COUNTIF(C:C,2)</f>
        <v>0</v>
      </c>
      <c r="AV111" s="6">
        <f>COUNTIFS(Q:Q,"C",C:C,3)/COUNTIF(C:C,3)</f>
        <v>0.15384615384615385</v>
      </c>
      <c r="AW111" s="6">
        <f>COUNTIFS(Q:Q,"C",C:C,4)/COUNTIF(C:C,4)</f>
        <v>0.38461538461538464</v>
      </c>
      <c r="AX111" s="6">
        <f>COUNTIFS(Q:Q,"C",C:C,5)/COUNTIF(C:C,5)</f>
        <v>0.53846153846153844</v>
      </c>
      <c r="AY111" s="6">
        <f>COUNTIFS(Q:Q,"C",C:C,6)/COUNTIF(C:C,6)</f>
        <v>0.23076923076923078</v>
      </c>
      <c r="AZ111"/>
      <c r="BA111" s="31"/>
      <c r="BB111" s="31"/>
      <c r="BC111" s="31"/>
      <c r="BD111" s="31"/>
      <c r="BE111" s="31"/>
      <c r="BF111" s="31"/>
      <c r="BG111" s="31"/>
    </row>
    <row r="112" spans="45:98">
      <c r="AS112" s="6" t="s">
        <v>197</v>
      </c>
      <c r="AT112" s="6">
        <f>COUNTIFS(Q:Q,"D",C:C,1)/COUNTIF(C:C,1)</f>
        <v>0</v>
      </c>
      <c r="AU112" s="6">
        <f>COUNTIFS(Q:Q,"D",C:C,2)/COUNTIF(C:C,2)</f>
        <v>0</v>
      </c>
      <c r="AV112" s="6">
        <f>COUNTIFS(Q:Q,"D",C:C,3)/COUNTIF(C:C,3)</f>
        <v>7.6923076923076927E-2</v>
      </c>
      <c r="AW112" s="6">
        <f>COUNTIFS(Q:Q,"D",C:C,4)/COUNTIF(C:C,4)</f>
        <v>0</v>
      </c>
      <c r="AX112" s="6">
        <f>COUNTIFS(Q:Q,"D",C:C,5)/COUNTIF(C:C,5)</f>
        <v>0</v>
      </c>
      <c r="AY112" s="6">
        <f>COUNTIFS(Q:Q,"D",C:C,6)/COUNTIF(C:C,6)</f>
        <v>0</v>
      </c>
      <c r="AZ112"/>
      <c r="BA112" s="31"/>
      <c r="BB112" s="31"/>
      <c r="BC112" s="31"/>
      <c r="BD112" s="31"/>
      <c r="BE112" s="31"/>
      <c r="BF112" s="31"/>
      <c r="BG112" s="31"/>
    </row>
    <row r="113" spans="45:98">
      <c r="AZ113"/>
      <c r="BA113" s="33"/>
      <c r="BB113" s="33"/>
      <c r="BC113" s="33"/>
      <c r="BD113" s="33"/>
      <c r="BE113" s="33"/>
      <c r="BF113" s="33"/>
      <c r="BG113" s="33"/>
      <c r="BI113" s="75"/>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row>
    <row r="114" spans="45:98">
      <c r="AS114" s="7" t="s">
        <v>246</v>
      </c>
      <c r="AT114" s="7">
        <v>1</v>
      </c>
      <c r="AU114" s="7">
        <v>2</v>
      </c>
      <c r="AV114" s="7">
        <v>3</v>
      </c>
      <c r="AW114" s="7">
        <v>4</v>
      </c>
      <c r="AX114" s="7">
        <v>5</v>
      </c>
      <c r="AY114" s="7">
        <v>6</v>
      </c>
      <c r="AZ114"/>
      <c r="BA114" s="31"/>
      <c r="BB114" s="31"/>
      <c r="BC114" s="31"/>
      <c r="BD114" s="31"/>
      <c r="BE114" s="31"/>
      <c r="BF114" s="31"/>
      <c r="BG114" s="31"/>
      <c r="BI114" s="75"/>
    </row>
    <row r="115" spans="45:98">
      <c r="AS115" s="6" t="s">
        <v>198</v>
      </c>
      <c r="AT115" s="6">
        <f>COUNTIFS(R:R,"A",C:C,1)/COUNTIF(C:C,1)</f>
        <v>0</v>
      </c>
      <c r="AU115" s="6">
        <f>COUNTIFS(R:R,"A",C:C,2)/COUNTIF(C:C,2)</f>
        <v>0.23076923076923078</v>
      </c>
      <c r="AV115" s="6">
        <f>COUNTIFS(R:R,"A",C:C,3)/COUNTIF(C:C,3)</f>
        <v>0</v>
      </c>
      <c r="AW115" s="6">
        <f>COUNTIFS(R:R,"A",C:C,4)/COUNTIF(C:C,4)</f>
        <v>7.6923076923076927E-2</v>
      </c>
      <c r="AX115" s="6">
        <f>COUNTIFS(R:R,"A",C:C,5)/COUNTIF(C:C,5)</f>
        <v>0</v>
      </c>
      <c r="AY115" s="6">
        <f>COUNTIFS(R:R,"A",C:C,6)/COUNTIF(C:C,6)</f>
        <v>0</v>
      </c>
      <c r="AZ115"/>
      <c r="BA115" s="31"/>
      <c r="BB115" s="31"/>
      <c r="BC115" s="31"/>
      <c r="BD115" s="31"/>
      <c r="BE115" s="31"/>
      <c r="BF115" s="31"/>
      <c r="BG115" s="31"/>
    </row>
    <row r="116" spans="45:98">
      <c r="AS116" s="6" t="s">
        <v>199</v>
      </c>
      <c r="AT116" s="6">
        <f>COUNTIFS(R:R,"B",C:C,1)/COUNTIF(C:C,1)</f>
        <v>0.69230769230769229</v>
      </c>
      <c r="AU116" s="6">
        <f>COUNTIFS(R:R,"B",C:C,2)/COUNTIF(C:C,2)</f>
        <v>0.23076923076923078</v>
      </c>
      <c r="AV116" s="6">
        <f>COUNTIFS(R:R,"B",C:C,3)/COUNTIF(C:C,3)</f>
        <v>0.23076923076923078</v>
      </c>
      <c r="AW116" s="6">
        <f>COUNTIFS(R:R,"B",C:C,4)/COUNTIF(C:C,4)</f>
        <v>0.23076923076923078</v>
      </c>
      <c r="AX116" s="6">
        <f>COUNTIFS(R:R,"B",C:C,5)/COUNTIF(C:C,5)</f>
        <v>0.15384615384615385</v>
      </c>
      <c r="AY116" s="6">
        <f>COUNTIFS(R:R,"B",C:C,6)/COUNTIF(C:C,6)</f>
        <v>0.23076923076923078</v>
      </c>
      <c r="AZ116"/>
      <c r="BA116" s="31"/>
      <c r="BB116" s="31"/>
      <c r="BC116" s="31"/>
      <c r="BD116" s="31"/>
      <c r="BE116" s="31"/>
      <c r="BF116" s="31"/>
      <c r="BG116" s="31"/>
      <c r="BI116" s="3"/>
    </row>
    <row r="117" spans="45:98">
      <c r="AS117" s="6" t="s">
        <v>200</v>
      </c>
      <c r="AT117" s="6">
        <f>COUNTIFS(R:R,"C",C:C,1)/COUNTIF(C:C,1)</f>
        <v>0.30769230769230771</v>
      </c>
      <c r="AU117" s="6">
        <f>COUNTIFS(R:R,"C",C:C,2)/COUNTIF(C:C,2)</f>
        <v>0.15384615384615385</v>
      </c>
      <c r="AV117" s="6">
        <f>COUNTIFS(R:R,"C",C:C,3)/COUNTIF(C:C,3)</f>
        <v>0.38461538461538464</v>
      </c>
      <c r="AW117" s="6">
        <f>COUNTIFS(R:R,"C",C:C,4)/COUNTIF(C:C,4)</f>
        <v>0.46153846153846156</v>
      </c>
      <c r="AX117" s="6">
        <f>COUNTIFS(R:R,"C",C:C,5)/COUNTIF(C:C,5)</f>
        <v>0.38461538461538464</v>
      </c>
      <c r="AY117" s="6">
        <f>COUNTIFS(R:R,"C",C:C,6)/COUNTIF(C:C,6)</f>
        <v>0.30769230769230771</v>
      </c>
      <c r="AZ117"/>
      <c r="BA117" s="31"/>
      <c r="BB117" s="31"/>
      <c r="BC117" s="31"/>
      <c r="BD117" s="31"/>
      <c r="BE117" s="31"/>
      <c r="BF117" s="31"/>
      <c r="BG117" s="31"/>
    </row>
    <row r="118" spans="45:98">
      <c r="AS118" s="6" t="s">
        <v>201</v>
      </c>
      <c r="AT118" s="6">
        <f>COUNTIFS(R:R,"D",C:C,1)/COUNTIF(C:C,1)</f>
        <v>0</v>
      </c>
      <c r="AU118" s="6">
        <f>COUNTIFS(R:R,"D",C:C,2)/COUNTIF(C:C,2)</f>
        <v>0.38461538461538464</v>
      </c>
      <c r="AV118" s="6">
        <f>COUNTIFS(R:R,"D",C:C,3)/COUNTIF(C:C,3)</f>
        <v>0.38461538461538464</v>
      </c>
      <c r="AW118" s="6">
        <f>COUNTIFS(R:R,"D",C:C,4)/COUNTIF(C:C,4)</f>
        <v>0.23076923076923078</v>
      </c>
      <c r="AX118" s="6">
        <f>COUNTIFS(R:R,"D",C:C,5)/COUNTIF(C:C,5)</f>
        <v>0.46153846153846156</v>
      </c>
      <c r="AY118" s="6">
        <f>COUNTIFS(R:R,"D",C:C,6)/COUNTIF(C:C,6)</f>
        <v>0.46153846153846156</v>
      </c>
      <c r="AZ118"/>
      <c r="BA118" s="31"/>
      <c r="BB118" s="31"/>
      <c r="BC118" s="31"/>
      <c r="BD118" s="31"/>
      <c r="BE118" s="31"/>
      <c r="BF118" s="31"/>
      <c r="BG118" s="31"/>
      <c r="BI118" s="3"/>
    </row>
    <row r="119" spans="45:98">
      <c r="AZ119"/>
      <c r="BA119" s="33"/>
      <c r="BB119" s="33"/>
      <c r="BC119" s="33"/>
      <c r="BD119" s="33"/>
      <c r="BE119" s="33"/>
      <c r="BF119" s="33"/>
      <c r="BG119" s="33"/>
    </row>
    <row r="120" spans="45:98">
      <c r="AS120" s="7" t="s">
        <v>247</v>
      </c>
      <c r="AT120" s="7">
        <v>1</v>
      </c>
      <c r="AU120" s="7">
        <v>2</v>
      </c>
      <c r="AV120" s="7">
        <v>3</v>
      </c>
      <c r="AW120" s="7">
        <v>4</v>
      </c>
      <c r="AX120" s="7">
        <v>5</v>
      </c>
      <c r="AY120" s="7">
        <v>6</v>
      </c>
      <c r="AZ120"/>
      <c r="BA120" s="31"/>
      <c r="BB120" s="31"/>
      <c r="BC120" s="31"/>
      <c r="BD120" s="31"/>
      <c r="BE120" s="31"/>
      <c r="BF120" s="31"/>
      <c r="BG120" s="31"/>
      <c r="BI120" s="3"/>
    </row>
    <row r="121" spans="45:98">
      <c r="AS121" s="6" t="s">
        <v>202</v>
      </c>
      <c r="AT121" s="6">
        <f>COUNTIFS(S:S,"A",C:C,1)/COUNTIF(C:C,1)</f>
        <v>0</v>
      </c>
      <c r="AU121" s="6">
        <f>COUNTIFS(S:S,"A",C:C,2)/COUNTIF(C:C,2)</f>
        <v>0</v>
      </c>
      <c r="AV121" s="6">
        <f>COUNTIFS(S:S,"A",C:C,3)/COUNTIF(C:C,3)</f>
        <v>0</v>
      </c>
      <c r="AW121" s="6">
        <f>COUNTIFS(S:S,"A",C:C,4)/COUNTIF(C:C,4)</f>
        <v>0</v>
      </c>
      <c r="AX121" s="6">
        <f>COUNTIFS(S:S,"A",C:C,5)/COUNTIF(C:C,5)</f>
        <v>0</v>
      </c>
      <c r="AY121" s="6">
        <f>COUNTIFS(S:S,"A",C:C,6)/COUNTIF(C:C,6)</f>
        <v>0</v>
      </c>
      <c r="AZ121"/>
      <c r="BA121" s="31"/>
      <c r="BB121" s="31"/>
      <c r="BC121" s="31"/>
      <c r="BD121" s="31"/>
      <c r="BE121" s="31"/>
      <c r="BF121" s="31"/>
      <c r="BG121" s="31"/>
    </row>
    <row r="122" spans="45:98">
      <c r="AS122" s="6" t="s">
        <v>203</v>
      </c>
      <c r="AT122" s="6">
        <f>COUNTIFS(S:S,"B",C:C,1)/COUNTIF(C:C,1)</f>
        <v>0</v>
      </c>
      <c r="AU122" s="6">
        <f>COUNTIFS(S:S,"B",C:C,2)/COUNTIF(C:C,2)</f>
        <v>0</v>
      </c>
      <c r="AV122" s="6">
        <f>COUNTIFS(S:S,"B",C:C,3)/COUNTIF(C:C,3)</f>
        <v>0</v>
      </c>
      <c r="AW122" s="6">
        <f>COUNTIFS(S:S,"B",C:C,4)/COUNTIF(C:C,4)</f>
        <v>0</v>
      </c>
      <c r="AX122" s="6">
        <f>COUNTIFS(S:S,"B",C:C,5)/COUNTIF(C:C,5)</f>
        <v>0</v>
      </c>
      <c r="AY122" s="6">
        <f>COUNTIFS(S:S,"B",C:C,6)/COUNTIF(C:C,6)</f>
        <v>0</v>
      </c>
      <c r="AZ122"/>
      <c r="BA122" s="31"/>
      <c r="BB122" s="31"/>
      <c r="BC122" s="31"/>
      <c r="BD122" s="31"/>
      <c r="BE122" s="31"/>
      <c r="BF122" s="31"/>
      <c r="BG122" s="31"/>
      <c r="BI122" s="3"/>
    </row>
    <row r="123" spans="45:98">
      <c r="AS123" s="6" t="s">
        <v>204</v>
      </c>
      <c r="AT123" s="6">
        <f>COUNTIFS(S:S,"C",C:C,1)/COUNTIF(C:C,1)</f>
        <v>7.6923076923076927E-2</v>
      </c>
      <c r="AU123" s="6">
        <f>COUNTIFS(S:S,"C",C:C,2)/COUNTIF(C:C,2)</f>
        <v>0</v>
      </c>
      <c r="AV123" s="6">
        <f>COUNTIFS(S:S,"C",C:C,3)/COUNTIF(C:C,3)</f>
        <v>0.15384615384615385</v>
      </c>
      <c r="AW123" s="6">
        <f>COUNTIFS(S:S,"C",C:C,4)/COUNTIF(C:C,4)</f>
        <v>0</v>
      </c>
      <c r="AX123" s="6">
        <f>COUNTIFS(S:S,"C",C:C,5)/COUNTIF(C:C,5)</f>
        <v>7.6923076923076927E-2</v>
      </c>
      <c r="AY123" s="6">
        <f>COUNTIFS(S:S,"C",C:C,6)/COUNTIF(C:C,6)</f>
        <v>0</v>
      </c>
      <c r="AZ123"/>
      <c r="BA123" s="31"/>
      <c r="BB123" s="31"/>
      <c r="BC123" s="31"/>
      <c r="BD123" s="31"/>
      <c r="BE123" s="31"/>
      <c r="BF123" s="31"/>
      <c r="BG123" s="31"/>
    </row>
    <row r="124" spans="45:98">
      <c r="AS124" s="6" t="s">
        <v>205</v>
      </c>
      <c r="AT124" s="6">
        <f>COUNTIFS(S:S,"D",C:C,1)/COUNTIF(C:C,1)</f>
        <v>0.92307692307692313</v>
      </c>
      <c r="AU124" s="6">
        <f>COUNTIFS(S:S,"D",C:C,2)/COUNTIF(C:C,2)</f>
        <v>1</v>
      </c>
      <c r="AV124" s="6">
        <f>COUNTIFS(S:S,"D",C:C,3)/COUNTIF(C:C,3)</f>
        <v>0.84615384615384615</v>
      </c>
      <c r="AW124" s="6">
        <f>COUNTIFS(S:S,"D",C:C,4)/COUNTIF(C:C,4)</f>
        <v>1</v>
      </c>
      <c r="AX124" s="6">
        <f>COUNTIFS(S:S,"D",C:C,5)/COUNTIF(C:C,5)</f>
        <v>0.92307692307692313</v>
      </c>
      <c r="AY124" s="6">
        <f>COUNTIFS(S:S,"D",C:C,6)/COUNTIF(C:C,6)</f>
        <v>1</v>
      </c>
      <c r="AZ124"/>
      <c r="BA124" s="31"/>
      <c r="BB124" s="31"/>
      <c r="BC124" s="31"/>
      <c r="BD124" s="31"/>
      <c r="BE124" s="31"/>
      <c r="BF124" s="31"/>
      <c r="BG124" s="31"/>
      <c r="BI124" s="3"/>
    </row>
    <row r="125" spans="45:98">
      <c r="AZ125"/>
      <c r="BA125" s="33"/>
      <c r="BB125" s="33"/>
      <c r="BC125" s="33"/>
      <c r="BD125" s="33"/>
      <c r="BE125" s="33"/>
      <c r="BF125" s="33"/>
      <c r="BG125" s="33"/>
    </row>
    <row r="126" spans="45:98">
      <c r="AS126" s="7" t="s">
        <v>248</v>
      </c>
      <c r="AT126" s="7">
        <v>1</v>
      </c>
      <c r="AU126" s="7">
        <v>2</v>
      </c>
      <c r="AV126" s="7">
        <v>3</v>
      </c>
      <c r="AW126" s="7">
        <v>4</v>
      </c>
      <c r="AX126" s="7">
        <v>5</v>
      </c>
      <c r="AY126" s="7">
        <v>6</v>
      </c>
      <c r="AZ126"/>
      <c r="BA126" s="31"/>
      <c r="BB126" s="31"/>
      <c r="BC126" s="31"/>
      <c r="BD126" s="31"/>
      <c r="BE126" s="31"/>
      <c r="BF126" s="31"/>
      <c r="BG126" s="31"/>
      <c r="BI126" s="3"/>
    </row>
    <row r="127" spans="45:98">
      <c r="AS127" s="6" t="s">
        <v>206</v>
      </c>
      <c r="AT127" s="6">
        <f>COUNTIFS(T:T,"A",C:C,1)/COUNTIF(C:C,1)</f>
        <v>0</v>
      </c>
      <c r="AU127" s="6">
        <f>COUNTIFS(T:T,"A",C:C,2)/COUNTIF(C:C,2)</f>
        <v>0</v>
      </c>
      <c r="AV127" s="6">
        <f>COUNTIFS(T:T,"A",C:C,3)/COUNTIF(C:C,3)</f>
        <v>0</v>
      </c>
      <c r="AW127" s="6">
        <f>COUNTIFS(T:T,"A",C:C,4)/COUNTIF(C:C,4)</f>
        <v>0</v>
      </c>
      <c r="AX127" s="6">
        <f>COUNTIFS(T:T,"A",C:C,5)/COUNTIF(C:C,5)</f>
        <v>0</v>
      </c>
      <c r="AY127" s="6">
        <f>COUNTIFS(T:T,"A",C:C,6)/COUNTIF(C:C,6)</f>
        <v>0</v>
      </c>
      <c r="AZ127"/>
      <c r="BA127" s="31"/>
      <c r="BB127" s="31"/>
      <c r="BC127" s="31"/>
      <c r="BD127" s="31"/>
      <c r="BE127" s="31"/>
      <c r="BF127" s="31"/>
      <c r="BG127" s="31"/>
    </row>
    <row r="128" spans="45:98">
      <c r="AS128" s="6" t="s">
        <v>207</v>
      </c>
      <c r="AT128" s="6">
        <f>COUNTIFS(T:T,"B",C:C,1)/COUNTIF(C:C,1)</f>
        <v>0</v>
      </c>
      <c r="AU128" s="6">
        <f>COUNTIFS(T:T,"B",C:C,2)/COUNTIF(C:C,2)</f>
        <v>7.6923076923076927E-2</v>
      </c>
      <c r="AV128" s="6">
        <f>COUNTIFS(T:T,"B",C:C,3)/COUNTIF(C:C,3)</f>
        <v>7.6923076923076927E-2</v>
      </c>
      <c r="AW128" s="6">
        <f>COUNTIFS(T:T,"B",C:C,4)/COUNTIF(C:C,4)</f>
        <v>7.6923076923076927E-2</v>
      </c>
      <c r="AX128" s="6">
        <f>COUNTIFS(T:T,"B",C:C,5)/COUNTIF(C:C,5)</f>
        <v>0.15384615384615385</v>
      </c>
      <c r="AY128" s="6">
        <f>COUNTIFS(T:T,"B",C:C,6)/COUNTIF(C:C,6)</f>
        <v>0.30769230769230771</v>
      </c>
      <c r="AZ128"/>
      <c r="BA128" s="31"/>
      <c r="BB128" s="31"/>
      <c r="BC128" s="31"/>
      <c r="BD128" s="31"/>
      <c r="BE128" s="31"/>
      <c r="BF128" s="31"/>
      <c r="BG128" s="31"/>
    </row>
    <row r="129" spans="45:98">
      <c r="AS129" s="6" t="s">
        <v>208</v>
      </c>
      <c r="AT129" s="6">
        <f>COUNTIFS(T:T,"C",C:C,1)/COUNTIF(C:C,1)</f>
        <v>0.15384615384615385</v>
      </c>
      <c r="AU129" s="6">
        <f>COUNTIFS(T:T,"C",C:C,2)/COUNTIF(C:C,2)</f>
        <v>0.23076923076923078</v>
      </c>
      <c r="AV129" s="6">
        <f>COUNTIFS(T:T,"C",C:C,3)/COUNTIF(C:C,3)</f>
        <v>7.6923076923076927E-2</v>
      </c>
      <c r="AW129" s="6">
        <f>COUNTIFS(T:T,"C",C:C,4)/COUNTIF(C:C,4)</f>
        <v>7.6923076923076927E-2</v>
      </c>
      <c r="AX129" s="6">
        <f>COUNTIFS(T:T,"C",C:C,5)/COUNTIF(C:C,5)</f>
        <v>0.15384615384615385</v>
      </c>
      <c r="AY129" s="6">
        <f>COUNTIFS(T:T,"C",C:C,6)/COUNTIF(C:C,6)</f>
        <v>0.23076923076923078</v>
      </c>
      <c r="AZ129"/>
      <c r="BA129" s="31"/>
      <c r="BB129" s="31"/>
      <c r="BC129" s="31"/>
      <c r="BD129" s="31"/>
      <c r="BE129" s="31"/>
      <c r="BF129" s="31"/>
      <c r="BG129" s="31"/>
      <c r="BI129" s="75"/>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row>
    <row r="130" spans="45:98">
      <c r="AS130" s="6" t="s">
        <v>209</v>
      </c>
      <c r="AT130" s="6">
        <f>COUNTIFS(T:T,"D",C:C,1)/COUNTIF(C:C,1)</f>
        <v>0.84615384615384615</v>
      </c>
      <c r="AU130" s="6">
        <f>COUNTIFS(T:T,"D",C:C,2)/COUNTIF(C:C,2)</f>
        <v>0.69230769230769229</v>
      </c>
      <c r="AV130" s="6">
        <f>COUNTIFS(T:T,"D",C:C,3)/COUNTIF(C:C,3)</f>
        <v>0.84615384615384615</v>
      </c>
      <c r="AW130" s="6">
        <f>COUNTIFS(T:T,"D",C:C,4)/COUNTIF(C:C,4)</f>
        <v>0.84615384615384615</v>
      </c>
      <c r="AX130" s="6">
        <f>COUNTIFS(T:T,"D",C:C,5)/COUNTIF(C:C,5)</f>
        <v>0.69230769230769229</v>
      </c>
      <c r="AY130" s="6">
        <f>COUNTIFS(T:T,"D",C:C,6)/COUNTIF(C:C,6)</f>
        <v>0.46153846153846156</v>
      </c>
      <c r="AZ130"/>
      <c r="BA130" s="31"/>
      <c r="BB130" s="31"/>
      <c r="BC130" s="31"/>
      <c r="BD130" s="31"/>
      <c r="BE130" s="31"/>
      <c r="BF130" s="31"/>
      <c r="BG130" s="31"/>
      <c r="BI130" s="75"/>
    </row>
    <row r="131" spans="45:98">
      <c r="AZ131"/>
      <c r="BA131" s="33"/>
      <c r="BB131" s="33"/>
      <c r="BC131" s="33"/>
      <c r="BD131" s="33"/>
      <c r="BE131" s="33"/>
      <c r="BF131" s="33"/>
      <c r="BG131" s="33"/>
    </row>
    <row r="132" spans="45:98">
      <c r="AS132" s="7" t="s">
        <v>249</v>
      </c>
      <c r="AT132" s="7">
        <v>1</v>
      </c>
      <c r="AU132" s="7">
        <v>2</v>
      </c>
      <c r="AV132" s="7">
        <v>3</v>
      </c>
      <c r="AW132" s="7">
        <v>4</v>
      </c>
      <c r="AX132" s="7">
        <v>5</v>
      </c>
      <c r="AY132" s="7">
        <v>6</v>
      </c>
      <c r="AZ132"/>
      <c r="BA132" s="31"/>
      <c r="BB132" s="31"/>
      <c r="BC132" s="31"/>
      <c r="BD132" s="31"/>
      <c r="BE132" s="31"/>
      <c r="BF132" s="31"/>
      <c r="BG132" s="31"/>
      <c r="BI132" s="3"/>
    </row>
    <row r="133" spans="45:98">
      <c r="AS133" s="6" t="s">
        <v>210</v>
      </c>
      <c r="AT133" s="6">
        <f>COUNTIFS(U:U,"A",C:C,1)/COUNTIF(C:C,1)</f>
        <v>0</v>
      </c>
      <c r="AU133" s="6">
        <f>COUNTIFS(U:U,"A",C:C,2)/COUNTIF(C:C,2)</f>
        <v>7.6923076923076927E-2</v>
      </c>
      <c r="AV133" s="6">
        <f>COUNTIFS(U:U,"A",C:C,3)/COUNTIF(C:C,3)</f>
        <v>0</v>
      </c>
      <c r="AW133" s="6">
        <f>COUNTIFS(U:U,"A",C:C,4)/COUNTIF(C:C,4)</f>
        <v>0</v>
      </c>
      <c r="AX133" s="6">
        <f>COUNTIFS(U:U,"A",C:C,5)/COUNTIF(C:C,5)</f>
        <v>0</v>
      </c>
      <c r="AY133" s="6">
        <f>COUNTIFS(U:U,"A",C:C,6)/COUNTIF(C:C,6)</f>
        <v>0</v>
      </c>
      <c r="AZ133"/>
      <c r="BA133" s="31"/>
      <c r="BB133" s="31"/>
      <c r="BC133" s="31"/>
      <c r="BD133" s="31"/>
      <c r="BE133" s="31"/>
      <c r="BF133" s="31"/>
      <c r="BG133" s="31"/>
    </row>
    <row r="134" spans="45:98">
      <c r="AS134" s="6" t="s">
        <v>211</v>
      </c>
      <c r="AT134" s="6">
        <f>COUNTIFS(U:U,"B",C:C,1)/COUNTIF(C:C,1)</f>
        <v>0</v>
      </c>
      <c r="AU134" s="6">
        <f>COUNTIFS(U:U,"B",C:C,2)/COUNTIF(C:C,2)</f>
        <v>0</v>
      </c>
      <c r="AV134" s="6">
        <f>COUNTIFS(U:U,"B",C:C,3)/COUNTIF(C:C,3)</f>
        <v>7.6923076923076927E-2</v>
      </c>
      <c r="AW134" s="6">
        <f>COUNTIFS(U:U,"B",C:C,4)/COUNTIF(C:C,4)</f>
        <v>0</v>
      </c>
      <c r="AX134" s="6">
        <f>COUNTIFS(U:U,"B",C:C,5)/COUNTIF(C:C,5)</f>
        <v>7.6923076923076927E-2</v>
      </c>
      <c r="AY134" s="6">
        <f>COUNTIFS(U:U,"B",C:C,6)/COUNTIF(C:C,6)</f>
        <v>0</v>
      </c>
      <c r="AZ134"/>
      <c r="BA134" s="31"/>
      <c r="BB134" s="31"/>
      <c r="BC134" s="31"/>
      <c r="BD134" s="31"/>
      <c r="BE134" s="31"/>
      <c r="BF134" s="31"/>
      <c r="BG134" s="31"/>
      <c r="BI134" s="3"/>
    </row>
    <row r="135" spans="45:98">
      <c r="AS135" s="6" t="s">
        <v>212</v>
      </c>
      <c r="AT135" s="6">
        <f>COUNTIFS(U:U,"C",C:C,1)/COUNTIF(C:C,1)</f>
        <v>0.15384615384615385</v>
      </c>
      <c r="AU135" s="6">
        <f>COUNTIFS(U:U,"C",C:C,2)/COUNTIF(C:C,2)</f>
        <v>7.6923076923076927E-2</v>
      </c>
      <c r="AV135" s="6">
        <f>COUNTIFS(U:U,"C",C:C,3)/COUNTIF(C:C,3)</f>
        <v>7.6923076923076927E-2</v>
      </c>
      <c r="AW135" s="6">
        <f>COUNTIFS(U:U,"C",C:C,4)/COUNTIF(C:C,4)</f>
        <v>7.6923076923076927E-2</v>
      </c>
      <c r="AX135" s="6">
        <f>COUNTIFS(U:U,"C",C:C,5)/COUNTIF(C:C,5)</f>
        <v>0</v>
      </c>
      <c r="AY135" s="6">
        <f>COUNTIFS(U:U,"C",C:C,6)/COUNTIF(C:C,6)</f>
        <v>7.6923076923076927E-2</v>
      </c>
      <c r="AZ135"/>
      <c r="BA135" s="31"/>
      <c r="BB135" s="31"/>
      <c r="BC135" s="31"/>
      <c r="BD135" s="31"/>
      <c r="BE135" s="31"/>
      <c r="BF135" s="31"/>
      <c r="BG135" s="31"/>
    </row>
    <row r="136" spans="45:98">
      <c r="AS136" s="6" t="s">
        <v>213</v>
      </c>
      <c r="AT136" s="6">
        <f>COUNTIFS(U:U,"D",C:C,1)/COUNTIF(C:C,1)</f>
        <v>0.84615384615384615</v>
      </c>
      <c r="AU136" s="6">
        <f>COUNTIFS(U:U,"D",C:C,2)/COUNTIF(C:C,2)</f>
        <v>0.84615384615384615</v>
      </c>
      <c r="AV136" s="6">
        <f>COUNTIFS(U:U,"D",C:C,3)/COUNTIF(C:C,3)</f>
        <v>0.84615384615384615</v>
      </c>
      <c r="AW136" s="6">
        <f>COUNTIFS(U:U,"D",C:C,4)/COUNTIF(C:C,4)</f>
        <v>0.92307692307692313</v>
      </c>
      <c r="AX136" s="6">
        <f>COUNTIFS(U:U,"D",C:C,5)/COUNTIF(C:C,5)</f>
        <v>0.92307692307692313</v>
      </c>
      <c r="AY136" s="6">
        <f>COUNTIFS(U:U,"D",C:C,6)/COUNTIF(C:C,6)</f>
        <v>0.92307692307692313</v>
      </c>
      <c r="AZ136"/>
      <c r="BA136" s="31"/>
      <c r="BB136" s="31"/>
      <c r="BC136" s="31"/>
      <c r="BD136" s="31"/>
      <c r="BE136" s="31"/>
      <c r="BF136" s="31"/>
      <c r="BG136" s="31"/>
      <c r="BI136" s="3"/>
    </row>
    <row r="137" spans="45:98">
      <c r="AZ137"/>
      <c r="BA137" s="33"/>
      <c r="BB137" s="33"/>
      <c r="BC137" s="33"/>
      <c r="BD137" s="33"/>
      <c r="BE137" s="33"/>
      <c r="BF137" s="33"/>
      <c r="BG137" s="33"/>
    </row>
    <row r="138" spans="45:98">
      <c r="AS138" s="7" t="s">
        <v>250</v>
      </c>
      <c r="AT138" s="7">
        <v>1</v>
      </c>
      <c r="AU138" s="7">
        <v>2</v>
      </c>
      <c r="AV138" s="7">
        <v>3</v>
      </c>
      <c r="AW138" s="7">
        <v>4</v>
      </c>
      <c r="AX138" s="7">
        <v>5</v>
      </c>
      <c r="AY138" s="7">
        <v>6</v>
      </c>
      <c r="AZ138"/>
      <c r="BA138" s="31"/>
      <c r="BB138" s="31"/>
      <c r="BC138" s="31"/>
      <c r="BD138" s="31"/>
      <c r="BE138" s="31"/>
      <c r="BF138" s="31"/>
      <c r="BG138" s="31"/>
      <c r="BI138" s="3"/>
    </row>
    <row r="139" spans="45:98">
      <c r="AS139" s="6" t="s">
        <v>214</v>
      </c>
      <c r="AT139" s="6">
        <f>COUNTIFS(V:V,"A",C:C,1)/COUNTIF(C:C,1)</f>
        <v>0.15384615384615385</v>
      </c>
      <c r="AU139" s="6">
        <f>COUNTIFS(V:V,"A",C:C,2)/COUNTIF(C:C,2)</f>
        <v>0</v>
      </c>
      <c r="AV139" s="6">
        <f>COUNTIFS(V:V,"A",C:C,3)/COUNTIF(C:C,3)</f>
        <v>0.15384615384615385</v>
      </c>
      <c r="AW139" s="6">
        <f>COUNTIFS(V:V,"A",C:C,4)/COUNTIF(C:C,4)</f>
        <v>0.23076923076923078</v>
      </c>
      <c r="AX139" s="6">
        <f>COUNTIFS(V:V,"A",C:C,5)/COUNTIF(C:C,5)</f>
        <v>7.6923076923076927E-2</v>
      </c>
      <c r="AY139" s="6">
        <f>COUNTIFS(V:V,"A",C:C,6)/COUNTIF(C:C,6)</f>
        <v>0.15384615384615385</v>
      </c>
      <c r="AZ139"/>
      <c r="BA139" s="31"/>
      <c r="BB139" s="31"/>
      <c r="BC139" s="31"/>
      <c r="BD139" s="31"/>
      <c r="BE139" s="31"/>
      <c r="BF139" s="31"/>
      <c r="BG139" s="31"/>
    </row>
    <row r="140" spans="45:98">
      <c r="AS140" s="6" t="s">
        <v>215</v>
      </c>
      <c r="AT140" s="6">
        <f>COUNTIFS(V:V,"B",C:C,1)/COUNTIF(C:C,1)</f>
        <v>7.6923076923076927E-2</v>
      </c>
      <c r="AU140" s="6">
        <f>COUNTIFS(V:V,"B",C:C,2)/COUNTIF(C:C,2)</f>
        <v>0.15384615384615385</v>
      </c>
      <c r="AV140" s="6">
        <f>COUNTIFS(V:V,"B",C:C,3)/COUNTIF(C:C,3)</f>
        <v>0</v>
      </c>
      <c r="AW140" s="6">
        <f>COUNTIFS(V:V,"B",C:C,4)/COUNTIF(C:C,4)</f>
        <v>7.6923076923076927E-2</v>
      </c>
      <c r="AX140" s="6">
        <f>COUNTIFS(V:V,"B",C:C,5)/COUNTIF(C:C,5)</f>
        <v>0.23076923076923078</v>
      </c>
      <c r="AY140" s="6">
        <f>COUNTIFS(V:V,"B",C:C,6)/COUNTIF(C:C,6)</f>
        <v>0.38461538461538464</v>
      </c>
      <c r="AZ140"/>
      <c r="BA140" s="31"/>
      <c r="BB140" s="31"/>
      <c r="BC140" s="31"/>
      <c r="BD140" s="31"/>
      <c r="BE140" s="31"/>
      <c r="BF140" s="31"/>
      <c r="BG140" s="31"/>
      <c r="BI140" s="3"/>
    </row>
    <row r="141" spans="45:98">
      <c r="AS141" s="6" t="s">
        <v>216</v>
      </c>
      <c r="AT141" s="6">
        <f>COUNTIFS(V:V,"C",C:C,1)/COUNTIF(C:C,1)</f>
        <v>0.30769230769230771</v>
      </c>
      <c r="AU141" s="6">
        <f>COUNTIFS(V:V,"C",C:C,2)/COUNTIF(C:C,2)</f>
        <v>7.6923076923076927E-2</v>
      </c>
      <c r="AV141" s="6">
        <f>COUNTIFS(V:V,"C",C:C,3)/COUNTIF(C:C,3)</f>
        <v>0.15384615384615385</v>
      </c>
      <c r="AW141" s="6">
        <f>COUNTIFS(V:V,"C",C:C,4)/COUNTIF(C:C,4)</f>
        <v>0</v>
      </c>
      <c r="AX141" s="6">
        <f>COUNTIFS(V:V,"C",C:C,5)/COUNTIF(C:C,5)</f>
        <v>7.6923076923076927E-2</v>
      </c>
      <c r="AY141" s="6">
        <f>COUNTIFS(V:V,"C",C:C,6)/COUNTIF(C:C,6)</f>
        <v>7.6923076923076927E-2</v>
      </c>
      <c r="AZ141"/>
      <c r="BA141" s="31"/>
      <c r="BB141" s="31"/>
      <c r="BC141" s="31"/>
      <c r="BD141" s="31"/>
      <c r="BE141" s="31"/>
      <c r="BF141" s="31"/>
      <c r="BG141" s="31"/>
    </row>
    <row r="142" spans="45:98">
      <c r="AS142" s="6" t="s">
        <v>217</v>
      </c>
      <c r="AT142" s="6">
        <f>COUNTIFS(V:V,"D",C:C,1)/COUNTIF(C:C,1)</f>
        <v>0.46153846153846156</v>
      </c>
      <c r="AU142" s="6">
        <f>COUNTIFS(V:V,"D",C:C,2)/COUNTIF(C:C,2)</f>
        <v>0.76923076923076927</v>
      </c>
      <c r="AV142" s="6">
        <f>COUNTIFS(V:V,"D",C:C,3)/COUNTIF(C:C,3)</f>
        <v>0.69230769230769229</v>
      </c>
      <c r="AW142" s="6">
        <f>COUNTIFS(V:V,"D",C:C,4)/COUNTIF(C:C,4)</f>
        <v>0.69230769230769229</v>
      </c>
      <c r="AX142" s="6">
        <f>COUNTIFS(V:V,"D",C:C,5)/COUNTIF(C:C,5)</f>
        <v>0.61538461538461542</v>
      </c>
      <c r="AY142" s="6">
        <f>COUNTIFS(V:V,"D",C:C,6)/COUNTIF(C:C,6)</f>
        <v>0.38461538461538464</v>
      </c>
      <c r="AZ142"/>
      <c r="BA142" s="31"/>
      <c r="BB142" s="31"/>
      <c r="BC142" s="31"/>
      <c r="BD142" s="31"/>
      <c r="BE142" s="31"/>
      <c r="BF142" s="31"/>
      <c r="BG142" s="31"/>
      <c r="BI142" s="3"/>
    </row>
    <row r="143" spans="45:98">
      <c r="AZ143"/>
      <c r="BA143" s="33"/>
      <c r="BB143" s="33"/>
      <c r="BC143" s="33"/>
      <c r="BD143" s="33"/>
      <c r="BE143" s="33"/>
      <c r="BF143" s="33"/>
      <c r="BG143" s="33"/>
    </row>
    <row r="144" spans="45:98">
      <c r="AS144" s="7" t="s">
        <v>251</v>
      </c>
      <c r="AT144" s="7">
        <v>1</v>
      </c>
      <c r="AU144" s="7">
        <v>2</v>
      </c>
      <c r="AV144" s="7">
        <v>3</v>
      </c>
      <c r="AW144" s="7">
        <v>4</v>
      </c>
      <c r="AX144" s="7">
        <v>5</v>
      </c>
      <c r="AY144" s="7">
        <v>6</v>
      </c>
      <c r="AZ144"/>
      <c r="BA144" s="31"/>
      <c r="BB144" s="31"/>
      <c r="BC144" s="31"/>
      <c r="BD144" s="31"/>
      <c r="BE144" s="31"/>
      <c r="BF144" s="31"/>
      <c r="BG144" s="31"/>
    </row>
    <row r="145" spans="45:98">
      <c r="AS145" s="6" t="s">
        <v>218</v>
      </c>
      <c r="AT145" s="6">
        <f>COUNTIFS(W:W,"A",C:C,1)/COUNTIF(C:C,1)</f>
        <v>1</v>
      </c>
      <c r="AU145" s="6">
        <f>COUNTIFS(W:W,"A",C:C,2)/COUNTIF(C:C,2)</f>
        <v>0.76923076923076927</v>
      </c>
      <c r="AV145" s="6">
        <f>COUNTIFS(W:W,"A",C:C,3)/COUNTIF(C:C,3)</f>
        <v>0.92307692307692313</v>
      </c>
      <c r="AW145" s="6">
        <f>COUNTIFS(W:W,"A",C:C,4)/COUNTIF(C:C,4)</f>
        <v>0.69230769230769229</v>
      </c>
      <c r="AX145" s="6">
        <f>COUNTIFS(W:W,"A",C:C,5)/COUNTIF(C:C,5)</f>
        <v>0.30769230769230771</v>
      </c>
      <c r="AY145" s="6">
        <f>COUNTIFS(W:W,"A",C:C,6)/COUNTIF(C:C,6)</f>
        <v>0.46153846153846156</v>
      </c>
      <c r="AZ145"/>
      <c r="BA145" s="31"/>
      <c r="BB145" s="31"/>
      <c r="BC145" s="31"/>
      <c r="BD145" s="31"/>
      <c r="BE145" s="31"/>
      <c r="BF145" s="31"/>
      <c r="BG145" s="31"/>
      <c r="BI145" s="75"/>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row>
    <row r="146" spans="45:98">
      <c r="AS146" s="6" t="s">
        <v>219</v>
      </c>
      <c r="AT146" s="6">
        <f>COUNTIFS(W:W,"B",C:C,1)/COUNTIF(C:C,1)</f>
        <v>0</v>
      </c>
      <c r="AU146" s="6">
        <f>COUNTIFS(W:W,"B",C:C,2)/COUNTIF(C:C,2)</f>
        <v>0.15384615384615385</v>
      </c>
      <c r="AV146" s="6">
        <f>COUNTIFS(W:W,"B",C:C,3)/COUNTIF(C:C,3)</f>
        <v>7.6923076923076927E-2</v>
      </c>
      <c r="AW146" s="6">
        <f>COUNTIFS(W:W,"B",C:C,4)/COUNTIF(C:C,4)</f>
        <v>0.30769230769230771</v>
      </c>
      <c r="AX146" s="6">
        <f>COUNTIFS(W:W,"B",C:C,5)/COUNTIF(C:C,5)</f>
        <v>0.69230769230769229</v>
      </c>
      <c r="AY146" s="6">
        <f>COUNTIFS(W:W,"B",C:C,6)/COUNTIF(C:C,6)</f>
        <v>0.23076923076923078</v>
      </c>
      <c r="AZ146"/>
      <c r="BA146" s="31"/>
      <c r="BB146" s="31"/>
      <c r="BC146" s="31"/>
      <c r="BD146" s="31"/>
      <c r="BE146" s="31"/>
      <c r="BF146" s="31"/>
      <c r="BG146" s="31"/>
      <c r="BI146" s="75"/>
    </row>
    <row r="147" spans="45:98">
      <c r="AS147" s="6" t="s">
        <v>220</v>
      </c>
      <c r="AT147" s="6">
        <f>COUNTIFS(W:W,"C",C:C,1)/COUNTIF(C:C,1)</f>
        <v>0</v>
      </c>
      <c r="AU147" s="6">
        <f>COUNTIFS(W:W,"C",C:C,2)/COUNTIF(C:C,2)</f>
        <v>7.6923076923076927E-2</v>
      </c>
      <c r="AV147" s="6">
        <f>COUNTIFS(W:W,"C",C:C,3)/COUNTIF(C:C,3)</f>
        <v>0</v>
      </c>
      <c r="AW147" s="6">
        <f>COUNTIFS(W:W,"C",C:C,4)/COUNTIF(C:C,4)</f>
        <v>0</v>
      </c>
      <c r="AX147" s="6">
        <f>COUNTIFS(W:W,"C",C:C,5)/COUNTIF(C:C,5)</f>
        <v>0</v>
      </c>
      <c r="AY147" s="6">
        <f>COUNTIFS(W:W,"C",C:C,6)/COUNTIF(C:C,6)</f>
        <v>0.23076923076923078</v>
      </c>
      <c r="AZ147"/>
      <c r="BA147" s="31"/>
      <c r="BB147" s="31"/>
      <c r="BC147" s="31"/>
      <c r="BD147" s="31"/>
      <c r="BE147" s="31"/>
      <c r="BF147" s="31"/>
      <c r="BG147" s="31"/>
    </row>
    <row r="148" spans="45:98">
      <c r="AS148" s="6" t="s">
        <v>221</v>
      </c>
      <c r="AT148" s="6">
        <f>COUNTIFS(W:W,"D",C:C,1)/COUNTIF(C:C,1)</f>
        <v>0</v>
      </c>
      <c r="AU148" s="6">
        <f>COUNTIFS(W:W,"D",C:C,2)/COUNTIF(C:C,2)</f>
        <v>0</v>
      </c>
      <c r="AV148" s="6">
        <f>COUNTIFS(W:W,"D",C:C,3)/COUNTIF(C:C,3)</f>
        <v>0</v>
      </c>
      <c r="AW148" s="6">
        <f>COUNTIFS(W:W,"D",C:C,4)/COUNTIF(C:C,4)</f>
        <v>0</v>
      </c>
      <c r="AX148" s="6">
        <f>COUNTIFS(W:W,"D",C:C,5)/COUNTIF(C:C,5)</f>
        <v>0</v>
      </c>
      <c r="AY148" s="6">
        <f>COUNTIFS(W:W,"D",C:C,6)/COUNTIF(C:C,6)</f>
        <v>7.6923076923076927E-2</v>
      </c>
      <c r="AZ148"/>
      <c r="BA148" s="31"/>
      <c r="BB148" s="31"/>
      <c r="BC148" s="31"/>
      <c r="BD148" s="31"/>
      <c r="BE148" s="31"/>
      <c r="BF148" s="31"/>
      <c r="BG148" s="31"/>
      <c r="BI148" s="3"/>
    </row>
    <row r="149" spans="45:98">
      <c r="AZ149"/>
      <c r="BA149" s="33"/>
      <c r="BB149" s="33"/>
      <c r="BC149" s="33"/>
      <c r="BD149" s="33"/>
      <c r="BE149" s="33"/>
      <c r="BF149" s="33"/>
      <c r="BG149" s="33"/>
    </row>
    <row r="150" spans="45:98">
      <c r="AS150" s="7" t="s">
        <v>252</v>
      </c>
      <c r="AT150" s="7">
        <v>1</v>
      </c>
      <c r="AU150" s="7">
        <v>2</v>
      </c>
      <c r="AV150" s="7">
        <v>3</v>
      </c>
      <c r="AW150" s="7">
        <v>4</v>
      </c>
      <c r="AX150" s="7">
        <v>5</v>
      </c>
      <c r="AY150" s="7">
        <v>6</v>
      </c>
      <c r="AZ150"/>
      <c r="BA150" s="31"/>
      <c r="BB150" s="31"/>
      <c r="BC150" s="31"/>
      <c r="BD150" s="31"/>
      <c r="BE150" s="31"/>
      <c r="BF150" s="31"/>
      <c r="BG150" s="31"/>
      <c r="BI150" s="3"/>
    </row>
    <row r="151" spans="45:98">
      <c r="AS151" s="6" t="s">
        <v>222</v>
      </c>
      <c r="AT151" s="6">
        <f>COUNTIFS(X:X,"A",C:C,1)/COUNTIF(C:C,1)</f>
        <v>0.46153846153846156</v>
      </c>
      <c r="AU151" s="6">
        <f>COUNTIFS(X:X,"A",C:C,2)/COUNTIF(C:C,2)</f>
        <v>0.69230769230769229</v>
      </c>
      <c r="AV151" s="6">
        <f>COUNTIFS(X:X,"A",C:C,3)/COUNTIF(C:C,3)</f>
        <v>0.38461538461538464</v>
      </c>
      <c r="AW151" s="6">
        <f>COUNTIFS(X:X,"A",C:C,4)/COUNTIF(C:C,4)</f>
        <v>0.53846153846153844</v>
      </c>
      <c r="AX151" s="6">
        <f>COUNTIFS(X:X,"A",C:C,5)/COUNTIF(C:C,5)</f>
        <v>0.15384615384615385</v>
      </c>
      <c r="AY151" s="6">
        <f>COUNTIFS(X:X,"A",C:C,6)/COUNTIF(C:C,6)</f>
        <v>0.15384615384615385</v>
      </c>
      <c r="AZ151"/>
      <c r="BA151" s="31"/>
      <c r="BB151" s="31"/>
      <c r="BC151" s="31"/>
      <c r="BD151" s="31"/>
      <c r="BE151" s="31"/>
      <c r="BF151" s="31"/>
      <c r="BG151" s="31"/>
    </row>
    <row r="152" spans="45:98">
      <c r="AS152" s="6" t="s">
        <v>223</v>
      </c>
      <c r="AT152" s="6">
        <f>COUNTIFS(X:X,"B",C:C,1)/COUNTIF(C:C,1)</f>
        <v>0.53846153846153844</v>
      </c>
      <c r="AU152" s="6">
        <f>COUNTIFS(X:X,"B",C:C,2)/COUNTIF(C:C,2)</f>
        <v>0.30769230769230771</v>
      </c>
      <c r="AV152" s="6">
        <f>COUNTIFS(X:X,"B",C:C,3)/COUNTIF(C:C,3)</f>
        <v>0.38461538461538464</v>
      </c>
      <c r="AW152" s="6">
        <f>COUNTIFS(X:X,"B",C:C,4)/COUNTIF(C:C,4)</f>
        <v>0.38461538461538464</v>
      </c>
      <c r="AX152" s="6">
        <f>COUNTIFS(X:X,"B",C:C,5)/COUNTIF(C:C,5)</f>
        <v>0.84615384615384615</v>
      </c>
      <c r="AY152" s="6">
        <f>COUNTIFS(X:X,"B",C:C,6)/COUNTIF(C:C,6)</f>
        <v>0.38461538461538464</v>
      </c>
      <c r="AZ152"/>
      <c r="BA152" s="31"/>
      <c r="BB152" s="31"/>
      <c r="BC152" s="31"/>
      <c r="BD152" s="31"/>
      <c r="BE152" s="31"/>
      <c r="BF152" s="31"/>
      <c r="BG152" s="31"/>
      <c r="BI152" s="3"/>
    </row>
    <row r="153" spans="45:98">
      <c r="AS153" s="6" t="s">
        <v>224</v>
      </c>
      <c r="AT153" s="6">
        <f>COUNTIFS(X:X,"C",C:C,1)/COUNTIF(C:C,1)</f>
        <v>0</v>
      </c>
      <c r="AU153" s="6">
        <f>COUNTIFS(X:X,"C",C:C,2)/COUNTIF(C:C,2)</f>
        <v>0</v>
      </c>
      <c r="AV153" s="6">
        <f>COUNTIFS(X:X,"C",C:C,3)/COUNTIF(C:C,3)</f>
        <v>0.15384615384615385</v>
      </c>
      <c r="AW153" s="6">
        <f>COUNTIFS(X:X,"C",C:C,4)/COUNTIF(C:C,4)</f>
        <v>7.6923076923076927E-2</v>
      </c>
      <c r="AX153" s="6">
        <f>COUNTIFS(X:X,"C",C:C,5)/COUNTIF(C:C,5)</f>
        <v>0</v>
      </c>
      <c r="AY153" s="6">
        <f>COUNTIFS(X:X,"C",C:C,6)/COUNTIF(C:C,6)</f>
        <v>0.30769230769230771</v>
      </c>
      <c r="AZ153"/>
      <c r="BA153" s="31"/>
      <c r="BB153" s="31"/>
      <c r="BC153" s="31"/>
      <c r="BD153" s="31"/>
      <c r="BE153" s="31"/>
      <c r="BF153" s="31"/>
      <c r="BG153" s="31"/>
    </row>
    <row r="154" spans="45:98">
      <c r="AS154" s="6" t="s">
        <v>225</v>
      </c>
      <c r="AT154" s="6">
        <f>COUNTIFS(X:X,"D",C:C,1)/COUNTIF(C:C,1)</f>
        <v>0</v>
      </c>
      <c r="AU154" s="6">
        <f>COUNTIFS(X:X,"D",C:C,2)/COUNTIF(C:C,2)</f>
        <v>0</v>
      </c>
      <c r="AV154" s="6">
        <f>COUNTIFS(X:X,"D",C:C,3)/COUNTIF(C:C,3)</f>
        <v>7.6923076923076927E-2</v>
      </c>
      <c r="AW154" s="6">
        <f>COUNTIFS(X:X,"D",C:C,4)/COUNTIF(C:C,4)</f>
        <v>0</v>
      </c>
      <c r="AX154" s="6">
        <f>COUNTIFS(X:X,"D",C:C,5)/COUNTIF(C:C,5)</f>
        <v>0</v>
      </c>
      <c r="AY154" s="6">
        <f>COUNTIFS(X:X,"D",C:C,6)/COUNTIF(C:C,6)</f>
        <v>0.15384615384615385</v>
      </c>
      <c r="AZ154"/>
      <c r="BA154" s="31"/>
      <c r="BB154" s="31"/>
      <c r="BC154" s="31"/>
      <c r="BD154" s="31"/>
      <c r="BE154" s="31"/>
      <c r="BF154" s="31"/>
      <c r="BG154" s="31"/>
      <c r="BI154" s="3"/>
    </row>
    <row r="155" spans="45:98">
      <c r="AZ155"/>
      <c r="BA155" s="33"/>
      <c r="BB155" s="33"/>
      <c r="BC155" s="33"/>
      <c r="BD155" s="33"/>
      <c r="BE155" s="33"/>
      <c r="BF155" s="33"/>
      <c r="BG155" s="33"/>
    </row>
    <row r="156" spans="45:98">
      <c r="AS156" s="7" t="s">
        <v>344</v>
      </c>
      <c r="AT156" s="7">
        <v>1</v>
      </c>
      <c r="AU156" s="7">
        <v>2</v>
      </c>
      <c r="AV156" s="7">
        <v>3</v>
      </c>
      <c r="AW156" s="7">
        <v>4</v>
      </c>
      <c r="AX156" s="7">
        <v>5</v>
      </c>
      <c r="AY156" s="7">
        <v>6</v>
      </c>
      <c r="AZ156"/>
      <c r="BA156" s="31"/>
      <c r="BB156" s="31"/>
      <c r="BC156" s="31"/>
      <c r="BD156" s="31"/>
      <c r="BE156" s="31"/>
      <c r="BF156" s="31"/>
      <c r="BG156" s="31"/>
      <c r="BI156" s="3"/>
    </row>
    <row r="157" spans="45:98">
      <c r="AS157" s="6" t="s">
        <v>345</v>
      </c>
      <c r="AT157" s="6">
        <f>COUNTIFS(Y:Y,"A",C:C,1)/COUNTIF(C:C,1)</f>
        <v>0.38461538461538464</v>
      </c>
      <c r="AU157" s="6">
        <f>COUNTIFS(Y:Y,"A",C:C,2)/COUNTIF(C:C,2)</f>
        <v>0.46153846153846156</v>
      </c>
      <c r="AV157" s="6">
        <f>COUNTIFS(Y:Y,"A",C:C,3)/COUNTIF(C:C,3)</f>
        <v>0.23076923076923078</v>
      </c>
      <c r="AW157" s="6">
        <f>COUNTIFS(Y:Y,"A",C:C,4)/COUNTIF(C:C,4)</f>
        <v>0.23076923076923078</v>
      </c>
      <c r="AX157" s="6">
        <f>COUNTIFS(Y:Y,"A",C:C,5)/COUNTIF(C:C,5)</f>
        <v>0.30769230769230771</v>
      </c>
      <c r="AY157" s="6">
        <f>COUNTIFS(Y:Y,"A",C:C,6)/COUNTIF(C:C,6)</f>
        <v>0.38461538461538464</v>
      </c>
      <c r="AZ157"/>
      <c r="BA157" s="31"/>
      <c r="BB157" s="31"/>
      <c r="BC157" s="31"/>
      <c r="BD157" s="31"/>
      <c r="BE157" s="31"/>
      <c r="BF157" s="31"/>
      <c r="BG157" s="31"/>
    </row>
    <row r="158" spans="45:98">
      <c r="AS158" s="6" t="s">
        <v>346</v>
      </c>
      <c r="AT158" s="6">
        <f>COUNTIFS(Y:Y,"B",C:C,1)/COUNTIF(C:C,1)</f>
        <v>7.6923076923076927E-2</v>
      </c>
      <c r="AU158" s="6">
        <f>COUNTIFS(Y:Y,"B",C:C,2)/COUNTIF(C:C,2)</f>
        <v>0</v>
      </c>
      <c r="AV158" s="6">
        <f>COUNTIFS(Y:Y,"B",C:C,3)/COUNTIF(C:C,3)</f>
        <v>0.23076923076923078</v>
      </c>
      <c r="AW158" s="6">
        <f>COUNTIFS(Y:Y,"B",C:C,4)/COUNTIF(C:C,4)</f>
        <v>0</v>
      </c>
      <c r="AX158" s="6">
        <f>COUNTIFS(Y:Y,"B",C:C,5)/COUNTIF(C:C,5)</f>
        <v>0.15384615384615385</v>
      </c>
      <c r="AY158" s="6">
        <f>COUNTIFS(Y:Y,"B",C:C,6)/COUNTIF(C:C,6)</f>
        <v>0</v>
      </c>
      <c r="AZ158"/>
      <c r="BA158" s="31"/>
      <c r="BB158" s="31"/>
      <c r="BC158" s="31"/>
      <c r="BD158" s="31"/>
      <c r="BE158" s="31"/>
      <c r="BF158" s="31"/>
      <c r="BG158" s="31"/>
      <c r="BI158" s="3"/>
    </row>
    <row r="159" spans="45:98">
      <c r="AS159" s="6" t="s">
        <v>347</v>
      </c>
      <c r="AT159" s="6">
        <f>COUNTIFS(Y:Y,"C",C:C,1)/COUNTIF(C:C,1)</f>
        <v>0.46153846153846156</v>
      </c>
      <c r="AU159" s="6">
        <f>COUNTIFS(Y:Y,"C",C:C,2)/COUNTIF(C:C,2)</f>
        <v>0.53846153846153844</v>
      </c>
      <c r="AV159" s="6">
        <f>COUNTIFS(Y:Y,"C",C:C,3)/COUNTIF(C:C,3)</f>
        <v>0.46153846153846156</v>
      </c>
      <c r="AW159" s="6">
        <f>COUNTIFS(Y:Y,"C",C:C,4)/COUNTIF(C:C,4)</f>
        <v>0.76923076923076927</v>
      </c>
      <c r="AX159" s="6">
        <f>COUNTIFS(Y:Y,"C",C:C,5)/COUNTIF(C:C,5)</f>
        <v>0.53846153846153844</v>
      </c>
      <c r="AY159" s="6">
        <f>COUNTIFS(Y:Y,"C",C:C,6)/COUNTIF(C:C,6)</f>
        <v>0.53846153846153844</v>
      </c>
      <c r="AZ159"/>
      <c r="BA159" s="31"/>
      <c r="BB159" s="31"/>
      <c r="BC159" s="31"/>
      <c r="BD159" s="31"/>
      <c r="BE159" s="31"/>
      <c r="BF159" s="31"/>
      <c r="BG159" s="31"/>
    </row>
    <row r="160" spans="45:98">
      <c r="AS160" s="6" t="s">
        <v>348</v>
      </c>
      <c r="AT160" s="6">
        <f>COUNTIFS(Y:Y,"D",C:C,1)/COUNTIF(C:C,1)</f>
        <v>7.6923076923076927E-2</v>
      </c>
      <c r="AU160" s="6">
        <f>COUNTIFS(Y:Y,"D",C:C,2)/COUNTIF(C:C,2)</f>
        <v>0</v>
      </c>
      <c r="AV160" s="6">
        <f>COUNTIFS(Y:Y,"D",C:C,3)/COUNTIF(C:C,3)</f>
        <v>7.6923076923076927E-2</v>
      </c>
      <c r="AW160" s="6">
        <f>COUNTIFS(Y:Y,"D",C:C,4)/COUNTIF(C:C,4)</f>
        <v>0</v>
      </c>
      <c r="AX160" s="6">
        <f>COUNTIFS(Y:Y,"D",C:C,5)/COUNTIF(C:C,5)</f>
        <v>0</v>
      </c>
      <c r="AY160" s="6">
        <f>COUNTIFS(Y:Y,"D",C:C,6)/COUNTIF(C:C,6)</f>
        <v>7.6923076923076927E-2</v>
      </c>
      <c r="AZ160"/>
      <c r="BA160" s="31"/>
      <c r="BB160" s="31"/>
      <c r="BC160" s="31"/>
      <c r="BD160" s="31"/>
      <c r="BE160" s="31"/>
      <c r="BF160" s="31"/>
      <c r="BG160" s="31"/>
    </row>
    <row r="161" spans="45:98">
      <c r="AZ161"/>
      <c r="BA161" s="33"/>
      <c r="BB161" s="33"/>
      <c r="BC161" s="33"/>
      <c r="BD161" s="33"/>
      <c r="BE161" s="33"/>
      <c r="BF161" s="33"/>
      <c r="BG161" s="33"/>
      <c r="BI161" s="75"/>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row>
    <row r="162" spans="45:98">
      <c r="AS162" s="7" t="s">
        <v>349</v>
      </c>
      <c r="AT162" s="7">
        <v>1</v>
      </c>
      <c r="AU162" s="7">
        <v>2</v>
      </c>
      <c r="AV162" s="7">
        <v>3</v>
      </c>
      <c r="AW162" s="7">
        <v>4</v>
      </c>
      <c r="AX162" s="7">
        <v>5</v>
      </c>
      <c r="AY162" s="7">
        <v>6</v>
      </c>
      <c r="AZ162"/>
      <c r="BA162"/>
      <c r="BB162"/>
      <c r="BC162"/>
      <c r="BD162"/>
      <c r="BE162"/>
      <c r="BF162"/>
      <c r="BI162" s="75"/>
    </row>
    <row r="163" spans="45:98">
      <c r="AS163" s="6" t="s">
        <v>350</v>
      </c>
      <c r="AT163" s="6">
        <f>COUNTIFS(Z:Z,"A",C:C,1)/COUNTIF(C:C,1)</f>
        <v>0.15384615384615385</v>
      </c>
      <c r="AU163" s="6">
        <f>COUNTIFS(Z:Z,"A",C:C,2)/COUNTIF(C:C,2)</f>
        <v>0</v>
      </c>
      <c r="AV163" s="6">
        <f>COUNTIFS(Z:Z,"A",C:C,3)/COUNTIF(C:C,3)</f>
        <v>0.15384615384615385</v>
      </c>
      <c r="AW163" s="6">
        <f>COUNTIFS(Z:Z,"A",C:C,4)/COUNTIF(C:C,4)</f>
        <v>0</v>
      </c>
      <c r="AX163" s="6">
        <f>COUNTIFS(Z:Z,"A",C:C,5)/COUNTIF(C:C,5)</f>
        <v>0</v>
      </c>
      <c r="AY163" s="6">
        <f>COUNTIFS(Z:Z,"A",C:C,6)/COUNTIF(C:C,6)</f>
        <v>0</v>
      </c>
      <c r="AZ163"/>
      <c r="BA163"/>
      <c r="BB163"/>
      <c r="BC163"/>
      <c r="BD163"/>
      <c r="BE163"/>
      <c r="BF163"/>
    </row>
    <row r="164" spans="45:98">
      <c r="AS164" s="6" t="s">
        <v>351</v>
      </c>
      <c r="AT164" s="6">
        <f>COUNTIFS(Z:Z,"B",C:C,1)/COUNTIF(C:C,1)</f>
        <v>0.84615384615384615</v>
      </c>
      <c r="AU164" s="6">
        <f>COUNTIFS(Z:Z,"B",C:C,2)/COUNTIF(C:C,2)</f>
        <v>1</v>
      </c>
      <c r="AV164" s="6">
        <f>COUNTIFS(Z:Z,"B",C:C,3)/COUNTIF(C:C,3)</f>
        <v>0.84615384615384615</v>
      </c>
      <c r="AW164" s="6">
        <f>COUNTIFS(Z:Z,"B",C:C,4)/COUNTIF(C:C,4)</f>
        <v>1</v>
      </c>
      <c r="AX164" s="6">
        <f>COUNTIFS(Z:Z,"B",C:C,5)/COUNTIF(C:C,5)</f>
        <v>1</v>
      </c>
      <c r="AY164" s="6">
        <f>COUNTIFS(Z:Z,"B",C:C,6)/COUNTIF(C:C,6)</f>
        <v>1</v>
      </c>
      <c r="AZ164"/>
      <c r="BA164"/>
      <c r="BB164"/>
      <c r="BC164"/>
      <c r="BD164"/>
      <c r="BE164"/>
      <c r="BF164"/>
      <c r="BI164" s="3"/>
    </row>
    <row r="165" spans="45:98">
      <c r="AZ165"/>
      <c r="BA165"/>
      <c r="BB165"/>
      <c r="BC165"/>
      <c r="BD165"/>
      <c r="BE165"/>
      <c r="BF165"/>
    </row>
    <row r="166" spans="45:98">
      <c r="AS166" s="7" t="s">
        <v>352</v>
      </c>
      <c r="AT166" s="7">
        <v>1</v>
      </c>
      <c r="AU166" s="7">
        <v>2</v>
      </c>
      <c r="AV166" s="7">
        <v>3</v>
      </c>
      <c r="AW166" s="7">
        <v>4</v>
      </c>
      <c r="AX166" s="7">
        <v>5</v>
      </c>
      <c r="AY166" s="7">
        <v>6</v>
      </c>
      <c r="AZ166"/>
      <c r="BA166"/>
      <c r="BB166"/>
      <c r="BC166"/>
      <c r="BD166"/>
      <c r="BE166"/>
      <c r="BF166"/>
      <c r="BI166" s="3"/>
    </row>
    <row r="167" spans="45:98">
      <c r="AS167" s="6" t="s">
        <v>353</v>
      </c>
      <c r="AT167" s="6">
        <f>COUNTIFS(AA:AA,"A",C:C,1)/COUNTIF(C:C,1)</f>
        <v>0.76923076923076927</v>
      </c>
      <c r="AU167" s="6">
        <f>COUNTIFS(AA:AA,"A",C:C,2)/COUNTIF(C:C,2)</f>
        <v>0.84615384615384615</v>
      </c>
      <c r="AV167" s="6">
        <f>COUNTIFS(AA:AA,"A",C:C,3)/COUNTIF(C:C,3)</f>
        <v>0.92307692307692313</v>
      </c>
      <c r="AW167" s="6">
        <f>COUNTIFS(AA:AA,"A",C:C,4)/COUNTIF(C:C,4)</f>
        <v>0.92307692307692313</v>
      </c>
      <c r="AX167" s="6">
        <f>COUNTIFS(AA:AA,"A",C:C,5)/COUNTIF(C:C,5)</f>
        <v>1</v>
      </c>
      <c r="AY167" s="6">
        <f>COUNTIFS(AA:AA,"A",C:C,6)/COUNTIF(C:C,6)</f>
        <v>0.84615384615384615</v>
      </c>
      <c r="AZ167"/>
      <c r="BB167" s="33"/>
      <c r="BC167" s="33"/>
      <c r="BD167" s="33"/>
      <c r="BE167" s="33"/>
      <c r="BF167" s="33"/>
      <c r="BG167" s="33"/>
    </row>
    <row r="168" spans="45:98">
      <c r="AS168" s="6" t="s">
        <v>354</v>
      </c>
      <c r="AT168" s="6">
        <f>COUNTIFS(AA:AA,"B",C:C,1)/COUNTIF(C:C,1)</f>
        <v>0.23076923076923078</v>
      </c>
      <c r="AU168" s="6">
        <f>COUNTIFS(AA:AA,"B",C:C,2)/COUNTIF(C:C,2)</f>
        <v>0.15384615384615385</v>
      </c>
      <c r="AV168" s="6">
        <f>COUNTIFS(AA:AA,"B",C:C,3)/COUNTIF(C:C,3)</f>
        <v>7.6923076923076927E-2</v>
      </c>
      <c r="AW168" s="6">
        <f>COUNTIFS(AA:AA,"B",C:C,4)/COUNTIF(C:C,4)</f>
        <v>7.6923076923076927E-2</v>
      </c>
      <c r="AX168" s="6">
        <f>COUNTIFS(AA:AA,"B",C:C,5)/COUNTIF(C:C,5)</f>
        <v>0</v>
      </c>
      <c r="AY168" s="6">
        <f>COUNTIFS(AA:AA,"B",C:C,6)/COUNTIF(C:C,6)</f>
        <v>0.15384615384615385</v>
      </c>
      <c r="AZ168"/>
      <c r="BA168"/>
      <c r="BB168"/>
      <c r="BC168"/>
      <c r="BD168"/>
      <c r="BE168"/>
      <c r="BF168"/>
      <c r="BI168" s="3"/>
    </row>
    <row r="169" spans="45:98">
      <c r="AZ169"/>
      <c r="BA169"/>
      <c r="BB169"/>
      <c r="BC169"/>
      <c r="BD169"/>
      <c r="BE169"/>
      <c r="BF169"/>
    </row>
    <row r="170" spans="45:98">
      <c r="AS170" s="7" t="s">
        <v>355</v>
      </c>
      <c r="AT170" s="7">
        <v>1</v>
      </c>
      <c r="AU170" s="7">
        <v>2</v>
      </c>
      <c r="AV170" s="7">
        <v>3</v>
      </c>
      <c r="AW170" s="7">
        <v>4</v>
      </c>
      <c r="AX170" s="7">
        <v>5</v>
      </c>
      <c r="AY170" s="7">
        <v>6</v>
      </c>
      <c r="AZ170"/>
      <c r="BA170"/>
      <c r="BB170"/>
      <c r="BC170"/>
      <c r="BD170"/>
      <c r="BE170"/>
      <c r="BF170"/>
      <c r="BI170" s="3"/>
    </row>
    <row r="171" spans="45:98">
      <c r="AS171" s="6" t="s">
        <v>353</v>
      </c>
      <c r="AT171" s="6">
        <f>COUNTIFS(AB:AB,"A",C:C,1)/COUNTIF(C:C,1)</f>
        <v>0.76923076923076927</v>
      </c>
      <c r="AU171" s="6">
        <f>COUNTIFS(AB:AB,"A",C:C,2)/COUNTIF(C:C,2)</f>
        <v>0.92307692307692313</v>
      </c>
      <c r="AV171" s="6">
        <f>COUNTIFS(AB:AB,"A",C:C,3)/COUNTIF(C:C,3)</f>
        <v>0.84615384615384615</v>
      </c>
      <c r="AW171" s="6">
        <f>COUNTIFS(AB:AB,"A",C:C,4)/COUNTIF(C:C,4)</f>
        <v>0.92307692307692313</v>
      </c>
      <c r="AX171" s="6">
        <f>COUNTIFS(AB:AB,"A",C:C,5)/COUNTIF(C:C,5)</f>
        <v>1</v>
      </c>
      <c r="AY171" s="6">
        <f>COUNTIFS(AB:AB,"A",C:C,6)/COUNTIF(C:C,6)</f>
        <v>0.92307692307692313</v>
      </c>
      <c r="AZ171"/>
      <c r="BB171" s="33"/>
      <c r="BC171" s="33"/>
      <c r="BD171" s="33"/>
      <c r="BE171" s="33"/>
      <c r="BF171" s="33"/>
      <c r="BG171" s="33"/>
    </row>
    <row r="172" spans="45:98">
      <c r="AS172" s="6" t="s">
        <v>356</v>
      </c>
      <c r="AT172" s="6">
        <f>COUNTIFS(AB:AB,"B",C:C,1)/COUNTIF(C:C,1)</f>
        <v>0.23076923076923078</v>
      </c>
      <c r="AU172" s="6">
        <f>COUNTIFS(AB:AB,"B",C:C,2)/COUNTIF(C:C,2)</f>
        <v>7.6923076923076927E-2</v>
      </c>
      <c r="AV172" s="6">
        <f>COUNTIFS(AB:AB,"B",C:C,3)/COUNTIF(C:C,3)</f>
        <v>0.15384615384615385</v>
      </c>
      <c r="AW172" s="6">
        <f>COUNTIFS(AB:AB,"B",C:C,4)/COUNTIF(C:C,4)</f>
        <v>7.6923076923076927E-2</v>
      </c>
      <c r="AX172" s="6">
        <f>COUNTIFS(AB:AB,"B",C:C,5)/COUNTIF(C:C,5)</f>
        <v>0</v>
      </c>
      <c r="AY172" s="6">
        <f>COUNTIFS(AB:AB,"B",C:C,6)/COUNTIF(C:C,6)</f>
        <v>7.6923076923076927E-2</v>
      </c>
      <c r="AZ172"/>
      <c r="BA172"/>
      <c r="BB172"/>
      <c r="BC172"/>
      <c r="BD172"/>
      <c r="BE172"/>
      <c r="BF172"/>
      <c r="BI172" s="3"/>
    </row>
    <row r="173" spans="45:98">
      <c r="AZ173"/>
      <c r="BA173"/>
      <c r="BB173"/>
      <c r="BC173"/>
      <c r="BD173"/>
      <c r="BE173"/>
      <c r="BF173"/>
    </row>
    <row r="174" spans="45:98">
      <c r="AS174" s="7" t="s">
        <v>357</v>
      </c>
      <c r="AT174" s="7">
        <v>1</v>
      </c>
      <c r="AU174" s="7">
        <v>2</v>
      </c>
      <c r="AV174" s="7">
        <v>3</v>
      </c>
      <c r="AW174" s="7">
        <v>4</v>
      </c>
      <c r="AX174" s="7">
        <v>5</v>
      </c>
      <c r="AY174" s="7">
        <v>6</v>
      </c>
      <c r="AZ174"/>
      <c r="BA174"/>
      <c r="BB174"/>
      <c r="BC174"/>
      <c r="BD174"/>
      <c r="BE174"/>
      <c r="BF174"/>
      <c r="BI174" s="3"/>
    </row>
    <row r="175" spans="45:98">
      <c r="AS175" s="6" t="s">
        <v>358</v>
      </c>
      <c r="AT175" s="6">
        <f>COUNTIFS(AC:AC,"A",C:C,1)/COUNTIF(C:C,1)</f>
        <v>1</v>
      </c>
      <c r="AU175" s="6">
        <f>COUNTIFS(AC:AC,"A",C:C,2)/COUNTIF(C:C,2)</f>
        <v>1</v>
      </c>
      <c r="AV175" s="6">
        <f>COUNTIFS(AC:AC,"A",C:C,3)/COUNTIF(C:C,3)</f>
        <v>1</v>
      </c>
      <c r="AW175" s="6">
        <f>COUNTIFS(AC:AC,"A",C:C,4)/COUNTIF(C:C,4)</f>
        <v>1</v>
      </c>
      <c r="AX175" s="6">
        <f>COUNTIFS(AC:AC,"A",C:C,5)/COUNTIF(C:C,5)</f>
        <v>1</v>
      </c>
      <c r="AY175" s="6">
        <f>COUNTIFS(AC:AC,"A",C:C,6)/COUNTIF(C:C,6)</f>
        <v>0.92307692307692313</v>
      </c>
      <c r="AZ175"/>
      <c r="BB175" s="33"/>
      <c r="BC175" s="33"/>
      <c r="BD175" s="33"/>
      <c r="BE175" s="33"/>
      <c r="BF175" s="33"/>
      <c r="BG175" s="33"/>
    </row>
    <row r="176" spans="45:98">
      <c r="AS176" s="6" t="s">
        <v>359</v>
      </c>
      <c r="AT176" s="6">
        <f>COUNTIFS(AC:AC,"B",C:C,1)/COUNTIF(C:C,1)</f>
        <v>0</v>
      </c>
      <c r="AU176" s="6">
        <f>COUNTIFS(AC:AC,"B",C:C,2)/COUNTIF(C:C,2)</f>
        <v>0</v>
      </c>
      <c r="AV176" s="6">
        <f>COUNTIFS(AC:AC,"B",C:C,3)/COUNTIF(C:C,3)</f>
        <v>0</v>
      </c>
      <c r="AW176" s="6">
        <f>COUNTIFS(AC:AC,"B",C:C,4)/COUNTIF(C:C,4)</f>
        <v>0</v>
      </c>
      <c r="AX176" s="6">
        <f>COUNTIFS(AC:AC,"B",C:C,5)/COUNTIF(C:C,5)</f>
        <v>0</v>
      </c>
      <c r="AY176" s="6">
        <f>COUNTIFS(AC:AC,"B",C:C,6)/COUNTIF(C:C,6)</f>
        <v>7.6923076923076927E-2</v>
      </c>
      <c r="AZ176"/>
      <c r="BA176"/>
      <c r="BB176"/>
      <c r="BC176"/>
      <c r="BD176"/>
      <c r="BE176"/>
      <c r="BF176"/>
    </row>
    <row r="177" spans="45:98">
      <c r="AZ177"/>
      <c r="BA177"/>
      <c r="BB177"/>
      <c r="BC177"/>
      <c r="BD177"/>
      <c r="BE177"/>
      <c r="BF177"/>
      <c r="BI177" s="75"/>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row>
    <row r="178" spans="45:98">
      <c r="AS178" s="7" t="s">
        <v>361</v>
      </c>
      <c r="AT178" s="7">
        <v>1</v>
      </c>
      <c r="AU178" s="7">
        <v>2</v>
      </c>
      <c r="AV178" s="7">
        <v>3</v>
      </c>
      <c r="AW178" s="7">
        <v>4</v>
      </c>
      <c r="AX178" s="7">
        <v>5</v>
      </c>
      <c r="AY178" s="7">
        <v>6</v>
      </c>
      <c r="AZ178"/>
      <c r="BA178"/>
      <c r="BB178"/>
      <c r="BC178"/>
      <c r="BD178"/>
      <c r="BE178"/>
      <c r="BF178"/>
      <c r="BI178" s="75"/>
    </row>
    <row r="179" spans="45:98">
      <c r="AS179" s="6" t="s">
        <v>362</v>
      </c>
      <c r="AT179" s="6">
        <f>COUNTIFS(AD:AD,"A",C:C,1)/COUNTIF(C:C,1)</f>
        <v>1</v>
      </c>
      <c r="AU179" s="6">
        <f>COUNTIFS(AD:AD,"A",C:C,2)/COUNTIF(C:C,2)</f>
        <v>1</v>
      </c>
      <c r="AV179" s="6">
        <f>COUNTIFS(AD:AD,"A",C:C,3)/COUNTIF(C:C,3)</f>
        <v>1</v>
      </c>
      <c r="AW179" s="6">
        <f>COUNTIFS(AD:AD,"A",C:C,4)/COUNTIF(C:C,4)</f>
        <v>0.84615384615384615</v>
      </c>
      <c r="AX179" s="6">
        <f>COUNTIFS(AD:AD,"A",C:C,5)/COUNTIF(C:C,5)</f>
        <v>1</v>
      </c>
      <c r="AY179" s="6">
        <f>COUNTIFS(AD:AD,"A",C:C,6)/COUNTIF(C:C,6)</f>
        <v>0.84615384615384615</v>
      </c>
      <c r="AZ179"/>
      <c r="BB179" s="33"/>
      <c r="BC179" s="33"/>
      <c r="BD179" s="33"/>
      <c r="BE179" s="33"/>
      <c r="BF179" s="33"/>
      <c r="BG179" s="33"/>
    </row>
    <row r="180" spans="45:98">
      <c r="AS180" s="6" t="s">
        <v>363</v>
      </c>
      <c r="AT180" s="6">
        <f>COUNTIFS(AD:AD,"B",C:C,1)/COUNTIF(C:C,1)</f>
        <v>0</v>
      </c>
      <c r="AU180" s="6">
        <f>COUNTIFS(AD:AD,"B",C:C,2)/COUNTIF(C:C,2)</f>
        <v>0</v>
      </c>
      <c r="AV180" s="6">
        <f>COUNTIFS(AD:AD,"B",C:C,3)/COUNTIF(C:C,3)</f>
        <v>0</v>
      </c>
      <c r="AW180" s="6">
        <f>COUNTIFS(AD:AD,"B",C:C,4)/COUNTIF(C:C,4)</f>
        <v>0.15384615384615385</v>
      </c>
      <c r="AX180" s="6">
        <f>COUNTIFS(AD:AD,"B",C:C,5)/COUNTIF(C:C,5)</f>
        <v>0</v>
      </c>
      <c r="AY180" s="6">
        <f>COUNTIFS(AD:AD,"B",C:C,6)/COUNTIF(C:C,6)</f>
        <v>0.15384615384615385</v>
      </c>
      <c r="AZ180"/>
      <c r="BA180"/>
      <c r="BB180"/>
      <c r="BC180"/>
      <c r="BD180"/>
      <c r="BE180"/>
      <c r="BF180"/>
      <c r="BI180" s="3"/>
    </row>
    <row r="181" spans="45:98">
      <c r="AZ181"/>
      <c r="BA181"/>
      <c r="BB181"/>
      <c r="BC181"/>
      <c r="BD181"/>
      <c r="BE181"/>
      <c r="BF181"/>
    </row>
    <row r="182" spans="45:98">
      <c r="AS182" s="7" t="s">
        <v>364</v>
      </c>
      <c r="AT182" s="7">
        <v>1</v>
      </c>
      <c r="AU182" s="7">
        <v>2</v>
      </c>
      <c r="AV182" s="7">
        <v>3</v>
      </c>
      <c r="AW182" s="7">
        <v>4</v>
      </c>
      <c r="AX182" s="7">
        <v>5</v>
      </c>
      <c r="AY182" s="7">
        <v>6</v>
      </c>
      <c r="AZ182"/>
      <c r="BA182"/>
      <c r="BB182"/>
      <c r="BC182"/>
      <c r="BD182"/>
      <c r="BE182"/>
      <c r="BF182"/>
      <c r="BI182" s="3"/>
    </row>
    <row r="183" spans="45:98">
      <c r="AS183" s="6" t="s">
        <v>365</v>
      </c>
      <c r="AT183" s="6">
        <f>COUNTIFS(AE:AE,"A",C:C,1)/COUNTIF(C:C,1)</f>
        <v>1</v>
      </c>
      <c r="AU183" s="6">
        <f>COUNTIFS(AE:AE,"A",C:C,2)/COUNTIF(C:C,2)</f>
        <v>1</v>
      </c>
      <c r="AV183" s="6">
        <f>COUNTIFS(AE:AE,"A",C:C,3)/COUNTIF(C:C,3)</f>
        <v>1</v>
      </c>
      <c r="AW183" s="6">
        <f>COUNTIFS(AE:AE,"A",C:C,4)/COUNTIF(C:C,4)</f>
        <v>1</v>
      </c>
      <c r="AX183" s="6">
        <f>COUNTIFS(AE:AE,"A",C:C,5)/COUNTIF(C:C,5)</f>
        <v>0.92307692307692313</v>
      </c>
      <c r="AY183" s="6">
        <f>COUNTIFS(AE:AE,"A",C:C,6)/COUNTIF(C:C,6)</f>
        <v>0.84615384615384615</v>
      </c>
      <c r="AZ183"/>
      <c r="BB183" s="33"/>
      <c r="BC183" s="33"/>
      <c r="BD183" s="33"/>
      <c r="BE183" s="33"/>
      <c r="BF183" s="33"/>
      <c r="BG183" s="33"/>
    </row>
    <row r="184" spans="45:98">
      <c r="AS184" s="6" t="s">
        <v>366</v>
      </c>
      <c r="AT184" s="6">
        <f>COUNTIFS(AE:AE,"B",C:C,1)/COUNTIF(C:C,1)</f>
        <v>0</v>
      </c>
      <c r="AU184" s="6">
        <f>COUNTIFS(AE:AE,"B",C:C,2)/COUNTIF(C:C,2)</f>
        <v>0</v>
      </c>
      <c r="AV184" s="6">
        <f>COUNTIFS(AE:AE,"B",C:C,3)/COUNTIF(C:C,3)</f>
        <v>0</v>
      </c>
      <c r="AW184" s="6">
        <f>COUNTIFS(AE:AE,"B",C:C,4)/COUNTIF(C:C,4)</f>
        <v>0</v>
      </c>
      <c r="AX184" s="6">
        <f>COUNTIFS(AE:AE,"B",C:C,5)/COUNTIF(C:C,5)</f>
        <v>7.6923076923076927E-2</v>
      </c>
      <c r="AY184" s="6">
        <f>COUNTIFS(AE:AE,"B",C:C,6)/COUNTIF(C:C,6)</f>
        <v>0.15384615384615385</v>
      </c>
      <c r="AZ184"/>
      <c r="BA184"/>
      <c r="BB184"/>
      <c r="BC184"/>
      <c r="BD184"/>
      <c r="BE184"/>
      <c r="BF184"/>
      <c r="BI184" s="3"/>
    </row>
    <row r="185" spans="45:98">
      <c r="AZ185"/>
      <c r="BA185"/>
      <c r="BB185"/>
      <c r="BC185"/>
      <c r="BD185"/>
      <c r="BE185"/>
      <c r="BF185"/>
    </row>
    <row r="186" spans="45:98">
      <c r="AS186" s="7" t="s">
        <v>367</v>
      </c>
      <c r="AT186" s="7">
        <v>1</v>
      </c>
      <c r="AU186" s="7">
        <v>2</v>
      </c>
      <c r="AV186" s="7">
        <v>3</v>
      </c>
      <c r="AW186" s="7">
        <v>4</v>
      </c>
      <c r="AX186" s="7">
        <v>5</v>
      </c>
      <c r="AY186" s="7">
        <v>6</v>
      </c>
      <c r="AZ186"/>
      <c r="BA186"/>
      <c r="BB186"/>
      <c r="BC186"/>
      <c r="BD186"/>
      <c r="BE186"/>
      <c r="BF186"/>
      <c r="BI186" s="3"/>
    </row>
    <row r="187" spans="45:98">
      <c r="AS187" s="6" t="s">
        <v>368</v>
      </c>
      <c r="AT187" s="6">
        <f>COUNTIFS(AF:AF,"A",C:C,1)/COUNTIF(C:C,1)</f>
        <v>0.76923076923076927</v>
      </c>
      <c r="AU187" s="6">
        <f>COUNTIFS(AF:AF,"A",C:C,2)/COUNTIF(C:C,2)</f>
        <v>1</v>
      </c>
      <c r="AV187" s="6">
        <f>COUNTIFS(AF:AF,"A",C:C,3)/COUNTIF(C:C,3)</f>
        <v>1</v>
      </c>
      <c r="AW187" s="6">
        <f>COUNTIFS(AF:AF,"A",C:C,4)/COUNTIF(C:C,4)</f>
        <v>0.69230769230769229</v>
      </c>
      <c r="AX187" s="6">
        <f>COUNTIFS(AF:AF,"A",C:C,5)/COUNTIF(C:C,5)</f>
        <v>0.61538461538461542</v>
      </c>
      <c r="AY187" s="6">
        <f>COUNTIFS(AF:AF,"A",C:C,6)/COUNTIF(C:C,6)</f>
        <v>0.61538461538461542</v>
      </c>
      <c r="AZ187"/>
      <c r="BB187" s="33"/>
      <c r="BC187" s="33"/>
      <c r="BD187" s="33"/>
      <c r="BE187" s="33"/>
      <c r="BF187" s="33"/>
      <c r="BG187" s="33"/>
    </row>
    <row r="188" spans="45:98">
      <c r="AS188" s="6" t="s">
        <v>369</v>
      </c>
      <c r="AT188" s="6">
        <f>COUNTIFS(AF:AF,"B",C:C,1)/COUNTIF(C:C,1)</f>
        <v>0.23076923076923078</v>
      </c>
      <c r="AU188" s="6">
        <f>COUNTIFS(AF:AF,"B",C:C,2)/COUNTIF(C:C,2)</f>
        <v>0</v>
      </c>
      <c r="AV188" s="6">
        <f>COUNTIFS(AF:AF,"B",C:C,3)/COUNTIF(C:C,3)</f>
        <v>0</v>
      </c>
      <c r="AW188" s="6">
        <f>COUNTIFS(AF:AF,"B",C:C,4)/COUNTIF(C:C,4)</f>
        <v>0.30769230769230771</v>
      </c>
      <c r="AX188" s="6">
        <f>COUNTIFS(AF:AF,"B",C:C,5)/COUNTIF(C:C,5)</f>
        <v>0.38461538461538464</v>
      </c>
      <c r="AY188" s="6">
        <f>COUNTIFS(AF:AF,"B",C:C,6)/COUNTIF(C:C,6)</f>
        <v>0.38461538461538464</v>
      </c>
      <c r="AZ188"/>
      <c r="BA188"/>
      <c r="BB188" s="35"/>
      <c r="BC188" s="35"/>
      <c r="BD188" s="35"/>
      <c r="BE188" s="35"/>
      <c r="BF188" s="35"/>
      <c r="BG188" s="35"/>
      <c r="BI188" s="3"/>
    </row>
    <row r="189" spans="45:98">
      <c r="AZ189"/>
      <c r="BA189"/>
      <c r="BB189" s="35"/>
      <c r="BC189" s="35"/>
      <c r="BD189" s="35"/>
      <c r="BE189" s="35"/>
      <c r="BF189" s="35"/>
      <c r="BG189" s="35"/>
    </row>
    <row r="190" spans="45:98">
      <c r="AS190" s="7" t="s">
        <v>370</v>
      </c>
      <c r="AT190" s="7">
        <v>1</v>
      </c>
      <c r="AU190" s="7">
        <v>2</v>
      </c>
      <c r="AV190" s="7">
        <v>3</v>
      </c>
      <c r="AW190" s="7">
        <v>4</v>
      </c>
      <c r="AX190" s="7">
        <v>5</v>
      </c>
      <c r="AY190" s="7">
        <v>6</v>
      </c>
      <c r="AZ190"/>
      <c r="BA190"/>
      <c r="BB190" s="35"/>
      <c r="BC190" s="35"/>
      <c r="BD190" s="35"/>
      <c r="BE190" s="35"/>
      <c r="BF190" s="35"/>
      <c r="BG190" s="35"/>
      <c r="BI190" s="3"/>
    </row>
    <row r="191" spans="45:98">
      <c r="AS191" s="6" t="s">
        <v>371</v>
      </c>
      <c r="AT191" s="6">
        <f>COUNTIFS(AG:AG,"A",C:C,1)/COUNTIF(C:C,1)</f>
        <v>0.30769230769230771</v>
      </c>
      <c r="AU191" s="6">
        <f>COUNTIFS(AG:AG,"A",C:C,2)/COUNTIF(C:C,2)</f>
        <v>0.15384615384615385</v>
      </c>
      <c r="AV191" s="6">
        <f>COUNTIFS(AG:AG,"A",C:C,3)/COUNTIF(C:C,3)</f>
        <v>0.23076923076923078</v>
      </c>
      <c r="AW191" s="6">
        <f>COUNTIFS(AG:AG,"A",C:C,4)/COUNTIF(C:C,4)</f>
        <v>7.6923076923076927E-2</v>
      </c>
      <c r="AX191" s="6">
        <f>COUNTIFS(AG:AG,"A",C:C,5)/COUNTIF(C:C,5)</f>
        <v>0.15384615384615385</v>
      </c>
      <c r="AY191" s="6">
        <f>COUNTIFS(AG:AG,"A",C:C,6)/COUNTIF(C:C,6)</f>
        <v>0.23076923076923078</v>
      </c>
      <c r="AZ191"/>
      <c r="BB191" s="33"/>
      <c r="BC191" s="33"/>
      <c r="BD191" s="33"/>
      <c r="BE191" s="33"/>
      <c r="BF191" s="33"/>
      <c r="BG191" s="33"/>
    </row>
    <row r="192" spans="45:98">
      <c r="AS192" s="6" t="s">
        <v>372</v>
      </c>
      <c r="AT192" s="6">
        <f>COUNTIFS(AG:AG,"B",C:C,1)/COUNTIF(C:C,1)</f>
        <v>0.69230769230769229</v>
      </c>
      <c r="AU192" s="6">
        <f>COUNTIFS(AG:AG,"B",C:C,2)/COUNTIF(C:C,2)</f>
        <v>0.84615384615384615</v>
      </c>
      <c r="AV192" s="6">
        <f>COUNTIFS(AG:AG,"B",C:C,3)/COUNTIF(C:C,3)</f>
        <v>0.76923076923076927</v>
      </c>
      <c r="AW192" s="6">
        <f>COUNTIFS(AG:AG,"B",C:C,4)/COUNTIF(C:C,4)</f>
        <v>0.92307692307692313</v>
      </c>
      <c r="AX192" s="6">
        <f>COUNTIFS(AG:AG,"B",C:C,5)/COUNTIF(C:C,5)</f>
        <v>0.84615384615384615</v>
      </c>
      <c r="AY192" s="6">
        <f>COUNTIFS(AG:AG,"B",C:C,6)/COUNTIF(C:C,6)</f>
        <v>0.76923076923076927</v>
      </c>
      <c r="AZ192"/>
      <c r="BA192"/>
      <c r="BB192"/>
      <c r="BC192"/>
      <c r="BD192"/>
      <c r="BE192"/>
      <c r="BF192"/>
    </row>
    <row r="193" spans="45:98">
      <c r="AZ193"/>
      <c r="BA193"/>
      <c r="BB193"/>
      <c r="BC193"/>
      <c r="BD193"/>
      <c r="BE193"/>
      <c r="BF193"/>
      <c r="BI193" s="75"/>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row>
    <row r="194" spans="45:98">
      <c r="AS194" s="7" t="s">
        <v>373</v>
      </c>
      <c r="AT194" s="7">
        <v>1</v>
      </c>
      <c r="AU194" s="7">
        <v>2</v>
      </c>
      <c r="AV194" s="7">
        <v>3</v>
      </c>
      <c r="AW194" s="7">
        <v>4</v>
      </c>
      <c r="AX194" s="7">
        <v>5</v>
      </c>
      <c r="AY194" s="7">
        <v>6</v>
      </c>
      <c r="AZ194"/>
      <c r="BA194"/>
      <c r="BB194"/>
      <c r="BC194"/>
      <c r="BD194"/>
      <c r="BE194"/>
      <c r="BF194"/>
      <c r="BI194" s="75"/>
    </row>
    <row r="195" spans="45:98">
      <c r="AS195" s="6" t="s">
        <v>374</v>
      </c>
      <c r="AT195" s="6">
        <f>COUNTIFS(AH:AH,"A",C:C,1)/COUNTIF(C:C,1)</f>
        <v>1</v>
      </c>
      <c r="AU195" s="6">
        <f>COUNTIFS(AH:AH,"A",C:C,2)/COUNTIF(C:C,2)</f>
        <v>1</v>
      </c>
      <c r="AV195" s="6">
        <f>COUNTIFS(AH:AH,"A",C:C,3)/COUNTIF(C:C,3)</f>
        <v>1</v>
      </c>
      <c r="AW195" s="6">
        <f>COUNTIFS(AH:AH,"A",C:C,4)/COUNTIF(C:C,4)</f>
        <v>1</v>
      </c>
      <c r="AX195" s="6">
        <f>COUNTIFS(AH:AH,"A",C:C,5)/COUNTIF(C:C,5)</f>
        <v>1</v>
      </c>
      <c r="AY195" s="6">
        <f>COUNTIFS(AH:AH,"A",C:C,6)/COUNTIF(C:C,6)</f>
        <v>0.84615384615384615</v>
      </c>
      <c r="AZ195"/>
      <c r="BB195" s="33"/>
      <c r="BC195" s="33"/>
      <c r="BD195" s="33"/>
      <c r="BE195" s="33"/>
      <c r="BF195" s="33"/>
      <c r="BG195" s="33"/>
    </row>
    <row r="196" spans="45:98">
      <c r="AS196" s="6" t="s">
        <v>375</v>
      </c>
      <c r="AT196" s="6">
        <f>COUNTIFS(AH:AH,"B",C:C,1)/COUNTIF(C:C,1)</f>
        <v>0</v>
      </c>
      <c r="AU196" s="6">
        <f>COUNTIFS(AH:AH,"B",C:C,2)/COUNTIF(C:C,2)</f>
        <v>0</v>
      </c>
      <c r="AV196" s="6">
        <f>COUNTIFS(AH:AH,"B",C:C,3)/COUNTIF(C:C,3)</f>
        <v>0</v>
      </c>
      <c r="AW196" s="6">
        <f>COUNTIFS(AH:AH,"B",C:C,4)/COUNTIF(C:C,4)</f>
        <v>0</v>
      </c>
      <c r="AX196" s="6">
        <f>COUNTIFS(AH:AH,"B",C:C,5)/COUNTIF(C:C,5)</f>
        <v>0</v>
      </c>
      <c r="AY196" s="6">
        <f>COUNTIFS(AH:AH,"B",C:C,6)/COUNTIF(C:C,6)</f>
        <v>0.15384615384615385</v>
      </c>
      <c r="AZ196"/>
      <c r="BA196"/>
      <c r="BB196"/>
      <c r="BC196"/>
      <c r="BD196"/>
      <c r="BE196"/>
      <c r="BF196"/>
      <c r="BI196" s="3"/>
    </row>
    <row r="197" spans="45:98">
      <c r="AZ197"/>
      <c r="BA197"/>
      <c r="BB197"/>
      <c r="BC197"/>
      <c r="BD197"/>
      <c r="BE197"/>
      <c r="BF197"/>
    </row>
    <row r="198" spans="45:98">
      <c r="AS198" s="7" t="s">
        <v>360</v>
      </c>
      <c r="AT198" s="7">
        <v>1</v>
      </c>
      <c r="AU198" s="7">
        <v>2</v>
      </c>
      <c r="AV198" s="7">
        <v>3</v>
      </c>
      <c r="AW198" s="7">
        <v>4</v>
      </c>
      <c r="AX198" s="7">
        <v>5</v>
      </c>
      <c r="AY198" s="7">
        <v>6</v>
      </c>
      <c r="AZ198"/>
      <c r="BA198"/>
      <c r="BB198"/>
      <c r="BC198"/>
      <c r="BD198"/>
      <c r="BE198"/>
      <c r="BF198"/>
      <c r="BI198" s="3"/>
    </row>
    <row r="199" spans="45:98">
      <c r="AS199" s="6" t="s">
        <v>377</v>
      </c>
      <c r="AT199" s="6">
        <f>COUNTIFS(AI:AI,"A",C:C,1)/COUNTIF(C:C,1)</f>
        <v>0.38461538461538464</v>
      </c>
      <c r="AU199" s="6">
        <f>COUNTIFS(AI:AI,"A",C:C,2)/COUNTIF(C:C,2)</f>
        <v>0.30769230769230771</v>
      </c>
      <c r="AV199" s="6">
        <f>COUNTIFS(AI:AI,"A",C:C,3)/COUNTIF(C:C,3)</f>
        <v>0.23076923076923078</v>
      </c>
      <c r="AW199" s="6">
        <f>COUNTIFS(AI:AI,"A",C:C,4)/COUNTIF(C:C,4)</f>
        <v>0</v>
      </c>
      <c r="AX199" s="6">
        <f>COUNTIFS(AI:AI,"A",C:C,5)/COUNTIF(C:C,5)</f>
        <v>0</v>
      </c>
      <c r="AY199" s="6">
        <f>COUNTIFS(AI:AI,"A",C:C,6)/COUNTIF(C:C,6)</f>
        <v>0.23076923076923078</v>
      </c>
      <c r="AZ199"/>
      <c r="BB199" s="33"/>
      <c r="BC199" s="33"/>
      <c r="BD199" s="33"/>
      <c r="BE199" s="33"/>
      <c r="BF199" s="33"/>
      <c r="BG199" s="33"/>
    </row>
    <row r="200" spans="45:98">
      <c r="AS200" s="6" t="s">
        <v>376</v>
      </c>
      <c r="AT200" s="6">
        <f>COUNTIFS(AI:AI,"B",C:C,1)/COUNTIF(C:C,1)</f>
        <v>0.61538461538461542</v>
      </c>
      <c r="AU200" s="6">
        <f>COUNTIFS(AI:AI,"B",C:C,2)/COUNTIF(C:C,2)</f>
        <v>0.69230769230769229</v>
      </c>
      <c r="AV200" s="6">
        <f>COUNTIFS(AI:AI,"B",C:C,3)/COUNTIF(C:C,3)</f>
        <v>0.76923076923076927</v>
      </c>
      <c r="AW200" s="6">
        <f>COUNTIFS(AI:AI,"B",C:C,4)/COUNTIF(C:C,4)</f>
        <v>1</v>
      </c>
      <c r="AX200" s="6">
        <f>COUNTIFS(AI:AI,"B",C:C,5)/COUNTIF(C:C,5)</f>
        <v>1</v>
      </c>
      <c r="AY200" s="6">
        <f>COUNTIFS(AI:AI,"B",C:C,6)/COUNTIF(C:C,6)</f>
        <v>0.76923076923076927</v>
      </c>
      <c r="AZ200"/>
      <c r="BA200"/>
      <c r="BB200"/>
      <c r="BC200"/>
      <c r="BD200"/>
      <c r="BE200"/>
      <c r="BF200"/>
      <c r="BI200" s="3"/>
    </row>
    <row r="201" spans="45:98">
      <c r="AZ201"/>
      <c r="BA201"/>
      <c r="BB201"/>
      <c r="BC201"/>
      <c r="BD201"/>
      <c r="BE201"/>
      <c r="BF201"/>
    </row>
    <row r="202" spans="45:98">
      <c r="AS202" s="7" t="s">
        <v>378</v>
      </c>
      <c r="AT202" s="7">
        <v>1</v>
      </c>
      <c r="AU202" s="7">
        <v>2</v>
      </c>
      <c r="AV202" s="7">
        <v>3</v>
      </c>
      <c r="AW202" s="7">
        <v>4</v>
      </c>
      <c r="AX202" s="7">
        <v>5</v>
      </c>
      <c r="AY202" s="7">
        <v>6</v>
      </c>
      <c r="AZ202"/>
      <c r="BA202"/>
      <c r="BB202"/>
      <c r="BC202"/>
      <c r="BD202"/>
      <c r="BE202"/>
      <c r="BF202"/>
      <c r="BI202" s="3"/>
    </row>
    <row r="203" spans="45:98">
      <c r="AS203" s="6" t="s">
        <v>379</v>
      </c>
      <c r="AT203" s="6">
        <f>COUNTIFS(AJ:AJ,"A",C:C,1)/COUNTIF(C:C,1)</f>
        <v>0.92307692307692313</v>
      </c>
      <c r="AU203" s="6">
        <f>COUNTIFS(AJ:AJ,"A",C:C,2)/COUNTIF(C:C,2)</f>
        <v>0.92307692307692313</v>
      </c>
      <c r="AV203" s="6">
        <f>COUNTIFS(AJ:AJ,"A",C:C,3)/COUNTIF(C:C,3)</f>
        <v>1</v>
      </c>
      <c r="AW203" s="6">
        <f>COUNTIFS(AJ:AJ,"A",C:C,4)/COUNTIF(C:C,4)</f>
        <v>0.61538461538461542</v>
      </c>
      <c r="AX203" s="6">
        <f>COUNTIFS(AJ:AJ,"A",C:C,5)/COUNTIF(C:C,5)</f>
        <v>0.84615384615384615</v>
      </c>
      <c r="AY203" s="6">
        <f>COUNTIFS(AJ:AJ,"A",C:C,6)/COUNTIF(C:C,6)</f>
        <v>0.53846153846153844</v>
      </c>
      <c r="AZ203"/>
      <c r="BB203" s="33"/>
      <c r="BC203" s="33"/>
      <c r="BD203" s="33"/>
      <c r="BE203" s="33"/>
      <c r="BF203" s="33"/>
      <c r="BG203" s="33"/>
    </row>
    <row r="204" spans="45:98">
      <c r="AS204" s="6" t="s">
        <v>380</v>
      </c>
      <c r="AT204" s="6">
        <f>COUNTIFS(AJ:AJ,"B",C:C,1)/COUNTIF(C:C,1)</f>
        <v>7.6923076923076927E-2</v>
      </c>
      <c r="AU204" s="6">
        <f>COUNTIFS(AJ:AJ,"B",C:C,2)/COUNTIF(C:C,2)</f>
        <v>7.6923076923076927E-2</v>
      </c>
      <c r="AV204" s="6">
        <f>COUNTIFS(AJ:AJ,"B",C:C,3)/COUNTIF(C:C,3)</f>
        <v>0</v>
      </c>
      <c r="AW204" s="6">
        <f>COUNTIFS(AJ:AJ,"B",C:C,4)/COUNTIF(C:C,4)</f>
        <v>0.38461538461538464</v>
      </c>
      <c r="AX204" s="6">
        <f>COUNTIFS(AJ:AJ,"B",C:C,5)/COUNTIF(C:C,5)</f>
        <v>0.15384615384615385</v>
      </c>
      <c r="AY204" s="6">
        <f>COUNTIFS(AJ:AJ,"B",C:C,6)/COUNTIF(C:C,6)</f>
        <v>0.46153846153846156</v>
      </c>
      <c r="AZ204"/>
      <c r="BA204"/>
      <c r="BB204"/>
      <c r="BC204"/>
      <c r="BD204"/>
      <c r="BE204"/>
      <c r="BF204"/>
      <c r="BI204" s="3"/>
    </row>
    <row r="205" spans="45:98">
      <c r="AZ205"/>
      <c r="BA205"/>
      <c r="BB205"/>
      <c r="BC205"/>
      <c r="BD205"/>
      <c r="BE205"/>
      <c r="BF205"/>
    </row>
    <row r="206" spans="45:98">
      <c r="AS206" s="7" t="s">
        <v>381</v>
      </c>
      <c r="AT206" s="7">
        <v>1</v>
      </c>
      <c r="AU206" s="7">
        <v>2</v>
      </c>
      <c r="AV206" s="7">
        <v>3</v>
      </c>
      <c r="AW206" s="7">
        <v>4</v>
      </c>
      <c r="AX206" s="7">
        <v>5</v>
      </c>
      <c r="AY206" s="7">
        <v>6</v>
      </c>
      <c r="AZ206"/>
      <c r="BA206"/>
      <c r="BB206"/>
      <c r="BC206"/>
      <c r="BD206"/>
      <c r="BE206"/>
      <c r="BF206"/>
      <c r="BI206" s="3"/>
    </row>
    <row r="207" spans="45:98">
      <c r="AS207" s="6" t="s">
        <v>382</v>
      </c>
      <c r="AT207" s="6">
        <f>COUNTIFS(AK:AK,"A",C:C,1)/COUNTIF(C:C,1)</f>
        <v>1</v>
      </c>
      <c r="AU207" s="6">
        <f>COUNTIFS(AK:AK,"A",C:C,2)/COUNTIF(C:C,2)</f>
        <v>1</v>
      </c>
      <c r="AV207" s="6">
        <f>COUNTIFS(AK:AK,"A",C:C,3)/COUNTIF(C:C,3)</f>
        <v>1</v>
      </c>
      <c r="AW207" s="6">
        <f>COUNTIFS(AK:AK,"A",C:C,4)/COUNTIF(C:C,4)</f>
        <v>1</v>
      </c>
      <c r="AX207" s="6">
        <f>COUNTIFS(AK:AK,"A",C:C,5)/COUNTIF(C:C,5)</f>
        <v>1</v>
      </c>
      <c r="AY207" s="6">
        <f>COUNTIFS(AK:AK,"A",C:C,6)/COUNTIF(C:C,6)</f>
        <v>0.46153846153846156</v>
      </c>
      <c r="AZ207"/>
      <c r="BB207" s="33"/>
      <c r="BC207" s="33"/>
      <c r="BD207" s="33"/>
      <c r="BE207" s="33"/>
      <c r="BF207" s="33"/>
      <c r="BG207" s="33"/>
    </row>
    <row r="208" spans="45:98">
      <c r="AS208" s="6" t="s">
        <v>383</v>
      </c>
      <c r="AT208" s="6">
        <f>COUNTIFS(AK:AK,"B",C:C,1)/COUNTIF(C:C,1)</f>
        <v>0</v>
      </c>
      <c r="AU208" s="6">
        <f>COUNTIFS(AK:AK,"B",C:C,2)/COUNTIF(C:C,2)</f>
        <v>0</v>
      </c>
      <c r="AV208" s="6">
        <f>COUNTIFS(AK:AK,"B",C:C,3)/COUNTIF(C:C,3)</f>
        <v>0</v>
      </c>
      <c r="AW208" s="6">
        <f>COUNTIFS(AK:AK,"B",C:C,4)/COUNTIF(C:C,4)</f>
        <v>0</v>
      </c>
      <c r="AX208" s="6">
        <f>COUNTIFS(AK:AK,"B",C:C,5)/COUNTIF(C:C,5)</f>
        <v>0</v>
      </c>
      <c r="AY208" s="6">
        <f>COUNTIFS(AK:AK,"B",C:C,6)/COUNTIF(C:C,6)</f>
        <v>0.53846153846153844</v>
      </c>
      <c r="AZ208"/>
      <c r="BA208"/>
      <c r="BB208"/>
      <c r="BC208"/>
      <c r="BD208"/>
      <c r="BE208"/>
      <c r="BF208"/>
    </row>
    <row r="209" spans="45:98">
      <c r="AZ209"/>
      <c r="BA209"/>
      <c r="BB209"/>
      <c r="BC209"/>
      <c r="BD209"/>
      <c r="BE209"/>
      <c r="BF209"/>
      <c r="BI209" s="75"/>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row>
    <row r="210" spans="45:98">
      <c r="AS210" s="7" t="s">
        <v>384</v>
      </c>
      <c r="AT210" s="7">
        <v>1</v>
      </c>
      <c r="AU210" s="7">
        <v>2</v>
      </c>
      <c r="AV210" s="7">
        <v>3</v>
      </c>
      <c r="AW210" s="7">
        <v>4</v>
      </c>
      <c r="AX210" s="7">
        <v>5</v>
      </c>
      <c r="AY210" s="7">
        <v>6</v>
      </c>
      <c r="AZ210"/>
      <c r="BA210"/>
      <c r="BB210"/>
      <c r="BC210"/>
      <c r="BD210"/>
      <c r="BE210"/>
      <c r="BF210"/>
      <c r="BI210" s="75"/>
    </row>
    <row r="211" spans="45:98">
      <c r="AS211" s="6" t="s">
        <v>385</v>
      </c>
      <c r="AT211" s="6">
        <f>COUNTIFS(AL:AL,"A",C:C,1)/COUNTIF(C:C,1)</f>
        <v>0.69230769230769229</v>
      </c>
      <c r="AU211" s="6">
        <f>COUNTIFS(AL:AL,"A",C:C,2)/COUNTIF(C:C,2)</f>
        <v>0.61538461538461542</v>
      </c>
      <c r="AV211" s="6">
        <f>COUNTIFS(AL:AL,"A",C:C,3)/COUNTIF(C:C,3)</f>
        <v>0.61538461538461542</v>
      </c>
      <c r="AW211" s="6">
        <f>COUNTIFS(AL:AL,"A",C:C,4)/COUNTIF(C:C,4)</f>
        <v>0.53846153846153844</v>
      </c>
      <c r="AX211" s="6">
        <f>COUNTIFS(AL:AL,"A",C:C,5)/COUNTIF(C:C,5)</f>
        <v>0.53846153846153844</v>
      </c>
      <c r="AY211" s="6">
        <f>COUNTIFS(AL:AL,"A",C:C,6)/COUNTIF(C:C,6)</f>
        <v>0.61538461538461542</v>
      </c>
      <c r="AZ211"/>
      <c r="BA211"/>
      <c r="BB211" s="35"/>
      <c r="BC211" s="35"/>
      <c r="BD211" s="35"/>
      <c r="BE211" s="35"/>
      <c r="BF211" s="35"/>
      <c r="BG211" s="35"/>
    </row>
    <row r="212" spans="45:98">
      <c r="AS212" s="6" t="s">
        <v>386</v>
      </c>
      <c r="AT212" s="6">
        <f>COUNTIFS(AL:AL,"B",C:C,1)/COUNTIF(C:C,1)</f>
        <v>0.30769230769230771</v>
      </c>
      <c r="AU212" s="6">
        <f>COUNTIFS(AL:AL,"B",C:C,2)/COUNTIF(C:C,2)</f>
        <v>0.38461538461538464</v>
      </c>
      <c r="AV212" s="6">
        <f>COUNTIFS(AL:AL,"B",C:C,3)/COUNTIF(C:C,3)</f>
        <v>0.38461538461538464</v>
      </c>
      <c r="AW212" s="6">
        <f>COUNTIFS(AL:AL,"B",C:C,4)/COUNTIF(C:C,4)</f>
        <v>0.46153846153846156</v>
      </c>
      <c r="AX212" s="6">
        <f>COUNTIFS(AL:AL,"B",C:C,5)/COUNTIF(C:C,5)</f>
        <v>0.46153846153846156</v>
      </c>
      <c r="AY212" s="6">
        <f>COUNTIFS(AL:AL,"B",C:C,6)/COUNTIF(C:C,6)</f>
        <v>0.38461538461538464</v>
      </c>
      <c r="AZ212"/>
      <c r="BA212"/>
      <c r="BB212"/>
      <c r="BC212"/>
      <c r="BD212"/>
      <c r="BE212"/>
      <c r="BF212"/>
      <c r="BI212" s="3"/>
    </row>
    <row r="213" spans="45:98">
      <c r="AZ213"/>
      <c r="BA213"/>
      <c r="BB213"/>
      <c r="BC213"/>
      <c r="BD213"/>
      <c r="BE213"/>
      <c r="BF213"/>
    </row>
    <row r="214" spans="45:98">
      <c r="AS214" s="7" t="s">
        <v>387</v>
      </c>
      <c r="AT214" s="7">
        <v>1</v>
      </c>
      <c r="AU214" s="7">
        <v>2</v>
      </c>
      <c r="AV214" s="7">
        <v>3</v>
      </c>
      <c r="AW214" s="7">
        <v>4</v>
      </c>
      <c r="AX214" s="7">
        <v>5</v>
      </c>
      <c r="AY214" s="7">
        <v>6</v>
      </c>
      <c r="AZ214"/>
      <c r="BA214"/>
      <c r="BB214"/>
      <c r="BC214"/>
      <c r="BD214"/>
      <c r="BE214"/>
      <c r="BF214"/>
      <c r="BI214" s="3"/>
    </row>
    <row r="215" spans="45:98">
      <c r="AS215" s="6" t="s">
        <v>388</v>
      </c>
      <c r="AT215" s="6">
        <f>COUNTIFS(AM:AM,"A",C:C,1)/COUNTIF(C:C,1)</f>
        <v>0</v>
      </c>
      <c r="AU215" s="6">
        <f>COUNTIFS(AM:AM,"A",C:C,2)/COUNTIF(C:C,2)</f>
        <v>0.23076923076923078</v>
      </c>
      <c r="AV215" s="6">
        <f>COUNTIFS(AM:AM,"A",C:C,3)/COUNTIF(C:C,3)</f>
        <v>0.23076923076923078</v>
      </c>
      <c r="AW215" s="6">
        <f>COUNTIFS(AM:AM,"A",C:C,4)/COUNTIF(C:C,4)</f>
        <v>0</v>
      </c>
      <c r="AX215" s="6">
        <f>COUNTIFS(AM:AM,"A",C:C,5)/COUNTIF(C:C,5)</f>
        <v>0</v>
      </c>
      <c r="AY215" s="6">
        <f>COUNTIFS(AM:AM,"A",C:C,6)/COUNTIF(C:C,6)</f>
        <v>7.6923076923076927E-2</v>
      </c>
      <c r="AZ215"/>
      <c r="BA215"/>
      <c r="BB215" s="35"/>
      <c r="BC215" s="35"/>
      <c r="BD215" s="35"/>
      <c r="BE215" s="35"/>
      <c r="BF215" s="35"/>
      <c r="BG215" s="35"/>
    </row>
    <row r="216" spans="45:98">
      <c r="AS216" s="6" t="s">
        <v>389</v>
      </c>
      <c r="AT216" s="6">
        <f>COUNTIFS(AM:AM,"B",C:C,1)/COUNTIF(C:C,1)</f>
        <v>1</v>
      </c>
      <c r="AU216" s="6">
        <f>COUNTIFS(AM:AM,"B",C:C,2)/COUNTIF(C:C,2)</f>
        <v>0.76923076923076927</v>
      </c>
      <c r="AV216" s="6">
        <f>COUNTIFS(AM:AM,"B",C:C,3)/COUNTIF(C:C,3)</f>
        <v>0.76923076923076927</v>
      </c>
      <c r="AW216" s="6">
        <f>COUNTIFS(AM:AM,"B",C:C,4)/COUNTIF(C:C,4)</f>
        <v>1</v>
      </c>
      <c r="AX216" s="6">
        <f>COUNTIFS(AM:AM,"B",C:C,5)/COUNTIF(C:C,5)</f>
        <v>1</v>
      </c>
      <c r="AY216" s="6">
        <f>COUNTIFS(AM:AM,"B",C:C,6)/COUNTIF(C:C,6)</f>
        <v>0.92307692307692313</v>
      </c>
      <c r="AZ216"/>
      <c r="BA216"/>
      <c r="BB216"/>
      <c r="BC216"/>
      <c r="BD216"/>
      <c r="BE216"/>
      <c r="BF216"/>
      <c r="BI216" s="3"/>
    </row>
    <row r="217" spans="45:98">
      <c r="AZ217"/>
      <c r="BA217"/>
      <c r="BB217"/>
      <c r="BC217"/>
      <c r="BD217"/>
      <c r="BE217"/>
      <c r="BF217"/>
    </row>
    <row r="218" spans="45:98">
      <c r="AZ218"/>
      <c r="BA218"/>
      <c r="BB218"/>
      <c r="BC218"/>
      <c r="BD218"/>
      <c r="BE218"/>
      <c r="BF218"/>
      <c r="BI218" s="3"/>
    </row>
    <row r="219" spans="45:98">
      <c r="AS219" s="42"/>
      <c r="AT219" s="42"/>
      <c r="AU219" s="42"/>
      <c r="AV219" s="42"/>
      <c r="AW219" s="42"/>
      <c r="AX219" s="42"/>
      <c r="AY219" s="23"/>
      <c r="AZ219"/>
      <c r="BA219"/>
      <c r="BB219" s="35"/>
      <c r="BC219" s="35"/>
      <c r="BD219" s="35"/>
      <c r="BE219" s="35"/>
      <c r="BF219" s="35"/>
      <c r="BG219" s="35"/>
    </row>
    <row r="220" spans="45:98">
      <c r="AZ220"/>
      <c r="BA220"/>
      <c r="BB220"/>
      <c r="BC220"/>
      <c r="BD220"/>
      <c r="BE220"/>
      <c r="BF220"/>
      <c r="BI220" s="3"/>
    </row>
    <row r="221" spans="45:98">
      <c r="AZ221"/>
      <c r="BA221"/>
      <c r="BB221"/>
      <c r="BC221"/>
      <c r="BD221"/>
      <c r="BE221"/>
      <c r="BF221"/>
    </row>
    <row r="222" spans="45:98">
      <c r="AZ222"/>
      <c r="BA222"/>
      <c r="BB222"/>
      <c r="BC222"/>
      <c r="BD222"/>
      <c r="BE222"/>
      <c r="BF222"/>
      <c r="BI222" s="3"/>
    </row>
    <row r="223" spans="45:98">
      <c r="AZ223"/>
    </row>
    <row r="224" spans="45:98">
      <c r="BG224" s="19"/>
    </row>
    <row r="225" spans="44:98">
      <c r="AR225" s="42"/>
      <c r="AZ225" s="23"/>
      <c r="BA225" s="23"/>
      <c r="BC225" s="23"/>
      <c r="BG225" s="19"/>
      <c r="BI225" s="75"/>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row>
    <row r="226" spans="44:98">
      <c r="AZ226"/>
      <c r="BA226"/>
      <c r="BG226" s="19"/>
      <c r="BI226" s="75"/>
    </row>
    <row r="227" spans="44:98">
      <c r="AZ227"/>
      <c r="BA227"/>
      <c r="BG227" s="19"/>
    </row>
    <row r="228" spans="44:98">
      <c r="AZ228"/>
      <c r="BA228"/>
      <c r="BG228" s="19"/>
      <c r="BI228" s="3"/>
    </row>
    <row r="229" spans="44:98">
      <c r="AZ229"/>
      <c r="BA229"/>
      <c r="BG229" s="19"/>
    </row>
    <row r="230" spans="44:98">
      <c r="AZ230"/>
      <c r="BA230"/>
      <c r="BG230" s="19"/>
      <c r="BI230" s="3"/>
    </row>
    <row r="231" spans="44:98">
      <c r="AZ231"/>
      <c r="BA231"/>
      <c r="BG231" s="19"/>
    </row>
    <row r="232" spans="44:98">
      <c r="AZ232"/>
      <c r="BA232"/>
      <c r="BG232" s="19"/>
      <c r="BI232" s="3"/>
    </row>
    <row r="233" spans="44:98">
      <c r="AZ233"/>
      <c r="BA233"/>
      <c r="BG233" s="19"/>
    </row>
    <row r="234" spans="44:98">
      <c r="AZ234"/>
      <c r="BA234"/>
      <c r="BG234" s="19"/>
      <c r="BI234" s="3"/>
    </row>
    <row r="235" spans="44:98">
      <c r="AZ235"/>
      <c r="BA235"/>
      <c r="BG235" s="19"/>
    </row>
    <row r="236" spans="44:98">
      <c r="AZ236"/>
      <c r="BA236"/>
      <c r="BG236" s="19"/>
      <c r="BI236" s="3"/>
    </row>
    <row r="237" spans="44:98">
      <c r="AZ237"/>
      <c r="BA237"/>
      <c r="BG237" s="19"/>
    </row>
    <row r="238" spans="44:98">
      <c r="AZ238"/>
      <c r="BA238"/>
      <c r="BG238" s="19"/>
      <c r="BI238" s="3"/>
    </row>
    <row r="239" spans="44:98">
      <c r="AZ239"/>
      <c r="BA239"/>
      <c r="BG239" s="19"/>
    </row>
    <row r="240" spans="44:98">
      <c r="AZ240"/>
      <c r="BA240"/>
      <c r="BG240" s="19"/>
    </row>
    <row r="241" spans="52:98">
      <c r="AZ241"/>
      <c r="BA241"/>
      <c r="BG241" s="19"/>
      <c r="BI241" s="75"/>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row>
    <row r="242" spans="52:98">
      <c r="AZ242"/>
      <c r="BA242"/>
      <c r="BG242" s="19"/>
      <c r="BI242" s="75"/>
    </row>
    <row r="243" spans="52:98">
      <c r="AZ243"/>
      <c r="BA243"/>
      <c r="BG243" s="19"/>
    </row>
    <row r="244" spans="52:98">
      <c r="AZ244"/>
      <c r="BA244"/>
      <c r="BG244" s="19"/>
      <c r="BI244" s="3"/>
    </row>
    <row r="245" spans="52:98">
      <c r="AZ245"/>
      <c r="BA245"/>
      <c r="BG245" s="19"/>
    </row>
    <row r="246" spans="52:98">
      <c r="AZ246"/>
      <c r="BA246"/>
      <c r="BG246" s="19"/>
      <c r="BI246" s="3"/>
    </row>
    <row r="247" spans="52:98">
      <c r="AZ247"/>
      <c r="BA247"/>
      <c r="BG247" s="19"/>
    </row>
    <row r="248" spans="52:98">
      <c r="AZ248"/>
      <c r="BA248"/>
      <c r="BG248" s="19"/>
      <c r="BI248" s="3"/>
    </row>
    <row r="249" spans="52:98">
      <c r="AZ249"/>
      <c r="BA249"/>
    </row>
    <row r="250" spans="52:98">
      <c r="AZ250"/>
      <c r="BA250"/>
      <c r="BI250" s="3"/>
    </row>
    <row r="251" spans="52:98">
      <c r="AZ251"/>
      <c r="BA251"/>
    </row>
    <row r="252" spans="52:98">
      <c r="AZ252"/>
      <c r="BA252"/>
      <c r="BI252" s="3"/>
    </row>
    <row r="253" spans="52:98">
      <c r="AZ253"/>
      <c r="BA253"/>
    </row>
    <row r="254" spans="52:98">
      <c r="AZ254"/>
      <c r="BA254"/>
      <c r="BI254" s="3"/>
    </row>
    <row r="255" spans="52:98">
      <c r="AZ255"/>
      <c r="BA255"/>
    </row>
    <row r="256" spans="52:98">
      <c r="AZ256"/>
      <c r="BA256"/>
    </row>
    <row r="257" spans="52:98">
      <c r="AZ257"/>
      <c r="BA257"/>
      <c r="BI257" s="75"/>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row>
    <row r="258" spans="52:98">
      <c r="AZ258"/>
      <c r="BA258"/>
      <c r="BI258" s="75"/>
    </row>
    <row r="259" spans="52:98">
      <c r="AZ259"/>
      <c r="BA259"/>
    </row>
    <row r="260" spans="52:98">
      <c r="AZ260"/>
      <c r="BA260"/>
      <c r="BI260" s="3"/>
    </row>
    <row r="261" spans="52:98">
      <c r="AZ261"/>
      <c r="BA261"/>
    </row>
    <row r="262" spans="52:98">
      <c r="AZ262"/>
      <c r="BA262"/>
      <c r="BI262" s="3"/>
    </row>
    <row r="263" spans="52:98">
      <c r="AZ263"/>
      <c r="BA263"/>
    </row>
    <row r="264" spans="52:98">
      <c r="AZ264"/>
      <c r="BA264"/>
      <c r="BI264" s="3"/>
    </row>
    <row r="265" spans="52:98">
      <c r="AZ265"/>
      <c r="BA265"/>
    </row>
    <row r="266" spans="52:98">
      <c r="AZ266"/>
      <c r="BA266"/>
      <c r="BI266" s="3"/>
    </row>
    <row r="267" spans="52:98">
      <c r="AZ267"/>
      <c r="BA267"/>
    </row>
    <row r="268" spans="52:98">
      <c r="AZ268"/>
      <c r="BA268"/>
      <c r="BI268" s="3"/>
    </row>
    <row r="269" spans="52:98">
      <c r="AZ269"/>
      <c r="BA269"/>
    </row>
    <row r="270" spans="52:98">
      <c r="AZ270"/>
      <c r="BA270"/>
      <c r="BI270" s="3"/>
    </row>
    <row r="271" spans="52:98">
      <c r="AZ271"/>
      <c r="BA271"/>
    </row>
    <row r="272" spans="52:98">
      <c r="AZ272"/>
      <c r="BA272"/>
    </row>
    <row r="273" spans="44:98">
      <c r="AZ273"/>
      <c r="BA273"/>
      <c r="BI273" s="75"/>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row>
    <row r="274" spans="44:98">
      <c r="AZ274"/>
      <c r="BA274"/>
      <c r="BI274" s="75"/>
    </row>
    <row r="275" spans="44:98">
      <c r="AZ275"/>
      <c r="BA275"/>
    </row>
    <row r="276" spans="44:98">
      <c r="AZ276"/>
      <c r="BA276"/>
      <c r="BI276" s="3"/>
    </row>
    <row r="277" spans="44:98">
      <c r="AZ277"/>
      <c r="BA277"/>
    </row>
    <row r="278" spans="44:98">
      <c r="AZ278"/>
      <c r="BA278"/>
      <c r="BI278" s="3"/>
    </row>
    <row r="279" spans="44:98">
      <c r="AZ279"/>
      <c r="BA279"/>
    </row>
    <row r="280" spans="44:98">
      <c r="AZ280"/>
      <c r="BA280"/>
      <c r="BI280" s="3"/>
    </row>
    <row r="281" spans="44:98">
      <c r="AZ281"/>
      <c r="BA281"/>
    </row>
    <row r="282" spans="44:98">
      <c r="AS282" s="75"/>
      <c r="AT282" s="75"/>
      <c r="AU282" s="75"/>
      <c r="AV282" s="75"/>
      <c r="AW282" s="75"/>
      <c r="AX282" s="75"/>
      <c r="AY282" s="75"/>
      <c r="AZ282"/>
      <c r="BA282"/>
      <c r="BI282" s="3"/>
    </row>
    <row r="283" spans="44:98">
      <c r="AY283" s="75"/>
      <c r="AZ283"/>
      <c r="BA283"/>
    </row>
    <row r="284" spans="44:98">
      <c r="AZ284"/>
      <c r="BA284"/>
      <c r="BI284" s="3"/>
    </row>
    <row r="285" spans="44:98">
      <c r="AZ285"/>
      <c r="BA285"/>
    </row>
    <row r="286" spans="44:98">
      <c r="BI286" s="3"/>
    </row>
    <row r="288" spans="44:98">
      <c r="AR288" s="75"/>
    </row>
    <row r="289" spans="44:98">
      <c r="AR289" s="75"/>
      <c r="BI289" s="75"/>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row>
    <row r="290" spans="44:98">
      <c r="BI290" s="75"/>
    </row>
    <row r="292" spans="44:98">
      <c r="BI292" s="3"/>
    </row>
    <row r="293" spans="44:98">
      <c r="AS293" s="5"/>
    </row>
    <row r="294" spans="44:98">
      <c r="AS294" s="43"/>
      <c r="BI294" s="3"/>
    </row>
    <row r="296" spans="44:98">
      <c r="BI296" s="3"/>
    </row>
    <row r="297" spans="44:98">
      <c r="AS297" s="76"/>
      <c r="AT297" s="76"/>
      <c r="AU297" s="76"/>
      <c r="AV297" s="76"/>
    </row>
    <row r="298" spans="44:98">
      <c r="AS298" s="42"/>
      <c r="AT298" s="42"/>
      <c r="AU298" s="42"/>
      <c r="AV298" s="42"/>
      <c r="BI298" s="3"/>
    </row>
    <row r="299" spans="44:98">
      <c r="AR299" s="5"/>
      <c r="AV299" s="25"/>
      <c r="AZ299"/>
      <c r="BG299" s="19"/>
    </row>
    <row r="300" spans="44:98">
      <c r="AR300" s="5"/>
      <c r="AV300" s="25"/>
      <c r="BI300" s="3"/>
    </row>
    <row r="301" spans="44:98">
      <c r="AV301" s="25"/>
    </row>
    <row r="302" spans="44:98">
      <c r="AV302" s="25"/>
      <c r="BI302" s="3"/>
    </row>
    <row r="303" spans="44:98">
      <c r="AR303" s="5"/>
      <c r="AV303" s="25"/>
    </row>
    <row r="304" spans="44:98">
      <c r="AV304" s="25"/>
    </row>
    <row r="305" spans="44:98">
      <c r="AR305" s="5"/>
      <c r="BI305" s="75"/>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row>
    <row r="306" spans="44:98">
      <c r="AS306" s="76"/>
      <c r="AT306" s="76"/>
      <c r="AU306" s="76"/>
      <c r="AV306" s="76"/>
      <c r="BI306" s="75"/>
    </row>
    <row r="307" spans="44:98">
      <c r="AS307" s="42"/>
      <c r="AT307" s="42"/>
      <c r="AU307" s="42"/>
      <c r="AV307" s="42"/>
    </row>
    <row r="308" spans="44:98">
      <c r="AV308" s="25"/>
      <c r="BI308" s="3"/>
    </row>
    <row r="309" spans="44:98">
      <c r="AV309" s="25"/>
    </row>
    <row r="310" spans="44:98">
      <c r="AV310" s="25"/>
      <c r="BI310" s="3"/>
    </row>
    <row r="311" spans="44:98">
      <c r="AV311" s="25"/>
    </row>
    <row r="312" spans="44:98">
      <c r="AR312" s="5"/>
      <c r="AV312" s="25"/>
      <c r="BI312" s="3"/>
    </row>
    <row r="313" spans="44:98">
      <c r="AV313" s="25"/>
    </row>
    <row r="314" spans="44:98">
      <c r="BI314" s="3"/>
    </row>
    <row r="316" spans="44:98">
      <c r="BI316" s="3"/>
    </row>
    <row r="318" spans="44:98">
      <c r="BI318" s="3"/>
    </row>
    <row r="321" spans="45:98">
      <c r="AS321" s="5"/>
      <c r="BI321" s="75"/>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row>
    <row r="322" spans="45:98">
      <c r="AS322" s="5"/>
      <c r="BI322" s="75"/>
    </row>
    <row r="323" spans="45:98">
      <c r="AS323" s="5"/>
    </row>
    <row r="324" spans="45:98">
      <c r="AS324" s="5"/>
      <c r="BI324" s="3"/>
    </row>
    <row r="325" spans="45:98">
      <c r="AS325" s="5"/>
    </row>
    <row r="326" spans="45:98">
      <c r="AS326" s="5"/>
      <c r="BI326" s="3"/>
    </row>
    <row r="327" spans="45:98">
      <c r="AS327" s="5"/>
    </row>
    <row r="328" spans="45:98">
      <c r="BI328" s="3"/>
    </row>
    <row r="330" spans="45:98">
      <c r="BI330" s="3"/>
    </row>
    <row r="332" spans="45:98">
      <c r="BI332" s="3"/>
    </row>
    <row r="334" spans="45:98">
      <c r="BI334" s="3"/>
    </row>
    <row r="337" spans="52:98">
      <c r="BI337" s="75"/>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row>
    <row r="338" spans="52:98">
      <c r="BI338" s="75"/>
    </row>
    <row r="340" spans="52:98">
      <c r="BI340" s="3"/>
    </row>
    <row r="342" spans="52:98">
      <c r="BI342" s="3"/>
    </row>
    <row r="343" spans="52:98">
      <c r="AZ343"/>
      <c r="BA343"/>
      <c r="BB343"/>
      <c r="BC343"/>
      <c r="BD343"/>
      <c r="BE343"/>
      <c r="BF343"/>
    </row>
    <row r="344" spans="52:98">
      <c r="AZ344"/>
      <c r="BA344"/>
      <c r="BB344"/>
      <c r="BC344"/>
      <c r="BD344"/>
      <c r="BE344"/>
      <c r="BF344"/>
      <c r="BI344" s="3"/>
    </row>
    <row r="345" spans="52:98">
      <c r="AZ345"/>
      <c r="BA345"/>
      <c r="BB345"/>
      <c r="BC345"/>
      <c r="BD345"/>
      <c r="BE345"/>
      <c r="BF345"/>
    </row>
    <row r="346" spans="52:98">
      <c r="AZ346"/>
      <c r="BA346"/>
      <c r="BB346"/>
      <c r="BC346"/>
      <c r="BD346"/>
      <c r="BE346"/>
      <c r="BF346"/>
      <c r="BI346" s="3"/>
    </row>
    <row r="347" spans="52:98">
      <c r="AZ347"/>
      <c r="BA347"/>
      <c r="BB347"/>
      <c r="BC347"/>
      <c r="BD347"/>
      <c r="BE347"/>
      <c r="BF347"/>
    </row>
    <row r="348" spans="52:98">
      <c r="BI348" s="3"/>
    </row>
    <row r="349" spans="52:98">
      <c r="AZ349"/>
      <c r="BA349"/>
      <c r="BB349"/>
      <c r="BC349"/>
      <c r="BD349"/>
      <c r="BE349"/>
      <c r="BF349"/>
    </row>
    <row r="350" spans="52:98">
      <c r="AZ350"/>
      <c r="BA350"/>
      <c r="BB350"/>
      <c r="BC350"/>
      <c r="BD350"/>
      <c r="BE350"/>
      <c r="BF350"/>
      <c r="BI350" s="3"/>
    </row>
    <row r="351" spans="52:98">
      <c r="AZ351"/>
      <c r="BA351"/>
      <c r="BB351"/>
      <c r="BC351"/>
      <c r="BD351"/>
      <c r="BE351"/>
      <c r="BF351"/>
    </row>
    <row r="352" spans="52:98">
      <c r="AZ352"/>
      <c r="BA352"/>
      <c r="BB352"/>
      <c r="BC352"/>
      <c r="BD352"/>
      <c r="BE352"/>
      <c r="BF352"/>
    </row>
    <row r="353" spans="52:98">
      <c r="AZ353"/>
      <c r="BA353"/>
      <c r="BB353"/>
      <c r="BC353"/>
      <c r="BD353"/>
      <c r="BE353"/>
      <c r="BF353"/>
      <c r="BI353" s="75"/>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row>
    <row r="354" spans="52:98">
      <c r="AZ354"/>
      <c r="BA354"/>
      <c r="BB354"/>
      <c r="BC354"/>
      <c r="BD354"/>
      <c r="BE354"/>
      <c r="BF354"/>
      <c r="BI354" s="75"/>
    </row>
    <row r="355" spans="52:98">
      <c r="AZ355"/>
      <c r="BA355"/>
      <c r="BB355"/>
      <c r="BC355"/>
      <c r="BD355"/>
      <c r="BE355"/>
      <c r="BF355"/>
    </row>
    <row r="356" spans="52:98">
      <c r="AZ356"/>
      <c r="BA356"/>
      <c r="BB356"/>
      <c r="BC356"/>
      <c r="BD356"/>
      <c r="BE356"/>
      <c r="BF356"/>
      <c r="BI356" s="3"/>
    </row>
    <row r="357" spans="52:98">
      <c r="AZ357"/>
      <c r="BA357"/>
      <c r="BB357"/>
      <c r="BC357"/>
      <c r="BD357"/>
      <c r="BE357"/>
      <c r="BF357"/>
    </row>
    <row r="358" spans="52:98">
      <c r="AZ358"/>
      <c r="BA358"/>
      <c r="BB358"/>
      <c r="BC358"/>
      <c r="BD358"/>
      <c r="BE358"/>
      <c r="BF358"/>
      <c r="BI358" s="3"/>
    </row>
    <row r="359" spans="52:98">
      <c r="AZ359"/>
      <c r="BA359"/>
      <c r="BB359"/>
      <c r="BC359"/>
      <c r="BD359"/>
      <c r="BE359"/>
      <c r="BF359"/>
    </row>
    <row r="360" spans="52:98">
      <c r="AZ360"/>
      <c r="BA360"/>
      <c r="BB360"/>
      <c r="BC360"/>
      <c r="BD360"/>
      <c r="BE360"/>
      <c r="BF360"/>
      <c r="BI360" s="3"/>
    </row>
    <row r="361" spans="52:98">
      <c r="AZ361"/>
      <c r="BA361"/>
      <c r="BB361"/>
      <c r="BC361"/>
      <c r="BD361"/>
      <c r="BE361"/>
      <c r="BF361"/>
    </row>
    <row r="362" spans="52:98">
      <c r="AZ362"/>
      <c r="BA362"/>
      <c r="BB362"/>
      <c r="BC362"/>
      <c r="BD362"/>
      <c r="BE362"/>
      <c r="BF362"/>
      <c r="BI362" s="3"/>
    </row>
    <row r="363" spans="52:98">
      <c r="AZ363"/>
      <c r="BA363"/>
      <c r="BB363"/>
      <c r="BC363"/>
      <c r="BD363"/>
      <c r="BE363"/>
      <c r="BF363"/>
    </row>
    <row r="364" spans="52:98">
      <c r="BI364" s="3"/>
    </row>
    <row r="365" spans="52:98">
      <c r="AZ365"/>
      <c r="BA365"/>
      <c r="BB365"/>
      <c r="BC365"/>
      <c r="BD365"/>
      <c r="BE365"/>
      <c r="BF365"/>
    </row>
    <row r="366" spans="52:98">
      <c r="AZ366"/>
      <c r="BA366"/>
      <c r="BB366"/>
      <c r="BC366"/>
      <c r="BD366"/>
      <c r="BE366"/>
      <c r="BF366"/>
      <c r="BI366" s="3"/>
    </row>
    <row r="367" spans="52:98">
      <c r="AZ367"/>
      <c r="BA367"/>
      <c r="BB367"/>
      <c r="BC367"/>
      <c r="BD367"/>
      <c r="BE367"/>
      <c r="BF367"/>
    </row>
    <row r="368" spans="52:98">
      <c r="AZ368"/>
      <c r="BA368"/>
      <c r="BB368"/>
      <c r="BC368"/>
      <c r="BD368"/>
      <c r="BE368"/>
      <c r="BF368"/>
    </row>
    <row r="369" spans="52:98">
      <c r="AZ369"/>
      <c r="BA369"/>
      <c r="BB369"/>
      <c r="BC369"/>
      <c r="BD369"/>
      <c r="BE369"/>
      <c r="BF369"/>
      <c r="BI369" s="75"/>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row>
    <row r="370" spans="52:98">
      <c r="AZ370"/>
      <c r="BA370"/>
      <c r="BB370"/>
      <c r="BC370"/>
      <c r="BD370"/>
      <c r="BE370"/>
      <c r="BF370"/>
      <c r="BI370" s="75"/>
    </row>
    <row r="371" spans="52:98">
      <c r="AZ371"/>
      <c r="BA371"/>
      <c r="BB371"/>
      <c r="BC371"/>
      <c r="BD371"/>
      <c r="BE371"/>
      <c r="BF371"/>
    </row>
    <row r="372" spans="52:98">
      <c r="AZ372"/>
      <c r="BA372"/>
      <c r="BB372"/>
      <c r="BC372"/>
      <c r="BD372"/>
      <c r="BE372"/>
      <c r="BF372"/>
      <c r="BI372" s="3"/>
    </row>
    <row r="373" spans="52:98">
      <c r="AZ373"/>
      <c r="BA373"/>
      <c r="BB373"/>
      <c r="BC373"/>
      <c r="BD373"/>
      <c r="BE373"/>
      <c r="BF373"/>
    </row>
    <row r="374" spans="52:98">
      <c r="AZ374"/>
      <c r="BA374"/>
      <c r="BB374"/>
      <c r="BC374"/>
      <c r="BD374"/>
      <c r="BE374"/>
      <c r="BF374"/>
      <c r="BI374" s="3"/>
    </row>
    <row r="375" spans="52:98">
      <c r="AZ375"/>
      <c r="BA375"/>
      <c r="BB375"/>
      <c r="BC375"/>
      <c r="BD375"/>
      <c r="BE375"/>
      <c r="BF375"/>
    </row>
    <row r="376" spans="52:98">
      <c r="AZ376"/>
      <c r="BA376"/>
      <c r="BB376"/>
      <c r="BC376"/>
      <c r="BD376"/>
      <c r="BE376"/>
      <c r="BF376"/>
      <c r="BI376" s="3"/>
    </row>
    <row r="377" spans="52:98">
      <c r="AZ377"/>
      <c r="BA377"/>
      <c r="BB377"/>
      <c r="BC377"/>
      <c r="BD377"/>
      <c r="BE377"/>
      <c r="BF377"/>
    </row>
    <row r="378" spans="52:98">
      <c r="AZ378"/>
      <c r="BA378"/>
      <c r="BB378"/>
      <c r="BC378"/>
      <c r="BD378"/>
      <c r="BE378"/>
      <c r="BF378"/>
      <c r="BI378" s="3"/>
    </row>
    <row r="379" spans="52:98">
      <c r="AZ379"/>
      <c r="BA379"/>
      <c r="BB379"/>
      <c r="BC379"/>
      <c r="BD379"/>
      <c r="BE379"/>
      <c r="BF379"/>
    </row>
    <row r="380" spans="52:98">
      <c r="BI380" s="3"/>
    </row>
    <row r="381" spans="52:98">
      <c r="AZ381"/>
      <c r="BA381"/>
      <c r="BB381"/>
      <c r="BC381"/>
      <c r="BD381"/>
      <c r="BE381"/>
      <c r="BF381"/>
    </row>
    <row r="382" spans="52:98">
      <c r="AZ382"/>
      <c r="BA382"/>
      <c r="BB382"/>
      <c r="BC382"/>
      <c r="BD382"/>
      <c r="BE382"/>
      <c r="BF382"/>
      <c r="BI382" s="3"/>
    </row>
    <row r="383" spans="52:98">
      <c r="AZ383"/>
      <c r="BA383"/>
      <c r="BB383"/>
      <c r="BC383"/>
      <c r="BD383"/>
      <c r="BE383"/>
      <c r="BF383"/>
    </row>
    <row r="384" spans="52:98">
      <c r="AZ384"/>
      <c r="BA384"/>
      <c r="BB384"/>
      <c r="BC384"/>
      <c r="BD384"/>
      <c r="BE384"/>
      <c r="BF384"/>
    </row>
    <row r="385" spans="52:98">
      <c r="AZ385"/>
      <c r="BA385"/>
      <c r="BB385"/>
      <c r="BC385"/>
      <c r="BD385"/>
      <c r="BE385"/>
      <c r="BF385"/>
      <c r="BI385" s="75"/>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row>
    <row r="386" spans="52:98">
      <c r="AZ386"/>
      <c r="BA386"/>
      <c r="BB386"/>
      <c r="BC386"/>
      <c r="BD386"/>
      <c r="BE386"/>
      <c r="BF386"/>
      <c r="BI386" s="75"/>
    </row>
    <row r="387" spans="52:98">
      <c r="AZ387"/>
      <c r="BA387"/>
      <c r="BB387"/>
      <c r="BC387"/>
      <c r="BD387"/>
      <c r="BE387"/>
      <c r="BF387"/>
    </row>
    <row r="388" spans="52:98">
      <c r="AZ388"/>
      <c r="BA388"/>
      <c r="BB388"/>
      <c r="BC388"/>
      <c r="BD388"/>
      <c r="BE388"/>
      <c r="BF388"/>
      <c r="BI388" s="3"/>
    </row>
    <row r="389" spans="52:98">
      <c r="AZ389"/>
      <c r="BA389"/>
      <c r="BB389"/>
      <c r="BC389"/>
      <c r="BD389"/>
      <c r="BE389"/>
      <c r="BF389"/>
    </row>
    <row r="390" spans="52:98">
      <c r="AZ390"/>
      <c r="BA390"/>
      <c r="BB390"/>
      <c r="BC390"/>
      <c r="BD390"/>
      <c r="BE390"/>
      <c r="BF390"/>
      <c r="BI390" s="3"/>
    </row>
    <row r="391" spans="52:98">
      <c r="AZ391"/>
      <c r="BA391"/>
      <c r="BB391"/>
      <c r="BC391"/>
      <c r="BD391"/>
      <c r="BE391"/>
      <c r="BF391"/>
    </row>
    <row r="392" spans="52:98">
      <c r="AZ392"/>
      <c r="BA392"/>
      <c r="BB392"/>
      <c r="BC392"/>
      <c r="BD392"/>
      <c r="BE392"/>
      <c r="BF392"/>
      <c r="BI392" s="3"/>
    </row>
    <row r="393" spans="52:98">
      <c r="AZ393"/>
      <c r="BA393"/>
      <c r="BB393"/>
      <c r="BC393"/>
      <c r="BD393"/>
      <c r="BE393"/>
      <c r="BF393"/>
    </row>
    <row r="394" spans="52:98">
      <c r="AZ394"/>
      <c r="BA394"/>
      <c r="BB394"/>
      <c r="BC394"/>
      <c r="BD394"/>
      <c r="BE394"/>
      <c r="BF394"/>
      <c r="BI394" s="3"/>
    </row>
    <row r="395" spans="52:98">
      <c r="AZ395"/>
      <c r="BA395"/>
      <c r="BB395"/>
      <c r="BC395"/>
      <c r="BD395"/>
      <c r="BE395"/>
      <c r="BF395"/>
    </row>
    <row r="396" spans="52:98">
      <c r="BI396" s="3"/>
    </row>
    <row r="397" spans="52:98">
      <c r="AZ397"/>
      <c r="BA397"/>
      <c r="BB397"/>
      <c r="BC397"/>
      <c r="BD397"/>
      <c r="BE397"/>
      <c r="BF397"/>
    </row>
    <row r="398" spans="52:98">
      <c r="AZ398"/>
      <c r="BA398"/>
      <c r="BB398"/>
      <c r="BC398"/>
      <c r="BD398"/>
      <c r="BE398"/>
      <c r="BF398"/>
      <c r="BI398" s="3"/>
    </row>
    <row r="399" spans="52:98">
      <c r="AZ399"/>
      <c r="BA399"/>
      <c r="BB399"/>
      <c r="BC399"/>
      <c r="BD399"/>
      <c r="BE399"/>
      <c r="BF399"/>
    </row>
    <row r="400" spans="52:98">
      <c r="AZ400"/>
      <c r="BA400"/>
      <c r="BB400"/>
      <c r="BC400"/>
      <c r="BD400"/>
      <c r="BE400"/>
      <c r="BF400"/>
    </row>
    <row r="401" spans="52:98">
      <c r="AZ401"/>
      <c r="BA401"/>
      <c r="BB401"/>
      <c r="BC401"/>
      <c r="BD401"/>
      <c r="BE401"/>
      <c r="BF401"/>
      <c r="BI401" s="75"/>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row>
    <row r="402" spans="52:98">
      <c r="AZ402"/>
      <c r="BA402"/>
      <c r="BB402"/>
      <c r="BC402"/>
      <c r="BD402"/>
      <c r="BE402"/>
      <c r="BF402"/>
      <c r="BI402" s="75"/>
    </row>
    <row r="403" spans="52:98">
      <c r="AZ403"/>
      <c r="BA403"/>
      <c r="BB403"/>
      <c r="BC403"/>
      <c r="BD403"/>
      <c r="BE403"/>
      <c r="BF403"/>
    </row>
    <row r="404" spans="52:98">
      <c r="AZ404"/>
      <c r="BA404"/>
      <c r="BB404"/>
      <c r="BC404"/>
      <c r="BD404"/>
      <c r="BE404"/>
      <c r="BF404"/>
      <c r="BI404" s="3"/>
    </row>
    <row r="405" spans="52:98">
      <c r="AZ405"/>
      <c r="BA405"/>
      <c r="BB405"/>
      <c r="BC405"/>
      <c r="BD405"/>
      <c r="BE405"/>
      <c r="BF405"/>
    </row>
    <row r="406" spans="52:98">
      <c r="AZ406"/>
      <c r="BA406"/>
      <c r="BB406"/>
      <c r="BC406"/>
      <c r="BD406"/>
      <c r="BE406"/>
      <c r="BF406"/>
      <c r="BI406" s="3"/>
    </row>
    <row r="407" spans="52:98">
      <c r="AZ407"/>
      <c r="BA407"/>
      <c r="BB407"/>
      <c r="BC407"/>
      <c r="BD407"/>
      <c r="BE407"/>
      <c r="BF407"/>
    </row>
    <row r="408" spans="52:98">
      <c r="AZ408"/>
      <c r="BA408"/>
      <c r="BB408"/>
      <c r="BC408"/>
      <c r="BD408"/>
      <c r="BE408"/>
      <c r="BF408"/>
      <c r="BI408" s="3"/>
    </row>
    <row r="409" spans="52:98">
      <c r="AZ409"/>
      <c r="BA409"/>
      <c r="BB409"/>
      <c r="BC409"/>
      <c r="BD409"/>
      <c r="BE409"/>
      <c r="BF409"/>
    </row>
    <row r="410" spans="52:98">
      <c r="AZ410"/>
      <c r="BA410"/>
      <c r="BB410"/>
      <c r="BC410"/>
      <c r="BD410"/>
      <c r="BE410"/>
      <c r="BF410"/>
      <c r="BI410" s="3"/>
    </row>
    <row r="411" spans="52:98">
      <c r="AZ411"/>
      <c r="BA411"/>
      <c r="BB411"/>
      <c r="BC411"/>
      <c r="BD411"/>
      <c r="BE411"/>
      <c r="BF411"/>
    </row>
    <row r="412" spans="52:98">
      <c r="BI412" s="3"/>
    </row>
    <row r="413" spans="52:98">
      <c r="AZ413"/>
      <c r="BA413"/>
      <c r="BB413"/>
      <c r="BC413"/>
      <c r="BD413"/>
      <c r="BE413"/>
      <c r="BF413"/>
    </row>
    <row r="414" spans="52:98">
      <c r="AZ414"/>
      <c r="BA414"/>
      <c r="BB414"/>
      <c r="BC414"/>
      <c r="BD414"/>
      <c r="BE414"/>
      <c r="BF414"/>
      <c r="BI414" s="3"/>
    </row>
    <row r="415" spans="52:98">
      <c r="AZ415"/>
      <c r="BA415"/>
      <c r="BB415"/>
      <c r="BC415"/>
      <c r="BD415"/>
      <c r="BE415"/>
      <c r="BF415"/>
    </row>
    <row r="416" spans="52:98">
      <c r="AZ416"/>
      <c r="BA416"/>
      <c r="BB416"/>
      <c r="BC416"/>
      <c r="BD416"/>
      <c r="BE416"/>
      <c r="BF416"/>
    </row>
    <row r="417" spans="52:98">
      <c r="AZ417"/>
      <c r="BA417"/>
      <c r="BB417"/>
      <c r="BC417"/>
      <c r="BD417"/>
      <c r="BE417"/>
      <c r="BF417"/>
      <c r="BI417" s="75"/>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row>
    <row r="418" spans="52:98">
      <c r="AZ418"/>
      <c r="BA418"/>
      <c r="BB418"/>
      <c r="BC418"/>
      <c r="BD418"/>
      <c r="BE418"/>
      <c r="BF418"/>
      <c r="BI418" s="75"/>
    </row>
    <row r="419" spans="52:98">
      <c r="AZ419"/>
      <c r="BA419"/>
      <c r="BB419"/>
      <c r="BC419"/>
      <c r="BD419"/>
      <c r="BE419"/>
      <c r="BF419"/>
    </row>
    <row r="420" spans="52:98">
      <c r="AZ420"/>
      <c r="BA420"/>
      <c r="BB420"/>
      <c r="BC420"/>
      <c r="BD420"/>
      <c r="BE420"/>
      <c r="BF420"/>
      <c r="BI420" s="3"/>
    </row>
    <row r="421" spans="52:98">
      <c r="AZ421"/>
      <c r="BA421"/>
      <c r="BB421"/>
      <c r="BC421"/>
      <c r="BD421"/>
      <c r="BE421"/>
      <c r="BF421"/>
    </row>
    <row r="422" spans="52:98">
      <c r="AZ422"/>
      <c r="BA422"/>
      <c r="BB422"/>
      <c r="BC422"/>
      <c r="BD422"/>
      <c r="BE422"/>
      <c r="BF422"/>
      <c r="BI422" s="3"/>
    </row>
    <row r="423" spans="52:98">
      <c r="AZ423"/>
      <c r="BA423"/>
      <c r="BB423"/>
      <c r="BC423"/>
      <c r="BD423"/>
      <c r="BE423"/>
      <c r="BF423"/>
    </row>
    <row r="424" spans="52:98">
      <c r="AZ424"/>
      <c r="BA424"/>
      <c r="BB424"/>
      <c r="BC424"/>
      <c r="BD424"/>
      <c r="BE424"/>
      <c r="BF424"/>
      <c r="BI424" s="3"/>
    </row>
    <row r="425" spans="52:98">
      <c r="AZ425"/>
      <c r="BA425"/>
      <c r="BB425"/>
      <c r="BC425"/>
      <c r="BD425"/>
      <c r="BE425"/>
      <c r="BF425"/>
    </row>
    <row r="426" spans="52:98">
      <c r="AZ426"/>
      <c r="BA426"/>
      <c r="BB426"/>
      <c r="BC426"/>
      <c r="BD426"/>
      <c r="BE426"/>
      <c r="BF426"/>
      <c r="BI426" s="3"/>
    </row>
    <row r="427" spans="52:98">
      <c r="AZ427"/>
      <c r="BA427"/>
      <c r="BB427"/>
      <c r="BC427"/>
      <c r="BD427"/>
      <c r="BE427"/>
      <c r="BF427"/>
    </row>
    <row r="428" spans="52:98">
      <c r="BI428" s="3"/>
    </row>
    <row r="429" spans="52:98">
      <c r="AZ429"/>
      <c r="BA429"/>
      <c r="BB429"/>
      <c r="BC429"/>
      <c r="BD429"/>
      <c r="BE429"/>
      <c r="BF429"/>
    </row>
    <row r="430" spans="52:98">
      <c r="AZ430"/>
      <c r="BA430"/>
      <c r="BB430"/>
      <c r="BC430"/>
      <c r="BD430"/>
      <c r="BE430"/>
      <c r="BF430"/>
      <c r="BI430" s="3"/>
    </row>
    <row r="431" spans="52:98">
      <c r="AZ431"/>
      <c r="BA431"/>
      <c r="BB431"/>
      <c r="BC431"/>
      <c r="BD431"/>
      <c r="BE431"/>
      <c r="BF431"/>
    </row>
    <row r="432" spans="52:98">
      <c r="AZ432"/>
      <c r="BA432"/>
      <c r="BB432"/>
      <c r="BC432"/>
      <c r="BD432"/>
      <c r="BE432"/>
      <c r="BF432"/>
    </row>
    <row r="433" spans="52:98">
      <c r="AZ433"/>
      <c r="BA433"/>
      <c r="BB433"/>
      <c r="BC433"/>
      <c r="BD433"/>
      <c r="BE433"/>
      <c r="BF433"/>
      <c r="BI433" s="75"/>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row>
    <row r="434" spans="52:98">
      <c r="AZ434"/>
      <c r="BA434"/>
      <c r="BB434"/>
      <c r="BC434"/>
      <c r="BD434"/>
      <c r="BE434"/>
      <c r="BF434"/>
      <c r="BI434" s="75"/>
    </row>
    <row r="435" spans="52:98">
      <c r="AZ435"/>
      <c r="BA435"/>
      <c r="BB435"/>
      <c r="BC435"/>
      <c r="BD435"/>
      <c r="BE435"/>
      <c r="BF435"/>
    </row>
    <row r="436" spans="52:98">
      <c r="AZ436"/>
      <c r="BA436"/>
      <c r="BB436"/>
      <c r="BC436"/>
      <c r="BD436"/>
      <c r="BE436"/>
      <c r="BF436"/>
      <c r="BI436" s="3"/>
    </row>
    <row r="437" spans="52:98">
      <c r="AZ437"/>
      <c r="BA437"/>
      <c r="BB437"/>
      <c r="BC437"/>
      <c r="BD437"/>
      <c r="BE437"/>
      <c r="BF437"/>
    </row>
    <row r="438" spans="52:98">
      <c r="AZ438"/>
      <c r="BA438"/>
      <c r="BB438"/>
      <c r="BC438"/>
      <c r="BD438"/>
      <c r="BE438"/>
      <c r="BF438"/>
      <c r="BI438" s="3"/>
    </row>
    <row r="439" spans="52:98">
      <c r="AZ439"/>
      <c r="BA439"/>
      <c r="BB439"/>
      <c r="BC439"/>
      <c r="BD439"/>
      <c r="BE439"/>
      <c r="BF439"/>
    </row>
    <row r="440" spans="52:98">
      <c r="AZ440"/>
      <c r="BA440"/>
      <c r="BB440"/>
      <c r="BC440"/>
      <c r="BD440"/>
      <c r="BE440"/>
      <c r="BF440"/>
      <c r="BI440" s="3"/>
    </row>
    <row r="441" spans="52:98">
      <c r="AZ441"/>
      <c r="BA441"/>
      <c r="BB441"/>
      <c r="BC441"/>
      <c r="BD441"/>
      <c r="BE441"/>
      <c r="BF441"/>
    </row>
    <row r="442" spans="52:98">
      <c r="AZ442"/>
      <c r="BA442"/>
      <c r="BB442"/>
      <c r="BC442"/>
      <c r="BD442"/>
      <c r="BE442"/>
      <c r="BF442"/>
      <c r="BI442" s="3"/>
    </row>
    <row r="443" spans="52:98">
      <c r="AZ443"/>
      <c r="BA443"/>
      <c r="BB443"/>
      <c r="BC443"/>
      <c r="BD443"/>
      <c r="BE443"/>
      <c r="BF443"/>
    </row>
    <row r="444" spans="52:98">
      <c r="BI444" s="3"/>
    </row>
    <row r="445" spans="52:98">
      <c r="AZ445"/>
      <c r="BA445"/>
      <c r="BB445"/>
      <c r="BC445"/>
      <c r="BD445"/>
      <c r="BE445"/>
      <c r="BF445"/>
    </row>
    <row r="446" spans="52:98">
      <c r="AZ446"/>
      <c r="BA446"/>
      <c r="BB446"/>
      <c r="BC446"/>
      <c r="BD446"/>
      <c r="BE446"/>
      <c r="BF446"/>
      <c r="BI446" s="3"/>
    </row>
    <row r="447" spans="52:98">
      <c r="AZ447"/>
      <c r="BA447"/>
      <c r="BB447"/>
      <c r="BC447"/>
      <c r="BD447"/>
      <c r="BE447"/>
      <c r="BF447"/>
    </row>
    <row r="448" spans="52:98">
      <c r="AZ448"/>
      <c r="BA448"/>
      <c r="BB448"/>
      <c r="BC448"/>
      <c r="BD448"/>
      <c r="BE448"/>
      <c r="BF448"/>
    </row>
    <row r="449" spans="52:98">
      <c r="AZ449"/>
      <c r="BA449"/>
      <c r="BB449"/>
      <c r="BC449"/>
      <c r="BD449"/>
      <c r="BE449"/>
      <c r="BF449"/>
      <c r="BI449" s="75"/>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row>
    <row r="450" spans="52:98">
      <c r="AZ450"/>
      <c r="BA450"/>
      <c r="BB450"/>
      <c r="BC450"/>
      <c r="BD450"/>
      <c r="BE450"/>
      <c r="BF450"/>
      <c r="BI450" s="75"/>
    </row>
    <row r="451" spans="52:98">
      <c r="AZ451"/>
      <c r="BA451"/>
      <c r="BB451"/>
      <c r="BC451"/>
      <c r="BD451"/>
      <c r="BE451"/>
      <c r="BF451"/>
    </row>
    <row r="452" spans="52:98">
      <c r="AZ452"/>
      <c r="BA452"/>
      <c r="BB452"/>
      <c r="BC452"/>
      <c r="BD452"/>
      <c r="BE452"/>
      <c r="BF452"/>
      <c r="BI452" s="3"/>
    </row>
    <row r="453" spans="52:98">
      <c r="AZ453"/>
      <c r="BA453"/>
      <c r="BB453"/>
      <c r="BC453"/>
      <c r="BD453"/>
      <c r="BE453"/>
      <c r="BF453"/>
    </row>
    <row r="454" spans="52:98">
      <c r="AZ454"/>
      <c r="BA454"/>
      <c r="BB454"/>
      <c r="BC454"/>
      <c r="BD454"/>
      <c r="BE454"/>
      <c r="BF454"/>
      <c r="BI454" s="3"/>
    </row>
    <row r="455" spans="52:98">
      <c r="AZ455"/>
      <c r="BA455"/>
      <c r="BB455"/>
      <c r="BC455"/>
      <c r="BD455"/>
      <c r="BE455"/>
      <c r="BF455"/>
    </row>
    <row r="456" spans="52:98">
      <c r="AZ456"/>
      <c r="BA456"/>
      <c r="BB456"/>
      <c r="BC456"/>
      <c r="BD456"/>
      <c r="BE456"/>
      <c r="BF456"/>
      <c r="BI456" s="3"/>
    </row>
    <row r="457" spans="52:98">
      <c r="AZ457"/>
      <c r="BA457"/>
      <c r="BB457"/>
      <c r="BC457"/>
      <c r="BD457"/>
      <c r="BE457"/>
      <c r="BF457"/>
    </row>
    <row r="458" spans="52:98">
      <c r="AZ458"/>
      <c r="BA458"/>
      <c r="BB458"/>
      <c r="BC458"/>
      <c r="BD458"/>
      <c r="BE458"/>
      <c r="BF458"/>
      <c r="BI458" s="3"/>
    </row>
    <row r="459" spans="52:98">
      <c r="AZ459"/>
      <c r="BA459"/>
      <c r="BB459"/>
      <c r="BC459"/>
      <c r="BD459"/>
      <c r="BE459"/>
      <c r="BF459"/>
    </row>
    <row r="460" spans="52:98">
      <c r="BI460" s="3"/>
    </row>
    <row r="461" spans="52:98">
      <c r="AZ461"/>
      <c r="BA461"/>
      <c r="BB461"/>
      <c r="BC461"/>
      <c r="BD461"/>
      <c r="BE461"/>
      <c r="BF461"/>
    </row>
    <row r="462" spans="52:98">
      <c r="AZ462"/>
      <c r="BA462"/>
      <c r="BB462"/>
      <c r="BC462"/>
      <c r="BD462"/>
      <c r="BE462"/>
      <c r="BF462"/>
      <c r="BI462" s="3"/>
    </row>
    <row r="463" spans="52:98">
      <c r="AZ463"/>
      <c r="BA463"/>
      <c r="BB463"/>
      <c r="BC463"/>
      <c r="BD463"/>
      <c r="BE463"/>
      <c r="BF463"/>
    </row>
    <row r="464" spans="52:98">
      <c r="AZ464"/>
      <c r="BA464"/>
      <c r="BB464"/>
      <c r="BC464"/>
      <c r="BD464"/>
      <c r="BE464"/>
      <c r="BF464"/>
    </row>
    <row r="465" spans="52:98">
      <c r="AZ465"/>
      <c r="BA465"/>
      <c r="BB465"/>
      <c r="BC465"/>
      <c r="BD465"/>
      <c r="BE465"/>
      <c r="BF465"/>
      <c r="BI465" s="75"/>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row>
    <row r="466" spans="52:98">
      <c r="AZ466"/>
      <c r="BA466"/>
      <c r="BB466"/>
      <c r="BC466"/>
      <c r="BD466"/>
      <c r="BE466"/>
      <c r="BF466"/>
      <c r="BI466" s="75"/>
    </row>
    <row r="467" spans="52:98">
      <c r="AZ467"/>
      <c r="BA467"/>
      <c r="BB467"/>
      <c r="BC467"/>
      <c r="BD467"/>
      <c r="BE467"/>
      <c r="BF467"/>
    </row>
    <row r="468" spans="52:98">
      <c r="AZ468"/>
      <c r="BA468"/>
      <c r="BB468"/>
      <c r="BC468"/>
      <c r="BD468"/>
      <c r="BE468"/>
      <c r="BF468"/>
      <c r="BI468" s="3"/>
    </row>
    <row r="469" spans="52:98">
      <c r="AZ469"/>
      <c r="BA469"/>
      <c r="BB469"/>
      <c r="BC469"/>
      <c r="BD469"/>
      <c r="BE469"/>
      <c r="BF469"/>
    </row>
    <row r="470" spans="52:98">
      <c r="AZ470"/>
      <c r="BA470"/>
      <c r="BB470"/>
      <c r="BC470"/>
      <c r="BD470"/>
      <c r="BE470"/>
      <c r="BF470"/>
      <c r="BI470" s="3"/>
    </row>
    <row r="471" spans="52:98">
      <c r="AZ471"/>
      <c r="BA471"/>
      <c r="BB471"/>
      <c r="BC471"/>
      <c r="BD471"/>
      <c r="BE471"/>
      <c r="BF471"/>
    </row>
    <row r="472" spans="52:98">
      <c r="AZ472"/>
      <c r="BA472"/>
      <c r="BB472"/>
      <c r="BC472"/>
      <c r="BD472"/>
      <c r="BE472"/>
      <c r="BF472"/>
      <c r="BI472" s="3"/>
    </row>
    <row r="473" spans="52:98">
      <c r="AZ473"/>
      <c r="BA473"/>
      <c r="BB473"/>
      <c r="BC473"/>
      <c r="BD473"/>
      <c r="BE473"/>
      <c r="BF473"/>
    </row>
    <row r="474" spans="52:98">
      <c r="AZ474"/>
      <c r="BA474"/>
      <c r="BB474"/>
      <c r="BC474"/>
      <c r="BD474"/>
      <c r="BE474"/>
      <c r="BF474"/>
      <c r="BI474" s="3"/>
    </row>
    <row r="475" spans="52:98">
      <c r="AZ475"/>
      <c r="BA475"/>
      <c r="BB475"/>
      <c r="BC475"/>
      <c r="BD475"/>
      <c r="BE475"/>
      <c r="BF475"/>
    </row>
    <row r="476" spans="52:98">
      <c r="BI476" s="3"/>
    </row>
    <row r="477" spans="52:98">
      <c r="AZ477"/>
      <c r="BA477"/>
      <c r="BB477"/>
      <c r="BC477"/>
      <c r="BD477"/>
      <c r="BE477"/>
      <c r="BF477"/>
    </row>
    <row r="478" spans="52:98">
      <c r="AZ478"/>
      <c r="BA478"/>
      <c r="BB478"/>
      <c r="BC478"/>
      <c r="BD478"/>
      <c r="BE478"/>
      <c r="BF478"/>
      <c r="BI478" s="3"/>
    </row>
    <row r="479" spans="52:98">
      <c r="AZ479"/>
      <c r="BA479"/>
      <c r="BB479"/>
      <c r="BC479"/>
      <c r="BD479"/>
      <c r="BE479"/>
      <c r="BF479"/>
    </row>
    <row r="480" spans="52:98">
      <c r="AZ480"/>
      <c r="BA480"/>
      <c r="BB480"/>
      <c r="BC480"/>
      <c r="BD480"/>
      <c r="BE480"/>
      <c r="BF480"/>
    </row>
    <row r="481" spans="52:98">
      <c r="AZ481"/>
      <c r="BA481"/>
      <c r="BB481"/>
      <c r="BC481"/>
      <c r="BD481"/>
      <c r="BE481"/>
      <c r="BF481"/>
      <c r="BI481" s="75"/>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row>
    <row r="482" spans="52:98">
      <c r="AZ482"/>
      <c r="BA482"/>
      <c r="BB482"/>
      <c r="BC482"/>
      <c r="BD482"/>
      <c r="BE482"/>
      <c r="BF482"/>
      <c r="BI482" s="75"/>
    </row>
    <row r="483" spans="52:98">
      <c r="AZ483"/>
      <c r="BA483"/>
      <c r="BB483"/>
      <c r="BC483"/>
      <c r="BD483"/>
      <c r="BE483"/>
      <c r="BF483"/>
    </row>
    <row r="484" spans="52:98">
      <c r="AZ484"/>
      <c r="BA484"/>
      <c r="BB484"/>
      <c r="BC484"/>
      <c r="BD484"/>
      <c r="BE484"/>
      <c r="BF484"/>
      <c r="BI484" s="3"/>
    </row>
    <row r="485" spans="52:98">
      <c r="AZ485"/>
      <c r="BA485"/>
      <c r="BB485"/>
      <c r="BC485"/>
      <c r="BD485"/>
      <c r="BE485"/>
      <c r="BF485"/>
    </row>
    <row r="486" spans="52:98">
      <c r="AZ486"/>
      <c r="BA486"/>
      <c r="BB486"/>
      <c r="BC486"/>
      <c r="BD486"/>
      <c r="BE486"/>
      <c r="BF486"/>
      <c r="BI486" s="3"/>
    </row>
    <row r="487" spans="52:98">
      <c r="AZ487"/>
      <c r="BA487"/>
      <c r="BB487"/>
      <c r="BC487"/>
      <c r="BD487"/>
      <c r="BE487"/>
      <c r="BF487"/>
    </row>
    <row r="488" spans="52:98">
      <c r="AZ488"/>
      <c r="BA488"/>
      <c r="BB488"/>
      <c r="BC488"/>
      <c r="BD488"/>
      <c r="BE488"/>
      <c r="BF488"/>
      <c r="BI488" s="3"/>
    </row>
    <row r="489" spans="52:98">
      <c r="AZ489"/>
      <c r="BA489"/>
      <c r="BB489"/>
      <c r="BC489"/>
      <c r="BD489"/>
      <c r="BE489"/>
      <c r="BF489"/>
    </row>
    <row r="490" spans="52:98">
      <c r="AZ490"/>
      <c r="BA490"/>
      <c r="BB490"/>
      <c r="BC490"/>
      <c r="BD490"/>
      <c r="BE490"/>
      <c r="BF490"/>
      <c r="BI490" s="3"/>
    </row>
    <row r="491" spans="52:98">
      <c r="AZ491"/>
      <c r="BA491"/>
      <c r="BB491"/>
      <c r="BC491"/>
      <c r="BD491"/>
      <c r="BE491"/>
      <c r="BF491"/>
    </row>
    <row r="492" spans="52:98">
      <c r="BI492" s="3"/>
    </row>
    <row r="493" spans="52:98">
      <c r="AZ493"/>
      <c r="BA493"/>
      <c r="BB493"/>
      <c r="BC493"/>
      <c r="BD493"/>
      <c r="BE493"/>
      <c r="BF493"/>
    </row>
    <row r="494" spans="52:98">
      <c r="AZ494"/>
      <c r="BA494"/>
      <c r="BB494"/>
      <c r="BC494"/>
      <c r="BD494"/>
      <c r="BE494"/>
      <c r="BF494"/>
      <c r="BI494" s="3"/>
    </row>
    <row r="495" spans="52:98">
      <c r="AZ495"/>
      <c r="BA495"/>
      <c r="BB495"/>
      <c r="BC495"/>
      <c r="BD495"/>
      <c r="BE495"/>
      <c r="BF495"/>
    </row>
    <row r="496" spans="52:98">
      <c r="AZ496"/>
      <c r="BA496"/>
      <c r="BB496"/>
      <c r="BC496"/>
      <c r="BD496"/>
      <c r="BE496"/>
      <c r="BF496"/>
    </row>
    <row r="497" spans="52:98">
      <c r="AZ497"/>
      <c r="BA497"/>
      <c r="BB497"/>
      <c r="BC497"/>
      <c r="BD497"/>
      <c r="BE497"/>
      <c r="BF497"/>
      <c r="BI497" s="75"/>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row>
    <row r="498" spans="52:98">
      <c r="AZ498"/>
      <c r="BA498"/>
      <c r="BB498"/>
      <c r="BC498"/>
      <c r="BD498"/>
      <c r="BE498"/>
      <c r="BF498"/>
      <c r="BI498" s="75"/>
    </row>
    <row r="499" spans="52:98">
      <c r="AZ499"/>
      <c r="BA499"/>
      <c r="BB499"/>
      <c r="BC499"/>
      <c r="BD499"/>
      <c r="BE499"/>
      <c r="BF499"/>
    </row>
    <row r="500" spans="52:98">
      <c r="AZ500"/>
      <c r="BA500"/>
      <c r="BB500"/>
      <c r="BC500"/>
      <c r="BD500"/>
      <c r="BE500"/>
      <c r="BF500"/>
      <c r="BI500" s="3"/>
    </row>
    <row r="501" spans="52:98">
      <c r="AZ501"/>
      <c r="BA501"/>
      <c r="BB501"/>
      <c r="BC501"/>
      <c r="BD501"/>
      <c r="BE501"/>
      <c r="BF501"/>
    </row>
    <row r="502" spans="52:98">
      <c r="AZ502"/>
      <c r="BA502"/>
      <c r="BB502"/>
      <c r="BC502"/>
      <c r="BD502"/>
      <c r="BE502"/>
      <c r="BF502"/>
      <c r="BI502" s="3"/>
    </row>
    <row r="503" spans="52:98">
      <c r="AZ503"/>
      <c r="BA503"/>
      <c r="BB503"/>
      <c r="BC503"/>
      <c r="BD503"/>
      <c r="BE503"/>
      <c r="BF503"/>
    </row>
    <row r="504" spans="52:98">
      <c r="AZ504"/>
      <c r="BA504"/>
      <c r="BB504"/>
      <c r="BC504"/>
      <c r="BD504"/>
      <c r="BE504"/>
      <c r="BF504"/>
      <c r="BI504" s="3"/>
    </row>
    <row r="505" spans="52:98">
      <c r="AZ505"/>
      <c r="BA505"/>
      <c r="BB505"/>
      <c r="BC505"/>
      <c r="BD505"/>
      <c r="BE505"/>
      <c r="BF505"/>
    </row>
    <row r="506" spans="52:98">
      <c r="AZ506"/>
      <c r="BA506"/>
      <c r="BB506"/>
      <c r="BC506"/>
      <c r="BD506"/>
      <c r="BE506"/>
      <c r="BF506"/>
      <c r="BI506" s="3"/>
    </row>
    <row r="507" spans="52:98">
      <c r="AZ507"/>
      <c r="BA507"/>
      <c r="BB507"/>
      <c r="BC507"/>
      <c r="BD507"/>
      <c r="BE507"/>
      <c r="BF507"/>
    </row>
    <row r="508" spans="52:98">
      <c r="BI508" s="3"/>
    </row>
    <row r="509" spans="52:98">
      <c r="AZ509"/>
      <c r="BA509"/>
      <c r="BB509"/>
      <c r="BC509"/>
      <c r="BD509"/>
      <c r="BE509"/>
      <c r="BF509"/>
    </row>
    <row r="510" spans="52:98">
      <c r="AZ510"/>
      <c r="BA510"/>
      <c r="BB510"/>
      <c r="BC510"/>
      <c r="BD510"/>
      <c r="BE510"/>
      <c r="BF510"/>
      <c r="BI510" s="3"/>
    </row>
    <row r="511" spans="52:98">
      <c r="AZ511"/>
      <c r="BA511"/>
      <c r="BB511"/>
      <c r="BC511"/>
      <c r="BD511"/>
      <c r="BE511"/>
      <c r="BF511"/>
    </row>
    <row r="512" spans="52:98">
      <c r="AZ512"/>
      <c r="BA512"/>
      <c r="BB512"/>
      <c r="BC512"/>
      <c r="BD512"/>
      <c r="BE512"/>
      <c r="BF512"/>
    </row>
    <row r="513" spans="52:98">
      <c r="AZ513"/>
      <c r="BA513"/>
      <c r="BB513"/>
      <c r="BC513"/>
      <c r="BD513"/>
      <c r="BE513"/>
      <c r="BF513"/>
      <c r="BI513" s="75"/>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row>
    <row r="514" spans="52:98">
      <c r="AZ514"/>
      <c r="BA514"/>
      <c r="BB514"/>
      <c r="BC514"/>
      <c r="BD514"/>
      <c r="BE514"/>
      <c r="BF514"/>
      <c r="BI514" s="75"/>
    </row>
    <row r="515" spans="52:98">
      <c r="AZ515"/>
      <c r="BA515"/>
      <c r="BB515"/>
      <c r="BC515"/>
      <c r="BD515"/>
      <c r="BE515"/>
      <c r="BF515"/>
    </row>
    <row r="516" spans="52:98">
      <c r="AZ516"/>
      <c r="BA516"/>
      <c r="BB516"/>
      <c r="BC516"/>
      <c r="BD516"/>
      <c r="BE516"/>
      <c r="BF516"/>
      <c r="BI516" s="3"/>
    </row>
    <row r="517" spans="52:98">
      <c r="AZ517"/>
      <c r="BA517"/>
      <c r="BB517"/>
      <c r="BC517"/>
      <c r="BD517"/>
      <c r="BE517"/>
      <c r="BF517"/>
    </row>
    <row r="518" spans="52:98">
      <c r="AZ518"/>
      <c r="BA518"/>
      <c r="BB518"/>
      <c r="BC518"/>
      <c r="BD518"/>
      <c r="BE518"/>
      <c r="BF518"/>
      <c r="BI518" s="3"/>
    </row>
    <row r="519" spans="52:98">
      <c r="AZ519"/>
      <c r="BA519"/>
      <c r="BB519"/>
      <c r="BC519"/>
      <c r="BD519"/>
      <c r="BE519"/>
      <c r="BF519"/>
    </row>
    <row r="520" spans="52:98">
      <c r="AZ520"/>
      <c r="BA520"/>
      <c r="BB520"/>
      <c r="BC520"/>
      <c r="BD520"/>
      <c r="BE520"/>
      <c r="BF520"/>
      <c r="BI520" s="3"/>
    </row>
    <row r="521" spans="52:98">
      <c r="AZ521"/>
      <c r="BA521"/>
      <c r="BB521"/>
      <c r="BC521"/>
      <c r="BD521"/>
      <c r="BE521"/>
      <c r="BF521"/>
    </row>
    <row r="522" spans="52:98">
      <c r="AZ522"/>
      <c r="BA522"/>
      <c r="BB522"/>
      <c r="BC522"/>
      <c r="BD522"/>
      <c r="BE522"/>
      <c r="BF522"/>
    </row>
    <row r="523" spans="52:98">
      <c r="AZ523"/>
      <c r="BA523"/>
      <c r="BB523"/>
      <c r="BC523"/>
      <c r="BD523"/>
      <c r="BE523"/>
      <c r="BF523"/>
    </row>
    <row r="525" spans="52:98">
      <c r="AZ525"/>
      <c r="BA525"/>
      <c r="BB525"/>
      <c r="BC525"/>
      <c r="BD525"/>
      <c r="BE525"/>
      <c r="BF525"/>
    </row>
    <row r="526" spans="52:98">
      <c r="AZ526"/>
      <c r="BA526"/>
      <c r="BB526"/>
      <c r="BC526"/>
      <c r="BD526"/>
      <c r="BE526"/>
      <c r="BF526"/>
    </row>
    <row r="527" spans="52:98">
      <c r="AZ527"/>
      <c r="BA527"/>
      <c r="BB527"/>
      <c r="BC527"/>
      <c r="BD527"/>
      <c r="BE527"/>
      <c r="BF527"/>
    </row>
    <row r="528" spans="52:98">
      <c r="AZ528"/>
      <c r="BA528"/>
      <c r="BB528"/>
      <c r="BC528"/>
      <c r="BD528"/>
      <c r="BE528"/>
      <c r="BF528"/>
    </row>
    <row r="529" spans="52:98">
      <c r="AZ529"/>
      <c r="BA529"/>
      <c r="BB529"/>
      <c r="BC529"/>
      <c r="BD529"/>
      <c r="BE529"/>
      <c r="BF529"/>
      <c r="BI529" s="75"/>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row>
    <row r="530" spans="52:98">
      <c r="AZ530"/>
      <c r="BA530"/>
      <c r="BB530"/>
      <c r="BC530"/>
      <c r="BD530"/>
      <c r="BE530"/>
      <c r="BF530"/>
      <c r="BI530" s="75"/>
    </row>
    <row r="531" spans="52:98">
      <c r="AZ531"/>
      <c r="BA531"/>
      <c r="BB531"/>
      <c r="BC531"/>
      <c r="BD531"/>
      <c r="BE531"/>
      <c r="BF531"/>
    </row>
    <row r="532" spans="52:98">
      <c r="AZ532"/>
      <c r="BA532"/>
      <c r="BB532"/>
      <c r="BC532"/>
      <c r="BD532"/>
      <c r="BE532"/>
      <c r="BF532"/>
      <c r="BI532" s="3"/>
    </row>
    <row r="533" spans="52:98">
      <c r="AZ533"/>
      <c r="BA533"/>
      <c r="BB533"/>
      <c r="BC533"/>
      <c r="BD533"/>
      <c r="BE533"/>
      <c r="BF533"/>
    </row>
    <row r="534" spans="52:98">
      <c r="AZ534"/>
      <c r="BA534"/>
      <c r="BB534"/>
      <c r="BC534"/>
      <c r="BD534"/>
      <c r="BE534"/>
      <c r="BF534"/>
      <c r="BI534" s="3"/>
    </row>
    <row r="535" spans="52:98">
      <c r="AZ535"/>
      <c r="BA535"/>
      <c r="BB535"/>
      <c r="BC535"/>
      <c r="BD535"/>
      <c r="BE535"/>
      <c r="BF535"/>
    </row>
    <row r="536" spans="52:98">
      <c r="AZ536"/>
      <c r="BA536"/>
      <c r="BB536"/>
      <c r="BC536"/>
      <c r="BD536"/>
      <c r="BE536"/>
      <c r="BF536"/>
      <c r="BI536" s="3"/>
    </row>
    <row r="537" spans="52:98">
      <c r="AZ537"/>
      <c r="BA537"/>
      <c r="BB537"/>
      <c r="BC537"/>
      <c r="BD537"/>
      <c r="BE537"/>
      <c r="BF537"/>
    </row>
    <row r="538" spans="52:98">
      <c r="AZ538"/>
      <c r="BA538"/>
      <c r="BB538"/>
      <c r="BC538"/>
      <c r="BD538"/>
      <c r="BE538"/>
      <c r="BF538"/>
      <c r="BI538" s="3"/>
    </row>
    <row r="539" spans="52:98">
      <c r="AZ539"/>
      <c r="BA539"/>
      <c r="BB539"/>
      <c r="BC539"/>
      <c r="BD539"/>
      <c r="BE539"/>
      <c r="BF539"/>
    </row>
    <row r="540" spans="52:98">
      <c r="BI540" s="3"/>
    </row>
    <row r="541" spans="52:98">
      <c r="AZ541"/>
      <c r="BA541"/>
      <c r="BB541"/>
      <c r="BC541"/>
      <c r="BD541"/>
      <c r="BE541"/>
      <c r="BF541"/>
    </row>
    <row r="542" spans="52:98">
      <c r="AZ542"/>
      <c r="BA542"/>
      <c r="BB542"/>
      <c r="BC542"/>
      <c r="BD542"/>
      <c r="BE542"/>
      <c r="BF542"/>
      <c r="BI542" s="3"/>
    </row>
    <row r="543" spans="52:98">
      <c r="AZ543"/>
      <c r="BA543"/>
      <c r="BB543"/>
      <c r="BC543"/>
      <c r="BD543"/>
      <c r="BE543"/>
      <c r="BF543"/>
    </row>
    <row r="544" spans="52:98">
      <c r="AZ544"/>
      <c r="BA544"/>
      <c r="BB544"/>
      <c r="BC544"/>
      <c r="BD544"/>
      <c r="BE544"/>
      <c r="BF544"/>
    </row>
    <row r="545" spans="52:98">
      <c r="AZ545"/>
      <c r="BA545"/>
      <c r="BB545"/>
      <c r="BC545"/>
      <c r="BD545"/>
      <c r="BE545"/>
      <c r="BF545"/>
      <c r="BI545" s="75"/>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row>
    <row r="546" spans="52:98">
      <c r="AZ546"/>
      <c r="BA546"/>
      <c r="BB546"/>
      <c r="BC546"/>
      <c r="BD546"/>
      <c r="BE546"/>
      <c r="BF546"/>
      <c r="BI546" s="75"/>
    </row>
    <row r="547" spans="52:98">
      <c r="AZ547"/>
      <c r="BA547"/>
      <c r="BB547"/>
      <c r="BC547"/>
      <c r="BD547"/>
      <c r="BE547"/>
      <c r="BF547"/>
    </row>
    <row r="548" spans="52:98">
      <c r="AZ548"/>
      <c r="BA548"/>
      <c r="BB548"/>
      <c r="BC548"/>
      <c r="BD548"/>
      <c r="BE548"/>
      <c r="BF548"/>
      <c r="BI548" s="3"/>
    </row>
    <row r="549" spans="52:98">
      <c r="AZ549"/>
      <c r="BA549"/>
      <c r="BB549"/>
      <c r="BC549"/>
      <c r="BD549"/>
      <c r="BE549"/>
      <c r="BF549"/>
    </row>
    <row r="550" spans="52:98">
      <c r="AZ550"/>
      <c r="BA550"/>
      <c r="BB550"/>
      <c r="BC550"/>
      <c r="BD550"/>
      <c r="BE550"/>
      <c r="BF550"/>
      <c r="BI550" s="3"/>
    </row>
    <row r="551" spans="52:98">
      <c r="AZ551"/>
      <c r="BA551"/>
      <c r="BB551"/>
      <c r="BC551"/>
      <c r="BD551"/>
      <c r="BE551"/>
      <c r="BF551"/>
    </row>
    <row r="552" spans="52:98">
      <c r="AZ552"/>
      <c r="BA552"/>
      <c r="BB552"/>
      <c r="BC552"/>
      <c r="BD552"/>
      <c r="BE552"/>
      <c r="BF552"/>
      <c r="BI552" s="3"/>
    </row>
    <row r="553" spans="52:98">
      <c r="AZ553"/>
      <c r="BA553"/>
      <c r="BB553"/>
      <c r="BC553"/>
      <c r="BD553"/>
      <c r="BE553"/>
      <c r="BF553"/>
    </row>
    <row r="554" spans="52:98">
      <c r="AZ554"/>
      <c r="BA554"/>
      <c r="BB554"/>
      <c r="BC554"/>
      <c r="BD554"/>
      <c r="BE554"/>
      <c r="BF554"/>
      <c r="BI554" s="3"/>
    </row>
    <row r="555" spans="52:98">
      <c r="AZ555"/>
      <c r="BA555"/>
      <c r="BB555"/>
      <c r="BC555"/>
      <c r="BD555"/>
      <c r="BE555"/>
      <c r="BF555"/>
    </row>
    <row r="556" spans="52:98">
      <c r="BI556" s="3"/>
    </row>
    <row r="557" spans="52:98">
      <c r="AZ557"/>
      <c r="BA557"/>
      <c r="BB557"/>
      <c r="BC557"/>
      <c r="BD557"/>
      <c r="BE557"/>
      <c r="BF557"/>
    </row>
    <row r="558" spans="52:98">
      <c r="AZ558"/>
      <c r="BA558"/>
      <c r="BB558"/>
      <c r="BC558"/>
      <c r="BD558"/>
      <c r="BE558"/>
      <c r="BF558"/>
      <c r="BI558" s="3"/>
    </row>
    <row r="559" spans="52:98">
      <c r="AZ559"/>
      <c r="BA559"/>
      <c r="BB559"/>
      <c r="BC559"/>
      <c r="BD559"/>
      <c r="BE559"/>
      <c r="BF559"/>
    </row>
    <row r="560" spans="52:98">
      <c r="AZ560"/>
      <c r="BA560"/>
      <c r="BB560"/>
      <c r="BC560"/>
      <c r="BD560"/>
      <c r="BE560"/>
      <c r="BF560"/>
    </row>
    <row r="561" spans="52:98">
      <c r="AZ561"/>
      <c r="BA561"/>
      <c r="BB561"/>
      <c r="BC561"/>
      <c r="BD561"/>
      <c r="BE561"/>
      <c r="BF561"/>
      <c r="BI561" s="75"/>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row>
    <row r="562" spans="52:98">
      <c r="AZ562"/>
      <c r="BA562"/>
      <c r="BB562"/>
      <c r="BC562"/>
      <c r="BD562"/>
      <c r="BE562"/>
      <c r="BF562"/>
      <c r="BI562" s="75"/>
    </row>
    <row r="563" spans="52:98">
      <c r="AZ563"/>
      <c r="BA563"/>
      <c r="BB563"/>
      <c r="BC563"/>
      <c r="BD563"/>
      <c r="BE563"/>
      <c r="BF563"/>
    </row>
    <row r="564" spans="52:98">
      <c r="AZ564"/>
      <c r="BA564"/>
      <c r="BB564"/>
      <c r="BC564"/>
      <c r="BD564"/>
      <c r="BE564"/>
      <c r="BF564"/>
      <c r="BI564" s="3"/>
    </row>
    <row r="565" spans="52:98">
      <c r="AZ565"/>
      <c r="BA565"/>
      <c r="BB565"/>
      <c r="BC565"/>
      <c r="BD565"/>
      <c r="BE565"/>
      <c r="BF565"/>
    </row>
    <row r="566" spans="52:98">
      <c r="AZ566"/>
      <c r="BA566"/>
      <c r="BB566"/>
      <c r="BC566"/>
      <c r="BD566"/>
      <c r="BE566"/>
      <c r="BF566"/>
      <c r="BI566" s="3"/>
    </row>
    <row r="567" spans="52:98">
      <c r="AZ567"/>
      <c r="BA567"/>
      <c r="BB567"/>
      <c r="BC567"/>
      <c r="BD567"/>
      <c r="BE567"/>
      <c r="BF567"/>
    </row>
    <row r="568" spans="52:98">
      <c r="AZ568"/>
      <c r="BA568"/>
      <c r="BB568"/>
      <c r="BC568"/>
      <c r="BD568"/>
      <c r="BE568"/>
      <c r="BF568"/>
      <c r="BI568" s="3"/>
    </row>
    <row r="569" spans="52:98">
      <c r="AZ569"/>
      <c r="BA569"/>
      <c r="BB569"/>
      <c r="BC569"/>
      <c r="BD569"/>
      <c r="BE569"/>
      <c r="BF569"/>
    </row>
    <row r="570" spans="52:98">
      <c r="AZ570"/>
      <c r="BA570"/>
      <c r="BB570"/>
      <c r="BC570"/>
      <c r="BD570"/>
      <c r="BE570"/>
      <c r="BF570"/>
      <c r="BI570" s="3"/>
    </row>
    <row r="571" spans="52:98">
      <c r="AZ571"/>
      <c r="BA571"/>
      <c r="BB571"/>
      <c r="BC571"/>
      <c r="BD571"/>
      <c r="BE571"/>
      <c r="BF571"/>
    </row>
    <row r="572" spans="52:98">
      <c r="BI572" s="3"/>
    </row>
    <row r="573" spans="52:98">
      <c r="AZ573"/>
      <c r="BA573"/>
      <c r="BB573"/>
      <c r="BC573"/>
      <c r="BD573"/>
      <c r="BE573"/>
      <c r="BF573"/>
    </row>
    <row r="574" spans="52:98">
      <c r="AZ574"/>
      <c r="BA574"/>
      <c r="BB574"/>
      <c r="BC574"/>
      <c r="BD574"/>
      <c r="BE574"/>
      <c r="BF574"/>
      <c r="BI574" s="3"/>
    </row>
    <row r="575" spans="52:98">
      <c r="AZ575"/>
      <c r="BA575"/>
      <c r="BB575"/>
      <c r="BC575"/>
      <c r="BD575"/>
      <c r="BE575"/>
      <c r="BF575"/>
    </row>
    <row r="576" spans="52:98">
      <c r="AZ576"/>
      <c r="BA576"/>
      <c r="BB576"/>
      <c r="BC576"/>
      <c r="BD576"/>
      <c r="BE576"/>
      <c r="BF576"/>
    </row>
    <row r="577" spans="52:98">
      <c r="AZ577"/>
      <c r="BA577"/>
      <c r="BB577"/>
      <c r="BC577"/>
      <c r="BD577"/>
      <c r="BE577"/>
      <c r="BF577"/>
      <c r="BI577" s="75"/>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row>
    <row r="578" spans="52:98">
      <c r="AZ578"/>
      <c r="BA578"/>
      <c r="BB578"/>
      <c r="BC578"/>
      <c r="BD578"/>
      <c r="BE578"/>
      <c r="BF578"/>
      <c r="BI578" s="75"/>
    </row>
    <row r="579" spans="52:98">
      <c r="AZ579"/>
      <c r="BA579"/>
      <c r="BB579"/>
      <c r="BC579"/>
      <c r="BD579"/>
      <c r="BE579"/>
      <c r="BF579"/>
    </row>
    <row r="580" spans="52:98">
      <c r="AZ580"/>
      <c r="BA580"/>
      <c r="BB580"/>
      <c r="BC580"/>
      <c r="BD580"/>
      <c r="BE580"/>
      <c r="BF580"/>
      <c r="BI580" s="3"/>
    </row>
    <row r="581" spans="52:98">
      <c r="AZ581"/>
      <c r="BA581"/>
      <c r="BB581"/>
      <c r="BC581"/>
      <c r="BD581"/>
      <c r="BE581"/>
      <c r="BF581"/>
    </row>
    <row r="582" spans="52:98">
      <c r="AZ582"/>
      <c r="BA582"/>
      <c r="BB582"/>
      <c r="BC582"/>
      <c r="BD582"/>
      <c r="BE582"/>
      <c r="BF582"/>
      <c r="BI582" s="3"/>
    </row>
    <row r="583" spans="52:98">
      <c r="AZ583"/>
      <c r="BA583"/>
      <c r="BB583"/>
      <c r="BC583"/>
      <c r="BD583"/>
      <c r="BE583"/>
      <c r="BF583"/>
    </row>
    <row r="584" spans="52:98">
      <c r="AZ584"/>
      <c r="BA584"/>
      <c r="BB584"/>
      <c r="BC584"/>
      <c r="BD584"/>
      <c r="BE584"/>
      <c r="BF584"/>
      <c r="BI584" s="3"/>
    </row>
    <row r="585" spans="52:98">
      <c r="AZ585"/>
      <c r="BA585"/>
      <c r="BB585"/>
      <c r="BC585"/>
      <c r="BD585"/>
      <c r="BE585"/>
      <c r="BF585"/>
    </row>
    <row r="586" spans="52:98">
      <c r="AZ586"/>
      <c r="BA586"/>
      <c r="BB586"/>
      <c r="BC586"/>
      <c r="BD586"/>
      <c r="BE586"/>
      <c r="BF586"/>
      <c r="BI586" s="3"/>
    </row>
    <row r="587" spans="52:98">
      <c r="AZ587"/>
      <c r="BA587"/>
      <c r="BB587"/>
      <c r="BC587"/>
      <c r="BD587"/>
      <c r="BE587"/>
      <c r="BF587"/>
    </row>
    <row r="588" spans="52:98">
      <c r="BI588" s="3"/>
    </row>
    <row r="589" spans="52:98">
      <c r="AZ589"/>
      <c r="BA589"/>
      <c r="BB589"/>
      <c r="BC589"/>
      <c r="BD589"/>
      <c r="BE589"/>
      <c r="BF589"/>
    </row>
    <row r="590" spans="52:98">
      <c r="AZ590"/>
      <c r="BA590"/>
      <c r="BB590"/>
      <c r="BC590"/>
      <c r="BD590"/>
      <c r="BE590"/>
      <c r="BF590"/>
      <c r="BI590" s="3"/>
    </row>
    <row r="591" spans="52:98">
      <c r="AZ591"/>
      <c r="BA591"/>
      <c r="BB591"/>
      <c r="BC591"/>
      <c r="BD591"/>
      <c r="BE591"/>
      <c r="BF591"/>
    </row>
    <row r="592" spans="52:98">
      <c r="AZ592"/>
      <c r="BA592"/>
      <c r="BB592"/>
      <c r="BC592"/>
      <c r="BD592"/>
      <c r="BE592"/>
      <c r="BF592"/>
    </row>
    <row r="593" spans="52:98">
      <c r="AZ593"/>
      <c r="BA593"/>
      <c r="BB593"/>
      <c r="BC593"/>
      <c r="BD593"/>
      <c r="BE593"/>
      <c r="BF593"/>
      <c r="BI593" s="75"/>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row>
    <row r="594" spans="52:98">
      <c r="AZ594"/>
      <c r="BA594"/>
      <c r="BB594"/>
      <c r="BC594"/>
      <c r="BD594"/>
      <c r="BE594"/>
      <c r="BF594"/>
      <c r="BI594" s="75"/>
    </row>
    <row r="595" spans="52:98">
      <c r="AZ595"/>
      <c r="BA595"/>
      <c r="BB595"/>
      <c r="BC595"/>
      <c r="BD595"/>
      <c r="BE595"/>
      <c r="BF595"/>
    </row>
    <row r="596" spans="52:98">
      <c r="AZ596"/>
      <c r="BA596"/>
      <c r="BB596"/>
      <c r="BC596"/>
      <c r="BD596"/>
      <c r="BE596"/>
      <c r="BF596"/>
      <c r="BI596" s="3"/>
    </row>
    <row r="597" spans="52:98">
      <c r="AZ597"/>
      <c r="BA597"/>
      <c r="BB597"/>
      <c r="BC597"/>
      <c r="BD597"/>
      <c r="BE597"/>
      <c r="BF597"/>
    </row>
    <row r="598" spans="52:98">
      <c r="AZ598"/>
      <c r="BA598"/>
      <c r="BB598"/>
      <c r="BC598"/>
      <c r="BD598"/>
      <c r="BE598"/>
      <c r="BF598"/>
      <c r="BI598" s="3"/>
    </row>
    <row r="599" spans="52:98">
      <c r="AZ599"/>
      <c r="BA599"/>
      <c r="BB599"/>
      <c r="BC599"/>
      <c r="BD599"/>
      <c r="BE599"/>
      <c r="BF599"/>
    </row>
    <row r="600" spans="52:98">
      <c r="AZ600"/>
      <c r="BA600"/>
      <c r="BB600"/>
      <c r="BC600"/>
      <c r="BD600"/>
      <c r="BE600"/>
      <c r="BF600"/>
      <c r="BI600" s="3"/>
    </row>
    <row r="601" spans="52:98">
      <c r="AZ601"/>
      <c r="BA601"/>
      <c r="BB601"/>
      <c r="BC601"/>
      <c r="BD601"/>
      <c r="BE601"/>
      <c r="BF601"/>
    </row>
    <row r="602" spans="52:98">
      <c r="AZ602"/>
      <c r="BA602"/>
      <c r="BB602"/>
      <c r="BC602"/>
      <c r="BD602"/>
      <c r="BE602"/>
      <c r="BF602"/>
      <c r="BI602" s="3"/>
    </row>
    <row r="603" spans="52:98">
      <c r="AZ603"/>
      <c r="BA603"/>
      <c r="BB603"/>
      <c r="BC603"/>
      <c r="BD603"/>
      <c r="BE603"/>
      <c r="BF603"/>
    </row>
    <row r="604" spans="52:98">
      <c r="BI604" s="3"/>
    </row>
    <row r="605" spans="52:98">
      <c r="AZ605"/>
      <c r="BA605"/>
      <c r="BB605"/>
      <c r="BC605"/>
      <c r="BD605"/>
      <c r="BE605"/>
      <c r="BF605"/>
    </row>
    <row r="606" spans="52:98">
      <c r="AZ606"/>
      <c r="BA606"/>
      <c r="BB606"/>
      <c r="BC606"/>
      <c r="BD606"/>
      <c r="BE606"/>
      <c r="BF606"/>
      <c r="BI606" s="3"/>
    </row>
    <row r="607" spans="52:98">
      <c r="AZ607"/>
      <c r="BA607"/>
      <c r="BB607"/>
      <c r="BC607"/>
      <c r="BD607"/>
      <c r="BE607"/>
      <c r="BF607"/>
    </row>
    <row r="608" spans="52:98">
      <c r="AZ608"/>
      <c r="BA608"/>
      <c r="BB608"/>
      <c r="BC608"/>
      <c r="BD608"/>
      <c r="BE608"/>
      <c r="BF608"/>
    </row>
    <row r="609" spans="52:98">
      <c r="AZ609"/>
      <c r="BA609"/>
      <c r="BB609"/>
      <c r="BC609"/>
      <c r="BD609"/>
      <c r="BE609"/>
      <c r="BF609"/>
      <c r="BI609" s="75"/>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row>
    <row r="610" spans="52:98">
      <c r="AZ610"/>
      <c r="BA610"/>
      <c r="BB610"/>
      <c r="BC610"/>
      <c r="BD610"/>
      <c r="BE610"/>
      <c r="BF610"/>
      <c r="BI610" s="75"/>
    </row>
    <row r="611" spans="52:98">
      <c r="AZ611"/>
      <c r="BA611"/>
      <c r="BB611"/>
      <c r="BC611"/>
      <c r="BD611"/>
      <c r="BE611"/>
      <c r="BF611"/>
    </row>
    <row r="612" spans="52:98">
      <c r="AZ612"/>
      <c r="BA612"/>
      <c r="BB612"/>
      <c r="BC612"/>
      <c r="BD612"/>
      <c r="BE612"/>
      <c r="BF612"/>
      <c r="BI612" s="3"/>
    </row>
    <row r="613" spans="52:98">
      <c r="AZ613"/>
      <c r="BA613"/>
      <c r="BB613"/>
      <c r="BC613"/>
      <c r="BD613"/>
      <c r="BE613"/>
      <c r="BF613"/>
    </row>
    <row r="614" spans="52:98">
      <c r="AZ614"/>
      <c r="BA614"/>
      <c r="BB614"/>
      <c r="BC614"/>
      <c r="BD614"/>
      <c r="BE614"/>
      <c r="BF614"/>
      <c r="BI614" s="3"/>
    </row>
    <row r="615" spans="52:98">
      <c r="AZ615"/>
      <c r="BA615"/>
      <c r="BB615"/>
      <c r="BC615"/>
      <c r="BD615"/>
      <c r="BE615"/>
      <c r="BF615"/>
    </row>
    <row r="616" spans="52:98">
      <c r="AZ616"/>
      <c r="BA616"/>
      <c r="BB616"/>
      <c r="BC616"/>
      <c r="BD616"/>
      <c r="BE616"/>
      <c r="BF616"/>
      <c r="BI616" s="3"/>
    </row>
    <row r="617" spans="52:98">
      <c r="AZ617"/>
      <c r="BA617"/>
      <c r="BB617"/>
      <c r="BC617"/>
      <c r="BD617"/>
      <c r="BE617"/>
      <c r="BF617"/>
    </row>
    <row r="618" spans="52:98">
      <c r="AZ618"/>
      <c r="BA618"/>
      <c r="BB618"/>
      <c r="BC618"/>
      <c r="BD618"/>
      <c r="BE618"/>
      <c r="BF618"/>
      <c r="BI618" s="3"/>
    </row>
    <row r="619" spans="52:98">
      <c r="AZ619"/>
      <c r="BA619"/>
      <c r="BB619"/>
      <c r="BC619"/>
      <c r="BD619"/>
      <c r="BE619"/>
      <c r="BF619"/>
    </row>
    <row r="620" spans="52:98">
      <c r="BI620" s="3"/>
    </row>
    <row r="621" spans="52:98">
      <c r="AZ621"/>
      <c r="BA621"/>
      <c r="BB621"/>
      <c r="BC621"/>
      <c r="BD621"/>
      <c r="BE621"/>
      <c r="BF621"/>
    </row>
    <row r="622" spans="52:98">
      <c r="AZ622"/>
      <c r="BA622"/>
      <c r="BB622"/>
      <c r="BC622"/>
      <c r="BD622"/>
      <c r="BE622"/>
      <c r="BF622"/>
      <c r="BI622" s="3"/>
    </row>
    <row r="623" spans="52:98">
      <c r="AZ623"/>
      <c r="BA623"/>
      <c r="BB623"/>
      <c r="BC623"/>
      <c r="BD623"/>
      <c r="BE623"/>
      <c r="BF623"/>
    </row>
    <row r="624" spans="52:98">
      <c r="AZ624"/>
      <c r="BA624"/>
      <c r="BB624"/>
      <c r="BC624"/>
      <c r="BD624"/>
      <c r="BE624"/>
      <c r="BF624"/>
    </row>
    <row r="625" spans="52:98">
      <c r="AZ625"/>
      <c r="BA625"/>
      <c r="BB625"/>
      <c r="BC625"/>
      <c r="BD625"/>
      <c r="BE625"/>
      <c r="BF625"/>
      <c r="BI625" s="75"/>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row>
    <row r="626" spans="52:98">
      <c r="AZ626"/>
      <c r="BA626"/>
      <c r="BB626"/>
      <c r="BC626"/>
      <c r="BD626"/>
      <c r="BE626"/>
      <c r="BF626"/>
      <c r="BI626" s="75"/>
    </row>
    <row r="627" spans="52:98">
      <c r="AZ627"/>
      <c r="BA627"/>
      <c r="BB627"/>
      <c r="BC627"/>
      <c r="BD627"/>
      <c r="BE627"/>
      <c r="BF627"/>
    </row>
    <row r="628" spans="52:98">
      <c r="AZ628"/>
      <c r="BA628"/>
      <c r="BB628"/>
      <c r="BC628"/>
      <c r="BD628"/>
      <c r="BE628"/>
      <c r="BF628"/>
      <c r="BI628" s="3"/>
    </row>
    <row r="629" spans="52:98">
      <c r="AZ629"/>
      <c r="BA629"/>
      <c r="BB629"/>
      <c r="BC629"/>
      <c r="BD629"/>
      <c r="BE629"/>
      <c r="BF629"/>
    </row>
    <row r="630" spans="52:98">
      <c r="AZ630"/>
      <c r="BA630"/>
      <c r="BB630"/>
      <c r="BC630"/>
      <c r="BD630"/>
      <c r="BE630"/>
      <c r="BF630"/>
      <c r="BI630" s="3"/>
    </row>
    <row r="631" spans="52:98">
      <c r="AZ631"/>
      <c r="BA631"/>
      <c r="BB631"/>
      <c r="BC631"/>
      <c r="BD631"/>
      <c r="BE631"/>
      <c r="BF631"/>
    </row>
    <row r="632" spans="52:98">
      <c r="AZ632"/>
      <c r="BA632"/>
      <c r="BB632"/>
      <c r="BC632"/>
      <c r="BD632"/>
      <c r="BE632"/>
      <c r="BF632"/>
      <c r="BI632" s="3"/>
    </row>
    <row r="633" spans="52:98">
      <c r="AZ633"/>
      <c r="BA633"/>
      <c r="BB633"/>
      <c r="BC633"/>
      <c r="BD633"/>
      <c r="BE633"/>
      <c r="BF633"/>
    </row>
    <row r="634" spans="52:98">
      <c r="AZ634"/>
      <c r="BA634"/>
      <c r="BB634"/>
      <c r="BC634"/>
      <c r="BD634"/>
      <c r="BE634"/>
      <c r="BF634"/>
      <c r="BI634" s="3"/>
    </row>
    <row r="635" spans="52:98">
      <c r="AZ635"/>
      <c r="BA635"/>
      <c r="BB635"/>
      <c r="BC635"/>
      <c r="BD635"/>
      <c r="BE635"/>
      <c r="BF635"/>
    </row>
    <row r="636" spans="52:98">
      <c r="BI636" s="3"/>
    </row>
    <row r="637" spans="52:98">
      <c r="AZ637"/>
      <c r="BA637"/>
      <c r="BB637"/>
      <c r="BC637"/>
      <c r="BD637"/>
      <c r="BE637"/>
      <c r="BF637"/>
    </row>
    <row r="638" spans="52:98">
      <c r="AZ638"/>
      <c r="BA638"/>
      <c r="BB638"/>
      <c r="BC638"/>
      <c r="BD638"/>
      <c r="BE638"/>
      <c r="BF638"/>
      <c r="BI638" s="3"/>
    </row>
    <row r="639" spans="52:98">
      <c r="AZ639"/>
      <c r="BA639"/>
      <c r="BB639"/>
      <c r="BC639"/>
      <c r="BD639"/>
      <c r="BE639"/>
      <c r="BF639"/>
    </row>
    <row r="640" spans="52:98">
      <c r="AZ640"/>
      <c r="BA640"/>
      <c r="BB640"/>
      <c r="BC640"/>
      <c r="BD640"/>
      <c r="BE640"/>
      <c r="BF640"/>
    </row>
    <row r="641" spans="52:98">
      <c r="AZ641"/>
      <c r="BA641"/>
      <c r="BB641"/>
      <c r="BC641"/>
      <c r="BD641"/>
      <c r="BE641"/>
      <c r="BF641"/>
      <c r="BI641" s="75"/>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row>
    <row r="642" spans="52:98">
      <c r="AZ642"/>
      <c r="BA642"/>
      <c r="BB642"/>
      <c r="BC642"/>
      <c r="BD642"/>
      <c r="BE642"/>
      <c r="BF642"/>
      <c r="BI642" s="75"/>
    </row>
    <row r="643" spans="52:98">
      <c r="AZ643"/>
      <c r="BA643"/>
      <c r="BB643"/>
      <c r="BC643"/>
      <c r="BD643"/>
      <c r="BE643"/>
      <c r="BF643"/>
    </row>
    <row r="644" spans="52:98">
      <c r="AZ644"/>
      <c r="BA644"/>
      <c r="BB644"/>
      <c r="BC644"/>
      <c r="BD644"/>
      <c r="BE644"/>
      <c r="BF644"/>
      <c r="BI644" s="3"/>
    </row>
    <row r="645" spans="52:98">
      <c r="AZ645"/>
      <c r="BA645"/>
      <c r="BB645"/>
      <c r="BC645"/>
      <c r="BD645"/>
      <c r="BE645"/>
      <c r="BF645"/>
    </row>
    <row r="646" spans="52:98">
      <c r="AZ646"/>
      <c r="BA646"/>
      <c r="BB646"/>
      <c r="BC646"/>
      <c r="BD646"/>
      <c r="BE646"/>
      <c r="BF646"/>
      <c r="BI646" s="3"/>
    </row>
    <row r="647" spans="52:98">
      <c r="AZ647"/>
      <c r="BA647"/>
      <c r="BB647"/>
      <c r="BC647"/>
      <c r="BD647"/>
      <c r="BE647"/>
      <c r="BF647"/>
    </row>
    <row r="648" spans="52:98">
      <c r="AZ648"/>
      <c r="BA648"/>
      <c r="BB648"/>
      <c r="BC648"/>
      <c r="BD648"/>
      <c r="BE648"/>
      <c r="BF648"/>
      <c r="BI648" s="3"/>
    </row>
    <row r="649" spans="52:98">
      <c r="AZ649"/>
      <c r="BA649"/>
      <c r="BB649"/>
      <c r="BC649"/>
      <c r="BD649"/>
      <c r="BE649"/>
      <c r="BF649"/>
    </row>
    <row r="650" spans="52:98">
      <c r="AZ650"/>
      <c r="BA650"/>
      <c r="BB650"/>
      <c r="BC650"/>
      <c r="BD650"/>
      <c r="BE650"/>
      <c r="BF650"/>
      <c r="BI650" s="3"/>
    </row>
    <row r="651" spans="52:98">
      <c r="AZ651"/>
      <c r="BA651"/>
      <c r="BB651"/>
      <c r="BC651"/>
      <c r="BD651"/>
      <c r="BE651"/>
      <c r="BF651"/>
    </row>
    <row r="652" spans="52:98">
      <c r="BI652" s="3"/>
    </row>
    <row r="653" spans="52:98">
      <c r="AZ653"/>
      <c r="BA653"/>
      <c r="BB653"/>
      <c r="BC653"/>
      <c r="BD653"/>
      <c r="BE653"/>
      <c r="BF653"/>
    </row>
    <row r="654" spans="52:98">
      <c r="AZ654"/>
      <c r="BA654"/>
      <c r="BB654"/>
      <c r="BC654"/>
      <c r="BD654"/>
      <c r="BE654"/>
      <c r="BF654"/>
      <c r="BI654" s="3"/>
    </row>
    <row r="655" spans="52:98">
      <c r="AZ655"/>
      <c r="BA655"/>
      <c r="BB655"/>
      <c r="BC655"/>
      <c r="BD655"/>
      <c r="BE655"/>
      <c r="BF655"/>
    </row>
    <row r="656" spans="52:98">
      <c r="AZ656"/>
      <c r="BA656"/>
      <c r="BB656"/>
      <c r="BC656"/>
      <c r="BD656"/>
      <c r="BE656"/>
      <c r="BF656"/>
    </row>
    <row r="657" spans="52:98">
      <c r="AZ657"/>
      <c r="BA657"/>
      <c r="BB657"/>
      <c r="BC657"/>
      <c r="BD657"/>
      <c r="BE657"/>
      <c r="BF657"/>
      <c r="BI657" s="75"/>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row>
    <row r="658" spans="52:98">
      <c r="AZ658"/>
      <c r="BA658"/>
      <c r="BB658"/>
      <c r="BC658"/>
      <c r="BD658"/>
      <c r="BE658"/>
      <c r="BF658"/>
      <c r="BI658" s="75"/>
    </row>
    <row r="659" spans="52:98">
      <c r="AZ659"/>
      <c r="BA659"/>
      <c r="BB659"/>
      <c r="BC659"/>
      <c r="BD659"/>
      <c r="BE659"/>
      <c r="BF659"/>
    </row>
    <row r="660" spans="52:98">
      <c r="AZ660"/>
      <c r="BA660"/>
      <c r="BB660"/>
      <c r="BC660"/>
      <c r="BD660"/>
      <c r="BE660"/>
      <c r="BF660"/>
      <c r="BI660" s="3"/>
    </row>
    <row r="661" spans="52:98">
      <c r="AZ661"/>
      <c r="BA661"/>
      <c r="BB661"/>
      <c r="BC661"/>
      <c r="BD661"/>
      <c r="BE661"/>
      <c r="BF661"/>
    </row>
    <row r="662" spans="52:98">
      <c r="AZ662"/>
      <c r="BA662"/>
      <c r="BB662"/>
      <c r="BC662"/>
      <c r="BD662"/>
      <c r="BE662"/>
      <c r="BF662"/>
      <c r="BI662" s="3"/>
    </row>
    <row r="663" spans="52:98">
      <c r="AZ663"/>
      <c r="BA663"/>
      <c r="BB663"/>
      <c r="BC663"/>
      <c r="BD663"/>
      <c r="BE663"/>
      <c r="BF663"/>
    </row>
    <row r="664" spans="52:98">
      <c r="AZ664"/>
      <c r="BA664"/>
      <c r="BB664"/>
      <c r="BC664"/>
      <c r="BD664"/>
      <c r="BE664"/>
      <c r="BF664"/>
      <c r="BI664" s="3"/>
    </row>
    <row r="665" spans="52:98">
      <c r="AZ665"/>
      <c r="BA665"/>
      <c r="BB665"/>
      <c r="BC665"/>
      <c r="BD665"/>
      <c r="BE665"/>
      <c r="BF665"/>
    </row>
    <row r="666" spans="52:98">
      <c r="AZ666"/>
      <c r="BA666"/>
      <c r="BB666"/>
      <c r="BC666"/>
      <c r="BD666"/>
      <c r="BE666"/>
      <c r="BF666"/>
      <c r="BI666" s="3"/>
    </row>
    <row r="667" spans="52:98">
      <c r="AZ667"/>
      <c r="BA667"/>
      <c r="BB667"/>
      <c r="BC667"/>
      <c r="BD667"/>
      <c r="BE667"/>
      <c r="BF667"/>
    </row>
    <row r="668" spans="52:98">
      <c r="BI668" s="3"/>
    </row>
    <row r="669" spans="52:98">
      <c r="AZ669"/>
      <c r="BA669"/>
      <c r="BB669"/>
      <c r="BC669"/>
      <c r="BD669"/>
      <c r="BE669"/>
      <c r="BF669"/>
    </row>
    <row r="670" spans="52:98">
      <c r="AZ670"/>
      <c r="BA670"/>
      <c r="BB670"/>
      <c r="BC670"/>
      <c r="BD670"/>
      <c r="BE670"/>
      <c r="BF670"/>
      <c r="BI670" s="3"/>
    </row>
    <row r="671" spans="52:98">
      <c r="AZ671"/>
      <c r="BA671"/>
      <c r="BB671"/>
      <c r="BC671"/>
      <c r="BD671"/>
      <c r="BE671"/>
      <c r="BF671"/>
    </row>
    <row r="672" spans="52:98">
      <c r="AZ672"/>
      <c r="BA672"/>
      <c r="BB672"/>
      <c r="BC672"/>
      <c r="BD672"/>
      <c r="BE672"/>
      <c r="BF672"/>
    </row>
    <row r="673" spans="52:98">
      <c r="AZ673"/>
      <c r="BA673"/>
      <c r="BB673"/>
      <c r="BC673"/>
      <c r="BD673"/>
      <c r="BE673"/>
      <c r="BF673"/>
      <c r="BI673" s="75"/>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row>
    <row r="674" spans="52:98">
      <c r="AZ674"/>
      <c r="BA674"/>
      <c r="BB674"/>
      <c r="BC674"/>
      <c r="BD674"/>
      <c r="BE674"/>
      <c r="BF674"/>
      <c r="BI674" s="75"/>
    </row>
    <row r="675" spans="52:98">
      <c r="AZ675"/>
      <c r="BA675"/>
      <c r="BB675"/>
      <c r="BC675"/>
      <c r="BD675"/>
      <c r="BE675"/>
      <c r="BF675"/>
    </row>
    <row r="676" spans="52:98">
      <c r="AZ676"/>
      <c r="BA676"/>
      <c r="BB676"/>
      <c r="BC676"/>
      <c r="BD676"/>
      <c r="BE676"/>
      <c r="BF676"/>
      <c r="BI676" s="3"/>
    </row>
    <row r="677" spans="52:98">
      <c r="AZ677"/>
      <c r="BA677"/>
      <c r="BB677"/>
      <c r="BC677"/>
      <c r="BD677"/>
      <c r="BE677"/>
      <c r="BF677"/>
    </row>
    <row r="678" spans="52:98">
      <c r="AZ678"/>
      <c r="BA678"/>
      <c r="BB678"/>
      <c r="BC678"/>
      <c r="BD678"/>
      <c r="BE678"/>
      <c r="BF678"/>
      <c r="BI678" s="3"/>
    </row>
    <row r="679" spans="52:98">
      <c r="AZ679"/>
      <c r="BA679"/>
      <c r="BB679"/>
      <c r="BC679"/>
      <c r="BD679"/>
      <c r="BE679"/>
      <c r="BF679"/>
    </row>
    <row r="680" spans="52:98">
      <c r="AZ680"/>
      <c r="BA680"/>
      <c r="BB680"/>
      <c r="BC680"/>
      <c r="BD680"/>
      <c r="BE680"/>
      <c r="BF680"/>
      <c r="BI680" s="3"/>
    </row>
    <row r="681" spans="52:98">
      <c r="AZ681"/>
      <c r="BA681"/>
      <c r="BB681"/>
      <c r="BC681"/>
      <c r="BD681"/>
      <c r="BE681"/>
      <c r="BF681"/>
    </row>
    <row r="682" spans="52:98">
      <c r="AZ682"/>
      <c r="BA682"/>
      <c r="BB682"/>
      <c r="BC682"/>
      <c r="BD682"/>
      <c r="BE682"/>
      <c r="BF682"/>
      <c r="BI682" s="3"/>
    </row>
    <row r="683" spans="52:98">
      <c r="AZ683"/>
      <c r="BA683"/>
      <c r="BB683"/>
      <c r="BC683"/>
      <c r="BD683"/>
      <c r="BE683"/>
      <c r="BF683"/>
    </row>
    <row r="684" spans="52:98">
      <c r="BI684" s="3"/>
    </row>
    <row r="685" spans="52:98">
      <c r="AZ685"/>
      <c r="BA685"/>
      <c r="BB685"/>
      <c r="BC685"/>
      <c r="BD685"/>
      <c r="BE685"/>
      <c r="BF685"/>
    </row>
    <row r="686" spans="52:98">
      <c r="AZ686"/>
      <c r="BA686"/>
      <c r="BB686"/>
      <c r="BC686"/>
      <c r="BD686"/>
      <c r="BE686"/>
      <c r="BF686"/>
      <c r="BI686" s="3"/>
    </row>
    <row r="687" spans="52:98">
      <c r="AZ687"/>
      <c r="BA687"/>
      <c r="BB687"/>
      <c r="BC687"/>
      <c r="BD687"/>
      <c r="BE687"/>
      <c r="BF687"/>
    </row>
    <row r="688" spans="52:98">
      <c r="AZ688"/>
      <c r="BA688"/>
      <c r="BB688"/>
      <c r="BC688"/>
      <c r="BD688"/>
      <c r="BE688"/>
      <c r="BF688"/>
    </row>
    <row r="689" spans="52:98">
      <c r="AZ689"/>
      <c r="BA689"/>
      <c r="BB689"/>
      <c r="BC689"/>
      <c r="BD689"/>
      <c r="BE689"/>
      <c r="BF689"/>
      <c r="BI689" s="75"/>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row>
    <row r="690" spans="52:98">
      <c r="AZ690"/>
      <c r="BA690"/>
      <c r="BB690"/>
      <c r="BC690"/>
      <c r="BD690"/>
      <c r="BE690"/>
      <c r="BF690"/>
      <c r="BI690" s="75"/>
    </row>
    <row r="691" spans="52:98">
      <c r="AZ691"/>
      <c r="BA691"/>
      <c r="BB691"/>
      <c r="BC691"/>
      <c r="BD691"/>
      <c r="BE691"/>
      <c r="BF691"/>
    </row>
    <row r="692" spans="52:98">
      <c r="AZ692"/>
      <c r="BA692"/>
      <c r="BB692"/>
      <c r="BC692"/>
      <c r="BD692"/>
      <c r="BE692"/>
      <c r="BF692"/>
      <c r="BI692" s="3"/>
    </row>
    <row r="693" spans="52:98">
      <c r="AZ693"/>
      <c r="BA693"/>
      <c r="BB693"/>
      <c r="BC693"/>
      <c r="BD693"/>
      <c r="BE693"/>
      <c r="BF693"/>
    </row>
    <row r="694" spans="52:98">
      <c r="AZ694"/>
      <c r="BA694"/>
      <c r="BB694"/>
      <c r="BC694"/>
      <c r="BD694"/>
      <c r="BE694"/>
      <c r="BF694"/>
      <c r="BI694" s="3"/>
    </row>
    <row r="695" spans="52:98">
      <c r="AZ695"/>
      <c r="BA695"/>
      <c r="BB695"/>
      <c r="BC695"/>
      <c r="BD695"/>
      <c r="BE695"/>
      <c r="BF695"/>
    </row>
    <row r="696" spans="52:98">
      <c r="AZ696"/>
      <c r="BA696"/>
      <c r="BB696"/>
      <c r="BC696"/>
      <c r="BD696"/>
      <c r="BE696"/>
      <c r="BF696"/>
      <c r="BI696" s="3"/>
    </row>
    <row r="697" spans="52:98">
      <c r="AZ697"/>
      <c r="BA697"/>
      <c r="BB697"/>
      <c r="BC697"/>
      <c r="BD697"/>
      <c r="BE697"/>
      <c r="BF697"/>
    </row>
    <row r="698" spans="52:98">
      <c r="AZ698"/>
      <c r="BA698"/>
      <c r="BB698"/>
      <c r="BC698"/>
      <c r="BD698"/>
      <c r="BE698"/>
      <c r="BF698"/>
      <c r="BI698" s="3"/>
    </row>
    <row r="699" spans="52:98">
      <c r="AZ699"/>
      <c r="BA699"/>
      <c r="BB699"/>
      <c r="BC699"/>
      <c r="BD699"/>
      <c r="BE699"/>
      <c r="BF699"/>
    </row>
    <row r="700" spans="52:98">
      <c r="BI700" s="3"/>
    </row>
    <row r="701" spans="52:98">
      <c r="AZ701"/>
      <c r="BA701"/>
      <c r="BB701"/>
      <c r="BC701"/>
      <c r="BD701"/>
      <c r="BE701"/>
      <c r="BF701"/>
    </row>
    <row r="702" spans="52:98">
      <c r="AZ702"/>
      <c r="BA702"/>
      <c r="BB702"/>
      <c r="BC702"/>
      <c r="BD702"/>
      <c r="BE702"/>
      <c r="BF702"/>
      <c r="BI702" s="3"/>
    </row>
    <row r="703" spans="52:98">
      <c r="AZ703"/>
      <c r="BA703"/>
      <c r="BB703"/>
      <c r="BC703"/>
      <c r="BD703"/>
      <c r="BE703"/>
      <c r="BF703"/>
    </row>
    <row r="704" spans="52:98">
      <c r="AZ704"/>
      <c r="BA704"/>
      <c r="BB704"/>
      <c r="BC704"/>
      <c r="BD704"/>
      <c r="BE704"/>
      <c r="BF704"/>
    </row>
    <row r="705" spans="52:98">
      <c r="AZ705"/>
      <c r="BA705"/>
      <c r="BB705"/>
      <c r="BC705"/>
      <c r="BD705"/>
      <c r="BE705"/>
      <c r="BF705"/>
      <c r="BI705" s="75"/>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row>
    <row r="706" spans="52:98">
      <c r="AZ706"/>
      <c r="BA706"/>
      <c r="BB706"/>
      <c r="BC706"/>
      <c r="BD706"/>
      <c r="BE706"/>
      <c r="BF706"/>
      <c r="BI706" s="75"/>
    </row>
    <row r="707" spans="52:98">
      <c r="AZ707"/>
      <c r="BA707"/>
      <c r="BB707"/>
      <c r="BC707"/>
      <c r="BD707"/>
      <c r="BE707"/>
      <c r="BF707"/>
    </row>
    <row r="708" spans="52:98">
      <c r="AZ708"/>
      <c r="BA708"/>
      <c r="BB708"/>
      <c r="BC708"/>
      <c r="BD708"/>
      <c r="BE708"/>
      <c r="BF708"/>
      <c r="BI708" s="3"/>
    </row>
    <row r="709" spans="52:98">
      <c r="AZ709"/>
      <c r="BA709"/>
      <c r="BB709"/>
      <c r="BC709"/>
      <c r="BD709"/>
      <c r="BE709"/>
      <c r="BF709"/>
    </row>
    <row r="710" spans="52:98">
      <c r="AZ710"/>
      <c r="BA710"/>
      <c r="BB710"/>
      <c r="BC710"/>
      <c r="BD710"/>
      <c r="BE710"/>
      <c r="BF710"/>
      <c r="BI710" s="3"/>
    </row>
    <row r="711" spans="52:98">
      <c r="AZ711"/>
      <c r="BA711"/>
      <c r="BB711"/>
      <c r="BC711"/>
      <c r="BD711"/>
      <c r="BE711"/>
      <c r="BF711"/>
    </row>
    <row r="712" spans="52:98">
      <c r="AZ712"/>
      <c r="BA712"/>
      <c r="BB712"/>
      <c r="BC712"/>
      <c r="BD712"/>
      <c r="BE712"/>
      <c r="BF712"/>
      <c r="BI712" s="3"/>
    </row>
    <row r="713" spans="52:98">
      <c r="AZ713"/>
      <c r="BA713"/>
      <c r="BB713"/>
      <c r="BC713"/>
      <c r="BD713"/>
      <c r="BE713"/>
      <c r="BF713"/>
    </row>
    <row r="714" spans="52:98">
      <c r="AZ714"/>
      <c r="BA714"/>
      <c r="BB714"/>
      <c r="BC714"/>
      <c r="BD714"/>
      <c r="BE714"/>
      <c r="BF714"/>
      <c r="BI714" s="3"/>
    </row>
    <row r="715" spans="52:98">
      <c r="AZ715"/>
      <c r="BA715"/>
      <c r="BB715"/>
      <c r="BC715"/>
      <c r="BD715"/>
      <c r="BE715"/>
      <c r="BF715"/>
    </row>
    <row r="716" spans="52:98">
      <c r="BI716" s="3"/>
    </row>
    <row r="717" spans="52:98">
      <c r="AZ717"/>
      <c r="BA717"/>
      <c r="BB717"/>
      <c r="BC717"/>
      <c r="BD717"/>
      <c r="BE717"/>
      <c r="BF717"/>
    </row>
    <row r="718" spans="52:98">
      <c r="AZ718"/>
      <c r="BA718"/>
      <c r="BB718"/>
      <c r="BC718"/>
      <c r="BD718"/>
      <c r="BE718"/>
      <c r="BF718"/>
      <c r="BI718" s="3"/>
    </row>
    <row r="719" spans="52:98">
      <c r="AZ719"/>
      <c r="BA719"/>
      <c r="BB719"/>
      <c r="BC719"/>
      <c r="BD719"/>
      <c r="BE719"/>
      <c r="BF719"/>
    </row>
    <row r="720" spans="52:98">
      <c r="AZ720"/>
      <c r="BA720"/>
      <c r="BB720"/>
      <c r="BC720"/>
      <c r="BD720"/>
      <c r="BE720"/>
      <c r="BF720"/>
    </row>
    <row r="721" spans="52:98">
      <c r="AZ721"/>
      <c r="BA721"/>
      <c r="BB721"/>
      <c r="BC721"/>
      <c r="BD721"/>
      <c r="BE721"/>
      <c r="BF721"/>
      <c r="BI721" s="75"/>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row>
    <row r="722" spans="52:98">
      <c r="AZ722"/>
      <c r="BA722"/>
      <c r="BB722"/>
      <c r="BC722"/>
      <c r="BD722"/>
      <c r="BE722"/>
      <c r="BF722"/>
      <c r="BI722" s="75"/>
    </row>
    <row r="723" spans="52:98">
      <c r="AZ723"/>
      <c r="BA723"/>
      <c r="BB723"/>
      <c r="BC723"/>
      <c r="BD723"/>
      <c r="BE723"/>
      <c r="BF723"/>
    </row>
    <row r="724" spans="52:98">
      <c r="AZ724"/>
      <c r="BA724"/>
      <c r="BB724"/>
      <c r="BC724"/>
      <c r="BD724"/>
      <c r="BE724"/>
      <c r="BF724"/>
      <c r="BI724" s="3"/>
    </row>
    <row r="725" spans="52:98">
      <c r="AZ725"/>
      <c r="BA725"/>
      <c r="BB725"/>
      <c r="BC725"/>
      <c r="BD725"/>
      <c r="BE725"/>
      <c r="BF725"/>
    </row>
    <row r="726" spans="52:98">
      <c r="AZ726"/>
      <c r="BA726"/>
      <c r="BB726"/>
      <c r="BC726"/>
      <c r="BD726"/>
      <c r="BE726"/>
      <c r="BF726"/>
      <c r="BI726" s="3"/>
    </row>
    <row r="727" spans="52:98">
      <c r="AZ727"/>
      <c r="BA727"/>
      <c r="BB727"/>
      <c r="BC727"/>
      <c r="BD727"/>
      <c r="BE727"/>
      <c r="BF727"/>
    </row>
    <row r="728" spans="52:98">
      <c r="AZ728"/>
      <c r="BA728"/>
      <c r="BB728"/>
      <c r="BC728"/>
      <c r="BD728"/>
      <c r="BE728"/>
      <c r="BF728"/>
      <c r="BI728" s="3"/>
    </row>
    <row r="729" spans="52:98">
      <c r="AZ729"/>
      <c r="BA729"/>
      <c r="BB729"/>
      <c r="BC729"/>
      <c r="BD729"/>
      <c r="BE729"/>
      <c r="BF729"/>
    </row>
    <row r="730" spans="52:98">
      <c r="AZ730"/>
      <c r="BA730"/>
      <c r="BB730"/>
      <c r="BC730"/>
      <c r="BD730"/>
      <c r="BE730"/>
      <c r="BF730"/>
      <c r="BI730" s="3"/>
    </row>
    <row r="731" spans="52:98">
      <c r="AZ731"/>
      <c r="BA731"/>
      <c r="BB731"/>
      <c r="BC731"/>
      <c r="BD731"/>
      <c r="BE731"/>
      <c r="BF731"/>
    </row>
    <row r="732" spans="52:98">
      <c r="BI732" s="3"/>
    </row>
    <row r="733" spans="52:98">
      <c r="AZ733"/>
      <c r="BA733"/>
      <c r="BB733"/>
      <c r="BC733"/>
      <c r="BD733"/>
      <c r="BE733"/>
      <c r="BF733"/>
    </row>
    <row r="734" spans="52:98">
      <c r="AZ734"/>
      <c r="BA734"/>
      <c r="BB734"/>
      <c r="BC734"/>
      <c r="BD734"/>
      <c r="BE734"/>
      <c r="BF734"/>
      <c r="BI734" s="3"/>
    </row>
    <row r="735" spans="52:98">
      <c r="AZ735"/>
      <c r="BA735"/>
      <c r="BB735"/>
      <c r="BC735"/>
      <c r="BD735"/>
      <c r="BE735"/>
      <c r="BF735"/>
    </row>
    <row r="736" spans="52:98">
      <c r="AZ736"/>
      <c r="BA736"/>
      <c r="BB736"/>
      <c r="BC736"/>
      <c r="BD736"/>
      <c r="BE736"/>
      <c r="BF736"/>
    </row>
    <row r="737" spans="52:98">
      <c r="AZ737"/>
      <c r="BA737"/>
      <c r="BB737"/>
      <c r="BC737"/>
      <c r="BD737"/>
      <c r="BE737"/>
      <c r="BF737"/>
      <c r="BI737" s="75"/>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row>
    <row r="738" spans="52:98">
      <c r="AZ738"/>
      <c r="BA738"/>
      <c r="BB738"/>
      <c r="BC738"/>
      <c r="BD738"/>
      <c r="BE738"/>
      <c r="BF738"/>
      <c r="BI738" s="75"/>
    </row>
    <row r="739" spans="52:98">
      <c r="AZ739"/>
      <c r="BA739"/>
      <c r="BB739"/>
      <c r="BC739"/>
      <c r="BD739"/>
      <c r="BE739"/>
      <c r="BF739"/>
    </row>
    <row r="740" spans="52:98">
      <c r="AZ740"/>
      <c r="BA740"/>
      <c r="BB740"/>
      <c r="BC740"/>
      <c r="BD740"/>
      <c r="BE740"/>
      <c r="BF740"/>
      <c r="BI740" s="3"/>
    </row>
    <row r="741" spans="52:98">
      <c r="AZ741"/>
      <c r="BA741"/>
      <c r="BB741"/>
      <c r="BC741"/>
      <c r="BD741"/>
      <c r="BE741"/>
      <c r="BF741"/>
    </row>
    <row r="742" spans="52:98">
      <c r="AZ742"/>
      <c r="BA742"/>
      <c r="BB742"/>
      <c r="BC742"/>
      <c r="BD742"/>
      <c r="BE742"/>
      <c r="BF742"/>
      <c r="BI742" s="3"/>
    </row>
    <row r="743" spans="52:98">
      <c r="AZ743"/>
      <c r="BA743"/>
      <c r="BB743"/>
      <c r="BC743"/>
      <c r="BD743"/>
      <c r="BE743"/>
      <c r="BF743"/>
    </row>
    <row r="744" spans="52:98">
      <c r="AZ744"/>
      <c r="BA744"/>
      <c r="BB744"/>
      <c r="BC744"/>
      <c r="BD744"/>
      <c r="BE744"/>
      <c r="BF744"/>
      <c r="BI744" s="3"/>
    </row>
    <row r="745" spans="52:98">
      <c r="AZ745"/>
      <c r="BA745"/>
      <c r="BB745"/>
      <c r="BC745"/>
      <c r="BD745"/>
      <c r="BE745"/>
      <c r="BF745"/>
    </row>
    <row r="746" spans="52:98">
      <c r="AZ746"/>
      <c r="BA746"/>
      <c r="BB746"/>
      <c r="BC746"/>
      <c r="BD746"/>
      <c r="BE746"/>
      <c r="BF746"/>
      <c r="BI746" s="3"/>
    </row>
    <row r="747" spans="52:98">
      <c r="AZ747"/>
      <c r="BA747"/>
      <c r="BB747"/>
      <c r="BC747"/>
      <c r="BD747"/>
      <c r="BE747"/>
      <c r="BF747"/>
    </row>
    <row r="748" spans="52:98">
      <c r="BI748" s="3"/>
    </row>
    <row r="749" spans="52:98">
      <c r="AZ749"/>
      <c r="BA749"/>
      <c r="BB749"/>
      <c r="BC749"/>
      <c r="BD749"/>
      <c r="BE749"/>
      <c r="BF749"/>
    </row>
    <row r="750" spans="52:98">
      <c r="AZ750"/>
      <c r="BA750"/>
      <c r="BB750"/>
      <c r="BC750"/>
      <c r="BD750"/>
      <c r="BE750"/>
      <c r="BF750"/>
      <c r="BI750" s="3"/>
    </row>
    <row r="751" spans="52:98">
      <c r="AZ751"/>
      <c r="BA751"/>
      <c r="BB751"/>
      <c r="BC751"/>
      <c r="BD751"/>
      <c r="BE751"/>
      <c r="BF751"/>
    </row>
    <row r="752" spans="52:98">
      <c r="AZ752"/>
      <c r="BA752"/>
      <c r="BB752"/>
      <c r="BC752"/>
      <c r="BD752"/>
      <c r="BE752"/>
      <c r="BF752"/>
    </row>
    <row r="753" spans="52:98">
      <c r="AZ753"/>
      <c r="BA753"/>
      <c r="BB753"/>
      <c r="BC753"/>
      <c r="BD753"/>
      <c r="BE753"/>
      <c r="BF753"/>
      <c r="BI753" s="75"/>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row>
    <row r="754" spans="52:98">
      <c r="AZ754"/>
      <c r="BA754"/>
      <c r="BB754"/>
      <c r="BC754"/>
      <c r="BD754"/>
      <c r="BE754"/>
      <c r="BF754"/>
      <c r="BI754" s="75"/>
    </row>
    <row r="755" spans="52:98">
      <c r="AZ755"/>
      <c r="BA755"/>
      <c r="BB755"/>
      <c r="BC755"/>
      <c r="BD755"/>
      <c r="BE755"/>
      <c r="BF755"/>
    </row>
    <row r="756" spans="52:98">
      <c r="AZ756"/>
      <c r="BA756"/>
      <c r="BB756"/>
      <c r="BC756"/>
      <c r="BD756"/>
      <c r="BE756"/>
      <c r="BF756"/>
      <c r="BI756" s="3"/>
    </row>
    <row r="757" spans="52:98">
      <c r="AZ757"/>
      <c r="BA757"/>
      <c r="BB757"/>
      <c r="BC757"/>
      <c r="BD757"/>
      <c r="BE757"/>
      <c r="BF757"/>
    </row>
    <row r="758" spans="52:98">
      <c r="AZ758"/>
      <c r="BA758"/>
      <c r="BB758"/>
      <c r="BC758"/>
      <c r="BD758"/>
      <c r="BE758"/>
      <c r="BF758"/>
      <c r="BI758" s="3"/>
    </row>
    <row r="759" spans="52:98">
      <c r="AZ759"/>
      <c r="BA759"/>
      <c r="BB759"/>
      <c r="BC759"/>
      <c r="BD759"/>
      <c r="BE759"/>
      <c r="BF759"/>
    </row>
    <row r="760" spans="52:98">
      <c r="AZ760"/>
      <c r="BA760"/>
      <c r="BB760"/>
      <c r="BC760"/>
      <c r="BD760"/>
      <c r="BE760"/>
      <c r="BF760"/>
      <c r="BI760" s="3"/>
    </row>
    <row r="761" spans="52:98">
      <c r="AZ761"/>
      <c r="BA761"/>
      <c r="BB761"/>
      <c r="BC761"/>
      <c r="BD761"/>
      <c r="BE761"/>
      <c r="BF761"/>
    </row>
    <row r="762" spans="52:98">
      <c r="AZ762"/>
      <c r="BA762"/>
      <c r="BB762"/>
      <c r="BC762"/>
      <c r="BD762"/>
      <c r="BE762"/>
      <c r="BF762"/>
      <c r="BI762" s="3"/>
    </row>
    <row r="763" spans="52:98">
      <c r="AZ763"/>
      <c r="BA763"/>
      <c r="BB763"/>
      <c r="BC763"/>
      <c r="BD763"/>
      <c r="BE763"/>
      <c r="BF763"/>
    </row>
    <row r="764" spans="52:98">
      <c r="BI764" s="3"/>
    </row>
    <row r="765" spans="52:98">
      <c r="AZ765"/>
      <c r="BA765"/>
      <c r="BB765"/>
      <c r="BC765"/>
      <c r="BD765"/>
      <c r="BE765"/>
      <c r="BF765"/>
    </row>
    <row r="766" spans="52:98">
      <c r="AZ766"/>
      <c r="BA766"/>
      <c r="BB766"/>
      <c r="BC766"/>
      <c r="BD766"/>
      <c r="BE766"/>
      <c r="BF766"/>
      <c r="BI766" s="3"/>
    </row>
    <row r="767" spans="52:98">
      <c r="AZ767"/>
      <c r="BA767"/>
      <c r="BB767"/>
      <c r="BC767"/>
      <c r="BD767"/>
      <c r="BE767"/>
      <c r="BF767"/>
    </row>
    <row r="768" spans="52:98">
      <c r="AZ768"/>
      <c r="BA768"/>
      <c r="BB768"/>
      <c r="BC768"/>
      <c r="BD768"/>
      <c r="BE768"/>
      <c r="BF768"/>
    </row>
    <row r="769" spans="52:98">
      <c r="AZ769"/>
      <c r="BA769"/>
      <c r="BB769"/>
      <c r="BC769"/>
      <c r="BD769"/>
      <c r="BE769"/>
      <c r="BF769"/>
      <c r="BI769" s="75"/>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row>
    <row r="770" spans="52:98">
      <c r="AZ770"/>
      <c r="BA770"/>
      <c r="BB770"/>
      <c r="BC770"/>
      <c r="BD770"/>
      <c r="BE770"/>
      <c r="BF770"/>
      <c r="BI770" s="75"/>
    </row>
    <row r="771" spans="52:98">
      <c r="AZ771"/>
      <c r="BA771"/>
      <c r="BB771"/>
      <c r="BC771"/>
      <c r="BD771"/>
      <c r="BE771"/>
      <c r="BF771"/>
    </row>
    <row r="772" spans="52:98">
      <c r="AZ772"/>
      <c r="BA772"/>
      <c r="BB772"/>
      <c r="BC772"/>
      <c r="BD772"/>
      <c r="BE772"/>
      <c r="BF772"/>
      <c r="BI772" s="3"/>
    </row>
    <row r="773" spans="52:98">
      <c r="AZ773"/>
      <c r="BA773"/>
      <c r="BB773"/>
      <c r="BC773"/>
      <c r="BD773"/>
      <c r="BE773"/>
      <c r="BF773"/>
    </row>
    <row r="774" spans="52:98">
      <c r="AZ774"/>
      <c r="BA774"/>
      <c r="BB774"/>
      <c r="BC774"/>
      <c r="BD774"/>
      <c r="BE774"/>
      <c r="BF774"/>
      <c r="BI774" s="3"/>
    </row>
    <row r="775" spans="52:98">
      <c r="AZ775"/>
      <c r="BA775"/>
      <c r="BB775"/>
      <c r="BC775"/>
      <c r="BD775"/>
      <c r="BE775"/>
      <c r="BF775"/>
    </row>
    <row r="776" spans="52:98">
      <c r="AZ776"/>
      <c r="BA776"/>
      <c r="BB776"/>
      <c r="BC776"/>
      <c r="BD776"/>
      <c r="BE776"/>
      <c r="BF776"/>
      <c r="BI776" s="3"/>
    </row>
    <row r="777" spans="52:98">
      <c r="AZ777"/>
      <c r="BA777"/>
      <c r="BB777"/>
      <c r="BC777"/>
      <c r="BD777"/>
      <c r="BE777"/>
      <c r="BF777"/>
    </row>
    <row r="778" spans="52:98">
      <c r="AZ778"/>
      <c r="BA778"/>
      <c r="BB778"/>
      <c r="BC778"/>
      <c r="BD778"/>
      <c r="BE778"/>
      <c r="BF778"/>
      <c r="BI778" s="3"/>
    </row>
    <row r="779" spans="52:98">
      <c r="AZ779"/>
      <c r="BA779"/>
      <c r="BB779"/>
      <c r="BC779"/>
      <c r="BD779"/>
      <c r="BE779"/>
      <c r="BF779"/>
    </row>
    <row r="780" spans="52:98">
      <c r="BI780" s="3"/>
    </row>
    <row r="781" spans="52:98">
      <c r="AZ781"/>
      <c r="BA781"/>
      <c r="BB781"/>
      <c r="BC781"/>
      <c r="BD781"/>
      <c r="BE781"/>
      <c r="BF781"/>
    </row>
    <row r="782" spans="52:98">
      <c r="AZ782"/>
      <c r="BA782"/>
      <c r="BB782"/>
      <c r="BC782"/>
      <c r="BD782"/>
      <c r="BE782"/>
      <c r="BF782"/>
      <c r="BI782" s="3"/>
    </row>
    <row r="783" spans="52:98">
      <c r="AZ783"/>
      <c r="BA783"/>
      <c r="BB783"/>
      <c r="BC783"/>
      <c r="BD783"/>
      <c r="BE783"/>
      <c r="BF783"/>
    </row>
    <row r="784" spans="52:98">
      <c r="AZ784"/>
      <c r="BA784"/>
      <c r="BB784"/>
      <c r="BC784"/>
      <c r="BD784"/>
      <c r="BE784"/>
      <c r="BF784"/>
    </row>
    <row r="785" spans="52:98">
      <c r="AZ785"/>
      <c r="BA785"/>
      <c r="BB785"/>
      <c r="BC785"/>
      <c r="BD785"/>
      <c r="BE785"/>
      <c r="BF785"/>
      <c r="BI785" s="75"/>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row>
    <row r="786" spans="52:98">
      <c r="AZ786"/>
      <c r="BA786"/>
      <c r="BB786"/>
      <c r="BC786"/>
      <c r="BD786"/>
      <c r="BE786"/>
      <c r="BF786"/>
      <c r="BI786" s="75"/>
    </row>
    <row r="787" spans="52:98">
      <c r="AZ787"/>
      <c r="BA787"/>
      <c r="BB787"/>
      <c r="BC787"/>
      <c r="BD787"/>
      <c r="BE787"/>
      <c r="BF787"/>
    </row>
    <row r="788" spans="52:98">
      <c r="AZ788"/>
      <c r="BA788"/>
      <c r="BB788"/>
      <c r="BC788"/>
      <c r="BD788"/>
      <c r="BE788"/>
      <c r="BF788"/>
      <c r="BI788" s="3"/>
    </row>
    <row r="789" spans="52:98">
      <c r="AZ789"/>
      <c r="BA789"/>
      <c r="BB789"/>
      <c r="BC789"/>
      <c r="BD789"/>
      <c r="BE789"/>
      <c r="BF789"/>
    </row>
    <row r="790" spans="52:98">
      <c r="AZ790"/>
      <c r="BA790"/>
      <c r="BB790"/>
      <c r="BC790"/>
      <c r="BD790"/>
      <c r="BE790"/>
      <c r="BF790"/>
      <c r="BI790" s="3"/>
    </row>
    <row r="791" spans="52:98">
      <c r="AZ791"/>
      <c r="BA791"/>
      <c r="BB791"/>
      <c r="BC791"/>
      <c r="BD791"/>
      <c r="BE791"/>
      <c r="BF791"/>
    </row>
    <row r="792" spans="52:98">
      <c r="AZ792"/>
      <c r="BA792"/>
      <c r="BB792"/>
      <c r="BC792"/>
      <c r="BD792"/>
      <c r="BE792"/>
      <c r="BF792"/>
      <c r="BI792" s="3"/>
    </row>
    <row r="793" spans="52:98">
      <c r="AZ793"/>
      <c r="BA793"/>
      <c r="BB793"/>
      <c r="BC793"/>
      <c r="BD793"/>
      <c r="BE793"/>
      <c r="BF793"/>
    </row>
    <row r="794" spans="52:98">
      <c r="AZ794"/>
      <c r="BA794"/>
      <c r="BB794"/>
      <c r="BC794"/>
      <c r="BD794"/>
      <c r="BE794"/>
      <c r="BF794"/>
      <c r="BI794" s="3"/>
    </row>
    <row r="795" spans="52:98">
      <c r="AZ795"/>
      <c r="BA795"/>
      <c r="BB795"/>
      <c r="BC795"/>
      <c r="BD795"/>
      <c r="BE795"/>
      <c r="BF795"/>
    </row>
    <row r="796" spans="52:98">
      <c r="BI796" s="3"/>
    </row>
    <row r="797" spans="52:98">
      <c r="AZ797"/>
      <c r="BA797"/>
      <c r="BB797"/>
      <c r="BC797"/>
      <c r="BD797"/>
      <c r="BE797"/>
      <c r="BF797"/>
    </row>
    <row r="798" spans="52:98">
      <c r="AZ798"/>
      <c r="BA798"/>
      <c r="BB798"/>
      <c r="BC798"/>
      <c r="BD798"/>
      <c r="BE798"/>
      <c r="BF798"/>
      <c r="BI798" s="3"/>
    </row>
    <row r="799" spans="52:98">
      <c r="AZ799"/>
      <c r="BA799"/>
      <c r="BB799"/>
      <c r="BC799"/>
      <c r="BD799"/>
      <c r="BE799"/>
      <c r="BF799"/>
      <c r="BI799" s="53"/>
    </row>
    <row r="800" spans="52:98">
      <c r="AZ800"/>
      <c r="BA800"/>
      <c r="BB800"/>
      <c r="BC800"/>
      <c r="BD800"/>
      <c r="BE800"/>
      <c r="BF800"/>
      <c r="BI800" s="3"/>
    </row>
    <row r="801" spans="52:98">
      <c r="AZ801"/>
      <c r="BA801"/>
      <c r="BB801"/>
      <c r="BC801"/>
      <c r="BD801"/>
      <c r="BE801"/>
      <c r="BF801"/>
      <c r="BI801" s="75"/>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row>
    <row r="802" spans="52:98">
      <c r="AZ802"/>
      <c r="BA802"/>
      <c r="BB802"/>
      <c r="BC802"/>
      <c r="BD802"/>
      <c r="BE802"/>
      <c r="BF802"/>
      <c r="BI802" s="75"/>
    </row>
    <row r="803" spans="52:98">
      <c r="AZ803"/>
      <c r="BA803"/>
      <c r="BB803"/>
      <c r="BC803"/>
      <c r="BD803"/>
      <c r="BE803"/>
      <c r="BF803"/>
    </row>
    <row r="804" spans="52:98">
      <c r="AZ804"/>
      <c r="BA804"/>
      <c r="BB804"/>
      <c r="BC804"/>
      <c r="BD804"/>
      <c r="BE804"/>
      <c r="BF804"/>
      <c r="BI804" s="3"/>
    </row>
    <row r="805" spans="52:98">
      <c r="AZ805"/>
      <c r="BA805"/>
      <c r="BB805"/>
      <c r="BC805"/>
      <c r="BD805"/>
      <c r="BE805"/>
      <c r="BF805"/>
    </row>
    <row r="806" spans="52:98">
      <c r="AZ806"/>
      <c r="BA806"/>
      <c r="BB806"/>
      <c r="BC806"/>
      <c r="BD806"/>
      <c r="BE806"/>
      <c r="BF806"/>
      <c r="BI806" s="3"/>
    </row>
    <row r="807" spans="52:98">
      <c r="AZ807"/>
      <c r="BA807"/>
      <c r="BB807"/>
      <c r="BC807"/>
      <c r="BD807"/>
      <c r="BE807"/>
      <c r="BF807"/>
    </row>
    <row r="808" spans="52:98">
      <c r="AZ808"/>
      <c r="BA808"/>
      <c r="BB808"/>
      <c r="BC808"/>
      <c r="BD808"/>
      <c r="BE808"/>
      <c r="BF808"/>
      <c r="BI808" s="3"/>
    </row>
    <row r="809" spans="52:98">
      <c r="AZ809"/>
      <c r="BA809"/>
      <c r="BB809"/>
      <c r="BC809"/>
      <c r="BD809"/>
      <c r="BE809"/>
      <c r="BF809"/>
    </row>
    <row r="810" spans="52:98">
      <c r="AZ810"/>
      <c r="BA810"/>
      <c r="BB810"/>
      <c r="BC810"/>
      <c r="BD810"/>
      <c r="BE810"/>
      <c r="BF810"/>
      <c r="BI810" s="3"/>
    </row>
    <row r="811" spans="52:98">
      <c r="AZ811"/>
      <c r="BA811"/>
      <c r="BB811"/>
      <c r="BC811"/>
      <c r="BD811"/>
      <c r="BE811"/>
      <c r="BF811"/>
    </row>
    <row r="812" spans="52:98">
      <c r="AZ812"/>
      <c r="BA812"/>
      <c r="BB812"/>
      <c r="BC812"/>
      <c r="BD812"/>
      <c r="BE812"/>
      <c r="BF812"/>
      <c r="BI812" s="3"/>
    </row>
    <row r="813" spans="52:98">
      <c r="AZ813"/>
      <c r="BA813"/>
      <c r="BB813"/>
      <c r="BC813"/>
      <c r="BD813"/>
      <c r="BE813"/>
      <c r="BF813"/>
    </row>
    <row r="814" spans="52:98">
      <c r="AZ814"/>
      <c r="BA814"/>
      <c r="BB814"/>
      <c r="BC814"/>
      <c r="BD814"/>
      <c r="BE814"/>
      <c r="BF814"/>
      <c r="BI814" s="3"/>
    </row>
    <row r="815" spans="52:98">
      <c r="AZ815"/>
      <c r="BA815"/>
      <c r="BB815"/>
      <c r="BC815"/>
      <c r="BD815"/>
      <c r="BE815"/>
      <c r="BF815"/>
      <c r="BI815" s="53"/>
    </row>
    <row r="816" spans="52:98">
      <c r="AZ816"/>
      <c r="BA816"/>
      <c r="BB816"/>
      <c r="BC816"/>
      <c r="BD816"/>
      <c r="BE816"/>
      <c r="BF816"/>
    </row>
    <row r="817" spans="52:98">
      <c r="AZ817"/>
      <c r="BA817"/>
      <c r="BB817"/>
      <c r="BC817"/>
      <c r="BD817"/>
      <c r="BE817"/>
      <c r="BF817"/>
      <c r="BI817" s="75"/>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row>
    <row r="818" spans="52:98">
      <c r="AZ818"/>
      <c r="BA818"/>
      <c r="BB818"/>
      <c r="BC818"/>
      <c r="BD818"/>
      <c r="BE818"/>
      <c r="BF818"/>
      <c r="BI818" s="75"/>
    </row>
    <row r="819" spans="52:98">
      <c r="AZ819"/>
      <c r="BA819"/>
      <c r="BB819"/>
      <c r="BC819"/>
      <c r="BD819"/>
      <c r="BE819"/>
      <c r="BF819"/>
    </row>
    <row r="820" spans="52:98">
      <c r="AZ820"/>
      <c r="BA820"/>
      <c r="BB820"/>
      <c r="BC820"/>
      <c r="BD820"/>
      <c r="BE820"/>
      <c r="BF820"/>
      <c r="BI820" s="3"/>
    </row>
    <row r="821" spans="52:98">
      <c r="AZ821"/>
      <c r="BA821"/>
      <c r="BB821"/>
      <c r="BC821"/>
      <c r="BD821"/>
      <c r="BE821"/>
      <c r="BF821"/>
    </row>
    <row r="822" spans="52:98">
      <c r="AZ822"/>
      <c r="BA822"/>
      <c r="BB822"/>
      <c r="BC822"/>
      <c r="BD822"/>
      <c r="BE822"/>
      <c r="BF822"/>
      <c r="BI822" s="3"/>
    </row>
    <row r="823" spans="52:98">
      <c r="AZ823"/>
      <c r="BA823"/>
      <c r="BB823"/>
      <c r="BC823"/>
      <c r="BD823"/>
      <c r="BE823"/>
      <c r="BF823"/>
    </row>
    <row r="824" spans="52:98">
      <c r="AZ824"/>
      <c r="BA824"/>
      <c r="BB824"/>
      <c r="BC824"/>
      <c r="BD824"/>
      <c r="BE824"/>
      <c r="BF824"/>
      <c r="BI824" s="3"/>
    </row>
    <row r="825" spans="52:98">
      <c r="AZ825"/>
      <c r="BA825"/>
      <c r="BB825"/>
      <c r="BC825"/>
      <c r="BD825"/>
      <c r="BE825"/>
      <c r="BF825"/>
    </row>
    <row r="826" spans="52:98">
      <c r="AZ826"/>
      <c r="BA826"/>
      <c r="BB826"/>
      <c r="BC826"/>
      <c r="BD826"/>
      <c r="BE826"/>
      <c r="BF826"/>
      <c r="BI826" s="3"/>
    </row>
    <row r="827" spans="52:98">
      <c r="AZ827"/>
      <c r="BA827"/>
      <c r="BB827"/>
      <c r="BC827"/>
      <c r="BD827"/>
      <c r="BE827"/>
      <c r="BF827"/>
    </row>
    <row r="828" spans="52:98">
      <c r="BI828" s="3"/>
    </row>
    <row r="829" spans="52:98">
      <c r="AZ829"/>
      <c r="BA829"/>
      <c r="BB829"/>
      <c r="BC829"/>
      <c r="BD829"/>
      <c r="BE829"/>
      <c r="BF829"/>
    </row>
    <row r="830" spans="52:98">
      <c r="AZ830"/>
      <c r="BA830"/>
      <c r="BB830"/>
      <c r="BC830"/>
      <c r="BD830"/>
      <c r="BE830"/>
      <c r="BF830"/>
      <c r="BI830" s="3"/>
    </row>
    <row r="831" spans="52:98">
      <c r="AZ831"/>
      <c r="BA831"/>
      <c r="BB831"/>
      <c r="BC831"/>
      <c r="BD831"/>
      <c r="BE831"/>
      <c r="BF831"/>
    </row>
    <row r="832" spans="52:98">
      <c r="AZ832"/>
      <c r="BA832"/>
      <c r="BB832"/>
      <c r="BC832"/>
      <c r="BD832"/>
      <c r="BE832"/>
      <c r="BF832"/>
    </row>
    <row r="833" spans="52:98">
      <c r="AZ833"/>
      <c r="BA833"/>
      <c r="BB833"/>
      <c r="BC833"/>
      <c r="BD833"/>
      <c r="BE833"/>
      <c r="BF833"/>
      <c r="BI833" s="75"/>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row>
    <row r="834" spans="52:98">
      <c r="AZ834"/>
      <c r="BA834"/>
      <c r="BB834"/>
      <c r="BC834"/>
      <c r="BD834"/>
      <c r="BE834"/>
      <c r="BF834"/>
      <c r="BI834" s="75"/>
    </row>
    <row r="835" spans="52:98">
      <c r="AZ835"/>
      <c r="BA835"/>
      <c r="BB835"/>
      <c r="BC835"/>
      <c r="BD835"/>
      <c r="BE835"/>
      <c r="BF835"/>
    </row>
    <row r="836" spans="52:98">
      <c r="AZ836"/>
      <c r="BA836"/>
      <c r="BB836"/>
      <c r="BC836"/>
      <c r="BD836"/>
      <c r="BE836"/>
      <c r="BF836"/>
      <c r="BI836" s="3"/>
    </row>
    <row r="837" spans="52:98">
      <c r="AZ837"/>
      <c r="BA837"/>
      <c r="BB837"/>
      <c r="BC837"/>
      <c r="BD837"/>
      <c r="BE837"/>
      <c r="BF837"/>
    </row>
    <row r="838" spans="52:98">
      <c r="AZ838"/>
      <c r="BA838"/>
      <c r="BB838"/>
      <c r="BC838"/>
      <c r="BD838"/>
      <c r="BE838"/>
      <c r="BF838"/>
      <c r="BI838" s="3"/>
    </row>
    <row r="839" spans="52:98">
      <c r="AZ839"/>
      <c r="BA839"/>
      <c r="BB839"/>
      <c r="BC839"/>
      <c r="BD839"/>
      <c r="BE839"/>
      <c r="BF839"/>
    </row>
    <row r="840" spans="52:98">
      <c r="AZ840"/>
      <c r="BA840"/>
      <c r="BB840"/>
      <c r="BC840"/>
      <c r="BD840"/>
      <c r="BE840"/>
      <c r="BF840"/>
      <c r="BI840" s="3"/>
    </row>
    <row r="841" spans="52:98">
      <c r="AZ841"/>
      <c r="BA841"/>
      <c r="BB841"/>
      <c r="BC841"/>
      <c r="BD841"/>
      <c r="BE841"/>
      <c r="BF841"/>
    </row>
    <row r="842" spans="52:98">
      <c r="AZ842"/>
      <c r="BA842"/>
      <c r="BB842"/>
      <c r="BC842"/>
      <c r="BD842"/>
      <c r="BE842"/>
      <c r="BF842"/>
      <c r="BI842" s="3"/>
    </row>
    <row r="843" spans="52:98">
      <c r="AZ843"/>
      <c r="BA843"/>
      <c r="BB843"/>
      <c r="BC843"/>
      <c r="BD843"/>
      <c r="BE843"/>
      <c r="BF843"/>
    </row>
    <row r="844" spans="52:98">
      <c r="BI844" s="3"/>
    </row>
    <row r="845" spans="52:98">
      <c r="AZ845"/>
      <c r="BA845"/>
      <c r="BB845"/>
      <c r="BC845"/>
      <c r="BD845"/>
      <c r="BE845"/>
      <c r="BF845"/>
    </row>
    <row r="846" spans="52:98">
      <c r="AZ846"/>
      <c r="BA846"/>
      <c r="BB846"/>
      <c r="BC846"/>
      <c r="BD846"/>
      <c r="BE846"/>
      <c r="BF846"/>
      <c r="BI846" s="3"/>
    </row>
    <row r="847" spans="52:98">
      <c r="AZ847"/>
      <c r="BA847"/>
      <c r="BB847"/>
      <c r="BC847"/>
      <c r="BD847"/>
      <c r="BE847"/>
      <c r="BF847"/>
    </row>
    <row r="848" spans="52:98">
      <c r="AZ848"/>
      <c r="BA848"/>
      <c r="BB848"/>
      <c r="BC848"/>
      <c r="BD848"/>
      <c r="BE848"/>
      <c r="BF848"/>
    </row>
    <row r="849" spans="52:98">
      <c r="AZ849"/>
      <c r="BA849"/>
      <c r="BB849"/>
      <c r="BC849"/>
      <c r="BD849"/>
      <c r="BE849"/>
      <c r="BF849"/>
      <c r="BI849" s="75"/>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row>
    <row r="850" spans="52:98">
      <c r="AZ850"/>
      <c r="BA850"/>
      <c r="BB850"/>
      <c r="BC850"/>
      <c r="BD850"/>
      <c r="BE850"/>
      <c r="BF850"/>
      <c r="BI850" s="75"/>
    </row>
    <row r="851" spans="52:98">
      <c r="AZ851"/>
      <c r="BA851"/>
      <c r="BB851"/>
      <c r="BC851"/>
      <c r="BD851"/>
      <c r="BE851"/>
      <c r="BF851"/>
    </row>
    <row r="852" spans="52:98">
      <c r="AZ852"/>
      <c r="BA852"/>
      <c r="BB852"/>
      <c r="BC852"/>
      <c r="BD852"/>
      <c r="BE852"/>
      <c r="BF852"/>
      <c r="BI852" s="3"/>
    </row>
    <row r="853" spans="52:98">
      <c r="AZ853"/>
      <c r="BA853"/>
      <c r="BB853"/>
      <c r="BC853"/>
      <c r="BD853"/>
      <c r="BE853"/>
      <c r="BF853"/>
    </row>
    <row r="854" spans="52:98">
      <c r="AZ854"/>
      <c r="BA854"/>
      <c r="BB854"/>
      <c r="BC854"/>
      <c r="BD854"/>
      <c r="BE854"/>
      <c r="BF854"/>
      <c r="BI854" s="3"/>
    </row>
    <row r="855" spans="52:98">
      <c r="AZ855"/>
      <c r="BA855"/>
      <c r="BB855"/>
      <c r="BC855"/>
      <c r="BD855"/>
      <c r="BE855"/>
      <c r="BF855"/>
    </row>
    <row r="856" spans="52:98">
      <c r="AZ856"/>
      <c r="BA856"/>
      <c r="BB856"/>
      <c r="BC856"/>
      <c r="BD856"/>
      <c r="BE856"/>
      <c r="BF856"/>
      <c r="BI856" s="3"/>
    </row>
    <row r="857" spans="52:98">
      <c r="AZ857"/>
      <c r="BA857"/>
      <c r="BB857"/>
      <c r="BC857"/>
      <c r="BD857"/>
      <c r="BE857"/>
      <c r="BF857"/>
    </row>
    <row r="858" spans="52:98">
      <c r="AZ858"/>
      <c r="BA858"/>
      <c r="BB858"/>
      <c r="BC858"/>
      <c r="BD858"/>
      <c r="BE858"/>
      <c r="BF858"/>
      <c r="BI858" s="3"/>
    </row>
    <row r="859" spans="52:98">
      <c r="AZ859"/>
      <c r="BA859"/>
      <c r="BB859"/>
      <c r="BC859"/>
      <c r="BD859"/>
      <c r="BE859"/>
      <c r="BF859"/>
    </row>
    <row r="860" spans="52:98">
      <c r="BI860" s="3"/>
    </row>
    <row r="861" spans="52:98">
      <c r="AZ861"/>
      <c r="BA861"/>
      <c r="BB861"/>
      <c r="BC861"/>
      <c r="BD861"/>
      <c r="BE861"/>
      <c r="BF861"/>
    </row>
    <row r="862" spans="52:98">
      <c r="AZ862"/>
      <c r="BA862"/>
      <c r="BB862"/>
      <c r="BC862"/>
      <c r="BD862"/>
      <c r="BE862"/>
      <c r="BF862"/>
      <c r="BI862" s="3"/>
    </row>
    <row r="863" spans="52:98">
      <c r="AZ863"/>
      <c r="BA863"/>
      <c r="BB863"/>
      <c r="BC863"/>
      <c r="BD863"/>
      <c r="BE863"/>
      <c r="BF863"/>
    </row>
    <row r="864" spans="52:98">
      <c r="AZ864"/>
      <c r="BA864"/>
      <c r="BB864"/>
      <c r="BC864"/>
      <c r="BD864"/>
      <c r="BE864"/>
      <c r="BF864"/>
    </row>
    <row r="865" spans="52:98">
      <c r="AZ865"/>
      <c r="BA865"/>
      <c r="BB865"/>
      <c r="BC865"/>
      <c r="BD865"/>
      <c r="BE865"/>
      <c r="BF865"/>
      <c r="BI865" s="75"/>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row>
    <row r="866" spans="52:98">
      <c r="AZ866"/>
      <c r="BA866"/>
      <c r="BB866"/>
      <c r="BC866"/>
      <c r="BD866"/>
      <c r="BE866"/>
      <c r="BF866"/>
      <c r="BI866" s="75"/>
    </row>
    <row r="867" spans="52:98">
      <c r="AZ867"/>
      <c r="BA867"/>
      <c r="BB867"/>
      <c r="BC867"/>
      <c r="BD867"/>
      <c r="BE867"/>
      <c r="BF867"/>
    </row>
    <row r="868" spans="52:98">
      <c r="AZ868"/>
      <c r="BA868"/>
      <c r="BB868"/>
      <c r="BC868"/>
      <c r="BD868"/>
      <c r="BE868"/>
      <c r="BF868"/>
      <c r="BI868" s="3"/>
    </row>
    <row r="869" spans="52:98">
      <c r="AZ869"/>
      <c r="BA869"/>
      <c r="BB869"/>
      <c r="BC869"/>
      <c r="BD869"/>
      <c r="BE869"/>
      <c r="BF869"/>
    </row>
    <row r="870" spans="52:98">
      <c r="AZ870"/>
      <c r="BA870"/>
      <c r="BB870"/>
      <c r="BC870"/>
      <c r="BD870"/>
      <c r="BE870"/>
      <c r="BF870"/>
      <c r="BI870" s="3"/>
    </row>
    <row r="871" spans="52:98">
      <c r="AZ871"/>
      <c r="BA871"/>
      <c r="BB871"/>
      <c r="BC871"/>
      <c r="BD871"/>
      <c r="BE871"/>
      <c r="BF871"/>
    </row>
    <row r="872" spans="52:98">
      <c r="AZ872"/>
      <c r="BA872"/>
      <c r="BB872"/>
      <c r="BC872"/>
      <c r="BD872"/>
      <c r="BE872"/>
      <c r="BF872"/>
      <c r="BI872" s="3"/>
    </row>
    <row r="873" spans="52:98">
      <c r="AZ873"/>
      <c r="BA873"/>
      <c r="BB873"/>
      <c r="BC873"/>
      <c r="BD873"/>
      <c r="BE873"/>
      <c r="BF873"/>
    </row>
    <row r="874" spans="52:98">
      <c r="AZ874"/>
      <c r="BA874"/>
      <c r="BB874"/>
      <c r="BC874"/>
      <c r="BD874"/>
      <c r="BE874"/>
      <c r="BF874"/>
      <c r="BI874" s="3"/>
    </row>
    <row r="875" spans="52:98">
      <c r="AZ875"/>
      <c r="BA875"/>
      <c r="BB875"/>
      <c r="BC875"/>
      <c r="BD875"/>
      <c r="BE875"/>
      <c r="BF875"/>
    </row>
    <row r="876" spans="52:98">
      <c r="BI876" s="3"/>
    </row>
    <row r="877" spans="52:98">
      <c r="AZ877"/>
      <c r="BA877"/>
      <c r="BB877"/>
      <c r="BC877"/>
      <c r="BD877"/>
      <c r="BE877"/>
      <c r="BF877"/>
    </row>
    <row r="878" spans="52:98">
      <c r="AZ878"/>
      <c r="BA878"/>
      <c r="BB878"/>
      <c r="BC878"/>
      <c r="BD878"/>
      <c r="BE878"/>
      <c r="BF878"/>
      <c r="BI878" s="3"/>
    </row>
    <row r="879" spans="52:98">
      <c r="AZ879"/>
      <c r="BA879"/>
      <c r="BB879"/>
      <c r="BC879"/>
      <c r="BD879"/>
      <c r="BE879"/>
      <c r="BF879"/>
    </row>
    <row r="880" spans="52:98">
      <c r="AZ880"/>
      <c r="BA880"/>
      <c r="BB880"/>
      <c r="BC880"/>
      <c r="BD880"/>
      <c r="BE880"/>
      <c r="BF880"/>
    </row>
    <row r="881" spans="52:98">
      <c r="AZ881"/>
      <c r="BA881"/>
      <c r="BB881"/>
      <c r="BC881"/>
      <c r="BD881"/>
      <c r="BE881"/>
      <c r="BF881"/>
      <c r="BI881" s="75"/>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row>
    <row r="882" spans="52:98">
      <c r="AZ882"/>
      <c r="BA882"/>
      <c r="BB882"/>
      <c r="BC882"/>
      <c r="BD882"/>
      <c r="BE882"/>
      <c r="BF882"/>
      <c r="BI882" s="75"/>
    </row>
    <row r="883" spans="52:98">
      <c r="AZ883"/>
      <c r="BA883"/>
      <c r="BB883"/>
      <c r="BC883"/>
      <c r="BD883"/>
      <c r="BE883"/>
      <c r="BF883"/>
    </row>
    <row r="884" spans="52:98">
      <c r="AZ884"/>
      <c r="BA884"/>
      <c r="BB884"/>
      <c r="BC884"/>
      <c r="BD884"/>
      <c r="BE884"/>
      <c r="BF884"/>
      <c r="BI884" s="3"/>
    </row>
    <row r="885" spans="52:98">
      <c r="AZ885"/>
      <c r="BA885"/>
      <c r="BB885"/>
      <c r="BC885"/>
      <c r="BD885"/>
      <c r="BE885"/>
      <c r="BF885"/>
    </row>
    <row r="886" spans="52:98">
      <c r="AZ886"/>
      <c r="BA886"/>
      <c r="BB886"/>
      <c r="BC886"/>
      <c r="BD886"/>
      <c r="BE886"/>
      <c r="BF886"/>
      <c r="BI886" s="3"/>
    </row>
    <row r="887" spans="52:98">
      <c r="AZ887"/>
      <c r="BA887"/>
      <c r="BB887"/>
      <c r="BC887"/>
      <c r="BD887"/>
      <c r="BE887"/>
      <c r="BF887"/>
    </row>
    <row r="888" spans="52:98">
      <c r="AZ888"/>
      <c r="BA888"/>
      <c r="BB888"/>
      <c r="BC888"/>
      <c r="BD888"/>
      <c r="BE888"/>
      <c r="BF888"/>
      <c r="BI888" s="3"/>
    </row>
    <row r="889" spans="52:98">
      <c r="AZ889"/>
      <c r="BA889"/>
      <c r="BB889"/>
      <c r="BC889"/>
      <c r="BD889"/>
      <c r="BE889"/>
      <c r="BF889"/>
    </row>
    <row r="890" spans="52:98">
      <c r="AZ890"/>
      <c r="BA890"/>
      <c r="BB890"/>
      <c r="BC890"/>
      <c r="BD890"/>
      <c r="BE890"/>
      <c r="BF890"/>
      <c r="BI890" s="3"/>
    </row>
    <row r="891" spans="52:98">
      <c r="AZ891"/>
      <c r="BA891"/>
      <c r="BB891"/>
      <c r="BC891"/>
      <c r="BD891"/>
      <c r="BE891"/>
      <c r="BF891"/>
    </row>
    <row r="892" spans="52:98">
      <c r="BI892" s="3"/>
    </row>
    <row r="893" spans="52:98">
      <c r="AZ893"/>
      <c r="BA893"/>
      <c r="BB893"/>
      <c r="BC893"/>
      <c r="BD893"/>
      <c r="BE893"/>
      <c r="BF893"/>
    </row>
    <row r="894" spans="52:98">
      <c r="AZ894"/>
      <c r="BA894"/>
      <c r="BB894"/>
      <c r="BC894"/>
      <c r="BD894"/>
      <c r="BE894"/>
      <c r="BF894"/>
      <c r="BI894" s="3"/>
    </row>
    <row r="895" spans="52:98">
      <c r="AZ895"/>
      <c r="BA895"/>
      <c r="BB895"/>
      <c r="BC895"/>
      <c r="BD895"/>
      <c r="BE895"/>
      <c r="BF895"/>
    </row>
    <row r="896" spans="52:98">
      <c r="AZ896"/>
      <c r="BA896"/>
      <c r="BB896"/>
      <c r="BC896"/>
      <c r="BD896"/>
      <c r="BE896"/>
      <c r="BF896"/>
    </row>
    <row r="897" spans="52:98">
      <c r="AZ897"/>
      <c r="BA897"/>
      <c r="BB897"/>
      <c r="BC897"/>
      <c r="BD897"/>
      <c r="BE897"/>
      <c r="BF897"/>
      <c r="BI897" s="75"/>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row>
    <row r="898" spans="52:98">
      <c r="AZ898"/>
      <c r="BA898"/>
      <c r="BB898"/>
      <c r="BC898"/>
      <c r="BD898"/>
      <c r="BE898"/>
      <c r="BF898"/>
      <c r="BI898" s="75"/>
    </row>
    <row r="899" spans="52:98">
      <c r="AZ899"/>
      <c r="BA899"/>
      <c r="BB899"/>
      <c r="BC899"/>
      <c r="BD899"/>
      <c r="BE899"/>
      <c r="BF899"/>
    </row>
    <row r="900" spans="52:98">
      <c r="AZ900"/>
      <c r="BA900"/>
      <c r="BB900"/>
      <c r="BC900"/>
      <c r="BD900"/>
      <c r="BE900"/>
      <c r="BF900"/>
      <c r="BI900" s="3"/>
    </row>
    <row r="901" spans="52:98">
      <c r="AZ901"/>
      <c r="BA901"/>
      <c r="BB901"/>
      <c r="BC901"/>
      <c r="BD901"/>
      <c r="BE901"/>
      <c r="BF901"/>
    </row>
    <row r="902" spans="52:98">
      <c r="AZ902"/>
      <c r="BA902"/>
      <c r="BB902"/>
      <c r="BC902"/>
      <c r="BD902"/>
      <c r="BE902"/>
      <c r="BF902"/>
      <c r="BI902" s="3"/>
    </row>
    <row r="903" spans="52:98">
      <c r="AZ903"/>
      <c r="BA903"/>
      <c r="BB903"/>
      <c r="BC903"/>
      <c r="BD903"/>
      <c r="BE903"/>
      <c r="BF903"/>
    </row>
    <row r="904" spans="52:98">
      <c r="AZ904"/>
      <c r="BA904"/>
      <c r="BB904"/>
      <c r="BC904"/>
      <c r="BD904"/>
      <c r="BE904"/>
      <c r="BF904"/>
      <c r="BI904" s="3"/>
    </row>
    <row r="905" spans="52:98">
      <c r="AZ905"/>
      <c r="BA905"/>
      <c r="BB905"/>
      <c r="BC905"/>
      <c r="BD905"/>
      <c r="BE905"/>
      <c r="BF905"/>
    </row>
    <row r="906" spans="52:98">
      <c r="AZ906"/>
      <c r="BA906"/>
      <c r="BB906"/>
      <c r="BC906"/>
      <c r="BD906"/>
      <c r="BE906"/>
      <c r="BF906"/>
      <c r="BI906" s="3"/>
    </row>
    <row r="907" spans="52:98">
      <c r="AZ907"/>
      <c r="BA907"/>
      <c r="BB907"/>
      <c r="BC907"/>
      <c r="BD907"/>
      <c r="BE907"/>
      <c r="BF907"/>
    </row>
    <row r="908" spans="52:98">
      <c r="BI908" s="3"/>
    </row>
    <row r="909" spans="52:98">
      <c r="AZ909"/>
      <c r="BA909"/>
      <c r="BB909"/>
      <c r="BC909"/>
      <c r="BD909"/>
      <c r="BE909"/>
      <c r="BF909"/>
    </row>
    <row r="910" spans="52:98">
      <c r="AZ910"/>
      <c r="BA910"/>
      <c r="BB910"/>
      <c r="BC910"/>
      <c r="BD910"/>
      <c r="BE910"/>
      <c r="BF910"/>
      <c r="BI910" s="3"/>
    </row>
    <row r="911" spans="52:98">
      <c r="AZ911"/>
      <c r="BA911"/>
      <c r="BB911"/>
      <c r="BC911"/>
      <c r="BD911"/>
      <c r="BE911"/>
      <c r="BF911"/>
    </row>
    <row r="912" spans="52:98">
      <c r="AZ912"/>
      <c r="BA912"/>
      <c r="BB912"/>
      <c r="BC912"/>
      <c r="BD912"/>
      <c r="BE912"/>
      <c r="BF912"/>
      <c r="BI912" s="3"/>
    </row>
    <row r="913" spans="52:98">
      <c r="AZ913"/>
      <c r="BA913"/>
      <c r="BB913"/>
      <c r="BC913"/>
      <c r="BD913"/>
      <c r="BE913"/>
      <c r="BF913"/>
      <c r="BI913" s="75"/>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row>
    <row r="914" spans="52:98">
      <c r="AZ914"/>
      <c r="BA914"/>
      <c r="BB914"/>
      <c r="BC914"/>
      <c r="BD914"/>
      <c r="BE914"/>
      <c r="BF914"/>
      <c r="BI914" s="75"/>
    </row>
    <row r="915" spans="52:98">
      <c r="AZ915"/>
      <c r="BA915"/>
      <c r="BB915"/>
      <c r="BC915"/>
      <c r="BD915"/>
      <c r="BE915"/>
      <c r="BF915"/>
    </row>
    <row r="916" spans="52:98">
      <c r="AZ916"/>
      <c r="BA916"/>
      <c r="BB916"/>
      <c r="BC916"/>
      <c r="BD916"/>
      <c r="BE916"/>
      <c r="BF916"/>
      <c r="BI916" s="3"/>
    </row>
    <row r="917" spans="52:98">
      <c r="AZ917"/>
      <c r="BA917"/>
      <c r="BB917"/>
      <c r="BC917"/>
      <c r="BD917"/>
      <c r="BE917"/>
      <c r="BF917"/>
    </row>
    <row r="918" spans="52:98">
      <c r="AZ918"/>
      <c r="BA918"/>
      <c r="BB918"/>
      <c r="BC918"/>
      <c r="BD918"/>
      <c r="BE918"/>
      <c r="BF918"/>
      <c r="BI918" s="3"/>
    </row>
    <row r="919" spans="52:98">
      <c r="AZ919"/>
      <c r="BA919"/>
      <c r="BB919"/>
      <c r="BC919"/>
      <c r="BD919"/>
      <c r="BE919"/>
      <c r="BF919"/>
    </row>
    <row r="920" spans="52:98">
      <c r="AZ920"/>
      <c r="BA920"/>
      <c r="BB920"/>
      <c r="BC920"/>
      <c r="BD920"/>
      <c r="BE920"/>
      <c r="BF920"/>
      <c r="BI920" s="3"/>
    </row>
    <row r="921" spans="52:98">
      <c r="AZ921"/>
      <c r="BA921"/>
      <c r="BB921"/>
      <c r="BC921"/>
      <c r="BD921"/>
      <c r="BE921"/>
      <c r="BF921"/>
    </row>
    <row r="922" spans="52:98">
      <c r="AZ922"/>
      <c r="BA922"/>
      <c r="BB922"/>
      <c r="BC922"/>
      <c r="BD922"/>
      <c r="BE922"/>
      <c r="BF922"/>
      <c r="BI922" s="3"/>
    </row>
    <row r="923" spans="52:98">
      <c r="AZ923"/>
      <c r="BA923"/>
      <c r="BB923"/>
      <c r="BC923"/>
      <c r="BD923"/>
      <c r="BE923"/>
      <c r="BF923"/>
    </row>
    <row r="924" spans="52:98">
      <c r="AZ924"/>
      <c r="BA924"/>
      <c r="BB924"/>
      <c r="BC924"/>
      <c r="BD924"/>
      <c r="BE924"/>
      <c r="BF924"/>
      <c r="BI924" s="3"/>
    </row>
    <row r="925" spans="52:98">
      <c r="AZ925"/>
      <c r="BA925"/>
      <c r="BB925"/>
      <c r="BC925"/>
      <c r="BD925"/>
      <c r="BE925"/>
      <c r="BF925"/>
    </row>
    <row r="926" spans="52:98">
      <c r="AZ926"/>
      <c r="BA926"/>
      <c r="BB926"/>
      <c r="BC926"/>
      <c r="BD926"/>
      <c r="BE926"/>
      <c r="BF926"/>
      <c r="BI926" s="3"/>
    </row>
    <row r="927" spans="52:98">
      <c r="AZ927"/>
      <c r="BA927"/>
      <c r="BB927"/>
      <c r="BC927"/>
      <c r="BD927"/>
      <c r="BE927"/>
      <c r="BF927"/>
    </row>
    <row r="928" spans="52:98">
      <c r="AZ928"/>
      <c r="BA928"/>
      <c r="BB928"/>
      <c r="BC928"/>
      <c r="BD928"/>
      <c r="BE928"/>
      <c r="BF928"/>
    </row>
    <row r="929" spans="52:98">
      <c r="AZ929"/>
      <c r="BA929"/>
      <c r="BB929"/>
      <c r="BC929"/>
      <c r="BD929"/>
      <c r="BE929"/>
      <c r="BF929"/>
      <c r="BI929" s="75"/>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row>
    <row r="930" spans="52:98">
      <c r="AZ930"/>
      <c r="BA930"/>
      <c r="BB930"/>
      <c r="BC930"/>
      <c r="BD930"/>
      <c r="BE930"/>
      <c r="BF930"/>
      <c r="BI930" s="75"/>
    </row>
    <row r="931" spans="52:98">
      <c r="AZ931"/>
      <c r="BA931"/>
      <c r="BB931"/>
      <c r="BC931"/>
      <c r="BD931"/>
      <c r="BE931"/>
      <c r="BF931"/>
    </row>
    <row r="932" spans="52:98">
      <c r="AZ932"/>
      <c r="BA932"/>
      <c r="BB932"/>
      <c r="BC932"/>
      <c r="BD932"/>
      <c r="BE932"/>
      <c r="BF932"/>
      <c r="BI932" s="3"/>
    </row>
    <row r="933" spans="52:98">
      <c r="AZ933"/>
      <c r="BA933"/>
      <c r="BB933"/>
      <c r="BC933"/>
      <c r="BD933"/>
      <c r="BE933"/>
      <c r="BF933"/>
    </row>
    <row r="934" spans="52:98">
      <c r="AZ934"/>
      <c r="BA934"/>
      <c r="BB934"/>
      <c r="BC934"/>
      <c r="BD934"/>
      <c r="BE934"/>
      <c r="BF934"/>
      <c r="BI934" s="3"/>
    </row>
    <row r="935" spans="52:98">
      <c r="AZ935"/>
      <c r="BA935"/>
      <c r="BB935"/>
      <c r="BC935"/>
      <c r="BD935"/>
      <c r="BE935"/>
      <c r="BF935"/>
    </row>
    <row r="936" spans="52:98">
      <c r="AZ936"/>
      <c r="BA936"/>
      <c r="BB936"/>
      <c r="BC936"/>
      <c r="BD936"/>
      <c r="BE936"/>
      <c r="BF936"/>
      <c r="BI936" s="3"/>
    </row>
    <row r="937" spans="52:98">
      <c r="AZ937"/>
      <c r="BA937"/>
      <c r="BB937"/>
      <c r="BC937"/>
      <c r="BD937"/>
      <c r="BE937"/>
      <c r="BF937"/>
    </row>
    <row r="938" spans="52:98">
      <c r="AZ938"/>
      <c r="BA938"/>
      <c r="BB938"/>
      <c r="BC938"/>
      <c r="BD938"/>
      <c r="BE938"/>
      <c r="BF938"/>
      <c r="BI938" s="3"/>
    </row>
    <row r="939" spans="52:98">
      <c r="AZ939"/>
      <c r="BA939"/>
      <c r="BB939"/>
      <c r="BC939"/>
      <c r="BD939"/>
      <c r="BE939"/>
      <c r="BF939"/>
    </row>
    <row r="940" spans="52:98">
      <c r="BI940" s="3"/>
    </row>
    <row r="941" spans="52:98">
      <c r="AZ941"/>
      <c r="BA941"/>
      <c r="BB941"/>
      <c r="BC941"/>
      <c r="BD941"/>
      <c r="BE941"/>
      <c r="BF941"/>
    </row>
    <row r="942" spans="52:98">
      <c r="AZ942"/>
      <c r="BA942"/>
      <c r="BB942"/>
      <c r="BC942"/>
      <c r="BD942"/>
      <c r="BE942"/>
      <c r="BF942"/>
      <c r="BI942" s="3"/>
    </row>
    <row r="943" spans="52:98">
      <c r="AZ943"/>
      <c r="BA943"/>
      <c r="BB943"/>
      <c r="BC943"/>
      <c r="BD943"/>
      <c r="BE943"/>
      <c r="BF943"/>
    </row>
    <row r="944" spans="52:98">
      <c r="AZ944"/>
      <c r="BA944"/>
      <c r="BB944"/>
      <c r="BC944"/>
      <c r="BD944"/>
      <c r="BE944"/>
      <c r="BF944"/>
    </row>
    <row r="945" spans="52:98">
      <c r="AZ945"/>
      <c r="BA945"/>
      <c r="BB945"/>
      <c r="BC945"/>
      <c r="BD945"/>
      <c r="BE945"/>
      <c r="BF945"/>
      <c r="BI945" s="75"/>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row>
    <row r="946" spans="52:98">
      <c r="AZ946"/>
      <c r="BA946"/>
      <c r="BB946"/>
      <c r="BC946"/>
      <c r="BD946"/>
      <c r="BE946"/>
      <c r="BF946"/>
      <c r="BI946" s="75"/>
    </row>
    <row r="947" spans="52:98">
      <c r="AZ947"/>
      <c r="BA947"/>
      <c r="BB947"/>
      <c r="BC947"/>
      <c r="BD947"/>
      <c r="BE947"/>
      <c r="BF947"/>
    </row>
    <row r="948" spans="52:98">
      <c r="AZ948"/>
      <c r="BA948"/>
      <c r="BB948"/>
      <c r="BC948"/>
      <c r="BD948"/>
      <c r="BE948"/>
      <c r="BF948"/>
      <c r="BI948" s="3"/>
    </row>
    <row r="949" spans="52:98">
      <c r="AZ949"/>
      <c r="BA949"/>
      <c r="BB949"/>
      <c r="BC949"/>
      <c r="BD949"/>
      <c r="BE949"/>
      <c r="BF949"/>
    </row>
    <row r="950" spans="52:98">
      <c r="AZ950"/>
      <c r="BA950"/>
      <c r="BB950"/>
      <c r="BC950"/>
      <c r="BD950"/>
      <c r="BE950"/>
      <c r="BF950"/>
      <c r="BI950" s="3"/>
    </row>
    <row r="951" spans="52:98">
      <c r="AZ951"/>
      <c r="BA951"/>
      <c r="BB951"/>
      <c r="BC951"/>
      <c r="BD951"/>
      <c r="BE951"/>
      <c r="BF951"/>
    </row>
    <row r="952" spans="52:98">
      <c r="AZ952"/>
      <c r="BA952"/>
      <c r="BB952"/>
      <c r="BC952"/>
      <c r="BD952"/>
      <c r="BE952"/>
      <c r="BF952"/>
      <c r="BI952" s="3"/>
    </row>
    <row r="953" spans="52:98">
      <c r="AZ953"/>
      <c r="BA953"/>
      <c r="BB953"/>
      <c r="BC953"/>
      <c r="BD953"/>
      <c r="BE953"/>
      <c r="BF953"/>
    </row>
    <row r="954" spans="52:98">
      <c r="AZ954"/>
      <c r="BA954"/>
      <c r="BB954"/>
      <c r="BC954"/>
      <c r="BD954"/>
      <c r="BE954"/>
      <c r="BF954"/>
      <c r="BI954" s="3"/>
    </row>
    <row r="955" spans="52:98">
      <c r="AZ955"/>
      <c r="BA955"/>
      <c r="BB955"/>
      <c r="BC955"/>
      <c r="BD955"/>
      <c r="BE955"/>
      <c r="BF955"/>
    </row>
    <row r="956" spans="52:98">
      <c r="BI956" s="3"/>
    </row>
    <row r="957" spans="52:98">
      <c r="AZ957"/>
      <c r="BA957"/>
      <c r="BB957"/>
      <c r="BC957"/>
      <c r="BD957"/>
      <c r="BE957"/>
      <c r="BF957"/>
    </row>
    <row r="958" spans="52:98">
      <c r="AZ958"/>
      <c r="BA958"/>
      <c r="BB958"/>
      <c r="BC958"/>
      <c r="BD958"/>
      <c r="BE958"/>
      <c r="BF958"/>
      <c r="BI958" s="3"/>
    </row>
    <row r="959" spans="52:98">
      <c r="AZ959"/>
      <c r="BA959"/>
      <c r="BB959"/>
      <c r="BC959"/>
      <c r="BD959"/>
      <c r="BE959"/>
      <c r="BF959"/>
    </row>
    <row r="960" spans="52:98">
      <c r="AZ960"/>
      <c r="BA960"/>
      <c r="BB960"/>
      <c r="BC960"/>
      <c r="BD960"/>
      <c r="BE960"/>
      <c r="BF960"/>
    </row>
    <row r="961" spans="45:83">
      <c r="AZ961"/>
      <c r="BA961"/>
      <c r="BB961"/>
      <c r="BC961"/>
      <c r="BD961"/>
      <c r="BE961"/>
      <c r="BF961"/>
    </row>
    <row r="962" spans="45:83">
      <c r="AS962" s="67" t="s">
        <v>497</v>
      </c>
      <c r="AT962" s="67"/>
      <c r="AU962" s="20" t="s">
        <v>64</v>
      </c>
      <c r="AV962" s="1" t="s">
        <v>43</v>
      </c>
      <c r="AW962" s="1" t="s">
        <v>44</v>
      </c>
      <c r="AX962" s="1" t="s">
        <v>45</v>
      </c>
      <c r="AY962" s="1" t="s">
        <v>46</v>
      </c>
      <c r="AZ962" s="1" t="s">
        <v>47</v>
      </c>
      <c r="BA962" s="1" t="s">
        <v>48</v>
      </c>
      <c r="BB962" s="1" t="s">
        <v>49</v>
      </c>
      <c r="BC962" s="1" t="s">
        <v>50</v>
      </c>
      <c r="BD962" s="1" t="s">
        <v>51</v>
      </c>
      <c r="BE962" s="1" t="s">
        <v>52</v>
      </c>
      <c r="BF962" s="1" t="s">
        <v>53</v>
      </c>
      <c r="BG962" s="1" t="s">
        <v>54</v>
      </c>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row>
    <row r="963" spans="45:83">
      <c r="AS963" s="67"/>
      <c r="AT963" s="67"/>
      <c r="AU963" s="20">
        <v>1</v>
      </c>
      <c r="AV963" t="s">
        <v>3</v>
      </c>
      <c r="AW963" t="s">
        <v>5</v>
      </c>
      <c r="AX963" t="s">
        <v>3</v>
      </c>
      <c r="AY963" t="s">
        <v>5</v>
      </c>
      <c r="AZ963" t="s">
        <v>5</v>
      </c>
      <c r="BA963" t="s">
        <v>5</v>
      </c>
      <c r="BB963" t="s">
        <v>2</v>
      </c>
      <c r="BC963" t="s">
        <v>2</v>
      </c>
      <c r="BD963" t="s">
        <v>2</v>
      </c>
      <c r="BE963" t="s">
        <v>2</v>
      </c>
      <c r="BF963" t="s">
        <v>3</v>
      </c>
      <c r="BG963" t="s">
        <v>5</v>
      </c>
    </row>
    <row r="964" spans="45:83">
      <c r="AT964" t="s">
        <v>504</v>
      </c>
      <c r="AU964">
        <f>AW22*AT32*AT40*AT44*AT52*AT58*AT64*AT69*AT75*AT81*AT87*AT92*AT100*AT106*AT110*AT116*AT124*AT130*AT136*AT141*AT145*AT151*AT159*AT163*AT167*AT171*AT175*AT179*AT183*AT187*AT192*AT195*AT200*AT203*AT207*AT211*AT216</f>
        <v>1.1287515354034848E-9</v>
      </c>
      <c r="AZ964"/>
      <c r="BA964"/>
      <c r="BB964"/>
      <c r="BC964"/>
      <c r="BD964"/>
      <c r="BE964"/>
      <c r="BF964"/>
    </row>
    <row r="965" spans="45:83">
      <c r="AT965" t="s">
        <v>505</v>
      </c>
      <c r="AU965">
        <f>AW23*AU32*AU40*AU44*AU52*AU58*AU64*AU69*AU75*AU81*AU87*AU92*AU100*AU106*AU110*AU116*AU124*AU130*AU136*AU141*AU145*AU151*AU159*AU163*AU167*AU171*AU175*AU179*AU183*AU187*AU192*AU195*AU200*AU203*AU207*AU211*AU216</f>
        <v>0</v>
      </c>
      <c r="AZ965"/>
      <c r="BA965"/>
      <c r="BB965"/>
      <c r="BC965"/>
      <c r="BD965"/>
      <c r="BE965"/>
      <c r="BF965"/>
    </row>
    <row r="966" spans="45:83">
      <c r="AT966" t="s">
        <v>506</v>
      </c>
      <c r="AU966">
        <f>AW24*AV32*AV40*AV44*AV52*AV58*AV64*AV69*AV75*AV81*AV87*AV92*AV100*AV106*AV110*AV116*AV124*AV130*AV136*AV141*AV145*AV151*AV159*AV163*AV167*AV171*AV175*AV179*AV183*AV187*AV192*AV195*AV200*AV203*AV207*AV211*AV216</f>
        <v>0</v>
      </c>
      <c r="AZ966"/>
      <c r="BA966"/>
      <c r="BB966"/>
      <c r="BC966"/>
      <c r="BD966"/>
      <c r="BE966"/>
      <c r="BF966"/>
    </row>
    <row r="967" spans="45:83">
      <c r="AT967" t="s">
        <v>507</v>
      </c>
      <c r="AU967">
        <f>AW25*AW32*AW40*AW44*AW52*AW58*AW64*AW69*AW75*AW81*AW87*AW92*AW100*AW106*AW110*AW116*AW124*AW130*AW136*AW141*AW145*AW151*AW159*AW163*AW167*AW171*AW175*AW179*AW183*AW187*AW192*AW195*AW200*AW203*AW207*AW211*AW216</f>
        <v>0</v>
      </c>
      <c r="AZ967"/>
      <c r="BA967"/>
      <c r="BB967"/>
      <c r="BC967"/>
      <c r="BD967"/>
      <c r="BE967"/>
      <c r="BF967"/>
    </row>
    <row r="968" spans="45:83">
      <c r="AT968" t="s">
        <v>508</v>
      </c>
      <c r="AU968">
        <f>AW26*AX32*AX40*AX44*AX52*AX58*AX64*AX69*AX75*AX81*AX87*AX92*AX100*AX106*AX110*AX116*AX124*AX130*AX136*AX141*AX145*AX151*AX159*AX163*AX167*AX171*AX175*AX179*AX183*AX187*AX192*AX195*AX200*AX203*AX207*AX211*AX216</f>
        <v>0</v>
      </c>
      <c r="AZ968"/>
      <c r="BA968"/>
      <c r="BB968"/>
      <c r="BC968"/>
      <c r="BD968"/>
      <c r="BE968"/>
      <c r="BF968"/>
    </row>
    <row r="969" spans="45:83">
      <c r="AT969" t="s">
        <v>509</v>
      </c>
      <c r="AU969">
        <f>AW27*AY32*AY40*AY44*AY52*AY58*AY64*AY69*AY75*AY81*AY87*AY92*AY100*AY106*AY110*AY116*AY124*AY130*AY136*AY141*AY145*AY151*AY159*AY163*AY167*AY171*AY175*AY179*AY183*AY187*AY192*AY195*AY200*AY203*AY207*AY211*AY216</f>
        <v>0</v>
      </c>
      <c r="AZ969"/>
      <c r="BA969"/>
      <c r="BB969"/>
      <c r="BC969"/>
      <c r="BD969"/>
      <c r="BE969"/>
      <c r="BF969"/>
    </row>
    <row r="970" spans="45:83">
      <c r="AT970" s="20" t="s">
        <v>437</v>
      </c>
      <c r="AU970" t="s">
        <v>285</v>
      </c>
      <c r="AV970" s="21" t="s">
        <v>438</v>
      </c>
      <c r="AW970" s="21"/>
      <c r="AZ970"/>
      <c r="BA970"/>
      <c r="BB970"/>
      <c r="BC970"/>
      <c r="BD970"/>
      <c r="BE970"/>
      <c r="BF970"/>
    </row>
    <row r="972" spans="45:83">
      <c r="AS972" s="67" t="s">
        <v>484</v>
      </c>
      <c r="AT972" s="67"/>
      <c r="AU972" s="20" t="s">
        <v>64</v>
      </c>
      <c r="AV972" s="1" t="s">
        <v>43</v>
      </c>
      <c r="AW972" s="1" t="s">
        <v>44</v>
      </c>
      <c r="AX972" s="1" t="s">
        <v>45</v>
      </c>
      <c r="AY972" s="1" t="s">
        <v>46</v>
      </c>
      <c r="AZ972" s="1" t="s">
        <v>47</v>
      </c>
      <c r="BA972" s="1" t="s">
        <v>48</v>
      </c>
      <c r="BB972" s="1" t="s">
        <v>49</v>
      </c>
      <c r="BC972" s="1" t="s">
        <v>50</v>
      </c>
      <c r="BD972" s="1" t="s">
        <v>51</v>
      </c>
      <c r="BE972" s="1" t="s">
        <v>52</v>
      </c>
      <c r="BF972" s="1" t="s">
        <v>53</v>
      </c>
      <c r="BG972" s="1" t="s">
        <v>54</v>
      </c>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row>
    <row r="973" spans="45:83">
      <c r="AS973" s="67"/>
      <c r="AT973" s="67"/>
      <c r="AU973" s="20">
        <v>1</v>
      </c>
      <c r="AV973" t="s">
        <v>5</v>
      </c>
      <c r="AW973" t="s">
        <v>3</v>
      </c>
      <c r="AX973" t="s">
        <v>2</v>
      </c>
      <c r="AY973" t="s">
        <v>3</v>
      </c>
      <c r="AZ973" t="s">
        <v>5</v>
      </c>
      <c r="BA973" t="s">
        <v>5</v>
      </c>
      <c r="BB973" t="s">
        <v>5</v>
      </c>
      <c r="BC973" t="s">
        <v>2</v>
      </c>
      <c r="BD973" t="s">
        <v>2</v>
      </c>
      <c r="BE973" t="s">
        <v>2</v>
      </c>
      <c r="BF973" t="s">
        <v>2</v>
      </c>
      <c r="BG973" t="s">
        <v>5</v>
      </c>
    </row>
    <row r="974" spans="45:83">
      <c r="AT974" t="s">
        <v>504</v>
      </c>
      <c r="AU974">
        <f>AW22*AT34*AT38*AT45*AT50*AT58*AT64*AT70*AT75*AT81*AT87*AT93*AT100*AT106*AT110*AT116*AT124*AT130*AT136*AT142*AT145*AT151*AT157*AT164*AT168*AT172*AT175*AT179*AT183*AT187*AT192*AT195*AT200*AT204*AT207*AT211*AT216</f>
        <v>1.8291821756761823E-9</v>
      </c>
      <c r="AZ974"/>
      <c r="BA974"/>
      <c r="BB974"/>
      <c r="BC974"/>
      <c r="BD974"/>
      <c r="BE974"/>
      <c r="BF974"/>
    </row>
    <row r="975" spans="45:83">
      <c r="AT975" t="s">
        <v>505</v>
      </c>
      <c r="AU975">
        <f>AW23*AU34*AU38*AU45*AU50*AU58*AU64*AU70*AU75*AU81*AU87*AU93*AU100*AU106*AU110*AU116*AU124*AU130*AU136*AU142*AU145*AU151*AU157*AU164*AU168*AU172*AU175*AU179*AU183*AU187*AU192*AU195*AU200*AU204*AU207*AU211*AU216</f>
        <v>1.2250728914974742E-11</v>
      </c>
      <c r="AZ975"/>
      <c r="BA975"/>
      <c r="BB975"/>
      <c r="BC975"/>
      <c r="BD975"/>
      <c r="BE975"/>
      <c r="BF975"/>
    </row>
    <row r="976" spans="45:83">
      <c r="AT976" t="s">
        <v>506</v>
      </c>
      <c r="AU976">
        <f>AW24*AV34*AV38*AV45*AV50*AV58*AV64*AV70*AV75*AV81*AV87*AV93*AV100*AV106*AV110*AV116*AV124*AV130*AV136*AV142*AV145*AV151*AV157*AV164*AV168*AV172*AV175*AV179*AV183*AV187*AV192*AV195*AV200*AV204*AV207*AV211*AV216</f>
        <v>0</v>
      </c>
      <c r="AZ976"/>
      <c r="BA976"/>
      <c r="BB976"/>
      <c r="BC976"/>
      <c r="BD976"/>
      <c r="BE976"/>
      <c r="BF976"/>
    </row>
    <row r="977" spans="34:83">
      <c r="AT977" t="s">
        <v>507</v>
      </c>
      <c r="AU977">
        <f>AW25*AW34*AW38*AW45*AW50*AW58*AW64*AW70*AW75*AW81*AW87*AW93*AW100*AW106*AW110*AW116*AW124*AW130*AW136*AW142*AW145*AW151*AW157*AW164*AW168*AW172*AW175*AW179*AW183*AW187*AW192*AW195*AW200*AW204*AW207*AW211*AW216</f>
        <v>0</v>
      </c>
      <c r="AZ977"/>
      <c r="BA977"/>
      <c r="BB977"/>
      <c r="BC977"/>
      <c r="BD977"/>
      <c r="BE977"/>
      <c r="BF977"/>
    </row>
    <row r="978" spans="34:83">
      <c r="AT978" t="s">
        <v>508</v>
      </c>
      <c r="AU978">
        <f>AW26*AX34*AX38*AX45*AX50*AX58*AX64*AX70*AX75*AX81*AX87*AX93*AX100*AX106*AX110*AX116*AX124*AX130*AX136*AX142*AX145*AX151*AX157*AX164*AX168*AX172*AX175*AX179*AX183*AX187*AX192*AX195*AX200*AX204*AX207*AX211*AX216</f>
        <v>0</v>
      </c>
      <c r="AZ978"/>
      <c r="BA978"/>
      <c r="BB978"/>
      <c r="BC978"/>
      <c r="BD978"/>
      <c r="BE978"/>
      <c r="BF978"/>
    </row>
    <row r="979" spans="34:83">
      <c r="AT979" t="s">
        <v>509</v>
      </c>
      <c r="AU979">
        <f>AW27*AY34*AY38*AY45*AY50*AY58*AY64*AY70*AY75*AY81*AY87*AY93*AY100*AY106*AY110*AY116*AY124*AY130*AY136*AY142*AY145*AY151*AY157*AY164*AY168*AY172*AY175*AY179*AY183*AY187*AY192*AY195*AY200*AY204*AY207*AY211*AY216</f>
        <v>0</v>
      </c>
      <c r="AZ979"/>
      <c r="BA979"/>
      <c r="BB979"/>
      <c r="BC979"/>
      <c r="BD979"/>
      <c r="BE979"/>
      <c r="BF979"/>
    </row>
    <row r="980" spans="34:83">
      <c r="AT980" s="20" t="s">
        <v>437</v>
      </c>
      <c r="AU980" t="s">
        <v>285</v>
      </c>
      <c r="AV980" s="74" t="s">
        <v>438</v>
      </c>
      <c r="AW980" s="74"/>
      <c r="AZ980"/>
      <c r="BA980"/>
      <c r="BB980"/>
      <c r="BC980"/>
      <c r="BD980"/>
      <c r="BE980"/>
      <c r="BF980"/>
    </row>
    <row r="982" spans="34:83">
      <c r="AS982" s="67" t="s">
        <v>460</v>
      </c>
      <c r="AT982" s="67"/>
      <c r="AU982" s="20" t="s">
        <v>64</v>
      </c>
      <c r="AV982" s="1" t="s">
        <v>43</v>
      </c>
      <c r="AW982" s="1" t="s">
        <v>44</v>
      </c>
      <c r="AX982" s="1" t="s">
        <v>45</v>
      </c>
      <c r="AY982" s="1" t="s">
        <v>46</v>
      </c>
      <c r="AZ982" s="1" t="s">
        <v>47</v>
      </c>
      <c r="BA982" s="1" t="s">
        <v>48</v>
      </c>
      <c r="BB982" s="1" t="s">
        <v>49</v>
      </c>
      <c r="BC982" s="1" t="s">
        <v>50</v>
      </c>
      <c r="BD982" s="1" t="s">
        <v>51</v>
      </c>
      <c r="BE982" s="1" t="s">
        <v>52</v>
      </c>
      <c r="BF982" s="1" t="s">
        <v>53</v>
      </c>
      <c r="BG982" s="1" t="s">
        <v>54</v>
      </c>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row>
    <row r="983" spans="34:83">
      <c r="AS983" s="67"/>
      <c r="AT983" s="67"/>
      <c r="AU983" s="20">
        <v>1</v>
      </c>
      <c r="AV983" t="s">
        <v>5</v>
      </c>
      <c r="AW983" t="s">
        <v>3</v>
      </c>
      <c r="AX983" t="s">
        <v>4</v>
      </c>
      <c r="AY983" t="s">
        <v>3</v>
      </c>
      <c r="AZ983" t="s">
        <v>5</v>
      </c>
      <c r="BA983" t="s">
        <v>5</v>
      </c>
      <c r="BB983" t="s">
        <v>5</v>
      </c>
      <c r="BC983" t="s">
        <v>2</v>
      </c>
      <c r="BD983" t="s">
        <v>3</v>
      </c>
      <c r="BE983" t="s">
        <v>3</v>
      </c>
      <c r="BF983" t="s">
        <v>2</v>
      </c>
      <c r="BG983" t="s">
        <v>4</v>
      </c>
    </row>
    <row r="984" spans="34:83">
      <c r="AH984" t="s">
        <v>295</v>
      </c>
      <c r="AT984" t="s">
        <v>504</v>
      </c>
      <c r="AU984">
        <f>AW22*AT34*AT38*AT43*AT50*AT58*AT64*AT70*AT75*AT80*AT86*AT93*AT97*AT106*AT110*AT117*AT124*AT130*AT136*AT142*AT145*AT151*AT157*AT164*AT168*AT172*AT175*AT179*AT183*AT187*AT191*AT195*AT199*AT203*AT207*AT211*AT216</f>
        <v>2.3711620795802361E-9</v>
      </c>
      <c r="AZ984"/>
      <c r="BA984"/>
      <c r="BB984"/>
      <c r="BC984"/>
      <c r="BD984"/>
      <c r="BE984"/>
      <c r="BF984"/>
    </row>
    <row r="985" spans="34:83">
      <c r="AT985" t="s">
        <v>505</v>
      </c>
      <c r="AU985">
        <f>AW23*AU34*AU38*AU43*AU50*AU58*AU64*AU70*AU75*AU80*AU86*AU93*AU97*AU106*AU110*AU117*AU124*AU130*AU136*AU142*AU145*AU151*AU157*AU164*AU168*AU172*AU175*AU179*AU183*AU187*AU191*AU195*AU199*AU203*AU207*AU211*AU216</f>
        <v>2.3758989410860119E-12</v>
      </c>
      <c r="AZ985"/>
      <c r="BA985"/>
      <c r="BB985"/>
      <c r="BC985"/>
      <c r="BD985"/>
      <c r="BE985"/>
      <c r="BF985"/>
    </row>
    <row r="986" spans="34:83">
      <c r="AT986" t="s">
        <v>506</v>
      </c>
      <c r="AU986">
        <f>AW24*AV34*AV38*AV43*AV50*AV58*AV64*AV70*AV75*AV80*AV86*AV93*AV97*AV106*AV110*AV117*AV124*AV130*AV136*AV142*AV145*AV151*AV157*AV164*AV168*AV172*AV175*AV179*AV183*AV187*AV191*AV195*AV199*AV203*AV207*AV211*AV216</f>
        <v>0</v>
      </c>
      <c r="AZ986"/>
      <c r="BA986"/>
      <c r="BB986"/>
      <c r="BC986"/>
      <c r="BD986"/>
      <c r="BE986"/>
      <c r="BF986"/>
    </row>
    <row r="987" spans="34:83">
      <c r="AT987" t="s">
        <v>507</v>
      </c>
      <c r="AU987">
        <f>AW25*AW34*AW38*AW43*AW50*AW58*AW64*AW70*AW75*AW80*AW86*AW93*AW97*AW106*AW110*AW117*AW124*AW130*AW136*AW142*AW145*AW151*AW157*AW164*AW168*AW172*AW175*AW179*AW183*AW187*AW191*AW195*AW199*AW203*AW207*AW211*AW216</f>
        <v>0</v>
      </c>
      <c r="AZ987"/>
      <c r="BA987"/>
      <c r="BB987"/>
      <c r="BC987"/>
      <c r="BD987"/>
      <c r="BE987"/>
      <c r="BF987"/>
    </row>
    <row r="988" spans="34:83">
      <c r="AT988" t="s">
        <v>508</v>
      </c>
      <c r="AU988">
        <f>AW26*AX34*AX38*AX43*AX50*AX58*AX64*AX70*AX75*AX80*AX86*AX93*AX97*AX106*AX110*AX117*AX124*AX130*AX136*AX142*AX145*AX151*AX157*AX164*AX168*AX172*AX175*AX179*AX183*AX187*AX191*AX195*AX199*AX203*AX207*AX211*AX216</f>
        <v>0</v>
      </c>
      <c r="AZ988"/>
      <c r="BA988"/>
      <c r="BB988"/>
      <c r="BC988"/>
      <c r="BD988"/>
      <c r="BE988"/>
      <c r="BF988"/>
    </row>
    <row r="989" spans="34:83">
      <c r="AT989" t="s">
        <v>509</v>
      </c>
      <c r="AU989">
        <f>AW27*AY34*AY38*AY43*AY50*AY58*AY64*AY70*AY75*AY80*AY86*AY93*AY97*AY106*AY110*AY117*AY124*AY130*AY136*AY142*AY145*AY151*AY157*AY164*AY168*AY172*AY175*AY179*AY183*AY187*AY191*AY195*AY199*AY203*AY207*AY211*AY216</f>
        <v>0</v>
      </c>
      <c r="AZ989"/>
      <c r="BA989"/>
      <c r="BB989"/>
      <c r="BC989"/>
      <c r="BD989"/>
      <c r="BE989"/>
      <c r="BF989"/>
    </row>
    <row r="990" spans="34:83">
      <c r="AZ990"/>
      <c r="BA990"/>
      <c r="BB990"/>
      <c r="BC990"/>
      <c r="BD990"/>
      <c r="BE990"/>
      <c r="BF990"/>
    </row>
    <row r="991" spans="34:83">
      <c r="AS991" s="67" t="s">
        <v>513</v>
      </c>
      <c r="AT991" s="67"/>
      <c r="AU991" s="20" t="s">
        <v>64</v>
      </c>
      <c r="AV991" s="1" t="s">
        <v>43</v>
      </c>
      <c r="AW991" s="1" t="s">
        <v>44</v>
      </c>
      <c r="AX991" s="1" t="s">
        <v>45</v>
      </c>
      <c r="AY991" s="1" t="s">
        <v>46</v>
      </c>
      <c r="AZ991" s="1" t="s">
        <v>47</v>
      </c>
      <c r="BA991" s="1" t="s">
        <v>48</v>
      </c>
      <c r="BB991" s="1" t="s">
        <v>49</v>
      </c>
      <c r="BC991" s="1" t="s">
        <v>50</v>
      </c>
      <c r="BD991" s="1" t="s">
        <v>51</v>
      </c>
      <c r="BE991" s="1" t="s">
        <v>52</v>
      </c>
      <c r="BF991" s="1" t="s">
        <v>53</v>
      </c>
      <c r="BG991" s="1" t="s">
        <v>54</v>
      </c>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row>
    <row r="992" spans="34:83">
      <c r="AS992" s="67"/>
      <c r="AT992" s="67"/>
      <c r="AU992" s="20">
        <v>1</v>
      </c>
      <c r="AV992" t="s">
        <v>5</v>
      </c>
      <c r="AW992" t="s">
        <v>3</v>
      </c>
      <c r="AX992" t="s">
        <v>2</v>
      </c>
      <c r="AY992" t="s">
        <v>3</v>
      </c>
      <c r="AZ992" t="s">
        <v>5</v>
      </c>
      <c r="BA992" t="s">
        <v>5</v>
      </c>
      <c r="BB992" t="s">
        <v>5</v>
      </c>
      <c r="BC992" t="s">
        <v>2</v>
      </c>
      <c r="BD992" t="s">
        <v>3</v>
      </c>
      <c r="BE992" t="s">
        <v>3</v>
      </c>
      <c r="BF992" t="s">
        <v>2</v>
      </c>
      <c r="BG992" t="s">
        <v>5</v>
      </c>
    </row>
    <row r="993" spans="45:83">
      <c r="AT993" t="s">
        <v>504</v>
      </c>
      <c r="AU993">
        <f>AW22*AT34*AT38*AT45*AT50*AT58*AT64*AT70*AT75*AT80*AT86*AT93*AT100*AT106*AT110*AT117*AT124*AT130*AT136*AT139*AT145*AT151*AT157*AT164*AT168*AT172*AT175*AT179*AT183*AT187*AT192*AT195*AT200*AT203*AT207*AT212*AT216</f>
        <v>3.7938593273283771E-9</v>
      </c>
      <c r="AZ993"/>
      <c r="BA993"/>
      <c r="BB993"/>
      <c r="BC993"/>
      <c r="BD993"/>
      <c r="BE993"/>
      <c r="BF993"/>
    </row>
    <row r="994" spans="45:83">
      <c r="AT994" t="s">
        <v>505</v>
      </c>
      <c r="AU994">
        <f>AW23*AU34*AU38*AU45*AU50*AU58*AU64*AU70*AU75*AU80*AU86*AU93*AU100*AU106*AU110*AU117*AU124*AU130*AU136*AU139*AU145*AU151*AU157*AU164*AU168*AU172*AU175*AU179*AU183*AU187*AU192*AU195*AU200*AU203*AU207*AU212*AU216</f>
        <v>0</v>
      </c>
      <c r="AZ994"/>
      <c r="BA994"/>
      <c r="BB994"/>
      <c r="BC994"/>
      <c r="BD994"/>
      <c r="BE994"/>
      <c r="BF994"/>
    </row>
    <row r="995" spans="45:83">
      <c r="AT995" t="s">
        <v>506</v>
      </c>
      <c r="AU995">
        <f>AW24*AV34*AV38*AV45*AV50*AV58*AV64*AV70*AV75*AV80*AV86*AV93*AV100*AV106*AV110*AV117*AV124*AV130*AV136*AV139*AV145*AV151*AV157*AV164*AV168*AV172*AV175*AV179*AV183*AV187*AV192*AV195*AV200*AV203*AV207*AV212*AV216</f>
        <v>0</v>
      </c>
      <c r="AZ995"/>
      <c r="BA995"/>
      <c r="BB995"/>
      <c r="BC995"/>
      <c r="BD995"/>
      <c r="BE995"/>
      <c r="BF995"/>
    </row>
    <row r="996" spans="45:83">
      <c r="AT996" t="s">
        <v>507</v>
      </c>
      <c r="AU996">
        <f>AW25*AW34*AW38*AW45*AW50*AW58*AW64*AW70*AW75*AW80*AW86*AW93*AW100*AW106*AW110*AW117*AW124*AW130*AW136*AW139*AW145*AW151*AW157*AW164*AW168*AW172*AW175*AW179*AW183*AW187*AW192*AW195*AW200*AW203*AW207*AW212*AW216</f>
        <v>0</v>
      </c>
      <c r="AZ996"/>
      <c r="BA996"/>
      <c r="BB996"/>
      <c r="BC996"/>
      <c r="BD996"/>
      <c r="BE996"/>
      <c r="BF996"/>
    </row>
    <row r="997" spans="45:83">
      <c r="AT997" t="s">
        <v>508</v>
      </c>
      <c r="AU997">
        <f>AW26*AX34*AX38*AX45*AX50*AX58*AX64*AX70*AX75*AX80*AX86*AX93*AX100*AX106*AX110*AX117*AX124*AX130*AX136*AX139*AX145*AX151*AX157*AX164*AX168*AX172*AX175*AX179*AX183*AX187*AX192*AX195*AX200*AX203*AX207*AX212*AX216</f>
        <v>0</v>
      </c>
      <c r="AZ997"/>
      <c r="BA997"/>
      <c r="BB997"/>
      <c r="BC997"/>
      <c r="BD997"/>
      <c r="BE997"/>
      <c r="BF997"/>
    </row>
    <row r="998" spans="45:83">
      <c r="AT998" t="s">
        <v>509</v>
      </c>
      <c r="AU998">
        <f>AW27*AY34*AY38*AY45*AY50*AY58*AY64*AY70*AY75*AY80*AY86*AY93*AY100*AY106*AY110*AY117*AY124*AY130*AY136*AY139*AY145*AY151*AY157*AY164*AY168*AY172*AY175*AY179*AY183*AY187*AY192*AY195*AY200*AY203*AY207*AY212*AY216</f>
        <v>0</v>
      </c>
      <c r="AZ998"/>
      <c r="BA998"/>
      <c r="BB998"/>
      <c r="BC998"/>
      <c r="BD998"/>
      <c r="BE998"/>
      <c r="BF998"/>
    </row>
    <row r="999" spans="45:83">
      <c r="AZ999"/>
      <c r="BA999"/>
      <c r="BB999"/>
      <c r="BC999"/>
      <c r="BD999"/>
      <c r="BE999"/>
      <c r="BF999"/>
    </row>
    <row r="1000" spans="45:83">
      <c r="AS1000" s="67" t="s">
        <v>500</v>
      </c>
      <c r="AT1000" s="67"/>
      <c r="AU1000" s="20" t="s">
        <v>64</v>
      </c>
      <c r="AV1000" s="1" t="s">
        <v>43</v>
      </c>
      <c r="AW1000" s="1" t="s">
        <v>44</v>
      </c>
      <c r="AX1000" s="1" t="s">
        <v>45</v>
      </c>
      <c r="AY1000" s="1" t="s">
        <v>46</v>
      </c>
      <c r="AZ1000" s="1" t="s">
        <v>47</v>
      </c>
      <c r="BA1000" s="1" t="s">
        <v>48</v>
      </c>
      <c r="BB1000" s="1" t="s">
        <v>49</v>
      </c>
      <c r="BC1000" s="1" t="s">
        <v>50</v>
      </c>
      <c r="BD1000" s="1" t="s">
        <v>51</v>
      </c>
      <c r="BE1000" s="1" t="s">
        <v>52</v>
      </c>
      <c r="BF1000" s="1" t="s">
        <v>53</v>
      </c>
      <c r="BG1000" s="1" t="s">
        <v>54</v>
      </c>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row>
    <row r="1001" spans="45:83">
      <c r="AS1001" s="67"/>
      <c r="AT1001" s="67"/>
      <c r="AU1001" s="20">
        <v>2</v>
      </c>
      <c r="AV1001" t="s">
        <v>5</v>
      </c>
      <c r="AW1001" t="s">
        <v>3</v>
      </c>
      <c r="AX1001" t="s">
        <v>4</v>
      </c>
      <c r="AY1001" t="s">
        <v>3</v>
      </c>
      <c r="AZ1001" t="s">
        <v>5</v>
      </c>
      <c r="BA1001" t="s">
        <v>5</v>
      </c>
      <c r="BB1001" t="s">
        <v>3</v>
      </c>
      <c r="BC1001" t="s">
        <v>4</v>
      </c>
      <c r="BD1001" t="s">
        <v>3</v>
      </c>
      <c r="BE1001" t="s">
        <v>3</v>
      </c>
      <c r="BF1001" t="s">
        <v>4</v>
      </c>
      <c r="BG1001" t="s">
        <v>4</v>
      </c>
    </row>
    <row r="1002" spans="45:83">
      <c r="AT1002" t="s">
        <v>504</v>
      </c>
      <c r="AU1002">
        <f>AW22*AT34*AT38*AT43*AT50*AT58*AT64*AT68*AT73*AT80*AT86*AT91*AT97*AT106*AT110*AT115*AT124*AT130*AT136*AT140*AT145*AT151*AT157*AT164*AT167*AT171*AT175*AT179*AT183*AT187*AT192*AT195*AT200*AT203*AT207*AT211*AT216</f>
        <v>0</v>
      </c>
      <c r="AZ1002"/>
      <c r="BA1002"/>
      <c r="BB1002"/>
      <c r="BC1002"/>
      <c r="BD1002"/>
      <c r="BE1002"/>
      <c r="BF1002"/>
    </row>
    <row r="1003" spans="45:83">
      <c r="AT1003" t="s">
        <v>505</v>
      </c>
      <c r="AU1003">
        <f>AW22*AU34*AU38*AU43*AU50*AU58*AU64*AU68*AU73*AU80*AU86*AU91*AU97*AU106*AU110*AU115*AU124*AU130*AU136*AU140*AU145*AU151*AU157*AU164*AU167*AU171*AU175*AU179*AU183*AU187*AU192*AU195*AU200*AU203*AU207*AU211*AU216</f>
        <v>1.9405154601319988E-11</v>
      </c>
      <c r="AZ1003"/>
      <c r="BA1003"/>
      <c r="BB1003"/>
      <c r="BC1003"/>
      <c r="BD1003"/>
      <c r="BE1003"/>
      <c r="BF1003"/>
    </row>
    <row r="1004" spans="45:83">
      <c r="AT1004" t="s">
        <v>506</v>
      </c>
      <c r="AZ1004"/>
      <c r="BA1004"/>
      <c r="BB1004"/>
      <c r="BC1004"/>
      <c r="BD1004"/>
      <c r="BE1004"/>
      <c r="BF1004"/>
    </row>
    <row r="1005" spans="45:83">
      <c r="AT1005" t="s">
        <v>507</v>
      </c>
      <c r="AZ1005"/>
      <c r="BA1005"/>
      <c r="BB1005"/>
      <c r="BC1005"/>
      <c r="BD1005"/>
      <c r="BE1005"/>
      <c r="BF1005"/>
    </row>
    <row r="1006" spans="45:83">
      <c r="AT1006" t="s">
        <v>508</v>
      </c>
      <c r="AZ1006"/>
      <c r="BA1006"/>
      <c r="BB1006"/>
      <c r="BC1006"/>
      <c r="BD1006"/>
      <c r="BE1006"/>
      <c r="BF1006"/>
    </row>
    <row r="1007" spans="45:83">
      <c r="AT1007" t="s">
        <v>509</v>
      </c>
      <c r="AZ1007"/>
      <c r="BA1007"/>
      <c r="BB1007"/>
      <c r="BC1007"/>
      <c r="BD1007"/>
      <c r="BE1007"/>
      <c r="BF1007"/>
    </row>
    <row r="1008" spans="45:83">
      <c r="AZ1008"/>
      <c r="BA1008"/>
      <c r="BB1008"/>
      <c r="BC1008"/>
      <c r="BD1008"/>
      <c r="BE1008"/>
      <c r="BF1008"/>
    </row>
    <row r="1009" spans="45:83">
      <c r="AS1009" s="67" t="s">
        <v>463</v>
      </c>
      <c r="AT1009" s="67"/>
      <c r="AU1009" s="20" t="s">
        <v>64</v>
      </c>
      <c r="AV1009" s="1" t="s">
        <v>43</v>
      </c>
      <c r="AW1009" s="1" t="s">
        <v>44</v>
      </c>
      <c r="AX1009" s="1" t="s">
        <v>45</v>
      </c>
      <c r="AY1009" s="1" t="s">
        <v>46</v>
      </c>
      <c r="AZ1009" s="1" t="s">
        <v>47</v>
      </c>
      <c r="BA1009" s="1" t="s">
        <v>48</v>
      </c>
      <c r="BB1009" s="1" t="s">
        <v>49</v>
      </c>
      <c r="BC1009" s="1" t="s">
        <v>50</v>
      </c>
      <c r="BD1009" s="1" t="s">
        <v>51</v>
      </c>
      <c r="BE1009" s="1" t="s">
        <v>52</v>
      </c>
      <c r="BF1009" s="1" t="s">
        <v>53</v>
      </c>
      <c r="BG1009" s="1" t="s">
        <v>54</v>
      </c>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row>
    <row r="1010" spans="45:83">
      <c r="AS1010" s="67"/>
      <c r="AT1010" s="67"/>
      <c r="AU1010" s="20">
        <v>2</v>
      </c>
      <c r="AV1010" s="22" t="s">
        <v>2</v>
      </c>
      <c r="AW1010" t="s">
        <v>3</v>
      </c>
      <c r="AX1010" t="s">
        <v>2</v>
      </c>
      <c r="AY1010" t="s">
        <v>5</v>
      </c>
      <c r="AZ1010" t="s">
        <v>5</v>
      </c>
      <c r="BA1010" t="s">
        <v>5</v>
      </c>
      <c r="BB1010" t="s">
        <v>5</v>
      </c>
      <c r="BC1010" t="s">
        <v>2</v>
      </c>
      <c r="BD1010" t="s">
        <v>3</v>
      </c>
      <c r="BE1010" t="s">
        <v>3</v>
      </c>
      <c r="BF1010" s="22" t="s">
        <v>2</v>
      </c>
      <c r="BG1010" t="s">
        <v>5</v>
      </c>
    </row>
    <row r="1011" spans="45:83">
      <c r="AT1011" t="s">
        <v>504</v>
      </c>
      <c r="AU1011">
        <f>AW22*AT33*AT38*AT45*AT52*AT58*AT64*AT70*AT75*AT80*AT86*AT93*AT100*AT106*AT110*AT117*AT124*AT130*AT136*AT142*AT145*AT151*AT157*AT164*AT167*AT171*AT175*AT179*AT183*AT187*AT192*AT195*AT200*AT203*AT207*AT211*AT216</f>
        <v>3.3196269114123304E-7</v>
      </c>
      <c r="AZ1011"/>
      <c r="BA1011"/>
      <c r="BB1011"/>
      <c r="BC1011"/>
      <c r="BD1011"/>
      <c r="BE1011"/>
      <c r="BF1011"/>
    </row>
    <row r="1012" spans="45:83">
      <c r="AT1012" t="s">
        <v>505</v>
      </c>
      <c r="AU1012">
        <f>AW23*AU33*AU38*AU45*AU52*AU58*AU64*AU70*AU75*AU80*AU86*AU93*AU100*AU106*AU110*AU117*AU124*AU130*AU136*AU142*AU145*AU151*AU157*AU164*AU167*AU171*AU175*AU179*AU183*AU187*AU192*AU195*AU200*AU203*AU207*AU211*AU216</f>
        <v>5.1747078936853309E-9</v>
      </c>
      <c r="AZ1012"/>
      <c r="BA1012"/>
      <c r="BB1012"/>
      <c r="BC1012"/>
      <c r="BD1012"/>
      <c r="BE1012"/>
      <c r="BF1012"/>
    </row>
    <row r="1013" spans="45:83">
      <c r="AT1013" t="s">
        <v>506</v>
      </c>
      <c r="AU1013">
        <f>AW24*AV33*AV38*AV45*AV52*AV58*AV64*AV70*AV75*AV80*AV86*AV93*AV100*AV106*AV110*AV117*AV124*AV130*AV136*AV142*AV145*AV151*AV157*AV164*AV167*AV171*AV175*AV179*AV183*AV187*AV192*AV195*AV200*AV203*AV207*AV211*AV216</f>
        <v>0</v>
      </c>
      <c r="AZ1013"/>
      <c r="BA1013"/>
      <c r="BB1013"/>
      <c r="BC1013"/>
      <c r="BD1013"/>
      <c r="BE1013"/>
      <c r="BF1013"/>
    </row>
    <row r="1014" spans="45:83">
      <c r="AT1014" t="s">
        <v>507</v>
      </c>
      <c r="AU1014">
        <f>AW25*AW33*AW38*AW45*AW52*AW58*AW64*AW70*AW75*AW80*AW86*AW93*AW100*AW106*AW110*AW117*AW124*AW130*AW136*AW142*AW145*AW151*AW157*AW164*AW167*AW171*AW175*AW179*AW183*AW187*AW192*AW195*AW200*AW203*AW207*AW211*AW216</f>
        <v>0</v>
      </c>
      <c r="AZ1014"/>
      <c r="BA1014"/>
      <c r="BB1014"/>
      <c r="BC1014"/>
      <c r="BD1014"/>
      <c r="BE1014"/>
      <c r="BF1014"/>
    </row>
    <row r="1015" spans="45:83">
      <c r="AT1015" t="s">
        <v>508</v>
      </c>
      <c r="AU1015">
        <f>AW26*AX33*AX38*AX45*AX52*AX58*AX64*AX70*AX75*AX80*AX86*AX93*AX100*AX106*AX110*AX117*AX124*AX130*AX136*AX142*AX145*AX151*AX157*AX164*AX167*AX171*AX175*AX179*AX183*AX187*AX192*AX195*AX200*AX203*AX207*AX211*AX216</f>
        <v>4.1330783244220867E-10</v>
      </c>
      <c r="AZ1015"/>
      <c r="BA1015"/>
      <c r="BB1015"/>
      <c r="BC1015"/>
      <c r="BD1015"/>
      <c r="BE1015"/>
      <c r="BF1015"/>
    </row>
    <row r="1016" spans="45:83">
      <c r="AT1016" t="s">
        <v>509</v>
      </c>
      <c r="AU1016">
        <f>AW27*AY33*AY38*AY45*AY52*AY58*AY64*AY70*AY75*AY80*AY86*AY93*AY100*AY106*AY110*AY117*AY124*AY130*AY136*AY142*AY145*AY151*AY157*AY164*AY167*AY171*AY175*AY179*AY183*AY187*AY192*AY195*AY200*AY203*AY207*AY211*AY216</f>
        <v>0</v>
      </c>
      <c r="AZ1016"/>
      <c r="BA1016"/>
      <c r="BB1016"/>
      <c r="BC1016"/>
      <c r="BD1016"/>
      <c r="BE1016"/>
      <c r="BF1016"/>
    </row>
    <row r="1017" spans="45:83">
      <c r="AZ1017"/>
      <c r="BA1017"/>
      <c r="BB1017"/>
      <c r="BC1017"/>
      <c r="BD1017"/>
      <c r="BE1017"/>
      <c r="BF1017"/>
    </row>
    <row r="1018" spans="45:83">
      <c r="AS1018" s="67" t="s">
        <v>464</v>
      </c>
      <c r="AT1018" s="67"/>
      <c r="AU1018" s="20" t="s">
        <v>64</v>
      </c>
      <c r="AV1018" s="1" t="s">
        <v>43</v>
      </c>
      <c r="AW1018" s="1" t="s">
        <v>44</v>
      </c>
      <c r="AX1018" s="1" t="s">
        <v>45</v>
      </c>
      <c r="AY1018" s="1" t="s">
        <v>46</v>
      </c>
      <c r="AZ1018" s="1" t="s">
        <v>47</v>
      </c>
      <c r="BA1018" s="1" t="s">
        <v>48</v>
      </c>
      <c r="BB1018" s="1" t="s">
        <v>49</v>
      </c>
      <c r="BC1018" s="1" t="s">
        <v>50</v>
      </c>
      <c r="BD1018" s="1" t="s">
        <v>51</v>
      </c>
      <c r="BE1018" s="1" t="s">
        <v>52</v>
      </c>
      <c r="BF1018" s="1" t="s">
        <v>53</v>
      </c>
      <c r="BG1018" s="1" t="s">
        <v>54</v>
      </c>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row>
    <row r="1019" spans="45:83">
      <c r="AS1019" s="67"/>
      <c r="AT1019" s="67"/>
      <c r="AU1019" s="20">
        <v>2</v>
      </c>
      <c r="AV1019" t="s">
        <v>4</v>
      </c>
      <c r="AW1019" t="s">
        <v>5</v>
      </c>
      <c r="AX1019" t="s">
        <v>5</v>
      </c>
      <c r="AY1019" t="s">
        <v>5</v>
      </c>
      <c r="AZ1019" t="s">
        <v>5</v>
      </c>
      <c r="BA1019" t="s">
        <v>5</v>
      </c>
      <c r="BB1019" t="s">
        <v>5</v>
      </c>
      <c r="BC1019" t="s">
        <v>2</v>
      </c>
      <c r="BD1019" t="s">
        <v>3</v>
      </c>
      <c r="BE1019" t="s">
        <v>4</v>
      </c>
      <c r="BF1019" t="s">
        <v>4</v>
      </c>
      <c r="BG1019" t="s">
        <v>2</v>
      </c>
    </row>
    <row r="1020" spans="45:83">
      <c r="AT1020" t="s">
        <v>504</v>
      </c>
      <c r="AU1020">
        <f>AW22*AT31*AT40*AT46*AT52*AT58*AT64*AT70*AT75*AT80*AT85*AT91*AT99*AT106*AT109*AT117*AT124*AT129*AT136*AT142*AT147*AT153*AT157*AT164*AT167*AT171*AT175*AT179*AT183*AT187*AT191*AT195*AT199*AT203*AT207*AT211*AT216</f>
        <v>0</v>
      </c>
      <c r="AZ1020"/>
      <c r="BA1020"/>
      <c r="BB1020"/>
      <c r="BC1020"/>
      <c r="BD1020"/>
      <c r="BE1020"/>
      <c r="BF1020"/>
    </row>
    <row r="1021" spans="45:83">
      <c r="AT1021" t="s">
        <v>505</v>
      </c>
      <c r="AU1021">
        <f>AW23*AU31*AU40*AU46*AU52*AU58*AU64*AU70*AU75*AU80*AU85*AU91*AU99*AU106*AU109*AU117*AU124*AU129*AU136*AU142*AU147*AU151*AU157*AU164*AU167*AU171*AU175*AU179*AU183*AU187*AU191*AU195*AU199*AU203*AU207*AU211*AU216</f>
        <v>2.6134888351946111E-11</v>
      </c>
      <c r="AZ1021"/>
      <c r="BA1021"/>
      <c r="BB1021"/>
      <c r="BC1021"/>
      <c r="BD1021"/>
      <c r="BE1021"/>
      <c r="BF1021"/>
    </row>
    <row r="1022" spans="45:83">
      <c r="AT1022" t="s">
        <v>506</v>
      </c>
      <c r="AZ1022"/>
      <c r="BA1022"/>
      <c r="BB1022"/>
      <c r="BC1022"/>
      <c r="BD1022"/>
      <c r="BE1022"/>
      <c r="BF1022"/>
    </row>
    <row r="1023" spans="45:83">
      <c r="AT1023" t="s">
        <v>507</v>
      </c>
      <c r="AZ1023"/>
      <c r="BA1023"/>
      <c r="BB1023"/>
      <c r="BC1023"/>
      <c r="BD1023"/>
      <c r="BE1023"/>
      <c r="BF1023"/>
    </row>
    <row r="1024" spans="45:83">
      <c r="AT1024" t="s">
        <v>508</v>
      </c>
      <c r="AZ1024"/>
      <c r="BA1024"/>
      <c r="BB1024"/>
      <c r="BC1024"/>
      <c r="BD1024"/>
      <c r="BE1024"/>
      <c r="BF1024"/>
    </row>
    <row r="1025" spans="45:83">
      <c r="AT1025" t="s">
        <v>509</v>
      </c>
      <c r="AU1025">
        <f>AW27*AY31*AY40*AY46*AY52*AY58*AY64*AY70*AY75*AY80*AY85*AY91*AY99*AY106*AY109*AY117*AY124*AY129*AY136*AY142*AY147*AY151*AY157*AY164*AY167*AY171*AY175*AY179*AY183*AY187*AY191*AY195*AY199*AY203*AY207*AY211*AY216</f>
        <v>1.0756884473246228E-12</v>
      </c>
      <c r="AZ1025"/>
      <c r="BA1025"/>
      <c r="BB1025"/>
      <c r="BC1025"/>
      <c r="BD1025"/>
      <c r="BE1025"/>
      <c r="BF1025"/>
    </row>
    <row r="1026" spans="45:83">
      <c r="AZ1026"/>
      <c r="BA1026"/>
      <c r="BB1026"/>
      <c r="BC1026"/>
      <c r="BD1026"/>
      <c r="BE1026"/>
      <c r="BF1026"/>
    </row>
    <row r="1027" spans="45:83">
      <c r="AS1027" s="67" t="s">
        <v>490</v>
      </c>
      <c r="AT1027" s="67"/>
      <c r="AU1027" s="20" t="s">
        <v>64</v>
      </c>
      <c r="AV1027" s="1" t="s">
        <v>43</v>
      </c>
      <c r="AW1027" s="1" t="s">
        <v>44</v>
      </c>
      <c r="AX1027" s="1" t="s">
        <v>45</v>
      </c>
      <c r="AY1027" s="1" t="s">
        <v>46</v>
      </c>
      <c r="AZ1027" s="1" t="s">
        <v>47</v>
      </c>
      <c r="BA1027" s="1" t="s">
        <v>48</v>
      </c>
      <c r="BB1027" s="1" t="s">
        <v>49</v>
      </c>
      <c r="BC1027" s="1" t="s">
        <v>50</v>
      </c>
      <c r="BD1027" s="1" t="s">
        <v>51</v>
      </c>
      <c r="BE1027" s="1" t="s">
        <v>52</v>
      </c>
      <c r="BF1027" s="1" t="s">
        <v>53</v>
      </c>
      <c r="BG1027" s="1" t="s">
        <v>54</v>
      </c>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row>
    <row r="1028" spans="45:83">
      <c r="AS1028" s="67"/>
      <c r="AT1028" s="67"/>
      <c r="AU1028" s="20">
        <v>2</v>
      </c>
      <c r="AV1028" t="s">
        <v>4</v>
      </c>
      <c r="AW1028" t="s">
        <v>5</v>
      </c>
      <c r="AX1028" t="s">
        <v>3</v>
      </c>
      <c r="AY1028" t="s">
        <v>2</v>
      </c>
      <c r="AZ1028" t="s">
        <v>5</v>
      </c>
      <c r="BA1028" t="s">
        <v>5</v>
      </c>
      <c r="BB1028" t="s">
        <v>5</v>
      </c>
      <c r="BC1028" t="s">
        <v>2</v>
      </c>
      <c r="BD1028" t="s">
        <v>2</v>
      </c>
      <c r="BE1028" t="s">
        <v>3</v>
      </c>
      <c r="BF1028" t="s">
        <v>4</v>
      </c>
      <c r="BG1028" t="s">
        <v>2</v>
      </c>
    </row>
    <row r="1029" spans="45:83">
      <c r="AT1029" t="s">
        <v>504</v>
      </c>
      <c r="AU1029">
        <f>AW22*AT31*AT40*AT44*AT51*AT58*AT64*AT70*AT75*AT81*AT86*AT91*AT99*AT106*AT110*AT115*AT124*AT130*AT136*AT139*AT145*AT152*AT157*AT164*AT167*AT171*AT175*AT179*AT183*AT187*AT192*AT195*AT200*AT203*AT207*AT211*AT215</f>
        <v>0</v>
      </c>
      <c r="AZ1029"/>
      <c r="BA1029"/>
      <c r="BB1029"/>
      <c r="BC1029"/>
      <c r="BD1029"/>
      <c r="BE1029"/>
      <c r="BF1029"/>
    </row>
    <row r="1030" spans="45:83">
      <c r="AT1030" t="s">
        <v>505</v>
      </c>
      <c r="AU1030">
        <f>AW23*AU31*AU40*AU44*AU51*AU58*AU64*AU70*AU75*AU81*AU86*AU91*AU99*AU106*AU110*AU115*AU124*AU130*AU136*AU139*AU145*AU152*AU157*AU164*AU167*AU171*AU175*AU179*AU183*AU187*AU192*AU195*AU200*AU203*AU207*AU211*AU215</f>
        <v>0</v>
      </c>
      <c r="AZ1030"/>
      <c r="BA1030"/>
      <c r="BB1030"/>
      <c r="BC1030"/>
      <c r="BD1030"/>
      <c r="BE1030"/>
      <c r="BF1030"/>
    </row>
    <row r="1031" spans="45:83">
      <c r="AT1031" t="s">
        <v>506</v>
      </c>
      <c r="AZ1031"/>
      <c r="BA1031"/>
      <c r="BB1031"/>
      <c r="BC1031"/>
      <c r="BD1031"/>
      <c r="BE1031"/>
      <c r="BF1031"/>
    </row>
    <row r="1032" spans="45:83">
      <c r="AT1032" t="s">
        <v>507</v>
      </c>
      <c r="AZ1032"/>
      <c r="BA1032"/>
      <c r="BB1032"/>
      <c r="BC1032"/>
      <c r="BD1032"/>
      <c r="BE1032"/>
      <c r="BF1032"/>
    </row>
    <row r="1033" spans="45:83">
      <c r="AT1033" t="s">
        <v>508</v>
      </c>
      <c r="AZ1033"/>
      <c r="BA1033"/>
      <c r="BB1033"/>
      <c r="BC1033"/>
      <c r="BD1033"/>
      <c r="BE1033"/>
      <c r="BF1033"/>
    </row>
    <row r="1034" spans="45:83">
      <c r="AT1034" t="s">
        <v>509</v>
      </c>
      <c r="AZ1034"/>
      <c r="BA1034"/>
      <c r="BB1034"/>
      <c r="BC1034"/>
      <c r="BD1034"/>
      <c r="BE1034"/>
      <c r="BF1034"/>
    </row>
    <row r="1035" spans="45:83">
      <c r="AZ1035"/>
      <c r="BA1035"/>
      <c r="BB1035"/>
      <c r="BC1035"/>
      <c r="BD1035"/>
      <c r="BE1035"/>
      <c r="BF1035"/>
    </row>
    <row r="1036" spans="45:83">
      <c r="AS1036" s="67" t="s">
        <v>319</v>
      </c>
      <c r="AT1036" s="67"/>
      <c r="AU1036" s="20" t="s">
        <v>64</v>
      </c>
      <c r="AV1036" s="1" t="s">
        <v>43</v>
      </c>
      <c r="AW1036" s="1" t="s">
        <v>44</v>
      </c>
      <c r="AX1036" s="1" t="s">
        <v>45</v>
      </c>
      <c r="AY1036" s="1" t="s">
        <v>46</v>
      </c>
      <c r="AZ1036" s="1" t="s">
        <v>47</v>
      </c>
      <c r="BA1036" s="1" t="s">
        <v>48</v>
      </c>
      <c r="BB1036" s="1" t="s">
        <v>49</v>
      </c>
      <c r="BC1036" s="1" t="s">
        <v>50</v>
      </c>
      <c r="BD1036" s="1" t="s">
        <v>51</v>
      </c>
      <c r="BE1036" s="1" t="s">
        <v>52</v>
      </c>
      <c r="BF1036" s="1" t="s">
        <v>53</v>
      </c>
      <c r="BG1036" s="1" t="s">
        <v>54</v>
      </c>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row>
    <row r="1037" spans="45:83">
      <c r="AS1037" s="67"/>
      <c r="AT1037" s="67"/>
      <c r="AU1037" s="20">
        <v>3</v>
      </c>
      <c r="AV1037" s="22" t="s">
        <v>2</v>
      </c>
      <c r="AW1037" t="s">
        <v>3</v>
      </c>
      <c r="AX1037" t="s">
        <v>3</v>
      </c>
      <c r="AY1037" t="s">
        <v>2</v>
      </c>
      <c r="AZ1037" t="s">
        <v>5</v>
      </c>
      <c r="BA1037" t="s">
        <v>5</v>
      </c>
      <c r="BB1037" t="s">
        <v>5</v>
      </c>
      <c r="BC1037" t="s">
        <v>2</v>
      </c>
      <c r="BD1037" t="s">
        <v>3</v>
      </c>
      <c r="BE1037" t="s">
        <v>3</v>
      </c>
      <c r="BF1037" t="s">
        <v>3</v>
      </c>
      <c r="BG1037" t="s">
        <v>2</v>
      </c>
    </row>
    <row r="1038" spans="45:83">
      <c r="AT1038" t="s">
        <v>504</v>
      </c>
      <c r="AU1038">
        <f>AW22*AT33*AT38*AT44*AT51*AT58*AT64*AT70*AT75*AT80*AT86*AT92*AT99*AT106*AT110*AT116*AT124*AT130*AT136*AT142*AT145*AT152*AT159*AT164*AT167*AT171*AT175*AT179*AT183*AT187*AT192*AT195*AT200*AT203*AT207*AT212*AT216</f>
        <v>0</v>
      </c>
      <c r="AZ1038"/>
      <c r="BA1038"/>
      <c r="BB1038"/>
      <c r="BC1038"/>
      <c r="BD1038"/>
      <c r="BE1038"/>
      <c r="BF1038"/>
    </row>
    <row r="1039" spans="45:83">
      <c r="AT1039" t="s">
        <v>505</v>
      </c>
      <c r="AU1039">
        <f>AW23*AU33*AU38*AU44*AU51*AU58*AU64*AU70*AU75*AU80*AU86*AU92*AU99*AU106*AU110*AU116*AU124*AU130*AU136*AU142*AU145*AU152*AU159*AU164*AU167*AU171*AU175*AU179*AU183*AU187*AU192*AU195*AU200*AU203*AU207*AU212*AU216</f>
        <v>2.5154830038748132E-9</v>
      </c>
      <c r="AZ1039"/>
      <c r="BA1039"/>
      <c r="BB1039"/>
      <c r="BC1039"/>
      <c r="BD1039"/>
      <c r="BE1039"/>
      <c r="BF1039"/>
    </row>
    <row r="1040" spans="45:83">
      <c r="AT1040" t="s">
        <v>506</v>
      </c>
      <c r="AU1040">
        <f>AW24*AV33*AV38*AV44*AV51*AV58*AV64*AV70*AV75*AV80*AV86*AV92*AV99*AV106*AV110*AV116*AV124*AV130*AV136*AV142*AV145*AV152*AV159*AV164*AV167*AV171*AV175*AV179*AV183*AV187*AV192*AV195*AV200*AV203*AV207*AV212*AV216</f>
        <v>5.5332311688297959E-8</v>
      </c>
      <c r="AZ1040"/>
      <c r="BA1040"/>
      <c r="BB1040"/>
      <c r="BC1040"/>
      <c r="BD1040"/>
      <c r="BE1040"/>
      <c r="BF1040"/>
    </row>
    <row r="1041" spans="45:83">
      <c r="AT1041" t="s">
        <v>507</v>
      </c>
      <c r="AU1041">
        <f>AW25*AW33*AW38*AW44*AW51*AW58*AW64*AW70*AW75*AW80*AW86*AW92*AW99*AW106*AW110*AW116*AW124*AW130*AW136*AW142*AW145*AW152*AW159*AW164*AW167*AW171*AW175*AW179*AW183*AW187*AW192*AW195*AW200*AW203*AW207*AW212*AW216</f>
        <v>5.0285880902225259E-9</v>
      </c>
      <c r="AZ1041"/>
      <c r="BA1041"/>
      <c r="BB1041"/>
      <c r="BC1041"/>
      <c r="BD1041"/>
      <c r="BE1041"/>
      <c r="BF1041"/>
    </row>
    <row r="1042" spans="45:83">
      <c r="AT1042" t="s">
        <v>508</v>
      </c>
      <c r="AU1042">
        <f>AW26*AX33*AX38*AX44*AX51*AX58*AX64*AX70*AX75*AX80*AX86*AX92*AX99*AX106*AX110*AX116*AX124*AX130*AX136*AX142*AX145*AX152*AX159*AX164*AX167*AX171*AX175*AX179*AX183*AX187*AX192*AX195*AX200*AX203*AX207*AX212*AX216</f>
        <v>0</v>
      </c>
      <c r="AZ1042"/>
      <c r="BA1042"/>
      <c r="BB1042"/>
      <c r="BC1042"/>
      <c r="BD1042"/>
      <c r="BE1042"/>
      <c r="BF1042"/>
    </row>
    <row r="1043" spans="45:83">
      <c r="AT1043" t="s">
        <v>509</v>
      </c>
      <c r="AU1043">
        <f>AW27*AY33*AY38*AY44*AY51*AY58*AY64*AY70*AY75*AY80*AY86*AY92*AY99*AY106*AY110*AY116*AY124*AY130*AY136*AY142*AY145*AY152*AY159*AY164*AY167*AY171*AY175*AY179*AY183*AY187*AY192*AY195*AY200*AY203*AY207*AY212*AY216</f>
        <v>0</v>
      </c>
      <c r="AZ1043"/>
      <c r="BA1043"/>
      <c r="BB1043"/>
      <c r="BC1043"/>
      <c r="BD1043"/>
      <c r="BE1043"/>
      <c r="BF1043"/>
    </row>
    <row r="1044" spans="45:83">
      <c r="AZ1044"/>
      <c r="BA1044"/>
      <c r="BB1044"/>
      <c r="BC1044"/>
      <c r="BD1044"/>
      <c r="BE1044"/>
      <c r="BF1044"/>
    </row>
    <row r="1045" spans="45:83">
      <c r="AS1045" s="67" t="s">
        <v>501</v>
      </c>
      <c r="AT1045" s="67"/>
      <c r="AU1045" s="20" t="s">
        <v>64</v>
      </c>
      <c r="AV1045" s="1" t="s">
        <v>43</v>
      </c>
      <c r="AW1045" s="1" t="s">
        <v>44</v>
      </c>
      <c r="AX1045" s="1" t="s">
        <v>45</v>
      </c>
      <c r="AY1045" s="1" t="s">
        <v>46</v>
      </c>
      <c r="AZ1045" s="1" t="s">
        <v>47</v>
      </c>
      <c r="BA1045" s="1" t="s">
        <v>48</v>
      </c>
      <c r="BB1045" s="1" t="s">
        <v>49</v>
      </c>
      <c r="BC1045" s="1" t="s">
        <v>50</v>
      </c>
      <c r="BD1045" s="1" t="s">
        <v>51</v>
      </c>
      <c r="BE1045" s="1" t="s">
        <v>52</v>
      </c>
      <c r="BF1045" s="1" t="s">
        <v>53</v>
      </c>
      <c r="BG1045" s="1" t="s">
        <v>54</v>
      </c>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row>
    <row r="1046" spans="45:83">
      <c r="AS1046" s="67"/>
      <c r="AT1046" s="67"/>
      <c r="AU1046" s="20">
        <v>3</v>
      </c>
      <c r="AV1046" t="s">
        <v>2</v>
      </c>
      <c r="AW1046" t="s">
        <v>3</v>
      </c>
      <c r="AX1046" t="s">
        <v>3</v>
      </c>
      <c r="AY1046" t="s">
        <v>2</v>
      </c>
      <c r="AZ1046" t="s">
        <v>5</v>
      </c>
      <c r="BA1046" t="s">
        <v>2</v>
      </c>
      <c r="BB1046" t="s">
        <v>5</v>
      </c>
      <c r="BC1046" t="s">
        <v>2</v>
      </c>
      <c r="BD1046" t="s">
        <v>3</v>
      </c>
      <c r="BE1046" t="s">
        <v>4</v>
      </c>
      <c r="BF1046" t="s">
        <v>4</v>
      </c>
      <c r="BG1046" t="s">
        <v>5</v>
      </c>
    </row>
    <row r="1047" spans="45:83">
      <c r="AT1047" t="s">
        <v>504</v>
      </c>
      <c r="AU1047">
        <f>AW22*AT33*AT38*AT44*AT51*AT58*AT63*AT70*AT75*AT80*AT85*AT91*AT100*AT106*AT109*AT118*AT124*AT130*AT136*AT142*AT145*AT152*AT157*AT163*AT167*AT171*AT175*AT179*AT183*AT187*AT191*AT195*AT200*AT203*AT207*AT212*AT215</f>
        <v>0</v>
      </c>
      <c r="AZ1047"/>
      <c r="BA1047"/>
      <c r="BB1047"/>
      <c r="BC1047"/>
      <c r="BD1047"/>
      <c r="BE1047"/>
      <c r="BF1047"/>
    </row>
    <row r="1048" spans="45:83">
      <c r="AZ1048"/>
      <c r="BA1048"/>
      <c r="BB1048"/>
      <c r="BC1048"/>
      <c r="BD1048"/>
      <c r="BE1048"/>
      <c r="BF1048"/>
    </row>
    <row r="1049" spans="45:83">
      <c r="AT1049" t="s">
        <v>506</v>
      </c>
      <c r="AU1049">
        <f>AW24*AV33*AV38*AV44*AV51*AV58*AV63*AV70*AV75*AV80*AV85*AV91*AV100*AV106*AV109*AV118*AV124*AV130*AV136*AV142*AV145*AV152*AV157*AV163*AV167*AV171*AV175*AV179*AV183*AV187*AV191*AV195*AV200*AV203*AV207*AV212*AV215</f>
        <v>7.1134284998730203E-11</v>
      </c>
      <c r="AZ1049"/>
      <c r="BA1049"/>
      <c r="BB1049"/>
      <c r="BC1049"/>
      <c r="BD1049"/>
      <c r="BE1049"/>
      <c r="BF1049"/>
    </row>
    <row r="1050" spans="45:83">
      <c r="AZ1050"/>
      <c r="BA1050"/>
      <c r="BB1050"/>
      <c r="BC1050"/>
      <c r="BD1050"/>
      <c r="BE1050"/>
      <c r="BF1050"/>
    </row>
    <row r="1051" spans="45:83">
      <c r="AS1051" s="67" t="s">
        <v>320</v>
      </c>
      <c r="AT1051" s="67"/>
      <c r="AU1051" s="20" t="s">
        <v>64</v>
      </c>
      <c r="AV1051" s="1" t="s">
        <v>43</v>
      </c>
      <c r="AW1051" s="1" t="s">
        <v>44</v>
      </c>
      <c r="AX1051" s="1" t="s">
        <v>45</v>
      </c>
      <c r="AY1051" s="1" t="s">
        <v>46</v>
      </c>
      <c r="AZ1051" s="1" t="s">
        <v>47</v>
      </c>
      <c r="BA1051" s="1" t="s">
        <v>48</v>
      </c>
      <c r="BB1051" s="1" t="s">
        <v>49</v>
      </c>
      <c r="BC1051" s="1" t="s">
        <v>50</v>
      </c>
      <c r="BD1051" s="1" t="s">
        <v>51</v>
      </c>
      <c r="BE1051" s="1" t="s">
        <v>52</v>
      </c>
      <c r="BF1051" s="1" t="s">
        <v>53</v>
      </c>
      <c r="BG1051" s="1" t="s">
        <v>54</v>
      </c>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row>
    <row r="1052" spans="45:83">
      <c r="AS1052" s="67"/>
      <c r="AT1052" s="67"/>
      <c r="AU1052" s="20">
        <v>3</v>
      </c>
      <c r="AV1052" s="22" t="s">
        <v>2</v>
      </c>
      <c r="AW1052" t="s">
        <v>3</v>
      </c>
      <c r="AX1052" t="s">
        <v>3</v>
      </c>
      <c r="AY1052" t="s">
        <v>5</v>
      </c>
      <c r="AZ1052" t="s">
        <v>5</v>
      </c>
      <c r="BA1052" t="s">
        <v>5</v>
      </c>
      <c r="BB1052" t="s">
        <v>2</v>
      </c>
      <c r="BC1052" t="s">
        <v>2</v>
      </c>
      <c r="BD1052" t="s">
        <v>3</v>
      </c>
      <c r="BE1052" t="s">
        <v>3</v>
      </c>
      <c r="BF1052" t="s">
        <v>4</v>
      </c>
      <c r="BG1052" t="s">
        <v>5</v>
      </c>
    </row>
    <row r="1053" spans="45:83">
      <c r="AZ1053"/>
      <c r="BA1053"/>
      <c r="BB1053"/>
      <c r="BC1053"/>
      <c r="BD1053"/>
      <c r="BE1053"/>
      <c r="BF1053"/>
    </row>
    <row r="1054" spans="45:83">
      <c r="AZ1054"/>
      <c r="BA1054"/>
      <c r="BB1054"/>
      <c r="BC1054"/>
      <c r="BD1054"/>
      <c r="BE1054"/>
      <c r="BF1054"/>
    </row>
    <row r="1055" spans="45:83">
      <c r="AT1055" t="s">
        <v>506</v>
      </c>
      <c r="AU1055">
        <f>AW24*AV33*AV38*AV44*AV52*AV58*AV64*AV69*AV75*AV80*AV86*AV91*AV100*AV105*AV110*AV117*AV124*AV130*AV136*AV142*AV145*AV152*AV158*AV164*AV167*AV171*AV175*AV179*AV183*AV187*AV192*AV195*AV200*AV203*AV207*AV212*AV216</f>
        <v>5.5891223927573679E-8</v>
      </c>
      <c r="AZ1055"/>
      <c r="BA1055"/>
      <c r="BB1055"/>
      <c r="BC1055"/>
      <c r="BD1055"/>
      <c r="BE1055"/>
      <c r="BF1055"/>
    </row>
    <row r="1056" spans="45:83">
      <c r="AZ1056"/>
      <c r="BA1056"/>
      <c r="BB1056"/>
      <c r="BC1056"/>
      <c r="BD1056"/>
      <c r="BE1056"/>
      <c r="BF1056"/>
    </row>
    <row r="1057" spans="45:83">
      <c r="AT1057" t="s">
        <v>508</v>
      </c>
      <c r="AU1057">
        <f>AW26*AX33*AX38*AX44*AX52*AX58*AX64*AX69*AX75*AX80*AX86*AX91*AX100*AX105*AX110*AX117*AX124*AX130*AX136*AX142*AX145*AX152*AX158*AX164*AX167*AX171*AX175*AX179*AX183*AX187*AX192*AX195*AX200*AX203*AX207*AX212*AX216</f>
        <v>3.9362650708781791E-11</v>
      </c>
      <c r="AZ1057"/>
      <c r="BA1057"/>
      <c r="BB1057"/>
      <c r="BC1057"/>
      <c r="BD1057"/>
      <c r="BE1057"/>
      <c r="BF1057"/>
    </row>
    <row r="1058" spans="45:83">
      <c r="AZ1058"/>
      <c r="BA1058"/>
      <c r="BB1058"/>
      <c r="BC1058"/>
      <c r="BD1058"/>
      <c r="BE1058"/>
      <c r="BF1058"/>
    </row>
    <row r="1059" spans="45:83">
      <c r="AS1059" s="67" t="s">
        <v>515</v>
      </c>
      <c r="AT1059" s="67"/>
      <c r="AU1059" s="20" t="s">
        <v>64</v>
      </c>
      <c r="AV1059" s="1" t="s">
        <v>43</v>
      </c>
      <c r="AW1059" s="1" t="s">
        <v>44</v>
      </c>
      <c r="AX1059" s="1" t="s">
        <v>45</v>
      </c>
      <c r="AY1059" s="1" t="s">
        <v>46</v>
      </c>
      <c r="AZ1059" s="1" t="s">
        <v>47</v>
      </c>
      <c r="BA1059" s="1" t="s">
        <v>48</v>
      </c>
      <c r="BB1059" s="1" t="s">
        <v>49</v>
      </c>
      <c r="BC1059" s="1" t="s">
        <v>50</v>
      </c>
      <c r="BD1059" s="1" t="s">
        <v>51</v>
      </c>
      <c r="BE1059" s="1" t="s">
        <v>52</v>
      </c>
      <c r="BF1059" s="1" t="s">
        <v>53</v>
      </c>
      <c r="BG1059" s="1" t="s">
        <v>54</v>
      </c>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row>
    <row r="1060" spans="45:83">
      <c r="AS1060" s="67"/>
      <c r="AT1060" s="67"/>
      <c r="AU1060" s="20">
        <v>3</v>
      </c>
      <c r="AV1060" t="s">
        <v>2</v>
      </c>
      <c r="AW1060" t="s">
        <v>5</v>
      </c>
      <c r="AX1060" t="s">
        <v>3</v>
      </c>
      <c r="AY1060" t="s">
        <v>3</v>
      </c>
      <c r="AZ1060" t="s">
        <v>5</v>
      </c>
      <c r="BA1060" t="s">
        <v>5</v>
      </c>
      <c r="BB1060" t="s">
        <v>2</v>
      </c>
      <c r="BC1060" t="s">
        <v>2</v>
      </c>
      <c r="BD1060" t="s">
        <v>3</v>
      </c>
      <c r="BE1060" t="s">
        <v>4</v>
      </c>
      <c r="BF1060" t="s">
        <v>4</v>
      </c>
      <c r="BG1060" t="s">
        <v>5</v>
      </c>
    </row>
    <row r="1061" spans="45:83">
      <c r="AT1061" t="s">
        <v>504</v>
      </c>
      <c r="AU1061">
        <f>AW22*AT33*AT40*AT44*AT50*AT58*AT64*AT69*AT75*AT80*AT85*AT91*AT100*AT104*AT110*AT117*AT124*AT128*AT135*AT142*AT145*AT152*AT159*AT164*AT167*AT171*AT175*AT179*AT183*AT187*AT192*AT195*AT200*AT203*AT207*AT211*AT216</f>
        <v>0</v>
      </c>
      <c r="AZ1061"/>
      <c r="BA1061"/>
      <c r="BB1061"/>
      <c r="BC1061"/>
      <c r="BD1061"/>
      <c r="BE1061"/>
      <c r="BF1061"/>
    </row>
    <row r="1062" spans="45:83">
      <c r="AT1062" t="s">
        <v>505</v>
      </c>
      <c r="AU1062">
        <f>AW23*AU33*AU40*AU44*AU50*AU58*AU64*AU69*AU75*AU80*AU85*AU91*AU100*AU104*AU110*AU117*AU124*AU128*AU135*AU142*AU145*AU152*AU159*AU164*AU167*AU171*AU175*AU179*AU183*AU187*AU192*AU195*AU200*AU203*AU207*AU211*AU216</f>
        <v>0</v>
      </c>
      <c r="AZ1062"/>
      <c r="BA1062"/>
      <c r="BB1062"/>
      <c r="BC1062"/>
      <c r="BD1062"/>
      <c r="BE1062"/>
      <c r="BF1062"/>
    </row>
    <row r="1063" spans="45:83">
      <c r="AT1063" t="s">
        <v>506</v>
      </c>
      <c r="AU1063">
        <f>AW24*AV33*AV40*AV44*AV50*AV58*AV64*AV69*AV75*AV80*AV85*AV91*AV100*AV104*AV110*AV117*AV124*AV128*AV135*AV142*AV145*AV152*AV159*AV164*AV167*AV171*AV175*AV179*AV183*AV187*AV192*AV195*AV200*AV203*AV207*AV211*AV216</f>
        <v>2.1898000192009295E-11</v>
      </c>
      <c r="AZ1063"/>
      <c r="BA1063"/>
      <c r="BB1063"/>
      <c r="BC1063"/>
      <c r="BD1063"/>
      <c r="BE1063"/>
      <c r="BF1063"/>
    </row>
    <row r="1064" spans="45:83">
      <c r="AT1064" t="s">
        <v>507</v>
      </c>
      <c r="AU1064">
        <f>AW25*AW33*AW40*AW44*AW50*AW58*AW64*AW69*AW75*AW80*AW85*AW91*AW100*AW104*AW110*AW117*AW124*AW128*AW135*AW142*AW145*AW152*AW159*AW164*AW167*AW171*AW175*AW179*AW183*AW187*AW192*AW195*AW200*AW203*AW207*AW211*AW216</f>
        <v>0</v>
      </c>
      <c r="AZ1064"/>
      <c r="BA1064"/>
      <c r="BB1064"/>
      <c r="BC1064"/>
      <c r="BD1064"/>
      <c r="BE1064"/>
      <c r="BF1064"/>
    </row>
    <row r="1065" spans="45:83">
      <c r="AT1065" t="s">
        <v>508</v>
      </c>
      <c r="AU1065">
        <f>AW26*AX33*AX40*AX44*AX50*AX58*AX64*AX69*AX75*AX80*AX85*AX91*AX100*AX104*AX110*AX117*AX124*AX128*AX135*AX142*AX145*AX152*AX159*AX164*AX167*AX171*AX175*AX179*AX183*AX187*AX192*AX195*AX200*AX203*AX207*AX211*AX216</f>
        <v>0</v>
      </c>
      <c r="AZ1065"/>
      <c r="BA1065"/>
      <c r="BB1065"/>
      <c r="BC1065"/>
      <c r="BD1065"/>
      <c r="BE1065"/>
      <c r="BF1065"/>
    </row>
    <row r="1066" spans="45:83">
      <c r="AT1066" t="s">
        <v>509</v>
      </c>
      <c r="AU1066">
        <f>AW27*AY33*AY40*AY44*AY50*AY58*AY64*AY69*AY75*AY80*AY85*AY91*AY100*AY104*AY110*AY117*AY124*AY128*AY135*AY142*AY145*AY152*AY159*AY164*AY167*AY171*AY175*AY179*AY183*AY187*AY192*AY195*AY200*AY203*AY207*AY211*AY216</f>
        <v>0</v>
      </c>
      <c r="AZ1066"/>
      <c r="BA1066"/>
      <c r="BB1066"/>
      <c r="BC1066"/>
      <c r="BD1066"/>
      <c r="BE1066"/>
      <c r="BF1066"/>
    </row>
    <row r="1067" spans="45:83">
      <c r="AZ1067"/>
      <c r="BA1067"/>
      <c r="BB1067"/>
      <c r="BC1067"/>
      <c r="BD1067"/>
      <c r="BE1067"/>
      <c r="BF1067"/>
    </row>
    <row r="1068" spans="45:83">
      <c r="AS1068" s="67" t="s">
        <v>468</v>
      </c>
      <c r="AT1068" s="67"/>
      <c r="AU1068" s="20" t="s">
        <v>64</v>
      </c>
      <c r="AV1068" s="1" t="s">
        <v>43</v>
      </c>
      <c r="AW1068" s="1" t="s">
        <v>44</v>
      </c>
      <c r="AX1068" s="1" t="s">
        <v>45</v>
      </c>
      <c r="AY1068" s="1" t="s">
        <v>46</v>
      </c>
      <c r="AZ1068" s="1" t="s">
        <v>47</v>
      </c>
      <c r="BA1068" s="1" t="s">
        <v>48</v>
      </c>
      <c r="BB1068" s="1" t="s">
        <v>49</v>
      </c>
      <c r="BC1068" s="1" t="s">
        <v>50</v>
      </c>
      <c r="BD1068" s="1" t="s">
        <v>51</v>
      </c>
      <c r="BE1068" s="1" t="s">
        <v>52</v>
      </c>
      <c r="BF1068" s="1" t="s">
        <v>53</v>
      </c>
      <c r="BG1068" s="1" t="s">
        <v>54</v>
      </c>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row>
    <row r="1069" spans="45:83">
      <c r="AS1069" s="67"/>
      <c r="AT1069" s="67"/>
      <c r="AU1069" s="20">
        <v>3</v>
      </c>
      <c r="AV1069" t="s">
        <v>4</v>
      </c>
      <c r="AW1069" t="s">
        <v>3</v>
      </c>
      <c r="AX1069" t="s">
        <v>5</v>
      </c>
      <c r="AY1069" t="s">
        <v>5</v>
      </c>
      <c r="AZ1069" t="s">
        <v>5</v>
      </c>
      <c r="BA1069" t="s">
        <v>5</v>
      </c>
      <c r="BB1069" t="s">
        <v>5</v>
      </c>
      <c r="BC1069" t="s">
        <v>2</v>
      </c>
      <c r="BD1069" t="s">
        <v>3</v>
      </c>
      <c r="BE1069" t="s">
        <v>3</v>
      </c>
      <c r="BF1069" t="s">
        <v>2</v>
      </c>
      <c r="BG1069" t="s">
        <v>2</v>
      </c>
    </row>
    <row r="1070" spans="45:83">
      <c r="AT1070" t="s">
        <v>504</v>
      </c>
      <c r="AU1070">
        <f xml:space="preserve"> AW22*AT31*AT38*AT46*AT52*AT58*AT64*AT70*AT75*AT80*AT86*AT93*AT99*AT106*AT110*AT117*AT123*AT130*AT136*AT142*AT146*AT154*AT160*AT163*AT167*AT171*AT175*AT179*AT183*AT187*AT192*AT195*AT200*AT203*AT207*AT212*AT216</f>
        <v>0</v>
      </c>
      <c r="AZ1070"/>
      <c r="BA1070"/>
      <c r="BB1070"/>
      <c r="BC1070"/>
      <c r="BD1070"/>
      <c r="BE1070"/>
      <c r="BF1070"/>
    </row>
    <row r="1071" spans="45:83">
      <c r="AT1071" t="s">
        <v>505</v>
      </c>
      <c r="AU1071">
        <f xml:space="preserve"> AW23*AU31*AU38*AU46*AU52*AU58*AU64*AU70*AU75*AU80*AU86*AU93*AU99*AU106*AU110*AU117*AU123*AU130*AU136*AU142*AU146*AU154*AU160*AU163*AU167*AU171*AU175*AU179*AU183*AU187*AU192*AU195*AU200*AU203*AU207*AU212*AU216</f>
        <v>0</v>
      </c>
      <c r="AZ1071"/>
      <c r="BA1071"/>
      <c r="BB1071"/>
      <c r="BC1071"/>
      <c r="BD1071"/>
      <c r="BE1071"/>
      <c r="BF1071"/>
    </row>
    <row r="1072" spans="45:83">
      <c r="AT1072" t="s">
        <v>506</v>
      </c>
      <c r="AU1072">
        <f xml:space="preserve"> AW24*AV31*AV38*AV46*AV52*AV58*AV64*AV70*AV75*AV80*AV86*AV93*AV99*AV106*AV110*AV117*AV123*AV130*AV136*AV142*AV146*AV154*AV160*AV163*AV167*AV171*AV175*AV179*AV183*AV187*AV192*AV195*AV200*AV203*AV207*AV212*AV216</f>
        <v>2.1170918154383975E-13</v>
      </c>
      <c r="AZ1072"/>
      <c r="BA1072"/>
      <c r="BB1072"/>
      <c r="BC1072"/>
      <c r="BD1072"/>
      <c r="BE1072"/>
      <c r="BF1072"/>
    </row>
    <row r="1073" spans="45:83">
      <c r="AT1073" t="s">
        <v>507</v>
      </c>
      <c r="AU1073">
        <f xml:space="preserve"> AW25*AW31*AW38*AW46*AW52*AW58*AW64*AW70*AW75*AW80*AW86*AW93*AW99*AW106*AW110*AW117*AW123*AW130*AW136*AW142*AW146*AW154*AW160*AW163*AW167*AW171*AW175*AW179*AW183*AW187*AW192*AW195*AW200*AW203*AW207*AW212*AW216</f>
        <v>0</v>
      </c>
      <c r="AZ1073"/>
      <c r="BA1073"/>
      <c r="BB1073"/>
      <c r="BC1073"/>
      <c r="BD1073"/>
      <c r="BE1073"/>
      <c r="BF1073"/>
    </row>
    <row r="1074" spans="45:83">
      <c r="AT1074" t="s">
        <v>508</v>
      </c>
      <c r="AU1074">
        <f xml:space="preserve"> AW26*AX31*AX38*AX46*AX52*AX58*AX64*AX70*AX75*AX80*AX86*AX93*AX99*AX106*AX110*AX117*AX123*AX130*AX136*AX142*AX146*AX154*AX160*AX163*AX167*AX171*AX175*AX179*AX183*AX187*AX192*AX195*AX200*AX203*AX207*AX212*AX216</f>
        <v>0</v>
      </c>
      <c r="AZ1074"/>
      <c r="BA1074"/>
      <c r="BB1074"/>
      <c r="BC1074"/>
      <c r="BD1074"/>
      <c r="BE1074"/>
      <c r="BF1074"/>
    </row>
    <row r="1075" spans="45:83">
      <c r="AT1075" t="s">
        <v>509</v>
      </c>
      <c r="AU1075">
        <f xml:space="preserve"> AW27*AY31*AY38*AY46*AY52*AY58*AY64*AY70*AY75*AY80*AY86*AY93*AY99*AY106*AY110*AY117*AY123*AY130*AY136*AY142*AY146*AY154*AY160*AY163*AY167*AY171*AY175*AY179*AY183*AY187*AY192*AY195*AY200*AY203*AY207*AY212*AY216</f>
        <v>0</v>
      </c>
      <c r="AZ1075"/>
      <c r="BA1075"/>
      <c r="BB1075"/>
      <c r="BC1075"/>
      <c r="BD1075"/>
      <c r="BE1075"/>
      <c r="BF1075"/>
    </row>
    <row r="1076" spans="45:83">
      <c r="AZ1076"/>
      <c r="BA1076"/>
      <c r="BB1076"/>
      <c r="BC1076"/>
      <c r="BD1076"/>
      <c r="BE1076"/>
      <c r="BF1076"/>
    </row>
    <row r="1077" spans="45:83">
      <c r="AS1077" s="67" t="s">
        <v>492</v>
      </c>
      <c r="AT1077" s="67"/>
      <c r="AU1077" s="20" t="s">
        <v>64</v>
      </c>
      <c r="AV1077" s="1" t="s">
        <v>43</v>
      </c>
      <c r="AW1077" s="1" t="s">
        <v>44</v>
      </c>
      <c r="AX1077" s="1" t="s">
        <v>45</v>
      </c>
      <c r="AY1077" s="1" t="s">
        <v>46</v>
      </c>
      <c r="AZ1077" s="1" t="s">
        <v>47</v>
      </c>
      <c r="BA1077" s="1" t="s">
        <v>48</v>
      </c>
      <c r="BB1077" s="1" t="s">
        <v>49</v>
      </c>
      <c r="BC1077" s="1" t="s">
        <v>50</v>
      </c>
      <c r="BD1077" s="1" t="s">
        <v>51</v>
      </c>
      <c r="BE1077" s="1" t="s">
        <v>52</v>
      </c>
      <c r="BF1077" s="1" t="s">
        <v>53</v>
      </c>
      <c r="BG1077" s="1" t="s">
        <v>54</v>
      </c>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row>
    <row r="1078" spans="45:83">
      <c r="AS1078" s="67"/>
      <c r="AT1078" s="67"/>
      <c r="AU1078" s="20">
        <v>3</v>
      </c>
      <c r="AV1078" t="s">
        <v>5</v>
      </c>
      <c r="AW1078" t="s">
        <v>4</v>
      </c>
      <c r="AX1078" t="s">
        <v>4</v>
      </c>
      <c r="AY1078" t="s">
        <v>5</v>
      </c>
      <c r="AZ1078" t="s">
        <v>5</v>
      </c>
      <c r="BA1078" t="s">
        <v>5</v>
      </c>
      <c r="BB1078" t="s">
        <v>5</v>
      </c>
      <c r="BC1078" t="s">
        <v>2</v>
      </c>
      <c r="BD1078" t="s">
        <v>2</v>
      </c>
      <c r="BE1078" t="s">
        <v>3</v>
      </c>
      <c r="BF1078" t="s">
        <v>4</v>
      </c>
      <c r="BG1078" t="s">
        <v>2</v>
      </c>
    </row>
    <row r="1079" spans="45:83">
      <c r="AT1079" t="s">
        <v>504</v>
      </c>
      <c r="AU1079">
        <f>AW22*AT34*AT37*AT43*AT52*AT58*AT64*AT70*AT75*AT81*AT86*AT91*AT99*AT105*AT111*AT118*AT124*AT128*AT134*AT141*AT145*AT154*AT158*AT164*AT168*AT172*AT175*AT179*AT183*AT187*AT192*AT195*AT199*AT203*AT207*AT211*AT216</f>
        <v>0</v>
      </c>
      <c r="AZ1079"/>
      <c r="BA1079"/>
      <c r="BB1079"/>
      <c r="BC1079"/>
      <c r="BD1079"/>
      <c r="BE1079"/>
      <c r="BF1079"/>
    </row>
    <row r="1080" spans="45:83">
      <c r="AT1080" t="s">
        <v>505</v>
      </c>
      <c r="AU1080">
        <f>AW23*AU34*AU37*AU43*AU52*AU58*AU64*AU70*AU75*AU81*AU86*AU91*AU99*AU105*AU111*AU118*AU124*AU128*AU134*AU141*AU145*AU154*AU158*AU164*AU168*AU172*AU175*AU179*AU183*AU187*AU192*AU195*AU199*AU203*AU207*AU211*AU216</f>
        <v>0</v>
      </c>
      <c r="AZ1080"/>
      <c r="BA1080"/>
      <c r="BB1080"/>
      <c r="BC1080"/>
      <c r="BD1080"/>
      <c r="BE1080"/>
      <c r="BF1080"/>
    </row>
    <row r="1081" spans="45:83">
      <c r="AT1081" t="s">
        <v>506</v>
      </c>
      <c r="AU1081">
        <f>AW24*AV34*AV37*AV43*AV52*AV58*AV64*AV70*AV75*AV81*AV86*AV91*AV99*AV105*AV111*AV118*AV124*AV128*AV134*AV141*AV145*AV154*AV158*AV164*AV168*AV172*AV175*AV179*AV183*AV187*AV192*AV195*AV199*AV203*AV207*AV211*AV216</f>
        <v>7.3319197071459694E-15</v>
      </c>
      <c r="AZ1081"/>
      <c r="BA1081"/>
      <c r="BB1081"/>
      <c r="BC1081"/>
      <c r="BD1081"/>
      <c r="BE1081"/>
      <c r="BF1081"/>
    </row>
    <row r="1082" spans="45:83">
      <c r="AT1082" t="s">
        <v>507</v>
      </c>
      <c r="AU1082">
        <f>AW25*AW34*AW37*AW43*AW52*AW58*AW64*AW70*AW75*AW81*AW86*AW91*AW99*AW105*AW111*AW118*AW124*AW128*AW134*AW141*AW145*AW154*AW158*AW164*AW168*AW172*AW175*AW179*AW183*AW187*AW192*AW195*AW199*AW203*AW207*AW211*AW216</f>
        <v>0</v>
      </c>
      <c r="AZ1082"/>
      <c r="BA1082"/>
      <c r="BB1082"/>
      <c r="BC1082"/>
      <c r="BD1082"/>
      <c r="BE1082"/>
      <c r="BF1082"/>
    </row>
    <row r="1083" spans="45:83">
      <c r="AT1083" t="s">
        <v>508</v>
      </c>
      <c r="AU1083">
        <f>AW26*AX34*AX37*AX43*AX52*AX58*AX64*AX70*AX75*AX81*AX86*AX91*AX99*AX105*AX111*AX118*AX124*AX128*AX134*AX141*AX145*AX154*AX158*AX164*AX168*AX172*AX175*AX179*AX183*AX187*AX192*AX195*AX199*AX203*AX207*AX211*AX216</f>
        <v>0</v>
      </c>
      <c r="AZ1083"/>
      <c r="BA1083"/>
      <c r="BB1083"/>
      <c r="BC1083"/>
      <c r="BD1083"/>
      <c r="BE1083"/>
      <c r="BF1083"/>
    </row>
    <row r="1084" spans="45:83">
      <c r="AT1084" t="s">
        <v>509</v>
      </c>
      <c r="AU1084">
        <f>AW27*AY34*AY37*AY43*AY52*AY58*AY64*AY70*AY75*AY81*AY86*AY91*AY99*AY105*AY111*AY118*AY124*AY128*AY134*AY141*AY145*AY154*AY158*AY164*AY168*AY172*AY175*AY179*AY183*AY187*AY192*AY195*AY199*AY203*AY207*AY211*AY216</f>
        <v>0</v>
      </c>
      <c r="AZ1084"/>
      <c r="BA1084"/>
      <c r="BB1084"/>
      <c r="BC1084"/>
      <c r="BD1084"/>
      <c r="BE1084"/>
      <c r="BF1084"/>
    </row>
    <row r="1085" spans="45:83">
      <c r="AZ1085"/>
      <c r="BA1085"/>
      <c r="BB1085"/>
      <c r="BC1085"/>
      <c r="BD1085"/>
      <c r="BE1085"/>
      <c r="BF1085"/>
    </row>
    <row r="1086" spans="45:83">
      <c r="AS1086" s="67" t="s">
        <v>321</v>
      </c>
      <c r="AT1086" s="67"/>
      <c r="AU1086" s="20" t="s">
        <v>64</v>
      </c>
      <c r="AV1086" s="1" t="s">
        <v>43</v>
      </c>
      <c r="AW1086" s="1" t="s">
        <v>44</v>
      </c>
      <c r="AX1086" s="1" t="s">
        <v>45</v>
      </c>
      <c r="AY1086" s="1" t="s">
        <v>46</v>
      </c>
      <c r="AZ1086" s="1" t="s">
        <v>47</v>
      </c>
      <c r="BA1086" s="1" t="s">
        <v>48</v>
      </c>
      <c r="BB1086" s="1" t="s">
        <v>49</v>
      </c>
      <c r="BC1086" s="1" t="s">
        <v>50</v>
      </c>
      <c r="BD1086" s="1" t="s">
        <v>51</v>
      </c>
      <c r="BE1086" s="1" t="s">
        <v>52</v>
      </c>
      <c r="BF1086" s="1" t="s">
        <v>53</v>
      </c>
      <c r="BG1086" s="1" t="s">
        <v>54</v>
      </c>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row>
    <row r="1087" spans="45:83">
      <c r="AS1087" s="67"/>
      <c r="AT1087" s="67"/>
      <c r="AU1087" s="20">
        <v>4</v>
      </c>
      <c r="AV1087" s="22" t="s">
        <v>3</v>
      </c>
      <c r="AW1087" t="s">
        <v>3</v>
      </c>
      <c r="AX1087" t="s">
        <v>3</v>
      </c>
      <c r="AY1087" t="s">
        <v>5</v>
      </c>
      <c r="AZ1087" t="s">
        <v>5</v>
      </c>
      <c r="BA1087" t="s">
        <v>5</v>
      </c>
      <c r="BB1087" t="s">
        <v>5</v>
      </c>
      <c r="BC1087" t="s">
        <v>2</v>
      </c>
      <c r="BD1087" t="s">
        <v>2</v>
      </c>
      <c r="BE1087" s="22" t="s">
        <v>3</v>
      </c>
      <c r="BF1087" s="22" t="s">
        <v>3</v>
      </c>
      <c r="BG1087" t="s">
        <v>5</v>
      </c>
    </row>
    <row r="1088" spans="45:83">
      <c r="AT1088" t="s">
        <v>504</v>
      </c>
      <c r="AU1088">
        <f>AW22*AT32*AT38*AT44*AT52*AT58*AT64*AT70*AT75*AT81*AT86*AT92*AT100*AT106*AT110*AT117*AT124*AT130*AT136*AT139*AT145*AT151*AT159*AT164*AT167*AT171*AT175*AT179*AT183*AT188*AT192*AT195*AT200*AT204*AT207*AT211*AT216</f>
        <v>6.8289467891910807E-10</v>
      </c>
      <c r="AZ1088"/>
      <c r="BA1088"/>
      <c r="BB1088"/>
      <c r="BC1088"/>
      <c r="BD1088"/>
      <c r="BE1088"/>
      <c r="BF1088"/>
    </row>
    <row r="1089" spans="45:83">
      <c r="AT1089" t="s">
        <v>505</v>
      </c>
      <c r="AU1089">
        <f>AW23*AU32*AU38*AU44*AU52*AU58*AU64*AU70*AU75*AU81*AU86*AU92*AU100*AU106*AU110*AU117*AU124*AU130*AU136*AU139*AU145*AU151*AU159*AU164*AU167*AU171*AU175*AU179*AU183*AU188*AU192*AU195*AU200*AU204*AU207*AU211*AU216</f>
        <v>0</v>
      </c>
      <c r="AZ1089"/>
      <c r="BA1089"/>
      <c r="BB1089"/>
      <c r="BC1089"/>
      <c r="BD1089"/>
      <c r="BE1089"/>
      <c r="BF1089"/>
    </row>
    <row r="1090" spans="45:83">
      <c r="AT1090" t="s">
        <v>506</v>
      </c>
      <c r="AU1090">
        <f>AW24*AV32*AV38*AV44*AV52*AV58*AV64*AV70*AV75*AV81*AV86*AV92*AV100*AV106*AV110*AV117*AV124*AV130*AV136*AV139*AV145*AV151*AV159*AV164*AV167*AV171*AV175*AV179*AV183*AV188*AV192*AV195*AV200*AV204*AV207*AV211*AV216</f>
        <v>0</v>
      </c>
      <c r="AZ1090"/>
      <c r="BA1090"/>
      <c r="BB1090"/>
      <c r="BC1090"/>
      <c r="BD1090"/>
      <c r="BE1090"/>
      <c r="BF1090"/>
    </row>
    <row r="1091" spans="45:83">
      <c r="AT1091" t="s">
        <v>507</v>
      </c>
      <c r="AU1091">
        <f>AW25*AW32*AW38*AW44*AW52*AW58*AW64*AW70*AW75*AW81*AW86*AW92*AW100*AW106*AW110*AW117*AW124*AW130*AW136*AW139*AW145*AW151*AW159*AW164*AW167*AW171*AW175*AW179*AW183*AW188*AW192*AW195*AW200*AW204*AW207*AW211*AW216</f>
        <v>6.0839707758247844E-8</v>
      </c>
      <c r="AZ1091"/>
      <c r="BA1091"/>
      <c r="BB1091"/>
      <c r="BC1091"/>
      <c r="BD1091"/>
      <c r="BE1091"/>
      <c r="BF1091"/>
    </row>
    <row r="1092" spans="45:83">
      <c r="AT1092" t="s">
        <v>508</v>
      </c>
      <c r="AU1092">
        <f>AW26*AX32*AX38*AX44*AX52*AX58*AX64*AX70*AX75*AX81*AX86*AX92*AX100*AX106*AX110*AX117*AX124*AX130*AX136*AX139*AX145*AX151*AX159*AX164*AX167*AX171*AX175*AX179*AX183*AX188*AX192*AX195*AX200*AX204*AX207*AX211*AX216</f>
        <v>0</v>
      </c>
      <c r="AZ1092"/>
      <c r="BA1092"/>
      <c r="BB1092"/>
      <c r="BC1092"/>
      <c r="BD1092"/>
      <c r="BE1092"/>
      <c r="BF1092"/>
    </row>
    <row r="1093" spans="45:83">
      <c r="AT1093" t="s">
        <v>509</v>
      </c>
      <c r="AU1093">
        <f>AW27*AY32*AY38*AY44*AY52*AY58*AY64*AY70*AY75*AY81*AY86*AY92*AY100*AY106*AY110*AY117*AY124*AY130*AY136*AY139*AY145*AY151*AY159*AY164*AY167*AY171*AY175*AY179*AY183*AY188*AY192*AY195*AY200*AY204*AY207*AY211*AY216</f>
        <v>0</v>
      </c>
      <c r="AZ1093"/>
      <c r="BA1093"/>
      <c r="BB1093"/>
      <c r="BC1093"/>
      <c r="BD1093"/>
      <c r="BE1093"/>
      <c r="BF1093"/>
    </row>
    <row r="1094" spans="45:83">
      <c r="AZ1094"/>
      <c r="BA1094"/>
      <c r="BB1094"/>
      <c r="BC1094"/>
      <c r="BD1094"/>
      <c r="BE1094"/>
      <c r="BF1094"/>
    </row>
    <row r="1095" spans="45:83">
      <c r="AS1095" s="67" t="s">
        <v>471</v>
      </c>
      <c r="AT1095" s="67"/>
      <c r="AU1095" s="20" t="s">
        <v>64</v>
      </c>
      <c r="AV1095" s="1" t="s">
        <v>43</v>
      </c>
      <c r="AW1095" s="1" t="s">
        <v>44</v>
      </c>
      <c r="AX1095" s="1" t="s">
        <v>45</v>
      </c>
      <c r="AY1095" s="1" t="s">
        <v>46</v>
      </c>
      <c r="AZ1095" s="1" t="s">
        <v>47</v>
      </c>
      <c r="BA1095" s="1" t="s">
        <v>48</v>
      </c>
      <c r="BB1095" s="1" t="s">
        <v>49</v>
      </c>
      <c r="BC1095" s="1" t="s">
        <v>50</v>
      </c>
      <c r="BD1095" s="1" t="s">
        <v>51</v>
      </c>
      <c r="BE1095" s="1" t="s">
        <v>52</v>
      </c>
      <c r="BF1095" s="1" t="s">
        <v>53</v>
      </c>
      <c r="BG1095" s="1" t="s">
        <v>54</v>
      </c>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row>
    <row r="1096" spans="45:83">
      <c r="AS1096" s="67"/>
      <c r="AT1096" s="67"/>
      <c r="AU1096" s="20">
        <v>4</v>
      </c>
      <c r="AV1096" t="s">
        <v>5</v>
      </c>
      <c r="AW1096" t="s">
        <v>5</v>
      </c>
      <c r="AX1096" t="s">
        <v>2</v>
      </c>
      <c r="AY1096" t="s">
        <v>5</v>
      </c>
      <c r="AZ1096" t="s">
        <v>5</v>
      </c>
      <c r="BA1096" t="s">
        <v>5</v>
      </c>
      <c r="BB1096" t="s">
        <v>5</v>
      </c>
      <c r="BC1096" t="s">
        <v>2</v>
      </c>
      <c r="BD1096" t="s">
        <v>3</v>
      </c>
      <c r="BE1096" t="s">
        <v>4</v>
      </c>
      <c r="BF1096" t="s">
        <v>4</v>
      </c>
      <c r="BG1096" t="s">
        <v>3</v>
      </c>
    </row>
    <row r="1097" spans="45:83">
      <c r="AT1097" t="s">
        <v>504</v>
      </c>
      <c r="AU1097">
        <f>AW22*AT34*AT40*AT45*AT52*AT58*AT64*AT70*AT75*AT80*AT85*AT91*AT98*AT105*AT111*AT116*AT124*AT128*AT135*AT142*AT146*AT151*AT157*AT164*AT167*AT171*AT175*AT179*AT183*AT187*AT192*AT196*AT200*AT203*AT207*AT212*AT216</f>
        <v>0</v>
      </c>
      <c r="AZ1097"/>
      <c r="BA1097"/>
      <c r="BB1097"/>
      <c r="BC1097"/>
      <c r="BD1097"/>
      <c r="BE1097"/>
      <c r="BF1097"/>
    </row>
    <row r="1098" spans="45:83">
      <c r="AT1098" t="s">
        <v>505</v>
      </c>
      <c r="AU1098">
        <f>AW23*AU34*AU40*AU45*AU52*AU58*AU64*AU70*AU75*AU80*AU85*AU91*AU98*AU105*AU111*AU116*AU124*AU128*AU135*AU142*AU146*AU151*AU157*AU164*AU167*AU171*AU175*AU179*AU183*AU187*AU192*AU196*AU200*AU203*AU207*AU212*AU216</f>
        <v>0</v>
      </c>
      <c r="AZ1098"/>
      <c r="BA1098"/>
      <c r="BB1098"/>
      <c r="BC1098"/>
      <c r="BD1098"/>
      <c r="BE1098"/>
      <c r="BF1098"/>
    </row>
    <row r="1099" spans="45:83">
      <c r="AT1099" t="s">
        <v>506</v>
      </c>
      <c r="AU1099">
        <f>AW24*AV34*AV40*AV45*AV52*AV58*AV64*AV70*AV75*AV80*AV85*AV91*AV98*AV105*AV111*AV116*AV124*AV128*AV135*AV142*AV146*AV151*AV157*AV164*AV167*AV171*AV175*AV179*AV183*AV187*AV192*AV196*AV200*AV203*AV207*AV212*AV216</f>
        <v>0</v>
      </c>
      <c r="AZ1099"/>
      <c r="BA1099"/>
      <c r="BB1099"/>
      <c r="BC1099"/>
      <c r="BD1099"/>
      <c r="BE1099"/>
      <c r="BF1099"/>
    </row>
    <row r="1100" spans="45:83">
      <c r="AT1100" t="s">
        <v>507</v>
      </c>
      <c r="AU1100">
        <f>AW25*AW34*AW40*AW45*AW52*AW58*AW64*AW70*AW75*AW80*AW85*AW91*AW98*AW105*AW111*AW116*AW124*AW128*AW135*AW142*AW146*AW151*AW157*AW164*AW167*AW171*AW175*AW179*AW183*AW187*AW192*AW196*AW200*AW203*AW207*AW212*AW216</f>
        <v>0</v>
      </c>
      <c r="AZ1100"/>
      <c r="BA1100"/>
      <c r="BB1100"/>
      <c r="BC1100"/>
      <c r="BD1100"/>
      <c r="BE1100"/>
      <c r="BF1100"/>
    </row>
    <row r="1101" spans="45:83">
      <c r="AT1101" t="s">
        <v>508</v>
      </c>
      <c r="AU1101">
        <f>AW26*AX34*AX40*AX45*AX52*AX58*AX64*AX70*AX75*AX80*AX85*AX91*AX98*AX105*AX111*AX116*AX124*AX128*AX135*AX142*AX146*AX151*AX157*AX164*AX167*AX171*AX175*AX179*AX183*AX187*AX192*AX196*AX200*AX203*AX207*AX212*AX216</f>
        <v>0</v>
      </c>
      <c r="AZ1101"/>
      <c r="BA1101"/>
      <c r="BB1101"/>
      <c r="BC1101"/>
      <c r="BD1101"/>
      <c r="BE1101"/>
      <c r="BF1101"/>
    </row>
    <row r="1102" spans="45:83">
      <c r="AT1102" t="s">
        <v>509</v>
      </c>
      <c r="AU1102">
        <f>AW27*AY34*AY40*AY45*AY52*AY58*AY64*AY70*AY75*AY80*AY85*AY91*AY98*AY105*AY111*AY116*AY124*AY128*AY135*AY142*AY146*AY151*AY157*AY164*AY167*AY171*AY175*AY179*AY183*AY187*AY192*AY196*AY200*AY203*AY207*AY212*AY216</f>
        <v>4.5273082799857859E-13</v>
      </c>
      <c r="AZ1102"/>
      <c r="BA1102"/>
      <c r="BB1102"/>
      <c r="BC1102"/>
      <c r="BD1102"/>
      <c r="BE1102"/>
      <c r="BF1102"/>
    </row>
    <row r="1103" spans="45:83">
      <c r="AZ1103"/>
      <c r="BA1103"/>
      <c r="BB1103"/>
      <c r="BC1103"/>
      <c r="BD1103"/>
      <c r="BE1103"/>
      <c r="BF1103"/>
    </row>
    <row r="1104" spans="45:83">
      <c r="AS1104" s="67" t="s">
        <v>516</v>
      </c>
      <c r="AT1104" s="67"/>
      <c r="AU1104" s="20" t="s">
        <v>64</v>
      </c>
      <c r="AV1104" s="1" t="s">
        <v>43</v>
      </c>
      <c r="AW1104" s="1" t="s">
        <v>44</v>
      </c>
      <c r="AX1104" s="1" t="s">
        <v>45</v>
      </c>
      <c r="AY1104" s="1" t="s">
        <v>46</v>
      </c>
      <c r="AZ1104" s="1" t="s">
        <v>47</v>
      </c>
      <c r="BA1104" s="1" t="s">
        <v>48</v>
      </c>
      <c r="BB1104" s="1" t="s">
        <v>49</v>
      </c>
      <c r="BC1104" s="1" t="s">
        <v>50</v>
      </c>
      <c r="BD1104" s="1" t="s">
        <v>51</v>
      </c>
      <c r="BE1104" s="1" t="s">
        <v>52</v>
      </c>
      <c r="BF1104" s="1" t="s">
        <v>53</v>
      </c>
      <c r="BG1104" s="1" t="s">
        <v>54</v>
      </c>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row>
    <row r="1105" spans="45:83">
      <c r="AS1105" s="67"/>
      <c r="AT1105" s="67"/>
      <c r="AU1105" s="20">
        <v>4</v>
      </c>
      <c r="AV1105" t="s">
        <v>2</v>
      </c>
      <c r="AW1105" t="s">
        <v>5</v>
      </c>
      <c r="AX1105" t="s">
        <v>2</v>
      </c>
      <c r="AY1105" t="s">
        <v>5</v>
      </c>
      <c r="AZ1105" t="s">
        <v>5</v>
      </c>
      <c r="BA1105" t="s">
        <v>5</v>
      </c>
      <c r="BB1105" t="s">
        <v>5</v>
      </c>
      <c r="BC1105" t="s">
        <v>2</v>
      </c>
      <c r="BD1105" t="s">
        <v>2</v>
      </c>
      <c r="BE1105" t="s">
        <v>2</v>
      </c>
      <c r="BF1105" t="s">
        <v>5</v>
      </c>
      <c r="BG1105" t="s">
        <v>4</v>
      </c>
    </row>
    <row r="1106" spans="45:83">
      <c r="AT1106" t="s">
        <v>504</v>
      </c>
      <c r="AU1106">
        <f>AW22*AT33*AT40*AT45*AT52*AT58*AT64*AT70*AT75*AT81*AT87*AT94*AT97*AT106*AT111*AT115*AT124*AT130*AT136*AT139*AT146*AT151*AT157*AT164*AT167*AT171*AT175*AT179*AT183*AT187*AT192*AT195*AT200*AT203*AT207*AT212*AT216</f>
        <v>0</v>
      </c>
      <c r="AZ1106"/>
      <c r="BA1106"/>
      <c r="BB1106"/>
      <c r="BC1106"/>
      <c r="BD1106"/>
      <c r="BE1106"/>
      <c r="BF1106"/>
    </row>
    <row r="1107" spans="45:83">
      <c r="AT1107" t="s">
        <v>505</v>
      </c>
      <c r="AU1107">
        <f>AW23*AU33*AU40*AU45*AU52*AU58*AU64*AU70*AU75*AU81*AU87*AU94*AU97*AU106*AU111*AU115*AU124*AU130*AU136*AU139*AU146*AU151*AU157*AU164*AU167*AU171*AU175*AU179*AU183*AU187*AU192*AU195*AU200*AU203*AU207*AU212*AU216</f>
        <v>0</v>
      </c>
      <c r="AZ1107"/>
      <c r="BA1107"/>
      <c r="BB1107"/>
      <c r="BC1107"/>
      <c r="BD1107"/>
      <c r="BE1107"/>
      <c r="BF1107"/>
    </row>
    <row r="1108" spans="45:83">
      <c r="AT1108" t="s">
        <v>506</v>
      </c>
      <c r="AU1108">
        <f>AW24*AV33*AV40*AV45*AV52*AV58*AV64*AV70*AV75*AV81*AV87*AV94*AV97*AV106*AV111*AV115*AV124*AV130*AV136*AV139*AV146*AV151*AV157*AV164*AV167*AV171*AV175*AV179*AV183*AV187*AV192*AV195*AV200*AV203*AV207*AV212*AV216</f>
        <v>0</v>
      </c>
      <c r="AZ1108"/>
      <c r="BA1108"/>
      <c r="BB1108"/>
      <c r="BC1108"/>
      <c r="BD1108"/>
      <c r="BE1108"/>
      <c r="BF1108"/>
    </row>
    <row r="1109" spans="45:83">
      <c r="AT1109" t="s">
        <v>507</v>
      </c>
      <c r="AU1109">
        <f>AW25*AW33*AW40*AW45*AW52*AW58*AW64*AW70*AW75*AW81*AW87*AW94*AW97*AW106*AW111*AW115*AW124*AW130*AW136*AW139*AW146*AW151*AW157*AW164*AW167*AW171*AW175*AW179*AW183*AW187*AW192*AW195*AW200*AW203*AW207*AW212*AW216</f>
        <v>1.6555022519251112E-10</v>
      </c>
      <c r="AZ1109"/>
      <c r="BA1109"/>
      <c r="BB1109"/>
      <c r="BC1109"/>
      <c r="BD1109"/>
      <c r="BE1109"/>
      <c r="BF1109"/>
    </row>
    <row r="1110" spans="45:83">
      <c r="AT1110" t="s">
        <v>508</v>
      </c>
      <c r="AU1110">
        <f>AW26*AX33*AX40*AX45*AX52*AX58*AX64*AX70*AX75*AX81*AX87*AX94*AX97*AX106*AX111*AX115*AX124*AX130*AX136*AX139*AX146*AX151*AX157*AX164*AX167*AX171*AX175*AX179*AX183*AX187*AX192*AX195*AX200*AX203*AX207*AX212*AX216</f>
        <v>0</v>
      </c>
      <c r="AZ1110"/>
      <c r="BA1110"/>
      <c r="BB1110"/>
      <c r="BC1110"/>
      <c r="BD1110"/>
      <c r="BE1110"/>
      <c r="BF1110"/>
    </row>
    <row r="1111" spans="45:83">
      <c r="AT1111" t="s">
        <v>509</v>
      </c>
      <c r="AU1111">
        <f>AW27*AY33*AY40*AY45*AY52*AY58*AY64*AY70*AY75*AY81*AY87*AY94*AY97*AY106*AY111*AY115*AY124*AY130*AY136*AY139*AY146*AY151*AY157*AY164*AY167*AY171*AY175*AY179*AY183*AY187*AY192*AY195*AY200*AY203*AY207*AY212*AY216</f>
        <v>0</v>
      </c>
      <c r="AZ1111"/>
      <c r="BA1111"/>
      <c r="BB1111"/>
      <c r="BC1111"/>
      <c r="BD1111"/>
      <c r="BE1111"/>
      <c r="BF1111"/>
    </row>
    <row r="1112" spans="45:83">
      <c r="AZ1112"/>
      <c r="BA1112"/>
      <c r="BB1112"/>
      <c r="BC1112"/>
      <c r="BD1112"/>
      <c r="BE1112"/>
      <c r="BF1112"/>
    </row>
    <row r="1113" spans="45:83">
      <c r="AS1113" s="67" t="s">
        <v>486</v>
      </c>
      <c r="AT1113" s="67"/>
      <c r="AU1113" s="20" t="s">
        <v>64</v>
      </c>
      <c r="AV1113" s="1" t="s">
        <v>43</v>
      </c>
      <c r="AW1113" s="1" t="s">
        <v>44</v>
      </c>
      <c r="AX1113" s="1" t="s">
        <v>45</v>
      </c>
      <c r="AY1113" s="1" t="s">
        <v>46</v>
      </c>
      <c r="AZ1113" s="1" t="s">
        <v>47</v>
      </c>
      <c r="BA1113" s="1" t="s">
        <v>48</v>
      </c>
      <c r="BB1113" s="1" t="s">
        <v>49</v>
      </c>
      <c r="BC1113" s="1" t="s">
        <v>50</v>
      </c>
      <c r="BD1113" s="1" t="s">
        <v>51</v>
      </c>
      <c r="BE1113" s="1" t="s">
        <v>52</v>
      </c>
      <c r="BF1113" s="1" t="s">
        <v>53</v>
      </c>
      <c r="BG1113" s="1" t="s">
        <v>54</v>
      </c>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row>
    <row r="1114" spans="45:83">
      <c r="AS1114" s="67"/>
      <c r="AT1114" s="67"/>
      <c r="AU1114" s="20">
        <v>4</v>
      </c>
      <c r="AV1114" t="s">
        <v>3</v>
      </c>
      <c r="AW1114" t="s">
        <v>5</v>
      </c>
      <c r="AX1114" t="s">
        <v>4</v>
      </c>
      <c r="AY1114" t="s">
        <v>5</v>
      </c>
      <c r="AZ1114" t="s">
        <v>5</v>
      </c>
      <c r="BA1114" t="s">
        <v>5</v>
      </c>
      <c r="BB1114" t="s">
        <v>5</v>
      </c>
      <c r="BC1114" t="s">
        <v>2</v>
      </c>
      <c r="BD1114" t="s">
        <v>2</v>
      </c>
      <c r="BE1114" t="s">
        <v>4</v>
      </c>
      <c r="BF1114" t="s">
        <v>4</v>
      </c>
      <c r="BG1114" t="s">
        <v>5</v>
      </c>
    </row>
    <row r="1115" spans="45:83">
      <c r="AT1115" t="s">
        <v>504</v>
      </c>
      <c r="AU1115">
        <f>AW22*AT32*AT40*AT43*AT52*AT58*AT64*AT70*AT75*AT81*AT85*AT91*AT100*AT105*AT110*AT118*AT124*AT129*AT136*AT142*AT145*AT151*AT159*AT164*AT167*AT171*AT175*AT179*AT183*AT187*AT192*AT195*AT200*AT203*AT207*AT211*AT216</f>
        <v>0</v>
      </c>
      <c r="AZ1115"/>
      <c r="BA1115"/>
      <c r="BB1115"/>
      <c r="BC1115"/>
      <c r="BD1115"/>
      <c r="BE1115"/>
      <c r="BF1115"/>
    </row>
    <row r="1116" spans="45:83">
      <c r="AT1116" t="s">
        <v>505</v>
      </c>
      <c r="AU1116">
        <f>AW23*AU32*AU40*AU43*AU52*AU58*AU64*AU70*AU75*AU81*AU85*AU91*AU100*AU105*AU110*AU118*AU124*AU129*AU136*AU142*AU145*AU151*AU159*AU164*AU167*AU171*AU175*AU179*AU183*AU187*AU192*AU195*AU200*AU203*AU207*AU211*AU216</f>
        <v>0</v>
      </c>
      <c r="AZ1116"/>
      <c r="BA1116"/>
      <c r="BB1116"/>
      <c r="BC1116"/>
      <c r="BD1116"/>
      <c r="BE1116"/>
      <c r="BF1116"/>
    </row>
    <row r="1117" spans="45:83">
      <c r="AT1117" t="s">
        <v>506</v>
      </c>
      <c r="AU1117">
        <f>AW24*AV32*AV40*AV43*AV52*AV58*AV64*AV70*AV75*AV81*AV85*AV91*AV100*AV105*AV110*AV118*AV124*AV129*AV136*AV142*AV145*AV151*AV159*AV164*AV167*AV171*AV175*AV179*AV183*AV187*AV192*AV195*AV200*AV203*AV207*AV211*AV216</f>
        <v>0</v>
      </c>
      <c r="AZ1117"/>
      <c r="BA1117"/>
      <c r="BB1117"/>
      <c r="BC1117"/>
      <c r="BD1117"/>
      <c r="BE1117"/>
      <c r="BF1117"/>
    </row>
    <row r="1118" spans="45:83">
      <c r="AT1118" t="s">
        <v>507</v>
      </c>
      <c r="AU1118">
        <f>AW25*AW32*AW40*AW43*AW52*AW58*AW64*AW70*AW75*AW81*AW85*AW91*AW100*AW105*AW110*AW118*AW124*AW129*AW136*AW142*AW145*AW151*AW159*AW164*AW167*AW171*AW175*AW179*AW183*AW187*AW192*AW195*AW200*AW203*AW207*AW211*AW216</f>
        <v>8.0449200341484734E-10</v>
      </c>
      <c r="AZ1118"/>
      <c r="BA1118"/>
      <c r="BB1118"/>
      <c r="BC1118"/>
      <c r="BD1118"/>
      <c r="BE1118"/>
      <c r="BF1118"/>
    </row>
    <row r="1119" spans="45:83">
      <c r="AT1119" t="s">
        <v>508</v>
      </c>
      <c r="AU1119">
        <f>AW26*AX32*AX40*AX43*AX52*AX58*AX64*AX70*AX75*AX81*AX85*AX91*AX100*AX105*AX110*AX118*AX124*AX129*AX136*AX142*AX145*AX151*AX159*AX164*AX167*AX171*AX175*AX179*AX183*AX187*AX192*AX195*AX200*AX203*AX207*AX211*AX216</f>
        <v>0</v>
      </c>
      <c r="AZ1119"/>
      <c r="BA1119"/>
      <c r="BB1119"/>
      <c r="BC1119"/>
      <c r="BD1119"/>
      <c r="BE1119"/>
      <c r="BF1119"/>
    </row>
    <row r="1120" spans="45:83">
      <c r="AT1120" t="s">
        <v>509</v>
      </c>
      <c r="AU1120">
        <f>AW27 * AY32 * AY40 * AY43 * AY52 * AY58 * AY64 * AY70 * AY75 * AY81 * AY85 * AY91 * AY100 * AY105 * AY110 * AY118 * AY124 * AY129 * AY136 * AY142 * AY145 * AY151 * AY159 * AY164 * AY167 * AY171 * AY175 * AY179 * AY183 * AY187 * AY192 * AY195 * AY200 * AY203 * AY207 * AY211 * AY216</f>
        <v>0</v>
      </c>
      <c r="AZ1120"/>
      <c r="BA1120"/>
      <c r="BB1120"/>
      <c r="BC1120"/>
      <c r="BD1120"/>
      <c r="BE1120"/>
      <c r="BF1120"/>
    </row>
    <row r="1121" spans="45:83">
      <c r="AZ1121"/>
      <c r="BA1121"/>
      <c r="BB1121"/>
      <c r="BC1121"/>
      <c r="BD1121"/>
      <c r="BE1121"/>
      <c r="BF1121"/>
    </row>
    <row r="1122" spans="45:83">
      <c r="AS1122" s="67" t="s">
        <v>479</v>
      </c>
      <c r="AT1122" s="67"/>
      <c r="AU1122" s="20" t="s">
        <v>64</v>
      </c>
      <c r="AV1122" s="1" t="s">
        <v>43</v>
      </c>
      <c r="AW1122" s="1" t="s">
        <v>44</v>
      </c>
      <c r="AX1122" s="1" t="s">
        <v>45</v>
      </c>
      <c r="AY1122" s="1" t="s">
        <v>46</v>
      </c>
      <c r="AZ1122" s="1" t="s">
        <v>47</v>
      </c>
      <c r="BA1122" s="1" t="s">
        <v>48</v>
      </c>
      <c r="BB1122" s="1" t="s">
        <v>49</v>
      </c>
      <c r="BC1122" s="1" t="s">
        <v>50</v>
      </c>
      <c r="BD1122" s="1" t="s">
        <v>51</v>
      </c>
      <c r="BE1122" s="1" t="s">
        <v>52</v>
      </c>
      <c r="BF1122" s="1" t="s">
        <v>53</v>
      </c>
      <c r="BG1122" s="1" t="s">
        <v>54</v>
      </c>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row>
    <row r="1123" spans="45:83">
      <c r="AS1123" s="67"/>
      <c r="AT1123" s="67"/>
      <c r="AU1123" s="20">
        <v>5</v>
      </c>
      <c r="AV1123" t="s">
        <v>2</v>
      </c>
      <c r="AW1123" t="s">
        <v>3</v>
      </c>
      <c r="AX1123" t="s">
        <v>5</v>
      </c>
      <c r="AY1123" t="s">
        <v>5</v>
      </c>
      <c r="AZ1123" t="s">
        <v>5</v>
      </c>
      <c r="BA1123" t="s">
        <v>5</v>
      </c>
      <c r="BB1123" t="s">
        <v>5</v>
      </c>
      <c r="BC1123" t="s">
        <v>2</v>
      </c>
      <c r="BD1123" t="s">
        <v>3</v>
      </c>
      <c r="BE1123" t="s">
        <v>3</v>
      </c>
      <c r="BF1123" t="s">
        <v>5</v>
      </c>
      <c r="BG1123" t="s">
        <v>2</v>
      </c>
    </row>
    <row r="1124" spans="45:83">
      <c r="AT1124" t="s">
        <v>504</v>
      </c>
      <c r="AU1124">
        <f>AW22*AT33*AT38*AT46*AT52*AT58*AT64*AT70*AT75*AT80*AT86*AT94*AT99*AT106*AT111*AT117*AT124*AT130*AT136*AT140*AT146*AT151*AT159*AT164*AT167*AT171*AT175*AT179*AT183*AT188*AT192*AT195*AT200*AT203*AT207*AT211*AT216</f>
        <v>0</v>
      </c>
      <c r="AZ1124"/>
      <c r="BA1124"/>
      <c r="BB1124"/>
      <c r="BC1124"/>
      <c r="BD1124"/>
      <c r="BE1124"/>
      <c r="BF1124"/>
    </row>
    <row r="1125" spans="45:83">
      <c r="AT1125" t="s">
        <v>505</v>
      </c>
      <c r="AU1125">
        <f>AW23 * AU33 * AU38 * AU46 * AU52 * AU58 * AU64 * AU70 * AU75 * AU80 * AU86 * AU94 * AU99 * AU106 * AU111 * AU117 * AU124 * AU130 * AU136 * AU140 * AU146 * AU151 * AU159 * AU164 * AU167 * AU171 * AU175 * AU179 * AU183 * AU188 * AU192 * AU195 * AU200 * AU203 * AU207 * AU211 * AU216</f>
        <v>0</v>
      </c>
      <c r="AZ1125"/>
      <c r="BA1125"/>
      <c r="BB1125"/>
      <c r="BC1125"/>
      <c r="BD1125"/>
      <c r="BE1125"/>
      <c r="BF1125"/>
    </row>
    <row r="1126" spans="45:83">
      <c r="AT1126" t="s">
        <v>506</v>
      </c>
      <c r="AU1126">
        <f>AW24 * AV33 * AV38 * AV46 * AV52 * AV58 * AV64 * AV70 * AV75 * AV80 * AV86 * AV94 * AV99 * AV106 * AV111 * AV117 * AV124 * AV130 * AV136 * AV140 * AV146 * AV151 * AV159 * AV164 * AV167 * AV171 * AV175 * AV179 * AV183 * AV188 * AV192 * AV195 * AV200 * AV203 * AV207 * AV211 * AV216</f>
        <v>0</v>
      </c>
      <c r="AZ1126"/>
      <c r="BA1126"/>
      <c r="BB1126"/>
      <c r="BC1126"/>
      <c r="BD1126"/>
      <c r="BE1126"/>
      <c r="BF1126"/>
    </row>
    <row r="1127" spans="45:83">
      <c r="AT1127" t="s">
        <v>507</v>
      </c>
      <c r="AU1127">
        <f>AW25 * AW33 * AW38 * AW46 * AW52 * AW58 * AW64 * AW70 * AW75 * AW80 * AW86 * AW94 * AW99 * AW106 * AW111 * AW117 * AW124 * AW130 * AW136 * AW140 * AW146 * AW151 * AW159 * AW164 * AW167 * AW171 * AW175 * AW179 * AW183 * AW188 * AW192 * AW195 * AW200 * AW203 * AW207 * AW211 * AW216</f>
        <v>1.7168171501445595E-10</v>
      </c>
      <c r="AZ1127"/>
      <c r="BA1127"/>
      <c r="BB1127"/>
      <c r="BC1127"/>
      <c r="BD1127"/>
      <c r="BE1127"/>
      <c r="BF1127"/>
    </row>
    <row r="1128" spans="45:83">
      <c r="AT1128" t="s">
        <v>508</v>
      </c>
      <c r="AU1128">
        <f>AW26 * AX33 * AX38 * AX46 * AX52 * AX58 * AX64 * AX70 * AX75 * AX80 * AX86 * AX94 * AX99 * AX106 * AX111 * AX117 * AX124 * AX130 * AX136 * AX140 * AX146 * AX151 * AX159 * AX164 * AX167 * AX171 * AX175 * AX179 * AX183 * AX188 * AX192 * AX195 * AX200 * AX203 * AX207 * AX211 * AX216</f>
        <v>8.8998415091315388E-11</v>
      </c>
      <c r="AZ1128"/>
      <c r="BA1128"/>
      <c r="BB1128"/>
      <c r="BC1128"/>
      <c r="BD1128"/>
      <c r="BE1128"/>
      <c r="BF1128"/>
    </row>
    <row r="1129" spans="45:83">
      <c r="AT1129" t="s">
        <v>509</v>
      </c>
      <c r="AU1129">
        <f>AW27 * AY33 * AY38 * AY46 * AY52 * AY58 * AY64 * AY70 * AY75 * AY80 * AY86 * AY94 * AY99 * AY106 * AY111 * AY117 * AY124 * AY130 * AY136 * AY140 * AY146 * AY151 * AY159 * AY164 * AY167 * AY171 * AY175 * AY179 * AY183 * AY188 * AY192 * AY195 * AY200 * AY203 * AY207 * AY211 * AY216</f>
        <v>0</v>
      </c>
      <c r="AZ1129"/>
      <c r="BA1129"/>
      <c r="BB1129"/>
      <c r="BC1129"/>
      <c r="BD1129"/>
      <c r="BE1129"/>
      <c r="BF1129"/>
    </row>
    <row r="1130" spans="45:83">
      <c r="AZ1130"/>
      <c r="BA1130"/>
      <c r="BB1130"/>
      <c r="BC1130"/>
      <c r="BD1130"/>
      <c r="BE1130"/>
      <c r="BF1130"/>
    </row>
    <row r="1131" spans="45:83">
      <c r="AS1131" s="67" t="s">
        <v>480</v>
      </c>
      <c r="AT1131" s="67"/>
      <c r="AU1131" s="20" t="s">
        <v>64</v>
      </c>
      <c r="AV1131" s="1" t="s">
        <v>43</v>
      </c>
      <c r="AW1131" s="1" t="s">
        <v>44</v>
      </c>
      <c r="AX1131" s="1" t="s">
        <v>45</v>
      </c>
      <c r="AY1131" s="1" t="s">
        <v>46</v>
      </c>
      <c r="AZ1131" s="1" t="s">
        <v>47</v>
      </c>
      <c r="BA1131" s="1" t="s">
        <v>48</v>
      </c>
      <c r="BB1131" s="1" t="s">
        <v>49</v>
      </c>
      <c r="BC1131" s="1" t="s">
        <v>50</v>
      </c>
      <c r="BD1131" s="1" t="s">
        <v>51</v>
      </c>
      <c r="BE1131" s="1" t="s">
        <v>52</v>
      </c>
      <c r="BF1131" s="1" t="s">
        <v>53</v>
      </c>
      <c r="BG1131" s="1" t="s">
        <v>54</v>
      </c>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row>
    <row r="1132" spans="45:83">
      <c r="AS1132" s="67"/>
      <c r="AT1132" s="67"/>
      <c r="AU1132" s="20">
        <v>5</v>
      </c>
      <c r="AV1132" s="22" t="s">
        <v>2</v>
      </c>
      <c r="AW1132" s="22" t="s">
        <v>3</v>
      </c>
      <c r="AX1132" t="s">
        <v>4</v>
      </c>
      <c r="AY1132" t="s">
        <v>5</v>
      </c>
      <c r="AZ1132" t="s">
        <v>5</v>
      </c>
      <c r="BA1132" t="s">
        <v>3</v>
      </c>
      <c r="BB1132" t="s">
        <v>5</v>
      </c>
      <c r="BC1132" t="s">
        <v>2</v>
      </c>
      <c r="BD1132" t="s">
        <v>3</v>
      </c>
      <c r="BE1132" t="s">
        <v>2</v>
      </c>
      <c r="BF1132" t="s">
        <v>2</v>
      </c>
      <c r="BG1132" t="s">
        <v>5</v>
      </c>
    </row>
    <row r="1133" spans="45:83">
      <c r="AT1133" t="s">
        <v>504</v>
      </c>
      <c r="AU1133">
        <f>AW22*AT34*AT38*AT43*AT52*AT58*AT62*AT70*AT75*AT80*AT87*AT93*AT100*AT106*AT111*AT118*AT124*AT128*AT136*AT141*AT145*AT151*AT159*AT164*AT167*AT171*AT175*AT179*AT183*AT187*AT192*AT195*AT200*AT203*AT207*AT212*AT216</f>
        <v>0</v>
      </c>
      <c r="AZ1133"/>
      <c r="BA1133"/>
      <c r="BB1133"/>
      <c r="BC1133"/>
      <c r="BD1133"/>
      <c r="BE1133"/>
      <c r="BF1133"/>
    </row>
    <row r="1134" spans="45:83">
      <c r="AT1134" t="s">
        <v>505</v>
      </c>
      <c r="AZ1134"/>
      <c r="BA1134"/>
      <c r="BB1134"/>
      <c r="BC1134"/>
      <c r="BD1134"/>
      <c r="BE1134"/>
      <c r="BF1134"/>
    </row>
    <row r="1135" spans="45:83">
      <c r="AT1135" t="s">
        <v>506</v>
      </c>
      <c r="AZ1135"/>
      <c r="BA1135"/>
      <c r="BB1135"/>
      <c r="BC1135"/>
      <c r="BD1135"/>
      <c r="BE1135"/>
      <c r="BF1135"/>
    </row>
    <row r="1136" spans="45:83">
      <c r="AT1136" t="s">
        <v>507</v>
      </c>
      <c r="AZ1136"/>
      <c r="BA1136"/>
      <c r="BB1136"/>
      <c r="BC1136"/>
      <c r="BD1136"/>
      <c r="BE1136"/>
      <c r="BF1136"/>
    </row>
    <row r="1137" spans="45:83">
      <c r="AT1137" t="s">
        <v>508</v>
      </c>
      <c r="AU1137">
        <f>AW26* AX33 * AX38* AX43 * AX52 * AX58 * AX62 * AX70 * AX75 * AX80 * AX87 * AX93 * AX100 * AX106 * AX111 * AX118 * AX124 * AX128 * AX136 * AX141 * AX145 * AX151 * AX159 * AX164 * AX167 * AX171 * AX175 * AX179 * AX183 * AX187 * AX192 * AX195 * AX200 * AX203 * AX207 * AX212 * AX216</f>
        <v>3.0998087433165655E-11</v>
      </c>
      <c r="AZ1137"/>
      <c r="BA1137"/>
      <c r="BB1137"/>
      <c r="BC1137"/>
      <c r="BD1137"/>
      <c r="BE1137"/>
      <c r="BF1137"/>
    </row>
    <row r="1138" spans="45:83">
      <c r="AT1138" t="s">
        <v>509</v>
      </c>
      <c r="AU1138">
        <f>AW27 * AY33 * AY38* AY43 * AY52 * AY58 * AY62 * AY70 * AY75 * AY80 * AY87 * AY93 * AY100 * AY106 * AY111 * AY118* AY124 * AY128 * AY136 * AY141 * AY145 * AY151 * AY159 * AY164 * AY167 * AY171 * AY175 * AY179 * AY183 * AY187 * AY192 * AY195 * AY200 * AY203 * AY207 * AY212 * AY216</f>
        <v>0</v>
      </c>
      <c r="AZ1138"/>
      <c r="BA1138"/>
      <c r="BB1138"/>
      <c r="BC1138"/>
      <c r="BD1138"/>
      <c r="BE1138"/>
      <c r="BF1138"/>
    </row>
    <row r="1139" spans="45:83">
      <c r="AZ1139"/>
      <c r="BA1139"/>
      <c r="BB1139"/>
      <c r="BC1139"/>
      <c r="BD1139"/>
      <c r="BE1139"/>
      <c r="BF1139"/>
    </row>
    <row r="1140" spans="45:83">
      <c r="AS1140" s="67" t="s">
        <v>495</v>
      </c>
      <c r="AT1140" s="67"/>
      <c r="AU1140" s="20" t="s">
        <v>64</v>
      </c>
      <c r="AV1140" s="1" t="s">
        <v>43</v>
      </c>
      <c r="AW1140" s="1" t="s">
        <v>44</v>
      </c>
      <c r="AX1140" s="1" t="s">
        <v>45</v>
      </c>
      <c r="AY1140" s="1" t="s">
        <v>46</v>
      </c>
      <c r="AZ1140" s="1" t="s">
        <v>47</v>
      </c>
      <c r="BA1140" s="1" t="s">
        <v>48</v>
      </c>
      <c r="BB1140" s="1" t="s">
        <v>49</v>
      </c>
      <c r="BC1140" s="1" t="s">
        <v>50</v>
      </c>
      <c r="BD1140" s="1" t="s">
        <v>51</v>
      </c>
      <c r="BE1140" s="1" t="s">
        <v>52</v>
      </c>
      <c r="BF1140" s="1" t="s">
        <v>53</v>
      </c>
      <c r="BG1140" s="1" t="s">
        <v>54</v>
      </c>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row>
    <row r="1141" spans="45:83">
      <c r="AS1141" s="67"/>
      <c r="AT1141" s="67"/>
      <c r="AU1141" s="20">
        <v>5</v>
      </c>
      <c r="AV1141" t="s">
        <v>5</v>
      </c>
      <c r="AW1141" t="s">
        <v>5</v>
      </c>
      <c r="AX1141" t="s">
        <v>3</v>
      </c>
      <c r="AY1141" t="s">
        <v>5</v>
      </c>
      <c r="AZ1141" t="s">
        <v>5</v>
      </c>
      <c r="BA1141" t="s">
        <v>5</v>
      </c>
      <c r="BB1141" t="s">
        <v>5</v>
      </c>
      <c r="BC1141" t="s">
        <v>2</v>
      </c>
      <c r="BD1141" t="s">
        <v>2</v>
      </c>
      <c r="BE1141" t="s">
        <v>5</v>
      </c>
      <c r="BF1141" t="s">
        <v>2</v>
      </c>
      <c r="BG1141" t="s">
        <v>2</v>
      </c>
    </row>
    <row r="1142" spans="45:83">
      <c r="AT1142" t="s">
        <v>504</v>
      </c>
      <c r="AU1142">
        <f>AW22 * AT34 * AT40 * AT44 * AT52 * AT58 * AT64 * AT70 * AT75 * AT81 * AT88 * AT93 * AT99 * AT103 * AT110 * AT117 * AT124 * AT130 * AT136 * AT140 * AT146 * AT152 * AT157 * AT164 * AT167 * AT171 * AT175 * AT179 * AT183 * AT188 * AT192 * AT195 * AT200 * AT203 * AT207 * AT212 * AT216</f>
        <v>0</v>
      </c>
      <c r="AZ1142"/>
      <c r="BA1142"/>
      <c r="BB1142"/>
      <c r="BC1142"/>
      <c r="BD1142"/>
      <c r="BE1142"/>
      <c r="BF1142"/>
    </row>
    <row r="1143" spans="45:83">
      <c r="AT1143" t="s">
        <v>505</v>
      </c>
      <c r="AU1143">
        <f>AW23 * AU34 * AU40 * AU44 * AU52 * AU58 * AU64 * AU70 * AU75 * AU81 * AU88 * AU93 * AU99 * AU103 * AU110 * AU117 * AU124 * AU130 * AU136 * AU140 * AU146 * AU152 * AU157 * AU164 * AU167 * AU171 * AU175 * AU179 * AU183 * AU188 * AU192 * AU195 * AU200 * AU203 * AU207 * AU212 * AU216</f>
        <v>0</v>
      </c>
      <c r="AZ1143"/>
      <c r="BA1143"/>
      <c r="BB1143"/>
      <c r="BC1143"/>
      <c r="BD1143"/>
      <c r="BE1143"/>
      <c r="BF1143"/>
    </row>
    <row r="1144" spans="45:83">
      <c r="AT1144" t="s">
        <v>506</v>
      </c>
      <c r="AU1144">
        <f>AW24 * AV34 * AV40 * AV44 * AV52 * AV58 * AV64 * AV70 * AV75 * AV81 * AV88 * AV93 * AV99 * AV103 * AV110 * AV117 * AV124 * AV130 * AV136 * AV140 * AV146 * AV152 * AV157 * AV164 * AV167 * AV171 * AV175 * AV179 * AV183 * AV188 * AV192 * AV195 * AV200 * AV203 * AV207 * AV212 * AV216</f>
        <v>0</v>
      </c>
      <c r="AZ1144"/>
      <c r="BA1144"/>
      <c r="BB1144"/>
      <c r="BC1144"/>
      <c r="BD1144"/>
      <c r="BE1144"/>
      <c r="BF1144"/>
    </row>
    <row r="1145" spans="45:83">
      <c r="AT1145" t="s">
        <v>507</v>
      </c>
      <c r="AU1145">
        <f>AW25 * AW34 * AW40 * AW44 * AW52 * AW58 * AW64 * AW70 * AW75 * AW81 * AW88 * AW93 * AW99 * AW103 * AW110 * AW117 * AW124 * AW130 * AW136 * AW140 * AW146 * AW152 * AW157 * AW164 * AW167 * AW171 * AW175 * AW179 * AW183 * AW188 * AW192 * AW195 * AW200 * AW203 * AW207 * AW212 * AW216</f>
        <v>0</v>
      </c>
      <c r="AZ1145"/>
      <c r="BA1145"/>
      <c r="BB1145"/>
      <c r="BC1145"/>
      <c r="BD1145"/>
      <c r="BE1145"/>
      <c r="BF1145"/>
    </row>
    <row r="1146" spans="45:83">
      <c r="AT1146" t="s">
        <v>508</v>
      </c>
      <c r="AU1146">
        <f>AW26*AX34*AX40*AX44*AX52*AX58*AX64*AX70*AX75*AX81*AX88*AX93*AX99*AX103*AX110*AX117*AX124*AX130*AX136*AX140*AX146*AX152*AX157*AX164*AX167*AX171*AX175*AX179*AX183*AX188*AX192*AX195*AX200*AX203*AX207*AX212*AX216</f>
        <v>3.1078811619189511E-9</v>
      </c>
      <c r="AZ1146"/>
      <c r="BA1146"/>
      <c r="BB1146"/>
      <c r="BC1146"/>
      <c r="BD1146"/>
      <c r="BE1146"/>
      <c r="BF1146"/>
    </row>
    <row r="1147" spans="45:83">
      <c r="AT1147" t="s">
        <v>509</v>
      </c>
      <c r="AU1147">
        <f>AW27 * AY34 * AY40 * AY44 * AY52 * AY58 * AY64 * AY70 * AY75 * AY81 * AY88 * AY93 * AY99 * AY103 * AY110 * AY117 * AY124 * AY130 * AY136 * AY140 * AY146 * AY152 * AY157 * AY164 * AY167 * AY171 * AY175 * AY179 * AY183 * AY188 * AY192 * AY195 * AY200 * AY203 * AY207 * AY212 * AY216</f>
        <v>0</v>
      </c>
      <c r="AZ1147"/>
      <c r="BA1147"/>
      <c r="BB1147"/>
      <c r="BC1147"/>
      <c r="BD1147"/>
      <c r="BE1147"/>
      <c r="BF1147"/>
    </row>
    <row r="1148" spans="45:83">
      <c r="AZ1148"/>
      <c r="BA1148"/>
      <c r="BB1148"/>
      <c r="BC1148"/>
      <c r="BD1148"/>
      <c r="BE1148"/>
      <c r="BF1148"/>
    </row>
    <row r="1149" spans="45:83">
      <c r="AS1149" s="67" t="s">
        <v>475</v>
      </c>
      <c r="AT1149" s="67"/>
      <c r="AU1149" s="20" t="s">
        <v>64</v>
      </c>
      <c r="AV1149" s="1" t="s">
        <v>43</v>
      </c>
      <c r="AW1149" s="1" t="s">
        <v>44</v>
      </c>
      <c r="AX1149" s="1" t="s">
        <v>45</v>
      </c>
      <c r="AY1149" s="1" t="s">
        <v>46</v>
      </c>
      <c r="AZ1149" s="1" t="s">
        <v>47</v>
      </c>
      <c r="BA1149" s="1" t="s">
        <v>48</v>
      </c>
      <c r="BB1149" s="1" t="s">
        <v>49</v>
      </c>
      <c r="BC1149" s="1" t="s">
        <v>50</v>
      </c>
      <c r="BD1149" s="1" t="s">
        <v>51</v>
      </c>
      <c r="BE1149" s="1" t="s">
        <v>52</v>
      </c>
      <c r="BF1149" s="1" t="s">
        <v>53</v>
      </c>
      <c r="BG1149" s="1" t="s">
        <v>54</v>
      </c>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row>
    <row r="1150" spans="45:83">
      <c r="AS1150" s="67"/>
      <c r="AT1150" s="67"/>
      <c r="AU1150" s="20">
        <v>6</v>
      </c>
      <c r="AV1150" t="s">
        <v>5</v>
      </c>
      <c r="AW1150" t="s">
        <v>5</v>
      </c>
      <c r="AX1150" t="s">
        <v>2</v>
      </c>
      <c r="AY1150" t="s">
        <v>5</v>
      </c>
      <c r="AZ1150" t="s">
        <v>5</v>
      </c>
      <c r="BA1150" t="s">
        <v>5</v>
      </c>
      <c r="BB1150" t="s">
        <v>5</v>
      </c>
      <c r="BC1150" t="s">
        <v>5</v>
      </c>
      <c r="BD1150" t="s">
        <v>2</v>
      </c>
      <c r="BE1150" t="s">
        <v>4</v>
      </c>
      <c r="BF1150" t="s">
        <v>4</v>
      </c>
      <c r="BG1150" t="s">
        <v>5</v>
      </c>
    </row>
    <row r="1151" spans="45:83">
      <c r="AT1151" t="s">
        <v>504</v>
      </c>
      <c r="AU1151">
        <f>AW22*AT34*AT40*AT45*AT52*AT58*AT64*AT70*AT76*AT81*AT85*AT91*AT100*AT105*AT110*AT118*AT124*AT128*AT136*AT142*AT145*AT152*AT159*AT164*AT167*AT171*AT176*AT179*AT183*AT187*AT192*AT195*AT200*AT203*AT207*AT211*AT216</f>
        <v>0</v>
      </c>
      <c r="AZ1151"/>
      <c r="BA1151"/>
      <c r="BB1151"/>
      <c r="BC1151"/>
      <c r="BD1151"/>
      <c r="BE1151"/>
      <c r="BF1151"/>
    </row>
    <row r="1152" spans="45:83">
      <c r="AT1152" t="s">
        <v>505</v>
      </c>
      <c r="AZ1152"/>
      <c r="BA1152"/>
      <c r="BB1152"/>
      <c r="BC1152"/>
      <c r="BD1152"/>
      <c r="BE1152"/>
      <c r="BF1152"/>
    </row>
    <row r="1153" spans="45:83">
      <c r="AT1153" t="s">
        <v>506</v>
      </c>
      <c r="AZ1153"/>
      <c r="BA1153"/>
      <c r="BB1153"/>
      <c r="BC1153"/>
      <c r="BD1153"/>
      <c r="BE1153"/>
      <c r="BF1153"/>
    </row>
    <row r="1154" spans="45:83">
      <c r="AT1154" t="s">
        <v>507</v>
      </c>
      <c r="AZ1154"/>
      <c r="BA1154"/>
      <c r="BB1154"/>
      <c r="BC1154"/>
      <c r="BD1154"/>
      <c r="BE1154"/>
      <c r="BF1154"/>
    </row>
    <row r="1155" spans="45:83">
      <c r="AT1155" t="s">
        <v>508</v>
      </c>
      <c r="AZ1155"/>
      <c r="BA1155"/>
      <c r="BB1155"/>
      <c r="BC1155"/>
      <c r="BD1155"/>
      <c r="BE1155"/>
      <c r="BF1155"/>
    </row>
    <row r="1156" spans="45:83">
      <c r="AT1156" t="s">
        <v>509</v>
      </c>
      <c r="AZ1156"/>
      <c r="BA1156"/>
      <c r="BB1156"/>
      <c r="BC1156"/>
      <c r="BD1156"/>
      <c r="BE1156"/>
      <c r="BF1156"/>
    </row>
    <row r="1157" spans="45:83">
      <c r="AZ1157"/>
      <c r="BA1157"/>
      <c r="BB1157"/>
      <c r="BC1157"/>
      <c r="BD1157"/>
      <c r="BE1157"/>
      <c r="BF1157"/>
    </row>
    <row r="1158" spans="45:83">
      <c r="AS1158" s="67" t="s">
        <v>477</v>
      </c>
      <c r="AT1158" s="67"/>
      <c r="AU1158" s="20" t="s">
        <v>64</v>
      </c>
      <c r="AV1158" s="1" t="s">
        <v>43</v>
      </c>
      <c r="AW1158" s="1" t="s">
        <v>44</v>
      </c>
      <c r="AX1158" s="1" t="s">
        <v>45</v>
      </c>
      <c r="AY1158" s="1" t="s">
        <v>46</v>
      </c>
      <c r="AZ1158" s="1" t="s">
        <v>47</v>
      </c>
      <c r="BA1158" s="1" t="s">
        <v>48</v>
      </c>
      <c r="BB1158" s="1" t="s">
        <v>49</v>
      </c>
      <c r="BC1158" s="1" t="s">
        <v>50</v>
      </c>
      <c r="BD1158" s="1" t="s">
        <v>51</v>
      </c>
      <c r="BE1158" s="1" t="s">
        <v>52</v>
      </c>
      <c r="BF1158" s="1" t="s">
        <v>53</v>
      </c>
      <c r="BG1158" s="1" t="s">
        <v>54</v>
      </c>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row>
    <row r="1159" spans="45:83">
      <c r="AS1159" s="67"/>
      <c r="AT1159" s="67"/>
      <c r="AU1159" s="20">
        <v>6</v>
      </c>
      <c r="AV1159" t="s">
        <v>5</v>
      </c>
      <c r="AW1159" t="s">
        <v>5</v>
      </c>
      <c r="AX1159" t="s">
        <v>3</v>
      </c>
      <c r="AY1159" t="s">
        <v>5</v>
      </c>
      <c r="AZ1159" t="s">
        <v>5</v>
      </c>
      <c r="BA1159" t="s">
        <v>5</v>
      </c>
      <c r="BB1159" t="s">
        <v>5</v>
      </c>
      <c r="BC1159" t="s">
        <v>2</v>
      </c>
      <c r="BD1159" t="s">
        <v>2</v>
      </c>
      <c r="BE1159" t="s">
        <v>2</v>
      </c>
      <c r="BF1159" t="s">
        <v>2</v>
      </c>
      <c r="BG1159" t="s">
        <v>3</v>
      </c>
    </row>
    <row r="1160" spans="45:83">
      <c r="AT1160" t="s">
        <v>504</v>
      </c>
      <c r="AU1160">
        <f>AW22*AT34*AT40*AT44*AT52*AT58*AT64*AT70*AT75*AT81*AT87*AT93*AT98*AT106*AT110*AT116*AT124*AT130*AT136*AT141*AT146*AT151*AT157*AT164*AT167*AT171*AT175*AT180*AT183*AT187*AT192*AT196*AT200*AT204*AT208*AT212*AT216</f>
        <v>0</v>
      </c>
      <c r="AZ1160"/>
      <c r="BA1160"/>
      <c r="BB1160"/>
      <c r="BC1160"/>
      <c r="BD1160"/>
      <c r="BE1160"/>
      <c r="BF1160"/>
    </row>
    <row r="1161" spans="45:83">
      <c r="AT1161" t="s">
        <v>505</v>
      </c>
      <c r="AZ1161"/>
      <c r="BA1161"/>
      <c r="BB1161"/>
      <c r="BC1161"/>
      <c r="BD1161"/>
      <c r="BE1161"/>
      <c r="BF1161"/>
    </row>
    <row r="1162" spans="45:83">
      <c r="AT1162" t="s">
        <v>506</v>
      </c>
      <c r="AZ1162"/>
      <c r="BA1162"/>
      <c r="BB1162"/>
      <c r="BC1162"/>
      <c r="BD1162"/>
      <c r="BE1162"/>
      <c r="BF1162"/>
    </row>
    <row r="1163" spans="45:83">
      <c r="AT1163" t="s">
        <v>507</v>
      </c>
      <c r="AZ1163"/>
      <c r="BA1163"/>
      <c r="BB1163"/>
      <c r="BC1163"/>
      <c r="BD1163"/>
      <c r="BE1163"/>
      <c r="BF1163"/>
    </row>
    <row r="1164" spans="45:83">
      <c r="AT1164" t="s">
        <v>508</v>
      </c>
      <c r="AZ1164"/>
      <c r="BA1164"/>
      <c r="BB1164"/>
      <c r="BC1164"/>
      <c r="BD1164"/>
      <c r="BE1164"/>
      <c r="BF1164"/>
    </row>
    <row r="1165" spans="45:83">
      <c r="AT1165" t="s">
        <v>509</v>
      </c>
      <c r="AU1165">
        <f>AW27 * AY34 * AY40 * AY44 * AY52 * AY58 * AY64 * AY70 * AY75 * AY81 * AY87 * AY93 * AY98 * AY106 * AY110 * AY116 * AY124 * AY130 * AY136 * AY141 * AY146 * AY151 * AY157 * AY164 * AY167 * AY171 * AY175 * AY180 * AY183 * AY187 * AY192 * AY196 * AY200 * AY204 * AY208 * AY212 * AY216</f>
        <v>1.7859349221372509E-13</v>
      </c>
      <c r="AZ1165"/>
      <c r="BA1165"/>
      <c r="BB1165"/>
      <c r="BC1165"/>
      <c r="BD1165"/>
      <c r="BE1165"/>
      <c r="BF1165"/>
    </row>
    <row r="1166" spans="45:83">
      <c r="AZ1166"/>
      <c r="BA1166"/>
      <c r="BB1166"/>
      <c r="BC1166"/>
      <c r="BD1166"/>
      <c r="BE1166"/>
      <c r="BF1166"/>
    </row>
    <row r="1167" spans="45:83">
      <c r="AS1167" s="67" t="s">
        <v>488</v>
      </c>
      <c r="AT1167" s="67"/>
      <c r="AU1167" s="20" t="s">
        <v>64</v>
      </c>
      <c r="AV1167" s="1" t="s">
        <v>43</v>
      </c>
      <c r="AW1167" s="1" t="s">
        <v>44</v>
      </c>
      <c r="AX1167" s="1" t="s">
        <v>45</v>
      </c>
      <c r="AY1167" s="1" t="s">
        <v>46</v>
      </c>
      <c r="AZ1167" s="1" t="s">
        <v>47</v>
      </c>
      <c r="BA1167" s="1" t="s">
        <v>48</v>
      </c>
      <c r="BB1167" s="1" t="s">
        <v>49</v>
      </c>
      <c r="BC1167" s="1" t="s">
        <v>50</v>
      </c>
      <c r="BD1167" s="1" t="s">
        <v>51</v>
      </c>
      <c r="BE1167" s="1" t="s">
        <v>52</v>
      </c>
      <c r="BF1167" s="1" t="s">
        <v>53</v>
      </c>
      <c r="BG1167" s="1" t="s">
        <v>54</v>
      </c>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row>
    <row r="1168" spans="45:83">
      <c r="AS1168" s="67"/>
      <c r="AT1168" s="67"/>
      <c r="AU1168" s="20">
        <v>6</v>
      </c>
      <c r="AV1168" t="s">
        <v>5</v>
      </c>
      <c r="AW1168" t="s">
        <v>5</v>
      </c>
      <c r="AX1168" t="s">
        <v>4</v>
      </c>
      <c r="AY1168" t="s">
        <v>5</v>
      </c>
      <c r="AZ1168" t="s">
        <v>5</v>
      </c>
      <c r="BA1168" t="s">
        <v>5</v>
      </c>
      <c r="BB1168" t="s">
        <v>5</v>
      </c>
      <c r="BC1168" t="s">
        <v>2</v>
      </c>
      <c r="BD1168" t="s">
        <v>3</v>
      </c>
      <c r="BE1168" t="s">
        <v>4</v>
      </c>
      <c r="BF1168" t="s">
        <v>3</v>
      </c>
      <c r="BG1168" t="s">
        <v>5</v>
      </c>
    </row>
    <row r="1169" spans="45:83">
      <c r="AT1169" t="s">
        <v>504</v>
      </c>
      <c r="AU1169">
        <f>AW22*AT34*AT40*AT43*AT52*AT58*AT64*AT70*AT75*AT80*AT85*AT92*AT100*AT106*AT110*AT118*AT124*AT128*AT136*AT140*AT145*AT153*AT159*AT163*AT167*AT171*AT175*AT179*AT183*AT187*AT192*AT195*AT200*AT204*AT207*AT212*AT216</f>
        <v>0</v>
      </c>
      <c r="AZ1169"/>
      <c r="BA1169"/>
      <c r="BB1169"/>
      <c r="BC1169"/>
      <c r="BD1169"/>
      <c r="BE1169"/>
      <c r="BF1169"/>
    </row>
    <row r="1170" spans="45:83">
      <c r="AT1170" t="s">
        <v>505</v>
      </c>
      <c r="AZ1170"/>
      <c r="BA1170"/>
      <c r="BB1170"/>
      <c r="BC1170"/>
      <c r="BD1170"/>
      <c r="BE1170"/>
      <c r="BF1170"/>
    </row>
    <row r="1171" spans="45:83">
      <c r="AT1171" t="s">
        <v>506</v>
      </c>
      <c r="AZ1171"/>
      <c r="BA1171"/>
      <c r="BB1171"/>
      <c r="BC1171"/>
      <c r="BD1171"/>
      <c r="BE1171"/>
      <c r="BF1171"/>
    </row>
    <row r="1172" spans="45:83">
      <c r="AT1172" t="s">
        <v>507</v>
      </c>
      <c r="AZ1172"/>
      <c r="BA1172"/>
      <c r="BB1172"/>
      <c r="BC1172"/>
      <c r="BD1172"/>
      <c r="BE1172"/>
      <c r="BF1172"/>
    </row>
    <row r="1173" spans="45:83">
      <c r="AT1173" t="s">
        <v>508</v>
      </c>
      <c r="AZ1173"/>
      <c r="BA1173"/>
      <c r="BB1173"/>
      <c r="BC1173"/>
      <c r="BD1173"/>
      <c r="BE1173"/>
      <c r="BF1173"/>
    </row>
    <row r="1174" spans="45:83">
      <c r="AT1174" t="s">
        <v>509</v>
      </c>
      <c r="AU1174">
        <f>AW27 * AY34 * AY40 * AY43 * AY52 * AY58 * AY64 * AY70 * AY75 * AY80 * AY85 * AY92 * AY100 * AY106 * AY110 * AY118 * AY124 * AY128 * AY136 * AY140 * AY145 * AY153 * AY159 * AY164 * AY167 * AY171 * AY175 * AY179 * AY183 * AY187 * AY192 * AY195 * AY200 * AY204 * AY207 * AY212 * AY216</f>
        <v>2.9043588077764822E-9</v>
      </c>
      <c r="AZ1174"/>
      <c r="BA1174"/>
      <c r="BB1174"/>
      <c r="BC1174"/>
      <c r="BD1174"/>
      <c r="BE1174"/>
      <c r="BF1174"/>
    </row>
    <row r="1175" spans="45:83">
      <c r="AZ1175"/>
      <c r="BA1175"/>
      <c r="BB1175"/>
      <c r="BC1175"/>
      <c r="BD1175"/>
      <c r="BE1175"/>
      <c r="BF1175"/>
    </row>
    <row r="1176" spans="45:83">
      <c r="AS1176" s="67" t="s">
        <v>457</v>
      </c>
      <c r="AT1176" s="67"/>
      <c r="AU1176" s="20" t="s">
        <v>64</v>
      </c>
      <c r="AV1176" s="1" t="s">
        <v>43</v>
      </c>
      <c r="AW1176" s="1" t="s">
        <v>44</v>
      </c>
      <c r="AX1176" s="1" t="s">
        <v>45</v>
      </c>
      <c r="AY1176" s="1" t="s">
        <v>46</v>
      </c>
      <c r="AZ1176" s="1" t="s">
        <v>47</v>
      </c>
      <c r="BA1176" s="1" t="s">
        <v>48</v>
      </c>
      <c r="BB1176" s="1" t="s">
        <v>49</v>
      </c>
      <c r="BC1176" s="1" t="s">
        <v>50</v>
      </c>
      <c r="BD1176" s="1" t="s">
        <v>51</v>
      </c>
      <c r="BE1176" s="1" t="s">
        <v>52</v>
      </c>
      <c r="BF1176" s="1" t="s">
        <v>53</v>
      </c>
      <c r="BG1176" s="1" t="s">
        <v>54</v>
      </c>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row>
    <row r="1177" spans="45:83">
      <c r="AS1177" s="67"/>
      <c r="AT1177" s="67"/>
      <c r="AU1177" s="20">
        <v>1</v>
      </c>
      <c r="AV1177" t="s">
        <v>4</v>
      </c>
      <c r="AW1177" t="s">
        <v>2</v>
      </c>
      <c r="AX1177" t="s">
        <v>3</v>
      </c>
      <c r="AY1177" t="s">
        <v>3</v>
      </c>
      <c r="AZ1177" t="s">
        <v>5</v>
      </c>
      <c r="BA1177" t="s">
        <v>5</v>
      </c>
      <c r="BB1177" t="s">
        <v>5</v>
      </c>
      <c r="BC1177" t="s">
        <v>2</v>
      </c>
      <c r="BD1177" t="s">
        <v>3</v>
      </c>
      <c r="BE1177" t="s">
        <v>3</v>
      </c>
      <c r="BF1177" t="s">
        <v>4</v>
      </c>
      <c r="BG1177" t="s">
        <v>4</v>
      </c>
    </row>
    <row r="1178" spans="45:83">
      <c r="AT1178" t="s">
        <v>504</v>
      </c>
      <c r="AU1178">
        <f>AW22*AT31*AT39*AT44*AT50*AT58*AT64*AT70*AT75*AT80*AT86*AT91*AT97*AT106*AT110*AT118*AT124*AT130*AT136*AT139*AT145*AT151*AT157*AT164*AT168*AT172*AT175*AT179*AT183*AT187*AT192*AT195*AT200*AT203*AT207*AT211*AT216</f>
        <v>0</v>
      </c>
      <c r="AZ1178"/>
      <c r="BA1178"/>
      <c r="BB1178"/>
      <c r="BC1178"/>
      <c r="BD1178"/>
      <c r="BE1178"/>
      <c r="BF1178"/>
    </row>
    <row r="1179" spans="45:83">
      <c r="AT1179" t="s">
        <v>505</v>
      </c>
      <c r="AZ1179"/>
      <c r="BA1179"/>
      <c r="BB1179"/>
      <c r="BC1179"/>
      <c r="BD1179"/>
      <c r="BE1179"/>
      <c r="BF1179"/>
    </row>
    <row r="1180" spans="45:83">
      <c r="AT1180" t="s">
        <v>506</v>
      </c>
      <c r="AZ1180"/>
      <c r="BA1180"/>
      <c r="BB1180"/>
      <c r="BC1180"/>
      <c r="BD1180"/>
      <c r="BE1180"/>
      <c r="BF1180"/>
    </row>
    <row r="1181" spans="45:83">
      <c r="AT1181" t="s">
        <v>507</v>
      </c>
      <c r="AZ1181"/>
      <c r="BA1181"/>
      <c r="BB1181"/>
      <c r="BC1181"/>
      <c r="BD1181"/>
      <c r="BE1181"/>
      <c r="BF1181"/>
    </row>
    <row r="1182" spans="45:83">
      <c r="AT1182" t="s">
        <v>508</v>
      </c>
      <c r="AZ1182"/>
      <c r="BA1182"/>
      <c r="BB1182"/>
      <c r="BC1182"/>
      <c r="BD1182"/>
      <c r="BE1182"/>
      <c r="BF1182"/>
    </row>
    <row r="1183" spans="45:83">
      <c r="AT1183" t="s">
        <v>509</v>
      </c>
      <c r="AZ1183"/>
      <c r="BA1183"/>
      <c r="BB1183"/>
      <c r="BC1183"/>
      <c r="BD1183"/>
      <c r="BE1183"/>
      <c r="BF1183"/>
    </row>
    <row r="1184" spans="45:83">
      <c r="AZ1184"/>
      <c r="BA1184"/>
      <c r="BB1184"/>
      <c r="BC1184"/>
      <c r="BD1184"/>
      <c r="BE1184"/>
      <c r="BF1184"/>
    </row>
    <row r="1185" spans="45:83">
      <c r="AS1185" s="67" t="s">
        <v>462</v>
      </c>
      <c r="AT1185" s="67"/>
      <c r="AU1185" s="20" t="s">
        <v>64</v>
      </c>
      <c r="AV1185" s="1" t="s">
        <v>43</v>
      </c>
      <c r="AW1185" s="1" t="s">
        <v>44</v>
      </c>
      <c r="AX1185" s="1" t="s">
        <v>45</v>
      </c>
      <c r="AY1185" s="1" t="s">
        <v>46</v>
      </c>
      <c r="AZ1185" s="1" t="s">
        <v>47</v>
      </c>
      <c r="BA1185" s="1" t="s">
        <v>48</v>
      </c>
      <c r="BB1185" s="1" t="s">
        <v>49</v>
      </c>
      <c r="BC1185" s="1" t="s">
        <v>50</v>
      </c>
      <c r="BD1185" s="1" t="s">
        <v>51</v>
      </c>
      <c r="BE1185" s="1" t="s">
        <v>52</v>
      </c>
      <c r="BF1185" s="1" t="s">
        <v>53</v>
      </c>
      <c r="BG1185" s="1" t="s">
        <v>54</v>
      </c>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row>
    <row r="1186" spans="45:83">
      <c r="AS1186" s="67"/>
      <c r="AT1186" s="67"/>
      <c r="AU1186" s="20">
        <v>2</v>
      </c>
      <c r="AV1186" t="s">
        <v>5</v>
      </c>
      <c r="AW1186" t="s">
        <v>3</v>
      </c>
      <c r="AX1186" t="s">
        <v>5</v>
      </c>
      <c r="AY1186" t="s">
        <v>5</v>
      </c>
      <c r="AZ1186" t="s">
        <v>5</v>
      </c>
      <c r="BA1186" t="s">
        <v>5</v>
      </c>
      <c r="BB1186" t="s">
        <v>5</v>
      </c>
      <c r="BC1186" t="s">
        <v>2</v>
      </c>
      <c r="BD1186" t="s">
        <v>3</v>
      </c>
      <c r="BE1186" t="s">
        <v>3</v>
      </c>
      <c r="BF1186" t="s">
        <v>3</v>
      </c>
      <c r="BG1186" t="s">
        <v>5</v>
      </c>
    </row>
    <row r="1187" spans="45:83">
      <c r="AT1187" t="s">
        <v>504</v>
      </c>
      <c r="AU1187">
        <f>AW22*AT34*AT38*AT46*AT52*AT58*AT64*AT70*AT75*AT80*AT86*AT92*AT100*AT106*AT110*AT118*AT124*AT130*AT136*AT142*AT146*AT151*AT157*AT164*AT168*AT172*AT175*AT179*AT183*AT187*AT192*AT195*AT199*AT204*AT207*AT211*AT216</f>
        <v>0</v>
      </c>
      <c r="AZ1187"/>
      <c r="BA1187"/>
      <c r="BB1187"/>
      <c r="BC1187"/>
      <c r="BD1187"/>
      <c r="BE1187"/>
      <c r="BF1187"/>
    </row>
    <row r="1188" spans="45:83">
      <c r="AT1188" t="s">
        <v>505</v>
      </c>
      <c r="AZ1188"/>
      <c r="BA1188"/>
      <c r="BB1188"/>
      <c r="BC1188"/>
      <c r="BD1188"/>
      <c r="BE1188"/>
      <c r="BF1188"/>
    </row>
    <row r="1189" spans="45:83">
      <c r="AT1189" t="s">
        <v>506</v>
      </c>
      <c r="AZ1189"/>
      <c r="BA1189"/>
      <c r="BB1189"/>
      <c r="BC1189"/>
      <c r="BD1189"/>
      <c r="BE1189"/>
      <c r="BF1189"/>
    </row>
    <row r="1190" spans="45:83">
      <c r="AT1190" t="s">
        <v>507</v>
      </c>
      <c r="AZ1190"/>
      <c r="BA1190"/>
      <c r="BB1190"/>
      <c r="BC1190"/>
      <c r="BD1190"/>
      <c r="BE1190"/>
      <c r="BF1190"/>
    </row>
    <row r="1191" spans="45:83">
      <c r="AT1191" t="s">
        <v>508</v>
      </c>
      <c r="AZ1191"/>
      <c r="BA1191"/>
      <c r="BB1191"/>
      <c r="BC1191"/>
      <c r="BD1191"/>
      <c r="BE1191"/>
      <c r="BF1191"/>
    </row>
    <row r="1192" spans="45:83">
      <c r="AT1192" t="s">
        <v>509</v>
      </c>
      <c r="AZ1192"/>
      <c r="BA1192"/>
      <c r="BB1192"/>
      <c r="BC1192"/>
      <c r="BD1192"/>
      <c r="BE1192"/>
      <c r="BF1192"/>
    </row>
    <row r="1193" spans="45:83">
      <c r="AZ1193"/>
      <c r="BA1193"/>
      <c r="BB1193"/>
      <c r="BC1193"/>
      <c r="BD1193"/>
      <c r="BE1193"/>
      <c r="BF1193"/>
    </row>
    <row r="1194" spans="45:83">
      <c r="AS1194" s="68" t="s">
        <v>466</v>
      </c>
      <c r="AT1194" s="68"/>
      <c r="AU1194" s="20" t="s">
        <v>64</v>
      </c>
      <c r="AV1194" s="1" t="s">
        <v>43</v>
      </c>
      <c r="AW1194" s="1" t="s">
        <v>44</v>
      </c>
      <c r="AX1194" s="1" t="s">
        <v>45</v>
      </c>
      <c r="AY1194" s="1" t="s">
        <v>46</v>
      </c>
      <c r="AZ1194" s="1" t="s">
        <v>47</v>
      </c>
      <c r="BA1194" s="1" t="s">
        <v>48</v>
      </c>
      <c r="BB1194" s="1" t="s">
        <v>49</v>
      </c>
      <c r="BC1194" s="1" t="s">
        <v>50</v>
      </c>
      <c r="BD1194" s="1" t="s">
        <v>51</v>
      </c>
      <c r="BE1194" s="1" t="s">
        <v>52</v>
      </c>
      <c r="BF1194" s="1" t="s">
        <v>53</v>
      </c>
      <c r="BG1194" s="1" t="s">
        <v>54</v>
      </c>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row>
    <row r="1195" spans="45:83">
      <c r="AS1195" s="68"/>
      <c r="AT1195" s="68"/>
      <c r="AU1195" s="20">
        <v>3</v>
      </c>
      <c r="AV1195" t="s">
        <v>5</v>
      </c>
      <c r="AW1195" t="s">
        <v>3</v>
      </c>
      <c r="AX1195" t="s">
        <v>3</v>
      </c>
      <c r="AY1195" t="s">
        <v>5</v>
      </c>
      <c r="AZ1195" t="s">
        <v>5</v>
      </c>
      <c r="BA1195" t="s">
        <v>5</v>
      </c>
      <c r="BB1195" t="s">
        <v>5</v>
      </c>
      <c r="BC1195" t="s">
        <v>2</v>
      </c>
      <c r="BD1195" t="s">
        <v>3</v>
      </c>
      <c r="BE1195" t="s">
        <v>3</v>
      </c>
      <c r="BF1195" t="s">
        <v>4</v>
      </c>
      <c r="BG1195" t="s">
        <v>5</v>
      </c>
    </row>
    <row r="1196" spans="45:83">
      <c r="AT1196" t="s">
        <v>504</v>
      </c>
      <c r="AU1196">
        <f>AW22*AT34*AT38*AT44*AT52*AT58*AT64*AT70*AT75*AT80*AT86*AT91*AT100*AT105*AT110*AT118*AT124*AT130*AT136*AT139*AT145*AT151*AT159*AT164*AT167*AT171*AT175*AT179*AT183*AT187*AT192*AT195*AT200*AT203*AT207*AT211*AT215</f>
        <v>0</v>
      </c>
      <c r="AZ1196"/>
      <c r="BA1196"/>
      <c r="BB1196"/>
      <c r="BC1196"/>
      <c r="BD1196"/>
      <c r="BE1196"/>
      <c r="BF1196"/>
    </row>
    <row r="1197" spans="45:83">
      <c r="AT1197" t="s">
        <v>505</v>
      </c>
      <c r="AZ1197"/>
      <c r="BA1197"/>
      <c r="BB1197"/>
      <c r="BC1197"/>
      <c r="BD1197"/>
      <c r="BE1197"/>
      <c r="BF1197"/>
    </row>
    <row r="1198" spans="45:83">
      <c r="AT1198" t="s">
        <v>506</v>
      </c>
      <c r="AZ1198"/>
      <c r="BA1198"/>
      <c r="BB1198"/>
      <c r="BC1198"/>
      <c r="BD1198"/>
      <c r="BE1198"/>
      <c r="BF1198"/>
    </row>
    <row r="1199" spans="45:83">
      <c r="AT1199" t="s">
        <v>507</v>
      </c>
      <c r="AZ1199"/>
      <c r="BA1199"/>
      <c r="BB1199"/>
      <c r="BC1199"/>
      <c r="BD1199"/>
      <c r="BE1199"/>
      <c r="BF1199"/>
    </row>
    <row r="1200" spans="45:83">
      <c r="AT1200" t="s">
        <v>508</v>
      </c>
      <c r="AZ1200"/>
      <c r="BA1200"/>
      <c r="BB1200"/>
      <c r="BC1200"/>
      <c r="BD1200"/>
      <c r="BE1200"/>
      <c r="BF1200"/>
    </row>
    <row r="1201" spans="45:83">
      <c r="AT1201" t="s">
        <v>509</v>
      </c>
      <c r="AZ1201"/>
      <c r="BA1201"/>
      <c r="BB1201"/>
      <c r="BC1201"/>
      <c r="BD1201"/>
      <c r="BE1201"/>
      <c r="BF1201"/>
    </row>
    <row r="1202" spans="45:83">
      <c r="AZ1202"/>
      <c r="BA1202"/>
      <c r="BB1202"/>
      <c r="BC1202"/>
      <c r="BD1202"/>
      <c r="BE1202"/>
      <c r="BF1202"/>
    </row>
    <row r="1203" spans="45:83">
      <c r="AS1203" s="67" t="s">
        <v>517</v>
      </c>
      <c r="AT1203" s="67"/>
      <c r="AU1203" s="20" t="s">
        <v>64</v>
      </c>
      <c r="AV1203" s="1" t="s">
        <v>43</v>
      </c>
      <c r="AW1203" s="1" t="s">
        <v>44</v>
      </c>
      <c r="AX1203" s="1" t="s">
        <v>45</v>
      </c>
      <c r="AY1203" s="1" t="s">
        <v>46</v>
      </c>
      <c r="AZ1203" s="1" t="s">
        <v>47</v>
      </c>
      <c r="BA1203" s="1" t="s">
        <v>48</v>
      </c>
      <c r="BB1203" s="1" t="s">
        <v>49</v>
      </c>
      <c r="BC1203" s="1" t="s">
        <v>50</v>
      </c>
      <c r="BD1203" s="1" t="s">
        <v>51</v>
      </c>
      <c r="BE1203" s="1" t="s">
        <v>52</v>
      </c>
      <c r="BF1203" s="1" t="s">
        <v>53</v>
      </c>
      <c r="BG1203" s="1" t="s">
        <v>54</v>
      </c>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row>
    <row r="1204" spans="45:83">
      <c r="AS1204" s="67"/>
      <c r="AT1204" s="67"/>
      <c r="AU1204" s="20">
        <v>6</v>
      </c>
      <c r="AV1204" t="s">
        <v>5</v>
      </c>
      <c r="AW1204" t="s">
        <v>5</v>
      </c>
      <c r="AX1204" t="s">
        <v>3</v>
      </c>
      <c r="AY1204" t="s">
        <v>5</v>
      </c>
      <c r="AZ1204" t="s">
        <v>5</v>
      </c>
      <c r="BA1204" t="s">
        <v>5</v>
      </c>
      <c r="BB1204" t="s">
        <v>5</v>
      </c>
      <c r="BC1204" t="s">
        <v>2</v>
      </c>
      <c r="BD1204" t="s">
        <v>2</v>
      </c>
      <c r="BE1204" t="s">
        <v>4</v>
      </c>
      <c r="BF1204" t="s">
        <v>4</v>
      </c>
      <c r="BG1204" t="s">
        <v>4</v>
      </c>
    </row>
    <row r="1205" spans="45:83">
      <c r="AT1205" t="s">
        <v>504</v>
      </c>
      <c r="AU1205">
        <f>AW22*AT34*AT40*AT44*AT52*AT58*AT64*AT70*AT75*AT81*AT85*AT91*AT97*AT106*AT109*AT118*AT124*AT130*AT136*AT140*AT148*AT153*AT157*AT164*AT167*AT171*AT175*AT179*AT183*AT187*AT192*AT195*AT200*AT204*AT207*AT211*AT216</f>
        <v>0</v>
      </c>
      <c r="AZ1205"/>
      <c r="BA1205"/>
      <c r="BB1205"/>
      <c r="BC1205"/>
      <c r="BD1205"/>
      <c r="BE1205"/>
      <c r="BF1205"/>
    </row>
    <row r="1206" spans="45:83">
      <c r="AT1206" t="s">
        <v>505</v>
      </c>
      <c r="AZ1206"/>
      <c r="BA1206"/>
      <c r="BB1206"/>
      <c r="BC1206"/>
      <c r="BD1206"/>
      <c r="BE1206"/>
      <c r="BF1206"/>
    </row>
    <row r="1207" spans="45:83">
      <c r="AT1207" t="s">
        <v>506</v>
      </c>
      <c r="AZ1207"/>
      <c r="BA1207"/>
      <c r="BB1207"/>
      <c r="BC1207"/>
      <c r="BD1207"/>
      <c r="BE1207"/>
      <c r="BF1207"/>
    </row>
    <row r="1208" spans="45:83">
      <c r="AT1208" t="s">
        <v>507</v>
      </c>
      <c r="AZ1208"/>
      <c r="BA1208"/>
      <c r="BB1208"/>
      <c r="BC1208"/>
      <c r="BD1208"/>
      <c r="BE1208"/>
      <c r="BF1208"/>
    </row>
    <row r="1209" spans="45:83">
      <c r="AT1209" t="s">
        <v>508</v>
      </c>
      <c r="AZ1209"/>
      <c r="BA1209"/>
      <c r="BB1209"/>
      <c r="BC1209"/>
      <c r="BD1209"/>
      <c r="BE1209"/>
      <c r="BF1209"/>
    </row>
    <row r="1210" spans="45:83">
      <c r="AT1210" t="s">
        <v>509</v>
      </c>
      <c r="AZ1210"/>
      <c r="BA1210"/>
      <c r="BB1210"/>
      <c r="BC1210"/>
      <c r="BD1210"/>
      <c r="BE1210"/>
      <c r="BF1210"/>
    </row>
    <row r="1211" spans="45:83">
      <c r="AZ1211"/>
      <c r="BA1211"/>
      <c r="BB1211"/>
      <c r="BC1211"/>
      <c r="BD1211"/>
      <c r="BE1211"/>
      <c r="BF1211"/>
    </row>
    <row r="1212" spans="45:83">
      <c r="AS1212" s="67" t="s">
        <v>473</v>
      </c>
      <c r="AT1212" s="67"/>
      <c r="AU1212" s="20" t="s">
        <v>64</v>
      </c>
      <c r="AV1212" s="1" t="s">
        <v>43</v>
      </c>
      <c r="AW1212" s="1" t="s">
        <v>44</v>
      </c>
      <c r="AX1212" s="1" t="s">
        <v>45</v>
      </c>
      <c r="AY1212" s="1" t="s">
        <v>46</v>
      </c>
      <c r="AZ1212" s="1" t="s">
        <v>47</v>
      </c>
      <c r="BA1212" s="1" t="s">
        <v>48</v>
      </c>
      <c r="BB1212" s="1" t="s">
        <v>49</v>
      </c>
      <c r="BC1212" s="1" t="s">
        <v>50</v>
      </c>
      <c r="BD1212" s="1" t="s">
        <v>51</v>
      </c>
      <c r="BE1212" s="1" t="s">
        <v>52</v>
      </c>
      <c r="BF1212" s="1" t="s">
        <v>53</v>
      </c>
      <c r="BG1212" s="1" t="s">
        <v>54</v>
      </c>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row>
    <row r="1213" spans="45:83">
      <c r="AS1213" s="67"/>
      <c r="AT1213" s="67"/>
      <c r="AU1213" s="20">
        <v>5</v>
      </c>
      <c r="AV1213" t="s">
        <v>5</v>
      </c>
      <c r="AW1213" t="s">
        <v>3</v>
      </c>
      <c r="AX1213" t="s">
        <v>5</v>
      </c>
      <c r="AY1213" t="s">
        <v>5</v>
      </c>
      <c r="AZ1213" t="s">
        <v>5</v>
      </c>
      <c r="BA1213" t="s">
        <v>5</v>
      </c>
      <c r="BB1213" t="s">
        <v>5</v>
      </c>
      <c r="BC1213" t="s">
        <v>2</v>
      </c>
      <c r="BD1213" t="s">
        <v>3</v>
      </c>
      <c r="BE1213" t="s">
        <v>3</v>
      </c>
      <c r="BF1213" t="s">
        <v>5</v>
      </c>
      <c r="BG1213" t="s">
        <v>2</v>
      </c>
    </row>
    <row r="1214" spans="45:83">
      <c r="AT1214" t="s">
        <v>504</v>
      </c>
      <c r="AU1214">
        <f>AW22*AT34*AT38*AT46*AT52*AT58*AT64*AT70*AT75*AT80*AT86*AT94*AT99*AT106*AT111*AT117*AT124*AT130*AT136*AT140*AT146*AT151*AT157*AT164*AT167*AT171*AT175*AT179*AT183*AT188*AT192*AT195*AT200*AT203*AT207*AT212*AT216</f>
        <v>0</v>
      </c>
      <c r="AZ1214"/>
      <c r="BA1214"/>
      <c r="BB1214"/>
      <c r="BC1214"/>
      <c r="BD1214"/>
      <c r="BE1214"/>
      <c r="BF1214"/>
    </row>
    <row r="1215" spans="45:83">
      <c r="AT1215" t="s">
        <v>505</v>
      </c>
      <c r="AZ1215"/>
      <c r="BA1215"/>
      <c r="BB1215"/>
      <c r="BC1215"/>
      <c r="BD1215"/>
      <c r="BE1215"/>
      <c r="BF1215"/>
    </row>
    <row r="1216" spans="45:83">
      <c r="AT1216" t="s">
        <v>506</v>
      </c>
      <c r="AZ1216"/>
      <c r="BA1216"/>
      <c r="BB1216"/>
      <c r="BC1216"/>
      <c r="BD1216"/>
      <c r="BE1216"/>
      <c r="BF1216"/>
    </row>
    <row r="1217" spans="45:83">
      <c r="AT1217" t="s">
        <v>507</v>
      </c>
      <c r="AZ1217"/>
      <c r="BA1217"/>
      <c r="BB1217"/>
      <c r="BC1217"/>
      <c r="BD1217"/>
      <c r="BE1217"/>
      <c r="BF1217"/>
    </row>
    <row r="1218" spans="45:83">
      <c r="AT1218" t="s">
        <v>508</v>
      </c>
      <c r="AZ1218"/>
      <c r="BA1218"/>
      <c r="BB1218"/>
      <c r="BC1218"/>
      <c r="BD1218"/>
      <c r="BE1218"/>
      <c r="BF1218"/>
    </row>
    <row r="1219" spans="45:83">
      <c r="AT1219" t="s">
        <v>509</v>
      </c>
      <c r="AZ1219"/>
      <c r="BA1219"/>
      <c r="BB1219"/>
      <c r="BC1219"/>
      <c r="BD1219"/>
      <c r="BE1219"/>
      <c r="BF1219"/>
    </row>
    <row r="1220" spans="45:83">
      <c r="AZ1220"/>
      <c r="BA1220"/>
      <c r="BB1220"/>
      <c r="BC1220"/>
      <c r="BD1220"/>
      <c r="BE1220"/>
      <c r="BF1220"/>
    </row>
    <row r="1221" spans="45:83">
      <c r="AS1221" s="67" t="s">
        <v>470</v>
      </c>
      <c r="AT1221" s="67"/>
      <c r="AU1221" s="20" t="s">
        <v>64</v>
      </c>
      <c r="AV1221" s="1" t="s">
        <v>43</v>
      </c>
      <c r="AW1221" s="1" t="s">
        <v>44</v>
      </c>
      <c r="AX1221" s="1" t="s">
        <v>45</v>
      </c>
      <c r="AY1221" s="1" t="s">
        <v>46</v>
      </c>
      <c r="AZ1221" s="1" t="s">
        <v>47</v>
      </c>
      <c r="BA1221" s="1" t="s">
        <v>48</v>
      </c>
      <c r="BB1221" s="1" t="s">
        <v>49</v>
      </c>
      <c r="BC1221" s="1" t="s">
        <v>50</v>
      </c>
      <c r="BD1221" s="1" t="s">
        <v>51</v>
      </c>
      <c r="BE1221" s="1" t="s">
        <v>52</v>
      </c>
      <c r="BF1221" s="1" t="s">
        <v>53</v>
      </c>
      <c r="BG1221" s="1" t="s">
        <v>54</v>
      </c>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row>
    <row r="1222" spans="45:83">
      <c r="AS1222" s="67"/>
      <c r="AT1222" s="67"/>
      <c r="AU1222" s="20">
        <v>4</v>
      </c>
      <c r="AV1222" t="s">
        <v>5</v>
      </c>
      <c r="AW1222" t="s">
        <v>5</v>
      </c>
      <c r="AX1222" t="s">
        <v>5</v>
      </c>
      <c r="AY1222" t="s">
        <v>5</v>
      </c>
      <c r="AZ1222" t="s">
        <v>5</v>
      </c>
      <c r="BA1222" t="s">
        <v>5</v>
      </c>
      <c r="BB1222" t="s">
        <v>5</v>
      </c>
      <c r="BC1222" t="s">
        <v>2</v>
      </c>
      <c r="BD1222" t="s">
        <v>2</v>
      </c>
      <c r="BE1222" t="s">
        <v>2</v>
      </c>
      <c r="BF1222" t="s">
        <v>3</v>
      </c>
      <c r="BG1222" t="s">
        <v>3</v>
      </c>
    </row>
    <row r="1223" spans="45:83">
      <c r="AT1223" t="s">
        <v>504</v>
      </c>
      <c r="AU1223">
        <f>AW22*AT34*AT40*AT46*AT52*AT58*AT64*AT70*AT75*AT81*AT87*AT92*AT98*AT106*AT110*AT116*AT124*AT130*AT136*AT142*AT145*AT151*AT159*AT164*AT168*AT172*AT175*AT179*AT183*AT187*AT192*AT195*AT200*AT204*AT207*AT211*AT216</f>
        <v>0</v>
      </c>
      <c r="AZ1223"/>
      <c r="BA1223"/>
      <c r="BB1223"/>
      <c r="BC1223"/>
      <c r="BD1223"/>
      <c r="BE1223"/>
      <c r="BF1223"/>
    </row>
    <row r="1224" spans="45:83">
      <c r="AT1224" t="s">
        <v>505</v>
      </c>
      <c r="AZ1224"/>
      <c r="BA1224"/>
      <c r="BB1224"/>
      <c r="BC1224"/>
      <c r="BD1224"/>
      <c r="BE1224"/>
      <c r="BF1224"/>
    </row>
    <row r="1225" spans="45:83">
      <c r="AT1225" t="s">
        <v>506</v>
      </c>
      <c r="AZ1225"/>
      <c r="BA1225"/>
      <c r="BB1225"/>
      <c r="BC1225"/>
      <c r="BD1225"/>
      <c r="BE1225"/>
      <c r="BF1225"/>
    </row>
    <row r="1226" spans="45:83">
      <c r="AT1226" t="s">
        <v>507</v>
      </c>
      <c r="AZ1226"/>
      <c r="BA1226"/>
      <c r="BB1226"/>
      <c r="BC1226"/>
      <c r="BD1226"/>
      <c r="BE1226"/>
      <c r="BF1226"/>
    </row>
    <row r="1227" spans="45:83">
      <c r="AT1227" t="s">
        <v>508</v>
      </c>
      <c r="AZ1227"/>
      <c r="BA1227"/>
      <c r="BB1227"/>
      <c r="BC1227"/>
      <c r="BD1227"/>
      <c r="BE1227"/>
      <c r="BF1227"/>
    </row>
    <row r="1228" spans="45:83">
      <c r="AT1228" t="s">
        <v>509</v>
      </c>
      <c r="AZ1228"/>
      <c r="BA1228"/>
      <c r="BB1228"/>
      <c r="BC1228"/>
      <c r="BD1228"/>
      <c r="BE1228"/>
      <c r="BF1228"/>
    </row>
    <row r="1229" spans="45:83">
      <c r="AZ1229"/>
      <c r="BA1229"/>
      <c r="BB1229"/>
      <c r="BC1229"/>
      <c r="BD1229"/>
      <c r="BE1229"/>
      <c r="BF1229"/>
    </row>
    <row r="1230" spans="45:83">
      <c r="AS1230" s="68" t="s">
        <v>323</v>
      </c>
      <c r="AT1230" s="68"/>
      <c r="AU1230" s="20" t="s">
        <v>64</v>
      </c>
      <c r="AV1230" s="1" t="s">
        <v>43</v>
      </c>
      <c r="AW1230" s="1" t="s">
        <v>44</v>
      </c>
      <c r="AX1230" s="1" t="s">
        <v>45</v>
      </c>
      <c r="AY1230" s="1" t="s">
        <v>46</v>
      </c>
      <c r="AZ1230" s="1" t="s">
        <v>47</v>
      </c>
      <c r="BA1230" s="1" t="s">
        <v>48</v>
      </c>
      <c r="BB1230" s="1" t="s">
        <v>49</v>
      </c>
      <c r="BC1230" s="1" t="s">
        <v>50</v>
      </c>
      <c r="BD1230" s="1" t="s">
        <v>51</v>
      </c>
      <c r="BE1230" s="1" t="s">
        <v>52</v>
      </c>
      <c r="BF1230" s="1" t="s">
        <v>53</v>
      </c>
      <c r="BG1230" s="1" t="s">
        <v>54</v>
      </c>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row>
    <row r="1231" spans="45:83">
      <c r="AS1231" s="68"/>
      <c r="AT1231" s="68"/>
      <c r="AU1231" s="20">
        <v>4</v>
      </c>
      <c r="AV1231" t="s">
        <v>5</v>
      </c>
      <c r="AW1231" t="s">
        <v>3</v>
      </c>
      <c r="AX1231" t="s">
        <v>2</v>
      </c>
      <c r="AY1231" t="s">
        <v>5</v>
      </c>
      <c r="AZ1231" t="s">
        <v>5</v>
      </c>
      <c r="BA1231" t="s">
        <v>5</v>
      </c>
      <c r="BB1231" t="s">
        <v>2</v>
      </c>
      <c r="BC1231" t="s">
        <v>2</v>
      </c>
      <c r="BD1231" t="s">
        <v>3</v>
      </c>
      <c r="BE1231" t="s">
        <v>3</v>
      </c>
      <c r="BF1231" t="s">
        <v>3</v>
      </c>
      <c r="BG1231" s="22" t="s">
        <v>4</v>
      </c>
    </row>
    <row r="1232" spans="45:83">
      <c r="AT1232" t="s">
        <v>504</v>
      </c>
      <c r="AU1232" s="44">
        <f>AW22*AT34*AT38*AT45*AT52*AT58*AT64*AT69*AT75*AT80*AT86*AT92*AT97*AT105*AT111*AT116*AT124*AT129*AT135*AT142*AT146*AT153*AT159*AT164*AT167*AT171*AT175*AT179*AT183*AT188*AT192*AT195*AT200*AT203*AT207*AT211*AT216</f>
        <v>0</v>
      </c>
      <c r="AZ1232"/>
      <c r="BA1232"/>
      <c r="BB1232"/>
      <c r="BC1232"/>
      <c r="BD1232"/>
      <c r="BE1232"/>
      <c r="BF1232"/>
    </row>
    <row r="1233" spans="38:58">
      <c r="AT1233" t="s">
        <v>505</v>
      </c>
      <c r="AU1233">
        <f>AW23*AU34*AU38*AU45*AU52*AU58*AU64*AU69*AU75*AU80*AU86*AU92*AU97*AU105*AU111*AU116*AU124*AU129*AU135*AU142*AU146*AU153*AU159*AU164*AU167*AU171*AU175*AU179*AU183*AU188*AU192*AU195*AU200*AU203*AU207*AU211*AU216</f>
        <v>0</v>
      </c>
      <c r="AZ1233"/>
      <c r="BA1233"/>
      <c r="BB1233"/>
      <c r="BC1233"/>
      <c r="BD1233"/>
      <c r="BE1233"/>
      <c r="BF1233"/>
    </row>
    <row r="1234" spans="38:58">
      <c r="AT1234" t="s">
        <v>506</v>
      </c>
      <c r="AU1234">
        <f>AW24*AV34*AV38*AV45*AV52*AV58*AV64*AV69*AV75*AV80*AV86*AV92*AV97*AV105*AV111*AV116*AV124*AV129*AV135*AV142*AV146*AV153*AV159*AV164*AV167*AV171*AV175*AV179*AV183*AV188*AV192*AV195*AV200*AV203*AV207*AV211*AV216</f>
        <v>0</v>
      </c>
      <c r="AZ1234"/>
      <c r="BA1234"/>
      <c r="BB1234"/>
      <c r="BC1234"/>
      <c r="BD1234"/>
      <c r="BE1234"/>
      <c r="BF1234"/>
    </row>
    <row r="1235" spans="38:58">
      <c r="AT1235" t="s">
        <v>507</v>
      </c>
      <c r="AU1235">
        <f>AW25*AW34*AW38*AW45*AW52*AW58*AW64*AW69*AW75*AW80*AW86*AW92*AW97*AW105*AW111*AW116*AW124*AW129*AW135*AW142*AW146*AW153*AW159*AW164*AW167*AW171*AW175*AW179*AW183*AW188*AW192*AW195*AW200*AW203*AW207*AW211*AW216</f>
        <v>1.7102295990961887E-13</v>
      </c>
      <c r="AZ1235"/>
      <c r="BA1235"/>
      <c r="BB1235"/>
      <c r="BC1235"/>
      <c r="BD1235"/>
      <c r="BE1235"/>
      <c r="BF1235"/>
    </row>
    <row r="1236" spans="38:58">
      <c r="AT1236" t="s">
        <v>508</v>
      </c>
      <c r="AU1236">
        <f>AW26*AX34*AX38*AX45*AX52*AX58*AX64*AX69*AX75*AX80*AX86*AX92*AX97*AX105*AX111*AX116*AX124*AX129*AX135*AX142*AX146*AX153*AX159*AX164*AX167*AX171*AX175*AX179*AX183*AX188*AX192*AX195*AX200*AX203*AX207*AX211*AX216</f>
        <v>0</v>
      </c>
      <c r="AZ1236"/>
      <c r="BA1236"/>
      <c r="BB1236"/>
      <c r="BC1236"/>
      <c r="BD1236"/>
      <c r="BE1236"/>
      <c r="BF1236"/>
    </row>
    <row r="1237" spans="38:58">
      <c r="AT1237" t="s">
        <v>509</v>
      </c>
      <c r="AU1237">
        <f>AW27*AY34*AY38*AY45*AY52*AY58*AY64*AY69*AY75*AY80*AY86*AY92*AY97*AY105*AY111*AY116*AY124*AY129*AY135*AY142*AY146*AY153*AY159*AY164*AY167*AY171*AY175*AY179*AY183*AY188*AY192*AY195*AY200*AY203*AY207*AY211*AY216</f>
        <v>1.0504769993404522E-13</v>
      </c>
      <c r="AZ1237"/>
      <c r="BA1237"/>
      <c r="BB1237"/>
      <c r="BC1237"/>
      <c r="BD1237"/>
      <c r="BE1237"/>
      <c r="BF1237"/>
    </row>
    <row r="1238" spans="38:58">
      <c r="AZ1238"/>
      <c r="BA1238"/>
      <c r="BB1238"/>
      <c r="BC1238"/>
      <c r="BD1238"/>
      <c r="BE1238"/>
      <c r="BF1238"/>
    </row>
    <row r="1239" spans="38:58">
      <c r="AZ1239"/>
      <c r="BA1239"/>
      <c r="BB1239"/>
      <c r="BC1239"/>
      <c r="BD1239"/>
      <c r="BE1239"/>
      <c r="BF1239"/>
    </row>
    <row r="1240" spans="38:58">
      <c r="AZ1240"/>
      <c r="BA1240"/>
      <c r="BB1240"/>
      <c r="BC1240"/>
      <c r="BD1240"/>
      <c r="BE1240"/>
      <c r="BF1240"/>
    </row>
    <row r="1241" spans="38:58">
      <c r="AZ1241"/>
      <c r="BA1241"/>
      <c r="BB1241"/>
      <c r="BC1241"/>
      <c r="BD1241"/>
      <c r="BE1241"/>
      <c r="BF1241"/>
    </row>
    <row r="1242" spans="38:58">
      <c r="AZ1242"/>
      <c r="BA1242"/>
      <c r="BB1242"/>
      <c r="BC1242"/>
      <c r="BD1242"/>
      <c r="BE1242"/>
      <c r="BF1242"/>
    </row>
    <row r="1243" spans="38:58">
      <c r="AZ1243"/>
      <c r="BA1243"/>
      <c r="BB1243"/>
      <c r="BC1243"/>
      <c r="BD1243"/>
      <c r="BE1243"/>
      <c r="BF1243"/>
    </row>
    <row r="1244" spans="38:58">
      <c r="AZ1244"/>
      <c r="BA1244"/>
      <c r="BB1244"/>
      <c r="BC1244"/>
      <c r="BD1244"/>
      <c r="BE1244"/>
      <c r="BF1244"/>
    </row>
    <row r="1245" spans="38:58">
      <c r="AZ1245"/>
      <c r="BA1245"/>
      <c r="BB1245"/>
      <c r="BC1245"/>
      <c r="BD1245"/>
      <c r="BE1245"/>
      <c r="BF1245"/>
    </row>
    <row r="1246" spans="38:58">
      <c r="AZ1246"/>
      <c r="BA1246"/>
      <c r="BB1246"/>
      <c r="BC1246"/>
      <c r="BD1246"/>
      <c r="BE1246"/>
      <c r="BF1246"/>
    </row>
    <row r="1247" spans="38:58">
      <c r="AL1247" s="2"/>
      <c r="AZ1247"/>
      <c r="BA1247"/>
      <c r="BB1247"/>
      <c r="BC1247"/>
      <c r="BD1247"/>
      <c r="BE1247"/>
      <c r="BF1247"/>
    </row>
    <row r="1248" spans="38:58">
      <c r="AZ1248"/>
      <c r="BA1248"/>
      <c r="BB1248"/>
      <c r="BC1248"/>
      <c r="BD1248"/>
      <c r="BE1248"/>
      <c r="BF1248"/>
    </row>
    <row r="1249" spans="38:58">
      <c r="AZ1249"/>
      <c r="BA1249"/>
      <c r="BB1249"/>
      <c r="BC1249"/>
      <c r="BD1249"/>
      <c r="BE1249"/>
      <c r="BF1249"/>
    </row>
    <row r="1250" spans="38:58">
      <c r="AZ1250"/>
      <c r="BA1250"/>
      <c r="BB1250"/>
      <c r="BC1250"/>
      <c r="BD1250"/>
      <c r="BE1250"/>
      <c r="BF1250"/>
    </row>
    <row r="1251" spans="38:58">
      <c r="AZ1251"/>
      <c r="BA1251"/>
      <c r="BB1251"/>
      <c r="BC1251"/>
      <c r="BD1251"/>
      <c r="BE1251"/>
      <c r="BF1251"/>
    </row>
    <row r="1252" spans="38:58">
      <c r="AZ1252"/>
      <c r="BA1252"/>
      <c r="BB1252"/>
      <c r="BC1252"/>
      <c r="BD1252"/>
      <c r="BE1252"/>
      <c r="BF1252"/>
    </row>
    <row r="1253" spans="38:58">
      <c r="AZ1253"/>
      <c r="BA1253"/>
      <c r="BB1253"/>
      <c r="BC1253"/>
      <c r="BD1253"/>
      <c r="BE1253"/>
      <c r="BF1253"/>
    </row>
    <row r="1254" spans="38:58">
      <c r="AZ1254"/>
      <c r="BA1254"/>
      <c r="BB1254"/>
      <c r="BC1254"/>
      <c r="BD1254"/>
      <c r="BE1254"/>
      <c r="BF1254"/>
    </row>
    <row r="1255" spans="38:58">
      <c r="AZ1255"/>
      <c r="BA1255"/>
      <c r="BB1255"/>
      <c r="BC1255"/>
      <c r="BD1255"/>
      <c r="BE1255"/>
      <c r="BF1255"/>
    </row>
    <row r="1256" spans="38:58">
      <c r="AZ1256"/>
      <c r="BA1256"/>
      <c r="BB1256"/>
      <c r="BC1256"/>
      <c r="BD1256"/>
      <c r="BE1256"/>
      <c r="BF1256"/>
    </row>
    <row r="1257" spans="38:58">
      <c r="AZ1257"/>
      <c r="BA1257"/>
      <c r="BB1257"/>
      <c r="BC1257"/>
      <c r="BD1257"/>
      <c r="BE1257"/>
      <c r="BF1257"/>
    </row>
    <row r="1258" spans="38:58">
      <c r="AZ1258"/>
      <c r="BA1258"/>
      <c r="BB1258"/>
      <c r="BC1258"/>
      <c r="BD1258"/>
      <c r="BE1258"/>
      <c r="BF1258"/>
    </row>
    <row r="1259" spans="38:58">
      <c r="AZ1259"/>
      <c r="BA1259"/>
      <c r="BB1259"/>
      <c r="BC1259"/>
      <c r="BD1259"/>
      <c r="BE1259"/>
      <c r="BF1259"/>
    </row>
    <row r="1260" spans="38:58">
      <c r="AZ1260"/>
      <c r="BA1260"/>
      <c r="BB1260"/>
      <c r="BC1260"/>
      <c r="BD1260"/>
      <c r="BE1260"/>
      <c r="BF1260"/>
    </row>
    <row r="1261" spans="38:58">
      <c r="AZ1261"/>
      <c r="BA1261"/>
      <c r="BB1261"/>
      <c r="BC1261"/>
      <c r="BD1261"/>
      <c r="BE1261"/>
      <c r="BF1261"/>
    </row>
    <row r="1262" spans="38:58">
      <c r="AZ1262"/>
      <c r="BA1262"/>
      <c r="BB1262"/>
      <c r="BC1262"/>
      <c r="BD1262"/>
      <c r="BE1262"/>
      <c r="BF1262"/>
    </row>
    <row r="1263" spans="38:58">
      <c r="AL1263" s="2"/>
      <c r="AZ1263"/>
      <c r="BA1263"/>
      <c r="BB1263"/>
      <c r="BC1263"/>
      <c r="BD1263"/>
      <c r="BE1263"/>
      <c r="BF1263"/>
    </row>
    <row r="1264" spans="38:58">
      <c r="AZ1264"/>
      <c r="BA1264"/>
      <c r="BB1264"/>
      <c r="BC1264"/>
      <c r="BD1264"/>
      <c r="BE1264"/>
      <c r="BF1264"/>
    </row>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spans="39:58">
      <c r="AZ1281"/>
      <c r="BA1281"/>
      <c r="BB1281"/>
      <c r="BC1281"/>
      <c r="BD1281"/>
      <c r="BE1281"/>
      <c r="BF1281"/>
    </row>
    <row r="1282" spans="39:58">
      <c r="AZ1282"/>
      <c r="BA1282"/>
      <c r="BB1282"/>
      <c r="BC1282"/>
      <c r="BD1282"/>
      <c r="BE1282"/>
      <c r="BF1282"/>
    </row>
    <row r="1283" spans="39:58">
      <c r="AZ1283"/>
      <c r="BA1283"/>
      <c r="BB1283"/>
      <c r="BC1283"/>
      <c r="BD1283"/>
      <c r="BE1283"/>
      <c r="BF1283"/>
    </row>
    <row r="1284" spans="39:58">
      <c r="AZ1284"/>
      <c r="BA1284"/>
      <c r="BB1284"/>
      <c r="BC1284"/>
      <c r="BD1284"/>
      <c r="BE1284"/>
      <c r="BF1284"/>
    </row>
    <row r="1285" spans="39:58">
      <c r="AZ1285"/>
      <c r="BA1285"/>
      <c r="BB1285"/>
      <c r="BC1285"/>
      <c r="BD1285"/>
      <c r="BE1285"/>
      <c r="BF1285"/>
    </row>
    <row r="1286" spans="39:58">
      <c r="AZ1286"/>
      <c r="BA1286"/>
      <c r="BB1286"/>
      <c r="BC1286"/>
      <c r="BD1286"/>
      <c r="BE1286"/>
      <c r="BF1286"/>
    </row>
    <row r="1287" spans="39:58">
      <c r="AZ1287"/>
      <c r="BA1287"/>
      <c r="BB1287"/>
      <c r="BC1287"/>
      <c r="BD1287"/>
      <c r="BE1287"/>
      <c r="BF1287"/>
    </row>
    <row r="1288" spans="39:58">
      <c r="AS1288" s="19"/>
      <c r="AT1288" s="19"/>
      <c r="AZ1288"/>
      <c r="BA1288"/>
      <c r="BB1288"/>
      <c r="BC1288"/>
      <c r="BD1288"/>
      <c r="BE1288"/>
      <c r="BF1288"/>
    </row>
    <row r="1289" spans="39:58">
      <c r="AS1289" s="19"/>
      <c r="AT1289" s="19"/>
      <c r="AZ1289"/>
      <c r="BA1289"/>
      <c r="BB1289"/>
      <c r="BC1289"/>
      <c r="BD1289"/>
      <c r="BE1289"/>
      <c r="BF1289"/>
    </row>
    <row r="1290" spans="39:58">
      <c r="AS1290" s="19"/>
      <c r="AT1290" s="19"/>
      <c r="AZ1290"/>
      <c r="BA1290"/>
      <c r="BB1290"/>
      <c r="BC1290"/>
      <c r="BD1290"/>
      <c r="BE1290"/>
      <c r="BF1290"/>
    </row>
    <row r="1291" spans="39:58">
      <c r="AS1291" s="19"/>
      <c r="AT1291" s="19"/>
      <c r="AZ1291"/>
      <c r="BA1291"/>
      <c r="BB1291"/>
      <c r="BC1291"/>
      <c r="BD1291"/>
      <c r="BE1291"/>
      <c r="BF1291"/>
    </row>
    <row r="1292" spans="39:58">
      <c r="AS1292" s="19"/>
      <c r="AT1292" s="19"/>
      <c r="AZ1292"/>
      <c r="BA1292"/>
      <c r="BB1292"/>
      <c r="BC1292"/>
      <c r="BD1292"/>
      <c r="BE1292"/>
      <c r="BF1292"/>
    </row>
    <row r="1293" spans="39:58">
      <c r="AS1293" s="19"/>
      <c r="AT1293" s="19"/>
      <c r="AZ1293"/>
      <c r="BA1293"/>
      <c r="BB1293"/>
      <c r="BC1293"/>
      <c r="BD1293"/>
      <c r="BE1293"/>
      <c r="BF1293"/>
    </row>
    <row r="1294" spans="39:58">
      <c r="AM1294" s="19"/>
      <c r="AN1294" s="19"/>
      <c r="AO1294" s="19"/>
      <c r="AP1294" s="19"/>
      <c r="AQ1294" s="19"/>
      <c r="AR1294" s="19"/>
      <c r="AS1294" s="19"/>
      <c r="AT1294" s="19"/>
      <c r="AZ1294"/>
      <c r="BA1294"/>
      <c r="BB1294"/>
      <c r="BC1294"/>
      <c r="BD1294"/>
      <c r="BE1294"/>
      <c r="BF1294"/>
    </row>
    <row r="1295" spans="39:58">
      <c r="AM1295" s="19"/>
      <c r="AN1295" s="19"/>
      <c r="AO1295" s="19"/>
      <c r="AP1295" s="19"/>
      <c r="AQ1295" s="19"/>
      <c r="AR1295" s="19"/>
      <c r="AS1295" s="19"/>
      <c r="AT1295" s="19"/>
      <c r="AZ1295"/>
      <c r="BA1295"/>
      <c r="BB1295"/>
      <c r="BC1295"/>
      <c r="BD1295"/>
      <c r="BE1295"/>
      <c r="BF1295"/>
    </row>
    <row r="1296" spans="39:58">
      <c r="AM1296" s="19"/>
      <c r="AN1296" s="19"/>
      <c r="AO1296" s="19"/>
      <c r="AP1296" s="19"/>
      <c r="AQ1296" s="19"/>
      <c r="AR1296" s="19"/>
      <c r="AS1296" s="19"/>
      <c r="AT1296" s="19"/>
      <c r="AZ1296"/>
      <c r="BA1296"/>
      <c r="BB1296"/>
      <c r="BC1296"/>
      <c r="BD1296"/>
      <c r="BE1296"/>
      <c r="BF1296"/>
    </row>
    <row r="1297" spans="39:58">
      <c r="AM1297" s="19"/>
      <c r="AN1297" s="19"/>
      <c r="AO1297" s="19"/>
      <c r="AP1297" s="19"/>
      <c r="AQ1297" s="19"/>
      <c r="AR1297" s="19"/>
      <c r="AS1297" s="19"/>
      <c r="AT1297" s="19"/>
      <c r="AZ1297"/>
      <c r="BA1297"/>
      <c r="BB1297"/>
      <c r="BC1297"/>
      <c r="BD1297"/>
      <c r="BE1297"/>
      <c r="BF1297"/>
    </row>
    <row r="1298" spans="39:58">
      <c r="AM1298" s="19"/>
      <c r="AN1298" s="19"/>
      <c r="AO1298" s="19"/>
      <c r="AP1298" s="19"/>
      <c r="AQ1298" s="19"/>
      <c r="AR1298" s="19"/>
      <c r="AS1298" s="19"/>
      <c r="AT1298" s="19"/>
      <c r="AZ1298"/>
      <c r="BA1298"/>
      <c r="BB1298"/>
      <c r="BC1298"/>
      <c r="BD1298"/>
      <c r="BE1298"/>
      <c r="BF1298"/>
    </row>
    <row r="1299" spans="39:58">
      <c r="AM1299" s="19"/>
      <c r="AN1299" s="19"/>
      <c r="AO1299" s="19"/>
      <c r="AP1299" s="19"/>
      <c r="AQ1299" s="19"/>
      <c r="AR1299" s="19"/>
      <c r="AS1299" s="19"/>
      <c r="AT1299" s="19"/>
      <c r="AZ1299"/>
      <c r="BA1299"/>
      <c r="BB1299"/>
      <c r="BC1299"/>
      <c r="BD1299"/>
      <c r="BE1299"/>
      <c r="BF1299"/>
    </row>
    <row r="1300" spans="39:58">
      <c r="AM1300" s="19"/>
      <c r="AN1300" s="19"/>
      <c r="AO1300" s="19"/>
      <c r="AP1300" s="19"/>
      <c r="AQ1300" s="19"/>
      <c r="AR1300" s="19"/>
      <c r="AS1300" s="19"/>
      <c r="AT1300" s="19"/>
      <c r="AZ1300"/>
      <c r="BA1300"/>
      <c r="BB1300"/>
      <c r="BC1300"/>
      <c r="BD1300"/>
      <c r="BE1300"/>
      <c r="BF1300"/>
    </row>
    <row r="1301" spans="39:58">
      <c r="AM1301" s="19"/>
      <c r="AN1301" s="19"/>
      <c r="AO1301" s="19"/>
      <c r="AP1301" s="19"/>
      <c r="AQ1301" s="19"/>
      <c r="AR1301" s="19"/>
      <c r="AS1301" s="19"/>
      <c r="AT1301" s="19"/>
      <c r="AZ1301"/>
      <c r="BA1301"/>
      <c r="BB1301"/>
      <c r="BC1301"/>
      <c r="BD1301"/>
      <c r="BE1301"/>
      <c r="BF1301"/>
    </row>
    <row r="1302" spans="39:58">
      <c r="AM1302" s="19"/>
      <c r="AN1302" s="19"/>
      <c r="AO1302" s="19"/>
      <c r="AP1302" s="19"/>
      <c r="AQ1302" s="19"/>
      <c r="AR1302" s="19"/>
      <c r="AS1302" s="19"/>
      <c r="AT1302" s="19"/>
      <c r="AZ1302"/>
      <c r="BA1302"/>
      <c r="BB1302"/>
      <c r="BC1302"/>
      <c r="BD1302"/>
      <c r="BE1302"/>
      <c r="BF1302"/>
    </row>
    <row r="1303" spans="39:58">
      <c r="AM1303" s="19"/>
      <c r="AN1303" s="19"/>
      <c r="AO1303" s="19"/>
      <c r="AP1303" s="19"/>
      <c r="AQ1303" s="19"/>
      <c r="AR1303" s="19"/>
      <c r="AS1303" s="19"/>
      <c r="AT1303" s="19"/>
      <c r="AZ1303"/>
      <c r="BA1303"/>
      <c r="BB1303"/>
      <c r="BC1303"/>
      <c r="BD1303"/>
      <c r="BE1303"/>
      <c r="BF1303"/>
    </row>
    <row r="1304" spans="39:58">
      <c r="AM1304" s="19"/>
      <c r="AN1304" s="19"/>
      <c r="AO1304" s="19"/>
      <c r="AP1304" s="19"/>
      <c r="AQ1304" s="19"/>
      <c r="AR1304" s="19"/>
      <c r="AS1304" s="19"/>
      <c r="AT1304" s="19"/>
      <c r="AZ1304"/>
      <c r="BA1304"/>
      <c r="BB1304"/>
      <c r="BC1304"/>
      <c r="BD1304"/>
      <c r="BE1304"/>
      <c r="BF1304"/>
    </row>
    <row r="1305" spans="39:58">
      <c r="AM1305" s="19"/>
      <c r="AN1305" s="19"/>
      <c r="AO1305" s="19"/>
      <c r="AP1305" s="19"/>
      <c r="AQ1305" s="19"/>
      <c r="AR1305" s="19"/>
      <c r="AS1305" s="19"/>
      <c r="AT1305" s="19"/>
      <c r="AZ1305"/>
      <c r="BA1305"/>
      <c r="BB1305"/>
      <c r="BC1305"/>
      <c r="BD1305"/>
      <c r="BE1305"/>
      <c r="BF1305"/>
    </row>
    <row r="1306" spans="39:58">
      <c r="AM1306" s="19"/>
      <c r="AN1306" s="19"/>
      <c r="AO1306" s="19"/>
      <c r="AP1306" s="19"/>
      <c r="AQ1306" s="19"/>
      <c r="AR1306" s="19"/>
      <c r="AS1306" s="19"/>
      <c r="AT1306" s="19"/>
      <c r="AZ1306"/>
      <c r="BA1306"/>
      <c r="BB1306"/>
      <c r="BC1306"/>
      <c r="BD1306"/>
      <c r="BE1306"/>
      <c r="BF1306"/>
    </row>
    <row r="1307" spans="39:58">
      <c r="AM1307" s="19"/>
      <c r="AN1307" s="19"/>
      <c r="AO1307" s="19"/>
      <c r="AP1307" s="19"/>
      <c r="AQ1307" s="19"/>
      <c r="AR1307" s="19"/>
      <c r="AS1307" s="19"/>
      <c r="AT1307" s="19"/>
      <c r="AZ1307"/>
      <c r="BA1307"/>
      <c r="BB1307"/>
      <c r="BC1307"/>
      <c r="BD1307"/>
      <c r="BE1307"/>
      <c r="BF1307"/>
    </row>
    <row r="1308" spans="39:58">
      <c r="AM1308" s="19"/>
      <c r="AN1308" s="19"/>
      <c r="AO1308" s="19"/>
      <c r="AP1308" s="19"/>
      <c r="AQ1308" s="19"/>
      <c r="AR1308" s="19"/>
      <c r="AS1308" s="19"/>
      <c r="AT1308" s="19"/>
      <c r="AZ1308"/>
      <c r="BA1308"/>
      <c r="BB1308"/>
      <c r="BC1308"/>
      <c r="BD1308"/>
      <c r="BE1308"/>
      <c r="BF1308"/>
    </row>
    <row r="1309" spans="39:58">
      <c r="AM1309" s="19"/>
      <c r="AN1309" s="19"/>
      <c r="AO1309" s="19"/>
      <c r="AP1309" s="19"/>
      <c r="AQ1309" s="19"/>
      <c r="AR1309" s="19"/>
      <c r="AS1309" s="19"/>
      <c r="AT1309" s="19"/>
      <c r="AZ1309"/>
      <c r="BA1309"/>
      <c r="BB1309"/>
      <c r="BC1309"/>
      <c r="BD1309"/>
      <c r="BE1309"/>
      <c r="BF1309"/>
    </row>
    <row r="1310" spans="39:58">
      <c r="AM1310" s="19"/>
      <c r="AN1310" s="19"/>
      <c r="AO1310" s="19"/>
      <c r="AP1310" s="19"/>
      <c r="AQ1310" s="19"/>
      <c r="AR1310" s="19"/>
      <c r="AS1310" s="19"/>
      <c r="AT1310" s="19"/>
      <c r="AZ1310"/>
      <c r="BA1310"/>
      <c r="BB1310"/>
      <c r="BC1310"/>
      <c r="BD1310"/>
      <c r="BE1310"/>
      <c r="BF1310"/>
    </row>
    <row r="1311" spans="39:58">
      <c r="AM1311" s="19"/>
      <c r="AN1311" s="19"/>
      <c r="AO1311" s="19"/>
      <c r="AP1311" s="19"/>
      <c r="AQ1311" s="19"/>
      <c r="AR1311" s="19"/>
      <c r="AS1311" s="19"/>
      <c r="AT1311" s="19"/>
      <c r="AZ1311"/>
      <c r="BA1311"/>
      <c r="BB1311"/>
      <c r="BC1311"/>
      <c r="BD1311"/>
      <c r="BE1311"/>
      <c r="BF1311"/>
    </row>
    <row r="1312" spans="39:58">
      <c r="AM1312" s="19"/>
      <c r="AN1312" s="19"/>
      <c r="AO1312" s="19"/>
      <c r="AP1312" s="19"/>
      <c r="AQ1312" s="19"/>
      <c r="AR1312" s="19"/>
      <c r="AS1312" s="19"/>
      <c r="AT1312" s="19"/>
      <c r="AZ1312"/>
      <c r="BA1312"/>
      <c r="BB1312"/>
      <c r="BC1312"/>
      <c r="BD1312"/>
      <c r="BE1312"/>
      <c r="BF1312"/>
    </row>
    <row r="1313" spans="39:58">
      <c r="AM1313" s="19"/>
      <c r="AN1313" s="19"/>
      <c r="AO1313" s="19"/>
      <c r="AP1313" s="19"/>
      <c r="AQ1313" s="19"/>
      <c r="AR1313" s="19"/>
      <c r="AS1313" s="19"/>
      <c r="AT1313" s="19"/>
      <c r="AZ1313"/>
      <c r="BA1313"/>
      <c r="BB1313"/>
      <c r="BC1313"/>
      <c r="BD1313"/>
      <c r="BE1313"/>
      <c r="BF1313"/>
    </row>
    <row r="1314" spans="39:58">
      <c r="AM1314" s="19"/>
      <c r="AN1314" s="19"/>
      <c r="AO1314" s="19"/>
      <c r="AP1314" s="19"/>
      <c r="AQ1314" s="19"/>
      <c r="AR1314" s="19"/>
      <c r="AS1314" s="19"/>
      <c r="AT1314" s="19"/>
      <c r="AZ1314"/>
      <c r="BA1314"/>
      <c r="BB1314"/>
      <c r="BC1314"/>
      <c r="BD1314"/>
      <c r="BE1314"/>
      <c r="BF1314"/>
    </row>
    <row r="1315" spans="39:58">
      <c r="AM1315" s="19"/>
      <c r="AN1315" s="19"/>
      <c r="AO1315" s="19"/>
      <c r="AP1315" s="19"/>
      <c r="AQ1315" s="19"/>
      <c r="AR1315" s="19"/>
      <c r="AS1315" s="19"/>
      <c r="AT1315" s="19"/>
      <c r="AZ1315"/>
      <c r="BA1315"/>
      <c r="BB1315"/>
      <c r="BC1315"/>
      <c r="BD1315"/>
      <c r="BE1315"/>
      <c r="BF1315"/>
    </row>
    <row r="1316" spans="39:58">
      <c r="AM1316" s="19"/>
      <c r="AN1316" s="19"/>
      <c r="AO1316" s="19"/>
      <c r="AP1316" s="19"/>
      <c r="AQ1316" s="19"/>
      <c r="AR1316" s="19"/>
      <c r="AS1316" s="19"/>
      <c r="AT1316" s="19"/>
      <c r="AZ1316"/>
      <c r="BA1316"/>
      <c r="BB1316"/>
      <c r="BC1316"/>
      <c r="BD1316"/>
      <c r="BE1316"/>
      <c r="BF1316"/>
    </row>
    <row r="1317" spans="39:58">
      <c r="AM1317" s="19"/>
      <c r="AN1317" s="19"/>
      <c r="AO1317" s="19"/>
      <c r="AP1317" s="19"/>
      <c r="AQ1317" s="19"/>
      <c r="AR1317" s="19"/>
      <c r="AS1317" s="19"/>
      <c r="AT1317" s="19"/>
      <c r="AZ1317"/>
      <c r="BA1317"/>
      <c r="BB1317"/>
      <c r="BC1317"/>
      <c r="BD1317"/>
      <c r="BE1317"/>
      <c r="BF1317"/>
    </row>
    <row r="1318" spans="39:58">
      <c r="AM1318" s="19"/>
      <c r="AN1318" s="19"/>
      <c r="AO1318" s="19"/>
      <c r="AP1318" s="19"/>
      <c r="AQ1318" s="19"/>
      <c r="AR1318" s="19"/>
      <c r="AS1318" s="19"/>
      <c r="AT1318" s="19"/>
      <c r="AZ1318"/>
      <c r="BA1318"/>
      <c r="BB1318"/>
      <c r="BC1318"/>
      <c r="BD1318"/>
      <c r="BE1318"/>
      <c r="BF1318"/>
    </row>
    <row r="1319" spans="39:58">
      <c r="AM1319" s="19"/>
      <c r="AN1319" s="19"/>
      <c r="AO1319" s="19"/>
      <c r="AP1319" s="19"/>
      <c r="AQ1319" s="19"/>
      <c r="AR1319" s="19"/>
      <c r="AS1319" s="19"/>
      <c r="AT1319" s="19"/>
      <c r="AZ1319"/>
      <c r="BA1319"/>
      <c r="BB1319"/>
      <c r="BC1319"/>
      <c r="BD1319"/>
      <c r="BE1319"/>
      <c r="BF1319"/>
    </row>
    <row r="1320" spans="39:58">
      <c r="AM1320" s="19"/>
      <c r="AN1320" s="19"/>
      <c r="AO1320" s="19"/>
      <c r="AP1320" s="19"/>
      <c r="AQ1320" s="19"/>
      <c r="AR1320" s="19"/>
      <c r="AS1320" s="19"/>
      <c r="AT1320" s="19"/>
      <c r="AZ1320"/>
      <c r="BA1320"/>
      <c r="BB1320"/>
      <c r="BC1320"/>
      <c r="BD1320"/>
      <c r="BE1320"/>
      <c r="BF1320"/>
    </row>
    <row r="1321" spans="39:58">
      <c r="AM1321" s="19"/>
      <c r="AN1321" s="19"/>
      <c r="AO1321" s="19"/>
      <c r="AP1321" s="19"/>
      <c r="AQ1321" s="19"/>
      <c r="AR1321" s="19"/>
      <c r="AS1321" s="19"/>
      <c r="AT1321" s="19"/>
      <c r="AZ1321"/>
      <c r="BA1321"/>
      <c r="BB1321"/>
      <c r="BC1321"/>
      <c r="BD1321"/>
      <c r="BE1321"/>
      <c r="BF1321"/>
    </row>
    <row r="1322" spans="39:58">
      <c r="AM1322" s="19"/>
      <c r="AN1322" s="19"/>
      <c r="AO1322" s="19"/>
      <c r="AP1322" s="19"/>
      <c r="AQ1322" s="19"/>
      <c r="AR1322" s="19"/>
      <c r="AS1322" s="19"/>
      <c r="AT1322" s="19"/>
      <c r="AZ1322"/>
      <c r="BA1322"/>
      <c r="BB1322"/>
      <c r="BC1322"/>
      <c r="BD1322"/>
      <c r="BE1322"/>
      <c r="BF1322"/>
    </row>
    <row r="1323" spans="39:58">
      <c r="AM1323" s="19"/>
      <c r="AN1323" s="19"/>
      <c r="AO1323" s="19"/>
      <c r="AP1323" s="19"/>
      <c r="AQ1323" s="19"/>
      <c r="AR1323" s="19"/>
      <c r="AS1323" s="19"/>
      <c r="AT1323" s="19"/>
      <c r="AZ1323"/>
      <c r="BA1323"/>
      <c r="BB1323"/>
      <c r="BC1323"/>
      <c r="BD1323"/>
      <c r="BE1323"/>
      <c r="BF1323"/>
    </row>
    <row r="1324" spans="39:58">
      <c r="AM1324" s="19"/>
      <c r="AN1324" s="19"/>
      <c r="AO1324" s="19"/>
      <c r="AP1324" s="19"/>
      <c r="AQ1324" s="19"/>
      <c r="AR1324" s="19"/>
      <c r="AS1324" s="19"/>
      <c r="AT1324" s="19"/>
      <c r="AZ1324"/>
      <c r="BA1324"/>
      <c r="BB1324"/>
      <c r="BC1324"/>
      <c r="BD1324"/>
      <c r="BE1324"/>
      <c r="BF1324"/>
    </row>
    <row r="1325" spans="39:58">
      <c r="AM1325" s="19"/>
      <c r="AN1325" s="19"/>
      <c r="AO1325" s="19"/>
      <c r="AP1325" s="19"/>
      <c r="AQ1325" s="19"/>
      <c r="AR1325" s="19"/>
      <c r="AZ1325"/>
      <c r="BA1325"/>
      <c r="BB1325"/>
      <c r="BC1325"/>
      <c r="BD1325"/>
      <c r="BE1325"/>
      <c r="BF1325"/>
    </row>
    <row r="1326" spans="39:58">
      <c r="AM1326" s="19"/>
      <c r="AN1326" s="19"/>
      <c r="AO1326" s="19"/>
      <c r="AP1326" s="19"/>
      <c r="AQ1326" s="19"/>
      <c r="AR1326" s="19"/>
      <c r="AZ1326"/>
      <c r="BA1326"/>
      <c r="BB1326"/>
      <c r="BC1326"/>
      <c r="BD1326"/>
      <c r="BE1326"/>
      <c r="BF1326"/>
    </row>
    <row r="1327" spans="39:58">
      <c r="AM1327" s="19"/>
      <c r="AN1327" s="19"/>
      <c r="AO1327" s="19"/>
      <c r="AP1327" s="19"/>
      <c r="AQ1327" s="19"/>
      <c r="AR1327" s="19"/>
      <c r="AZ1327"/>
      <c r="BA1327"/>
      <c r="BB1327"/>
      <c r="BC1327"/>
      <c r="BD1327"/>
      <c r="BE1327"/>
      <c r="BF1327"/>
    </row>
    <row r="1328" spans="39:58">
      <c r="AM1328" s="19"/>
      <c r="AN1328" s="19"/>
      <c r="AO1328" s="19"/>
      <c r="AP1328" s="19"/>
      <c r="AQ1328" s="19"/>
      <c r="AR1328" s="19"/>
      <c r="AZ1328"/>
      <c r="BA1328"/>
      <c r="BB1328"/>
      <c r="BC1328"/>
      <c r="BD1328"/>
      <c r="BE1328"/>
      <c r="BF1328"/>
    </row>
    <row r="1329" spans="39:58">
      <c r="AM1329" s="19"/>
      <c r="AN1329" s="19"/>
      <c r="AO1329" s="19"/>
      <c r="AP1329" s="19"/>
      <c r="AQ1329" s="19"/>
      <c r="AR1329" s="19"/>
      <c r="AZ1329"/>
      <c r="BA1329"/>
      <c r="BB1329"/>
      <c r="BC1329"/>
      <c r="BD1329"/>
      <c r="BE1329"/>
      <c r="BF1329"/>
    </row>
    <row r="1330" spans="39:58">
      <c r="AM1330" s="19"/>
      <c r="AN1330" s="19"/>
      <c r="AO1330" s="19"/>
      <c r="AP1330" s="19"/>
      <c r="AQ1330" s="19"/>
      <c r="AR1330" s="19"/>
      <c r="AZ1330"/>
      <c r="BA1330"/>
      <c r="BB1330"/>
      <c r="BC1330"/>
      <c r="BD1330"/>
      <c r="BE1330"/>
      <c r="BF1330"/>
    </row>
    <row r="1331" spans="39:58">
      <c r="AR1331" s="25"/>
    </row>
    <row r="1332" spans="39:58">
      <c r="AN1332" s="5"/>
    </row>
    <row r="1333" spans="39:58">
      <c r="AN1333" s="5"/>
    </row>
    <row r="1334" spans="39:58">
      <c r="AN1334" s="5"/>
    </row>
    <row r="1335" spans="39:58">
      <c r="AN1335" s="5"/>
    </row>
    <row r="1336" spans="39:58">
      <c r="AN1336" s="5"/>
    </row>
    <row r="1337" spans="39:58">
      <c r="AN1337" s="5"/>
    </row>
    <row r="1338" spans="39:58">
      <c r="AN1338" s="5"/>
    </row>
  </sheetData>
  <mergeCells count="105">
    <mergeCell ref="AS1212:AT1213"/>
    <mergeCell ref="AS1221:AT1222"/>
    <mergeCell ref="AS1230:AT1231"/>
    <mergeCell ref="AS1158:AT1159"/>
    <mergeCell ref="AS1167:AT1168"/>
    <mergeCell ref="AS1176:AT1177"/>
    <mergeCell ref="AS1185:AT1186"/>
    <mergeCell ref="AS1194:AT1195"/>
    <mergeCell ref="AS1203:AT1204"/>
    <mergeCell ref="AS1104:AT1105"/>
    <mergeCell ref="AS1113:AT1114"/>
    <mergeCell ref="AS1122:AT1123"/>
    <mergeCell ref="AS1131:AT1132"/>
    <mergeCell ref="AS1140:AT1141"/>
    <mergeCell ref="AS1149:AT1150"/>
    <mergeCell ref="AS1051:AT1052"/>
    <mergeCell ref="AS1059:AT1060"/>
    <mergeCell ref="AS1068:AT1069"/>
    <mergeCell ref="AS1077:AT1078"/>
    <mergeCell ref="AS1086:AT1087"/>
    <mergeCell ref="AS1095:AT1096"/>
    <mergeCell ref="AS1000:AT1001"/>
    <mergeCell ref="AS1009:AT1010"/>
    <mergeCell ref="AS1018:AT1019"/>
    <mergeCell ref="AS1027:AT1028"/>
    <mergeCell ref="AS1036:AT1037"/>
    <mergeCell ref="AS1045:AT1046"/>
    <mergeCell ref="BI945:BI946"/>
    <mergeCell ref="AS962:AT963"/>
    <mergeCell ref="AS972:AT973"/>
    <mergeCell ref="AV980:AW980"/>
    <mergeCell ref="AS982:AT983"/>
    <mergeCell ref="AS991:AT992"/>
    <mergeCell ref="BI849:BI850"/>
    <mergeCell ref="BI865:BI866"/>
    <mergeCell ref="BI881:BI882"/>
    <mergeCell ref="BI897:BI898"/>
    <mergeCell ref="BI913:BI914"/>
    <mergeCell ref="BI929:BI930"/>
    <mergeCell ref="BI753:BI754"/>
    <mergeCell ref="BI769:BI770"/>
    <mergeCell ref="BI785:BI786"/>
    <mergeCell ref="BI801:BI802"/>
    <mergeCell ref="BI817:BI818"/>
    <mergeCell ref="BI833:BI834"/>
    <mergeCell ref="BI657:BI658"/>
    <mergeCell ref="BI673:BI674"/>
    <mergeCell ref="BI689:BI690"/>
    <mergeCell ref="BI705:BI706"/>
    <mergeCell ref="BI721:BI722"/>
    <mergeCell ref="BI737:BI738"/>
    <mergeCell ref="BI561:BI562"/>
    <mergeCell ref="BI577:BI578"/>
    <mergeCell ref="BI593:BI594"/>
    <mergeCell ref="BI609:BI610"/>
    <mergeCell ref="BI625:BI626"/>
    <mergeCell ref="BI641:BI642"/>
    <mergeCell ref="BI465:BI466"/>
    <mergeCell ref="BI481:BI482"/>
    <mergeCell ref="BI497:BI498"/>
    <mergeCell ref="BI513:BI514"/>
    <mergeCell ref="BI529:BI530"/>
    <mergeCell ref="BI545:BI546"/>
    <mergeCell ref="BI369:BI370"/>
    <mergeCell ref="BI385:BI386"/>
    <mergeCell ref="BI401:BI402"/>
    <mergeCell ref="BI417:BI418"/>
    <mergeCell ref="BI433:BI434"/>
    <mergeCell ref="BI449:BI450"/>
    <mergeCell ref="AS297:AV297"/>
    <mergeCell ref="BI305:BI306"/>
    <mergeCell ref="AS306:AV306"/>
    <mergeCell ref="BI321:BI322"/>
    <mergeCell ref="BI337:BI338"/>
    <mergeCell ref="BI353:BI354"/>
    <mergeCell ref="BI257:BI258"/>
    <mergeCell ref="BI273:BI274"/>
    <mergeCell ref="AS282:AX282"/>
    <mergeCell ref="AY282:AY283"/>
    <mergeCell ref="AR288:AR289"/>
    <mergeCell ref="BI289:BI290"/>
    <mergeCell ref="BI161:BI162"/>
    <mergeCell ref="BI177:BI178"/>
    <mergeCell ref="BI193:BI194"/>
    <mergeCell ref="BI209:BI210"/>
    <mergeCell ref="BI225:BI226"/>
    <mergeCell ref="BI241:BI242"/>
    <mergeCell ref="BI65:BI66"/>
    <mergeCell ref="BI81:BI82"/>
    <mergeCell ref="BI97:BI98"/>
    <mergeCell ref="BI113:BI114"/>
    <mergeCell ref="BI129:BI130"/>
    <mergeCell ref="BI145:BI146"/>
    <mergeCell ref="AR13:AS13"/>
    <mergeCell ref="AR14:AS14"/>
    <mergeCell ref="AR15:AS15"/>
    <mergeCell ref="BI19:BI20"/>
    <mergeCell ref="BI33:BI34"/>
    <mergeCell ref="BI49:BI50"/>
    <mergeCell ref="BI3:BI4"/>
    <mergeCell ref="AT8:AT9"/>
    <mergeCell ref="AR9:AS9"/>
    <mergeCell ref="AR10:AS10"/>
    <mergeCell ref="AR11:AS11"/>
    <mergeCell ref="AR12:AS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BE397-5DC8-4A51-B089-0BB351D0CEE1}">
  <dimension ref="A1:CA545"/>
  <sheetViews>
    <sheetView workbookViewId="0">
      <selection activeCell="C10" sqref="C10"/>
    </sheetView>
  </sheetViews>
  <sheetFormatPr defaultRowHeight="14.4"/>
  <cols>
    <col min="1" max="1" width="3.44140625" bestFit="1" customWidth="1"/>
    <col min="2" max="2" width="21.5546875" bestFit="1" customWidth="1"/>
    <col min="3" max="3" width="17.44140625" bestFit="1" customWidth="1"/>
    <col min="42" max="42" width="9" bestFit="1" customWidth="1"/>
    <col min="43" max="43" width="18.77734375" bestFit="1" customWidth="1"/>
    <col min="47" max="47" width="4.88671875" bestFit="1" customWidth="1"/>
  </cols>
  <sheetData>
    <row r="1" spans="1:79">
      <c r="A1" s="51" t="s">
        <v>288</v>
      </c>
      <c r="B1" s="51" t="s">
        <v>0</v>
      </c>
      <c r="C1" s="51" t="s">
        <v>64</v>
      </c>
      <c r="D1" s="51" t="s">
        <v>43</v>
      </c>
      <c r="E1" s="51" t="s">
        <v>44</v>
      </c>
      <c r="F1" s="51" t="s">
        <v>45</v>
      </c>
      <c r="G1" s="51" t="s">
        <v>46</v>
      </c>
      <c r="H1" s="51" t="s">
        <v>47</v>
      </c>
      <c r="I1" s="51" t="s">
        <v>48</v>
      </c>
      <c r="J1" s="51" t="s">
        <v>49</v>
      </c>
      <c r="K1" s="51" t="s">
        <v>50</v>
      </c>
      <c r="L1" s="51" t="s">
        <v>51</v>
      </c>
      <c r="M1" s="51" t="s">
        <v>52</v>
      </c>
      <c r="N1" s="51" t="s">
        <v>53</v>
      </c>
      <c r="O1" s="51" t="s">
        <v>54</v>
      </c>
      <c r="P1" s="51" t="s">
        <v>55</v>
      </c>
      <c r="Q1" s="51" t="s">
        <v>56</v>
      </c>
      <c r="R1" s="51" t="s">
        <v>57</v>
      </c>
      <c r="S1" s="51" t="s">
        <v>58</v>
      </c>
      <c r="T1" s="51" t="s">
        <v>59</v>
      </c>
      <c r="U1" s="51" t="s">
        <v>60</v>
      </c>
      <c r="V1" s="51" t="s">
        <v>61</v>
      </c>
      <c r="W1" s="51" t="s">
        <v>62</v>
      </c>
      <c r="X1" s="51" t="s">
        <v>63</v>
      </c>
      <c r="Y1" s="51" t="s">
        <v>330</v>
      </c>
      <c r="Z1" s="51" t="s">
        <v>331</v>
      </c>
      <c r="AA1" s="51" t="s">
        <v>332</v>
      </c>
      <c r="AB1" s="51" t="s">
        <v>333</v>
      </c>
      <c r="AC1" s="51" t="s">
        <v>334</v>
      </c>
      <c r="AD1" s="51" t="s">
        <v>335</v>
      </c>
      <c r="AE1" s="51" t="s">
        <v>336</v>
      </c>
      <c r="AF1" s="51" t="s">
        <v>337</v>
      </c>
      <c r="AG1" s="51" t="s">
        <v>338</v>
      </c>
      <c r="AH1" s="51" t="s">
        <v>339</v>
      </c>
      <c r="AI1" s="51" t="s">
        <v>340</v>
      </c>
      <c r="AJ1" s="51" t="s">
        <v>341</v>
      </c>
      <c r="AK1" s="51" t="s">
        <v>342</v>
      </c>
      <c r="AL1" s="51" t="s">
        <v>343</v>
      </c>
      <c r="AM1" s="51" t="s">
        <v>390</v>
      </c>
      <c r="AO1" s="77" t="s">
        <v>436</v>
      </c>
      <c r="AP1" s="77"/>
      <c r="AQ1" s="77"/>
      <c r="AR1" s="77"/>
      <c r="AS1" s="77"/>
      <c r="AT1" s="77"/>
      <c r="AU1" s="77"/>
      <c r="AV1" s="77"/>
      <c r="AW1" s="77"/>
      <c r="AX1" s="77"/>
      <c r="AY1" s="77"/>
      <c r="AZ1" s="77"/>
      <c r="BA1" s="77"/>
      <c r="BB1" s="77"/>
      <c r="BC1" s="77"/>
      <c r="BD1" s="77"/>
      <c r="BE1" s="77"/>
      <c r="BF1" s="77"/>
      <c r="BG1" s="77"/>
      <c r="BH1" s="77"/>
      <c r="BI1" s="77"/>
      <c r="BJ1" s="77"/>
      <c r="BK1" s="77"/>
      <c r="BL1" s="77"/>
      <c r="BM1" s="77"/>
      <c r="BN1" s="77"/>
      <c r="BO1" s="77"/>
      <c r="BP1" s="77"/>
      <c r="BQ1" s="77"/>
      <c r="BR1" s="77"/>
      <c r="BS1" s="77"/>
      <c r="BT1" s="77"/>
      <c r="BU1" s="77"/>
      <c r="BV1" s="77"/>
      <c r="BW1" s="77"/>
      <c r="BX1" s="77"/>
      <c r="BY1" s="77"/>
      <c r="BZ1" s="77"/>
      <c r="CA1" s="77"/>
    </row>
    <row r="2" spans="1:79">
      <c r="A2" s="6">
        <f t="shared" ref="A2:A37" si="0">ROW()-1</f>
        <v>1</v>
      </c>
      <c r="B2" s="6" t="s">
        <v>256</v>
      </c>
      <c r="C2" s="6">
        <v>1</v>
      </c>
      <c r="D2" s="6" t="s">
        <v>3</v>
      </c>
      <c r="E2" s="6" t="s">
        <v>5</v>
      </c>
      <c r="F2" s="6" t="s">
        <v>3</v>
      </c>
      <c r="G2" s="6" t="s">
        <v>5</v>
      </c>
      <c r="H2" s="6" t="s">
        <v>5</v>
      </c>
      <c r="I2" s="6" t="s">
        <v>5</v>
      </c>
      <c r="J2" s="6" t="s">
        <v>5</v>
      </c>
      <c r="K2" s="6" t="s">
        <v>2</v>
      </c>
      <c r="L2" s="6" t="s">
        <v>3</v>
      </c>
      <c r="M2" s="6" t="s">
        <v>3</v>
      </c>
      <c r="N2" s="6" t="s">
        <v>3</v>
      </c>
      <c r="O2" s="6" t="s">
        <v>4</v>
      </c>
      <c r="P2" s="6" t="s">
        <v>5</v>
      </c>
      <c r="Q2" s="6" t="s">
        <v>3</v>
      </c>
      <c r="R2" s="6" t="s">
        <v>4</v>
      </c>
      <c r="S2" s="6" t="s">
        <v>5</v>
      </c>
      <c r="T2" s="6" t="s">
        <v>5</v>
      </c>
      <c r="U2" s="6" t="s">
        <v>5</v>
      </c>
      <c r="V2" s="6" t="s">
        <v>3</v>
      </c>
      <c r="W2" s="6" t="s">
        <v>4</v>
      </c>
      <c r="X2" s="6" t="s">
        <v>3</v>
      </c>
      <c r="Y2" s="6" t="s">
        <v>2</v>
      </c>
      <c r="Z2" s="6" t="s">
        <v>3</v>
      </c>
      <c r="AA2" s="6" t="s">
        <v>4</v>
      </c>
      <c r="AB2" s="6" t="s">
        <v>4</v>
      </c>
      <c r="AC2" s="6" t="s">
        <v>4</v>
      </c>
      <c r="AD2" s="6" t="s">
        <v>4</v>
      </c>
      <c r="AE2" s="6" t="s">
        <v>4</v>
      </c>
      <c r="AF2" s="6" t="s">
        <v>4</v>
      </c>
      <c r="AG2" s="6" t="s">
        <v>3</v>
      </c>
      <c r="AH2" s="6" t="s">
        <v>4</v>
      </c>
      <c r="AI2" s="6" t="s">
        <v>3</v>
      </c>
      <c r="AJ2" s="6" t="s">
        <v>4</v>
      </c>
      <c r="AK2" s="6" t="s">
        <v>4</v>
      </c>
      <c r="AL2" s="6" t="s">
        <v>4</v>
      </c>
      <c r="AM2" s="6" t="s">
        <v>3</v>
      </c>
      <c r="AO2" s="84" t="s">
        <v>497</v>
      </c>
      <c r="AP2" s="84"/>
      <c r="AQ2" s="7" t="s">
        <v>64</v>
      </c>
      <c r="AR2" s="51" t="s">
        <v>43</v>
      </c>
      <c r="AS2" s="51" t="s">
        <v>44</v>
      </c>
      <c r="AT2" s="51" t="s">
        <v>45</v>
      </c>
      <c r="AU2" s="51" t="s">
        <v>46</v>
      </c>
      <c r="AV2" s="51" t="s">
        <v>47</v>
      </c>
      <c r="AW2" s="51" t="s">
        <v>48</v>
      </c>
      <c r="AX2" s="51" t="s">
        <v>49</v>
      </c>
      <c r="AY2" s="51" t="s">
        <v>50</v>
      </c>
      <c r="AZ2" s="51" t="s">
        <v>51</v>
      </c>
      <c r="BA2" s="51" t="s">
        <v>52</v>
      </c>
      <c r="BB2" s="51" t="s">
        <v>53</v>
      </c>
      <c r="BC2" s="51" t="s">
        <v>54</v>
      </c>
      <c r="BD2" s="51" t="s">
        <v>55</v>
      </c>
      <c r="BE2" s="51" t="s">
        <v>56</v>
      </c>
      <c r="BF2" s="51" t="s">
        <v>57</v>
      </c>
      <c r="BG2" s="51" t="s">
        <v>58</v>
      </c>
      <c r="BH2" s="51" t="s">
        <v>59</v>
      </c>
      <c r="BI2" s="51" t="s">
        <v>60</v>
      </c>
      <c r="BJ2" s="51" t="s">
        <v>61</v>
      </c>
      <c r="BK2" s="51" t="s">
        <v>62</v>
      </c>
      <c r="BL2" s="51" t="s">
        <v>63</v>
      </c>
      <c r="BM2" s="51" t="s">
        <v>330</v>
      </c>
      <c r="BN2" s="51" t="s">
        <v>331</v>
      </c>
      <c r="BO2" s="51" t="s">
        <v>332</v>
      </c>
      <c r="BP2" s="51" t="s">
        <v>333</v>
      </c>
      <c r="BQ2" s="51" t="s">
        <v>334</v>
      </c>
      <c r="BR2" s="51" t="s">
        <v>335</v>
      </c>
      <c r="BS2" s="51" t="s">
        <v>336</v>
      </c>
      <c r="BT2" s="51" t="s">
        <v>337</v>
      </c>
      <c r="BU2" s="51" t="s">
        <v>338</v>
      </c>
      <c r="BV2" s="51" t="s">
        <v>339</v>
      </c>
      <c r="BW2" s="51" t="s">
        <v>340</v>
      </c>
      <c r="BX2" s="51" t="s">
        <v>341</v>
      </c>
      <c r="BY2" s="51" t="s">
        <v>342</v>
      </c>
      <c r="BZ2" s="51" t="s">
        <v>343</v>
      </c>
      <c r="CA2" s="51" t="s">
        <v>390</v>
      </c>
    </row>
    <row r="3" spans="1:79">
      <c r="A3" s="6">
        <f t="shared" si="0"/>
        <v>2</v>
      </c>
      <c r="B3" s="6" t="s">
        <v>257</v>
      </c>
      <c r="C3" s="6">
        <v>1</v>
      </c>
      <c r="D3" s="6" t="s">
        <v>3</v>
      </c>
      <c r="E3" s="6" t="s">
        <v>3</v>
      </c>
      <c r="F3" s="6" t="s">
        <v>2</v>
      </c>
      <c r="G3" s="6" t="s">
        <v>3</v>
      </c>
      <c r="H3" s="6" t="s">
        <v>5</v>
      </c>
      <c r="I3" s="6" t="s">
        <v>5</v>
      </c>
      <c r="J3" s="6" t="s">
        <v>5</v>
      </c>
      <c r="K3" s="6" t="s">
        <v>2</v>
      </c>
      <c r="L3" s="6" t="s">
        <v>2</v>
      </c>
      <c r="M3" s="6" t="s">
        <v>2</v>
      </c>
      <c r="N3" s="6" t="s">
        <v>3</v>
      </c>
      <c r="O3" s="6" t="s">
        <v>2</v>
      </c>
      <c r="P3" s="6" t="s">
        <v>5</v>
      </c>
      <c r="Q3" s="6" t="s">
        <v>3</v>
      </c>
      <c r="R3" s="6" t="s">
        <v>3</v>
      </c>
      <c r="S3" s="6" t="s">
        <v>5</v>
      </c>
      <c r="T3" s="6" t="s">
        <v>5</v>
      </c>
      <c r="U3" s="6" t="s">
        <v>5</v>
      </c>
      <c r="V3" s="6" t="s">
        <v>2</v>
      </c>
      <c r="W3" s="6" t="s">
        <v>4</v>
      </c>
      <c r="X3" s="6" t="s">
        <v>3</v>
      </c>
      <c r="Y3" s="6" t="s">
        <v>4</v>
      </c>
      <c r="Z3" s="6" t="s">
        <v>3</v>
      </c>
      <c r="AA3" s="6" t="s">
        <v>4</v>
      </c>
      <c r="AB3" s="6" t="s">
        <v>4</v>
      </c>
      <c r="AC3" s="6" t="s">
        <v>4</v>
      </c>
      <c r="AD3" s="6" t="s">
        <v>4</v>
      </c>
      <c r="AE3" s="6" t="s">
        <v>4</v>
      </c>
      <c r="AF3" s="6" t="s">
        <v>4</v>
      </c>
      <c r="AG3" s="6" t="s">
        <v>3</v>
      </c>
      <c r="AH3" s="6" t="s">
        <v>4</v>
      </c>
      <c r="AI3" s="6" t="s">
        <v>3</v>
      </c>
      <c r="AJ3" s="6" t="s">
        <v>4</v>
      </c>
      <c r="AK3" s="6" t="s">
        <v>4</v>
      </c>
      <c r="AL3" s="6" t="s">
        <v>4</v>
      </c>
      <c r="AM3" s="6" t="s">
        <v>3</v>
      </c>
      <c r="AO3" s="84"/>
      <c r="AP3" s="84"/>
      <c r="AQ3" s="7">
        <v>1</v>
      </c>
      <c r="AR3" s="28" t="s">
        <v>3</v>
      </c>
      <c r="AS3" s="28" t="s">
        <v>5</v>
      </c>
      <c r="AT3" s="28" t="s">
        <v>3</v>
      </c>
      <c r="AU3" s="28" t="s">
        <v>5</v>
      </c>
      <c r="AV3" s="28" t="s">
        <v>5</v>
      </c>
      <c r="AW3" s="28" t="s">
        <v>5</v>
      </c>
      <c r="AX3" s="28" t="s">
        <v>2</v>
      </c>
      <c r="AY3" s="28" t="s">
        <v>2</v>
      </c>
      <c r="AZ3" s="28" t="s">
        <v>2</v>
      </c>
      <c r="BA3" s="28" t="s">
        <v>2</v>
      </c>
      <c r="BB3" s="28" t="s">
        <v>3</v>
      </c>
      <c r="BC3" s="28" t="s">
        <v>5</v>
      </c>
      <c r="BD3" s="28" t="s">
        <v>5</v>
      </c>
      <c r="BE3" s="28" t="s">
        <v>3</v>
      </c>
      <c r="BF3" s="28" t="s">
        <v>3</v>
      </c>
      <c r="BG3" s="28" t="s">
        <v>5</v>
      </c>
      <c r="BH3" s="28" t="s">
        <v>5</v>
      </c>
      <c r="BI3" s="28" t="s">
        <v>5</v>
      </c>
      <c r="BJ3" s="28" t="s">
        <v>2</v>
      </c>
      <c r="BK3" s="28" t="s">
        <v>4</v>
      </c>
      <c r="BL3" s="28" t="s">
        <v>4</v>
      </c>
      <c r="BM3" s="28" t="s">
        <v>2</v>
      </c>
      <c r="BN3" s="28" t="s">
        <v>4</v>
      </c>
      <c r="BO3" s="28" t="s">
        <v>4</v>
      </c>
      <c r="BP3" s="28" t="s">
        <v>4</v>
      </c>
      <c r="BQ3" s="28" t="s">
        <v>4</v>
      </c>
      <c r="BR3" s="28" t="s">
        <v>4</v>
      </c>
      <c r="BS3" s="28" t="s">
        <v>4</v>
      </c>
      <c r="BT3" s="28" t="s">
        <v>4</v>
      </c>
      <c r="BU3" s="28" t="s">
        <v>3</v>
      </c>
      <c r="BV3" s="28" t="s">
        <v>4</v>
      </c>
      <c r="BW3" s="28" t="s">
        <v>3</v>
      </c>
      <c r="BX3" s="28" t="s">
        <v>4</v>
      </c>
      <c r="BY3" s="28" t="s">
        <v>4</v>
      </c>
      <c r="BZ3" s="28" t="s">
        <v>4</v>
      </c>
      <c r="CA3" s="28" t="s">
        <v>3</v>
      </c>
    </row>
    <row r="4" spans="1:79">
      <c r="A4" s="6">
        <f t="shared" si="0"/>
        <v>3</v>
      </c>
      <c r="B4" s="6" t="s">
        <v>258</v>
      </c>
      <c r="C4" s="6">
        <v>1</v>
      </c>
      <c r="D4" s="6" t="s">
        <v>3</v>
      </c>
      <c r="E4" s="6" t="s">
        <v>5</v>
      </c>
      <c r="F4" s="6" t="s">
        <v>2</v>
      </c>
      <c r="G4" s="6" t="s">
        <v>5</v>
      </c>
      <c r="H4" s="6" t="s">
        <v>5</v>
      </c>
      <c r="I4" s="6" t="s">
        <v>5</v>
      </c>
      <c r="J4" s="6" t="s">
        <v>5</v>
      </c>
      <c r="K4" s="6" t="s">
        <v>2</v>
      </c>
      <c r="L4" s="6" t="s">
        <v>3</v>
      </c>
      <c r="M4" s="6" t="s">
        <v>3</v>
      </c>
      <c r="N4" s="6" t="s">
        <v>2</v>
      </c>
      <c r="O4" s="6" t="s">
        <v>4</v>
      </c>
      <c r="P4" s="6" t="s">
        <v>4</v>
      </c>
      <c r="Q4" s="6" t="s">
        <v>3</v>
      </c>
      <c r="R4" s="6" t="s">
        <v>4</v>
      </c>
      <c r="S4" s="6" t="s">
        <v>2</v>
      </c>
      <c r="T4" s="6" t="s">
        <v>2</v>
      </c>
      <c r="U4" s="6" t="s">
        <v>2</v>
      </c>
      <c r="V4" s="6" t="s">
        <v>5</v>
      </c>
      <c r="W4" s="6" t="s">
        <v>4</v>
      </c>
      <c r="X4" s="6" t="s">
        <v>4</v>
      </c>
      <c r="Y4" s="6" t="s">
        <v>2</v>
      </c>
      <c r="Z4" s="6" t="s">
        <v>3</v>
      </c>
      <c r="AA4" s="6" t="s">
        <v>4</v>
      </c>
      <c r="AB4" s="6" t="s">
        <v>4</v>
      </c>
      <c r="AC4" s="6" t="s">
        <v>4</v>
      </c>
      <c r="AD4" s="6" t="s">
        <v>4</v>
      </c>
      <c r="AE4" s="6" t="s">
        <v>4</v>
      </c>
      <c r="AF4" s="6" t="s">
        <v>4</v>
      </c>
      <c r="AG4" s="6" t="s">
        <v>3</v>
      </c>
      <c r="AH4" s="6" t="s">
        <v>4</v>
      </c>
      <c r="AI4" s="6" t="s">
        <v>3</v>
      </c>
      <c r="AJ4" s="6" t="s">
        <v>4</v>
      </c>
      <c r="AK4" s="6" t="s">
        <v>4</v>
      </c>
      <c r="AL4" s="6" t="s">
        <v>4</v>
      </c>
      <c r="AM4" s="6" t="s">
        <v>3</v>
      </c>
      <c r="AO4" s="82" t="s">
        <v>504</v>
      </c>
      <c r="AP4" s="82"/>
      <c r="AQ4" s="32">
        <f>'Data Training 1'!AW22*'Data Training 1'!AT32*'Data Training 1'!AT40*'Data Training 1'!AT44*'Data Training 1'!AT52*'Data Training 1'!AT58*'Data Training 1'!AT64*'Data Training 1'!AT69*'Data Training 1'!AT75*'Data Training 1'!AT81*'Data Training 1'!AT87*'Data Training 1'!AT92*'Data Training 1'!AT100*'Data Training 1'!AT106*'Data Training 1'!AT110*'Data Training 1'!AT116*'Data Training 1'!AT124*'Data Training 1'!AT130*'Data Training 1'!AT136*'Data Training 1'!AT141*'Data Training 1'!AT145*'Data Training 1'!AT151*'Data Training 1'!AT159*'Data Training 1'!AT163*'Data Training 1'!AT167*'Data Training 1'!AT171*'Data Training 1'!AT175*'Data Training 1'!AT179*'Data Training 1'!AT183*'Data Training 1'!AT187*'Data Training 1'!AT192*'Data Training 1'!AT195*'Data Training 1'!AT200*'Data Training 1'!AT203*'Data Training 1'!AT207*'Data Training 1'!AT211*'Data Training 1'!AT216</f>
        <v>2.9176171581510416E-10</v>
      </c>
    </row>
    <row r="5" spans="1:79">
      <c r="A5" s="6">
        <f t="shared" si="0"/>
        <v>4</v>
      </c>
      <c r="B5" s="6" t="s">
        <v>457</v>
      </c>
      <c r="C5" s="6">
        <v>1</v>
      </c>
      <c r="D5" s="6" t="s">
        <v>4</v>
      </c>
      <c r="E5" s="6" t="s">
        <v>2</v>
      </c>
      <c r="F5" s="6" t="s">
        <v>3</v>
      </c>
      <c r="G5" s="6" t="s">
        <v>3</v>
      </c>
      <c r="H5" s="6" t="s">
        <v>5</v>
      </c>
      <c r="I5" s="6" t="s">
        <v>5</v>
      </c>
      <c r="J5" s="6" t="s">
        <v>5</v>
      </c>
      <c r="K5" s="6" t="s">
        <v>2</v>
      </c>
      <c r="L5" s="6" t="s">
        <v>3</v>
      </c>
      <c r="M5" s="6" t="s">
        <v>3</v>
      </c>
      <c r="N5" s="6" t="s">
        <v>4</v>
      </c>
      <c r="O5" s="6" t="s">
        <v>4</v>
      </c>
      <c r="P5" s="6" t="s">
        <v>5</v>
      </c>
      <c r="Q5" s="6" t="s">
        <v>3</v>
      </c>
      <c r="R5" s="6" t="s">
        <v>5</v>
      </c>
      <c r="S5" s="6" t="s">
        <v>5</v>
      </c>
      <c r="T5" s="6" t="s">
        <v>5</v>
      </c>
      <c r="U5" s="6" t="s">
        <v>5</v>
      </c>
      <c r="V5" s="6" t="s">
        <v>4</v>
      </c>
      <c r="W5" s="6" t="s">
        <v>4</v>
      </c>
      <c r="X5" s="6" t="s">
        <v>4</v>
      </c>
      <c r="Y5" s="6" t="s">
        <v>4</v>
      </c>
      <c r="Z5" s="6" t="s">
        <v>3</v>
      </c>
      <c r="AA5" s="6" t="s">
        <v>3</v>
      </c>
      <c r="AB5" s="6" t="s">
        <v>3</v>
      </c>
      <c r="AC5" s="6" t="s">
        <v>4</v>
      </c>
      <c r="AD5" s="6" t="s">
        <v>4</v>
      </c>
      <c r="AE5" s="6" t="s">
        <v>4</v>
      </c>
      <c r="AF5" s="6" t="s">
        <v>4</v>
      </c>
      <c r="AG5" s="6" t="s">
        <v>3</v>
      </c>
      <c r="AH5" s="6" t="s">
        <v>4</v>
      </c>
      <c r="AI5" s="6" t="s">
        <v>3</v>
      </c>
      <c r="AJ5" s="6" t="s">
        <v>4</v>
      </c>
      <c r="AK5" s="6" t="s">
        <v>4</v>
      </c>
      <c r="AL5" s="6" t="s">
        <v>4</v>
      </c>
      <c r="AM5" s="6" t="s">
        <v>3</v>
      </c>
      <c r="AO5" s="82" t="s">
        <v>505</v>
      </c>
      <c r="AP5" s="82"/>
      <c r="AQ5" s="32">
        <f>'Data Training 1'!AW23*'Data Training 1'!AU32*'Data Training 1'!AU40*'Data Training 1'!AU44*'Data Training 1'!AU52*'Data Training 1'!AU58*'Data Training 1'!AU64*'Data Training 1'!AU69*'Data Training 1'!AU75*'Data Training 1'!AU81*'Data Training 1'!AU87*'Data Training 1'!AU92*'Data Training 1'!AU100*'Data Training 1'!AU106*'Data Training 1'!AU110*'Data Training 1'!AU116*'Data Training 1'!AU124*'Data Training 1'!AU130*'Data Training 1'!AU136*'Data Training 1'!AU141*'Data Training 1'!AU145*'Data Training 1'!AU151*'Data Training 1'!AU159*'Data Training 1'!AU163*'Data Training 1'!AU167*'Data Training 1'!AU171*'Data Training 1'!AU175*'Data Training 1'!AU179*'Data Training 1'!AU183*'Data Training 1'!AU187*'Data Training 1'!AU192*'Data Training 1'!AU195*'Data Training 1'!AU200*'Data Training 1'!AU203*'Data Training 1'!AU207*'Data Training 1'!AU211*'Data Training 1'!AU216</f>
        <v>0</v>
      </c>
    </row>
    <row r="6" spans="1:79">
      <c r="A6" s="6">
        <f t="shared" si="0"/>
        <v>5</v>
      </c>
      <c r="B6" s="6" t="s">
        <v>458</v>
      </c>
      <c r="C6" s="6">
        <v>1</v>
      </c>
      <c r="D6" s="6" t="s">
        <v>5</v>
      </c>
      <c r="E6" s="6" t="s">
        <v>3</v>
      </c>
      <c r="F6" s="6" t="s">
        <v>4</v>
      </c>
      <c r="G6" s="6" t="s">
        <v>2</v>
      </c>
      <c r="H6" s="6" t="s">
        <v>5</v>
      </c>
      <c r="I6" s="6" t="s">
        <v>5</v>
      </c>
      <c r="J6" s="6" t="s">
        <v>5</v>
      </c>
      <c r="K6" s="6" t="s">
        <v>2</v>
      </c>
      <c r="L6" s="6" t="s">
        <v>2</v>
      </c>
      <c r="M6" s="6" t="s">
        <v>3</v>
      </c>
      <c r="N6" s="6" t="s">
        <v>3</v>
      </c>
      <c r="O6" s="6" t="s">
        <v>2</v>
      </c>
      <c r="P6" s="6" t="s">
        <v>4</v>
      </c>
      <c r="Q6" s="6" t="s">
        <v>3</v>
      </c>
      <c r="R6" s="6" t="s">
        <v>2</v>
      </c>
      <c r="S6" s="6" t="s">
        <v>5</v>
      </c>
      <c r="T6" s="6" t="s">
        <v>2</v>
      </c>
      <c r="U6" s="6" t="s">
        <v>5</v>
      </c>
      <c r="V6" s="6" t="s">
        <v>5</v>
      </c>
      <c r="W6" s="6" t="s">
        <v>4</v>
      </c>
      <c r="X6" s="6" t="s">
        <v>4</v>
      </c>
      <c r="Y6" s="6" t="s">
        <v>2</v>
      </c>
      <c r="Z6" s="6" t="s">
        <v>3</v>
      </c>
      <c r="AA6" s="6" t="s">
        <v>3</v>
      </c>
      <c r="AB6" s="6" t="s">
        <v>3</v>
      </c>
      <c r="AC6" s="6" t="s">
        <v>4</v>
      </c>
      <c r="AD6" s="6" t="s">
        <v>4</v>
      </c>
      <c r="AE6" s="6" t="s">
        <v>4</v>
      </c>
      <c r="AF6" s="6" t="s">
        <v>4</v>
      </c>
      <c r="AG6" s="6" t="s">
        <v>3</v>
      </c>
      <c r="AH6" s="6" t="s">
        <v>4</v>
      </c>
      <c r="AI6" s="6" t="s">
        <v>3</v>
      </c>
      <c r="AJ6" s="6" t="s">
        <v>4</v>
      </c>
      <c r="AK6" s="6" t="s">
        <v>3</v>
      </c>
      <c r="AL6" s="6" t="s">
        <v>3</v>
      </c>
      <c r="AM6" s="6" t="s">
        <v>3</v>
      </c>
      <c r="AO6" s="82" t="s">
        <v>506</v>
      </c>
      <c r="AP6" s="82"/>
      <c r="AQ6" s="32">
        <f>'Data Training 1'!AW24*'Data Training 1'!AV32*'Data Training 1'!AV40*'Data Training 1'!AV44*'Data Training 1'!AV52*'Data Training 1'!AV58*'Data Training 1'!AV64*'Data Training 1'!AV69*'Data Training 1'!AV75*'Data Training 1'!AV81*'Data Training 1'!AV87*'Data Training 1'!AV92*'Data Training 1'!AV100*'Data Training 1'!AV106*'Data Training 1'!AV110*'Data Training 1'!AV116*'Data Training 1'!AV124*'Data Training 1'!AV130*'Data Training 1'!AV136*'Data Training 1'!AV141*'Data Training 1'!AV145*'Data Training 1'!AV151*'Data Training 1'!AV159*'Data Training 1'!AV163*'Data Training 1'!AV167*'Data Training 1'!AV171*'Data Training 1'!AV175*'Data Training 1'!AV179*'Data Training 1'!AV183*'Data Training 1'!AV187*'Data Training 1'!AV192*'Data Training 1'!AV195*'Data Training 1'!AV200*'Data Training 1'!AV203*'Data Training 1'!AV207*'Data Training 1'!AV211*'Data Training 1'!AV216</f>
        <v>0</v>
      </c>
    </row>
    <row r="7" spans="1:79">
      <c r="A7" s="6">
        <f t="shared" si="0"/>
        <v>6</v>
      </c>
      <c r="B7" s="6" t="s">
        <v>459</v>
      </c>
      <c r="C7" s="6">
        <v>1</v>
      </c>
      <c r="D7" s="6" t="s">
        <v>5</v>
      </c>
      <c r="E7" s="6" t="s">
        <v>5</v>
      </c>
      <c r="F7" s="6" t="s">
        <v>4</v>
      </c>
      <c r="G7" s="6" t="s">
        <v>5</v>
      </c>
      <c r="H7" s="6" t="s">
        <v>5</v>
      </c>
      <c r="I7" s="6" t="s">
        <v>5</v>
      </c>
      <c r="J7" s="6" t="s">
        <v>5</v>
      </c>
      <c r="K7" s="6" t="s">
        <v>2</v>
      </c>
      <c r="L7" s="6" t="s">
        <v>3</v>
      </c>
      <c r="M7" s="6" t="s">
        <v>4</v>
      </c>
      <c r="N7" s="6" t="s">
        <v>3</v>
      </c>
      <c r="O7" s="6" t="s">
        <v>3</v>
      </c>
      <c r="P7" s="6" t="s">
        <v>5</v>
      </c>
      <c r="Q7" s="6" t="s">
        <v>3</v>
      </c>
      <c r="R7" s="6" t="s">
        <v>3</v>
      </c>
      <c r="S7" s="6" t="s">
        <v>5</v>
      </c>
      <c r="T7" s="6" t="s">
        <v>3</v>
      </c>
      <c r="U7" s="6" t="s">
        <v>3</v>
      </c>
      <c r="V7" s="6" t="s">
        <v>5</v>
      </c>
      <c r="W7" s="6" t="s">
        <v>4</v>
      </c>
      <c r="X7" s="6" t="s">
        <v>3</v>
      </c>
      <c r="Y7" s="6" t="s">
        <v>2</v>
      </c>
      <c r="Z7" s="6" t="s">
        <v>3</v>
      </c>
      <c r="AA7" s="6" t="s">
        <v>3</v>
      </c>
      <c r="AB7" s="6" t="s">
        <v>3</v>
      </c>
      <c r="AC7" s="6" t="s">
        <v>4</v>
      </c>
      <c r="AD7" s="6" t="s">
        <v>4</v>
      </c>
      <c r="AE7" s="6" t="s">
        <v>4</v>
      </c>
      <c r="AF7" s="6" t="s">
        <v>4</v>
      </c>
      <c r="AG7" s="6" t="s">
        <v>3</v>
      </c>
      <c r="AH7" s="6" t="s">
        <v>4</v>
      </c>
      <c r="AI7" s="6" t="s">
        <v>3</v>
      </c>
      <c r="AJ7" s="6" t="s">
        <v>3</v>
      </c>
      <c r="AK7" s="6" t="s">
        <v>4</v>
      </c>
      <c r="AL7" s="6" t="s">
        <v>4</v>
      </c>
      <c r="AM7" s="6" t="s">
        <v>3</v>
      </c>
      <c r="AO7" s="82" t="s">
        <v>507</v>
      </c>
      <c r="AP7" s="82"/>
      <c r="AQ7" s="32">
        <f>'Data Training 1'!AW25*'Data Training 1'!AW32*'Data Training 1'!AW40*'Data Training 1'!AW44*'Data Training 1'!AW52*'Data Training 1'!AW58*'Data Training 1'!AW64*'Data Training 1'!AW69*'Data Training 1'!AW75*'Data Training 1'!AW81*'Data Training 1'!AW87*'Data Training 1'!AW92*'Data Training 1'!AW100*'Data Training 1'!AW106*'Data Training 1'!AW110*'Data Training 1'!AW116*'Data Training 1'!AW124*'Data Training 1'!AW130*'Data Training 1'!AW136*'Data Training 1'!AW141*'Data Training 1'!AW145*'Data Training 1'!AW151*'Data Training 1'!AW159*'Data Training 1'!AW163*'Data Training 1'!AW167*'Data Training 1'!AW171*'Data Training 1'!AW175*'Data Training 1'!AW179*'Data Training 1'!AW183*'Data Training 1'!AW187*'Data Training 1'!AW192*'Data Training 1'!AW195*'Data Training 1'!AW200*'Data Training 1'!AW203*'Data Training 1'!AW207*'Data Training 1'!AW211*'Data Training 1'!AW216</f>
        <v>0</v>
      </c>
    </row>
    <row r="8" spans="1:79">
      <c r="A8" s="6">
        <f t="shared" si="0"/>
        <v>7</v>
      </c>
      <c r="B8" s="6" t="s">
        <v>11</v>
      </c>
      <c r="C8" s="6">
        <v>2</v>
      </c>
      <c r="D8" s="6" t="s">
        <v>4</v>
      </c>
      <c r="E8" s="6" t="s">
        <v>5</v>
      </c>
      <c r="F8" s="6" t="s">
        <v>3</v>
      </c>
      <c r="G8" s="6" t="s">
        <v>3</v>
      </c>
      <c r="H8" s="6" t="s">
        <v>5</v>
      </c>
      <c r="I8" s="6" t="s">
        <v>5</v>
      </c>
      <c r="J8" s="6" t="s">
        <v>5</v>
      </c>
      <c r="K8" s="6" t="s">
        <v>2</v>
      </c>
      <c r="L8" s="6" t="s">
        <v>2</v>
      </c>
      <c r="M8" s="6" t="s">
        <v>3</v>
      </c>
      <c r="N8" s="6" t="s">
        <v>4</v>
      </c>
      <c r="O8" s="6" t="s">
        <v>2</v>
      </c>
      <c r="P8" s="6" t="s">
        <v>5</v>
      </c>
      <c r="Q8" s="6" t="s">
        <v>3</v>
      </c>
      <c r="R8" s="6" t="s">
        <v>4</v>
      </c>
      <c r="S8" s="6" t="s">
        <v>5</v>
      </c>
      <c r="T8" s="6" t="s">
        <v>5</v>
      </c>
      <c r="U8" s="6" t="s">
        <v>5</v>
      </c>
      <c r="V8" s="6" t="s">
        <v>4</v>
      </c>
      <c r="W8" s="6" t="s">
        <v>4</v>
      </c>
      <c r="X8" s="6" t="s">
        <v>4</v>
      </c>
      <c r="Y8" s="6" t="s">
        <v>4</v>
      </c>
      <c r="Z8" s="6" t="s">
        <v>3</v>
      </c>
      <c r="AA8" s="6" t="s">
        <v>4</v>
      </c>
      <c r="AB8" s="6" t="s">
        <v>4</v>
      </c>
      <c r="AC8" s="6" t="s">
        <v>4</v>
      </c>
      <c r="AD8" s="6" t="s">
        <v>4</v>
      </c>
      <c r="AE8" s="6" t="s">
        <v>4</v>
      </c>
      <c r="AF8" s="6" t="s">
        <v>4</v>
      </c>
      <c r="AG8" s="6" t="s">
        <v>3</v>
      </c>
      <c r="AH8" s="6" t="s">
        <v>4</v>
      </c>
      <c r="AI8" s="6" t="s">
        <v>4</v>
      </c>
      <c r="AJ8" s="6" t="s">
        <v>4</v>
      </c>
      <c r="AK8" s="6" t="s">
        <v>4</v>
      </c>
      <c r="AL8" s="6" t="s">
        <v>3</v>
      </c>
      <c r="AM8" s="6" t="s">
        <v>3</v>
      </c>
      <c r="AO8" s="82" t="s">
        <v>508</v>
      </c>
      <c r="AP8" s="82"/>
      <c r="AQ8" s="32">
        <f>'Data Training 1'!AW26*'Data Training 1'!AX32*'Data Training 1'!AX40*'Data Training 1'!AX44*'Data Training 1'!AX52*'Data Training 1'!AX58*'Data Training 1'!AX64*'Data Training 1'!AX69*'Data Training 1'!AX75*'Data Training 1'!AX81*'Data Training 1'!AX87*'Data Training 1'!AX92*'Data Training 1'!AX100*'Data Training 1'!AX106*'Data Training 1'!AX110*'Data Training 1'!AX116*'Data Training 1'!AX124*'Data Training 1'!AX130*'Data Training 1'!AX136*'Data Training 1'!AX141*'Data Training 1'!AX145*'Data Training 1'!AX151*'Data Training 1'!AX159*'Data Training 1'!AX163*'Data Training 1'!AX167*'Data Training 1'!AX171*'Data Training 1'!AX175*'Data Training 1'!AX179*'Data Training 1'!AX183*'Data Training 1'!AX187*'Data Training 1'!AX192*'Data Training 1'!AX195*'Data Training 1'!AX200*'Data Training 1'!AX203*'Data Training 1'!AX207*'Data Training 1'!AX211*'Data Training 1'!AX216</f>
        <v>0</v>
      </c>
    </row>
    <row r="9" spans="1:79">
      <c r="A9" s="6">
        <f t="shared" si="0"/>
        <v>8</v>
      </c>
      <c r="B9" s="6" t="s">
        <v>12</v>
      </c>
      <c r="C9" s="6">
        <v>2</v>
      </c>
      <c r="D9" s="6" t="s">
        <v>5</v>
      </c>
      <c r="E9" s="6" t="s">
        <v>3</v>
      </c>
      <c r="F9" s="6" t="s">
        <v>4</v>
      </c>
      <c r="G9" s="6" t="s">
        <v>3</v>
      </c>
      <c r="H9" s="6" t="s">
        <v>5</v>
      </c>
      <c r="I9" s="6" t="s">
        <v>5</v>
      </c>
      <c r="J9" s="6" t="s">
        <v>3</v>
      </c>
      <c r="K9" s="6" t="s">
        <v>4</v>
      </c>
      <c r="L9" s="6" t="s">
        <v>3</v>
      </c>
      <c r="M9" s="6" t="s">
        <v>3</v>
      </c>
      <c r="N9" s="6" t="s">
        <v>4</v>
      </c>
      <c r="O9" s="6" t="s">
        <v>4</v>
      </c>
      <c r="P9" s="6" t="s">
        <v>5</v>
      </c>
      <c r="Q9" s="6" t="s">
        <v>3</v>
      </c>
      <c r="R9" s="6" t="s">
        <v>4</v>
      </c>
      <c r="S9" s="6" t="s">
        <v>5</v>
      </c>
      <c r="T9" s="6" t="s">
        <v>5</v>
      </c>
      <c r="U9" s="6" t="s">
        <v>5</v>
      </c>
      <c r="V9" s="6" t="s">
        <v>4</v>
      </c>
      <c r="W9" s="6" t="s">
        <v>4</v>
      </c>
      <c r="X9" s="6" t="s">
        <v>4</v>
      </c>
      <c r="Y9" s="6" t="s">
        <v>4</v>
      </c>
      <c r="Z9" s="6" t="s">
        <v>3</v>
      </c>
      <c r="AA9" s="6" t="s">
        <v>4</v>
      </c>
      <c r="AB9" s="6" t="s">
        <v>4</v>
      </c>
      <c r="AC9" s="6" t="s">
        <v>4</v>
      </c>
      <c r="AD9" s="6" t="s">
        <v>4</v>
      </c>
      <c r="AE9" s="6" t="s">
        <v>4</v>
      </c>
      <c r="AF9" s="6" t="s">
        <v>4</v>
      </c>
      <c r="AG9" s="6" t="s">
        <v>3</v>
      </c>
      <c r="AH9" s="6" t="s">
        <v>4</v>
      </c>
      <c r="AI9" s="6" t="s">
        <v>3</v>
      </c>
      <c r="AJ9" s="6" t="s">
        <v>4</v>
      </c>
      <c r="AK9" s="6" t="s">
        <v>4</v>
      </c>
      <c r="AL9" s="6" t="s">
        <v>4</v>
      </c>
      <c r="AM9" s="6" t="s">
        <v>3</v>
      </c>
      <c r="AO9" s="82" t="s">
        <v>509</v>
      </c>
      <c r="AP9" s="82"/>
      <c r="AQ9" s="32">
        <f>'Data Training 1'!AW27*'Data Training 1'!AY32*'Data Training 1'!AY40*'Data Training 1'!AY44*'Data Training 1'!AY52*'Data Training 1'!AY58*'Data Training 1'!AY64*'Data Training 1'!AY69*'Data Training 1'!AY75*'Data Training 1'!AY81*'Data Training 1'!AY87*'Data Training 1'!AY92*'Data Training 1'!AY100*'Data Training 1'!AY106*'Data Training 1'!AY110*'Data Training 1'!AY116*'Data Training 1'!AY124*'Data Training 1'!AY130*'Data Training 1'!AY136*'Data Training 1'!AY141*'Data Training 1'!AY145*'Data Training 1'!AY151*'Data Training 1'!AY159*'Data Training 1'!AY163*'Data Training 1'!AY167*'Data Training 1'!AY171*'Data Training 1'!AY175*'Data Training 1'!AY179*'Data Training 1'!AY183*'Data Training 1'!AY187*'Data Training 1'!AY192*'Data Training 1'!AY195*'Data Training 1'!AY200*'Data Training 1'!AY203*'Data Training 1'!AY207*'Data Training 1'!AY211*'Data Training 1'!AY216</f>
        <v>0</v>
      </c>
    </row>
    <row r="10" spans="1:79">
      <c r="A10" s="6">
        <f t="shared" si="0"/>
        <v>9</v>
      </c>
      <c r="B10" s="6" t="s">
        <v>318</v>
      </c>
      <c r="C10" s="6">
        <v>2</v>
      </c>
      <c r="D10" s="6" t="s">
        <v>4</v>
      </c>
      <c r="E10" s="6" t="s">
        <v>5</v>
      </c>
      <c r="F10" s="6" t="s">
        <v>3</v>
      </c>
      <c r="G10" s="6" t="s">
        <v>5</v>
      </c>
      <c r="H10" s="6" t="s">
        <v>5</v>
      </c>
      <c r="I10" s="6" t="s">
        <v>5</v>
      </c>
      <c r="J10" s="6" t="s">
        <v>5</v>
      </c>
      <c r="K10" s="6" t="s">
        <v>2</v>
      </c>
      <c r="L10" s="6" t="s">
        <v>3</v>
      </c>
      <c r="M10" s="6" t="s">
        <v>2</v>
      </c>
      <c r="N10" s="6" t="s">
        <v>3</v>
      </c>
      <c r="O10" s="6" t="s">
        <v>2</v>
      </c>
      <c r="P10" s="6" t="s">
        <v>5</v>
      </c>
      <c r="Q10" s="6" t="s">
        <v>3</v>
      </c>
      <c r="R10" s="6" t="s">
        <v>3</v>
      </c>
      <c r="S10" s="6" t="s">
        <v>5</v>
      </c>
      <c r="T10" s="6" t="s">
        <v>5</v>
      </c>
      <c r="U10" s="6" t="s">
        <v>5</v>
      </c>
      <c r="V10" s="6" t="s">
        <v>4</v>
      </c>
      <c r="W10" s="6" t="s">
        <v>4</v>
      </c>
      <c r="X10" s="6" t="s">
        <v>3</v>
      </c>
      <c r="Y10" s="6" t="s">
        <v>2</v>
      </c>
      <c r="Z10" s="6" t="s">
        <v>3</v>
      </c>
      <c r="AA10" s="6" t="s">
        <v>4</v>
      </c>
      <c r="AB10" s="6" t="s">
        <v>4</v>
      </c>
      <c r="AC10" s="6" t="s">
        <v>4</v>
      </c>
      <c r="AD10" s="6" t="s">
        <v>4</v>
      </c>
      <c r="AE10" s="6" t="s">
        <v>4</v>
      </c>
      <c r="AF10" s="6" t="s">
        <v>4</v>
      </c>
      <c r="AG10" s="6" t="s">
        <v>3</v>
      </c>
      <c r="AH10" s="6" t="s">
        <v>4</v>
      </c>
      <c r="AI10" s="6" t="s">
        <v>4</v>
      </c>
      <c r="AJ10" s="6" t="s">
        <v>4</v>
      </c>
      <c r="AK10" s="6" t="s">
        <v>4</v>
      </c>
      <c r="AL10" s="6" t="s">
        <v>4</v>
      </c>
      <c r="AM10" s="6" t="s">
        <v>3</v>
      </c>
      <c r="AO10" s="80" t="s">
        <v>437</v>
      </c>
      <c r="AP10" s="80"/>
      <c r="AQ10" s="6" t="s">
        <v>285</v>
      </c>
      <c r="AR10" s="85" t="s">
        <v>438</v>
      </c>
      <c r="AS10" s="85"/>
      <c r="AT10" s="85"/>
    </row>
    <row r="11" spans="1:79">
      <c r="A11" s="6">
        <f t="shared" si="0"/>
        <v>10</v>
      </c>
      <c r="B11" s="6" t="s">
        <v>463</v>
      </c>
      <c r="C11" s="6">
        <v>2</v>
      </c>
      <c r="D11" s="6" t="s">
        <v>2</v>
      </c>
      <c r="E11" s="6" t="s">
        <v>3</v>
      </c>
      <c r="F11" s="6" t="s">
        <v>2</v>
      </c>
      <c r="G11" s="6" t="s">
        <v>5</v>
      </c>
      <c r="H11" s="6" t="s">
        <v>5</v>
      </c>
      <c r="I11" s="6" t="s">
        <v>5</v>
      </c>
      <c r="J11" s="6" t="s">
        <v>5</v>
      </c>
      <c r="K11" s="6" t="s">
        <v>2</v>
      </c>
      <c r="L11" s="6" t="s">
        <v>3</v>
      </c>
      <c r="M11" s="6" t="s">
        <v>3</v>
      </c>
      <c r="N11" s="6" t="s">
        <v>2</v>
      </c>
      <c r="O11" s="6" t="s">
        <v>5</v>
      </c>
      <c r="P11" s="6" t="s">
        <v>5</v>
      </c>
      <c r="Q11" s="6" t="s">
        <v>3</v>
      </c>
      <c r="R11" s="6" t="s">
        <v>2</v>
      </c>
      <c r="S11" s="6" t="s">
        <v>5</v>
      </c>
      <c r="T11" s="6" t="s">
        <v>5</v>
      </c>
      <c r="U11" s="6" t="s">
        <v>5</v>
      </c>
      <c r="V11" s="6" t="s">
        <v>5</v>
      </c>
      <c r="W11" s="6" t="s">
        <v>4</v>
      </c>
      <c r="X11" s="6" t="s">
        <v>4</v>
      </c>
      <c r="Y11" s="6" t="s">
        <v>4</v>
      </c>
      <c r="Z11" s="6" t="s">
        <v>3</v>
      </c>
      <c r="AA11" s="6" t="s">
        <v>4</v>
      </c>
      <c r="AB11" s="6" t="s">
        <v>4</v>
      </c>
      <c r="AC11" s="6" t="s">
        <v>4</v>
      </c>
      <c r="AD11" s="6" t="s">
        <v>4</v>
      </c>
      <c r="AE11" s="6" t="s">
        <v>4</v>
      </c>
      <c r="AF11" s="6" t="s">
        <v>4</v>
      </c>
      <c r="AG11" s="6" t="s">
        <v>3</v>
      </c>
      <c r="AH11" s="6" t="s">
        <v>4</v>
      </c>
      <c r="AI11" s="6" t="s">
        <v>3</v>
      </c>
      <c r="AJ11" s="6" t="s">
        <v>4</v>
      </c>
      <c r="AK11" s="6" t="s">
        <v>4</v>
      </c>
      <c r="AL11" s="6" t="s">
        <v>4</v>
      </c>
      <c r="AM11" s="6" t="s">
        <v>3</v>
      </c>
      <c r="AP11" s="3"/>
    </row>
    <row r="12" spans="1:79">
      <c r="A12" s="6">
        <f t="shared" si="0"/>
        <v>11</v>
      </c>
      <c r="B12" s="6" t="s">
        <v>464</v>
      </c>
      <c r="C12" s="6">
        <v>2</v>
      </c>
      <c r="D12" s="6" t="s">
        <v>4</v>
      </c>
      <c r="E12" s="6" t="s">
        <v>5</v>
      </c>
      <c r="F12" s="6" t="s">
        <v>5</v>
      </c>
      <c r="G12" s="6" t="s">
        <v>5</v>
      </c>
      <c r="H12" s="6" t="s">
        <v>5</v>
      </c>
      <c r="I12" s="6" t="s">
        <v>5</v>
      </c>
      <c r="J12" s="6" t="s">
        <v>5</v>
      </c>
      <c r="K12" s="6" t="s">
        <v>2</v>
      </c>
      <c r="L12" s="6" t="s">
        <v>3</v>
      </c>
      <c r="M12" s="6" t="s">
        <v>4</v>
      </c>
      <c r="N12" s="6" t="s">
        <v>4</v>
      </c>
      <c r="O12" s="6" t="s">
        <v>2</v>
      </c>
      <c r="P12" s="6" t="s">
        <v>5</v>
      </c>
      <c r="Q12" s="6" t="s">
        <v>4</v>
      </c>
      <c r="R12" s="6" t="s">
        <v>2</v>
      </c>
      <c r="S12" s="6" t="s">
        <v>5</v>
      </c>
      <c r="T12" s="6" t="s">
        <v>2</v>
      </c>
      <c r="U12" s="6" t="s">
        <v>5</v>
      </c>
      <c r="V12" s="6" t="s">
        <v>5</v>
      </c>
      <c r="W12" s="6" t="s">
        <v>2</v>
      </c>
      <c r="X12" s="6" t="s">
        <v>4</v>
      </c>
      <c r="Y12" s="6" t="s">
        <v>4</v>
      </c>
      <c r="Z12" s="6" t="s">
        <v>3</v>
      </c>
      <c r="AA12" s="6" t="s">
        <v>4</v>
      </c>
      <c r="AB12" s="6" t="s">
        <v>4</v>
      </c>
      <c r="AC12" s="6" t="s">
        <v>4</v>
      </c>
      <c r="AD12" s="6" t="s">
        <v>4</v>
      </c>
      <c r="AE12" s="6" t="s">
        <v>4</v>
      </c>
      <c r="AF12" s="6" t="s">
        <v>4</v>
      </c>
      <c r="AG12" s="6" t="s">
        <v>4</v>
      </c>
      <c r="AH12" s="6" t="s">
        <v>4</v>
      </c>
      <c r="AI12" s="6" t="s">
        <v>4</v>
      </c>
      <c r="AJ12" s="6" t="s">
        <v>4</v>
      </c>
      <c r="AK12" s="6" t="s">
        <v>4</v>
      </c>
      <c r="AL12" s="6" t="s">
        <v>4</v>
      </c>
      <c r="AM12" s="6" t="s">
        <v>3</v>
      </c>
      <c r="AO12" s="84" t="s">
        <v>498</v>
      </c>
      <c r="AP12" s="84"/>
      <c r="AQ12" s="7" t="s">
        <v>64</v>
      </c>
      <c r="AR12" s="51" t="s">
        <v>43</v>
      </c>
      <c r="AS12" s="51" t="s">
        <v>44</v>
      </c>
      <c r="AT12" s="51" t="s">
        <v>45</v>
      </c>
      <c r="AU12" s="51" t="s">
        <v>46</v>
      </c>
      <c r="AV12" s="51" t="s">
        <v>47</v>
      </c>
      <c r="AW12" s="51" t="s">
        <v>48</v>
      </c>
      <c r="AX12" s="51" t="s">
        <v>49</v>
      </c>
      <c r="AY12" s="51" t="s">
        <v>50</v>
      </c>
      <c r="AZ12" s="51" t="s">
        <v>51</v>
      </c>
      <c r="BA12" s="51" t="s">
        <v>52</v>
      </c>
      <c r="BB12" s="51" t="s">
        <v>53</v>
      </c>
      <c r="BC12" s="51" t="s">
        <v>54</v>
      </c>
      <c r="BD12" s="51" t="s">
        <v>55</v>
      </c>
      <c r="BE12" s="51" t="s">
        <v>56</v>
      </c>
      <c r="BF12" s="51" t="s">
        <v>57</v>
      </c>
      <c r="BG12" s="51" t="s">
        <v>58</v>
      </c>
      <c r="BH12" s="51" t="s">
        <v>59</v>
      </c>
      <c r="BI12" s="51" t="s">
        <v>60</v>
      </c>
      <c r="BJ12" s="51" t="s">
        <v>61</v>
      </c>
      <c r="BK12" s="51" t="s">
        <v>62</v>
      </c>
      <c r="BL12" s="51" t="s">
        <v>63</v>
      </c>
      <c r="BM12" s="51" t="s">
        <v>330</v>
      </c>
      <c r="BN12" s="51" t="s">
        <v>331</v>
      </c>
      <c r="BO12" s="51" t="s">
        <v>332</v>
      </c>
      <c r="BP12" s="51" t="s">
        <v>333</v>
      </c>
      <c r="BQ12" s="51" t="s">
        <v>334</v>
      </c>
      <c r="BR12" s="51" t="s">
        <v>335</v>
      </c>
      <c r="BS12" s="51" t="s">
        <v>336</v>
      </c>
      <c r="BT12" s="51" t="s">
        <v>337</v>
      </c>
      <c r="BU12" s="51" t="s">
        <v>338</v>
      </c>
      <c r="BV12" s="51" t="s">
        <v>339</v>
      </c>
      <c r="BW12" s="51" t="s">
        <v>340</v>
      </c>
      <c r="BX12" s="51" t="s">
        <v>341</v>
      </c>
      <c r="BY12" s="51" t="s">
        <v>342</v>
      </c>
      <c r="BZ12" s="51" t="s">
        <v>343</v>
      </c>
      <c r="CA12" s="51" t="s">
        <v>390</v>
      </c>
    </row>
    <row r="13" spans="1:79">
      <c r="A13" s="6">
        <f t="shared" si="0"/>
        <v>12</v>
      </c>
      <c r="B13" s="6" t="s">
        <v>490</v>
      </c>
      <c r="C13" s="6">
        <v>2</v>
      </c>
      <c r="D13" s="6" t="s">
        <v>4</v>
      </c>
      <c r="E13" s="6" t="s">
        <v>5</v>
      </c>
      <c r="F13" s="6" t="s">
        <v>3</v>
      </c>
      <c r="G13" s="6" t="s">
        <v>2</v>
      </c>
      <c r="H13" s="6" t="s">
        <v>5</v>
      </c>
      <c r="I13" s="6" t="s">
        <v>5</v>
      </c>
      <c r="J13" s="6" t="s">
        <v>5</v>
      </c>
      <c r="K13" s="6" t="s">
        <v>2</v>
      </c>
      <c r="L13" s="6" t="s">
        <v>2</v>
      </c>
      <c r="M13" s="6" t="s">
        <v>3</v>
      </c>
      <c r="N13" s="6" t="s">
        <v>4</v>
      </c>
      <c r="O13" s="6" t="s">
        <v>2</v>
      </c>
      <c r="P13" s="6" t="s">
        <v>5</v>
      </c>
      <c r="Q13" s="6" t="s">
        <v>3</v>
      </c>
      <c r="R13" s="6" t="s">
        <v>4</v>
      </c>
      <c r="S13" s="6" t="s">
        <v>5</v>
      </c>
      <c r="T13" s="6" t="s">
        <v>5</v>
      </c>
      <c r="U13" s="6" t="s">
        <v>5</v>
      </c>
      <c r="V13" s="6" t="s">
        <v>4</v>
      </c>
      <c r="W13" s="6" t="s">
        <v>4</v>
      </c>
      <c r="X13" s="6" t="s">
        <v>3</v>
      </c>
      <c r="Y13" s="6" t="s">
        <v>4</v>
      </c>
      <c r="Z13" s="6" t="s">
        <v>3</v>
      </c>
      <c r="AA13" s="6" t="s">
        <v>4</v>
      </c>
      <c r="AB13" s="6" t="s">
        <v>4</v>
      </c>
      <c r="AC13" s="6" t="s">
        <v>4</v>
      </c>
      <c r="AD13" s="6" t="s">
        <v>4</v>
      </c>
      <c r="AE13" s="6" t="s">
        <v>4</v>
      </c>
      <c r="AF13" s="6" t="s">
        <v>4</v>
      </c>
      <c r="AG13" s="6" t="s">
        <v>3</v>
      </c>
      <c r="AH13" s="6" t="s">
        <v>4</v>
      </c>
      <c r="AI13" s="6" t="s">
        <v>3</v>
      </c>
      <c r="AJ13" s="6" t="s">
        <v>4</v>
      </c>
      <c r="AK13" s="6" t="s">
        <v>4</v>
      </c>
      <c r="AL13" s="6" t="s">
        <v>4</v>
      </c>
      <c r="AM13" s="6" t="s">
        <v>4</v>
      </c>
      <c r="AO13" s="84"/>
      <c r="AP13" s="84"/>
      <c r="AQ13" s="7">
        <v>1</v>
      </c>
      <c r="AR13" s="6" t="s">
        <v>2</v>
      </c>
      <c r="AS13" s="6" t="s">
        <v>3</v>
      </c>
      <c r="AT13" s="6" t="s">
        <v>4</v>
      </c>
      <c r="AU13" s="6" t="s">
        <v>5</v>
      </c>
      <c r="AV13" s="6" t="s">
        <v>5</v>
      </c>
      <c r="AW13" s="6" t="s">
        <v>5</v>
      </c>
      <c r="AX13" s="6" t="s">
        <v>5</v>
      </c>
      <c r="AY13" s="6" t="s">
        <v>2</v>
      </c>
      <c r="AZ13" s="6" t="s">
        <v>3</v>
      </c>
      <c r="BA13" s="6" t="s">
        <v>3</v>
      </c>
      <c r="BB13" s="6" t="s">
        <v>4</v>
      </c>
      <c r="BC13" s="6" t="s">
        <v>3</v>
      </c>
      <c r="BD13" s="6" t="s">
        <v>5</v>
      </c>
      <c r="BE13" s="6" t="s">
        <v>3</v>
      </c>
      <c r="BF13" s="6" t="s">
        <v>3</v>
      </c>
      <c r="BG13" s="6" t="s">
        <v>5</v>
      </c>
      <c r="BH13" s="6" t="s">
        <v>5</v>
      </c>
      <c r="BI13" s="6" t="s">
        <v>5</v>
      </c>
      <c r="BJ13" s="6" t="s">
        <v>2</v>
      </c>
      <c r="BK13" s="6" t="s">
        <v>4</v>
      </c>
      <c r="BL13" s="6" t="s">
        <v>3</v>
      </c>
      <c r="BM13" s="6" t="s">
        <v>2</v>
      </c>
      <c r="BN13" s="6" t="s">
        <v>3</v>
      </c>
      <c r="BO13" s="6" t="s">
        <v>4</v>
      </c>
      <c r="BP13" s="6" t="s">
        <v>4</v>
      </c>
      <c r="BQ13" s="6" t="s">
        <v>4</v>
      </c>
      <c r="BR13" s="6" t="s">
        <v>4</v>
      </c>
      <c r="BS13" s="6" t="s">
        <v>4</v>
      </c>
      <c r="BT13" s="6" t="s">
        <v>4</v>
      </c>
      <c r="BU13" s="6" t="s">
        <v>4</v>
      </c>
      <c r="BV13" s="6" t="s">
        <v>4</v>
      </c>
      <c r="BW13" s="6" t="s">
        <v>4</v>
      </c>
      <c r="BX13" s="6" t="s">
        <v>4</v>
      </c>
      <c r="BY13" s="6" t="s">
        <v>4</v>
      </c>
      <c r="BZ13" s="6" t="s">
        <v>3</v>
      </c>
      <c r="CA13" s="6" t="s">
        <v>3</v>
      </c>
    </row>
    <row r="14" spans="1:79">
      <c r="A14" s="6">
        <f t="shared" si="0"/>
        <v>13</v>
      </c>
      <c r="B14" s="6" t="s">
        <v>319</v>
      </c>
      <c r="C14" s="6">
        <v>3</v>
      </c>
      <c r="D14" s="6" t="s">
        <v>2</v>
      </c>
      <c r="E14" s="6" t="s">
        <v>3</v>
      </c>
      <c r="F14" s="6" t="s">
        <v>3</v>
      </c>
      <c r="G14" s="6" t="s">
        <v>2</v>
      </c>
      <c r="H14" s="6" t="s">
        <v>5</v>
      </c>
      <c r="I14" s="6" t="s">
        <v>5</v>
      </c>
      <c r="J14" s="6" t="s">
        <v>5</v>
      </c>
      <c r="K14" s="6" t="s">
        <v>2</v>
      </c>
      <c r="L14" s="6" t="s">
        <v>3</v>
      </c>
      <c r="M14" s="6" t="s">
        <v>3</v>
      </c>
      <c r="N14" s="6" t="s">
        <v>3</v>
      </c>
      <c r="O14" s="6" t="s">
        <v>2</v>
      </c>
      <c r="P14" s="6" t="s">
        <v>5</v>
      </c>
      <c r="Q14" s="6" t="s">
        <v>3</v>
      </c>
      <c r="R14" s="6" t="s">
        <v>3</v>
      </c>
      <c r="S14" s="6" t="s">
        <v>5</v>
      </c>
      <c r="T14" s="6" t="s">
        <v>5</v>
      </c>
      <c r="U14" s="6" t="s">
        <v>5</v>
      </c>
      <c r="V14" s="6" t="s">
        <v>5</v>
      </c>
      <c r="W14" s="6" t="s">
        <v>4</v>
      </c>
      <c r="X14" s="6" t="s">
        <v>3</v>
      </c>
      <c r="Y14" s="6" t="s">
        <v>2</v>
      </c>
      <c r="Z14" s="6" t="s">
        <v>3</v>
      </c>
      <c r="AA14" s="6" t="s">
        <v>4</v>
      </c>
      <c r="AB14" s="6" t="s">
        <v>4</v>
      </c>
      <c r="AC14" s="6" t="s">
        <v>4</v>
      </c>
      <c r="AD14" s="6" t="s">
        <v>4</v>
      </c>
      <c r="AE14" s="6" t="s">
        <v>4</v>
      </c>
      <c r="AF14" s="6" t="s">
        <v>4</v>
      </c>
      <c r="AG14" s="6" t="s">
        <v>3</v>
      </c>
      <c r="AH14" s="6" t="s">
        <v>4</v>
      </c>
      <c r="AI14" s="6" t="s">
        <v>3</v>
      </c>
      <c r="AJ14" s="6" t="s">
        <v>4</v>
      </c>
      <c r="AK14" s="6" t="s">
        <v>4</v>
      </c>
      <c r="AL14" s="6" t="s">
        <v>3</v>
      </c>
      <c r="AM14" s="6" t="s">
        <v>3</v>
      </c>
      <c r="AO14" s="82" t="s">
        <v>510</v>
      </c>
      <c r="AP14" s="82"/>
      <c r="AQ14" s="6">
        <f>'Data Training 1'!AW22*'Data Training 1'!AT33*'Data Training 1'!AT38*'Data Training 1'!AT43*'Data Training 1'!AT52*'Data Training 1'!AT58*'Data Training 1'!AT64*'Data Training 1'!AT70*'Data Training 1'!AT75*'Data Training 1'!AT80*'Data Training 1'!AT86*'Data Training 1'!AT91*'Data Training 1'!AT98*'Data Training 1'!AT106*'Data Training 1'!AT110*'Data Training 1'!AT116*'Data Training 1'!AT124*'Data Training 1'!AT130*'Data Training 1'!AT136*'Data Training 1'!AT141*'Data Training 1'!AT145*'Data Training 1'!AT152*'Data Training 1'!AT159*'Data Training 1'!AT164*'Data Training 1'!AT167*'Data Training 1'!AT171*'Data Training 1'!AT175*'Data Training 1'!AT179*'Data Training 1'!AT183*'Data Training 1'!AT187*'Data Training 1'!AT191*'Data Training 1'!AT195*'Data Training 1'!AT199*'Data Training 1'!AT203*'Data Training 1'!AT207*'Data Training 1'!AT212*'Data Training 1'!AT216</f>
        <v>3.999980786209588E-9</v>
      </c>
    </row>
    <row r="15" spans="1:79">
      <c r="A15" s="6">
        <f t="shared" si="0"/>
        <v>14</v>
      </c>
      <c r="B15" s="6" t="s">
        <v>501</v>
      </c>
      <c r="C15" s="6">
        <v>3</v>
      </c>
      <c r="D15" s="6" t="s">
        <v>2</v>
      </c>
      <c r="E15" s="6" t="s">
        <v>3</v>
      </c>
      <c r="F15" s="6" t="s">
        <v>3</v>
      </c>
      <c r="G15" s="6" t="s">
        <v>2</v>
      </c>
      <c r="H15" s="6" t="s">
        <v>5</v>
      </c>
      <c r="I15" s="6" t="s">
        <v>2</v>
      </c>
      <c r="J15" s="6" t="s">
        <v>5</v>
      </c>
      <c r="K15" s="6" t="s">
        <v>2</v>
      </c>
      <c r="L15" s="6" t="s">
        <v>3</v>
      </c>
      <c r="M15" s="6" t="s">
        <v>4</v>
      </c>
      <c r="N15" s="6" t="s">
        <v>4</v>
      </c>
      <c r="O15" s="6" t="s">
        <v>5</v>
      </c>
      <c r="P15" s="6" t="s">
        <v>5</v>
      </c>
      <c r="Q15" s="6" t="s">
        <v>4</v>
      </c>
      <c r="R15" s="6" t="s">
        <v>5</v>
      </c>
      <c r="S15" s="6" t="s">
        <v>5</v>
      </c>
      <c r="T15" s="6" t="s">
        <v>5</v>
      </c>
      <c r="U15" s="6" t="s">
        <v>5</v>
      </c>
      <c r="V15" s="6" t="s">
        <v>5</v>
      </c>
      <c r="W15" s="6" t="s">
        <v>4</v>
      </c>
      <c r="X15" s="6" t="s">
        <v>3</v>
      </c>
      <c r="Y15" s="6" t="s">
        <v>4</v>
      </c>
      <c r="Z15" s="6" t="s">
        <v>4</v>
      </c>
      <c r="AA15" s="6" t="s">
        <v>4</v>
      </c>
      <c r="AB15" s="6" t="s">
        <v>4</v>
      </c>
      <c r="AC15" s="6" t="s">
        <v>4</v>
      </c>
      <c r="AD15" s="6" t="s">
        <v>4</v>
      </c>
      <c r="AE15" s="6" t="s">
        <v>4</v>
      </c>
      <c r="AF15" s="6" t="s">
        <v>4</v>
      </c>
      <c r="AG15" s="6" t="s">
        <v>4</v>
      </c>
      <c r="AH15" s="6" t="s">
        <v>4</v>
      </c>
      <c r="AI15" s="6" t="s">
        <v>3</v>
      </c>
      <c r="AJ15" s="6" t="s">
        <v>4</v>
      </c>
      <c r="AK15" s="6" t="s">
        <v>4</v>
      </c>
      <c r="AL15" s="6" t="s">
        <v>3</v>
      </c>
      <c r="AM15" s="6" t="s">
        <v>4</v>
      </c>
      <c r="AO15" s="82" t="s">
        <v>511</v>
      </c>
      <c r="AP15" s="82"/>
      <c r="AQ15" s="6">
        <f>'Data Training 1'!AW23*'Data Training 1'!AU33*'Data Training 1'!AU38*'Data Training 1'!AU43*'Data Training 1'!AU52*'Data Training 1'!AU58*'Data Training 1'!AU64*'Data Training 1'!AU70*'Data Training 1'!AU75*'Data Training 1'!AU80*'Data Training 1'!AU86*'Data Training 1'!AU91*'Data Training 1'!AU98*'Data Training 1'!AU106*'Data Training 1'!AU110*'Data Training 1'!AU116*'Data Training 1'!AU124*'Data Training 1'!AU130*'Data Training 1'!AU136*'Data Training 1'!AU141*'Data Training 1'!AU145*'Data Training 1'!AU152*'Data Training 1'!AU159*'Data Training 1'!AU164*'Data Training 1'!AU167*'Data Training 1'!AU171*'Data Training 1'!AU175*'Data Training 1'!AU179*'Data Training 1'!AU183*'Data Training 1'!AU187*'Data Training 1'!AU191*'Data Training 1'!AU195*'Data Training 1'!AU199*'Data Training 1'!AU203*'Data Training 1'!AU207*'Data Training 1'!AU212*'Data Training 1'!AU216</f>
        <v>5.1357777995777438E-12</v>
      </c>
    </row>
    <row r="16" spans="1:79">
      <c r="A16" s="6">
        <f t="shared" si="0"/>
        <v>15</v>
      </c>
      <c r="B16" s="6" t="s">
        <v>320</v>
      </c>
      <c r="C16" s="6">
        <v>3</v>
      </c>
      <c r="D16" s="6" t="s">
        <v>2</v>
      </c>
      <c r="E16" s="6" t="s">
        <v>3</v>
      </c>
      <c r="F16" s="6" t="s">
        <v>3</v>
      </c>
      <c r="G16" s="6" t="s">
        <v>5</v>
      </c>
      <c r="H16" s="6" t="s">
        <v>5</v>
      </c>
      <c r="I16" s="6" t="s">
        <v>5</v>
      </c>
      <c r="J16" s="6" t="s">
        <v>2</v>
      </c>
      <c r="K16" s="6" t="s">
        <v>2</v>
      </c>
      <c r="L16" s="6" t="s">
        <v>3</v>
      </c>
      <c r="M16" s="6" t="s">
        <v>3</v>
      </c>
      <c r="N16" s="6" t="s">
        <v>4</v>
      </c>
      <c r="O16" s="6" t="s">
        <v>5</v>
      </c>
      <c r="P16" s="6" t="s">
        <v>2</v>
      </c>
      <c r="Q16" s="6" t="s">
        <v>3</v>
      </c>
      <c r="R16" s="6" t="s">
        <v>2</v>
      </c>
      <c r="S16" s="6" t="s">
        <v>5</v>
      </c>
      <c r="T16" s="6" t="s">
        <v>5</v>
      </c>
      <c r="U16" s="6" t="s">
        <v>5</v>
      </c>
      <c r="V16" s="6" t="s">
        <v>5</v>
      </c>
      <c r="W16" s="6" t="s">
        <v>4</v>
      </c>
      <c r="X16" s="6" t="s">
        <v>3</v>
      </c>
      <c r="Y16" s="6" t="s">
        <v>3</v>
      </c>
      <c r="Z16" s="6" t="s">
        <v>3</v>
      </c>
      <c r="AA16" s="6" t="s">
        <v>4</v>
      </c>
      <c r="AB16" s="6" t="s">
        <v>4</v>
      </c>
      <c r="AC16" s="6" t="s">
        <v>4</v>
      </c>
      <c r="AD16" s="6" t="s">
        <v>4</v>
      </c>
      <c r="AE16" s="6" t="s">
        <v>4</v>
      </c>
      <c r="AF16" s="6" t="s">
        <v>4</v>
      </c>
      <c r="AG16" s="6" t="s">
        <v>3</v>
      </c>
      <c r="AH16" s="6" t="s">
        <v>4</v>
      </c>
      <c r="AI16" s="6" t="s">
        <v>3</v>
      </c>
      <c r="AJ16" s="6" t="s">
        <v>4</v>
      </c>
      <c r="AK16" s="6" t="s">
        <v>4</v>
      </c>
      <c r="AL16" s="6" t="s">
        <v>3</v>
      </c>
      <c r="AM16" s="6" t="s">
        <v>3</v>
      </c>
      <c r="AO16" s="82" t="s">
        <v>506</v>
      </c>
      <c r="AP16" s="82"/>
      <c r="AQ16" s="6">
        <f>'Data Training 1'!AW24*'Data Training 1'!AV33*'Data Training 1'!AV38*'Data Training 1'!AV43*'Data Training 1'!AV52*'Data Training 1'!AV58*'Data Training 1'!AV64*'Data Training 1'!AV70*'Data Training 1'!AV75*'Data Training 1'!AV80*'Data Training 1'!AV86*'Data Training 1'!AV91*'Data Training 1'!AV98*'Data Training 1'!AV106*'Data Training 1'!AV110*'Data Training 1'!AV116*'Data Training 1'!AV124*'Data Training 1'!AV130*'Data Training 1'!AV136*'Data Training 1'!AV141*'Data Training 1'!AV145*'Data Training 1'!AV152*'Data Training 1'!AV159*'Data Training 1'!AV164*'Data Training 1'!AV167*'Data Training 1'!AV171*'Data Training 1'!AV175*'Data Training 1'!AV179*'Data Training 1'!AV183*'Data Training 1'!AV187*'Data Training 1'!AV191*'Data Training 1'!AV195*'Data Training 1'!AV199*'Data Training 1'!AV203*'Data Training 1'!AV207*'Data Training 1'!AV212*'Data Training 1'!AV216</f>
        <v>0</v>
      </c>
    </row>
    <row r="17" spans="1:79">
      <c r="A17" s="6">
        <f t="shared" si="0"/>
        <v>16</v>
      </c>
      <c r="B17" s="6" t="s">
        <v>467</v>
      </c>
      <c r="C17" s="6">
        <v>3</v>
      </c>
      <c r="D17" s="6" t="s">
        <v>2</v>
      </c>
      <c r="E17" s="6" t="s">
        <v>5</v>
      </c>
      <c r="F17" s="6" t="s">
        <v>3</v>
      </c>
      <c r="G17" s="6" t="s">
        <v>3</v>
      </c>
      <c r="H17" s="6" t="s">
        <v>5</v>
      </c>
      <c r="I17" s="6" t="s">
        <v>5</v>
      </c>
      <c r="J17" s="6" t="s">
        <v>2</v>
      </c>
      <c r="K17" s="6" t="s">
        <v>2</v>
      </c>
      <c r="L17" s="6" t="s">
        <v>3</v>
      </c>
      <c r="M17" s="6" t="s">
        <v>4</v>
      </c>
      <c r="N17" s="6" t="s">
        <v>4</v>
      </c>
      <c r="O17" s="6" t="s">
        <v>5</v>
      </c>
      <c r="P17" s="6" t="s">
        <v>3</v>
      </c>
      <c r="Q17" s="6" t="s">
        <v>3</v>
      </c>
      <c r="R17" s="6" t="s">
        <v>2</v>
      </c>
      <c r="S17" s="6" t="s">
        <v>5</v>
      </c>
      <c r="T17" s="6" t="s">
        <v>3</v>
      </c>
      <c r="U17" s="6" t="s">
        <v>2</v>
      </c>
      <c r="V17" s="6" t="s">
        <v>5</v>
      </c>
      <c r="W17" s="6" t="s">
        <v>4</v>
      </c>
      <c r="X17" s="6" t="s">
        <v>3</v>
      </c>
      <c r="Y17" s="6" t="s">
        <v>2</v>
      </c>
      <c r="Z17" s="6" t="s">
        <v>3</v>
      </c>
      <c r="AA17" s="6" t="s">
        <v>4</v>
      </c>
      <c r="AB17" s="6" t="s">
        <v>4</v>
      </c>
      <c r="AC17" s="6" t="s">
        <v>4</v>
      </c>
      <c r="AD17" s="6" t="s">
        <v>4</v>
      </c>
      <c r="AE17" s="6" t="s">
        <v>4</v>
      </c>
      <c r="AF17" s="6" t="s">
        <v>4</v>
      </c>
      <c r="AG17" s="6" t="s">
        <v>3</v>
      </c>
      <c r="AH17" s="6" t="s">
        <v>4</v>
      </c>
      <c r="AI17" s="6" t="s">
        <v>3</v>
      </c>
      <c r="AJ17" s="6" t="s">
        <v>4</v>
      </c>
      <c r="AK17" s="6" t="s">
        <v>4</v>
      </c>
      <c r="AL17" s="6" t="s">
        <v>4</v>
      </c>
      <c r="AM17" s="6" t="s">
        <v>3</v>
      </c>
      <c r="AO17" s="6" t="s">
        <v>507</v>
      </c>
      <c r="AP17" s="6"/>
      <c r="AQ17" s="6">
        <f>'Data Training 1'!AW25*'Data Training 1'!AW33*'Data Training 1'!AW38*'Data Training 1'!AW43*'Data Training 1'!AW52*'Data Training 1'!AW58*'Data Training 1'!AW64*'Data Training 1'!AW70*'Data Training 1'!AW75*'Data Training 1'!AW80*'Data Training 1'!AW86*'Data Training 1'!AW91*'Data Training 1'!AW98*'Data Training 1'!AW106*'Data Training 1'!AW110*'Data Training 1'!AW116*'Data Training 1'!AW124*'Data Training 1'!AW130*'Data Training 1'!AW136*'Data Training 1'!AW141*'Data Training 1'!AW145*'Data Training 1'!AW152*'Data Training 1'!AW159*'Data Training 1'!AW164*'Data Training 1'!AW167*'Data Training 1'!AW171*'Data Training 1'!AW175*'Data Training 1'!AW179*'Data Training 1'!AW183*'Data Training 1'!AW187*'Data Training 1'!AW191*'Data Training 1'!AW195*'Data Training 1'!AW199*'Data Training 1'!AW203*'Data Training 1'!AW207*'Data Training 1'!AW212*'Data Training 1'!AW216</f>
        <v>0</v>
      </c>
    </row>
    <row r="18" spans="1:79">
      <c r="A18" s="6">
        <f t="shared" si="0"/>
        <v>17</v>
      </c>
      <c r="B18" s="6" t="s">
        <v>468</v>
      </c>
      <c r="C18" s="6">
        <v>3</v>
      </c>
      <c r="D18" s="6" t="s">
        <v>4</v>
      </c>
      <c r="E18" s="6" t="s">
        <v>3</v>
      </c>
      <c r="F18" s="6" t="s">
        <v>5</v>
      </c>
      <c r="G18" s="6" t="s">
        <v>5</v>
      </c>
      <c r="H18" s="6" t="s">
        <v>5</v>
      </c>
      <c r="I18" s="6" t="s">
        <v>5</v>
      </c>
      <c r="J18" s="6" t="s">
        <v>5</v>
      </c>
      <c r="K18" s="6" t="s">
        <v>2</v>
      </c>
      <c r="L18" s="6" t="s">
        <v>3</v>
      </c>
      <c r="M18" s="6" t="s">
        <v>3</v>
      </c>
      <c r="N18" s="6" t="s">
        <v>2</v>
      </c>
      <c r="O18" s="6" t="s">
        <v>2</v>
      </c>
      <c r="P18" s="6" t="s">
        <v>5</v>
      </c>
      <c r="Q18" s="6" t="s">
        <v>3</v>
      </c>
      <c r="R18" s="6" t="s">
        <v>2</v>
      </c>
      <c r="S18" s="6" t="s">
        <v>2</v>
      </c>
      <c r="T18" s="6" t="s">
        <v>5</v>
      </c>
      <c r="U18" s="6" t="s">
        <v>5</v>
      </c>
      <c r="V18" s="6" t="s">
        <v>5</v>
      </c>
      <c r="W18" s="6" t="s">
        <v>3</v>
      </c>
      <c r="X18" s="6" t="s">
        <v>5</v>
      </c>
      <c r="Y18" s="6" t="s">
        <v>5</v>
      </c>
      <c r="Z18" s="6" t="s">
        <v>4</v>
      </c>
      <c r="AA18" s="6" t="s">
        <v>4</v>
      </c>
      <c r="AB18" s="6" t="s">
        <v>4</v>
      </c>
      <c r="AC18" s="6" t="s">
        <v>4</v>
      </c>
      <c r="AD18" s="6" t="s">
        <v>4</v>
      </c>
      <c r="AE18" s="6" t="s">
        <v>4</v>
      </c>
      <c r="AF18" s="6" t="s">
        <v>4</v>
      </c>
      <c r="AG18" s="6" t="s">
        <v>3</v>
      </c>
      <c r="AH18" s="6" t="s">
        <v>4</v>
      </c>
      <c r="AI18" s="6" t="s">
        <v>3</v>
      </c>
      <c r="AJ18" s="6" t="s">
        <v>4</v>
      </c>
      <c r="AK18" s="6" t="s">
        <v>4</v>
      </c>
      <c r="AL18" s="6" t="s">
        <v>3</v>
      </c>
      <c r="AM18" s="6" t="s">
        <v>3</v>
      </c>
      <c r="AO18" s="6" t="s">
        <v>508</v>
      </c>
      <c r="AP18" s="6"/>
      <c r="AQ18" s="6">
        <f>'Data Training 1'!AW26*'Data Training 1'!AX33*'Data Training 1'!AX38*'Data Training 1'!AX43*'Data Training 1'!AX52*'Data Training 1'!AX58*'Data Training 1'!AX64*'Data Training 1'!AX70*'Data Training 1'!AX75*'Data Training 1'!AX80*'Data Training 1'!AX86*'Data Training 1'!AX91*'Data Training 1'!AX98*'Data Training 1'!AX106*'Data Training 1'!AX110*'Data Training 1'!AX116*'Data Training 1'!AX124*'Data Training 1'!AX130*'Data Training 1'!AX136*'Data Training 1'!AX141*'Data Training 1'!AX145*'Data Training 1'!AX152*'Data Training 1'!AX159*'Data Training 1'!AX164*'Data Training 1'!AX167*'Data Training 1'!AX171*'Data Training 1'!AX175*'Data Training 1'!AX179*'Data Training 1'!AX183*'Data Training 1'!AX187*'Data Training 1'!AX191*'Data Training 1'!AX195*'Data Training 1'!AX199*'Data Training 1'!AX203*'Data Training 1'!AX207*'Data Training 1'!AX212*'Data Training 1'!AX216</f>
        <v>0</v>
      </c>
    </row>
    <row r="19" spans="1:79">
      <c r="A19" s="6">
        <f t="shared" si="0"/>
        <v>18</v>
      </c>
      <c r="B19" s="6" t="s">
        <v>492</v>
      </c>
      <c r="C19" s="6">
        <v>3</v>
      </c>
      <c r="D19" s="6" t="s">
        <v>5</v>
      </c>
      <c r="E19" s="6" t="s">
        <v>4</v>
      </c>
      <c r="F19" s="6" t="s">
        <v>4</v>
      </c>
      <c r="G19" s="6" t="s">
        <v>5</v>
      </c>
      <c r="H19" s="6" t="s">
        <v>5</v>
      </c>
      <c r="I19" s="6" t="s">
        <v>5</v>
      </c>
      <c r="J19" s="6" t="s">
        <v>5</v>
      </c>
      <c r="K19" s="6" t="s">
        <v>2</v>
      </c>
      <c r="L19" s="6" t="s">
        <v>2</v>
      </c>
      <c r="M19" s="6" t="s">
        <v>3</v>
      </c>
      <c r="N19" s="6" t="s">
        <v>4</v>
      </c>
      <c r="O19" s="6" t="s">
        <v>2</v>
      </c>
      <c r="P19" s="6" t="s">
        <v>2</v>
      </c>
      <c r="Q19" s="6" t="s">
        <v>2</v>
      </c>
      <c r="R19" s="6" t="s">
        <v>5</v>
      </c>
      <c r="S19" s="6" t="s">
        <v>5</v>
      </c>
      <c r="T19" s="6" t="s">
        <v>3</v>
      </c>
      <c r="U19" s="6" t="s">
        <v>3</v>
      </c>
      <c r="V19" s="6" t="s">
        <v>2</v>
      </c>
      <c r="W19" s="6" t="s">
        <v>4</v>
      </c>
      <c r="X19" s="6" t="s">
        <v>5</v>
      </c>
      <c r="Y19" s="6" t="s">
        <v>3</v>
      </c>
      <c r="Z19" s="6" t="s">
        <v>3</v>
      </c>
      <c r="AA19" s="6" t="s">
        <v>3</v>
      </c>
      <c r="AB19" s="6" t="s">
        <v>3</v>
      </c>
      <c r="AC19" s="6" t="s">
        <v>4</v>
      </c>
      <c r="AD19" s="6" t="s">
        <v>4</v>
      </c>
      <c r="AE19" s="6" t="s">
        <v>4</v>
      </c>
      <c r="AF19" s="6" t="s">
        <v>4</v>
      </c>
      <c r="AG19" s="6" t="s">
        <v>3</v>
      </c>
      <c r="AH19" s="6" t="s">
        <v>4</v>
      </c>
      <c r="AI19" s="6" t="s">
        <v>4</v>
      </c>
      <c r="AJ19" s="6" t="s">
        <v>4</v>
      </c>
      <c r="AK19" s="6" t="s">
        <v>4</v>
      </c>
      <c r="AL19" s="6" t="s">
        <v>4</v>
      </c>
      <c r="AM19" s="6" t="s">
        <v>3</v>
      </c>
      <c r="AO19" s="6" t="s">
        <v>509</v>
      </c>
      <c r="AP19" s="6"/>
      <c r="AQ19" s="6">
        <f>'Data Training 1'!AW27*'Data Training 1'!AY33*'Data Training 1'!AY38*'Data Training 1'!AY43*'Data Training 1'!AY52*'Data Training 1'!AY58*'Data Training 1'!AY64*'Data Training 1'!AY70*'Data Training 1'!AY75*'Data Training 1'!AY80*'Data Training 1'!AY86*'Data Training 1'!AY91*'Data Training 1'!AY98*'Data Training 1'!AY106*'Data Training 1'!AY110*'Data Training 1'!AY116*'Data Training 1'!AY124*'Data Training 1'!AY130*'Data Training 1'!AY136*'Data Training 1'!AY141*'Data Training 1'!AY145*'Data Training 1'!AY152*'Data Training 1'!AY159*'Data Training 1'!AY164*'Data Training 1'!AY167*'Data Training 1'!AY171*'Data Training 1'!AY175*'Data Training 1'!AY179*'Data Training 1'!AY183*'Data Training 1'!AY187*'Data Training 1'!AY191*'Data Training 1'!AY195*'Data Training 1'!AY199*'Data Training 1'!AY203*'Data Training 1'!AY207*'Data Training 1'!AY212*'Data Training 1'!AY216</f>
        <v>0</v>
      </c>
    </row>
    <row r="20" spans="1:79">
      <c r="A20" s="6">
        <f t="shared" si="0"/>
        <v>19</v>
      </c>
      <c r="B20" s="6" t="s">
        <v>321</v>
      </c>
      <c r="C20" s="6">
        <v>4</v>
      </c>
      <c r="D20" s="6" t="s">
        <v>3</v>
      </c>
      <c r="E20" s="6" t="s">
        <v>3</v>
      </c>
      <c r="F20" s="6" t="s">
        <v>3</v>
      </c>
      <c r="G20" s="6" t="s">
        <v>5</v>
      </c>
      <c r="H20" s="6" t="s">
        <v>5</v>
      </c>
      <c r="I20" s="6" t="s">
        <v>5</v>
      </c>
      <c r="J20" s="6" t="s">
        <v>5</v>
      </c>
      <c r="K20" s="6" t="s">
        <v>2</v>
      </c>
      <c r="L20" s="6" t="s">
        <v>2</v>
      </c>
      <c r="M20" s="6" t="s">
        <v>3</v>
      </c>
      <c r="N20" s="6" t="s">
        <v>4</v>
      </c>
      <c r="O20" s="6" t="s">
        <v>5</v>
      </c>
      <c r="P20" s="6" t="s">
        <v>5</v>
      </c>
      <c r="Q20" s="6" t="s">
        <v>3</v>
      </c>
      <c r="R20" s="6" t="s">
        <v>2</v>
      </c>
      <c r="S20" s="6" t="s">
        <v>5</v>
      </c>
      <c r="T20" s="6" t="s">
        <v>5</v>
      </c>
      <c r="U20" s="6" t="s">
        <v>5</v>
      </c>
      <c r="V20" s="6" t="s">
        <v>4</v>
      </c>
      <c r="W20" s="6" t="s">
        <v>4</v>
      </c>
      <c r="X20" s="6" t="s">
        <v>4</v>
      </c>
      <c r="Y20" s="6" t="s">
        <v>2</v>
      </c>
      <c r="Z20" s="6" t="s">
        <v>3</v>
      </c>
      <c r="AA20" s="6" t="s">
        <v>4</v>
      </c>
      <c r="AB20" s="6" t="s">
        <v>4</v>
      </c>
      <c r="AC20" s="6" t="s">
        <v>4</v>
      </c>
      <c r="AD20" s="6" t="s">
        <v>4</v>
      </c>
      <c r="AE20" s="6" t="s">
        <v>4</v>
      </c>
      <c r="AF20" s="6" t="s">
        <v>3</v>
      </c>
      <c r="AG20" s="6" t="s">
        <v>3</v>
      </c>
      <c r="AH20" s="6" t="s">
        <v>4</v>
      </c>
      <c r="AI20" s="6" t="s">
        <v>3</v>
      </c>
      <c r="AJ20" s="6" t="s">
        <v>3</v>
      </c>
      <c r="AK20" s="6" t="s">
        <v>4</v>
      </c>
      <c r="AL20" s="6" t="s">
        <v>4</v>
      </c>
      <c r="AM20" s="6" t="s">
        <v>3</v>
      </c>
      <c r="AO20" s="80" t="s">
        <v>437</v>
      </c>
      <c r="AP20" s="80"/>
      <c r="AQ20" s="6" t="s">
        <v>300</v>
      </c>
      <c r="AR20" s="83" t="s">
        <v>439</v>
      </c>
      <c r="AS20" s="83"/>
      <c r="AT20" s="83"/>
    </row>
    <row r="21" spans="1:79">
      <c r="A21" s="6">
        <f t="shared" si="0"/>
        <v>20</v>
      </c>
      <c r="B21" s="6" t="s">
        <v>322</v>
      </c>
      <c r="C21" s="6">
        <v>4</v>
      </c>
      <c r="D21" s="6" t="s">
        <v>5</v>
      </c>
      <c r="E21" s="6" t="s">
        <v>5</v>
      </c>
      <c r="F21" s="6" t="s">
        <v>2</v>
      </c>
      <c r="G21" s="6" t="s">
        <v>5</v>
      </c>
      <c r="H21" s="6" t="s">
        <v>5</v>
      </c>
      <c r="I21" s="6" t="s">
        <v>5</v>
      </c>
      <c r="J21" s="6" t="s">
        <v>5</v>
      </c>
      <c r="K21" s="6" t="s">
        <v>2</v>
      </c>
      <c r="L21" s="6" t="s">
        <v>2</v>
      </c>
      <c r="M21" s="6" t="s">
        <v>2</v>
      </c>
      <c r="N21" s="6" t="s">
        <v>3</v>
      </c>
      <c r="O21" s="6" t="s">
        <v>5</v>
      </c>
      <c r="P21" s="6" t="s">
        <v>5</v>
      </c>
      <c r="Q21" s="6" t="s">
        <v>2</v>
      </c>
      <c r="R21" s="6" t="s">
        <v>2</v>
      </c>
      <c r="S21" s="6" t="s">
        <v>5</v>
      </c>
      <c r="T21" s="6" t="s">
        <v>5</v>
      </c>
      <c r="U21" s="6" t="s">
        <v>5</v>
      </c>
      <c r="V21" s="6" t="s">
        <v>5</v>
      </c>
      <c r="W21" s="6" t="s">
        <v>3</v>
      </c>
      <c r="X21" s="6" t="s">
        <v>3</v>
      </c>
      <c r="Y21" s="6" t="s">
        <v>2</v>
      </c>
      <c r="Z21" s="6" t="s">
        <v>3</v>
      </c>
      <c r="AA21" s="6" t="s">
        <v>4</v>
      </c>
      <c r="AB21" s="6" t="s">
        <v>4</v>
      </c>
      <c r="AC21" s="6" t="s">
        <v>4</v>
      </c>
      <c r="AD21" s="6" t="s">
        <v>4</v>
      </c>
      <c r="AE21" s="6" t="s">
        <v>4</v>
      </c>
      <c r="AF21" s="6" t="s">
        <v>3</v>
      </c>
      <c r="AG21" s="6" t="s">
        <v>3</v>
      </c>
      <c r="AH21" s="6" t="s">
        <v>4</v>
      </c>
      <c r="AI21" s="6" t="s">
        <v>3</v>
      </c>
      <c r="AJ21" s="6" t="s">
        <v>3</v>
      </c>
      <c r="AK21" s="6" t="s">
        <v>4</v>
      </c>
      <c r="AL21" s="6" t="s">
        <v>3</v>
      </c>
      <c r="AM21" s="6" t="s">
        <v>3</v>
      </c>
      <c r="AP21" s="3"/>
    </row>
    <row r="22" spans="1:79">
      <c r="A22" s="6">
        <f t="shared" si="0"/>
        <v>21</v>
      </c>
      <c r="B22" s="6" t="s">
        <v>323</v>
      </c>
      <c r="C22" s="6">
        <v>4</v>
      </c>
      <c r="D22" s="6" t="s">
        <v>5</v>
      </c>
      <c r="E22" s="6" t="s">
        <v>3</v>
      </c>
      <c r="F22" s="6" t="s">
        <v>2</v>
      </c>
      <c r="G22" s="6" t="s">
        <v>5</v>
      </c>
      <c r="H22" s="6" t="s">
        <v>5</v>
      </c>
      <c r="I22" s="6" t="s">
        <v>5</v>
      </c>
      <c r="J22" s="6" t="s">
        <v>2</v>
      </c>
      <c r="K22" s="6" t="s">
        <v>2</v>
      </c>
      <c r="L22" s="6" t="s">
        <v>3</v>
      </c>
      <c r="M22" s="6" t="s">
        <v>3</v>
      </c>
      <c r="N22" s="6" t="s">
        <v>3</v>
      </c>
      <c r="O22" s="6" t="s">
        <v>3</v>
      </c>
      <c r="P22" s="6" t="s">
        <v>2</v>
      </c>
      <c r="Q22" s="6" t="s">
        <v>2</v>
      </c>
      <c r="R22" s="6" t="s">
        <v>2</v>
      </c>
      <c r="S22" s="6" t="s">
        <v>5</v>
      </c>
      <c r="T22" s="6" t="s">
        <v>2</v>
      </c>
      <c r="U22" s="6" t="s">
        <v>2</v>
      </c>
      <c r="V22" s="6" t="s">
        <v>5</v>
      </c>
      <c r="W22" s="6" t="s">
        <v>3</v>
      </c>
      <c r="X22" s="6" t="s">
        <v>2</v>
      </c>
      <c r="Y22" s="6" t="s">
        <v>2</v>
      </c>
      <c r="Z22" s="6" t="s">
        <v>3</v>
      </c>
      <c r="AA22" s="6" t="s">
        <v>4</v>
      </c>
      <c r="AB22" s="6" t="s">
        <v>4</v>
      </c>
      <c r="AC22" s="6" t="s">
        <v>4</v>
      </c>
      <c r="AD22" s="6" t="s">
        <v>4</v>
      </c>
      <c r="AE22" s="6" t="s">
        <v>4</v>
      </c>
      <c r="AF22" s="6" t="s">
        <v>3</v>
      </c>
      <c r="AG22" s="6" t="s">
        <v>3</v>
      </c>
      <c r="AH22" s="6" t="s">
        <v>4</v>
      </c>
      <c r="AI22" s="6" t="s">
        <v>3</v>
      </c>
      <c r="AJ22" s="6" t="s">
        <v>4</v>
      </c>
      <c r="AK22" s="6" t="s">
        <v>4</v>
      </c>
      <c r="AL22" s="6" t="s">
        <v>4</v>
      </c>
      <c r="AM22" s="6" t="s">
        <v>3</v>
      </c>
      <c r="AO22" s="84" t="s">
        <v>499</v>
      </c>
      <c r="AP22" s="84"/>
      <c r="AQ22" s="7" t="s">
        <v>64</v>
      </c>
      <c r="AR22" s="51" t="s">
        <v>43</v>
      </c>
      <c r="AS22" s="51" t="s">
        <v>44</v>
      </c>
      <c r="AT22" s="51" t="s">
        <v>45</v>
      </c>
      <c r="AU22" s="51" t="s">
        <v>46</v>
      </c>
      <c r="AV22" s="51" t="s">
        <v>47</v>
      </c>
      <c r="AW22" s="51" t="s">
        <v>48</v>
      </c>
      <c r="AX22" s="51" t="s">
        <v>49</v>
      </c>
      <c r="AY22" s="51" t="s">
        <v>50</v>
      </c>
      <c r="AZ22" s="51" t="s">
        <v>51</v>
      </c>
      <c r="BA22" s="51" t="s">
        <v>52</v>
      </c>
      <c r="BB22" s="51" t="s">
        <v>53</v>
      </c>
      <c r="BC22" s="51" t="s">
        <v>54</v>
      </c>
      <c r="BD22" s="51" t="s">
        <v>55</v>
      </c>
      <c r="BE22" s="51" t="s">
        <v>56</v>
      </c>
      <c r="BF22" s="51" t="s">
        <v>57</v>
      </c>
      <c r="BG22" s="51" t="s">
        <v>58</v>
      </c>
      <c r="BH22" s="51" t="s">
        <v>59</v>
      </c>
      <c r="BI22" s="51" t="s">
        <v>60</v>
      </c>
      <c r="BJ22" s="51" t="s">
        <v>61</v>
      </c>
      <c r="BK22" s="51" t="s">
        <v>62</v>
      </c>
      <c r="BL22" s="51" t="s">
        <v>63</v>
      </c>
      <c r="BM22" s="51" t="s">
        <v>330</v>
      </c>
      <c r="BN22" s="51" t="s">
        <v>331</v>
      </c>
      <c r="BO22" s="51" t="s">
        <v>332</v>
      </c>
      <c r="BP22" s="51" t="s">
        <v>333</v>
      </c>
      <c r="BQ22" s="51" t="s">
        <v>334</v>
      </c>
      <c r="BR22" s="51" t="s">
        <v>335</v>
      </c>
      <c r="BS22" s="51" t="s">
        <v>336</v>
      </c>
      <c r="BT22" s="51" t="s">
        <v>337</v>
      </c>
      <c r="BU22" s="51" t="s">
        <v>338</v>
      </c>
      <c r="BV22" s="51" t="s">
        <v>339</v>
      </c>
      <c r="BW22" s="51" t="s">
        <v>340</v>
      </c>
      <c r="BX22" s="51" t="s">
        <v>341</v>
      </c>
      <c r="BY22" s="51" t="s">
        <v>342</v>
      </c>
      <c r="BZ22" s="51" t="s">
        <v>343</v>
      </c>
      <c r="CA22" s="51" t="s">
        <v>390</v>
      </c>
    </row>
    <row r="23" spans="1:79">
      <c r="A23" s="6">
        <f t="shared" si="0"/>
        <v>22</v>
      </c>
      <c r="B23" s="6" t="s">
        <v>471</v>
      </c>
      <c r="C23" s="6">
        <v>4</v>
      </c>
      <c r="D23" s="6" t="s">
        <v>5</v>
      </c>
      <c r="E23" s="6" t="s">
        <v>5</v>
      </c>
      <c r="F23" s="6" t="s">
        <v>2</v>
      </c>
      <c r="G23" s="6" t="s">
        <v>5</v>
      </c>
      <c r="H23" s="6" t="s">
        <v>5</v>
      </c>
      <c r="I23" s="6" t="s">
        <v>5</v>
      </c>
      <c r="J23" s="6" t="s">
        <v>5</v>
      </c>
      <c r="K23" s="6" t="s">
        <v>2</v>
      </c>
      <c r="L23" s="6" t="s">
        <v>3</v>
      </c>
      <c r="M23" s="6" t="s">
        <v>4</v>
      </c>
      <c r="N23" s="6" t="s">
        <v>4</v>
      </c>
      <c r="O23" s="6" t="s">
        <v>3</v>
      </c>
      <c r="P23" s="6" t="s">
        <v>2</v>
      </c>
      <c r="Q23" s="6" t="s">
        <v>2</v>
      </c>
      <c r="R23" s="6" t="s">
        <v>3</v>
      </c>
      <c r="S23" s="6" t="s">
        <v>5</v>
      </c>
      <c r="T23" s="6" t="s">
        <v>3</v>
      </c>
      <c r="U23" s="6" t="s">
        <v>2</v>
      </c>
      <c r="V23" s="6" t="s">
        <v>5</v>
      </c>
      <c r="W23" s="6" t="s">
        <v>3</v>
      </c>
      <c r="X23" s="6" t="s">
        <v>4</v>
      </c>
      <c r="Y23" s="6" t="s">
        <v>4</v>
      </c>
      <c r="Z23" s="6" t="s">
        <v>3</v>
      </c>
      <c r="AA23" s="6" t="s">
        <v>4</v>
      </c>
      <c r="AB23" s="6" t="s">
        <v>4</v>
      </c>
      <c r="AC23" s="6" t="s">
        <v>4</v>
      </c>
      <c r="AD23" s="6" t="s">
        <v>4</v>
      </c>
      <c r="AE23" s="6" t="s">
        <v>4</v>
      </c>
      <c r="AF23" s="6" t="s">
        <v>4</v>
      </c>
      <c r="AG23" s="6" t="s">
        <v>3</v>
      </c>
      <c r="AH23" s="6" t="s">
        <v>3</v>
      </c>
      <c r="AI23" s="6" t="s">
        <v>3</v>
      </c>
      <c r="AJ23" s="6" t="s">
        <v>4</v>
      </c>
      <c r="AK23" s="6" t="s">
        <v>4</v>
      </c>
      <c r="AL23" s="6" t="s">
        <v>3</v>
      </c>
      <c r="AM23" s="6" t="s">
        <v>3</v>
      </c>
      <c r="AO23" s="84"/>
      <c r="AP23" s="84"/>
      <c r="AQ23" s="7">
        <v>1</v>
      </c>
      <c r="AR23" s="6" t="s">
        <v>2</v>
      </c>
      <c r="AS23" s="6" t="s">
        <v>5</v>
      </c>
      <c r="AT23" s="6" t="s">
        <v>3</v>
      </c>
      <c r="AU23" s="6" t="s">
        <v>5</v>
      </c>
      <c r="AV23" s="6" t="s">
        <v>5</v>
      </c>
      <c r="AW23" s="6" t="s">
        <v>3</v>
      </c>
      <c r="AX23" s="6" t="s">
        <v>2</v>
      </c>
      <c r="AY23" s="6" t="s">
        <v>2</v>
      </c>
      <c r="AZ23" s="6" t="s">
        <v>2</v>
      </c>
      <c r="BA23" s="6" t="s">
        <v>3</v>
      </c>
      <c r="BB23" s="6" t="s">
        <v>4</v>
      </c>
      <c r="BC23" s="6" t="s">
        <v>5</v>
      </c>
      <c r="BD23" s="6" t="s">
        <v>5</v>
      </c>
      <c r="BE23" s="6" t="s">
        <v>3</v>
      </c>
      <c r="BF23" s="6" t="s">
        <v>3</v>
      </c>
      <c r="BG23" s="6" t="s">
        <v>5</v>
      </c>
      <c r="BH23" s="6" t="s">
        <v>5</v>
      </c>
      <c r="BI23" s="6" t="s">
        <v>5</v>
      </c>
      <c r="BJ23" s="6" t="s">
        <v>5</v>
      </c>
      <c r="BK23" s="6" t="s">
        <v>4</v>
      </c>
      <c r="BL23" s="6" t="s">
        <v>3</v>
      </c>
      <c r="BM23" s="6" t="s">
        <v>2</v>
      </c>
      <c r="BN23" s="6" t="s">
        <v>3</v>
      </c>
      <c r="BO23" s="6" t="s">
        <v>4</v>
      </c>
      <c r="BP23" s="6" t="s">
        <v>4</v>
      </c>
      <c r="BQ23" s="6" t="s">
        <v>4</v>
      </c>
      <c r="BR23" s="6" t="s">
        <v>4</v>
      </c>
      <c r="BS23" s="6" t="s">
        <v>4</v>
      </c>
      <c r="BT23" s="6" t="s">
        <v>3</v>
      </c>
      <c r="BU23" s="6" t="s">
        <v>3</v>
      </c>
      <c r="BV23" s="6" t="s">
        <v>4</v>
      </c>
      <c r="BW23" s="6" t="s">
        <v>4</v>
      </c>
      <c r="BX23" s="6" t="s">
        <v>4</v>
      </c>
      <c r="BY23" s="6" t="s">
        <v>4</v>
      </c>
      <c r="BZ23" s="6" t="s">
        <v>4</v>
      </c>
      <c r="CA23" s="6" t="s">
        <v>3</v>
      </c>
    </row>
    <row r="24" spans="1:79">
      <c r="A24" s="6">
        <f t="shared" si="0"/>
        <v>23</v>
      </c>
      <c r="B24" s="6" t="s">
        <v>472</v>
      </c>
      <c r="C24" s="6">
        <v>4</v>
      </c>
      <c r="D24" s="6" t="s">
        <v>2</v>
      </c>
      <c r="E24" s="6" t="s">
        <v>5</v>
      </c>
      <c r="F24" s="6" t="s">
        <v>2</v>
      </c>
      <c r="G24" s="6" t="s">
        <v>5</v>
      </c>
      <c r="H24" s="6" t="s">
        <v>5</v>
      </c>
      <c r="I24" s="6" t="s">
        <v>5</v>
      </c>
      <c r="J24" s="6" t="s">
        <v>5</v>
      </c>
      <c r="K24" s="6" t="s">
        <v>2</v>
      </c>
      <c r="L24" s="6" t="s">
        <v>2</v>
      </c>
      <c r="M24" s="6" t="s">
        <v>2</v>
      </c>
      <c r="N24" s="6" t="s">
        <v>5</v>
      </c>
      <c r="O24" s="6" t="s">
        <v>4</v>
      </c>
      <c r="P24" s="6" t="s">
        <v>5</v>
      </c>
      <c r="Q24" s="6" t="s">
        <v>2</v>
      </c>
      <c r="R24" s="6" t="s">
        <v>4</v>
      </c>
      <c r="S24" s="6" t="s">
        <v>5</v>
      </c>
      <c r="T24" s="6" t="s">
        <v>5</v>
      </c>
      <c r="U24" s="6" t="s">
        <v>5</v>
      </c>
      <c r="V24" s="6" t="s">
        <v>4</v>
      </c>
      <c r="W24" s="6" t="s">
        <v>3</v>
      </c>
      <c r="X24" s="6" t="s">
        <v>4</v>
      </c>
      <c r="Y24" s="6" t="s">
        <v>4</v>
      </c>
      <c r="Z24" s="6" t="s">
        <v>3</v>
      </c>
      <c r="AA24" s="6" t="s">
        <v>4</v>
      </c>
      <c r="AB24" s="6" t="s">
        <v>4</v>
      </c>
      <c r="AC24" s="6" t="s">
        <v>4</v>
      </c>
      <c r="AD24" s="6" t="s">
        <v>4</v>
      </c>
      <c r="AE24" s="6" t="s">
        <v>4</v>
      </c>
      <c r="AF24" s="6" t="s">
        <v>4</v>
      </c>
      <c r="AG24" s="6" t="s">
        <v>3</v>
      </c>
      <c r="AH24" s="6" t="s">
        <v>4</v>
      </c>
      <c r="AI24" s="6" t="s">
        <v>3</v>
      </c>
      <c r="AJ24" s="6" t="s">
        <v>4</v>
      </c>
      <c r="AK24" s="6" t="s">
        <v>4</v>
      </c>
      <c r="AL24" s="6" t="s">
        <v>3</v>
      </c>
      <c r="AM24" s="6" t="s">
        <v>3</v>
      </c>
      <c r="AO24" s="82" t="s">
        <v>504</v>
      </c>
      <c r="AP24" s="82"/>
      <c r="AQ24" s="6">
        <f>'Data Training 1'!AW22*'Data Training 1'!AT33*'Data Training 1'!AT40*'Data Training 1'!AT44*'Data Training 1'!AT52*'Data Training 1'!AT58*'Data Training 1'!AT62*'Data Training 1'!AT69*'Data Training 1'!AT75*'Data Training 1'!AT81*'Data Training 1'!AT86*'Data Training 1'!AT91*'Data Training 1'!AT100*'Data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1'!AT188*'Data Training 1'!AT192*'Data Training 1'!AT195*'Data Training 1'!AT199*'Data Training 1'!AT203*'Data Training 1'!AT207*'Data Training 1'!AT211*'Data Training 1'!AT216</f>
        <v>1.9999903931047943E-10</v>
      </c>
    </row>
    <row r="25" spans="1:79">
      <c r="A25" s="6">
        <f t="shared" si="0"/>
        <v>24</v>
      </c>
      <c r="B25" s="6" t="s">
        <v>486</v>
      </c>
      <c r="C25" s="6">
        <v>4</v>
      </c>
      <c r="D25" s="6" t="s">
        <v>3</v>
      </c>
      <c r="E25" s="6" t="s">
        <v>5</v>
      </c>
      <c r="F25" s="6" t="s">
        <v>4</v>
      </c>
      <c r="G25" s="6" t="s">
        <v>5</v>
      </c>
      <c r="H25" s="6" t="s">
        <v>5</v>
      </c>
      <c r="I25" s="6" t="s">
        <v>5</v>
      </c>
      <c r="J25" s="6" t="s">
        <v>5</v>
      </c>
      <c r="K25" s="6" t="s">
        <v>2</v>
      </c>
      <c r="L25" s="6" t="s">
        <v>2</v>
      </c>
      <c r="M25" s="6" t="s">
        <v>4</v>
      </c>
      <c r="N25" s="6" t="s">
        <v>4</v>
      </c>
      <c r="O25" s="6" t="s">
        <v>5</v>
      </c>
      <c r="P25" s="6" t="s">
        <v>2</v>
      </c>
      <c r="Q25" s="6" t="s">
        <v>3</v>
      </c>
      <c r="R25" s="6" t="s">
        <v>5</v>
      </c>
      <c r="S25" s="6" t="s">
        <v>5</v>
      </c>
      <c r="T25" s="6" t="s">
        <v>2</v>
      </c>
      <c r="U25" s="6" t="s">
        <v>5</v>
      </c>
      <c r="V25" s="6" t="s">
        <v>5</v>
      </c>
      <c r="W25" s="6" t="s">
        <v>4</v>
      </c>
      <c r="X25" s="6" t="s">
        <v>4</v>
      </c>
      <c r="Y25" s="6" t="s">
        <v>2</v>
      </c>
      <c r="Z25" s="6" t="s">
        <v>3</v>
      </c>
      <c r="AA25" s="6" t="s">
        <v>4</v>
      </c>
      <c r="AB25" s="6" t="s">
        <v>4</v>
      </c>
      <c r="AC25" s="6" t="s">
        <v>4</v>
      </c>
      <c r="AD25" s="6" t="s">
        <v>4</v>
      </c>
      <c r="AE25" s="6" t="s">
        <v>4</v>
      </c>
      <c r="AF25" s="6" t="s">
        <v>4</v>
      </c>
      <c r="AG25" s="6" t="s">
        <v>3</v>
      </c>
      <c r="AH25" s="6" t="s">
        <v>4</v>
      </c>
      <c r="AI25" s="6" t="s">
        <v>3</v>
      </c>
      <c r="AJ25" s="6" t="s">
        <v>4</v>
      </c>
      <c r="AK25" s="6" t="s">
        <v>4</v>
      </c>
      <c r="AL25" s="6" t="s">
        <v>4</v>
      </c>
      <c r="AM25" s="6" t="s">
        <v>3</v>
      </c>
      <c r="AO25" s="6" t="s">
        <v>505</v>
      </c>
      <c r="AP25" s="52"/>
      <c r="AQ25" s="6">
        <f>'Data Training 1'!AW23*'Data Training 1'!AU33*'Data Training 1'!AU40*'Data Training 1'!AU44*'Data Training 1'!AU52*'Data Training 1'!AU58*'Data Training 1'!AU62*'Data Training 1'!AU69*'Data Training 1'!AU75*'Data Training 1'!AU81*'Data Training 1'!AU86*'Data Training 1'!AU91*'Data Training 1'!AU100*'Data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1'!AU188*'Data Training 1'!AU192*'Data Training 1'!AU195*'Data Training 1'!AU199*'Data Training 1'!AU203*'Data Training 1'!AU207*'Data Training 1'!AU211*'Data Training 1'!AU216</f>
        <v>0</v>
      </c>
    </row>
    <row r="26" spans="1:79">
      <c r="A26" s="6">
        <f t="shared" si="0"/>
        <v>25</v>
      </c>
      <c r="B26" s="6" t="s">
        <v>324</v>
      </c>
      <c r="C26" s="6">
        <v>5</v>
      </c>
      <c r="D26" s="6" t="s">
        <v>5</v>
      </c>
      <c r="E26" s="6" t="s">
        <v>3</v>
      </c>
      <c r="F26" s="6" t="s">
        <v>3</v>
      </c>
      <c r="G26" s="6" t="s">
        <v>5</v>
      </c>
      <c r="H26" s="6" t="s">
        <v>5</v>
      </c>
      <c r="I26" s="6" t="s">
        <v>5</v>
      </c>
      <c r="J26" s="6" t="s">
        <v>5</v>
      </c>
      <c r="K26" s="6" t="s">
        <v>2</v>
      </c>
      <c r="L26" s="6" t="s">
        <v>2</v>
      </c>
      <c r="M26" s="6" t="s">
        <v>5</v>
      </c>
      <c r="N26" s="6" t="s">
        <v>3</v>
      </c>
      <c r="O26" s="6" t="s">
        <v>2</v>
      </c>
      <c r="P26" s="6" t="s">
        <v>5</v>
      </c>
      <c r="Q26" s="6" t="s">
        <v>2</v>
      </c>
      <c r="R26" s="6" t="s">
        <v>3</v>
      </c>
      <c r="S26" s="6" t="s">
        <v>5</v>
      </c>
      <c r="T26" s="6" t="s">
        <v>5</v>
      </c>
      <c r="U26" s="6" t="s">
        <v>5</v>
      </c>
      <c r="V26" s="6" t="s">
        <v>5</v>
      </c>
      <c r="W26" s="6" t="s">
        <v>3</v>
      </c>
      <c r="X26" s="6" t="s">
        <v>4</v>
      </c>
      <c r="Y26" s="6" t="s">
        <v>2</v>
      </c>
      <c r="Z26" s="6" t="s">
        <v>3</v>
      </c>
      <c r="AA26" s="6" t="s">
        <v>4</v>
      </c>
      <c r="AB26" s="6" t="s">
        <v>4</v>
      </c>
      <c r="AC26" s="6" t="s">
        <v>4</v>
      </c>
      <c r="AD26" s="6" t="s">
        <v>4</v>
      </c>
      <c r="AE26" s="6" t="s">
        <v>4</v>
      </c>
      <c r="AF26" s="6" t="s">
        <v>4</v>
      </c>
      <c r="AG26" s="6" t="s">
        <v>3</v>
      </c>
      <c r="AH26" s="6" t="s">
        <v>4</v>
      </c>
      <c r="AI26" s="6" t="s">
        <v>3</v>
      </c>
      <c r="AJ26" s="6" t="s">
        <v>4</v>
      </c>
      <c r="AK26" s="6" t="s">
        <v>4</v>
      </c>
      <c r="AL26" s="6" t="s">
        <v>4</v>
      </c>
      <c r="AM26" s="6" t="s">
        <v>3</v>
      </c>
      <c r="AO26" s="6" t="s">
        <v>506</v>
      </c>
      <c r="AP26" s="6"/>
      <c r="AQ26" s="6">
        <f>'Data Training 1'!AW24*'Data Training 1'!AV33*'Data Training 1'!AV40*'Data Training 1'!AV44*'Data Training 1'!AV52*'Data Training 1'!AV58*'Data Training 1'!AV62*'Data Training 1'!AV69*'Data Training 1'!AV75*'Data Training 1'!AV81*'Data Training 1'!AV86*'Data Training 1'!AV91*'Data Training 1'!AV100*'Data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1'!AV188*'Data Training 1'!AV192*'Data Training 1'!AV195*'Data Training 1'!AV199*'Data Training 1'!AV203*'Data Training 1'!AV207*'Data Training 1'!AV211*'Data Training 1'!AV216</f>
        <v>0</v>
      </c>
    </row>
    <row r="27" spans="1:79">
      <c r="A27" s="6">
        <f t="shared" si="0"/>
        <v>26</v>
      </c>
      <c r="B27" s="6" t="s">
        <v>325</v>
      </c>
      <c r="C27" s="6">
        <v>5</v>
      </c>
      <c r="D27" s="6" t="s">
        <v>5</v>
      </c>
      <c r="E27" s="6" t="s">
        <v>3</v>
      </c>
      <c r="F27" s="6" t="s">
        <v>5</v>
      </c>
      <c r="G27" s="6" t="s">
        <v>5</v>
      </c>
      <c r="H27" s="6" t="s">
        <v>5</v>
      </c>
      <c r="I27" s="6" t="s">
        <v>5</v>
      </c>
      <c r="J27" s="6" t="s">
        <v>5</v>
      </c>
      <c r="K27" s="6" t="s">
        <v>2</v>
      </c>
      <c r="L27" s="6" t="s">
        <v>2</v>
      </c>
      <c r="M27" s="6" t="s">
        <v>4</v>
      </c>
      <c r="N27" s="6" t="s">
        <v>4</v>
      </c>
      <c r="O27" s="6" t="s">
        <v>3</v>
      </c>
      <c r="P27" s="6" t="s">
        <v>5</v>
      </c>
      <c r="Q27" s="6" t="s">
        <v>2</v>
      </c>
      <c r="R27" s="6" t="s">
        <v>5</v>
      </c>
      <c r="S27" s="6" t="s">
        <v>2</v>
      </c>
      <c r="T27" s="6" t="s">
        <v>2</v>
      </c>
      <c r="U27" s="6" t="s">
        <v>5</v>
      </c>
      <c r="V27" s="6" t="s">
        <v>4</v>
      </c>
      <c r="W27" s="6" t="s">
        <v>3</v>
      </c>
      <c r="X27" s="6" t="s">
        <v>3</v>
      </c>
      <c r="Y27" s="6" t="s">
        <v>4</v>
      </c>
      <c r="Z27" s="6" t="s">
        <v>3</v>
      </c>
      <c r="AA27" s="6" t="s">
        <v>4</v>
      </c>
      <c r="AB27" s="6" t="s">
        <v>4</v>
      </c>
      <c r="AC27" s="6" t="s">
        <v>4</v>
      </c>
      <c r="AD27" s="6" t="s">
        <v>4</v>
      </c>
      <c r="AE27" s="6" t="s">
        <v>4</v>
      </c>
      <c r="AF27" s="6" t="s">
        <v>3</v>
      </c>
      <c r="AG27" s="6" t="s">
        <v>3</v>
      </c>
      <c r="AH27" s="6" t="s">
        <v>4</v>
      </c>
      <c r="AI27" s="6" t="s">
        <v>3</v>
      </c>
      <c r="AJ27" s="6" t="s">
        <v>4</v>
      </c>
      <c r="AK27" s="6" t="s">
        <v>4</v>
      </c>
      <c r="AL27" s="6" t="s">
        <v>4</v>
      </c>
      <c r="AM27" s="6" t="s">
        <v>3</v>
      </c>
      <c r="AO27" s="6" t="s">
        <v>507</v>
      </c>
      <c r="AP27" s="52"/>
      <c r="AQ27" s="6">
        <f>'Data Training 1'!AW25*'Data Training 1'!AW33*'Data Training 1'!AW40*'Data Training 1'!AW44*'Data Training 1'!AW52*'Data Training 1'!AW58*'Data Training 1'!AW62*'Data Training 1'!AW69*'Data Training 1'!AW75*'Data Training 1'!AW81*'Data Training 1'!AW86*'Data Training 1'!AW91*'Data Training 1'!AW100*'Data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1'!AW188*'Data Training 1'!AW192*'Data Training 1'!AW195*'Data Training 1'!AW199*'Data Training 1'!AW203*'Data Training 1'!AW207*'Data Training 1'!AW211*'Data Training 1'!AW216</f>
        <v>0</v>
      </c>
    </row>
    <row r="28" spans="1:79">
      <c r="A28" s="6">
        <f t="shared" si="0"/>
        <v>27</v>
      </c>
      <c r="B28" s="6" t="s">
        <v>326</v>
      </c>
      <c r="C28" s="6">
        <v>5</v>
      </c>
      <c r="D28" s="6" t="s">
        <v>5</v>
      </c>
      <c r="E28" s="6" t="s">
        <v>5</v>
      </c>
      <c r="F28" s="6" t="s">
        <v>2</v>
      </c>
      <c r="G28" s="6" t="s">
        <v>5</v>
      </c>
      <c r="H28" s="6" t="s">
        <v>5</v>
      </c>
      <c r="I28" s="6" t="s">
        <v>3</v>
      </c>
      <c r="J28" s="6" t="s">
        <v>5</v>
      </c>
      <c r="K28" s="6" t="s">
        <v>2</v>
      </c>
      <c r="L28" s="6" t="s">
        <v>2</v>
      </c>
      <c r="M28" s="6" t="s">
        <v>2</v>
      </c>
      <c r="N28" s="6" t="s">
        <v>2</v>
      </c>
      <c r="O28" s="6" t="s">
        <v>2</v>
      </c>
      <c r="P28" s="6" t="s">
        <v>2</v>
      </c>
      <c r="Q28" s="6" t="s">
        <v>3</v>
      </c>
      <c r="R28" s="6" t="s">
        <v>3</v>
      </c>
      <c r="S28" s="6" t="s">
        <v>5</v>
      </c>
      <c r="T28" s="6" t="s">
        <v>5</v>
      </c>
      <c r="U28" s="6" t="s">
        <v>5</v>
      </c>
      <c r="V28" s="6" t="s">
        <v>5</v>
      </c>
      <c r="W28" s="6" t="s">
        <v>3</v>
      </c>
      <c r="X28" s="6" t="s">
        <v>3</v>
      </c>
      <c r="Y28" s="6" t="s">
        <v>2</v>
      </c>
      <c r="Z28" s="6" t="s">
        <v>3</v>
      </c>
      <c r="AA28" s="6" t="s">
        <v>4</v>
      </c>
      <c r="AB28" s="6" t="s">
        <v>4</v>
      </c>
      <c r="AC28" s="6" t="s">
        <v>4</v>
      </c>
      <c r="AD28" s="6" t="s">
        <v>4</v>
      </c>
      <c r="AE28" s="6" t="s">
        <v>4</v>
      </c>
      <c r="AF28" s="6" t="s">
        <v>3</v>
      </c>
      <c r="AG28" s="6" t="s">
        <v>3</v>
      </c>
      <c r="AH28" s="6" t="s">
        <v>4</v>
      </c>
      <c r="AI28" s="6" t="s">
        <v>3</v>
      </c>
      <c r="AJ28" s="6" t="s">
        <v>3</v>
      </c>
      <c r="AK28" s="6" t="s">
        <v>4</v>
      </c>
      <c r="AL28" s="6" t="s">
        <v>3</v>
      </c>
      <c r="AM28" s="6" t="s">
        <v>3</v>
      </c>
      <c r="AO28" s="6" t="s">
        <v>508</v>
      </c>
      <c r="AP28" s="6"/>
      <c r="AQ28" s="6">
        <f>'Data Training 1'!AW26*'Data Training 1'!AX33*'Data Training 1'!AX40*'Data Training 1'!AX44*'Data Training 1'!AX52*'Data Training 1'!AX58*'Data Training 1'!AX62*'Data Training 1'!AX69*'Data Training 1'!AX75*'Data Training 1'!AX81*'Data Training 1'!AX86*'Data Training 1'!AX91*'Data Training 1'!AX100*'Data Training 1'!AX106*'Data Training 1'!AX110*'Data Training 1'!AX116*'Data Training 1'!AX124*'Data Training 1'!AX130*'Data Training 1'!AX136*'Data Training 1'!AX142*'Data Training 1'!AX145*'Data Training 1'!AX152*'Data Training 1'!AX159*'Data Training 1'!AX164*'Data Training 1'!AX167*'Data Training 1'!AX171*'Data Training 1'!AX175*'Data Training 1'!AX179*'Data Training 1'!AX183*'Data Training 1'!AX188*'Data Training 1'!AX192*'Data Training 1'!AX195*'Data Training 1'!AX199*'Data Training 1'!AX203*'Data Training 1'!AX207*'Data Training 1'!AX211*'Data Training 1'!AX216</f>
        <v>0</v>
      </c>
    </row>
    <row r="29" spans="1:79">
      <c r="A29" s="6">
        <f t="shared" si="0"/>
        <v>28</v>
      </c>
      <c r="B29" s="6" t="s">
        <v>479</v>
      </c>
      <c r="C29" s="6">
        <v>5</v>
      </c>
      <c r="D29" s="6" t="s">
        <v>2</v>
      </c>
      <c r="E29" s="6" t="s">
        <v>3</v>
      </c>
      <c r="F29" s="6" t="s">
        <v>5</v>
      </c>
      <c r="G29" s="6" t="s">
        <v>5</v>
      </c>
      <c r="H29" s="6" t="s">
        <v>5</v>
      </c>
      <c r="I29" s="6" t="s">
        <v>5</v>
      </c>
      <c r="J29" s="6" t="s">
        <v>5</v>
      </c>
      <c r="K29" s="6" t="s">
        <v>2</v>
      </c>
      <c r="L29" s="6" t="s">
        <v>3</v>
      </c>
      <c r="M29" s="6" t="s">
        <v>3</v>
      </c>
      <c r="N29" s="6" t="s">
        <v>5</v>
      </c>
      <c r="O29" s="6" t="s">
        <v>2</v>
      </c>
      <c r="P29" s="6" t="s">
        <v>5</v>
      </c>
      <c r="Q29" s="6" t="s">
        <v>2</v>
      </c>
      <c r="R29" s="6" t="s">
        <v>2</v>
      </c>
      <c r="S29" s="6" t="s">
        <v>5</v>
      </c>
      <c r="T29" s="6" t="s">
        <v>5</v>
      </c>
      <c r="U29" s="6" t="s">
        <v>5</v>
      </c>
      <c r="V29" s="6" t="s">
        <v>3</v>
      </c>
      <c r="W29" s="6" t="s">
        <v>3</v>
      </c>
      <c r="X29" s="6" t="s">
        <v>4</v>
      </c>
      <c r="Y29" s="6" t="s">
        <v>2</v>
      </c>
      <c r="Z29" s="6" t="s">
        <v>3</v>
      </c>
      <c r="AA29" s="6" t="s">
        <v>4</v>
      </c>
      <c r="AB29" s="6" t="s">
        <v>4</v>
      </c>
      <c r="AC29" s="6" t="s">
        <v>4</v>
      </c>
      <c r="AD29" s="6" t="s">
        <v>4</v>
      </c>
      <c r="AE29" s="6" t="s">
        <v>4</v>
      </c>
      <c r="AF29" s="6" t="s">
        <v>3</v>
      </c>
      <c r="AG29" s="6" t="s">
        <v>3</v>
      </c>
      <c r="AH29" s="6" t="s">
        <v>4</v>
      </c>
      <c r="AI29" s="6" t="s">
        <v>3</v>
      </c>
      <c r="AJ29" s="6" t="s">
        <v>4</v>
      </c>
      <c r="AK29" s="6" t="s">
        <v>4</v>
      </c>
      <c r="AL29" s="6" t="s">
        <v>4</v>
      </c>
      <c r="AM29" s="6" t="s">
        <v>3</v>
      </c>
      <c r="AO29" s="28" t="s">
        <v>512</v>
      </c>
      <c r="AP29" s="60"/>
      <c r="AQ29" s="28">
        <f>'Data Training 1'!AW27*'Data Training 1'!AY33*'Data Training 1'!AY40*'Data Training 1'!AY44*'Data Training 1'!AY52*'Data Training 1'!AY58*'Data Training 1'!AY62*'Data Training 1'!AY69*'Data Training 1'!AY75*'Data Training 1'!AY81*'Data Training 1'!AY86*'Data Training 1'!AY91*'Data Training 1'!AY100*'Data Training 1'!AY106*'Data Training 1'!AY110*'Data Training 1'!AY116*'Data Training 1'!AY124*'Data Training 1'!AY130*'Data Training 1'!AY136*'Data Training 1'!AY142*'Data Training 1'!AY145*'Data Training 1'!AY152*'Data Training 1'!AY159*'Data Training 1'!AY164*'Data Training 1'!AY167*'Data Training 1'!AY171*'Data Training 1'!AY175*'Data Training 1'!AY179*'Data Training 1'!AY183*'Data Training 1'!AY188*'Data Training 1'!AY192*'Data Training 1'!AY195*'Data Training 1'!AY199*'Data Training 1'!AY203*'Data Training 1'!AY207*'Data Training 1'!AY211*'Data Training 1'!AY216</f>
        <v>0</v>
      </c>
    </row>
    <row r="30" spans="1:79">
      <c r="A30" s="6">
        <f t="shared" si="0"/>
        <v>29</v>
      </c>
      <c r="B30" s="6" t="s">
        <v>480</v>
      </c>
      <c r="C30" s="6">
        <v>5</v>
      </c>
      <c r="D30" s="6" t="s">
        <v>2</v>
      </c>
      <c r="E30" s="6" t="s">
        <v>3</v>
      </c>
      <c r="F30" s="6" t="s">
        <v>4</v>
      </c>
      <c r="G30" s="6" t="s">
        <v>5</v>
      </c>
      <c r="H30" s="6" t="s">
        <v>5</v>
      </c>
      <c r="I30" s="6" t="s">
        <v>3</v>
      </c>
      <c r="J30" s="6" t="s">
        <v>5</v>
      </c>
      <c r="K30" s="6" t="s">
        <v>2</v>
      </c>
      <c r="L30" s="6" t="s">
        <v>3</v>
      </c>
      <c r="M30" s="6" t="s">
        <v>2</v>
      </c>
      <c r="N30" s="6" t="s">
        <v>2</v>
      </c>
      <c r="O30" s="6" t="s">
        <v>5</v>
      </c>
      <c r="P30" s="6" t="s">
        <v>5</v>
      </c>
      <c r="Q30" s="6" t="s">
        <v>2</v>
      </c>
      <c r="R30" s="6" t="s">
        <v>5</v>
      </c>
      <c r="S30" s="6" t="s">
        <v>5</v>
      </c>
      <c r="T30" s="6" t="s">
        <v>3</v>
      </c>
      <c r="U30" s="6" t="s">
        <v>5</v>
      </c>
      <c r="V30" s="6" t="s">
        <v>2</v>
      </c>
      <c r="W30" s="6" t="s">
        <v>4</v>
      </c>
      <c r="X30" s="6" t="s">
        <v>4</v>
      </c>
      <c r="Y30" s="6" t="s">
        <v>2</v>
      </c>
      <c r="Z30" s="6" t="s">
        <v>3</v>
      </c>
      <c r="AA30" s="6" t="s">
        <v>4</v>
      </c>
      <c r="AB30" s="6" t="s">
        <v>4</v>
      </c>
      <c r="AC30" s="6" t="s">
        <v>4</v>
      </c>
      <c r="AD30" s="6" t="s">
        <v>4</v>
      </c>
      <c r="AE30" s="6" t="s">
        <v>4</v>
      </c>
      <c r="AF30" s="6" t="s">
        <v>4</v>
      </c>
      <c r="AG30" s="6" t="s">
        <v>3</v>
      </c>
      <c r="AH30" s="6" t="s">
        <v>4</v>
      </c>
      <c r="AI30" s="6" t="s">
        <v>3</v>
      </c>
      <c r="AJ30" s="6" t="s">
        <v>4</v>
      </c>
      <c r="AK30" s="6" t="s">
        <v>4</v>
      </c>
      <c r="AL30" s="6" t="s">
        <v>3</v>
      </c>
      <c r="AM30" s="6" t="s">
        <v>3</v>
      </c>
      <c r="AO30" s="80" t="s">
        <v>437</v>
      </c>
      <c r="AP30" s="80"/>
      <c r="AQ30" s="6" t="s">
        <v>285</v>
      </c>
      <c r="AR30" s="81" t="s">
        <v>438</v>
      </c>
      <c r="AS30" s="81"/>
      <c r="AT30" s="81"/>
    </row>
    <row r="31" spans="1:79">
      <c r="A31" s="6">
        <f t="shared" si="0"/>
        <v>30</v>
      </c>
      <c r="B31" s="6" t="s">
        <v>496</v>
      </c>
      <c r="C31" s="6">
        <v>5</v>
      </c>
      <c r="D31" s="6" t="s">
        <v>5</v>
      </c>
      <c r="E31" s="6" t="s">
        <v>5</v>
      </c>
      <c r="F31" s="6" t="s">
        <v>3</v>
      </c>
      <c r="G31" s="6" t="s">
        <v>5</v>
      </c>
      <c r="H31" s="6" t="s">
        <v>5</v>
      </c>
      <c r="I31" s="6" t="s">
        <v>5</v>
      </c>
      <c r="J31" s="6" t="s">
        <v>5</v>
      </c>
      <c r="K31" s="6" t="s">
        <v>2</v>
      </c>
      <c r="L31" s="6" t="s">
        <v>2</v>
      </c>
      <c r="M31" s="6" t="s">
        <v>5</v>
      </c>
      <c r="N31" s="6" t="s">
        <v>2</v>
      </c>
      <c r="O31" s="6" t="s">
        <v>2</v>
      </c>
      <c r="P31" s="6" t="s">
        <v>4</v>
      </c>
      <c r="Q31" s="6" t="s">
        <v>3</v>
      </c>
      <c r="R31" s="6" t="s">
        <v>2</v>
      </c>
      <c r="S31" s="6" t="s">
        <v>5</v>
      </c>
      <c r="T31" s="6" t="s">
        <v>5</v>
      </c>
      <c r="U31" s="6" t="s">
        <v>5</v>
      </c>
      <c r="V31" s="6" t="s">
        <v>3</v>
      </c>
      <c r="W31" s="6" t="s">
        <v>3</v>
      </c>
      <c r="X31" s="6" t="s">
        <v>3</v>
      </c>
      <c r="Y31" s="6" t="s">
        <v>4</v>
      </c>
      <c r="Z31" s="6" t="s">
        <v>3</v>
      </c>
      <c r="AA31" s="6" t="s">
        <v>4</v>
      </c>
      <c r="AB31" s="6" t="s">
        <v>4</v>
      </c>
      <c r="AC31" s="6" t="s">
        <v>4</v>
      </c>
      <c r="AD31" s="6" t="s">
        <v>4</v>
      </c>
      <c r="AE31" s="6" t="s">
        <v>4</v>
      </c>
      <c r="AF31" s="6" t="s">
        <v>3</v>
      </c>
      <c r="AG31" s="6" t="s">
        <v>3</v>
      </c>
      <c r="AH31" s="6" t="s">
        <v>4</v>
      </c>
      <c r="AI31" s="6" t="s">
        <v>3</v>
      </c>
      <c r="AJ31" s="6" t="s">
        <v>4</v>
      </c>
      <c r="AK31" s="6" t="s">
        <v>4</v>
      </c>
      <c r="AL31" s="6" t="s">
        <v>3</v>
      </c>
      <c r="AM31" s="6" t="s">
        <v>3</v>
      </c>
      <c r="AP31" s="3"/>
    </row>
    <row r="32" spans="1:79">
      <c r="A32" s="6">
        <f t="shared" si="0"/>
        <v>31</v>
      </c>
      <c r="B32" s="6" t="s">
        <v>430</v>
      </c>
      <c r="C32" s="6">
        <v>6</v>
      </c>
      <c r="D32" s="6" t="s">
        <v>5</v>
      </c>
      <c r="E32" s="6" t="s">
        <v>5</v>
      </c>
      <c r="F32" s="6" t="s">
        <v>3</v>
      </c>
      <c r="G32" s="6" t="s">
        <v>5</v>
      </c>
      <c r="H32" s="6" t="s">
        <v>5</v>
      </c>
      <c r="I32" s="6" t="s">
        <v>5</v>
      </c>
      <c r="J32" s="6" t="s">
        <v>5</v>
      </c>
      <c r="K32" s="6" t="s">
        <v>2</v>
      </c>
      <c r="L32" s="6" t="s">
        <v>2</v>
      </c>
      <c r="M32" s="6" t="s">
        <v>4</v>
      </c>
      <c r="N32" s="6" t="s">
        <v>4</v>
      </c>
      <c r="O32" s="6" t="s">
        <v>4</v>
      </c>
      <c r="P32" s="6" t="s">
        <v>5</v>
      </c>
      <c r="Q32" s="6" t="s">
        <v>4</v>
      </c>
      <c r="R32" s="6" t="s">
        <v>5</v>
      </c>
      <c r="S32" s="6" t="s">
        <v>5</v>
      </c>
      <c r="T32" s="6" t="s">
        <v>5</v>
      </c>
      <c r="U32" s="6" t="s">
        <v>5</v>
      </c>
      <c r="V32" s="6" t="s">
        <v>3</v>
      </c>
      <c r="W32" s="6" t="s">
        <v>5</v>
      </c>
      <c r="X32" s="6" t="s">
        <v>2</v>
      </c>
      <c r="Y32" s="6" t="s">
        <v>2</v>
      </c>
      <c r="Z32" s="6" t="s">
        <v>3</v>
      </c>
      <c r="AA32" s="6" t="s">
        <v>4</v>
      </c>
      <c r="AB32" s="6" t="s">
        <v>4</v>
      </c>
      <c r="AC32" s="6" t="s">
        <v>4</v>
      </c>
      <c r="AD32" s="6" t="s">
        <v>4</v>
      </c>
      <c r="AE32" s="6" t="s">
        <v>4</v>
      </c>
      <c r="AF32" s="6" t="s">
        <v>4</v>
      </c>
      <c r="AG32" s="6" t="s">
        <v>3</v>
      </c>
      <c r="AH32" s="6" t="s">
        <v>4</v>
      </c>
      <c r="AI32" s="6" t="s">
        <v>3</v>
      </c>
      <c r="AJ32" s="6" t="s">
        <v>3</v>
      </c>
      <c r="AK32" s="6" t="s">
        <v>4</v>
      </c>
      <c r="AL32" s="6" t="s">
        <v>3</v>
      </c>
      <c r="AM32" s="6" t="s">
        <v>3</v>
      </c>
      <c r="AO32" s="84" t="s">
        <v>484</v>
      </c>
      <c r="AP32" s="84"/>
      <c r="AQ32" s="7" t="s">
        <v>64</v>
      </c>
      <c r="AR32" s="51" t="s">
        <v>43</v>
      </c>
      <c r="AS32" s="51" t="s">
        <v>44</v>
      </c>
      <c r="AT32" s="51" t="s">
        <v>45</v>
      </c>
      <c r="AU32" s="51" t="s">
        <v>46</v>
      </c>
      <c r="AV32" s="51" t="s">
        <v>47</v>
      </c>
      <c r="AW32" s="51" t="s">
        <v>48</v>
      </c>
      <c r="AX32" s="51" t="s">
        <v>49</v>
      </c>
      <c r="AY32" s="51" t="s">
        <v>50</v>
      </c>
      <c r="AZ32" s="51" t="s">
        <v>51</v>
      </c>
      <c r="BA32" s="51" t="s">
        <v>52</v>
      </c>
      <c r="BB32" s="51" t="s">
        <v>53</v>
      </c>
      <c r="BC32" s="51" t="s">
        <v>54</v>
      </c>
      <c r="BD32" s="51" t="s">
        <v>55</v>
      </c>
      <c r="BE32" s="51" t="s">
        <v>56</v>
      </c>
      <c r="BF32" s="51" t="s">
        <v>57</v>
      </c>
      <c r="BG32" s="51" t="s">
        <v>58</v>
      </c>
      <c r="BH32" s="51" t="s">
        <v>59</v>
      </c>
      <c r="BI32" s="51" t="s">
        <v>60</v>
      </c>
      <c r="BJ32" s="51" t="s">
        <v>61</v>
      </c>
      <c r="BK32" s="51" t="s">
        <v>62</v>
      </c>
      <c r="BL32" s="51" t="s">
        <v>63</v>
      </c>
      <c r="BM32" s="51" t="s">
        <v>330</v>
      </c>
      <c r="BN32" s="51" t="s">
        <v>331</v>
      </c>
      <c r="BO32" s="51" t="s">
        <v>332</v>
      </c>
      <c r="BP32" s="51" t="s">
        <v>333</v>
      </c>
      <c r="BQ32" s="51" t="s">
        <v>334</v>
      </c>
      <c r="BR32" s="51" t="s">
        <v>335</v>
      </c>
      <c r="BS32" s="51" t="s">
        <v>336</v>
      </c>
      <c r="BT32" s="51" t="s">
        <v>337</v>
      </c>
      <c r="BU32" s="51" t="s">
        <v>338</v>
      </c>
      <c r="BV32" s="51" t="s">
        <v>339</v>
      </c>
      <c r="BW32" s="51" t="s">
        <v>340</v>
      </c>
      <c r="BX32" s="51" t="s">
        <v>341</v>
      </c>
      <c r="BY32" s="51" t="s">
        <v>342</v>
      </c>
      <c r="BZ32" s="51" t="s">
        <v>343</v>
      </c>
      <c r="CA32" s="51" t="s">
        <v>390</v>
      </c>
    </row>
    <row r="33" spans="1:79">
      <c r="A33" s="6">
        <f t="shared" si="0"/>
        <v>32</v>
      </c>
      <c r="B33" s="6" t="s">
        <v>327</v>
      </c>
      <c r="C33" s="6">
        <v>6</v>
      </c>
      <c r="D33" s="6" t="s">
        <v>4</v>
      </c>
      <c r="E33" s="6" t="s">
        <v>5</v>
      </c>
      <c r="F33" s="6" t="s">
        <v>2</v>
      </c>
      <c r="G33" s="6" t="s">
        <v>5</v>
      </c>
      <c r="H33" s="6" t="s">
        <v>5</v>
      </c>
      <c r="I33" s="6" t="s">
        <v>5</v>
      </c>
      <c r="J33" s="6" t="s">
        <v>2</v>
      </c>
      <c r="K33" s="6" t="s">
        <v>2</v>
      </c>
      <c r="L33" s="6" t="s">
        <v>2</v>
      </c>
      <c r="M33" s="6" t="s">
        <v>4</v>
      </c>
      <c r="N33" s="6" t="s">
        <v>2</v>
      </c>
      <c r="O33" s="6" t="s">
        <v>5</v>
      </c>
      <c r="P33" s="6" t="s">
        <v>5</v>
      </c>
      <c r="Q33" s="6" t="s">
        <v>4</v>
      </c>
      <c r="R33" s="6" t="s">
        <v>5</v>
      </c>
      <c r="S33" s="6" t="s">
        <v>5</v>
      </c>
      <c r="T33" s="6" t="s">
        <v>5</v>
      </c>
      <c r="U33" s="6" t="s">
        <v>5</v>
      </c>
      <c r="V33" s="6" t="s">
        <v>5</v>
      </c>
      <c r="W33" s="6" t="s">
        <v>4</v>
      </c>
      <c r="X33" s="6" t="s">
        <v>3</v>
      </c>
      <c r="Y33" s="6" t="s">
        <v>2</v>
      </c>
      <c r="Z33" s="6" t="s">
        <v>3</v>
      </c>
      <c r="AA33" s="6" t="s">
        <v>4</v>
      </c>
      <c r="AB33" s="6" t="s">
        <v>4</v>
      </c>
      <c r="AC33" s="6" t="s">
        <v>4</v>
      </c>
      <c r="AD33" s="6" t="s">
        <v>3</v>
      </c>
      <c r="AE33" s="6" t="s">
        <v>4</v>
      </c>
      <c r="AF33" s="6" t="s">
        <v>3</v>
      </c>
      <c r="AG33" s="6" t="s">
        <v>3</v>
      </c>
      <c r="AH33" s="6" t="s">
        <v>3</v>
      </c>
      <c r="AI33" s="6" t="s">
        <v>3</v>
      </c>
      <c r="AJ33" s="6" t="s">
        <v>3</v>
      </c>
      <c r="AK33" s="6" t="s">
        <v>3</v>
      </c>
      <c r="AL33" s="6" t="s">
        <v>3</v>
      </c>
      <c r="AM33" s="6" t="s">
        <v>3</v>
      </c>
      <c r="AO33" s="84"/>
      <c r="AP33" s="84"/>
      <c r="AQ33" s="7">
        <v>1</v>
      </c>
      <c r="AR33" s="6" t="s">
        <v>5</v>
      </c>
      <c r="AS33" s="6" t="s">
        <v>3</v>
      </c>
      <c r="AT33" s="6" t="s">
        <v>2</v>
      </c>
      <c r="AU33" s="6" t="s">
        <v>3</v>
      </c>
      <c r="AV33" s="6" t="s">
        <v>5</v>
      </c>
      <c r="AW33" s="6" t="s">
        <v>5</v>
      </c>
      <c r="AX33" s="6" t="s">
        <v>5</v>
      </c>
      <c r="AY33" s="6" t="s">
        <v>2</v>
      </c>
      <c r="AZ33" s="6" t="s">
        <v>2</v>
      </c>
      <c r="BA33" s="6" t="s">
        <v>2</v>
      </c>
      <c r="BB33" s="6" t="s">
        <v>2</v>
      </c>
      <c r="BC33" s="6" t="s">
        <v>5</v>
      </c>
      <c r="BD33" s="6" t="s">
        <v>5</v>
      </c>
      <c r="BE33" s="6" t="s">
        <v>3</v>
      </c>
      <c r="BF33" s="6" t="s">
        <v>3</v>
      </c>
      <c r="BG33" s="6" t="s">
        <v>5</v>
      </c>
      <c r="BH33" s="6" t="s">
        <v>5</v>
      </c>
      <c r="BI33" s="6" t="s">
        <v>5</v>
      </c>
      <c r="BJ33" s="6" t="s">
        <v>5</v>
      </c>
      <c r="BK33" s="6" t="s">
        <v>4</v>
      </c>
      <c r="BL33" s="6" t="s">
        <v>4</v>
      </c>
      <c r="BM33" s="6" t="s">
        <v>4</v>
      </c>
      <c r="BN33" s="6" t="s">
        <v>3</v>
      </c>
      <c r="BO33" s="6" t="s">
        <v>3</v>
      </c>
      <c r="BP33" s="6" t="s">
        <v>3</v>
      </c>
      <c r="BQ33" s="6" t="s">
        <v>4</v>
      </c>
      <c r="BR33" s="6" t="s">
        <v>4</v>
      </c>
      <c r="BS33" s="6" t="s">
        <v>4</v>
      </c>
      <c r="BT33" s="6" t="s">
        <v>4</v>
      </c>
      <c r="BU33" s="6" t="s">
        <v>3</v>
      </c>
      <c r="BV33" s="6" t="s">
        <v>4</v>
      </c>
      <c r="BW33" s="6" t="s">
        <v>3</v>
      </c>
      <c r="BX33" s="6" t="s">
        <v>3</v>
      </c>
      <c r="BY33" s="6" t="s">
        <v>4</v>
      </c>
      <c r="BZ33" s="6" t="s">
        <v>4</v>
      </c>
      <c r="CA33" s="6" t="s">
        <v>3</v>
      </c>
    </row>
    <row r="34" spans="1:79">
      <c r="A34" s="6">
        <f t="shared" si="0"/>
        <v>33</v>
      </c>
      <c r="B34" s="6" t="s">
        <v>328</v>
      </c>
      <c r="C34" s="6">
        <v>6</v>
      </c>
      <c r="D34" s="6" t="s">
        <v>5</v>
      </c>
      <c r="E34" s="6" t="s">
        <v>5</v>
      </c>
      <c r="F34" s="6" t="s">
        <v>3</v>
      </c>
      <c r="G34" s="6" t="s">
        <v>2</v>
      </c>
      <c r="H34" s="6" t="s">
        <v>5</v>
      </c>
      <c r="I34" s="6" t="s">
        <v>5</v>
      </c>
      <c r="J34" s="6" t="s">
        <v>5</v>
      </c>
      <c r="K34" s="6" t="s">
        <v>5</v>
      </c>
      <c r="L34" s="6" t="s">
        <v>2</v>
      </c>
      <c r="M34" s="6" t="s">
        <v>4</v>
      </c>
      <c r="N34" s="6" t="s">
        <v>4</v>
      </c>
      <c r="O34" s="6" t="s">
        <v>2</v>
      </c>
      <c r="P34" s="6" t="s">
        <v>5</v>
      </c>
      <c r="Q34" s="6" t="s">
        <v>2</v>
      </c>
      <c r="R34" s="6" t="s">
        <v>2</v>
      </c>
      <c r="S34" s="6" t="s">
        <v>5</v>
      </c>
      <c r="T34" s="6" t="s">
        <v>3</v>
      </c>
      <c r="U34" s="6" t="s">
        <v>5</v>
      </c>
      <c r="V34" s="6" t="s">
        <v>3</v>
      </c>
      <c r="W34" s="6" t="s">
        <v>2</v>
      </c>
      <c r="X34" s="6" t="s">
        <v>2</v>
      </c>
      <c r="Y34" s="6" t="s">
        <v>5</v>
      </c>
      <c r="Z34" s="6" t="s">
        <v>3</v>
      </c>
      <c r="AA34" s="6" t="s">
        <v>4</v>
      </c>
      <c r="AB34" s="6" t="s">
        <v>4</v>
      </c>
      <c r="AC34" s="6" t="s">
        <v>4</v>
      </c>
      <c r="AD34" s="6" t="s">
        <v>3</v>
      </c>
      <c r="AE34" s="6" t="s">
        <v>4</v>
      </c>
      <c r="AF34" s="6" t="s">
        <v>3</v>
      </c>
      <c r="AG34" s="6" t="s">
        <v>3</v>
      </c>
      <c r="AH34" s="6" t="s">
        <v>3</v>
      </c>
      <c r="AI34" s="6" t="s">
        <v>3</v>
      </c>
      <c r="AJ34" s="6" t="s">
        <v>3</v>
      </c>
      <c r="AK34" s="6" t="s">
        <v>3</v>
      </c>
      <c r="AL34" s="6" t="s">
        <v>3</v>
      </c>
      <c r="AM34" s="6" t="s">
        <v>3</v>
      </c>
      <c r="AO34" s="82" t="s">
        <v>504</v>
      </c>
      <c r="AP34" s="82"/>
      <c r="AQ34" s="6">
        <f>'Data Training 1'!AW22*'Data Training 1'!AT34*'Data Training 1'!AT38*'Data Training 1'!AT45*'Data Training 1'!AT50*'Data Training 1'!AT58*'Data Training 1'!AT64*'Data Training 1'!AT70*'Data Training 1'!AT75*'Data Training 1'!AT81*'Data Training 1'!AT87*'Data Training 1'!AT93*'Data Training 1'!AT100*'Data Training 1'!AT106*'Data Training 1'!AT110*'Data Training 1'!AT116*'Data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1'!AT192*'Data Training 1'!AT195*'Data Training 1'!AT200*'Data Training 1'!AT204*'Data Training 1'!AT207*'Data Training 1'!AT211*'Data Training 1'!AT216</f>
        <v>4.7634565847363974E-11</v>
      </c>
    </row>
    <row r="35" spans="1:79">
      <c r="A35" s="6">
        <f t="shared" si="0"/>
        <v>34</v>
      </c>
      <c r="B35" s="6" t="s">
        <v>475</v>
      </c>
      <c r="C35" s="6">
        <v>6</v>
      </c>
      <c r="D35" s="6" t="s">
        <v>5</v>
      </c>
      <c r="E35" s="6" t="s">
        <v>5</v>
      </c>
      <c r="F35" s="6" t="s">
        <v>2</v>
      </c>
      <c r="G35" s="6" t="s">
        <v>5</v>
      </c>
      <c r="H35" s="6" t="s">
        <v>5</v>
      </c>
      <c r="I35" s="6" t="s">
        <v>5</v>
      </c>
      <c r="J35" s="6" t="s">
        <v>5</v>
      </c>
      <c r="K35" s="6" t="s">
        <v>5</v>
      </c>
      <c r="L35" s="6" t="s">
        <v>2</v>
      </c>
      <c r="M35" s="6" t="s">
        <v>4</v>
      </c>
      <c r="N35" s="6" t="s">
        <v>4</v>
      </c>
      <c r="O35" s="6" t="s">
        <v>5</v>
      </c>
      <c r="P35" s="6" t="s">
        <v>2</v>
      </c>
      <c r="Q35" s="6" t="s">
        <v>3</v>
      </c>
      <c r="R35" s="6" t="s">
        <v>5</v>
      </c>
      <c r="S35" s="6" t="s">
        <v>5</v>
      </c>
      <c r="T35" s="6" t="s">
        <v>3</v>
      </c>
      <c r="U35" s="6" t="s">
        <v>5</v>
      </c>
      <c r="V35" s="6" t="s">
        <v>5</v>
      </c>
      <c r="W35" s="6" t="s">
        <v>4</v>
      </c>
      <c r="X35" s="6" t="s">
        <v>3</v>
      </c>
      <c r="Y35" s="6" t="s">
        <v>2</v>
      </c>
      <c r="Z35" s="6" t="s">
        <v>3</v>
      </c>
      <c r="AA35" s="6" t="s">
        <v>4</v>
      </c>
      <c r="AB35" s="6" t="s">
        <v>4</v>
      </c>
      <c r="AC35" s="6" t="s">
        <v>3</v>
      </c>
      <c r="AD35" s="6" t="s">
        <v>4</v>
      </c>
      <c r="AE35" s="6" t="s">
        <v>4</v>
      </c>
      <c r="AF35" s="6" t="s">
        <v>4</v>
      </c>
      <c r="AG35" s="6" t="s">
        <v>3</v>
      </c>
      <c r="AH35" s="6" t="s">
        <v>4</v>
      </c>
      <c r="AI35" s="6" t="s">
        <v>3</v>
      </c>
      <c r="AJ35" s="6" t="s">
        <v>4</v>
      </c>
      <c r="AK35" s="6" t="s">
        <v>4</v>
      </c>
      <c r="AL35" s="6" t="s">
        <v>4</v>
      </c>
      <c r="AM35" s="6" t="s">
        <v>3</v>
      </c>
      <c r="AO35" s="82" t="s">
        <v>505</v>
      </c>
      <c r="AP35" s="82"/>
      <c r="AQ35" s="6">
        <f>'Data Training 1'!AW23*'Data Training 1'!AU34*'Data Training 1'!AU38*'Data Training 1'!AU45*'Data Training 1'!AU50*'Data Training 1'!AU58*'Data Training 1'!AU64*'Data Training 1'!AU70*'Data Training 1'!AU75*'Data Training 1'!AU81*'Data Training 1'!AU87*'Data Training 1'!AU93*'Data Training 1'!AU100*'Data Training 1'!AU106*'Data Training 1'!AU110*'Data Training 1'!AU116*'Data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1'!AU192*'Data Training 1'!AU195*'Data Training 1'!AU200*'Data Training 1'!AU204*'Data Training 1'!AU207*'Data Training 1'!AU211*'Data Training 1'!AU216</f>
        <v>2.201047628390461E-11</v>
      </c>
    </row>
    <row r="36" spans="1:79">
      <c r="A36" s="6">
        <f t="shared" si="0"/>
        <v>35</v>
      </c>
      <c r="B36" s="6" t="s">
        <v>477</v>
      </c>
      <c r="C36" s="6">
        <v>6</v>
      </c>
      <c r="D36" s="6" t="s">
        <v>5</v>
      </c>
      <c r="E36" s="6" t="s">
        <v>5</v>
      </c>
      <c r="F36" s="6" t="s">
        <v>3</v>
      </c>
      <c r="G36" s="6" t="s">
        <v>5</v>
      </c>
      <c r="H36" s="6" t="s">
        <v>5</v>
      </c>
      <c r="I36" s="6" t="s">
        <v>5</v>
      </c>
      <c r="J36" s="6" t="s">
        <v>5</v>
      </c>
      <c r="K36" s="6" t="s">
        <v>2</v>
      </c>
      <c r="L36" s="6" t="s">
        <v>2</v>
      </c>
      <c r="M36" s="6" t="s">
        <v>2</v>
      </c>
      <c r="N36" s="6" t="s">
        <v>2</v>
      </c>
      <c r="O36" s="6" t="s">
        <v>3</v>
      </c>
      <c r="P36" s="6" t="s">
        <v>5</v>
      </c>
      <c r="Q36" s="6" t="s">
        <v>3</v>
      </c>
      <c r="R36" s="6" t="s">
        <v>3</v>
      </c>
      <c r="S36" s="6" t="s">
        <v>5</v>
      </c>
      <c r="T36" s="6" t="s">
        <v>5</v>
      </c>
      <c r="U36" s="6" t="s">
        <v>5</v>
      </c>
      <c r="V36" s="6" t="s">
        <v>2</v>
      </c>
      <c r="W36" s="6" t="s">
        <v>3</v>
      </c>
      <c r="X36" s="6" t="s">
        <v>4</v>
      </c>
      <c r="Y36" s="6" t="s">
        <v>4</v>
      </c>
      <c r="Z36" s="6" t="s">
        <v>3</v>
      </c>
      <c r="AA36" s="6" t="s">
        <v>4</v>
      </c>
      <c r="AB36" s="6" t="s">
        <v>4</v>
      </c>
      <c r="AC36" s="6" t="s">
        <v>4</v>
      </c>
      <c r="AD36" s="6" t="s">
        <v>3</v>
      </c>
      <c r="AE36" s="6" t="s">
        <v>4</v>
      </c>
      <c r="AF36" s="6" t="s">
        <v>4</v>
      </c>
      <c r="AG36" s="6" t="s">
        <v>3</v>
      </c>
      <c r="AH36" s="6" t="s">
        <v>3</v>
      </c>
      <c r="AI36" s="6" t="s">
        <v>3</v>
      </c>
      <c r="AJ36" s="6" t="s">
        <v>3</v>
      </c>
      <c r="AK36" s="6" t="s">
        <v>3</v>
      </c>
      <c r="AL36" s="6" t="s">
        <v>3</v>
      </c>
      <c r="AM36" s="6" t="s">
        <v>3</v>
      </c>
      <c r="AO36" s="82" t="s">
        <v>506</v>
      </c>
      <c r="AP36" s="82"/>
      <c r="AQ36" s="6">
        <f>'Data Training 1'!AW24*'Data Training 1'!AV34*'Data Training 1'!AV38*'Data Training 1'!AV45*'Data Training 1'!AV50*'Data Training 1'!AV58*'Data Training 1'!AV64*'Data Training 1'!AV70*'Data Training 1'!AV75*'Data Training 1'!AV81*'Data Training 1'!AV87*'Data Training 1'!AV93*'Data Training 1'!AV100*'Data Training 1'!AV106*'Data Training 1'!AV110*'Data Training 1'!AV116*'Data Training 1'!AV124*'Data Training 1'!AV130*'Data Training 1'!AV136*'Data Training 1'!AV142*'Data Training 1'!AV145*'Data Training 1'!AV151*'Data Training 1'!AV157*'Data Training 1'!AV164*'Data Training 1'!AV168*'Data Training 1'!AV172*'Data Training 1'!AV175*'Data Training 1'!AV179*'Data Training 1'!AV183*'Data Training 1'!AV187*'Data Training 1'!AV192*'Data Training 1'!AV195*'Data Training 1'!AV200*'Data Training 1'!AV204*'Data Training 1'!AV207*'Data Training 1'!AV211*'Data Training 1'!AV216</f>
        <v>0</v>
      </c>
    </row>
    <row r="37" spans="1:79">
      <c r="A37" s="6">
        <f t="shared" si="0"/>
        <v>36</v>
      </c>
      <c r="B37" s="6" t="s">
        <v>488</v>
      </c>
      <c r="C37" s="6">
        <v>6</v>
      </c>
      <c r="D37" s="6" t="s">
        <v>5</v>
      </c>
      <c r="E37" s="6" t="s">
        <v>5</v>
      </c>
      <c r="F37" s="6" t="s">
        <v>4</v>
      </c>
      <c r="G37" s="6" t="s">
        <v>5</v>
      </c>
      <c r="H37" s="6" t="s">
        <v>5</v>
      </c>
      <c r="I37" s="6" t="s">
        <v>5</v>
      </c>
      <c r="J37" s="6" t="s">
        <v>5</v>
      </c>
      <c r="K37" s="6" t="s">
        <v>2</v>
      </c>
      <c r="L37" s="6" t="s">
        <v>3</v>
      </c>
      <c r="M37" s="6" t="s">
        <v>4</v>
      </c>
      <c r="N37" s="6" t="s">
        <v>3</v>
      </c>
      <c r="O37" s="6" t="s">
        <v>5</v>
      </c>
      <c r="P37" s="6" t="s">
        <v>5</v>
      </c>
      <c r="Q37" s="6" t="s">
        <v>3</v>
      </c>
      <c r="R37" s="6" t="s">
        <v>5</v>
      </c>
      <c r="S37" s="6" t="s">
        <v>5</v>
      </c>
      <c r="T37" s="6" t="s">
        <v>3</v>
      </c>
      <c r="U37" s="6" t="s">
        <v>5</v>
      </c>
      <c r="V37" s="6" t="s">
        <v>3</v>
      </c>
      <c r="W37" s="6" t="s">
        <v>4</v>
      </c>
      <c r="X37" s="6" t="s">
        <v>2</v>
      </c>
      <c r="Y37" s="6" t="s">
        <v>2</v>
      </c>
      <c r="Z37" s="6" t="s">
        <v>3</v>
      </c>
      <c r="AA37" s="6" t="s">
        <v>4</v>
      </c>
      <c r="AB37" s="6" t="s">
        <v>4</v>
      </c>
      <c r="AC37" s="6" t="s">
        <v>4</v>
      </c>
      <c r="AD37" s="6" t="s">
        <v>4</v>
      </c>
      <c r="AE37" s="6" t="s">
        <v>4</v>
      </c>
      <c r="AF37" s="6" t="s">
        <v>4</v>
      </c>
      <c r="AG37" s="6" t="s">
        <v>3</v>
      </c>
      <c r="AH37" s="6" t="s">
        <v>4</v>
      </c>
      <c r="AI37" s="6" t="s">
        <v>3</v>
      </c>
      <c r="AJ37" s="6" t="s">
        <v>3</v>
      </c>
      <c r="AK37" s="6" t="s">
        <v>4</v>
      </c>
      <c r="AL37" s="6" t="s">
        <v>3</v>
      </c>
      <c r="AM37" s="6" t="s">
        <v>3</v>
      </c>
      <c r="AO37" s="82" t="s">
        <v>507</v>
      </c>
      <c r="AP37" s="82"/>
      <c r="AQ37" s="6">
        <f>'Data Training 1'!AW25*'Data Training 1'!AW34*'Data Training 1'!AW38*'Data Training 1'!AW45*'Data Training 1'!AW50*'Data Training 1'!AW58*'Data Training 1'!AW64*'Data Training 1'!AW70*'Data Training 1'!AW75*'Data Training 1'!AW81*'Data Training 1'!AW87*'Data Training 1'!AW93*'Data Training 1'!AW100*'Data Training 1'!AW106*'Data Training 1'!AW110*'Data Training 1'!AW116*'Data Training 1'!AW124*'Data Training 1'!AW130*'Data Training 1'!AW136*'Data Training 1'!AW142*'Data Training 1'!AW145*'Data Training 1'!AW151*'Data Training 1'!AW157*'Data Training 1'!AW164*'Data Training 1'!AW168*'Data Training 1'!AW172*'Data Training 1'!AW175*'Data Training 1'!AW179*'Data Training 1'!AW183*'Data Training 1'!AW187*'Data Training 1'!AW192*'Data Training 1'!AW195*'Data Training 1'!AW200*'Data Training 1'!AW204*'Data Training 1'!AW207*'Data Training 1'!AW211*'Data Training 1'!AW216</f>
        <v>0</v>
      </c>
    </row>
    <row r="38" spans="1:79">
      <c r="A38" s="119"/>
      <c r="B38" s="119"/>
      <c r="C38" s="119"/>
      <c r="D38" s="119"/>
      <c r="E38" s="119"/>
      <c r="F38" s="119"/>
      <c r="G38" s="119"/>
      <c r="H38" s="119"/>
      <c r="I38" s="119"/>
      <c r="J38" s="119"/>
      <c r="K38" s="119"/>
      <c r="L38" s="119"/>
      <c r="M38" s="119"/>
      <c r="N38" s="119"/>
      <c r="O38" s="119"/>
      <c r="P38" s="119"/>
      <c r="Q38" s="119"/>
      <c r="R38" s="119"/>
      <c r="S38" s="119"/>
      <c r="T38" s="119"/>
      <c r="U38" s="119"/>
      <c r="V38" s="119"/>
      <c r="W38" s="119"/>
      <c r="X38" s="119"/>
      <c r="Y38" s="119"/>
      <c r="Z38" s="119"/>
      <c r="AA38" s="119"/>
      <c r="AB38" s="119"/>
      <c r="AC38" s="119"/>
      <c r="AD38" s="119"/>
      <c r="AE38" s="119"/>
      <c r="AF38" s="119"/>
      <c r="AG38" s="119"/>
      <c r="AH38" s="119"/>
      <c r="AI38" s="119"/>
      <c r="AJ38" s="119"/>
      <c r="AK38" s="119"/>
      <c r="AL38" s="119"/>
      <c r="AM38" s="119"/>
      <c r="AO38" s="82" t="s">
        <v>508</v>
      </c>
      <c r="AP38" s="82"/>
      <c r="AQ38" s="6">
        <f>'Data Training 1'!AW26*'Data Training 1'!AX34*'Data Training 1'!AX38*'Data Training 1'!AX45*'Data Training 1'!AX50*'Data Training 1'!AX58*'Data Training 1'!AX64*'Data Training 1'!AX70*'Data Training 1'!AX75*'Data Training 1'!AX81*'Data Training 1'!AX87*'Data Training 1'!AX93*'Data Training 1'!AX100*'Data Training 1'!AX106*'Data Training 1'!AX110*'Data Training 1'!AX116*'Data Training 1'!AX124*'Data Training 1'!AX130*'Data Training 1'!AX136*'Data Training 1'!AX142*'Data Training 1'!AX145*'Data Training 1'!AX151*'Data Training 1'!AX157*'Data Training 1'!AX164*'Data Training 1'!AX168*'Data Training 1'!AX172*'Data Training 1'!AX175*'Data Training 1'!AX179*'Data Training 1'!AX183*'Data Training 1'!AX187*'Data Training 1'!AX192*'Data Training 1'!AX195*'Data Training 1'!AX200*'Data Training 1'!AX204*'Data Training 1'!AX207*'Data Training 1'!AX211*'Data Training 1'!AX216</f>
        <v>0</v>
      </c>
    </row>
    <row r="39" spans="1:79">
      <c r="A39" s="119"/>
      <c r="B39" s="119"/>
      <c r="C39" s="119"/>
      <c r="D39" s="119"/>
      <c r="E39" s="119"/>
      <c r="F39" s="119"/>
      <c r="G39" s="119"/>
      <c r="H39" s="119"/>
      <c r="I39" s="119"/>
      <c r="J39" s="119"/>
      <c r="K39" s="119"/>
      <c r="L39" s="119"/>
      <c r="M39" s="119"/>
      <c r="N39" s="119"/>
      <c r="O39" s="119"/>
      <c r="P39" s="119"/>
      <c r="Q39" s="119"/>
      <c r="R39" s="119"/>
      <c r="S39" s="119"/>
      <c r="T39" s="119"/>
      <c r="U39" s="119"/>
      <c r="V39" s="119"/>
      <c r="W39" s="119"/>
      <c r="X39" s="119"/>
      <c r="Y39" s="119"/>
      <c r="Z39" s="119"/>
      <c r="AA39" s="119"/>
      <c r="AB39" s="119"/>
      <c r="AC39" s="119"/>
      <c r="AD39" s="119"/>
      <c r="AE39" s="119"/>
      <c r="AF39" s="119"/>
      <c r="AG39" s="119"/>
      <c r="AH39" s="119"/>
      <c r="AI39" s="119"/>
      <c r="AJ39" s="119"/>
      <c r="AK39" s="119"/>
      <c r="AL39" s="119"/>
      <c r="AM39" s="119"/>
      <c r="AO39" s="82" t="s">
        <v>509</v>
      </c>
      <c r="AP39" s="82"/>
      <c r="AQ39" s="6">
        <f>'Data Training 1'!AW27*'Data Training 1'!AY34*'Data Training 1'!AY38*'Data Training 1'!AY45*'Data Training 1'!AY50*'Data Training 1'!AY58*'Data Training 1'!AY64*'Data Training 1'!AY70*'Data Training 1'!AY75*'Data Training 1'!AY81*'Data Training 1'!AY87*'Data Training 1'!AY93*'Data Training 1'!AY100*'Data Training 1'!AY106*'Data Training 1'!AY110*'Data Training 1'!AY116*'Data Training 1'!AY124*'Data Training 1'!AY130*'Data Training 1'!AY136*'Data Training 1'!AY142*'Data Training 1'!AY145*'Data Training 1'!AY151*'Data Training 1'!AY157*'Data Training 1'!AY164*'Data Training 1'!AY168*'Data Training 1'!AY172*'Data Training 1'!AY175*'Data Training 1'!AY179*'Data Training 1'!AY183*'Data Training 1'!AY187*'Data Training 1'!AY192*'Data Training 1'!AY195*'Data Training 1'!AY200*'Data Training 1'!AY204*'Data Training 1'!AY207*'Data Training 1'!AY211*'Data Training 1'!AY216</f>
        <v>0</v>
      </c>
    </row>
    <row r="40" spans="1:79">
      <c r="A40" s="119"/>
      <c r="B40" s="119"/>
      <c r="C40" s="119"/>
      <c r="D40" s="119"/>
      <c r="E40" s="119"/>
      <c r="F40" s="119"/>
      <c r="G40" s="119"/>
      <c r="H40" s="119"/>
      <c r="I40" s="119"/>
      <c r="J40" s="119"/>
      <c r="K40" s="119"/>
      <c r="L40" s="119"/>
      <c r="M40" s="119"/>
      <c r="N40" s="119"/>
      <c r="O40" s="119"/>
      <c r="P40" s="119"/>
      <c r="Q40" s="119"/>
      <c r="R40" s="119"/>
      <c r="S40" s="119"/>
      <c r="T40" s="119"/>
      <c r="U40" s="119"/>
      <c r="V40" s="119"/>
      <c r="W40" s="119"/>
      <c r="X40" s="119"/>
      <c r="Y40" s="119"/>
      <c r="Z40" s="119"/>
      <c r="AA40" s="119"/>
      <c r="AB40" s="119"/>
      <c r="AC40" s="119"/>
      <c r="AD40" s="119"/>
      <c r="AE40" s="119"/>
      <c r="AF40" s="119"/>
      <c r="AG40" s="119"/>
      <c r="AH40" s="119"/>
      <c r="AI40" s="119"/>
      <c r="AJ40" s="119"/>
      <c r="AK40" s="119"/>
      <c r="AL40" s="119"/>
      <c r="AM40" s="119"/>
      <c r="AO40" s="80" t="s">
        <v>437</v>
      </c>
      <c r="AP40" s="80"/>
      <c r="AQ40" s="6" t="s">
        <v>285</v>
      </c>
      <c r="AR40" s="81" t="s">
        <v>438</v>
      </c>
      <c r="AS40" s="81"/>
      <c r="AT40" s="81"/>
    </row>
    <row r="41" spans="1:79">
      <c r="A41" s="119"/>
      <c r="B41" s="119"/>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P41" s="3"/>
    </row>
    <row r="42" spans="1:79">
      <c r="A42" s="119"/>
      <c r="B42" s="119"/>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O42" s="84" t="s">
        <v>460</v>
      </c>
      <c r="AP42" s="84"/>
      <c r="AQ42" s="7" t="s">
        <v>64</v>
      </c>
      <c r="AR42" s="51" t="s">
        <v>43</v>
      </c>
      <c r="AS42" s="51" t="s">
        <v>44</v>
      </c>
      <c r="AT42" s="51" t="s">
        <v>45</v>
      </c>
      <c r="AU42" s="51" t="s">
        <v>46</v>
      </c>
      <c r="AV42" s="51" t="s">
        <v>47</v>
      </c>
      <c r="AW42" s="51" t="s">
        <v>48</v>
      </c>
      <c r="AX42" s="51" t="s">
        <v>49</v>
      </c>
      <c r="AY42" s="51" t="s">
        <v>50</v>
      </c>
      <c r="AZ42" s="51" t="s">
        <v>51</v>
      </c>
      <c r="BA42" s="51" t="s">
        <v>52</v>
      </c>
      <c r="BB42" s="51" t="s">
        <v>53</v>
      </c>
      <c r="BC42" s="51" t="s">
        <v>54</v>
      </c>
      <c r="BD42" s="51" t="s">
        <v>55</v>
      </c>
      <c r="BE42" s="51" t="s">
        <v>56</v>
      </c>
      <c r="BF42" s="51" t="s">
        <v>57</v>
      </c>
      <c r="BG42" s="51" t="s">
        <v>58</v>
      </c>
      <c r="BH42" s="51" t="s">
        <v>59</v>
      </c>
      <c r="BI42" s="51" t="s">
        <v>60</v>
      </c>
      <c r="BJ42" s="51" t="s">
        <v>61</v>
      </c>
      <c r="BK42" s="51" t="s">
        <v>62</v>
      </c>
      <c r="BL42" s="51" t="s">
        <v>63</v>
      </c>
      <c r="BM42" s="51" t="s">
        <v>330</v>
      </c>
      <c r="BN42" s="51" t="s">
        <v>331</v>
      </c>
      <c r="BO42" s="51" t="s">
        <v>332</v>
      </c>
      <c r="BP42" s="51" t="s">
        <v>333</v>
      </c>
      <c r="BQ42" s="51" t="s">
        <v>334</v>
      </c>
      <c r="BR42" s="51" t="s">
        <v>335</v>
      </c>
      <c r="BS42" s="51" t="s">
        <v>336</v>
      </c>
      <c r="BT42" s="51" t="s">
        <v>337</v>
      </c>
      <c r="BU42" s="51" t="s">
        <v>338</v>
      </c>
      <c r="BV42" s="51" t="s">
        <v>339</v>
      </c>
      <c r="BW42" s="51" t="s">
        <v>340</v>
      </c>
      <c r="BX42" s="51" t="s">
        <v>341</v>
      </c>
      <c r="BY42" s="51" t="s">
        <v>342</v>
      </c>
      <c r="BZ42" s="51" t="s">
        <v>343</v>
      </c>
      <c r="CA42" s="51" t="s">
        <v>390</v>
      </c>
    </row>
    <row r="43" spans="1:79">
      <c r="A43" s="119"/>
      <c r="B43" s="119"/>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O43" s="84"/>
      <c r="AP43" s="84"/>
      <c r="AQ43" s="7">
        <v>1</v>
      </c>
      <c r="AR43" s="6" t="s">
        <v>5</v>
      </c>
      <c r="AS43" s="6" t="s">
        <v>3</v>
      </c>
      <c r="AT43" s="6" t="s">
        <v>4</v>
      </c>
      <c r="AU43" s="6" t="s">
        <v>3</v>
      </c>
      <c r="AV43" s="6" t="s">
        <v>5</v>
      </c>
      <c r="AW43" s="6" t="s">
        <v>5</v>
      </c>
      <c r="AX43" s="6" t="s">
        <v>5</v>
      </c>
      <c r="AY43" s="6" t="s">
        <v>2</v>
      </c>
      <c r="AZ43" s="6" t="s">
        <v>3</v>
      </c>
      <c r="BA43" s="6" t="s">
        <v>3</v>
      </c>
      <c r="BB43" s="6" t="s">
        <v>2</v>
      </c>
      <c r="BC43" s="6" t="s">
        <v>4</v>
      </c>
      <c r="BD43" s="6" t="s">
        <v>5</v>
      </c>
      <c r="BE43" s="6" t="s">
        <v>3</v>
      </c>
      <c r="BF43" s="6" t="s">
        <v>2</v>
      </c>
      <c r="BG43" s="6" t="s">
        <v>5</v>
      </c>
      <c r="BH43" s="6" t="s">
        <v>5</v>
      </c>
      <c r="BI43" s="6" t="s">
        <v>5</v>
      </c>
      <c r="BJ43" s="6" t="s">
        <v>5</v>
      </c>
      <c r="BK43" s="6" t="s">
        <v>4</v>
      </c>
      <c r="BL43" s="6" t="s">
        <v>4</v>
      </c>
      <c r="BM43" s="6" t="s">
        <v>4</v>
      </c>
      <c r="BN43" s="6" t="s">
        <v>3</v>
      </c>
      <c r="BO43" s="6" t="s">
        <v>3</v>
      </c>
      <c r="BP43" s="6" t="s">
        <v>3</v>
      </c>
      <c r="BQ43" s="6" t="s">
        <v>4</v>
      </c>
      <c r="BR43" s="6" t="s">
        <v>4</v>
      </c>
      <c r="BS43" s="6" t="s">
        <v>4</v>
      </c>
      <c r="BT43" s="6" t="s">
        <v>4</v>
      </c>
      <c r="BU43" s="6" t="s">
        <v>4</v>
      </c>
      <c r="BV43" s="6" t="s">
        <v>4</v>
      </c>
      <c r="BW43" s="6" t="s">
        <v>4</v>
      </c>
      <c r="BX43" s="6" t="s">
        <v>4</v>
      </c>
      <c r="BY43" s="6" t="s">
        <v>4</v>
      </c>
      <c r="BZ43" s="6" t="s">
        <v>4</v>
      </c>
      <c r="CA43" s="6" t="s">
        <v>3</v>
      </c>
    </row>
    <row r="44" spans="1:79">
      <c r="A44" s="119"/>
      <c r="B44" s="119"/>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O44" s="82" t="s">
        <v>504</v>
      </c>
      <c r="AP44" s="82"/>
      <c r="AQ44" s="6">
        <f>'Data Training 1'!AW22*'Data Training 1'!AT34*'Data Training 1'!AT38*'Data Training 1'!AT43*'Data Training 1'!AT50*'Data Training 1'!AT58*'Data Training 1'!AT64*'Data Training 1'!AT70*'Data Training 1'!AT75*'Data Training 1'!AT80*'Data Training 1'!AT86*'Data Training 1'!AT93*'Data Training 1'!AT97*'Data Training 1'!AT106*'Data Training 1'!AT110*'Data Training 1'!AT117*'Data Training 1'!AT124*'Data Training 1'!AT130*'Data Training 1'!AT136*'Data Training 1'!AT142*'Data Training 1'!AT145*'Data Training 1'!AT151*'Data Training 1'!AT157*'Data Training 1'!AT164*'Data Training 1'!AT168*'Data Training 1'!AT172*'Data Training 1'!AT175*'Data Training 1'!AT179*'Data Training 1'!AT183*'Data Training 1'!AT187*'Data Training 1'!AT191*'Data Training 1'!AT195*'Data Training 1'!AT199*'Data Training 1'!AT203*'Data Training 1'!AT207*'Data Training 1'!AT211*'Data Training 1'!AT216</f>
        <v>7.7745010421955084E-11</v>
      </c>
    </row>
    <row r="45" spans="1:79">
      <c r="A45" s="119"/>
      <c r="B45" s="119"/>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O45" s="82" t="s">
        <v>505</v>
      </c>
      <c r="AP45" s="82"/>
      <c r="AQ45" s="6">
        <f>'Data Training 1'!AW23*'Data Training 1'!AU34*'Data Training 1'!AU38*'Data Training 1'!AU43*'Data Training 1'!AU50*'Data Training 1'!AU58*'Data Training 1'!AU64*'Data Training 1'!AU70*'Data Training 1'!AU75*'Data Training 1'!AU80*'Data Training 1'!AU86*'Data Training 1'!AU93*'Data Training 1'!AU97*'Data Training 1'!AU106*'Data Training 1'!AU110*'Data Training 1'!AU117*'Data Training 1'!AU124*'Data Training 1'!AU130*'Data Training 1'!AU136*'Data Training 1'!AU142*'Data Training 1'!AU145*'Data Training 1'!AU151*'Data Training 1'!AU157*'Data Training 1'!AU164*'Data Training 1'!AU168*'Data Training 1'!AU172*'Data Training 1'!AU175*'Data Training 1'!AU179*'Data Training 1'!AU183*'Data Training 1'!AU187*'Data Training 1'!AU191*'Data Training 1'!AU195*'Data Training 1'!AU199*'Data Training 1'!AU203*'Data Training 1'!AU207*'Data Training 1'!AU211*'Data Training 1'!AU216</f>
        <v>4.9801481692875086E-12</v>
      </c>
    </row>
    <row r="46" spans="1:79">
      <c r="A46" s="119"/>
      <c r="B46" s="119"/>
      <c r="C46" s="119"/>
      <c r="D46" s="119"/>
      <c r="E46" s="119"/>
      <c r="F46" s="119"/>
      <c r="G46" s="119"/>
      <c r="H46" s="119"/>
      <c r="I46" s="119"/>
      <c r="J46" s="119"/>
      <c r="K46" s="119"/>
      <c r="L46" s="119"/>
      <c r="M46" s="119"/>
      <c r="N46" s="119"/>
      <c r="O46" s="119"/>
      <c r="P46" s="119"/>
      <c r="Q46" s="119"/>
      <c r="R46" s="119"/>
      <c r="S46" s="119"/>
      <c r="T46" s="119"/>
      <c r="U46" s="119"/>
      <c r="V46" s="119"/>
      <c r="W46" s="119"/>
      <c r="X46" s="119"/>
      <c r="Y46" s="119"/>
      <c r="Z46" s="119"/>
      <c r="AA46" s="119"/>
      <c r="AB46" s="119"/>
      <c r="AC46" s="119"/>
      <c r="AD46" s="119"/>
      <c r="AE46" s="119"/>
      <c r="AF46" s="119"/>
      <c r="AG46" s="119"/>
      <c r="AH46" s="119"/>
      <c r="AI46" s="119"/>
      <c r="AJ46" s="119"/>
      <c r="AK46" s="119"/>
      <c r="AL46" s="119"/>
      <c r="AM46" s="119"/>
      <c r="AO46" s="82" t="s">
        <v>506</v>
      </c>
      <c r="AP46" s="82"/>
      <c r="AQ46" s="6">
        <f>'Data Training 1'!AW24*'Data Training 1'!AV34*'Data Training 1'!AV38*'Data Training 1'!AV43*'Data Training 1'!AV50*'Data Training 1'!AV58*'Data Training 1'!AV64*'Data Training 1'!AV70*'Data Training 1'!AV75*'Data Training 1'!AV80*'Data Training 1'!AV86*'Data Training 1'!AV93*'Data Training 1'!AV97*'Data Training 1'!AV106*'Data Training 1'!AV110*'Data Training 1'!AV117*'Data Training 1'!AV124*'Data Training 1'!AV130*'Data Training 1'!AV136*'Data Training 1'!AV142*'Data Training 1'!AV145*'Data Training 1'!AV151*'Data Training 1'!AV157*'Data Training 1'!AV164*'Data Training 1'!AV168*'Data Training 1'!AV172*'Data Training 1'!AV175*'Data Training 1'!AV179*'Data Training 1'!AV183*'Data Training 1'!AV187*'Data Training 1'!AV191*'Data Training 1'!AV195*'Data Training 1'!AV199*'Data Training 1'!AV203*'Data Training 1'!AV207*'Data Training 1'!AV211*'Data Training 1'!AV216</f>
        <v>0</v>
      </c>
    </row>
    <row r="47" spans="1:79">
      <c r="A47" s="119"/>
      <c r="B47" s="119"/>
      <c r="C47" s="119"/>
      <c r="D47" s="119"/>
      <c r="E47" s="119"/>
      <c r="F47" s="119"/>
      <c r="G47" s="119"/>
      <c r="H47" s="119"/>
      <c r="I47" s="119"/>
      <c r="J47" s="119"/>
      <c r="K47" s="119"/>
      <c r="L47" s="119"/>
      <c r="M47" s="119"/>
      <c r="N47" s="119"/>
      <c r="O47" s="119"/>
      <c r="P47" s="119"/>
      <c r="Q47" s="119"/>
      <c r="R47" s="119"/>
      <c r="S47" s="119"/>
      <c r="T47" s="119"/>
      <c r="U47" s="119"/>
      <c r="V47" s="119"/>
      <c r="W47" s="119"/>
      <c r="X47" s="119"/>
      <c r="Y47" s="119"/>
      <c r="Z47" s="119"/>
      <c r="AA47" s="119"/>
      <c r="AB47" s="119"/>
      <c r="AC47" s="119"/>
      <c r="AD47" s="119"/>
      <c r="AE47" s="119"/>
      <c r="AF47" s="119"/>
      <c r="AG47" s="119"/>
      <c r="AH47" s="119"/>
      <c r="AI47" s="119"/>
      <c r="AJ47" s="119"/>
      <c r="AK47" s="119"/>
      <c r="AL47" s="119"/>
      <c r="AM47" s="119"/>
      <c r="AO47" s="82" t="s">
        <v>507</v>
      </c>
      <c r="AP47" s="82"/>
      <c r="AQ47" s="6">
        <f>'Data Training 1'!AW25*'Data Training 1'!AW34*'Data Training 1'!AW38*'Data Training 1'!AW43*'Data Training 1'!AW50*'Data Training 1'!AW58*'Data Training 1'!AW64*'Data Training 1'!AW70*'Data Training 1'!AW75*'Data Training 1'!AW80*'Data Training 1'!AW86*'Data Training 1'!AW93*'Data Training 1'!AW97*'Data Training 1'!AW106*'Data Training 1'!AW110*'Data Training 1'!AW117*'Data Training 1'!AW124*'Data Training 1'!AW130*'Data Training 1'!AW136*'Data Training 1'!AW142*'Data Training 1'!AW145*'Data Training 1'!AW151*'Data Training 1'!AW157*'Data Training 1'!AW164*'Data Training 1'!AW168*'Data Training 1'!AW172*'Data Training 1'!AW175*'Data Training 1'!AW179*'Data Training 1'!AW183*'Data Training 1'!AW187*'Data Training 1'!AW191*'Data Training 1'!AW195*'Data Training 1'!AW199*'Data Training 1'!AW203*'Data Training 1'!AW207*'Data Training 1'!AW211*'Data Training 1'!AW216</f>
        <v>0</v>
      </c>
    </row>
    <row r="48" spans="1:79">
      <c r="A48" s="119"/>
      <c r="B48" s="119"/>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19"/>
      <c r="AH48" s="119"/>
      <c r="AI48" s="119"/>
      <c r="AJ48" s="119"/>
      <c r="AK48" s="119"/>
      <c r="AL48" s="119"/>
      <c r="AM48" s="119"/>
      <c r="AO48" s="82" t="s">
        <v>508</v>
      </c>
      <c r="AP48" s="82"/>
      <c r="AQ48" s="6">
        <f>'Data Training 1'!AW26*'Data Training 1'!AX34*'Data Training 1'!AX38*'Data Training 1'!AX43*'Data Training 1'!AX50*'Data Training 1'!AX58*'Data Training 1'!AX64*'Data Training 1'!AX70*'Data Training 1'!AX75*'Data Training 1'!AX80*'Data Training 1'!AX86*'Data Training 1'!AX93*'Data Training 1'!AX97*'Data Training 1'!AX106*'Data Training 1'!AX110*'Data Training 1'!AX117*'Data Training 1'!AX124*'Data Training 1'!AX130*'Data Training 1'!AX136*'Data Training 1'!AX142*'Data Training 1'!AX145*'Data Training 1'!AX151*'Data Training 1'!AX157*'Data Training 1'!AX164*'Data Training 1'!AX168*'Data Training 1'!AX172*'Data Training 1'!AX175*'Data Training 1'!AX179*'Data Training 1'!AX183*'Data Training 1'!AX187*'Data Training 1'!AX191*'Data Training 1'!AX195*'Data Training 1'!AX199*'Data Training 1'!AX203*'Data Training 1'!AX207*'Data Training 1'!AX211*'Data Training 1'!AX216</f>
        <v>0</v>
      </c>
    </row>
    <row r="49" spans="1:79">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O49" s="82" t="s">
        <v>509</v>
      </c>
      <c r="AP49" s="82"/>
      <c r="AQ49" s="6">
        <f>'Data Training 1'!AW27*'Data Training 1'!AY34*'Data Training 1'!AY38*'Data Training 1'!AY43*'Data Training 1'!AY50*'Data Training 1'!AY58*'Data Training 1'!AY64*'Data Training 1'!AY70*'Data Training 1'!AY75*'Data Training 1'!AY80*'Data Training 1'!AY86*'Data Training 1'!AY93*'Data Training 1'!AY97*'Data Training 1'!AY106*'Data Training 1'!AY110*'Data Training 1'!AY117*'Data Training 1'!AY124*'Data Training 1'!AY130*'Data Training 1'!AY136*'Data Training 1'!AY142*'Data Training 1'!AY145*'Data Training 1'!AY151*'Data Training 1'!AY157*'Data Training 1'!AY164*'Data Training 1'!AY168*'Data Training 1'!AY172*'Data Training 1'!AY175*'Data Training 1'!AY179*'Data Training 1'!AY183*'Data Training 1'!AY187*'Data Training 1'!AY191*'Data Training 1'!AY195*'Data Training 1'!AY199*'Data Training 1'!AY203*'Data Training 1'!AY207*'Data Training 1'!AY211*'Data Training 1'!AY216</f>
        <v>0</v>
      </c>
    </row>
    <row r="50" spans="1:79">
      <c r="A50" s="119"/>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O50" s="80" t="s">
        <v>437</v>
      </c>
      <c r="AP50" s="80"/>
      <c r="AQ50" s="6" t="s">
        <v>285</v>
      </c>
      <c r="AR50" s="81" t="s">
        <v>438</v>
      </c>
      <c r="AS50" s="81"/>
      <c r="AT50" s="81"/>
    </row>
    <row r="51" spans="1:79">
      <c r="A51" s="119"/>
      <c r="B51" s="119"/>
      <c r="C51" s="119"/>
      <c r="D51" s="119"/>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row>
    <row r="52" spans="1:79">
      <c r="A52" s="119"/>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O52" s="84" t="s">
        <v>513</v>
      </c>
      <c r="AP52" s="84"/>
      <c r="AQ52" s="7" t="s">
        <v>64</v>
      </c>
      <c r="AR52" s="51" t="s">
        <v>43</v>
      </c>
      <c r="AS52" s="51" t="s">
        <v>44</v>
      </c>
      <c r="AT52" s="51" t="s">
        <v>45</v>
      </c>
      <c r="AU52" s="51" t="s">
        <v>46</v>
      </c>
      <c r="AV52" s="51" t="s">
        <v>47</v>
      </c>
      <c r="AW52" s="51" t="s">
        <v>48</v>
      </c>
      <c r="AX52" s="51" t="s">
        <v>49</v>
      </c>
      <c r="AY52" s="51" t="s">
        <v>50</v>
      </c>
      <c r="AZ52" s="51" t="s">
        <v>51</v>
      </c>
      <c r="BA52" s="51" t="s">
        <v>52</v>
      </c>
      <c r="BB52" s="51" t="s">
        <v>53</v>
      </c>
      <c r="BC52" s="51" t="s">
        <v>54</v>
      </c>
      <c r="BD52" s="51" t="s">
        <v>55</v>
      </c>
      <c r="BE52" s="51" t="s">
        <v>56</v>
      </c>
      <c r="BF52" s="51" t="s">
        <v>57</v>
      </c>
      <c r="BG52" s="51" t="s">
        <v>58</v>
      </c>
      <c r="BH52" s="51" t="s">
        <v>59</v>
      </c>
      <c r="BI52" s="51" t="s">
        <v>60</v>
      </c>
      <c r="BJ52" s="51" t="s">
        <v>61</v>
      </c>
      <c r="BK52" s="51" t="s">
        <v>62</v>
      </c>
      <c r="BL52" s="51" t="s">
        <v>63</v>
      </c>
      <c r="BM52" s="51" t="s">
        <v>330</v>
      </c>
      <c r="BN52" s="51" t="s">
        <v>331</v>
      </c>
      <c r="BO52" s="51" t="s">
        <v>332</v>
      </c>
      <c r="BP52" s="51" t="s">
        <v>333</v>
      </c>
      <c r="BQ52" s="51" t="s">
        <v>334</v>
      </c>
      <c r="BR52" s="51" t="s">
        <v>335</v>
      </c>
      <c r="BS52" s="51" t="s">
        <v>336</v>
      </c>
      <c r="BT52" s="51" t="s">
        <v>337</v>
      </c>
      <c r="BU52" s="51" t="s">
        <v>338</v>
      </c>
      <c r="BV52" s="51" t="s">
        <v>339</v>
      </c>
      <c r="BW52" s="51" t="s">
        <v>340</v>
      </c>
      <c r="BX52" s="51" t="s">
        <v>341</v>
      </c>
      <c r="BY52" s="51" t="s">
        <v>342</v>
      </c>
      <c r="BZ52" s="51" t="s">
        <v>343</v>
      </c>
      <c r="CA52" s="51" t="s">
        <v>390</v>
      </c>
    </row>
    <row r="53" spans="1:79">
      <c r="A53" s="119"/>
      <c r="B53" s="119"/>
      <c r="C53" s="120"/>
      <c r="D53" s="119"/>
      <c r="E53" s="119"/>
      <c r="F53" s="119"/>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O53" s="84"/>
      <c r="AP53" s="84"/>
      <c r="AQ53" s="7">
        <v>1</v>
      </c>
      <c r="AR53" s="6" t="s">
        <v>5</v>
      </c>
      <c r="AS53" s="6" t="s">
        <v>3</v>
      </c>
      <c r="AT53" s="6" t="s">
        <v>2</v>
      </c>
      <c r="AU53" s="6" t="s">
        <v>3</v>
      </c>
      <c r="AV53" s="6" t="s">
        <v>5</v>
      </c>
      <c r="AW53" s="6" t="s">
        <v>5</v>
      </c>
      <c r="AX53" s="6" t="s">
        <v>5</v>
      </c>
      <c r="AY53" s="6" t="s">
        <v>2</v>
      </c>
      <c r="AZ53" s="6" t="s">
        <v>3</v>
      </c>
      <c r="BA53" s="6" t="s">
        <v>3</v>
      </c>
      <c r="BB53" s="6" t="s">
        <v>2</v>
      </c>
      <c r="BC53" s="6" t="s">
        <v>5</v>
      </c>
      <c r="BD53" s="6" t="s">
        <v>5</v>
      </c>
      <c r="BE53" s="6" t="s">
        <v>3</v>
      </c>
      <c r="BF53" s="6" t="s">
        <v>2</v>
      </c>
      <c r="BG53" s="6" t="s">
        <v>5</v>
      </c>
      <c r="BH53" s="6" t="s">
        <v>5</v>
      </c>
      <c r="BI53" s="6" t="s">
        <v>5</v>
      </c>
      <c r="BJ53" s="6" t="s">
        <v>4</v>
      </c>
      <c r="BK53" s="6" t="s">
        <v>4</v>
      </c>
      <c r="BL53" s="6" t="s">
        <v>4</v>
      </c>
      <c r="BM53" s="6" t="s">
        <v>4</v>
      </c>
      <c r="BN53" s="6" t="s">
        <v>3</v>
      </c>
      <c r="BO53" s="6" t="s">
        <v>3</v>
      </c>
      <c r="BP53" s="6" t="s">
        <v>3</v>
      </c>
      <c r="BQ53" s="6" t="s">
        <v>4</v>
      </c>
      <c r="BR53" s="6" t="s">
        <v>4</v>
      </c>
      <c r="BS53" s="6" t="s">
        <v>4</v>
      </c>
      <c r="BT53" s="6" t="s">
        <v>4</v>
      </c>
      <c r="BU53" s="6" t="s">
        <v>3</v>
      </c>
      <c r="BV53" s="6" t="s">
        <v>4</v>
      </c>
      <c r="BW53" s="6" t="s">
        <v>3</v>
      </c>
      <c r="BX53" s="6" t="s">
        <v>4</v>
      </c>
      <c r="BY53" s="6" t="s">
        <v>4</v>
      </c>
      <c r="BZ53" s="6" t="s">
        <v>3</v>
      </c>
      <c r="CA53" s="6" t="s">
        <v>3</v>
      </c>
    </row>
    <row r="54" spans="1:79">
      <c r="A54" s="119"/>
      <c r="B54" s="119"/>
      <c r="C54" s="120"/>
      <c r="D54" s="119"/>
      <c r="E54" s="119"/>
      <c r="F54" s="119"/>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O54" s="82" t="s">
        <v>504</v>
      </c>
      <c r="AP54" s="82"/>
      <c r="AQ54" s="6">
        <f>'Data Training 1'!AW22*'Data Training 1'!AT34*'Data Training 1'!AT38*'Data Training 1'!AT45*'Data Training 1'!AT50*'Data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1'!AT139*'Data Training 1'!AT145*'Data Training 1'!AT151*'Data Training 1'!AT157*'Data Training 1'!AT164*'Data Training 1'!AT168*'Data Training 1'!AT172*'Data Training 1'!AT175*'Data Training 1'!AT179*'Data Training 1'!AT183*'Data Training 1'!AT187*'Data Training 1'!AT192*'Data Training 1'!AT195*'Data Training 1'!AT200*'Data Training 1'!AT203*'Data Training 1'!AT207*'Data Training 1'!AT212*'Data Training 1'!AT216</f>
        <v>1.1758932826320701E-10</v>
      </c>
    </row>
    <row r="55" spans="1:79">
      <c r="A55" s="119"/>
      <c r="B55" s="119"/>
      <c r="C55" s="120"/>
      <c r="D55" s="119"/>
      <c r="E55" s="119"/>
      <c r="F55" s="119"/>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O55" s="82" t="s">
        <v>505</v>
      </c>
      <c r="AP55" s="82"/>
      <c r="AQ55" s="6">
        <f>'Data Training 1'!AW23*'Data Training 1'!AU34*'Data Training 1'!AU38*'Data Training 1'!AU45*'Data Training 1'!AU50*'Data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1'!AU139*'Data Training 1'!AU145*'Data Training 1'!AU151*'Data Training 1'!AU157*'Data Training 1'!AU164*'Data Training 1'!AU168*'Data Training 1'!AU172*'Data Training 1'!AU175*'Data Training 1'!AU179*'Data Training 1'!AU183*'Data Training 1'!AU187*'Data Training 1'!AU192*'Data Training 1'!AU195*'Data Training 1'!AU200*'Data Training 1'!AU203*'Data Training 1'!AU207*'Data Training 1'!AU212*'Data Training 1'!AU216</f>
        <v>2.2825679109234415E-11</v>
      </c>
    </row>
    <row r="56" spans="1:79">
      <c r="AO56" s="82" t="s">
        <v>506</v>
      </c>
      <c r="AP56" s="82"/>
      <c r="AQ56" s="6">
        <f>'Data Training 1'!AW24*'Data Training 1'!AV34*'Data Training 1'!AV38*'Data Training 1'!AV45*'Data Training 1'!AV50*'Data Training 1'!AV58*'Data Training 1'!AV64*'Data Training 1'!AV70*'Data Training 1'!AV75*'Data Training 1'!AV80*'Data Training 1'!AV86*'Data Training 1'!AV93*'Data Training 1'!AV100*'Data Training 1'!AV106*'Data Training 1'!AV110*'Data Training 1'!AV117*'Data Training 1'!AV124*'Data Training 1'!AV130*'Data Training 1'!AV136*'Data Training 1'!AV139*'Data Training 1'!AV145*'Data Training 1'!AV151*'Data Training 1'!AV157*'Data Training 1'!AV164*'Data Training 1'!AV168*'Data Training 1'!AV172*'Data Training 1'!AV175*'Data Training 1'!AV179*'Data Training 1'!AV183*'Data Training 1'!AV187*'Data Training 1'!AV192*'Data Training 1'!AV195*'Data Training 1'!AV200*'Data Training 1'!AV203*'Data Training 1'!AV207*'Data Training 1'!AV212*'Data Training 1'!AV216</f>
        <v>0</v>
      </c>
    </row>
    <row r="57" spans="1:79">
      <c r="AO57" s="82" t="s">
        <v>507</v>
      </c>
      <c r="AP57" s="82"/>
      <c r="AQ57" s="6">
        <f>'Data Training 1'!AW25*'Data Training 1'!AW34*'Data Training 1'!AW38*'Data Training 1'!AW45*'Data Training 1'!AW50*'Data Training 1'!AW58*'Data Training 1'!AW64*'Data Training 1'!AW70*'Data Training 1'!AW75*'Data Training 1'!AW80*'Data Training 1'!AW86*'Data Training 1'!AW93*'Data Training 1'!AW100*'Data Training 1'!AW106*'Data Training 1'!AW110*'Data Training 1'!AW117*'Data Training 1'!AW124*'Data Training 1'!AW130*'Data Training 1'!AW136*'Data Training 1'!AW139*'Data Training 1'!AW145*'Data Training 1'!AW151*'Data Training 1'!AW157*'Data Training 1'!AW164*'Data Training 1'!AW168*'Data Training 1'!AW172*'Data Training 1'!AW175*'Data Training 1'!AW179*'Data Training 1'!AW183*'Data Training 1'!AW187*'Data Training 1'!AW192*'Data Training 1'!AW195*'Data Training 1'!AW200*'Data Training 1'!AW203*'Data Training 1'!AW207*'Data Training 1'!AW212*'Data Training 1'!AW216</f>
        <v>0</v>
      </c>
    </row>
    <row r="58" spans="1:79">
      <c r="AO58" s="82" t="s">
        <v>508</v>
      </c>
      <c r="AP58" s="82"/>
      <c r="AQ58" s="6">
        <f>'Data Training 1'!AW26*'Data Training 1'!AX34*'Data Training 1'!AX38*'Data Training 1'!AX45*'Data Training 1'!AX50*'Data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1'!AX139*'Data Training 1'!AX145*'Data Training 1'!AX151*'Data Training 1'!AX157*'Data Training 1'!AX164*'Data Training 1'!AX168*'Data Training 1'!AX172*'Data Training 1'!AX175*'Data Training 1'!AX179*'Data Training 1'!AX183*'Data Training 1'!AX187*'Data Training 1'!AX192*'Data Training 1'!AX195*'Data Training 1'!AX200*'Data Training 1'!AX203*'Data Training 1'!AX207*'Data Training 1'!AX212*'Data Training 1'!AX216</f>
        <v>0</v>
      </c>
    </row>
    <row r="59" spans="1:79">
      <c r="AO59" s="82" t="s">
        <v>509</v>
      </c>
      <c r="AP59" s="82"/>
      <c r="AQ59" s="6">
        <f>'Data Training 1'!AW27*'Data Training 1'!AY34*'Data Training 1'!AY38*'Data Training 1'!AY45*'Data Training 1'!AY50*'Data Training 1'!AY58*'Data Training 1'!AY64*'Data Training 1'!AY70*'Data Training 1'!AY75*'Data Training 1'!AY80*'Data Training 1'!AY86*'Data Training 1'!AY93*'Data Training 1'!AY100*'Data Training 1'!AY106*'Data Training 1'!AY110*'Data Training 1'!AY117*'Data Training 1'!AY124*'Data Training 1'!AY130*'Data Training 1'!AY136*'Data Training 1'!AY139*'Data Training 1'!AY145*'Data Training 1'!AY151*'Data Training 1'!AY157*'Data Training 1'!AY164*'Data Training 1'!AY168*'Data Training 1'!AY172*'Data Training 1'!AY175*'Data Training 1'!AY179*'Data Training 1'!AY183*'Data Training 1'!AY187*'Data Training 1'!AY192*'Data Training 1'!AY195*'Data Training 1'!AY200*'Data Training 1'!AY203*'Data Training 1'!AY207*'Data Training 1'!AY212*'Data Training 1'!AY216</f>
        <v>0</v>
      </c>
    </row>
    <row r="60" spans="1:79">
      <c r="AO60" s="80" t="s">
        <v>437</v>
      </c>
      <c r="AP60" s="80"/>
      <c r="AQ60" s="6" t="s">
        <v>300</v>
      </c>
      <c r="AR60" s="83" t="s">
        <v>439</v>
      </c>
      <c r="AS60" s="83"/>
      <c r="AT60" s="83"/>
    </row>
    <row r="62" spans="1:79">
      <c r="AO62" s="84" t="s">
        <v>500</v>
      </c>
      <c r="AP62" s="84"/>
      <c r="AQ62" s="7" t="s">
        <v>64</v>
      </c>
      <c r="AR62" s="51" t="s">
        <v>43</v>
      </c>
      <c r="AS62" s="51" t="s">
        <v>44</v>
      </c>
      <c r="AT62" s="51" t="s">
        <v>45</v>
      </c>
      <c r="AU62" s="51" t="s">
        <v>46</v>
      </c>
      <c r="AV62" s="51" t="s">
        <v>47</v>
      </c>
      <c r="AW62" s="51" t="s">
        <v>48</v>
      </c>
      <c r="AX62" s="51" t="s">
        <v>49</v>
      </c>
      <c r="AY62" s="51" t="s">
        <v>50</v>
      </c>
      <c r="AZ62" s="51" t="s">
        <v>51</v>
      </c>
      <c r="BA62" s="51" t="s">
        <v>52</v>
      </c>
      <c r="BB62" s="51" t="s">
        <v>53</v>
      </c>
      <c r="BC62" s="51" t="s">
        <v>54</v>
      </c>
      <c r="BD62" s="51" t="s">
        <v>55</v>
      </c>
      <c r="BE62" s="51" t="s">
        <v>56</v>
      </c>
      <c r="BF62" s="51" t="s">
        <v>57</v>
      </c>
      <c r="BG62" s="51" t="s">
        <v>58</v>
      </c>
      <c r="BH62" s="51" t="s">
        <v>59</v>
      </c>
      <c r="BI62" s="51" t="s">
        <v>60</v>
      </c>
      <c r="BJ62" s="51" t="s">
        <v>61</v>
      </c>
      <c r="BK62" s="51" t="s">
        <v>62</v>
      </c>
      <c r="BL62" s="51" t="s">
        <v>63</v>
      </c>
      <c r="BM62" s="51" t="s">
        <v>330</v>
      </c>
      <c r="BN62" s="51" t="s">
        <v>331</v>
      </c>
      <c r="BO62" s="51" t="s">
        <v>332</v>
      </c>
      <c r="BP62" s="51" t="s">
        <v>333</v>
      </c>
      <c r="BQ62" s="51" t="s">
        <v>334</v>
      </c>
      <c r="BR62" s="51" t="s">
        <v>335</v>
      </c>
      <c r="BS62" s="51" t="s">
        <v>336</v>
      </c>
      <c r="BT62" s="51" t="s">
        <v>337</v>
      </c>
      <c r="BU62" s="51" t="s">
        <v>338</v>
      </c>
      <c r="BV62" s="51" t="s">
        <v>339</v>
      </c>
      <c r="BW62" s="51" t="s">
        <v>340</v>
      </c>
      <c r="BX62" s="51" t="s">
        <v>341</v>
      </c>
      <c r="BY62" s="51" t="s">
        <v>342</v>
      </c>
      <c r="BZ62" s="51" t="s">
        <v>343</v>
      </c>
      <c r="CA62" s="51" t="s">
        <v>390</v>
      </c>
    </row>
    <row r="63" spans="1:79">
      <c r="AO63" s="84"/>
      <c r="AP63" s="84"/>
      <c r="AQ63" s="7">
        <v>2</v>
      </c>
      <c r="AR63" s="6" t="s">
        <v>5</v>
      </c>
      <c r="AS63" s="6" t="s">
        <v>3</v>
      </c>
      <c r="AT63" s="6" t="s">
        <v>4</v>
      </c>
      <c r="AU63" s="6" t="s">
        <v>3</v>
      </c>
      <c r="AV63" s="6" t="s">
        <v>5</v>
      </c>
      <c r="AW63" s="6" t="s">
        <v>5</v>
      </c>
      <c r="AX63" s="6" t="s">
        <v>3</v>
      </c>
      <c r="AY63" s="6" t="s">
        <v>4</v>
      </c>
      <c r="AZ63" s="6" t="s">
        <v>3</v>
      </c>
      <c r="BA63" s="6" t="s">
        <v>3</v>
      </c>
      <c r="BB63" s="6" t="s">
        <v>4</v>
      </c>
      <c r="BC63" s="6" t="s">
        <v>4</v>
      </c>
      <c r="BD63" s="6" t="s">
        <v>5</v>
      </c>
      <c r="BE63" s="6" t="s">
        <v>3</v>
      </c>
      <c r="BF63" s="6" t="s">
        <v>4</v>
      </c>
      <c r="BG63" s="6" t="s">
        <v>5</v>
      </c>
      <c r="BH63" s="6" t="s">
        <v>5</v>
      </c>
      <c r="BI63" s="6" t="s">
        <v>5</v>
      </c>
      <c r="BJ63" s="6" t="s">
        <v>3</v>
      </c>
      <c r="BK63" s="6" t="s">
        <v>4</v>
      </c>
      <c r="BL63" s="6" t="s">
        <v>4</v>
      </c>
      <c r="BM63" s="6" t="s">
        <v>4</v>
      </c>
      <c r="BN63" s="6" t="s">
        <v>3</v>
      </c>
      <c r="BO63" s="6" t="s">
        <v>4</v>
      </c>
      <c r="BP63" s="6" t="s">
        <v>4</v>
      </c>
      <c r="BQ63" s="6" t="s">
        <v>4</v>
      </c>
      <c r="BR63" s="6" t="s">
        <v>4</v>
      </c>
      <c r="BS63" s="6" t="s">
        <v>4</v>
      </c>
      <c r="BT63" s="6" t="s">
        <v>4</v>
      </c>
      <c r="BU63" s="6" t="s">
        <v>3</v>
      </c>
      <c r="BV63" s="6" t="s">
        <v>4</v>
      </c>
      <c r="BW63" s="6" t="s">
        <v>3</v>
      </c>
      <c r="BX63" s="6" t="s">
        <v>4</v>
      </c>
      <c r="BY63" s="6" t="s">
        <v>4</v>
      </c>
      <c r="BZ63" s="6" t="s">
        <v>4</v>
      </c>
      <c r="CA63" s="6" t="s">
        <v>3</v>
      </c>
    </row>
    <row r="64" spans="1:79">
      <c r="AO64" s="6" t="s">
        <v>504</v>
      </c>
      <c r="AP64" s="6"/>
      <c r="AQ64" s="6">
        <f>'Data Training 1'!AW22*'Data Training 1'!AT34*'Data Training 1'!AT38*'Data Training 1'!AT43*'Data Training 1'!AT50*'Data Training 1'!AT58*'Data Training 1'!AT64*'Data Training 1'!AT68*'Data Training 1'!AT73*'Data Training 1'!AT80*'Data Training 1'!AT86*'Data Training 1'!AT91*'Data Training 1'!AT97*'Data Training 1'!AT106*'Data Training 1'!AT110*'Data Training 1'!AT115*'Data Training 1'!AT124*'Data Training 1'!AT130*'Data Training 1'!AT136*'Data Training 1'!AT140*'Data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65" spans="41:79">
      <c r="AO65" s="6" t="s">
        <v>505</v>
      </c>
      <c r="AP65" s="6"/>
      <c r="AQ65" s="6">
        <f>'Data Training 1'!AW23*'Data Training 1'!AU34*'Data Training 1'!AU38*'Data Training 1'!AU43*'Data Training 1'!AU50*'Data Training 1'!AU58*'Data Training 1'!AU64*'Data Training 1'!AU68*'Data Training 1'!AU73*'Data Training 1'!AU80*'Data Training 1'!AU86*'Data Training 1'!AU91*'Data Training 1'!AU97*'Data Training 1'!AU106*'Data Training 1'!AU110*'Data Training 1'!AU115*'Data Training 1'!AU124*'Data Training 1'!AU130*'Data Training 1'!AU136*'Data Training 1'!AU140*'Data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3.2954574213957171E-11</v>
      </c>
    </row>
    <row r="66" spans="41:79">
      <c r="AO66" s="82" t="s">
        <v>506</v>
      </c>
      <c r="AP66" s="82"/>
      <c r="AQ66" s="6">
        <f>'Data Training 1'!AW24*'Data Training 1'!AV34*'Data Training 1'!AV38*'Data Training 1'!AV43*'Data Training 1'!AV50*'Data Training 1'!AV58*'Data Training 1'!AV64*'Data Training 1'!AV68*'Data Training 1'!AV73*'Data Training 1'!AV80*'Data Training 1'!AV86*'Data Training 1'!AV91*'Data Training 1'!AV97*'Data Training 1'!AV106*'Data Training 1'!AV110*'Data Training 1'!AV115*'Data Training 1'!AV124*'Data Training 1'!AV130*'Data Training 1'!AV136*'Data Training 1'!AV140*'Data Training 1'!AV145*'Data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67" spans="41:79">
      <c r="AO67" s="82" t="s">
        <v>507</v>
      </c>
      <c r="AP67" s="82"/>
      <c r="AQ67" s="6">
        <f>'Data Training 1'!AW25*'Data Training 1'!AW34*'Data Training 1'!AW38*'Data Training 1'!AW43*'Data Training 1'!AW50*'Data Training 1'!AW58*'Data Training 1'!AW64*'Data Training 1'!AW68*'Data Training 1'!AW73*'Data Training 1'!AW80*'Data Training 1'!AW86*'Data Training 1'!AW91*'Data Training 1'!AW97*'Data Training 1'!AW106*'Data Training 1'!AW110*'Data Training 1'!AW115*'Data Training 1'!AW124*'Data Training 1'!AW130*'Data Training 1'!AW136*'Data Training 1'!AW140*'Data Training 1'!AW145*'Data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68" spans="41:79">
      <c r="AO68" s="82" t="s">
        <v>508</v>
      </c>
      <c r="AP68" s="82"/>
      <c r="AQ68" s="6">
        <f>'Data Training 1'!AW26*'Data Training 1'!AX34*'Data Training 1'!AX38*'Data Training 1'!AX43*'Data Training 1'!AX50*'Data Training 1'!AX58*'Data Training 1'!AX64*'Data Training 1'!AX68*'Data Training 1'!AX73*'Data Training 1'!AX80*'Data Training 1'!AX86*'Data Training 1'!AX91*'Data Training 1'!AX97*'Data Training 1'!AX106*'Data Training 1'!AX110*'Data Training 1'!AX115*'Data Training 1'!AX124*'Data Training 1'!AX130*'Data Training 1'!AX136*'Data Training 1'!AX140*'Data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69" spans="41:79">
      <c r="AO69" s="82" t="s">
        <v>509</v>
      </c>
      <c r="AP69" s="82"/>
      <c r="AQ69" s="6">
        <f>'Data Training 1'!AW27*'Data Training 1'!AY34*'Data Training 1'!AY38*'Data Training 1'!AY43*'Data Training 1'!AY50*'Data Training 1'!AY58*'Data Training 1'!AY64*'Data Training 1'!AY68*'Data Training 1'!AY73*'Data Training 1'!AY80*'Data Training 1'!AY86*'Data Training 1'!AY91*'Data Training 1'!AY97*'Data Training 1'!AY106*'Data Training 1'!AY110*'Data Training 1'!AY115*'Data Training 1'!AY124*'Data Training 1'!AY130*'Data Training 1'!AY136*'Data Training 1'!AY140*'Data Training 1'!AY145*'Data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70" spans="41:79">
      <c r="AO70" s="80" t="s">
        <v>437</v>
      </c>
      <c r="AP70" s="80"/>
      <c r="AQ70" s="6" t="s">
        <v>300</v>
      </c>
      <c r="AR70" s="81" t="s">
        <v>438</v>
      </c>
      <c r="AS70" s="81"/>
      <c r="AT70" s="81"/>
    </row>
    <row r="72" spans="41:79">
      <c r="AO72" s="84" t="s">
        <v>315</v>
      </c>
      <c r="AP72" s="84"/>
      <c r="AQ72" s="7" t="s">
        <v>64</v>
      </c>
      <c r="AR72" s="51" t="s">
        <v>43</v>
      </c>
      <c r="AS72" s="51" t="s">
        <v>44</v>
      </c>
      <c r="AT72" s="51" t="s">
        <v>45</v>
      </c>
      <c r="AU72" s="51" t="s">
        <v>46</v>
      </c>
      <c r="AV72" s="51" t="s">
        <v>47</v>
      </c>
      <c r="AW72" s="51" t="s">
        <v>48</v>
      </c>
      <c r="AX72" s="51" t="s">
        <v>49</v>
      </c>
      <c r="AY72" s="51" t="s">
        <v>50</v>
      </c>
      <c r="AZ72" s="51" t="s">
        <v>51</v>
      </c>
      <c r="BA72" s="51" t="s">
        <v>52</v>
      </c>
      <c r="BB72" s="51" t="s">
        <v>53</v>
      </c>
      <c r="BC72" s="51" t="s">
        <v>54</v>
      </c>
      <c r="BD72" s="51" t="s">
        <v>55</v>
      </c>
      <c r="BE72" s="51" t="s">
        <v>56</v>
      </c>
      <c r="BF72" s="51" t="s">
        <v>57</v>
      </c>
      <c r="BG72" s="51" t="s">
        <v>58</v>
      </c>
      <c r="BH72" s="51" t="s">
        <v>59</v>
      </c>
      <c r="BI72" s="51" t="s">
        <v>60</v>
      </c>
      <c r="BJ72" s="51" t="s">
        <v>61</v>
      </c>
      <c r="BK72" s="51" t="s">
        <v>62</v>
      </c>
      <c r="BL72" s="51" t="s">
        <v>63</v>
      </c>
      <c r="BM72" s="51" t="s">
        <v>330</v>
      </c>
      <c r="BN72" s="51" t="s">
        <v>331</v>
      </c>
      <c r="BO72" s="51" t="s">
        <v>332</v>
      </c>
      <c r="BP72" s="51" t="s">
        <v>333</v>
      </c>
      <c r="BQ72" s="51" t="s">
        <v>334</v>
      </c>
      <c r="BR72" s="51" t="s">
        <v>335</v>
      </c>
      <c r="BS72" s="51" t="s">
        <v>336</v>
      </c>
      <c r="BT72" s="51" t="s">
        <v>337</v>
      </c>
      <c r="BU72" s="51" t="s">
        <v>338</v>
      </c>
      <c r="BV72" s="51" t="s">
        <v>339</v>
      </c>
      <c r="BW72" s="51" t="s">
        <v>340</v>
      </c>
      <c r="BX72" s="51" t="s">
        <v>341</v>
      </c>
      <c r="BY72" s="51" t="s">
        <v>342</v>
      </c>
      <c r="BZ72" s="51" t="s">
        <v>343</v>
      </c>
      <c r="CA72" s="51" t="s">
        <v>390</v>
      </c>
    </row>
    <row r="73" spans="41:79">
      <c r="AO73" s="84"/>
      <c r="AP73" s="84"/>
      <c r="AQ73" s="7">
        <v>2</v>
      </c>
      <c r="AR73" s="6" t="s">
        <v>5</v>
      </c>
      <c r="AS73" s="6" t="s">
        <v>5</v>
      </c>
      <c r="AT73" s="6" t="s">
        <v>3</v>
      </c>
      <c r="AU73" s="6" t="s">
        <v>5</v>
      </c>
      <c r="AV73" s="6" t="s">
        <v>5</v>
      </c>
      <c r="AW73" s="6" t="s">
        <v>5</v>
      </c>
      <c r="AX73" s="6" t="s">
        <v>2</v>
      </c>
      <c r="AY73" s="6" t="s">
        <v>2</v>
      </c>
      <c r="AZ73" s="6" t="s">
        <v>3</v>
      </c>
      <c r="BA73" s="6" t="s">
        <v>2</v>
      </c>
      <c r="BB73" s="6" t="s">
        <v>2</v>
      </c>
      <c r="BC73" s="6" t="s">
        <v>3</v>
      </c>
      <c r="BD73" s="6" t="s">
        <v>5</v>
      </c>
      <c r="BE73" s="6" t="s">
        <v>3</v>
      </c>
      <c r="BF73" s="6" t="s">
        <v>4</v>
      </c>
      <c r="BG73" s="6" t="s">
        <v>5</v>
      </c>
      <c r="BH73" s="6" t="s">
        <v>5</v>
      </c>
      <c r="BI73" s="6" t="s">
        <v>5</v>
      </c>
      <c r="BJ73" s="6" t="s">
        <v>5</v>
      </c>
      <c r="BK73" s="6" t="s">
        <v>4</v>
      </c>
      <c r="BL73" s="6" t="s">
        <v>3</v>
      </c>
      <c r="BM73" s="6" t="s">
        <v>2</v>
      </c>
      <c r="BN73" s="6" t="s">
        <v>3</v>
      </c>
      <c r="BO73" s="6" t="s">
        <v>4</v>
      </c>
      <c r="BP73" s="6" t="s">
        <v>4</v>
      </c>
      <c r="BQ73" s="6" t="s">
        <v>4</v>
      </c>
      <c r="BR73" s="6" t="s">
        <v>4</v>
      </c>
      <c r="BS73" s="6" t="s">
        <v>4</v>
      </c>
      <c r="BT73" s="6" t="s">
        <v>4</v>
      </c>
      <c r="BU73" s="6" t="s">
        <v>3</v>
      </c>
      <c r="BV73" s="6" t="s">
        <v>4</v>
      </c>
      <c r="BW73" s="6" t="s">
        <v>4</v>
      </c>
      <c r="BX73" s="6" t="s">
        <v>4</v>
      </c>
      <c r="BY73" s="6" t="s">
        <v>4</v>
      </c>
      <c r="BZ73" s="6" t="s">
        <v>3</v>
      </c>
      <c r="CA73" s="6" t="s">
        <v>4</v>
      </c>
    </row>
    <row r="74" spans="41:79">
      <c r="AO74" s="41" t="s">
        <v>504</v>
      </c>
      <c r="AP74" s="41"/>
      <c r="AQ74" s="41">
        <f>'Data Training 1'!AW22*'Data Training 1'!AT34*'Data Training 1'!AT40*'Data Training 1'!AT44*'Data Training 1'!AT52*'Data Training 1'!AT58*'Data Training 1'!AT64*'Data Training 1'!AT69*'Data Training 1'!AT75*'Data Training 1'!AT80*'Data Training 1'!AT87*'Data Training 1'!AT93*'Data Training 1'!AT98*'Data Training 1'!AT106*'Data Training 1'!AT110*'Data Training 1'!AT115*'Data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1'!AT212*'Data Training 1'!AT215</f>
        <v>0</v>
      </c>
    </row>
    <row r="75" spans="41:79">
      <c r="AO75" s="6" t="s">
        <v>505</v>
      </c>
      <c r="AP75" s="6"/>
      <c r="AQ75" s="6">
        <f>'Data Training 1'!AW23*'Data Training 1'!AU34*'Data Training 1'!AU40*'Data Training 1'!AU44*'Data Training 1'!AU52*'Data Training 1'!AU58*'Data Training 1'!AU64*'Data Training 1'!AU69*'Data Training 1'!AU75*'Data Training 1'!AU80*'Data Training 1'!AU87*'Data Training 1'!AU93*'Data Training 1'!AU98*'Data Training 1'!AU106*'Data Training 1'!AU110*'Data Training 1'!AU115*'Data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1'!AU212*'Data Training 1'!AU215</f>
        <v>7.7999625331086933E-10</v>
      </c>
    </row>
    <row r="76" spans="41:79">
      <c r="AO76" s="82" t="s">
        <v>506</v>
      </c>
      <c r="AP76" s="82"/>
      <c r="AQ76" s="6">
        <f>'Data Training 1'!AW24*'Data Training 1'!AV34*'Data Training 1'!AV40*'Data Training 1'!AV44*'Data Training 1'!AV52*'Data Training 1'!AV58*'Data Training 1'!AV64*'Data Training 1'!AV69*'Data Training 1'!AV75*'Data Training 1'!AV80*'Data Training 1'!AV87*'Data Training 1'!AV93*'Data Training 1'!AV98*'Data Training 1'!AV106*'Data Training 1'!AV110*'Data Training 1'!AV115*'Data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1'!AV212*'Data Training 1'!AV215</f>
        <v>0</v>
      </c>
    </row>
    <row r="77" spans="41:79">
      <c r="AO77" s="82" t="s">
        <v>507</v>
      </c>
      <c r="AP77" s="82"/>
      <c r="AQ77" s="6">
        <f>'Data Training 1'!AW25*'Data Training 1'!AW34*'Data Training 1'!AW40*'Data Training 1'!AW44*'Data Training 1'!AW52*'Data Training 1'!AW58*'Data Training 1'!AW64*'Data Training 1'!AW69*'Data Training 1'!AW75*'Data Training 1'!AW80*'Data Training 1'!AW87*'Data Training 1'!AW93*'Data Training 1'!AW98*'Data Training 1'!AW106*'Data Training 1'!AW110*'Data Training 1'!AW115*'Data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1'!AW199*'Data Training 1'!AW203*'Data Training 1'!AW207*'Data Training 1'!AW212*'Data Training 1'!AW215</f>
        <v>0</v>
      </c>
    </row>
    <row r="78" spans="41:79">
      <c r="AO78" s="82" t="s">
        <v>508</v>
      </c>
      <c r="AP78" s="82"/>
      <c r="AQ78" s="6">
        <f>'Data Training 1'!AW26*'Data Training 1'!AX34*'Data Training 1'!AX40*'Data Training 1'!AX44*'Data Training 1'!AX52*'Data Training 1'!AX58*'Data Training 1'!AX64*'Data Training 1'!AX69*'Data Training 1'!AX75*'Data Training 1'!AX80*'Data Training 1'!AX87*'Data Training 1'!AX93*'Data Training 1'!AX98*'Data Training 1'!AX106*'Data Training 1'!AX110*'Data Training 1'!AX115*'Data Training 1'!AX124*'Data Training 1'!AX130*'Data Training 1'!AX136*'Data Training 1'!AX142*'Data Training 1'!AX145*'Data Training 1'!AX152*'Data Training 1'!AX159*'Data Training 1'!AX164*'Data Training 1'!AX167*'Data Training 1'!AX171*'Data Training 1'!AX175*'Data Training 1'!AX179*'Data Training 1'!AX183*'Data Training 1'!AX187*'Data Training 1'!AX192*'Data Training 1'!AX195*'Data Training 1'!AX199*'Data Training 1'!AX203*'Data Training 1'!AX207*'Data Training 1'!AX212*'Data Training 1'!AX215</f>
        <v>0</v>
      </c>
    </row>
    <row r="79" spans="41:79">
      <c r="AO79" s="82" t="s">
        <v>509</v>
      </c>
      <c r="AP79" s="82"/>
      <c r="AQ79" s="6">
        <f>'Data Training 1'!AW27*'Data Training 1'!AY34*'Data Training 1'!AY40*'Data Training 1'!AY44*'Data Training 1'!AY52*'Data Training 1'!AY58*'Data Training 1'!AY64*'Data Training 1'!AY69*'Data Training 1'!AY75*'Data Training 1'!AY80*'Data Training 1'!AY87*'Data Training 1'!AY93*'Data Training 1'!AY98*'Data Training 1'!AY106*'Data Training 1'!AY110*'Data Training 1'!AY115*'Data Training 1'!AY124*'Data Training 1'!AY130*'Data Training 1'!AY136*'Data Training 1'!AY142*'Data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1'!AY212*'Data Training 1'!AY215</f>
        <v>0</v>
      </c>
    </row>
    <row r="80" spans="41:79">
      <c r="AO80" s="80" t="s">
        <v>437</v>
      </c>
      <c r="AP80" s="80"/>
      <c r="AQ80" s="6" t="s">
        <v>300</v>
      </c>
      <c r="AR80" s="81" t="s">
        <v>438</v>
      </c>
      <c r="AS80" s="81"/>
      <c r="AT80" s="81"/>
    </row>
    <row r="82" spans="41:79">
      <c r="AO82" s="84" t="s">
        <v>318</v>
      </c>
      <c r="AP82" s="84"/>
      <c r="AQ82" s="7" t="s">
        <v>64</v>
      </c>
      <c r="AR82" s="51" t="s">
        <v>43</v>
      </c>
      <c r="AS82" s="51" t="s">
        <v>44</v>
      </c>
      <c r="AT82" s="51" t="s">
        <v>45</v>
      </c>
      <c r="AU82" s="51" t="s">
        <v>46</v>
      </c>
      <c r="AV82" s="51" t="s">
        <v>47</v>
      </c>
      <c r="AW82" s="51" t="s">
        <v>48</v>
      </c>
      <c r="AX82" s="51" t="s">
        <v>49</v>
      </c>
      <c r="AY82" s="51" t="s">
        <v>50</v>
      </c>
      <c r="AZ82" s="51" t="s">
        <v>51</v>
      </c>
      <c r="BA82" s="51" t="s">
        <v>52</v>
      </c>
      <c r="BB82" s="51" t="s">
        <v>53</v>
      </c>
      <c r="BC82" s="51" t="s">
        <v>54</v>
      </c>
      <c r="BD82" s="51" t="s">
        <v>55</v>
      </c>
      <c r="BE82" s="51" t="s">
        <v>56</v>
      </c>
      <c r="BF82" s="51" t="s">
        <v>57</v>
      </c>
      <c r="BG82" s="51" t="s">
        <v>58</v>
      </c>
      <c r="BH82" s="51" t="s">
        <v>59</v>
      </c>
      <c r="BI82" s="51" t="s">
        <v>60</v>
      </c>
      <c r="BJ82" s="51" t="s">
        <v>61</v>
      </c>
      <c r="BK82" s="51" t="s">
        <v>62</v>
      </c>
      <c r="BL82" s="51" t="s">
        <v>63</v>
      </c>
      <c r="BM82" s="51" t="s">
        <v>330</v>
      </c>
      <c r="BN82" s="51" t="s">
        <v>331</v>
      </c>
      <c r="BO82" s="51" t="s">
        <v>332</v>
      </c>
      <c r="BP82" s="51" t="s">
        <v>333</v>
      </c>
      <c r="BQ82" s="51" t="s">
        <v>334</v>
      </c>
      <c r="BR82" s="51" t="s">
        <v>335</v>
      </c>
      <c r="BS82" s="51" t="s">
        <v>336</v>
      </c>
      <c r="BT82" s="51" t="s">
        <v>337</v>
      </c>
      <c r="BU82" s="51" t="s">
        <v>338</v>
      </c>
      <c r="BV82" s="51" t="s">
        <v>339</v>
      </c>
      <c r="BW82" s="51" t="s">
        <v>340</v>
      </c>
      <c r="BX82" s="51" t="s">
        <v>341</v>
      </c>
      <c r="BY82" s="51" t="s">
        <v>342</v>
      </c>
      <c r="BZ82" s="51" t="s">
        <v>343</v>
      </c>
      <c r="CA82" s="51" t="s">
        <v>390</v>
      </c>
    </row>
    <row r="83" spans="41:79">
      <c r="AO83" s="84"/>
      <c r="AP83" s="84"/>
      <c r="AQ83" s="7">
        <v>2</v>
      </c>
      <c r="AR83" s="6" t="s">
        <v>4</v>
      </c>
      <c r="AS83" s="6" t="s">
        <v>5</v>
      </c>
      <c r="AT83" s="6" t="s">
        <v>3</v>
      </c>
      <c r="AU83" s="6" t="s">
        <v>5</v>
      </c>
      <c r="AV83" s="6" t="s">
        <v>5</v>
      </c>
      <c r="AW83" s="6" t="s">
        <v>5</v>
      </c>
      <c r="AX83" s="6" t="s">
        <v>5</v>
      </c>
      <c r="AY83" s="6" t="s">
        <v>2</v>
      </c>
      <c r="AZ83" s="6" t="s">
        <v>3</v>
      </c>
      <c r="BA83" s="6" t="s">
        <v>2</v>
      </c>
      <c r="BB83" s="6" t="s">
        <v>3</v>
      </c>
      <c r="BC83" s="6" t="s">
        <v>2</v>
      </c>
      <c r="BD83" s="6" t="s">
        <v>5</v>
      </c>
      <c r="BE83" s="6" t="s">
        <v>3</v>
      </c>
      <c r="BF83" s="6" t="s">
        <v>3</v>
      </c>
      <c r="BG83" s="6" t="s">
        <v>5</v>
      </c>
      <c r="BH83" s="6" t="s">
        <v>5</v>
      </c>
      <c r="BI83" s="6" t="s">
        <v>5</v>
      </c>
      <c r="BJ83" s="6" t="s">
        <v>4</v>
      </c>
      <c r="BK83" s="6" t="s">
        <v>4</v>
      </c>
      <c r="BL83" s="6" t="s">
        <v>3</v>
      </c>
      <c r="BM83" s="6" t="s">
        <v>2</v>
      </c>
      <c r="BN83" s="6" t="s">
        <v>3</v>
      </c>
      <c r="BO83" s="6" t="s">
        <v>4</v>
      </c>
      <c r="BP83" s="6" t="s">
        <v>4</v>
      </c>
      <c r="BQ83" s="6" t="s">
        <v>4</v>
      </c>
      <c r="BR83" s="6" t="s">
        <v>4</v>
      </c>
      <c r="BS83" s="6" t="s">
        <v>4</v>
      </c>
      <c r="BT83" s="6" t="s">
        <v>4</v>
      </c>
      <c r="BU83" s="6" t="s">
        <v>3</v>
      </c>
      <c r="BV83" s="6" t="s">
        <v>4</v>
      </c>
      <c r="BW83" s="6" t="s">
        <v>4</v>
      </c>
      <c r="BX83" s="6" t="s">
        <v>4</v>
      </c>
      <c r="BY83" s="6" t="s">
        <v>4</v>
      </c>
      <c r="BZ83" s="6" t="s">
        <v>4</v>
      </c>
      <c r="CA83" s="6" t="s">
        <v>3</v>
      </c>
    </row>
    <row r="84" spans="41:79">
      <c r="AO84" s="82" t="s">
        <v>504</v>
      </c>
      <c r="AP84" s="82"/>
      <c r="AQ84" s="6">
        <f>'Data Training 1'!AW22*'Data Training 1'!AT31*'Data Training 1'!AT40*'Data Training 1'!AT44*'Data Training 1'!AT52*'Data Training 1'!AT58*'Data Training 1'!AT64*'Data Training 1'!AT70*'Data Training 1'!AT75*'Data Training 1'!AT80*'Data Training 1'!AT87*'Data Training 1'!AT92*'Data Training 1'!AT99*'Data Training 1'!AT106*'Data Training 1'!AT110*'Data Training 1'!AT116*'Data Training 1'!AT124*'Data Training 1'!AT130*'Data Training 1'!AT136*'Data Training 1'!AT139*'Data Training 1'!AT145*'Data Training 1'!AT152*'Data Training 1'!AT159*'Data Training 1'!AT164*'Data Training 1'!AT167*'Data Training 1'!AT171*'Data Training 1'!AT175*'Data Training 1'!AT179*'Data Training 1'!AT183*'Data Training 1'!AT187*'Data Training 1'!AT192*'Data Training 1'!AT195*'Data Training 1'!AT199*'Data Training 1'!AT203*'Data Training 1'!AT207*'Data Training 1'!AT211*'Data Training 1'!AT216</f>
        <v>1.4485527127014143E-9</v>
      </c>
    </row>
    <row r="85" spans="41:79">
      <c r="AO85" s="6" t="s">
        <v>505</v>
      </c>
      <c r="AP85" s="6"/>
      <c r="AQ85" s="6">
        <f>'Data Training 1'!AW23*'Data Training 1'!AU31*'Data Training 1'!AU40*'Data Training 1'!AU44*'Data Training 1'!AU52*'Data Training 1'!AU58*'Data Training 1'!AU64*'Data Training 1'!AU70*'Data Training 1'!AU75*'Data Training 1'!AU80*'Data Training 1'!AU87*'Data Training 1'!AU92*'Data Training 1'!AU99*'Data Training 1'!AU106*'Data Training 1'!AU110*'Data Training 1'!AU116*'Data Training 1'!AU124*'Data Training 1'!AU130*'Data Training 1'!AU136*'Data Training 1'!AU139*'Data Training 1'!AU145*'Data Training 1'!AU152*'Data Training 1'!AU159*'Data Training 1'!AU164*'Data Training 1'!AU167*'Data Training 1'!AU171*'Data Training 1'!AU175*'Data Training 1'!AU179*'Data Training 1'!AU183*'Data Training 1'!AU187*'Data Training 1'!AU192*'Data Training 1'!AU195*'Data Training 1'!AU199*'Data Training 1'!AU203*'Data Training 1'!AU207*'Data Training 1'!AU211*'Data Training 1'!AU216</f>
        <v>6.5371114563196674E-9</v>
      </c>
    </row>
    <row r="86" spans="41:79">
      <c r="AO86" s="82" t="s">
        <v>506</v>
      </c>
      <c r="AP86" s="82"/>
      <c r="AQ86" s="6">
        <f>'Data Training 1'!AW24*'Data Training 1'!AV31*'Data Training 1'!AV40*'Data Training 1'!AV44*'Data Training 1'!AV52*'Data Training 1'!AV58*'Data Training 1'!AV64*'Data Training 1'!AV70*'Data Training 1'!AV75*'Data Training 1'!AV80*'Data Training 1'!AV87*'Data Training 1'!AV92*'Data Training 1'!AV99*'Data Training 1'!AV106*'Data Training 1'!AV110*'Data Training 1'!AV116*'Data Training 1'!AV124*'Data Training 1'!AV130*'Data Training 1'!AV136*'Data Training 1'!AV139*'Data Training 1'!AV145*'Data Training 1'!AV152*'Data Training 1'!AV159*'Data Training 1'!AV164*'Data Training 1'!AV167*'Data Training 1'!AV171*'Data Training 1'!AV175*'Data Training 1'!AV179*'Data Training 1'!AV183*'Data Training 1'!AV187*'Data Training 1'!AV192*'Data Training 1'!AV195*'Data Training 1'!AV199*'Data Training 1'!AV203*'Data Training 1'!AV207*'Data Training 1'!AV211*'Data Training 1'!AV216</f>
        <v>2.2132924675319188E-9</v>
      </c>
    </row>
    <row r="87" spans="41:79">
      <c r="AO87" s="82" t="s">
        <v>507</v>
      </c>
      <c r="AP87" s="82"/>
      <c r="AQ87" s="6">
        <f>'Data Training 1'!AW25*'Data Training 1'!AW31*'Data Training 1'!AW40*'Data Training 1'!AW44*'Data Training 1'!AW52*'Data Training 1'!AW58*'Data Training 1'!AW64*'Data Training 1'!AW70*'Data Training 1'!AW75*'Data Training 1'!AW80*'Data Training 1'!AW87*'Data Training 1'!AW92*'Data Training 1'!AW99*'Data Training 1'!AW106*'Data Training 1'!AW110*'Data Training 1'!AW116*'Data Training 1'!AW124*'Data Training 1'!AW130*'Data Training 1'!AW136*'Data Training 1'!AW139*'Data Training 1'!AW145*'Data Training 1'!AW152*'Data Training 1'!AW159*'Data Training 1'!AW164*'Data Training 1'!AW167*'Data Training 1'!AW171*'Data Training 1'!AW175*'Data Training 1'!AW179*'Data Training 1'!AW183*'Data Training 1'!AW187*'Data Training 1'!AW192*'Data Training 1'!AW195*'Data Training 1'!AW199*'Data Training 1'!AW203*'Data Training 1'!AW207*'Data Training 1'!AW211*'Data Training 1'!AW216</f>
        <v>0</v>
      </c>
    </row>
    <row r="88" spans="41:79">
      <c r="AO88" s="82" t="s">
        <v>508</v>
      </c>
      <c r="AP88" s="82"/>
      <c r="AQ88" s="6">
        <f>'Data Training 1'!AW26*'Data Training 1'!AX31*'Data Training 1'!AX40*'Data Training 1'!AX44*'Data Training 1'!AX52*'Data Training 1'!AX58*'Data Training 1'!AX64*'Data Training 1'!AX70*'Data Training 1'!AX75*'Data Training 1'!AX80*'Data Training 1'!AX87*'Data Training 1'!AX92*'Data Training 1'!AX99*'Data Training 1'!AX106*'Data Training 1'!AX110*'Data Training 1'!AX116*'Data Training 1'!AX124*'Data Training 1'!AX130*'Data Training 1'!AX136*'Data Training 1'!AX139*'Data Training 1'!AX145*'Data Training 1'!AX152*'Data Training 1'!AX159*'Data Training 1'!AX164*'Data Training 1'!AX167*'Data Training 1'!AX171*'Data Training 1'!AX175*'Data Training 1'!AX179*'Data Training 1'!AX183*'Data Training 1'!AX187*'Data Training 1'!AX192*'Data Training 1'!AX195*'Data Training 1'!AX199*'Data Training 1'!AX203*'Data Training 1'!AX207*'Data Training 1'!AX211*'Data Training 1'!AX216</f>
        <v>0</v>
      </c>
    </row>
    <row r="89" spans="41:79">
      <c r="AO89" s="82" t="s">
        <v>509</v>
      </c>
      <c r="AP89" s="82"/>
      <c r="AQ89" s="6">
        <f>'Data Training 1'!AW27*'Data Training 1'!AY31*'Data Training 1'!AY40*'Data Training 1'!AY44*'Data Training 1'!AY52*'Data Training 1'!AY58*'Data Training 1'!AY64*'Data Training 1'!AY70*'Data Training 1'!AY75*'Data Training 1'!AY80*'Data Training 1'!AY87*'Data Training 1'!AY92*'Data Training 1'!AY99*'Data Training 1'!AY106*'Data Training 1'!AY110*'Data Training 1'!AY116*'Data Training 1'!AY124*'Data Training 1'!AY130*'Data Training 1'!AY136*'Data Training 1'!AY139*'Data Training 1'!AY145*'Data Training 1'!AY152*'Data Training 1'!AY159*'Data Training 1'!AY164*'Data Training 1'!AY167*'Data Training 1'!AY171*'Data Training 1'!AY175*'Data Training 1'!AY179*'Data Training 1'!AY183*'Data Training 1'!AY187*'Data Training 1'!AY192*'Data Training 1'!AY195*'Data Training 1'!AY199*'Data Training 1'!AY203*'Data Training 1'!AY207*'Data Training 1'!AY211*'Data Training 1'!AY216</f>
        <v>2.0169158387336675E-12</v>
      </c>
    </row>
    <row r="90" spans="41:79">
      <c r="AO90" s="80" t="s">
        <v>437</v>
      </c>
      <c r="AP90" s="80"/>
      <c r="AQ90" s="6" t="s">
        <v>300</v>
      </c>
      <c r="AR90" s="81" t="s">
        <v>438</v>
      </c>
      <c r="AS90" s="81"/>
      <c r="AT90" s="81"/>
    </row>
    <row r="92" spans="41:79">
      <c r="AO92" s="84" t="s">
        <v>463</v>
      </c>
      <c r="AP92" s="84"/>
      <c r="AQ92" s="7" t="s">
        <v>64</v>
      </c>
      <c r="AR92" s="51" t="s">
        <v>43</v>
      </c>
      <c r="AS92" s="51" t="s">
        <v>44</v>
      </c>
      <c r="AT92" s="51" t="s">
        <v>45</v>
      </c>
      <c r="AU92" s="51" t="s">
        <v>46</v>
      </c>
      <c r="AV92" s="51" t="s">
        <v>47</v>
      </c>
      <c r="AW92" s="51" t="s">
        <v>48</v>
      </c>
      <c r="AX92" s="51" t="s">
        <v>49</v>
      </c>
      <c r="AY92" s="51" t="s">
        <v>50</v>
      </c>
      <c r="AZ92" s="51" t="s">
        <v>51</v>
      </c>
      <c r="BA92" s="51" t="s">
        <v>52</v>
      </c>
      <c r="BB92" s="51" t="s">
        <v>53</v>
      </c>
      <c r="BC92" s="51" t="s">
        <v>54</v>
      </c>
      <c r="BD92" s="51" t="s">
        <v>55</v>
      </c>
      <c r="BE92" s="51" t="s">
        <v>56</v>
      </c>
      <c r="BF92" s="51" t="s">
        <v>57</v>
      </c>
      <c r="BG92" s="51" t="s">
        <v>58</v>
      </c>
      <c r="BH92" s="51" t="s">
        <v>59</v>
      </c>
      <c r="BI92" s="51" t="s">
        <v>60</v>
      </c>
      <c r="BJ92" s="51" t="s">
        <v>61</v>
      </c>
      <c r="BK92" s="51" t="s">
        <v>62</v>
      </c>
      <c r="BL92" s="51" t="s">
        <v>63</v>
      </c>
      <c r="BM92" s="51" t="s">
        <v>330</v>
      </c>
      <c r="BN92" s="51" t="s">
        <v>331</v>
      </c>
      <c r="BO92" s="51" t="s">
        <v>332</v>
      </c>
      <c r="BP92" s="51" t="s">
        <v>333</v>
      </c>
      <c r="BQ92" s="51" t="s">
        <v>334</v>
      </c>
      <c r="BR92" s="51" t="s">
        <v>335</v>
      </c>
      <c r="BS92" s="51" t="s">
        <v>336</v>
      </c>
      <c r="BT92" s="51" t="s">
        <v>337</v>
      </c>
      <c r="BU92" s="51" t="s">
        <v>338</v>
      </c>
      <c r="BV92" s="51" t="s">
        <v>339</v>
      </c>
      <c r="BW92" s="51" t="s">
        <v>340</v>
      </c>
      <c r="BX92" s="51" t="s">
        <v>341</v>
      </c>
      <c r="BY92" s="51" t="s">
        <v>342</v>
      </c>
      <c r="BZ92" s="51" t="s">
        <v>343</v>
      </c>
      <c r="CA92" s="51" t="s">
        <v>390</v>
      </c>
    </row>
    <row r="93" spans="41:79">
      <c r="AO93" s="84"/>
      <c r="AP93" s="84"/>
      <c r="AQ93" s="7">
        <v>2</v>
      </c>
      <c r="AR93" s="6" t="s">
        <v>2</v>
      </c>
      <c r="AS93" s="6" t="s">
        <v>3</v>
      </c>
      <c r="AT93" s="6" t="s">
        <v>2</v>
      </c>
      <c r="AU93" s="6" t="s">
        <v>5</v>
      </c>
      <c r="AV93" s="6" t="s">
        <v>5</v>
      </c>
      <c r="AW93" s="6" t="s">
        <v>5</v>
      </c>
      <c r="AX93" s="6" t="s">
        <v>5</v>
      </c>
      <c r="AY93" s="6" t="s">
        <v>2</v>
      </c>
      <c r="AZ93" s="6" t="s">
        <v>3</v>
      </c>
      <c r="BA93" s="6" t="s">
        <v>3</v>
      </c>
      <c r="BB93" s="6" t="s">
        <v>2</v>
      </c>
      <c r="BC93" s="6" t="s">
        <v>5</v>
      </c>
      <c r="BD93" s="6" t="s">
        <v>5</v>
      </c>
      <c r="BE93" s="6" t="s">
        <v>3</v>
      </c>
      <c r="BF93" s="6" t="s">
        <v>2</v>
      </c>
      <c r="BG93" s="6" t="s">
        <v>5</v>
      </c>
      <c r="BH93" s="6" t="s">
        <v>5</v>
      </c>
      <c r="BI93" s="6" t="s">
        <v>5</v>
      </c>
      <c r="BJ93" s="6" t="s">
        <v>5</v>
      </c>
      <c r="BK93" s="6" t="s">
        <v>4</v>
      </c>
      <c r="BL93" s="6" t="s">
        <v>4</v>
      </c>
      <c r="BM93" s="6" t="s">
        <v>4</v>
      </c>
      <c r="BN93" s="6" t="s">
        <v>3</v>
      </c>
      <c r="BO93" s="6" t="s">
        <v>4</v>
      </c>
      <c r="BP93" s="6" t="s">
        <v>4</v>
      </c>
      <c r="BQ93" s="6" t="s">
        <v>4</v>
      </c>
      <c r="BR93" s="6" t="s">
        <v>4</v>
      </c>
      <c r="BS93" s="6" t="s">
        <v>4</v>
      </c>
      <c r="BT93" s="6" t="s">
        <v>4</v>
      </c>
      <c r="BU93" s="6" t="s">
        <v>3</v>
      </c>
      <c r="BV93" s="6" t="s">
        <v>4</v>
      </c>
      <c r="BW93" s="6" t="s">
        <v>3</v>
      </c>
      <c r="BX93" s="6" t="s">
        <v>4</v>
      </c>
      <c r="BY93" s="6" t="s">
        <v>4</v>
      </c>
      <c r="BZ93" s="6" t="s">
        <v>4</v>
      </c>
      <c r="CA93" s="6" t="s">
        <v>3</v>
      </c>
    </row>
    <row r="94" spans="41:79">
      <c r="AO94" s="6" t="s">
        <v>504</v>
      </c>
      <c r="AP94" s="6"/>
      <c r="AQ94" s="6">
        <f>'Data Training 1'!AW22*'Data Training 1'!AT33*'Data Training 1'!AT38*'Data Training 1'!AT45*'Data Training 1'!AT52*'Data Training 1'!AT58*'Data Training 1'!AT64*'Data Training 1'!AT70*'Data Training 1'!AT75*'Data Training 1'!AT80*'Data Training 1'!AT86*'Data Training 1'!AT93*'Data Training 1'!AT100*'Data Training 1'!AT106*'Data Training 1'!AT110*'Data Training 1'!AT117*'Data Training 1'!AT124*'Data Training 1'!AT130*'Data Training 1'!AT136*'Data Training 1'!AT142*'Data Training 1'!AT145*'Data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1.3718754964040826E-8</v>
      </c>
    </row>
    <row r="95" spans="41:79">
      <c r="AO95" s="6" t="s">
        <v>505</v>
      </c>
      <c r="AP95" s="6"/>
      <c r="AQ95" s="6">
        <f>'Data Training 1'!AW23*'Data Training 1'!AU33*'Data Training 1'!AU38*'Data Training 1'!AU45*'Data Training 1'!AU52*'Data Training 1'!AU58*'Data Training 1'!AU64*'Data Training 1'!AU70*'Data Training 1'!AU75*'Data Training 1'!AU80*'Data Training 1'!AU86*'Data Training 1'!AU93*'Data Training 1'!AU100*'Data Training 1'!AU106*'Data Training 1'!AU110*'Data Training 1'!AU117*'Data Training 1'!AU124*'Data Training 1'!AU130*'Data Training 1'!AU136*'Data Training 1'!AU142*'Data Training 1'!AU145*'Data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5.4233813563540962E-9</v>
      </c>
    </row>
    <row r="96" spans="41:79">
      <c r="AO96" s="82" t="s">
        <v>506</v>
      </c>
      <c r="AP96" s="82"/>
      <c r="AQ96" s="6">
        <f>'Data Training 1'!AW24*'Data Training 1'!AV33*'Data Training 1'!AV38*'Data Training 1'!AV45*'Data Training 1'!AV52*'Data Training 1'!AV58*'Data Training 1'!AV64*'Data Training 1'!AV70*'Data Training 1'!AV75*'Data Training 1'!AV80*'Data Training 1'!AV86*'Data Training 1'!AV93*'Data Training 1'!AV100*'Data Training 1'!AV106*'Data Training 1'!AV110*'Data Training 1'!AV117*'Data Training 1'!AV124*'Data Training 1'!AV130*'Data Training 1'!AV136*'Data Training 1'!AV142*'Data Training 1'!AV145*'Data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97" spans="41:79">
      <c r="AO97" s="82" t="s">
        <v>507</v>
      </c>
      <c r="AP97" s="82"/>
      <c r="AQ97" s="6">
        <f>'Data Training 1'!AW25*'Data Training 1'!AW33*'Data Training 1'!AW38*'Data Training 1'!AW45*'Data Training 1'!AW52*'Data Training 1'!AW58*'Data Training 1'!AW64*'Data Training 1'!AW70*'Data Training 1'!AW75*'Data Training 1'!AW80*'Data Training 1'!AW86*'Data Training 1'!AW93*'Data Training 1'!AW100*'Data Training 1'!AW106*'Data Training 1'!AW110*'Data Training 1'!AW117*'Data Training 1'!AW124*'Data Training 1'!AW130*'Data Training 1'!AW136*'Data Training 1'!AW142*'Data Training 1'!AW145*'Data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98" spans="41:79">
      <c r="AO98" s="82" t="s">
        <v>508</v>
      </c>
      <c r="AP98" s="82"/>
      <c r="AQ98" s="6">
        <f>'Data Training 1'!AW26*'Data Training 1'!AX33*'Data Training 1'!AX38*'Data Training 1'!AX45*'Data Training 1'!AX52*'Data Training 1'!AX58*'Data Training 1'!AX64*'Data Training 1'!AX70*'Data Training 1'!AX75*'Data Training 1'!AX80*'Data Training 1'!AX86*'Data Training 1'!AX93*'Data Training 1'!AX100*'Data Training 1'!AX106*'Data Training 1'!AX110*'Data Training 1'!AX117*'Data Training 1'!AX124*'Data Training 1'!AX130*'Data Training 1'!AX136*'Data Training 1'!AX142*'Data Training 1'!AX145*'Data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4.1330783244220867E-10</v>
      </c>
    </row>
    <row r="99" spans="41:79">
      <c r="AO99" s="82" t="s">
        <v>509</v>
      </c>
      <c r="AP99" s="82"/>
      <c r="AQ99" s="6">
        <f>'Data Training 1'!AW27*'Data Training 1'!AY33*'Data Training 1'!AY38*'Data Training 1'!AY45*'Data Training 1'!AY52*'Data Training 1'!AY58*'Data Training 1'!AY64*'Data Training 1'!AY70*'Data Training 1'!AY75*'Data Training 1'!AY80*'Data Training 1'!AY86*'Data Training 1'!AY93*'Data Training 1'!AY100*'Data Training 1'!AY106*'Data Training 1'!AY110*'Data Training 1'!AY117*'Data Training 1'!AY124*'Data Training 1'!AY130*'Data Training 1'!AY136*'Data Training 1'!AY142*'Data Training 1'!AY145*'Data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100" spans="41:79">
      <c r="AO100" s="80" t="s">
        <v>437</v>
      </c>
      <c r="AP100" s="80"/>
      <c r="AQ100" s="6" t="s">
        <v>300</v>
      </c>
      <c r="AR100" s="81" t="s">
        <v>438</v>
      </c>
      <c r="AS100" s="81"/>
      <c r="AT100" s="81"/>
    </row>
    <row r="102" spans="41:79">
      <c r="AO102" s="84" t="s">
        <v>464</v>
      </c>
      <c r="AP102" s="84"/>
      <c r="AQ102" s="7" t="s">
        <v>64</v>
      </c>
      <c r="AR102" s="51" t="s">
        <v>43</v>
      </c>
      <c r="AS102" s="51" t="s">
        <v>44</v>
      </c>
      <c r="AT102" s="51" t="s">
        <v>45</v>
      </c>
      <c r="AU102" s="51" t="s">
        <v>46</v>
      </c>
      <c r="AV102" s="51" t="s">
        <v>47</v>
      </c>
      <c r="AW102" s="51" t="s">
        <v>48</v>
      </c>
      <c r="AX102" s="51" t="s">
        <v>49</v>
      </c>
      <c r="AY102" s="51" t="s">
        <v>50</v>
      </c>
      <c r="AZ102" s="51" t="s">
        <v>51</v>
      </c>
      <c r="BA102" s="51" t="s">
        <v>52</v>
      </c>
      <c r="BB102" s="51" t="s">
        <v>53</v>
      </c>
      <c r="BC102" s="51" t="s">
        <v>54</v>
      </c>
      <c r="BD102" s="51" t="s">
        <v>55</v>
      </c>
      <c r="BE102" s="51" t="s">
        <v>56</v>
      </c>
      <c r="BF102" s="51" t="s">
        <v>57</v>
      </c>
      <c r="BG102" s="51" t="s">
        <v>58</v>
      </c>
      <c r="BH102" s="51" t="s">
        <v>59</v>
      </c>
      <c r="BI102" s="51" t="s">
        <v>60</v>
      </c>
      <c r="BJ102" s="51" t="s">
        <v>61</v>
      </c>
      <c r="BK102" s="51" t="s">
        <v>62</v>
      </c>
      <c r="BL102" s="51" t="s">
        <v>63</v>
      </c>
      <c r="BM102" s="51" t="s">
        <v>330</v>
      </c>
      <c r="BN102" s="51" t="s">
        <v>331</v>
      </c>
      <c r="BO102" s="51" t="s">
        <v>332</v>
      </c>
      <c r="BP102" s="51" t="s">
        <v>333</v>
      </c>
      <c r="BQ102" s="51" t="s">
        <v>334</v>
      </c>
      <c r="BR102" s="51" t="s">
        <v>335</v>
      </c>
      <c r="BS102" s="51" t="s">
        <v>336</v>
      </c>
      <c r="BT102" s="51" t="s">
        <v>337</v>
      </c>
      <c r="BU102" s="51" t="s">
        <v>338</v>
      </c>
      <c r="BV102" s="51" t="s">
        <v>339</v>
      </c>
      <c r="BW102" s="51" t="s">
        <v>340</v>
      </c>
      <c r="BX102" s="51" t="s">
        <v>341</v>
      </c>
      <c r="BY102" s="51" t="s">
        <v>342</v>
      </c>
      <c r="BZ102" s="51" t="s">
        <v>343</v>
      </c>
      <c r="CA102" s="51" t="s">
        <v>390</v>
      </c>
    </row>
    <row r="103" spans="41:79">
      <c r="AO103" s="84"/>
      <c r="AP103" s="84"/>
      <c r="AQ103" s="7">
        <v>2</v>
      </c>
      <c r="AR103" s="6" t="s">
        <v>4</v>
      </c>
      <c r="AS103" s="6" t="s">
        <v>5</v>
      </c>
      <c r="AT103" s="6" t="s">
        <v>5</v>
      </c>
      <c r="AU103" s="6" t="s">
        <v>5</v>
      </c>
      <c r="AV103" s="6" t="s">
        <v>5</v>
      </c>
      <c r="AW103" s="6" t="s">
        <v>5</v>
      </c>
      <c r="AX103" s="6" t="s">
        <v>5</v>
      </c>
      <c r="AY103" s="6" t="s">
        <v>2</v>
      </c>
      <c r="AZ103" s="6" t="s">
        <v>3</v>
      </c>
      <c r="BA103" s="6" t="s">
        <v>4</v>
      </c>
      <c r="BB103" s="6" t="s">
        <v>4</v>
      </c>
      <c r="BC103" s="6" t="s">
        <v>2</v>
      </c>
      <c r="BD103" s="6" t="s">
        <v>5</v>
      </c>
      <c r="BE103" s="6" t="s">
        <v>4</v>
      </c>
      <c r="BF103" s="6" t="s">
        <v>2</v>
      </c>
      <c r="BG103" s="6" t="s">
        <v>5</v>
      </c>
      <c r="BH103" s="6" t="s">
        <v>2</v>
      </c>
      <c r="BI103" s="6" t="s">
        <v>5</v>
      </c>
      <c r="BJ103" s="6" t="s">
        <v>5</v>
      </c>
      <c r="BK103" s="6" t="s">
        <v>2</v>
      </c>
      <c r="BL103" s="6" t="s">
        <v>4</v>
      </c>
      <c r="BM103" s="6" t="s">
        <v>4</v>
      </c>
      <c r="BN103" s="6" t="s">
        <v>3</v>
      </c>
      <c r="BO103" s="6" t="s">
        <v>4</v>
      </c>
      <c r="BP103" s="6" t="s">
        <v>4</v>
      </c>
      <c r="BQ103" s="6" t="s">
        <v>4</v>
      </c>
      <c r="BR103" s="6" t="s">
        <v>4</v>
      </c>
      <c r="BS103" s="6" t="s">
        <v>4</v>
      </c>
      <c r="BT103" s="6" t="s">
        <v>4</v>
      </c>
      <c r="BU103" s="6" t="s">
        <v>4</v>
      </c>
      <c r="BV103" s="6" t="s">
        <v>4</v>
      </c>
      <c r="BW103" s="6" t="s">
        <v>4</v>
      </c>
      <c r="BX103" s="6" t="s">
        <v>4</v>
      </c>
      <c r="BY103" s="6" t="s">
        <v>4</v>
      </c>
      <c r="BZ103" s="6" t="s">
        <v>4</v>
      </c>
      <c r="CA103" s="6" t="s">
        <v>3</v>
      </c>
    </row>
    <row r="104" spans="41:79">
      <c r="AO104" s="6" t="s">
        <v>504</v>
      </c>
      <c r="AP104" s="6"/>
      <c r="AQ104" s="6">
        <f>'Data Training 1'!AW22*'Data Training 1'!AT31*'Data Training 1'!AT40*'Data Training 1'!AT46*'Data Training 1'!AT52*'Data Training 1'!AT58*'Data Training 1'!AT64*'Data Training 1'!AT70*'Data Training 1'!AT75*'Data Training 1'!AT80*'Data Training 1'!AT85*'Data Training 1'!AT91*'Data Training 1'!AT99*'Data Training 1'!AT106*'Data Training 1'!AT109*'Data Training 1'!AT117*'Data Training 1'!AT124*'Data Training 1'!AT129*'Data Training 1'!AT136*'Data Training 1'!AT142*'Data Training 1'!AT147*'Data Training 1'!AT151*'Data Training 1'!AT157*'Data Training 1'!AT164*'Data Training 1'!AT167*'Data Training 1'!AT171*'Data Training 1'!AT175*'Data Training 1'!AT179*'Data Training 1'!AT183*'Data Training 1'!AT187*'Data Training 1'!AT191*'Data Training 1'!AT195*'Data Training 1'!AT199*'Data Training 1'!AT203*'Data Training 1'!AT207*'Data Training 1'!AT211*'Data Training 1'!AT216</f>
        <v>0</v>
      </c>
    </row>
    <row r="105" spans="41:79">
      <c r="AO105" s="6" t="s">
        <v>505</v>
      </c>
      <c r="AP105" s="6"/>
      <c r="AQ105" s="6">
        <f>'Data Training 1'!AW23*'Data Training 1'!AU31*'Data Training 1'!AU40*'Data Training 1'!AU46*'Data Training 1'!AU52*'Data Training 1'!AU58*'Data Training 1'!AU64*'Data Training 1'!AU70*'Data Training 1'!AU75*'Data Training 1'!AU80*'Data Training 1'!AU85*'Data Training 1'!AU91*'Data Training 1'!AU99*'Data Training 1'!AU106*'Data Training 1'!AU109*'Data Training 1'!AU117*'Data Training 1'!AU124*'Data Training 1'!AU129*'Data Training 1'!AU136*'Data Training 1'!AU142*'Data Training 1'!AU147*'Data Training 1'!AU151*'Data Training 1'!AU157*'Data Training 1'!AU164*'Data Training 1'!AU167*'Data Training 1'!AU171*'Data Training 1'!AU175*'Data Training 1'!AU179*'Data Training 1'!AU183*'Data Training 1'!AU187*'Data Training 1'!AU191*'Data Training 1'!AU195*'Data Training 1'!AU199*'Data Training 1'!AU203*'Data Training 1'!AU207*'Data Training 1'!AU211*'Data Training 1'!AU216</f>
        <v>6.7407083619457886E-11</v>
      </c>
    </row>
    <row r="106" spans="41:79">
      <c r="AO106" s="82" t="s">
        <v>506</v>
      </c>
      <c r="AP106" s="82"/>
      <c r="AQ106" s="6">
        <f>'Data Training 1'!AW24*'Data Training 1'!AV31*'Data Training 1'!AV40*'Data Training 1'!AV46*'Data Training 1'!AV52*'Data Training 1'!AV58*'Data Training 1'!AV64*'Data Training 1'!AV70*'Data Training 1'!AV75*'Data Training 1'!AV80*'Data Training 1'!AV85*'Data Training 1'!AV91*'Data Training 1'!AV99*'Data Training 1'!AV106*'Data Training 1'!AV109*'Data Training 1'!AV117*'Data Training 1'!AV124*'Data Training 1'!AV129*'Data Training 1'!AV136*'Data Training 1'!AV142*'Data Training 1'!AV147*'Data Training 1'!AV151*'Data Training 1'!AV157*'Data Training 1'!AV164*'Data Training 1'!AV167*'Data Training 1'!AV171*'Data Training 1'!AV175*'Data Training 1'!AV179*'Data Training 1'!AV183*'Data Training 1'!AV187*'Data Training 1'!AV191*'Data Training 1'!AV195*'Data Training 1'!AV199*'Data Training 1'!AV203*'Data Training 1'!AV207*'Data Training 1'!AV211*'Data Training 1'!AV216</f>
        <v>0</v>
      </c>
    </row>
    <row r="107" spans="41:79">
      <c r="AO107" s="82" t="s">
        <v>507</v>
      </c>
      <c r="AP107" s="82"/>
      <c r="AQ107" s="6">
        <f>'Data Training 1'!AW25*'Data Training 1'!AW31*'Data Training 1'!AW40*'Data Training 1'!AW46*'Data Training 1'!AW52*'Data Training 1'!AW58*'Data Training 1'!AW64*'Data Training 1'!AW70*'Data Training 1'!AW75*'Data Training 1'!AW80*'Data Training 1'!AW85*'Data Training 1'!AW91*'Data Training 1'!AW99*'Data Training 1'!AW106*'Data Training 1'!AW109*'Data Training 1'!AW117*'Data Training 1'!AW124*'Data Training 1'!AW129*'Data Training 1'!AW136*'Data Training 1'!AW142*'Data Training 1'!AW147*'Data Training 1'!AW151*'Data Training 1'!AW157*'Data Training 1'!AW164*'Data Training 1'!AW167*'Data Training 1'!AW171*'Data Training 1'!AW175*'Data Training 1'!AW179*'Data Training 1'!AW183*'Data Training 1'!AW187*'Data Training 1'!AW191*'Data Training 1'!AW195*'Data Training 1'!AW199*'Data Training 1'!AW203*'Data Training 1'!AW207*'Data Training 1'!AW211*'Data Training 1'!AW216</f>
        <v>0</v>
      </c>
    </row>
    <row r="108" spans="41:79">
      <c r="AO108" s="82" t="s">
        <v>508</v>
      </c>
      <c r="AP108" s="82"/>
      <c r="AQ108" s="6">
        <f>'Data Training 1'!AW26*'Data Training 1'!AX31*'Data Training 1'!AX40*'Data Training 1'!AX46*'Data Training 1'!AX52*'Data Training 1'!AX58*'Data Training 1'!AX64*'Data Training 1'!AX70*'Data Training 1'!AX75*'Data Training 1'!AX80*'Data Training 1'!AX85*'Data Training 1'!AX91*'Data Training 1'!AX99*'Data Training 1'!AX106*'Data Training 1'!AX109*'Data Training 1'!AX117*'Data Training 1'!AX124*'Data Training 1'!AX129*'Data Training 1'!AX136*'Data Training 1'!AX142*'Data Training 1'!AX147*'Data Training 1'!AX151*'Data Training 1'!AX157*'Data Training 1'!AX164*'Data Training 1'!AX167*'Data Training 1'!AX171*'Data Training 1'!AX175*'Data Training 1'!AX179*'Data Training 1'!AX183*'Data Training 1'!AX187*'Data Training 1'!AX191*'Data Training 1'!AX195*'Data Training 1'!AX199*'Data Training 1'!AX203*'Data Training 1'!AX207*'Data Training 1'!AX211*'Data Training 1'!AX216</f>
        <v>0</v>
      </c>
    </row>
    <row r="109" spans="41:79">
      <c r="AO109" s="82" t="s">
        <v>509</v>
      </c>
      <c r="AP109" s="82"/>
      <c r="AQ109" s="6">
        <f>'Data Training 1'!AW27*'Data Training 1'!AY31*'Data Training 1'!AY40*'Data Training 1'!AY46*'Data Training 1'!AY52*'Data Training 1'!AY58*'Data Training 1'!AY64*'Data Training 1'!AY70*'Data Training 1'!AY75*'Data Training 1'!AY80*'Data Training 1'!AY85*'Data Training 1'!AY91*'Data Training 1'!AY99*'Data Training 1'!AY106*'Data Training 1'!AY109*'Data Training 1'!AY117*'Data Training 1'!AY124*'Data Training 1'!AY129*'Data Training 1'!AY136*'Data Training 1'!AY142*'Data Training 1'!AY147*'Data Training 1'!AY151*'Data Training 1'!AY157*'Data Training 1'!AY164*'Data Training 1'!AY167*'Data Training 1'!AY171*'Data Training 1'!AY175*'Data Training 1'!AY179*'Data Training 1'!AY183*'Data Training 1'!AY187*'Data Training 1'!AY191*'Data Training 1'!AY195*'Data Training 1'!AY199*'Data Training 1'!AY203*'Data Training 1'!AY207*'Data Training 1'!AY211*'Data Training 1'!AY216</f>
        <v>1.0756884473246228E-12</v>
      </c>
    </row>
    <row r="110" spans="41:79">
      <c r="AO110" s="80" t="s">
        <v>437</v>
      </c>
      <c r="AP110" s="80"/>
      <c r="AQ110" s="6" t="s">
        <v>300</v>
      </c>
      <c r="AR110" s="74" t="s">
        <v>438</v>
      </c>
      <c r="AS110" s="74"/>
      <c r="AT110" s="74"/>
    </row>
    <row r="112" spans="41:79">
      <c r="AO112" s="84" t="s">
        <v>490</v>
      </c>
      <c r="AP112" s="84"/>
      <c r="AQ112" s="7" t="s">
        <v>64</v>
      </c>
      <c r="AR112" s="51" t="s">
        <v>43</v>
      </c>
      <c r="AS112" s="51" t="s">
        <v>44</v>
      </c>
      <c r="AT112" s="51" t="s">
        <v>45</v>
      </c>
      <c r="AU112" s="51" t="s">
        <v>46</v>
      </c>
      <c r="AV112" s="51" t="s">
        <v>47</v>
      </c>
      <c r="AW112" s="51" t="s">
        <v>48</v>
      </c>
      <c r="AX112" s="51" t="s">
        <v>49</v>
      </c>
      <c r="AY112" s="51" t="s">
        <v>50</v>
      </c>
      <c r="AZ112" s="51" t="s">
        <v>51</v>
      </c>
      <c r="BA112" s="51" t="s">
        <v>52</v>
      </c>
      <c r="BB112" s="51" t="s">
        <v>53</v>
      </c>
      <c r="BC112" s="51" t="s">
        <v>54</v>
      </c>
      <c r="BD112" s="51" t="s">
        <v>55</v>
      </c>
      <c r="BE112" s="51" t="s">
        <v>56</v>
      </c>
      <c r="BF112" s="51" t="s">
        <v>57</v>
      </c>
      <c r="BG112" s="51" t="s">
        <v>58</v>
      </c>
      <c r="BH112" s="51" t="s">
        <v>59</v>
      </c>
      <c r="BI112" s="51" t="s">
        <v>60</v>
      </c>
      <c r="BJ112" s="51" t="s">
        <v>61</v>
      </c>
      <c r="BK112" s="51" t="s">
        <v>62</v>
      </c>
      <c r="BL112" s="51" t="s">
        <v>63</v>
      </c>
      <c r="BM112" s="51" t="s">
        <v>330</v>
      </c>
      <c r="BN112" s="51" t="s">
        <v>331</v>
      </c>
      <c r="BO112" s="51" t="s">
        <v>332</v>
      </c>
      <c r="BP112" s="51" t="s">
        <v>333</v>
      </c>
      <c r="BQ112" s="51" t="s">
        <v>334</v>
      </c>
      <c r="BR112" s="51" t="s">
        <v>335</v>
      </c>
      <c r="BS112" s="51" t="s">
        <v>336</v>
      </c>
      <c r="BT112" s="51" t="s">
        <v>337</v>
      </c>
      <c r="BU112" s="51" t="s">
        <v>338</v>
      </c>
      <c r="BV112" s="51" t="s">
        <v>339</v>
      </c>
      <c r="BW112" s="51" t="s">
        <v>340</v>
      </c>
      <c r="BX112" s="51" t="s">
        <v>341</v>
      </c>
      <c r="BY112" s="51" t="s">
        <v>342</v>
      </c>
      <c r="BZ112" s="51" t="s">
        <v>343</v>
      </c>
      <c r="CA112" s="51" t="s">
        <v>390</v>
      </c>
    </row>
    <row r="113" spans="41:79">
      <c r="AO113" s="84"/>
      <c r="AP113" s="84"/>
      <c r="AQ113" s="7">
        <v>2</v>
      </c>
      <c r="AR113" s="6" t="s">
        <v>4</v>
      </c>
      <c r="AS113" s="6" t="s">
        <v>5</v>
      </c>
      <c r="AT113" s="6" t="s">
        <v>3</v>
      </c>
      <c r="AU113" s="6" t="s">
        <v>2</v>
      </c>
      <c r="AV113" s="6" t="s">
        <v>5</v>
      </c>
      <c r="AW113" s="6" t="s">
        <v>5</v>
      </c>
      <c r="AX113" s="6" t="s">
        <v>5</v>
      </c>
      <c r="AY113" s="6" t="s">
        <v>2</v>
      </c>
      <c r="AZ113" s="6" t="s">
        <v>2</v>
      </c>
      <c r="BA113" s="6" t="s">
        <v>3</v>
      </c>
      <c r="BB113" s="6" t="s">
        <v>4</v>
      </c>
      <c r="BC113" s="6" t="s">
        <v>2</v>
      </c>
      <c r="BD113" s="6" t="s">
        <v>5</v>
      </c>
      <c r="BE113" s="6" t="s">
        <v>3</v>
      </c>
      <c r="BF113" s="6" t="s">
        <v>4</v>
      </c>
      <c r="BG113" s="6" t="s">
        <v>5</v>
      </c>
      <c r="BH113" s="6" t="s">
        <v>5</v>
      </c>
      <c r="BI113" s="6" t="s">
        <v>5</v>
      </c>
      <c r="BJ113" s="6" t="s">
        <v>4</v>
      </c>
      <c r="BK113" s="6" t="s">
        <v>4</v>
      </c>
      <c r="BL113" s="6" t="s">
        <v>3</v>
      </c>
      <c r="BM113" s="6" t="s">
        <v>4</v>
      </c>
      <c r="BN113" s="6" t="s">
        <v>3</v>
      </c>
      <c r="BO113" s="6" t="s">
        <v>4</v>
      </c>
      <c r="BP113" s="6" t="s">
        <v>4</v>
      </c>
      <c r="BQ113" s="6" t="s">
        <v>4</v>
      </c>
      <c r="BR113" s="6" t="s">
        <v>4</v>
      </c>
      <c r="BS113" s="6" t="s">
        <v>4</v>
      </c>
      <c r="BT113" s="6" t="s">
        <v>4</v>
      </c>
      <c r="BU113" s="6" t="s">
        <v>3</v>
      </c>
      <c r="BV113" s="6" t="s">
        <v>4</v>
      </c>
      <c r="BW113" s="6" t="s">
        <v>3</v>
      </c>
      <c r="BX113" s="6" t="s">
        <v>4</v>
      </c>
      <c r="BY113" s="6" t="s">
        <v>4</v>
      </c>
      <c r="BZ113" s="6" t="s">
        <v>4</v>
      </c>
      <c r="CA113" s="6" t="s">
        <v>4</v>
      </c>
    </row>
    <row r="114" spans="41:79">
      <c r="AO114" s="6" t="s">
        <v>504</v>
      </c>
      <c r="AP114" s="6"/>
      <c r="AQ114" s="6">
        <f>'Data Training 1'!AW22*'Data Training 1'!AT31*'Data Training 1'!AT40*'Data Training 1'!AT44*'Data Training 1'!AT51*'Data Training 1'!AT58*'Data Training 1'!AT64*'Data Training 1'!AT70*'Data Training 1'!AT75*'Data Training 1'!AT81*'Data Training 1'!AT86*'Data Training 1'!AT91*'Data Training 1'!AT99*'Data Training 1'!AT106*'Data Training 1'!AT110*'Data Training 1'!AT115*'Data Training 1'!AT124*'Data Training 1'!AT130*'Data Training 1'!AT136*'Data Training 1'!AT139*'Data Training 1'!AT145*'Data Training 1'!AT152*'Data Training 1'!AT157*'Data Training 1'!AT164*'Data Training 1'!AT167*'Data Training 1'!AT171*'Data Training 1'!AT175*'Data Training 1'!AT179*'Data Training 1'!AT183*'Data Training 1'!AT187*'Data Training 1'!AT192*'Data Training 1'!AT195*'Data Training 1'!AT200*'Data Training 1'!AT203*'Data Training 1'!AT207*'Data Training 1'!AT211*'Data Training 1'!AT215</f>
        <v>0</v>
      </c>
    </row>
    <row r="115" spans="41:79">
      <c r="AO115" s="6" t="s">
        <v>505</v>
      </c>
      <c r="AP115" s="6"/>
      <c r="AQ115" s="6">
        <f>'Data Training 1'!AW23*'Data Training 1'!AU31*'Data Training 1'!AU40*'Data Training 1'!AU44*'Data Training 1'!AU51*'Data Training 1'!AU58*'Data Training 1'!AU64*'Data Training 1'!AU70*'Data Training 1'!AU75*'Data Training 1'!AU81*'Data Training 1'!AU86*'Data Training 1'!AU91*'Data Training 1'!AU99*'Data Training 1'!AU106*'Data Training 1'!AU110*'Data Training 1'!AU115*'Data Training 1'!AU124*'Data Training 1'!AU130*'Data Training 1'!AU136*'Data Training 1'!AU139*'Data Training 1'!AU145*'Data Training 1'!AU152*'Data Training 1'!AU157*'Data Training 1'!AU164*'Data Training 1'!AU167*'Data Training 1'!AU171*'Data Training 1'!AU175*'Data Training 1'!AU179*'Data Training 1'!AU183*'Data Training 1'!AU187*'Data Training 1'!AU192*'Data Training 1'!AU195*'Data Training 1'!AU200*'Data Training 1'!AU203*'Data Training 1'!AU207*'Data Training 1'!AU211*'Data Training 1'!AU215</f>
        <v>2.139418294795528E-9</v>
      </c>
    </row>
    <row r="116" spans="41:79">
      <c r="AO116" s="82" t="s">
        <v>506</v>
      </c>
      <c r="AP116" s="82"/>
      <c r="AQ116" s="6">
        <f>'Data Training 1'!AW24*'Data Training 1'!AV31*'Data Training 1'!AV40*'Data Training 1'!AV44*'Data Training 1'!AV51*'Data Training 1'!AV58*'Data Training 1'!AV64*'Data Training 1'!AV70*'Data Training 1'!AV75*'Data Training 1'!AV81*'Data Training 1'!AV86*'Data Training 1'!AV91*'Data Training 1'!AV99*'Data Training 1'!AV106*'Data Training 1'!AV110*'Data Training 1'!AV115*'Data Training 1'!AV124*'Data Training 1'!AV130*'Data Training 1'!AV136*'Data Training 1'!AV139*'Data Training 1'!AV145*'Data Training 1'!AV152*'Data Training 1'!AV157*'Data Training 1'!AV163*'Data Training 1'!AV167*'Data Training 1'!AV171*'Data Training 1'!AV175*'Data Training 1'!AV179*'Data Training 1'!AV183*'Data Training 1'!AV187*'Data Training 1'!AV192*'Data Training 1'!AV195*'Data Training 1'!AV200*'Data Training 1'!AV203*'Data Training 1'!AV207*'Data Training 1'!AV211*'Data Training 1'!AV215</f>
        <v>0</v>
      </c>
    </row>
    <row r="117" spans="41:79">
      <c r="AO117" s="82" t="s">
        <v>507</v>
      </c>
      <c r="AP117" s="82"/>
      <c r="AQ117" s="6">
        <f>'Data Training 1'!AW25*'Data Training 1'!AW31*'Data Training 1'!AW40*'Data Training 1'!AW44*'Data Training 1'!AW51*'Data Training 1'!AW58*'Data Training 1'!AW64*'Data Training 1'!AW70*'Data Training 1'!AW75*'Data Training 1'!AW81*'Data Training 1'!AW86*'Data Training 1'!AW91*'Data Training 1'!AW99*'Data Training 1'!AW106*'Data Training 1'!AW110*'Data Training 1'!AW115*'Data Training 1'!AW124*'Data Training 1'!AW130*'Data Training 1'!AW136*'Data Training 1'!AW139*'Data Training 1'!AW145*'Data Training 1'!AW152*'Data Training 1'!AW157*'Data Training 1'!AW163*'Data Training 1'!AW167*'Data Training 1'!AW171*'Data Training 1'!AW175*'Data Training 1'!AW179*'Data Training 1'!AW183*'Data Training 1'!AW187*'Data Training 1'!AW192*'Data Training 1'!AW195*'Data Training 1'!AW200*'Data Training 1'!AW203*'Data Training 1'!AW207*'Data Training 1'!AW211*'Data Training 1'!AW215</f>
        <v>0</v>
      </c>
    </row>
    <row r="118" spans="41:79">
      <c r="AO118" s="82" t="s">
        <v>508</v>
      </c>
      <c r="AP118" s="82"/>
      <c r="AQ118" s="6">
        <f>'Data Training 1'!AW26*'Data Training 1'!AX31*'Data Training 1'!AX40*'Data Training 1'!AX44*'Data Training 1'!AX51*'Data Training 1'!AX58*'Data Training 1'!AX64*'Data Training 1'!AX70*'Data Training 1'!AX75*'Data Training 1'!AX81*'Data Training 1'!AX86*'Data Training 1'!AX91*'Data Training 1'!AX99*'Data Training 1'!AX106*'Data Training 1'!AX110*'Data Training 1'!AX115*'Data Training 1'!AX124*'Data Training 1'!AX130*'Data Training 1'!AX136*'Data Training 1'!AX139*'Data Training 1'!AX145*'Data Training 1'!AX152*'Data Training 1'!AX157*'Data Training 1'!AX163*'Data Training 1'!AX167*'Data Training 1'!AX171*'Data Training 1'!AX175*'Data Training 1'!AX179*'Data Training 1'!AX183*'Data Training 1'!AX187*'Data Training 1'!AX192*'Data Training 1'!AX195*'Data Training 1'!AX200*'Data Training 1'!AX203*'Data Training 1'!AX207*'Data Training 1'!AX211*'Data Training 1'!AX215</f>
        <v>0</v>
      </c>
    </row>
    <row r="119" spans="41:79">
      <c r="AO119" s="82" t="s">
        <v>509</v>
      </c>
      <c r="AP119" s="82"/>
      <c r="AQ119" s="6">
        <f>'Data Training 1'!AW27*'Data Training 1'!AY31*'Data Training 1'!AY40*'Data Training 1'!AY44*'Data Training 1'!AY51*'Data Training 1'!AY58*'Data Training 1'!AY64*'Data Training 1'!AY70*'Data Training 1'!AY75*'Data Training 1'!AY81*'Data Training 1'!AY86*'Data Training 1'!AY91*'Data Training 1'!AY99*'Data Training 1'!AY106*'Data Training 1'!AY110*'Data Training 1'!AY115*'Data Training 1'!AY124*'Data Training 1'!AY130*'Data Training 1'!AY136*'Data Training 1'!AY139*'Data Training 1'!AY145*'Data Training 1'!AY152*'Data Training 1'!AY157*'Data Training 1'!AY163*'Data Training 1'!AY167*'Data Training 1'!AY171*'Data Training 1'!AY175*'Data Training 1'!AY179*'Data Training 1'!AY183*'Data Training 1'!AY187*'Data Training 1'!AY192*'Data Training 1'!AY195*'Data Training 1'!AY200*'Data Training 1'!AY203*'Data Training 1'!AY207*'Data Training 1'!AY211*'Data Training 1'!AY215</f>
        <v>0</v>
      </c>
    </row>
    <row r="120" spans="41:79">
      <c r="AO120" s="80" t="s">
        <v>437</v>
      </c>
      <c r="AP120" s="80"/>
      <c r="AQ120" s="6" t="s">
        <v>300</v>
      </c>
      <c r="AR120" s="81" t="s">
        <v>438</v>
      </c>
      <c r="AS120" s="81"/>
      <c r="AT120" s="81"/>
    </row>
    <row r="122" spans="41:79">
      <c r="AO122" s="84" t="s">
        <v>319</v>
      </c>
      <c r="AP122" s="84"/>
      <c r="AQ122" s="7" t="s">
        <v>64</v>
      </c>
      <c r="AR122" s="51" t="s">
        <v>43</v>
      </c>
      <c r="AS122" s="51" t="s">
        <v>44</v>
      </c>
      <c r="AT122" s="51" t="s">
        <v>45</v>
      </c>
      <c r="AU122" s="51" t="s">
        <v>46</v>
      </c>
      <c r="AV122" s="51" t="s">
        <v>47</v>
      </c>
      <c r="AW122" s="51" t="s">
        <v>48</v>
      </c>
      <c r="AX122" s="51" t="s">
        <v>49</v>
      </c>
      <c r="AY122" s="51" t="s">
        <v>50</v>
      </c>
      <c r="AZ122" s="51" t="s">
        <v>51</v>
      </c>
      <c r="BA122" s="51" t="s">
        <v>52</v>
      </c>
      <c r="BB122" s="51" t="s">
        <v>53</v>
      </c>
      <c r="BC122" s="51" t="s">
        <v>54</v>
      </c>
      <c r="BD122" s="51" t="s">
        <v>55</v>
      </c>
      <c r="BE122" s="51" t="s">
        <v>56</v>
      </c>
      <c r="BF122" s="51" t="s">
        <v>57</v>
      </c>
      <c r="BG122" s="51" t="s">
        <v>58</v>
      </c>
      <c r="BH122" s="51" t="s">
        <v>59</v>
      </c>
      <c r="BI122" s="51" t="s">
        <v>60</v>
      </c>
      <c r="BJ122" s="51" t="s">
        <v>61</v>
      </c>
      <c r="BK122" s="51" t="s">
        <v>62</v>
      </c>
      <c r="BL122" s="51" t="s">
        <v>63</v>
      </c>
      <c r="BM122" s="51" t="s">
        <v>330</v>
      </c>
      <c r="BN122" s="51" t="s">
        <v>331</v>
      </c>
      <c r="BO122" s="51" t="s">
        <v>332</v>
      </c>
      <c r="BP122" s="51" t="s">
        <v>333</v>
      </c>
      <c r="BQ122" s="51" t="s">
        <v>334</v>
      </c>
      <c r="BR122" s="51" t="s">
        <v>335</v>
      </c>
      <c r="BS122" s="51" t="s">
        <v>336</v>
      </c>
      <c r="BT122" s="51" t="s">
        <v>337</v>
      </c>
      <c r="BU122" s="51" t="s">
        <v>338</v>
      </c>
      <c r="BV122" s="51" t="s">
        <v>339</v>
      </c>
      <c r="BW122" s="51" t="s">
        <v>340</v>
      </c>
      <c r="BX122" s="51" t="s">
        <v>341</v>
      </c>
      <c r="BY122" s="51" t="s">
        <v>342</v>
      </c>
      <c r="BZ122" s="51" t="s">
        <v>343</v>
      </c>
      <c r="CA122" s="51" t="s">
        <v>390</v>
      </c>
    </row>
    <row r="123" spans="41:79">
      <c r="AO123" s="84"/>
      <c r="AP123" s="84"/>
      <c r="AQ123" s="7">
        <v>3</v>
      </c>
      <c r="AR123" s="6" t="s">
        <v>2</v>
      </c>
      <c r="AS123" s="6" t="s">
        <v>3</v>
      </c>
      <c r="AT123" s="6" t="s">
        <v>3</v>
      </c>
      <c r="AU123" s="6" t="s">
        <v>2</v>
      </c>
      <c r="AV123" s="6" t="s">
        <v>5</v>
      </c>
      <c r="AW123" s="6" t="s">
        <v>5</v>
      </c>
      <c r="AX123" s="6" t="s">
        <v>5</v>
      </c>
      <c r="AY123" s="6" t="s">
        <v>2</v>
      </c>
      <c r="AZ123" s="6" t="s">
        <v>3</v>
      </c>
      <c r="BA123" s="6" t="s">
        <v>3</v>
      </c>
      <c r="BB123" s="6" t="s">
        <v>3</v>
      </c>
      <c r="BC123" s="6" t="s">
        <v>2</v>
      </c>
      <c r="BD123" s="6" t="s">
        <v>5</v>
      </c>
      <c r="BE123" s="6" t="s">
        <v>3</v>
      </c>
      <c r="BF123" s="6" t="s">
        <v>3</v>
      </c>
      <c r="BG123" s="6" t="s">
        <v>5</v>
      </c>
      <c r="BH123" s="6" t="s">
        <v>5</v>
      </c>
      <c r="BI123" s="6" t="s">
        <v>5</v>
      </c>
      <c r="BJ123" s="6" t="s">
        <v>5</v>
      </c>
      <c r="BK123" s="6" t="s">
        <v>4</v>
      </c>
      <c r="BL123" s="6" t="s">
        <v>3</v>
      </c>
      <c r="BM123" s="6" t="s">
        <v>2</v>
      </c>
      <c r="BN123" s="6" t="s">
        <v>3</v>
      </c>
      <c r="BO123" s="6" t="s">
        <v>4</v>
      </c>
      <c r="BP123" s="6" t="s">
        <v>4</v>
      </c>
      <c r="BQ123" s="6" t="s">
        <v>4</v>
      </c>
      <c r="BR123" s="6" t="s">
        <v>4</v>
      </c>
      <c r="BS123" s="6" t="s">
        <v>4</v>
      </c>
      <c r="BT123" s="6" t="s">
        <v>4</v>
      </c>
      <c r="BU123" s="6" t="s">
        <v>3</v>
      </c>
      <c r="BV123" s="6" t="s">
        <v>4</v>
      </c>
      <c r="BW123" s="6" t="s">
        <v>3</v>
      </c>
      <c r="BX123" s="6" t="s">
        <v>4</v>
      </c>
      <c r="BY123" s="6" t="s">
        <v>4</v>
      </c>
      <c r="BZ123" s="6" t="s">
        <v>3</v>
      </c>
      <c r="CA123" s="6" t="s">
        <v>3</v>
      </c>
    </row>
    <row r="124" spans="41:79">
      <c r="AO124" s="6" t="s">
        <v>504</v>
      </c>
      <c r="AP124" s="6"/>
      <c r="AQ124" s="6">
        <f>'Data Training 1'!AW22*'Data Training 1'!AT33*'Data Training 1'!AT38*'Data Training 1'!AT44*'Data Training 1'!AT51*'Data Training 1'!AT58*'Data Training 1'!AT64*'Data Training 1'!AT70*'Data Training 1'!AT75*'Data Training 1'!AT80*'Data Training 1'!AT86*'Data Training 1'!AT92*'Data Training 1'!AT99*'Data Training 1'!AT106*'Data Training 1'!AT110*'Data Training 1'!AT116*'Data Training 1'!AT124*'Data Training 1'!AT130*'Data Training 1'!AT136*'Data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2.7657010007506294E-8</v>
      </c>
    </row>
    <row r="125" spans="41:79">
      <c r="AO125" s="6" t="s">
        <v>505</v>
      </c>
      <c r="AP125" s="6"/>
      <c r="AQ125" s="6">
        <f>'Data Training 1'!AW23*'Data Training 1'!AU33*'Data Training 1'!AU38*'Data Training 1'!AU44*'Data Training 1'!AU51*'Data Training 1'!AU58*'Data Training 1'!AU64*'Data Training 1'!AU70*'Data Training 1'!AU75*'Data Training 1'!AU80*'Data Training 1'!AU86*'Data Training 1'!AU92*'Data Training 1'!AU99*'Data Training 1'!AU106*'Data Training 1'!AU110*'Data Training 1'!AU116*'Data Training 1'!AU124*'Data Training 1'!AU130*'Data Training 1'!AU136*'Data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2.8016191955655727E-9</v>
      </c>
    </row>
    <row r="126" spans="41:79">
      <c r="AO126" s="82" t="s">
        <v>506</v>
      </c>
      <c r="AP126" s="82"/>
      <c r="AQ126" s="6">
        <f>'Data Training 1'!AW24*'Data Training 1'!AV33*'Data Training 1'!AV38*'Data Training 1'!AV44*'Data Training 1'!AV51*'Data Training 1'!AV58*'Data Training 1'!AV64*'Data Training 1'!AV70*'Data Training 1'!AV75*'Data Training 1'!AV80*'Data Training 1'!AV86*'Data Training 1'!AV92*'Data Training 1'!AV99*'Data Training 1'!AV106*'Data Training 1'!AV110*'Data Training 1'!AV116*'Data Training 1'!AV124*'Data Training 1'!AV130*'Data Training 1'!AV136*'Data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5.5332311688297959E-8</v>
      </c>
    </row>
    <row r="127" spans="41:79">
      <c r="AO127" s="82" t="s">
        <v>507</v>
      </c>
      <c r="AP127" s="82"/>
      <c r="AQ127" s="6">
        <f>'Data Training 1'!AW25*'Data Training 1'!AW33*'Data Training 1'!AW38*'Data Training 1'!AW44*'Data Training 1'!AW51*'Data Training 1'!AW58*'Data Training 1'!AW64*'Data Training 1'!AW70*'Data Training 1'!AW75*'Data Training 1'!AW80*'Data Training 1'!AW86*'Data Training 1'!AW92*'Data Training 1'!AW99*'Data Training 1'!AW106*'Data Training 1'!AW110*'Data Training 1'!AW116*'Data Training 1'!AW124*'Data Training 1'!AW130*'Data Training 1'!AW136*'Data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5.0285880902225259E-9</v>
      </c>
    </row>
    <row r="128" spans="41:79">
      <c r="AO128" s="82" t="s">
        <v>508</v>
      </c>
      <c r="AP128" s="82"/>
      <c r="AQ128" s="6">
        <f>'Data Training 1'!AW26*'Data Training 1'!AX33*'Data Training 1'!AX38*'Data Training 1'!AX44*'Data Training 1'!AX51*'Data Training 1'!AX58*'Data Training 1'!AX64*'Data Training 1'!AX70*'Data Training 1'!AX75*'Data Training 1'!AX80*'Data Training 1'!AX86*'Data Training 1'!AX92*'Data Training 1'!AX99*'Data Training 1'!AX106*'Data Training 1'!AX110*'Data Training 1'!AX116*'Data Training 1'!AX124*'Data Training 1'!AX130*'Data Training 1'!AX136*'Data Training 1'!AX142*'Data Training 1'!AX145*'Data Training 1'!AX152*'Data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0</v>
      </c>
    </row>
    <row r="129" spans="41:79">
      <c r="AO129" s="82" t="s">
        <v>509</v>
      </c>
      <c r="AP129" s="82"/>
      <c r="AQ129" s="6">
        <f>'Data Training 1'!AW27*'Data Training 1'!AY33*'Data Training 1'!AY38*'Data Training 1'!AY44*'Data Training 1'!AY51*'Data Training 1'!AY58*'Data Training 1'!AY64*'Data Training 1'!AY70*'Data Training 1'!AY75*'Data Training 1'!AY80*'Data Training 1'!AY86*'Data Training 1'!AY92*'Data Training 1'!AY99*'Data Training 1'!AY106*'Data Training 1'!AY110*'Data Training 1'!AY116*'Data Training 1'!AY124*'Data Training 1'!AY130*'Data Training 1'!AY136*'Data Training 1'!AY142*'Data Training 1'!AY145*'Data Training 1'!AY152*'Data Training 1'!AY159*'Data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130" spans="41:79">
      <c r="AO130" s="80" t="s">
        <v>437</v>
      </c>
      <c r="AP130" s="80"/>
      <c r="AQ130" s="6" t="s">
        <v>294</v>
      </c>
      <c r="AR130" s="81" t="s">
        <v>438</v>
      </c>
      <c r="AS130" s="81"/>
      <c r="AT130" s="81"/>
    </row>
    <row r="132" spans="41:79">
      <c r="AO132" s="84" t="s">
        <v>501</v>
      </c>
      <c r="AP132" s="84"/>
      <c r="AQ132" s="7" t="s">
        <v>64</v>
      </c>
      <c r="AR132" s="51" t="s">
        <v>43</v>
      </c>
      <c r="AS132" s="51" t="s">
        <v>44</v>
      </c>
      <c r="AT132" s="51" t="s">
        <v>45</v>
      </c>
      <c r="AU132" s="51" t="s">
        <v>46</v>
      </c>
      <c r="AV132" s="51" t="s">
        <v>47</v>
      </c>
      <c r="AW132" s="51" t="s">
        <v>48</v>
      </c>
      <c r="AX132" s="51" t="s">
        <v>49</v>
      </c>
      <c r="AY132" s="51" t="s">
        <v>50</v>
      </c>
      <c r="AZ132" s="51" t="s">
        <v>51</v>
      </c>
      <c r="BA132" s="51" t="s">
        <v>52</v>
      </c>
      <c r="BB132" s="51" t="s">
        <v>53</v>
      </c>
      <c r="BC132" s="51" t="s">
        <v>54</v>
      </c>
      <c r="BD132" s="51" t="s">
        <v>55</v>
      </c>
      <c r="BE132" s="51" t="s">
        <v>56</v>
      </c>
      <c r="BF132" s="51" t="s">
        <v>57</v>
      </c>
      <c r="BG132" s="51" t="s">
        <v>58</v>
      </c>
      <c r="BH132" s="51" t="s">
        <v>59</v>
      </c>
      <c r="BI132" s="51" t="s">
        <v>60</v>
      </c>
      <c r="BJ132" s="51" t="s">
        <v>61</v>
      </c>
      <c r="BK132" s="51" t="s">
        <v>62</v>
      </c>
      <c r="BL132" s="51" t="s">
        <v>63</v>
      </c>
      <c r="BM132" s="51" t="s">
        <v>330</v>
      </c>
      <c r="BN132" s="51" t="s">
        <v>331</v>
      </c>
      <c r="BO132" s="51" t="s">
        <v>332</v>
      </c>
      <c r="BP132" s="51" t="s">
        <v>333</v>
      </c>
      <c r="BQ132" s="51" t="s">
        <v>334</v>
      </c>
      <c r="BR132" s="51" t="s">
        <v>335</v>
      </c>
      <c r="BS132" s="51" t="s">
        <v>336</v>
      </c>
      <c r="BT132" s="51" t="s">
        <v>337</v>
      </c>
      <c r="BU132" s="51" t="s">
        <v>338</v>
      </c>
      <c r="BV132" s="51" t="s">
        <v>339</v>
      </c>
      <c r="BW132" s="51" t="s">
        <v>340</v>
      </c>
      <c r="BX132" s="51" t="s">
        <v>341</v>
      </c>
      <c r="BY132" s="51" t="s">
        <v>342</v>
      </c>
      <c r="BZ132" s="51" t="s">
        <v>343</v>
      </c>
      <c r="CA132" s="51" t="s">
        <v>390</v>
      </c>
    </row>
    <row r="133" spans="41:79">
      <c r="AO133" s="84"/>
      <c r="AP133" s="84"/>
      <c r="AQ133" s="7">
        <v>3</v>
      </c>
      <c r="AR133" s="6" t="s">
        <v>2</v>
      </c>
      <c r="AS133" s="6" t="s">
        <v>3</v>
      </c>
      <c r="AT133" s="6" t="s">
        <v>3</v>
      </c>
      <c r="AU133" s="6" t="s">
        <v>2</v>
      </c>
      <c r="AV133" s="6" t="s">
        <v>5</v>
      </c>
      <c r="AW133" s="6" t="s">
        <v>2</v>
      </c>
      <c r="AX133" s="6" t="s">
        <v>5</v>
      </c>
      <c r="AY133" s="6" t="s">
        <v>2</v>
      </c>
      <c r="AZ133" s="6" t="s">
        <v>3</v>
      </c>
      <c r="BA133" s="6" t="s">
        <v>4</v>
      </c>
      <c r="BB133" s="6" t="s">
        <v>4</v>
      </c>
      <c r="BC133" s="6" t="s">
        <v>5</v>
      </c>
      <c r="BD133" s="6" t="s">
        <v>5</v>
      </c>
      <c r="BE133" s="6" t="s">
        <v>4</v>
      </c>
      <c r="BF133" s="6" t="s">
        <v>5</v>
      </c>
      <c r="BG133" s="6" t="s">
        <v>5</v>
      </c>
      <c r="BH133" s="6" t="s">
        <v>5</v>
      </c>
      <c r="BI133" s="6" t="s">
        <v>5</v>
      </c>
      <c r="BJ133" s="6" t="s">
        <v>5</v>
      </c>
      <c r="BK133" s="6" t="s">
        <v>4</v>
      </c>
      <c r="BL133" s="6" t="s">
        <v>3</v>
      </c>
      <c r="BM133" s="6" t="s">
        <v>4</v>
      </c>
      <c r="BN133" s="6" t="s">
        <v>4</v>
      </c>
      <c r="BO133" s="6" t="s">
        <v>4</v>
      </c>
      <c r="BP133" s="6" t="s">
        <v>4</v>
      </c>
      <c r="BQ133" s="6" t="s">
        <v>4</v>
      </c>
      <c r="BR133" s="6" t="s">
        <v>4</v>
      </c>
      <c r="BS133" s="6" t="s">
        <v>4</v>
      </c>
      <c r="BT133" s="6" t="s">
        <v>4</v>
      </c>
      <c r="BU133" s="6" t="s">
        <v>4</v>
      </c>
      <c r="BV133" s="6" t="s">
        <v>4</v>
      </c>
      <c r="BW133" s="6" t="s">
        <v>3</v>
      </c>
      <c r="BX133" s="6" t="s">
        <v>4</v>
      </c>
      <c r="BY133" s="6" t="s">
        <v>4</v>
      </c>
      <c r="BZ133" s="6" t="s">
        <v>3</v>
      </c>
      <c r="CA133" s="6" t="s">
        <v>4</v>
      </c>
    </row>
    <row r="134" spans="41:79">
      <c r="AO134" s="6" t="s">
        <v>504</v>
      </c>
      <c r="AP134" s="6"/>
      <c r="AQ134" s="6">
        <f>'Data Training 1'!AW22*'Data Training 1'!AT33*'Data Training 1'!AT38*'Data Training 1'!AT44*'Data Training 1'!AT51*'Data Training 1'!AT58*'Data Training 1'!AT63*'Data Training 1'!AT70*'Data Training 1'!AT75*'Data Training 1'!AT80*'Data Training 1'!AT85*'Data Training 1'!AT91*'Data Training 1'!AT100*'Data Training 1'!AT106*'Data Training 1'!AT109*'Data Training 1'!AT118*'Data Training 1'!AT124*'Data Training 1'!AT130*'Data Training 1'!AT136*'Data Training 1'!AT142*'Data Training 1'!AT145*'Data Training 1'!AT152*'Data Training 1'!AT157*'Data Training 1'!AT163*'Data Training 1'!AT167*'Data Training 1'!AT171*'Data Training 1'!AT175*'Data Training 1'!AT179*'Data Training 1'!AT183*'Data Training 1'!AT187*'Data Training 1'!AT191*'Data Training 1'!AT195*'Data Training 1'!AT200*'Data Training 1'!AT203*'Data Training 1'!AT207*'Data Training 1'!AT212*'Data Training 1'!AT215</f>
        <v>0</v>
      </c>
    </row>
    <row r="135" spans="41:79">
      <c r="AO135" s="6" t="s">
        <v>505</v>
      </c>
      <c r="AP135" s="6"/>
      <c r="AQ135" s="6">
        <f>'Data Training 1'!AW23*'Data Training 1'!AU33*'Data Training 1'!AU38*'Data Training 1'!AU44*'Data Training 1'!AU51*'Data Training 1'!AU58*'Data Training 1'!AU63*'Data Training 1'!AU70*'Data Training 1'!AU75*'Data Training 1'!AU80*'Data Training 1'!AU85*'Data Training 1'!AU91*'Data Training 1'!AU100*'Data Training 1'!AU106*'Data Training 1'!AU109*'Data Training 1'!AU118*'Data Training 1'!AU124*'Data Training 1'!AU130*'Data Training 1'!AU136*'Data Training 1'!AU142*'Data Training 1'!AU145*'Data Training 1'!AU152*'Data Training 1'!AU157*'Data Training 1'!AU163*'Data Training 1'!AU167*'Data Training 1'!AU171*'Data Training 1'!AU175*'Data Training 1'!AU179*'Data Training 1'!AU183*'Data Training 1'!AU187*'Data Training 1'!AU191*'Data Training 1'!AU195*'Data Training 1'!AU200*'Data Training 1'!AU203*'Data Training 1'!AU207*'Data Training 1'!AU212*'Data Training 1'!AU215</f>
        <v>0</v>
      </c>
    </row>
    <row r="136" spans="41:79">
      <c r="AO136" s="82" t="s">
        <v>506</v>
      </c>
      <c r="AP136" s="82"/>
      <c r="AQ136" s="6">
        <f>'Data Training 1'!AW24*'Data Training 1'!AV33*'Data Training 1'!AV38*'Data Training 1'!AV44*'Data Training 1'!AV51*'Data Training 1'!AV58*'Data Training 1'!AV63*'Data Training 1'!AV70*'Data Training 1'!AV75*'Data Training 1'!AV80*'Data Training 1'!AV85*'Data Training 1'!AV91*'Data Training 1'!AV100*'Data Training 1'!AV106*'Data Training 1'!AV109*'Data Training 1'!AV118*'Data Training 1'!AV124*'Data Training 1'!AV130*'Data Training 1'!AV136*'Data Training 1'!AV142*'Data Training 1'!AV145*'Data Training 1'!AV152*'Data Training 1'!AV157*'Data Training 1'!AV163*'Data Training 1'!AV167*'Data Training 1'!AV171*'Data Training 1'!AV175*'Data Training 1'!AV179*'Data Training 1'!AV183*'Data Training 1'!AV187*'Data Training 1'!AV191*'Data Training 1'!AV195*'Data Training 1'!AV200*'Data Training 1'!AV203*'Data Training 1'!AV207*'Data Training 1'!AV212*'Data Training 1'!AV215</f>
        <v>7.1134284998730203E-11</v>
      </c>
    </row>
    <row r="137" spans="41:79">
      <c r="AO137" s="82" t="s">
        <v>507</v>
      </c>
      <c r="AP137" s="82"/>
      <c r="AQ137" s="6">
        <f>'Data Training 1'!AW25*'Data Training 1'!AW33*'Data Training 1'!AW38*'Data Training 1'!AW44*'Data Training 1'!AW51*'Data Training 1'!AW58*'Data Training 1'!AW63*'Data Training 1'!AW70*'Data Training 1'!AW75*'Data Training 1'!AW80*'Data Training 1'!AW85*'Data Training 1'!AW91*'Data Training 1'!AW100*'Data Training 1'!AW106*'Data Training 1'!AW109*'Data Training 1'!AW118*'Data Training 1'!AW124*'Data Training 1'!AW130*'Data Training 1'!AW136*'Data Training 1'!AW142*'Data Training 1'!AW145*'Data Training 1'!AW152*'Data Training 1'!AW157*'Data Training 1'!AW163*'Data Training 1'!AW167*'Data Training 1'!AW171*'Data Training 1'!AW175*'Data Training 1'!AW179*'Data Training 1'!AW183*'Data Training 1'!AW187*'Data Training 1'!AW191*'Data Training 1'!AW195*'Data Training 1'!AW200*'Data Training 1'!AW203*'Data Training 1'!AW207*'Data Training 1'!AW212*'Data Training 1'!AW215</f>
        <v>0</v>
      </c>
    </row>
    <row r="138" spans="41:79">
      <c r="AO138" s="82" t="s">
        <v>508</v>
      </c>
      <c r="AP138" s="82"/>
      <c r="AQ138" s="6">
        <f>'Data Training 1'!AW26*'Data Training 1'!AX33*'Data Training 1'!AX38*'Data Training 1'!AX44*'Data Training 1'!AX51*'Data Training 1'!AX58*'Data Training 1'!AX63*'Data Training 1'!AX70*'Data Training 1'!AX75*'Data Training 1'!AX80*'Data Training 1'!AX85*'Data Training 1'!AX91*'Data Training 1'!AX100*'Data Training 1'!AX106*'Data Training 1'!AX109*'Data Training 1'!AX118*'Data Training 1'!AX124*'Data Training 1'!AX130*'Data Training 1'!AX136*'Data Training 1'!AX142*'Data Training 1'!AX145*'Data Training 1'!AX152*'Data Training 1'!AX157*'Data Training 1'!AX163*'Data Training 1'!AX167*'Data Training 1'!AX171*'Data Training 1'!AX175*'Data Training 1'!AX179*'Data Training 1'!AX183*'Data Training 1'!AX187*'Data Training 1'!AX191*'Data Training 1'!AX195*'Data Training 1'!AX200*'Data Training 1'!AX203*'Data Training 1'!AX207*'Data Training 1'!AX212*'Data Training 1'!AX215</f>
        <v>0</v>
      </c>
    </row>
    <row r="139" spans="41:79">
      <c r="AO139" s="82" t="s">
        <v>509</v>
      </c>
      <c r="AP139" s="82"/>
      <c r="AQ139" s="6">
        <f>'Data Training 1'!AW27*'Data Training 1'!AY33*'Data Training 1'!AY38*'Data Training 1'!AY44*'Data Training 1'!AY51*'Data Training 1'!AY58*'Data Training 1'!AY63*'Data Training 1'!AY70*'Data Training 1'!AY75*'Data Training 1'!AY80*'Data Training 1'!AY85*'Data Training 1'!AY91*'Data Training 1'!AY100*'Data Training 1'!AY106*'Data Training 1'!AY109*'Data Training 1'!AY118*'Data Training 1'!AY124*'Data Training 1'!AY130*'Data Training 1'!AY136*'Data Training 1'!AY142*'Data Training 1'!AY145*'Data Training 1'!AY152*'Data Training 1'!AY157*'Data Training 1'!AY163*'Data Training 1'!AY167*'Data Training 1'!AY171*'Data Training 1'!AY175*'Data Training 1'!AY179*'Data Training 1'!AY183*'Data Training 1'!AY187*'Data Training 1'!AY191*'Data Training 1'!AY195*'Data Training 1'!AY200*'Data Training 1'!AY203*'Data Training 1'!AY207*'Data Training 1'!AY212*'Data Training 1'!AY215</f>
        <v>0</v>
      </c>
    </row>
    <row r="140" spans="41:79">
      <c r="AO140" s="80" t="s">
        <v>437</v>
      </c>
      <c r="AP140" s="80"/>
      <c r="AQ140" s="6" t="s">
        <v>294</v>
      </c>
      <c r="AR140" s="81" t="s">
        <v>438</v>
      </c>
      <c r="AS140" s="81"/>
      <c r="AT140" s="81"/>
    </row>
    <row r="142" spans="41:79">
      <c r="AO142" s="84" t="s">
        <v>320</v>
      </c>
      <c r="AP142" s="84"/>
      <c r="AQ142" s="7" t="s">
        <v>64</v>
      </c>
      <c r="AR142" s="51" t="s">
        <v>43</v>
      </c>
      <c r="AS142" s="51" t="s">
        <v>44</v>
      </c>
      <c r="AT142" s="51" t="s">
        <v>45</v>
      </c>
      <c r="AU142" s="51" t="s">
        <v>46</v>
      </c>
      <c r="AV142" s="51" t="s">
        <v>47</v>
      </c>
      <c r="AW142" s="51" t="s">
        <v>48</v>
      </c>
      <c r="AX142" s="51" t="s">
        <v>49</v>
      </c>
      <c r="AY142" s="51" t="s">
        <v>50</v>
      </c>
      <c r="AZ142" s="51" t="s">
        <v>51</v>
      </c>
      <c r="BA142" s="51" t="s">
        <v>52</v>
      </c>
      <c r="BB142" s="51" t="s">
        <v>53</v>
      </c>
      <c r="BC142" s="51" t="s">
        <v>54</v>
      </c>
      <c r="BD142" s="51" t="s">
        <v>55</v>
      </c>
      <c r="BE142" s="51" t="s">
        <v>56</v>
      </c>
      <c r="BF142" s="51" t="s">
        <v>57</v>
      </c>
      <c r="BG142" s="51" t="s">
        <v>58</v>
      </c>
      <c r="BH142" s="51" t="s">
        <v>59</v>
      </c>
      <c r="BI142" s="51" t="s">
        <v>60</v>
      </c>
      <c r="BJ142" s="51" t="s">
        <v>61</v>
      </c>
      <c r="BK142" s="51" t="s">
        <v>62</v>
      </c>
      <c r="BL142" s="51" t="s">
        <v>63</v>
      </c>
      <c r="BM142" s="51" t="s">
        <v>330</v>
      </c>
      <c r="BN142" s="51" t="s">
        <v>331</v>
      </c>
      <c r="BO142" s="51" t="s">
        <v>332</v>
      </c>
      <c r="BP142" s="51" t="s">
        <v>333</v>
      </c>
      <c r="BQ142" s="51" t="s">
        <v>334</v>
      </c>
      <c r="BR142" s="51" t="s">
        <v>335</v>
      </c>
      <c r="BS142" s="51" t="s">
        <v>336</v>
      </c>
      <c r="BT142" s="51" t="s">
        <v>337</v>
      </c>
      <c r="BU142" s="51" t="s">
        <v>338</v>
      </c>
      <c r="BV142" s="51" t="s">
        <v>339</v>
      </c>
      <c r="BW142" s="51" t="s">
        <v>340</v>
      </c>
      <c r="BX142" s="51" t="s">
        <v>341</v>
      </c>
      <c r="BY142" s="51" t="s">
        <v>342</v>
      </c>
      <c r="BZ142" s="51" t="s">
        <v>343</v>
      </c>
      <c r="CA142" s="51" t="s">
        <v>390</v>
      </c>
    </row>
    <row r="143" spans="41:79">
      <c r="AO143" s="84"/>
      <c r="AP143" s="84"/>
      <c r="AQ143" s="7">
        <v>3</v>
      </c>
      <c r="AR143" s="6" t="s">
        <v>2</v>
      </c>
      <c r="AS143" s="6" t="s">
        <v>3</v>
      </c>
      <c r="AT143" s="6" t="s">
        <v>3</v>
      </c>
      <c r="AU143" s="6" t="s">
        <v>5</v>
      </c>
      <c r="AV143" s="6" t="s">
        <v>5</v>
      </c>
      <c r="AW143" s="6" t="s">
        <v>5</v>
      </c>
      <c r="AX143" s="6" t="s">
        <v>2</v>
      </c>
      <c r="AY143" s="6" t="s">
        <v>2</v>
      </c>
      <c r="AZ143" s="6" t="s">
        <v>3</v>
      </c>
      <c r="BA143" s="6" t="s">
        <v>3</v>
      </c>
      <c r="BB143" s="6" t="s">
        <v>4</v>
      </c>
      <c r="BC143" s="6" t="s">
        <v>5</v>
      </c>
      <c r="BD143" s="6" t="s">
        <v>2</v>
      </c>
      <c r="BE143" s="6" t="s">
        <v>3</v>
      </c>
      <c r="BF143" s="6" t="s">
        <v>2</v>
      </c>
      <c r="BG143" s="6" t="s">
        <v>5</v>
      </c>
      <c r="BH143" s="6" t="s">
        <v>5</v>
      </c>
      <c r="BI143" s="6" t="s">
        <v>5</v>
      </c>
      <c r="BJ143" s="6" t="s">
        <v>5</v>
      </c>
      <c r="BK143" s="6" t="s">
        <v>4</v>
      </c>
      <c r="BL143" s="6" t="s">
        <v>3</v>
      </c>
      <c r="BM143" s="6" t="s">
        <v>3</v>
      </c>
      <c r="BN143" s="6" t="s">
        <v>3</v>
      </c>
      <c r="BO143" s="6" t="s">
        <v>4</v>
      </c>
      <c r="BP143" s="6" t="s">
        <v>4</v>
      </c>
      <c r="BQ143" s="6" t="s">
        <v>4</v>
      </c>
      <c r="BR143" s="6" t="s">
        <v>4</v>
      </c>
      <c r="BS143" s="6" t="s">
        <v>4</v>
      </c>
      <c r="BT143" s="6" t="s">
        <v>4</v>
      </c>
      <c r="BU143" s="6" t="s">
        <v>3</v>
      </c>
      <c r="BV143" s="6" t="s">
        <v>4</v>
      </c>
      <c r="BW143" s="6" t="s">
        <v>3</v>
      </c>
      <c r="BX143" s="6" t="s">
        <v>4</v>
      </c>
      <c r="BY143" s="6" t="s">
        <v>4</v>
      </c>
      <c r="BZ143" s="6" t="s">
        <v>3</v>
      </c>
      <c r="CA143" s="6" t="s">
        <v>3</v>
      </c>
    </row>
    <row r="144" spans="41:79">
      <c r="AO144" s="6" t="s">
        <v>504</v>
      </c>
      <c r="AP144" s="6"/>
      <c r="AQ144" s="6">
        <f>'Data Training 1'!AW22*'Data Training 1'!AT33*'Data Training 1'!AT38*'Data Training 1'!AT44*'Data Training 1'!AT52*'Data Training 1'!AT58*'Data Training 1'!AT64*'Data Training 1'!AT69*'Data Training 1'!AT75*'Data Training 1'!AT80*'Data Training 1'!AT86*'Data Training 1'!AT91*'Data Training 1'!AT100*'Data Training 1'!AT105*'Data Training 1'!AT110*'Data Training 1'!AT117*'Data Training 1'!AT124*'Data Training 1'!AT130*'Data Training 1'!AT136*'Data Training 1'!AT142*'Data Training 1'!AT145*'Data Training 1'!AT152*'Data Training 1'!AT158*'Data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145" spans="41:79">
      <c r="AO145" s="6" t="s">
        <v>505</v>
      </c>
      <c r="AP145" s="6"/>
      <c r="AQ145" s="6">
        <f>'Data Training 1'!AW23*'Data Training 1'!AU33*'Data Training 1'!AU38*'Data Training 1'!AU44*'Data Training 1'!AU52*'Data Training 1'!AU58*'Data Training 1'!AU64*'Data Training 1'!AU69*'Data Training 1'!AU75*'Data Training 1'!AU80*'Data Training 1'!AU86*'Data Training 1'!AU91*'Data Training 1'!AU100*'Data Training 1'!AU105*'Data Training 1'!AU110*'Data Training 1'!AU117*'Data Training 1'!AU124*'Data Training 1'!AU130*'Data Training 1'!AU136*'Data Training 1'!AU142*'Data Training 1'!AU145*'Data Training 1'!AU152*'Data Training 1'!AU158*'Data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146" spans="41:79">
      <c r="AO146" s="82" t="s">
        <v>506</v>
      </c>
      <c r="AP146" s="82"/>
      <c r="AQ146" s="6">
        <f>'Data Training 1'!AW24*'Data Training 1'!AV33*'Data Training 1'!AV38*'Data Training 1'!AV44*'Data Training 1'!AV52*'Data Training 1'!AV58*'Data Training 1'!AV64*'Data Training 1'!AV69*'Data Training 1'!AV75*'Data Training 1'!AV80*'Data Training 1'!AV86*'Data Training 1'!AV91*'Data Training 1'!AV100*'Data Training 1'!AV105*'Data Training 1'!AV110*'Data Training 1'!AV117*'Data Training 1'!AV124*'Data Training 1'!AV130*'Data Training 1'!AV136*'Data Training 1'!AV142*'Data Training 1'!AV145*'Data Training 1'!AV152*'Data Training 1'!AV158*'Data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5.5891223927573679E-8</v>
      </c>
    </row>
    <row r="147" spans="41:79">
      <c r="AO147" s="82" t="s">
        <v>507</v>
      </c>
      <c r="AP147" s="82"/>
      <c r="AQ147" s="6">
        <f>'Data Training 1'!AW25*'Data Training 1'!AW33*'Data Training 1'!AW38*'Data Training 1'!AW44*'Data Training 1'!AW52*'Data Training 1'!AW58*'Data Training 1'!AW64*'Data Training 1'!AW69*'Data Training 1'!AW75*'Data Training 1'!AW80*'Data Training 1'!AW86*'Data Training 1'!AW91*'Data Training 1'!AW100*'Data Training 1'!AW105*'Data Training 1'!AW110*'Data Training 1'!AW117*'Data Training 1'!AW124*'Data Training 1'!AW130*'Data Training 1'!AW136*'Data Training 1'!AW142*'Data Training 1'!AW145*'Data Training 1'!AW152*'Data Training 1'!AW158*'Data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0</v>
      </c>
    </row>
    <row r="148" spans="41:79">
      <c r="AO148" s="82" t="s">
        <v>508</v>
      </c>
      <c r="AP148" s="82"/>
      <c r="AQ148" s="6">
        <f>'Data Training 1'!AW26*'Data Training 1'!AX33*'Data Training 1'!AX38*'Data Training 1'!AX44*'Data Training 1'!AX52*'Data Training 1'!AX58*'Data Training 1'!AX64*'Data Training 1'!AX69*'Data Training 1'!AX75*'Data Training 1'!AX80*'Data Training 1'!AX86*'Data Training 1'!AX91*'Data Training 1'!AX100*'Data Training 1'!AX105*'Data Training 1'!AX110*'Data Training 1'!AX117*'Data Training 1'!AX124*'Data Training 1'!AX130*'Data Training 1'!AX136*'Data Training 1'!AX142*'Data Training 1'!AX145*'Data Training 1'!AX152*'Data Training 1'!AX158*'Data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3.9362650708781791E-11</v>
      </c>
    </row>
    <row r="149" spans="41:79">
      <c r="AO149" s="82" t="s">
        <v>509</v>
      </c>
      <c r="AP149" s="82"/>
      <c r="AQ149" s="6">
        <f>'Data Training 1'!AW27*'Data Training 1'!AY33*'Data Training 1'!AY38*'Data Training 1'!AY44*'Data Training 1'!AY52*'Data Training 1'!AY58*'Data Training 1'!AY64*'Data Training 1'!AY69*'Data Training 1'!AY75*'Data Training 1'!AY80*'Data Training 1'!AY86*'Data Training 1'!AY91*'Data Training 1'!AY100*'Data Training 1'!AY105*'Data Training 1'!AY110*'Data Training 1'!AY117*'Data Training 1'!AY124*'Data Training 1'!AY130*'Data Training 1'!AY136*'Data Training 1'!AY142*'Data Training 1'!AY145*'Data Training 1'!AY152*'Data Training 1'!AY158*'Data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150" spans="41:79">
      <c r="AO150" s="80" t="s">
        <v>437</v>
      </c>
      <c r="AP150" s="80"/>
      <c r="AQ150" s="6" t="s">
        <v>294</v>
      </c>
      <c r="AR150" s="74" t="s">
        <v>438</v>
      </c>
      <c r="AS150" s="74"/>
      <c r="AT150" s="74"/>
    </row>
    <row r="152" spans="41:79">
      <c r="AO152" s="79" t="s">
        <v>515</v>
      </c>
      <c r="AP152" s="79"/>
      <c r="AQ152" s="20" t="s">
        <v>64</v>
      </c>
      <c r="AR152" s="1" t="s">
        <v>43</v>
      </c>
      <c r="AS152" s="1" t="s">
        <v>44</v>
      </c>
      <c r="AT152" s="1" t="s">
        <v>45</v>
      </c>
      <c r="AU152" s="1" t="s">
        <v>46</v>
      </c>
      <c r="AV152" s="1" t="s">
        <v>47</v>
      </c>
      <c r="AW152" s="1" t="s">
        <v>48</v>
      </c>
      <c r="AX152" s="1" t="s">
        <v>49</v>
      </c>
      <c r="AY152" s="1" t="s">
        <v>50</v>
      </c>
      <c r="AZ152" s="1" t="s">
        <v>51</v>
      </c>
      <c r="BA152" s="1" t="s">
        <v>52</v>
      </c>
      <c r="BB152" s="1" t="s">
        <v>53</v>
      </c>
      <c r="BC152" s="1" t="s">
        <v>54</v>
      </c>
      <c r="BD152" s="1" t="s">
        <v>55</v>
      </c>
      <c r="BE152" s="1" t="s">
        <v>56</v>
      </c>
      <c r="BF152" s="1" t="s">
        <v>57</v>
      </c>
      <c r="BG152" s="1" t="s">
        <v>58</v>
      </c>
      <c r="BH152" s="1" t="s">
        <v>59</v>
      </c>
      <c r="BI152" s="1" t="s">
        <v>60</v>
      </c>
      <c r="BJ152" s="1" t="s">
        <v>61</v>
      </c>
      <c r="BK152" s="1" t="s">
        <v>62</v>
      </c>
      <c r="BL152" s="1" t="s">
        <v>63</v>
      </c>
      <c r="BM152" s="1" t="s">
        <v>330</v>
      </c>
      <c r="BN152" s="1" t="s">
        <v>331</v>
      </c>
      <c r="BO152" s="1" t="s">
        <v>332</v>
      </c>
      <c r="BP152" s="1" t="s">
        <v>333</v>
      </c>
      <c r="BQ152" s="1" t="s">
        <v>334</v>
      </c>
      <c r="BR152" s="1" t="s">
        <v>335</v>
      </c>
      <c r="BS152" s="1" t="s">
        <v>336</v>
      </c>
      <c r="BT152" s="1" t="s">
        <v>337</v>
      </c>
      <c r="BU152" s="1" t="s">
        <v>338</v>
      </c>
      <c r="BV152" s="1" t="s">
        <v>339</v>
      </c>
      <c r="BW152" s="1" t="s">
        <v>340</v>
      </c>
      <c r="BX152" s="1" t="s">
        <v>341</v>
      </c>
      <c r="BY152" s="1" t="s">
        <v>342</v>
      </c>
      <c r="BZ152" s="1" t="s">
        <v>343</v>
      </c>
      <c r="CA152" s="1" t="s">
        <v>390</v>
      </c>
    </row>
    <row r="153" spans="41:79">
      <c r="AO153" s="79"/>
      <c r="AP153" s="79"/>
      <c r="AQ153" s="20">
        <v>3</v>
      </c>
      <c r="AR153" t="s">
        <v>2</v>
      </c>
      <c r="AS153" t="s">
        <v>5</v>
      </c>
      <c r="AT153" t="s">
        <v>3</v>
      </c>
      <c r="AU153" t="s">
        <v>3</v>
      </c>
      <c r="AV153" t="s">
        <v>5</v>
      </c>
      <c r="AW153" t="s">
        <v>5</v>
      </c>
      <c r="AX153" t="s">
        <v>2</v>
      </c>
      <c r="AY153" t="s">
        <v>2</v>
      </c>
      <c r="AZ153" t="s">
        <v>3</v>
      </c>
      <c r="BA153" t="s">
        <v>4</v>
      </c>
      <c r="BB153" t="s">
        <v>4</v>
      </c>
      <c r="BC153" t="s">
        <v>5</v>
      </c>
      <c r="BD153" t="s">
        <v>3</v>
      </c>
      <c r="BE153" t="s">
        <v>3</v>
      </c>
      <c r="BF153" t="s">
        <v>2</v>
      </c>
      <c r="BG153" t="s">
        <v>5</v>
      </c>
      <c r="BH153" t="s">
        <v>3</v>
      </c>
      <c r="BI153" t="s">
        <v>2</v>
      </c>
      <c r="BJ153" t="s">
        <v>5</v>
      </c>
      <c r="BK153" t="s">
        <v>4</v>
      </c>
      <c r="BL153" t="s">
        <v>3</v>
      </c>
      <c r="BM153" t="s">
        <v>2</v>
      </c>
      <c r="BN153" t="s">
        <v>3</v>
      </c>
      <c r="BO153" t="s">
        <v>4</v>
      </c>
      <c r="BP153" t="s">
        <v>4</v>
      </c>
      <c r="BQ153" t="s">
        <v>4</v>
      </c>
      <c r="BR153" t="s">
        <v>4</v>
      </c>
      <c r="BS153" t="s">
        <v>4</v>
      </c>
      <c r="BT153" t="s">
        <v>4</v>
      </c>
      <c r="BU153" t="s">
        <v>3</v>
      </c>
      <c r="BV153" t="s">
        <v>4</v>
      </c>
      <c r="BW153" t="s">
        <v>3</v>
      </c>
      <c r="BX153" t="s">
        <v>4</v>
      </c>
      <c r="BY153" t="s">
        <v>4</v>
      </c>
      <c r="BZ153" t="s">
        <v>4</v>
      </c>
      <c r="CA153" t="s">
        <v>3</v>
      </c>
    </row>
    <row r="154" spans="41:79">
      <c r="AO154" t="s">
        <v>504</v>
      </c>
      <c r="AQ154">
        <f>'Data Training 1'!AW22*'Data Training 1'!AT33*'Data Training 1'!AT40*'Data Training 1'!AT44*'Data Training 1'!AT50*'Data Training 1'!AT58*'Data Training 1'!AT64*'Data Training 1'!AT69*'Data Training 1'!AT75*'Data Training 1'!AT80*'Data Training 1'!AT85*'Data Training 1'!AT91*'Data Training 1'!AT100*'Data Training 1'!AT104*'Data Training 1'!AT110*'Data Training 1'!AT117*'Data Training 1'!AT124*'Data Training 1'!AT128*'Data Training 1'!AT135*'Data Training 1'!AT142*'Data Training 1'!AT145*'Data Training 1'!AT152*'Data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155" spans="41:79">
      <c r="AO155" t="s">
        <v>505</v>
      </c>
      <c r="AQ155">
        <f>'Data Training 1'!AW23*'Data Training 1'!AU33*'Data Training 1'!AU40*'Data Training 1'!AU44*'Data Training 1'!AU50*'Data Training 1'!AU58*'Data Training 1'!AU64*'Data Training 1'!AU69*'Data Training 1'!AU75*'Data Training 1'!AU80*'Data Training 1'!AU85*'Data Training 1'!AU91*'Data Training 1'!AU100*'Data Training 1'!AU104*'Data Training 1'!AU110*'Data Training 1'!AU117*'Data Training 1'!AU124*'Data Training 1'!AU128*'Data Training 1'!AU135*'Data Training 1'!AU142*'Data Training 1'!AU145*'Data Training 1'!AU152*'Data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156" spans="41:79">
      <c r="AO156" s="69" t="s">
        <v>506</v>
      </c>
      <c r="AP156" s="69"/>
      <c r="AQ156">
        <f>'Data Training 1'!AW24*'Data Training 1'!AV33*'Data Training 1'!AV40*'Data Training 1'!AV44*'Data Training 1'!AV50*'Data Training 1'!AV58*'Data Training 1'!AV64*'Data Training 1'!AV69*'Data Training 1'!AV75*'Data Training 1'!AV80*'Data Training 1'!AV85*'Data Training 1'!AV91*'Data Training 1'!AV100*'Data Training 1'!AV104*'Data Training 1'!AV110*'Data Training 1'!AV117*'Data Training 1'!AV124*'Data Training 1'!AV128*'Data Training 1'!AV135*'Data Training 1'!AV142*'Data Training 1'!AV145*'Data Training 1'!AV152*'Data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2.1898000192009295E-11</v>
      </c>
    </row>
    <row r="157" spans="41:79">
      <c r="AO157" s="69" t="s">
        <v>507</v>
      </c>
      <c r="AP157" s="69"/>
      <c r="AQ157">
        <f>'Data Training 1'!AW25*'Data Training 1'!AW33*'Data Training 1'!AW40*'Data Training 1'!AW44*'Data Training 1'!AW50*'Data Training 1'!AW58*'Data Training 1'!AW64*'Data Training 1'!AW69*'Data Training 1'!AW75*'Data Training 1'!AW80*'Data Training 1'!AW85*'Data Training 1'!AW91*'Data Training 1'!AW100*'Data Training 1'!AW104*'Data Training 1'!AW110*'Data Training 1'!AW117*'Data Training 1'!AW124*'Data Training 1'!AW128*'Data Training 1'!AW135*'Data Training 1'!AW142*'Data Training 1'!AW145*'Data Training 1'!AW152*'Data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0</v>
      </c>
    </row>
    <row r="158" spans="41:79">
      <c r="AO158" s="69" t="s">
        <v>508</v>
      </c>
      <c r="AP158" s="69"/>
      <c r="AQ158">
        <f>'Data Training 1'!AW26*'Data Training 1'!AX33*'Data Training 1'!AX40*'Data Training 1'!AX44*'Data Training 1'!AX50*'Data Training 1'!AX58*'Data Training 1'!AX64*'Data Training 1'!AX69*'Data Training 1'!AX75*'Data Training 1'!AX80*'Data Training 1'!AX85*'Data Training 1'!AX91*'Data Training 1'!AX100*'Data Training 1'!AX104*'Data Training 1'!AX110*'Data Training 1'!AX117*'Data Training 1'!AX124*'Data Training 1'!AX128*'Data Training 1'!AX135*'Data Training 1'!AX142*'Data Training 1'!AX145*'Data Training 1'!AX152*'Data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159" spans="41:79">
      <c r="AO159" s="69" t="s">
        <v>509</v>
      </c>
      <c r="AP159" s="69"/>
      <c r="AQ159">
        <f>'Data Training 1'!AW27*'Data Training 1'!AY33*'Data Training 1'!AY40*'Data Training 1'!AY44*'Data Training 1'!AY50*'Data Training 1'!AY58*'Data Training 1'!AY64*'Data Training 1'!AY69*'Data Training 1'!AY75*'Data Training 1'!AY80*'Data Training 1'!AY85*'Data Training 1'!AY91*'Data Training 1'!AY100*'Data Training 1'!AY104*'Data Training 1'!AY110*'Data Training 1'!AY117*'Data Training 1'!AY124*'Data Training 1'!AY128*'Data Training 1'!AY135*'Data Training 1'!AY142*'Data Training 1'!AY145*'Data Training 1'!AY152*'Data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160" spans="41:79">
      <c r="AO160" s="78" t="s">
        <v>437</v>
      </c>
      <c r="AP160" s="78"/>
      <c r="AQ160" t="s">
        <v>294</v>
      </c>
      <c r="AR160" s="74" t="s">
        <v>438</v>
      </c>
      <c r="AS160" s="74"/>
      <c r="AT160" s="74"/>
    </row>
    <row r="162" spans="41:79">
      <c r="AO162" s="79" t="s">
        <v>468</v>
      </c>
      <c r="AP162" s="79"/>
      <c r="AQ162" s="20" t="s">
        <v>64</v>
      </c>
      <c r="AR162" s="1" t="s">
        <v>43</v>
      </c>
      <c r="AS162" s="1" t="s">
        <v>44</v>
      </c>
      <c r="AT162" s="1" t="s">
        <v>45</v>
      </c>
      <c r="AU162" s="1" t="s">
        <v>46</v>
      </c>
      <c r="AV162" s="1" t="s">
        <v>47</v>
      </c>
      <c r="AW162" s="1" t="s">
        <v>48</v>
      </c>
      <c r="AX162" s="1" t="s">
        <v>49</v>
      </c>
      <c r="AY162" s="1" t="s">
        <v>50</v>
      </c>
      <c r="AZ162" s="1" t="s">
        <v>51</v>
      </c>
      <c r="BA162" s="1" t="s">
        <v>52</v>
      </c>
      <c r="BB162" s="1" t="s">
        <v>53</v>
      </c>
      <c r="BC162" s="1" t="s">
        <v>54</v>
      </c>
      <c r="BD162" s="1" t="s">
        <v>55</v>
      </c>
      <c r="BE162" s="1" t="s">
        <v>56</v>
      </c>
      <c r="BF162" s="1" t="s">
        <v>57</v>
      </c>
      <c r="BG162" s="1" t="s">
        <v>58</v>
      </c>
      <c r="BH162" s="1" t="s">
        <v>59</v>
      </c>
      <c r="BI162" s="1" t="s">
        <v>60</v>
      </c>
      <c r="BJ162" s="1" t="s">
        <v>61</v>
      </c>
      <c r="BK162" s="1" t="s">
        <v>62</v>
      </c>
      <c r="BL162" s="1" t="s">
        <v>63</v>
      </c>
      <c r="BM162" s="1" t="s">
        <v>330</v>
      </c>
      <c r="BN162" s="1" t="s">
        <v>331</v>
      </c>
      <c r="BO162" s="1" t="s">
        <v>332</v>
      </c>
      <c r="BP162" s="1" t="s">
        <v>333</v>
      </c>
      <c r="BQ162" s="1" t="s">
        <v>334</v>
      </c>
      <c r="BR162" s="1" t="s">
        <v>335</v>
      </c>
      <c r="BS162" s="1" t="s">
        <v>336</v>
      </c>
      <c r="BT162" s="1" t="s">
        <v>337</v>
      </c>
      <c r="BU162" s="1" t="s">
        <v>338</v>
      </c>
      <c r="BV162" s="1" t="s">
        <v>339</v>
      </c>
      <c r="BW162" s="1" t="s">
        <v>340</v>
      </c>
      <c r="BX162" s="1" t="s">
        <v>341</v>
      </c>
      <c r="BY162" s="1" t="s">
        <v>342</v>
      </c>
      <c r="BZ162" s="1" t="s">
        <v>343</v>
      </c>
      <c r="CA162" s="1" t="s">
        <v>390</v>
      </c>
    </row>
    <row r="163" spans="41:79">
      <c r="AO163" s="79"/>
      <c r="AP163" s="79"/>
      <c r="AQ163" s="20">
        <v>3</v>
      </c>
      <c r="AR163" t="s">
        <v>4</v>
      </c>
      <c r="AS163" t="s">
        <v>3</v>
      </c>
      <c r="AT163" t="s">
        <v>5</v>
      </c>
      <c r="AU163" t="s">
        <v>5</v>
      </c>
      <c r="AV163" t="s">
        <v>5</v>
      </c>
      <c r="AW163" t="s">
        <v>5</v>
      </c>
      <c r="AX163" t="s">
        <v>5</v>
      </c>
      <c r="AY163" t="s">
        <v>2</v>
      </c>
      <c r="AZ163" t="s">
        <v>3</v>
      </c>
      <c r="BA163" t="s">
        <v>3</v>
      </c>
      <c r="BB163" t="s">
        <v>2</v>
      </c>
      <c r="BC163" t="s">
        <v>2</v>
      </c>
      <c r="BD163" t="s">
        <v>5</v>
      </c>
      <c r="BE163" t="s">
        <v>3</v>
      </c>
      <c r="BF163" t="s">
        <v>2</v>
      </c>
      <c r="BG163" t="s">
        <v>2</v>
      </c>
      <c r="BH163" t="s">
        <v>5</v>
      </c>
      <c r="BI163" t="s">
        <v>5</v>
      </c>
      <c r="BJ163" t="s">
        <v>5</v>
      </c>
      <c r="BK163" t="s">
        <v>3</v>
      </c>
      <c r="BL163" t="s">
        <v>5</v>
      </c>
      <c r="BM163" t="s">
        <v>5</v>
      </c>
      <c r="BN163" t="s">
        <v>4</v>
      </c>
      <c r="BO163" t="s">
        <v>4</v>
      </c>
      <c r="BP163" t="s">
        <v>4</v>
      </c>
      <c r="BQ163" t="s">
        <v>4</v>
      </c>
      <c r="BR163" t="s">
        <v>4</v>
      </c>
      <c r="BS163" t="s">
        <v>4</v>
      </c>
      <c r="BT163" t="s">
        <v>4</v>
      </c>
      <c r="BU163" t="s">
        <v>3</v>
      </c>
      <c r="BV163" t="s">
        <v>4</v>
      </c>
      <c r="BW163" t="s">
        <v>3</v>
      </c>
      <c r="BX163" t="s">
        <v>4</v>
      </c>
      <c r="BY163" t="s">
        <v>4</v>
      </c>
      <c r="BZ163" t="s">
        <v>3</v>
      </c>
      <c r="CA163" t="s">
        <v>3</v>
      </c>
    </row>
    <row r="164" spans="41:79">
      <c r="AO164" s="69" t="s">
        <v>504</v>
      </c>
      <c r="AP164" s="69"/>
      <c r="AQ164">
        <f>'Data Training 1'!AW22*'Data Training 1'!AT31*'Data Training 1'!AT38*'Data Training 1'!AT46*'Data Training 1'!AT52*'Data Training 1'!AT58*'Data Training 1'!AT64*'Data Training 1'!AT70*'Data Training 1'!AT75*'Data Training 1'!AT80*'Data Training 1'!AT86*'Data Training 1'!AT93*'Data Training 1'!AT99*'Data Training 1'!AT106*'Data Training 1'!AT110*'Data Training 1'!AT117*'Data Training 1'!AT123*'Data Training 1'!AT130*'Data Training 1'!AT136*'Data Training 1'!AT142*'Data Training 1'!AT146*'Data Training 1'!AT154*'Data Training 1'!AT160*'Data Training 1'!AT163*'Data Training 1'!AT167*'Data Training 1'!AT171*'Data Training 1'!AT175*'Data Training 1'!AT179*'Data Training 1'!AT183*'Data Training 1'!AT187*'Data Training 1'!AT192*'Data Training 1'!AT195*'Data Training 1'!AT200*'Data Training 1'!AT203*'Data Training 1'!AT207*'Data Training 1'!AT212*'Data Training 1'!AT216</f>
        <v>0</v>
      </c>
    </row>
    <row r="165" spans="41:79">
      <c r="AO165" s="69" t="s">
        <v>505</v>
      </c>
      <c r="AP165" s="69"/>
      <c r="AQ165">
        <f>'Data Training 1'!AW23*'Data Training 1'!AU31*'Data Training 1'!AU38*'Data Training 1'!AU46*'Data Training 1'!AU52*'Data Training 1'!AU58*'Data Training 1'!AU64*'Data Training 1'!AU70*'Data Training 1'!AU75*'Data Training 1'!AU80*'Data Training 1'!AU86*'Data Training 1'!AU93*'Data Training 1'!AU99*'Data Training 1'!AU106*'Data Training 1'!AU110*'Data Training 1'!AU117*'Data Training 1'!AU123*'Data Training 1'!AU130*'Data Training 1'!AU136*'Data Training 1'!AU142*'Data Training 1'!AU146*'Data Training 1'!AU154*'Data Training 1'!AU160*'Data Training 1'!AU163*'Data Training 1'!AU167*'Data Training 1'!AU171*'Data Training 1'!AU175*'Data Training 1'!AU179*'Data Training 1'!AU183*'Data Training 1'!AU187*'Data Training 1'!AU192*'Data Training 1'!AU195*'Data Training 1'!AU200*'Data Training 1'!AU203*'Data Training 1'!AU207*'Data Training 1'!AU212*'Data Training 1'!AU216</f>
        <v>0</v>
      </c>
    </row>
    <row r="166" spans="41:79">
      <c r="AO166" s="69" t="s">
        <v>506</v>
      </c>
      <c r="AP166" s="69"/>
      <c r="AQ166">
        <f>'Data Training 1'!AW24*'Data Training 1'!AV31*'Data Training 1'!AV38*'Data Training 1'!AV46*'Data Training 1'!AV52*'Data Training 1'!AV58*'Data Training 1'!AV64*'Data Training 1'!AV70*'Data Training 1'!AV75*'Data Training 1'!AV80*'Data Training 1'!AV86*'Data Training 1'!AV93*'Data Training 1'!AV99*'Data Training 1'!AV106*'Data Training 1'!AV110*'Data Training 1'!AV117*'Data Training 1'!AV123*'Data Training 1'!AV130*'Data Training 1'!AV136*'Data Training 1'!AV142*'Data Training 1'!AV146*'Data Training 1'!AV154*'Data Training 1'!AV160*'Data Training 1'!AV163*'Data Training 1'!AV167*'Data Training 1'!AV171*'Data Training 1'!AV175*'Data Training 1'!AV179*'Data Training 1'!AV183*'Data Training 1'!AV187*'Data Training 1'!AV192*'Data Training 1'!AV195*'Data Training 1'!AV200*'Data Training 1'!AV203*'Data Training 1'!AV207*'Data Training 1'!AV212*'Data Training 1'!AV216</f>
        <v>2.1170918154383975E-13</v>
      </c>
    </row>
    <row r="167" spans="41:79">
      <c r="AO167" s="69" t="s">
        <v>507</v>
      </c>
      <c r="AP167" s="69"/>
      <c r="AQ167">
        <f>'Data Training 1'!AW25*'Data Training 1'!AW31*'Data Training 1'!AW38*'Data Training 1'!AW46*'Data Training 1'!AW52*'Data Training 1'!AW58*'Data Training 1'!AW64*'Data Training 1'!AW70*'Data Training 1'!AW75*'Data Training 1'!AW80*'Data Training 1'!AW86*'Data Training 1'!AW93*'Data Training 1'!AW99*'Data Training 1'!AW106*'Data Training 1'!AW110*'Data Training 1'!AW117*'Data Training 1'!AW123*'Data Training 1'!AW130*'Data Training 1'!AW136*'Data Training 1'!AW142*'Data Training 1'!AW146*'Data Training 1'!AW154*'Data Training 1'!AW160*'Data Training 1'!AW163*'Data Training 1'!AW167*'Data Training 1'!AW171*'Data Training 1'!AW175*'Data Training 1'!AW179*'Data Training 1'!AW183*'Data Training 1'!AW187*'Data Training 1'!AW192*'Data Training 1'!AW195*'Data Training 1'!AW200*'Data Training 1'!AW203*'Data Training 1'!AW207*'Data Training 1'!AW212*'Data Training 1'!AW216</f>
        <v>0</v>
      </c>
    </row>
    <row r="168" spans="41:79">
      <c r="AO168" s="69" t="s">
        <v>508</v>
      </c>
      <c r="AP168" s="69"/>
      <c r="AQ168">
        <f>'Data Training 1'!AW26*'Data Training 1'!AX31*'Data Training 1'!AX38*'Data Training 1'!AX46*'Data Training 1'!AX52*'Data Training 1'!AX58*'Data Training 1'!AX64*'Data Training 1'!AX70*'Data Training 1'!AX75*'Data Training 1'!AX80*'Data Training 1'!AX86*'Data Training 1'!AX93*'Data Training 1'!AX99*'Data Training 1'!AX106*'Data Training 1'!AX110*'Data Training 1'!AX117*'Data Training 1'!AX123*'Data Training 1'!AX130*'Data Training 1'!AX136*'Data Training 1'!AX142*'Data Training 1'!AX146*'Data Training 1'!AX154*'Data Training 1'!AX160*'Data Training 1'!AX163*'Data Training 1'!AX167*'Data Training 1'!AX171*'Data Training 1'!AX175*'Data Training 1'!AX179*'Data Training 1'!AX183*'Data Training 1'!AX187*'Data Training 1'!AX192*'Data Training 1'!AX195*'Data Training 1'!AX200*'Data Training 1'!AX203*'Data Training 1'!AX207*'Data Training 1'!AX212*'Data Training 1'!AX216</f>
        <v>0</v>
      </c>
    </row>
    <row r="169" spans="41:79">
      <c r="AO169" s="69" t="s">
        <v>509</v>
      </c>
      <c r="AP169" s="69"/>
      <c r="AQ169">
        <f>'Data Training 1'!AW27*'Data Training 1'!AY31*'Data Training 1'!AY38*'Data Training 1'!AY46*'Data Training 1'!AY52*'Data Training 1'!AY58*'Data Training 1'!AY64*'Data Training 1'!AY70*'Data Training 1'!AY75*'Data Training 1'!AY80*'Data Training 1'!AY86*'Data Training 1'!AY93*'Data Training 1'!AY99*'Data Training 1'!AY106*'Data Training 1'!AY110*'Data Training 1'!AY117*'Data Training 1'!AY123*'Data Training 1'!AY130*'Data Training 1'!AY136*'Data Training 1'!AY142*'Data Training 1'!AY146*'Data Training 1'!AY154*'Data Training 1'!AY160*'Data Training 1'!AY163*'Data Training 1'!AY167*'Data Training 1'!AY171*'Data Training 1'!AY175*'Data Training 1'!AY179*'Data Training 1'!AY183*'Data Training 1'!AY187*'Data Training 1'!AY192*'Data Training 1'!AY195*'Data Training 1'!AY200*'Data Training 1'!AY203*'Data Training 1'!AY207*'Data Training 1'!AY212*'Data Training 1'!AY216</f>
        <v>0</v>
      </c>
    </row>
    <row r="170" spans="41:79">
      <c r="AO170" s="78" t="s">
        <v>437</v>
      </c>
      <c r="AP170" s="78"/>
      <c r="AQ170" t="s">
        <v>294</v>
      </c>
      <c r="AR170" s="74" t="s">
        <v>438</v>
      </c>
      <c r="AS170" s="74"/>
      <c r="AT170" s="74"/>
    </row>
    <row r="172" spans="41:79">
      <c r="AO172" s="79" t="s">
        <v>492</v>
      </c>
      <c r="AP172" s="79"/>
      <c r="AQ172" s="20" t="s">
        <v>64</v>
      </c>
      <c r="AR172" s="1" t="s">
        <v>43</v>
      </c>
      <c r="AS172" s="1" t="s">
        <v>44</v>
      </c>
      <c r="AT172" s="1" t="s">
        <v>45</v>
      </c>
      <c r="AU172" s="1" t="s">
        <v>46</v>
      </c>
      <c r="AV172" s="1" t="s">
        <v>47</v>
      </c>
      <c r="AW172" s="1" t="s">
        <v>48</v>
      </c>
      <c r="AX172" s="1" t="s">
        <v>49</v>
      </c>
      <c r="AY172" s="1" t="s">
        <v>50</v>
      </c>
      <c r="AZ172" s="1" t="s">
        <v>51</v>
      </c>
      <c r="BA172" s="1" t="s">
        <v>52</v>
      </c>
      <c r="BB172" s="1" t="s">
        <v>53</v>
      </c>
      <c r="BC172" s="1" t="s">
        <v>54</v>
      </c>
      <c r="BD172" s="1" t="s">
        <v>55</v>
      </c>
      <c r="BE172" s="1" t="s">
        <v>56</v>
      </c>
      <c r="BF172" s="1" t="s">
        <v>57</v>
      </c>
      <c r="BG172" s="1" t="s">
        <v>58</v>
      </c>
      <c r="BH172" s="1" t="s">
        <v>59</v>
      </c>
      <c r="BI172" s="1" t="s">
        <v>60</v>
      </c>
      <c r="BJ172" s="1" t="s">
        <v>61</v>
      </c>
      <c r="BK172" s="1" t="s">
        <v>62</v>
      </c>
      <c r="BL172" s="1" t="s">
        <v>63</v>
      </c>
      <c r="BM172" s="1" t="s">
        <v>330</v>
      </c>
      <c r="BN172" s="1" t="s">
        <v>331</v>
      </c>
      <c r="BO172" s="1" t="s">
        <v>332</v>
      </c>
      <c r="BP172" s="1" t="s">
        <v>333</v>
      </c>
      <c r="BQ172" s="1" t="s">
        <v>334</v>
      </c>
      <c r="BR172" s="1" t="s">
        <v>335</v>
      </c>
      <c r="BS172" s="1" t="s">
        <v>336</v>
      </c>
      <c r="BT172" s="1" t="s">
        <v>337</v>
      </c>
      <c r="BU172" s="1" t="s">
        <v>338</v>
      </c>
      <c r="BV172" s="1" t="s">
        <v>339</v>
      </c>
      <c r="BW172" s="1" t="s">
        <v>340</v>
      </c>
      <c r="BX172" s="1" t="s">
        <v>341</v>
      </c>
      <c r="BY172" s="1" t="s">
        <v>342</v>
      </c>
      <c r="BZ172" s="1" t="s">
        <v>343</v>
      </c>
      <c r="CA172" s="1" t="s">
        <v>390</v>
      </c>
    </row>
    <row r="173" spans="41:79">
      <c r="AO173" s="79"/>
      <c r="AP173" s="79"/>
      <c r="AQ173" s="20">
        <v>3</v>
      </c>
      <c r="AR173" t="s">
        <v>5</v>
      </c>
      <c r="AS173" t="s">
        <v>4</v>
      </c>
      <c r="AT173" t="s">
        <v>4</v>
      </c>
      <c r="AU173" t="s">
        <v>5</v>
      </c>
      <c r="AV173" t="s">
        <v>5</v>
      </c>
      <c r="AW173" t="s">
        <v>5</v>
      </c>
      <c r="AX173" t="s">
        <v>5</v>
      </c>
      <c r="AY173" t="s">
        <v>2</v>
      </c>
      <c r="AZ173" t="s">
        <v>2</v>
      </c>
      <c r="BA173" t="s">
        <v>3</v>
      </c>
      <c r="BB173" t="s">
        <v>4</v>
      </c>
      <c r="BC173" t="s">
        <v>2</v>
      </c>
      <c r="BD173" t="s">
        <v>2</v>
      </c>
      <c r="BE173" t="s">
        <v>2</v>
      </c>
      <c r="BF173" t="s">
        <v>5</v>
      </c>
      <c r="BG173" t="s">
        <v>5</v>
      </c>
      <c r="BH173" t="s">
        <v>3</v>
      </c>
      <c r="BI173" t="s">
        <v>3</v>
      </c>
      <c r="BJ173" t="s">
        <v>2</v>
      </c>
      <c r="BK173" t="s">
        <v>4</v>
      </c>
      <c r="BL173" t="s">
        <v>5</v>
      </c>
      <c r="BM173" t="s">
        <v>3</v>
      </c>
      <c r="BN173" t="s">
        <v>3</v>
      </c>
      <c r="BO173" t="s">
        <v>3</v>
      </c>
      <c r="BP173" t="s">
        <v>3</v>
      </c>
      <c r="BQ173" t="s">
        <v>4</v>
      </c>
      <c r="BR173" t="s">
        <v>4</v>
      </c>
      <c r="BS173" t="s">
        <v>4</v>
      </c>
      <c r="BT173" t="s">
        <v>4</v>
      </c>
      <c r="BU173" t="s">
        <v>3</v>
      </c>
      <c r="BV173" t="s">
        <v>4</v>
      </c>
      <c r="BW173" t="s">
        <v>4</v>
      </c>
      <c r="BX173" t="s">
        <v>4</v>
      </c>
      <c r="BY173" t="s">
        <v>4</v>
      </c>
      <c r="BZ173" t="s">
        <v>4</v>
      </c>
      <c r="CA173" t="s">
        <v>3</v>
      </c>
    </row>
    <row r="174" spans="41:79">
      <c r="AO174" s="69" t="s">
        <v>504</v>
      </c>
      <c r="AP174" s="69"/>
      <c r="AQ174">
        <f>PRODUCT('Data Training 1'!AW22,'Data Training 1'!AT34,'Data Training 1'!AT37,'Data Training 1'!AT43,'Data Training 1'!AT52,'Data Training 1'!AT58,'Data Training 1'!AT64,'Data Training 1'!AT70,'Data Training 1'!AT75,'Data Training 1'!AT81,'Data Training 1'!AT86,'Data Training 1'!AT91,'Data Training 1'!AT99,'Data Training 1'!AT105,'Data Training 1'!AT111,'Data Training 1'!AT118,'Data Training 1'!AT124,'Data Training 1'!AT128,'Data Training 1'!AT134,'Data Training 1'!AT141,'Data Training 1'!AT145,'Data Training 1'!AT154,'Data Training 1'!AT158,'Data Training 1'!AT164,'Data Training 1'!AT168,'Data Training 1'!AT172,'Data Training 1'!AT175,'Data Training 1'!AT179,'Data Training 1'!AT183,'Data Training 1'!AT187,'Data Training 1'!AT192,'Data Training 1'!AT195,'Data Training 1'!AT199,'Data Training 1'!AT203,'Data Training 1'!AT207,'Data Training 1'!AT211,'Data Training 1'!AT216)</f>
        <v>0</v>
      </c>
    </row>
    <row r="175" spans="41:79">
      <c r="AO175" s="69" t="s">
        <v>505</v>
      </c>
      <c r="AP175" s="69"/>
      <c r="AQ175">
        <f>PRODUCT('Data Training 1'!AW23,'Data Training 1'!AU34,'Data Training 1'!AU37,'Data Training 1'!AU43,'Data Training 1'!AU52,'Data Training 1'!AU58,'Data Training 1'!AU64,'Data Training 1'!AU70,'Data Training 1'!AU75,'Data Training 1'!AU81,'Data Training 1'!AU86,'Data Training 1'!AU91,'Data Training 1'!AU99,'Data Training 1'!AU105,'Data Training 1'!AU111,'Data Training 1'!AU118,'Data Training 1'!AU124,'Data Training 1'!AU128,'Data Training 1'!AU134,'Data Training 1'!AU141,'Data Training 1'!AU145,'Data Training 1'!AU154,'Data Training 1'!AU158,'Data Training 1'!AU164,'Data Training 1'!AU168,'Data Training 1'!AU172,'Data Training 1'!AU175,'Data Training 1'!AU179,'Data Training 1'!AU183,'Data Training 1'!AU187,'Data Training 1'!AU192,'Data Training 1'!AU195,'Data Training 1'!AU199,'Data Training 1'!AU203,'Data Training 1'!AU207,'Data Training 1'!AU211,'Data Training 1'!AU216)</f>
        <v>0</v>
      </c>
    </row>
    <row r="176" spans="41:79">
      <c r="AO176" s="69" t="s">
        <v>506</v>
      </c>
      <c r="AP176" s="69"/>
      <c r="AQ176">
        <f>PRODUCT('Data Training 1'!AW24,'Data Training 1'!AV34,'Data Training 1'!AV37,'Data Training 1'!AV43,'Data Training 1'!AV52,'Data Training 1'!AV58,'Data Training 1'!AV64,'Data Training 1'!AV70,'Data Training 1'!AV75,'Data Training 1'!AV81,'Data Training 1'!AV86,'Data Training 1'!AV91,'Data Training 1'!AV99,'Data Training 1'!AV105,'Data Training 1'!AV111,'Data Training 1'!AV118,'Data Training 1'!AV124,'Data Training 1'!AV128,'Data Training 1'!AV134,'Data Training 1'!AV141,'Data Training 1'!AV145,'Data Training 1'!AV154,'Data Training 1'!AV158,'Data Training 1'!AV164,'Data Training 1'!AV168,'Data Training 1'!AV172,'Data Training 1'!AV175,'Data Training 1'!AV179,'Data Training 1'!AV183,'Data Training 1'!AV187,'Data Training 1'!AV192,'Data Training 1'!AV195,'Data Training 1'!AV199,'Data Training 1'!AV203,'Data Training 1'!AV207,'Data Training 1'!AV211,'Data Training 1'!AV216)</f>
        <v>7.3319197071459694E-15</v>
      </c>
    </row>
    <row r="177" spans="41:79">
      <c r="AO177" s="69" t="s">
        <v>507</v>
      </c>
      <c r="AP177" s="69"/>
      <c r="AQ177">
        <f>PRODUCT('Data Training 1'!AW25,'Data Training 1'!AW34,'Data Training 1'!AW37,'Data Training 1'!AW43,'Data Training 1'!AW52,'Data Training 1'!AW58,'Data Training 1'!AW64,'Data Training 1'!AW70,'Data Training 1'!AW75,'Data Training 1'!AW81,'Data Training 1'!AW86,'Data Training 1'!AW91,'Data Training 1'!AW99,'Data Training 1'!AW105,'Data Training 1'!AW111,'Data Training 1'!AW118,'Data Training 1'!AW124,'Data Training 1'!AW128,'Data Training 1'!AW134,'Data Training 1'!AW141,'Data Training 1'!AW145,'Data Training 1'!AW154,'Data Training 1'!AW158,'Data Training 1'!AW164,'Data Training 1'!AW168,'Data Training 1'!AW172,'Data Training 1'!AW175,'Data Training 1'!AW179,'Data Training 1'!AW183,'Data Training 1'!AW187,'Data Training 1'!AW192,'Data Training 1'!AW195,'Data Training 1'!AW199,'Data Training 1'!AW203,'Data Training 1'!AW207,'Data Training 1'!AW211,'Data Training 1'!AW216)</f>
        <v>0</v>
      </c>
    </row>
    <row r="178" spans="41:79">
      <c r="AO178" s="69" t="s">
        <v>508</v>
      </c>
      <c r="AP178" s="69"/>
      <c r="AQ178">
        <f>PRODUCT('Data Training 1'!AW26,'Data Training 1'!AX34,'Data Training 1'!AX37,'Data Training 1'!AX43,'Data Training 1'!AX52,'Data Training 1'!AX58,'Data Training 1'!AX64,'Data Training 1'!AX70,'Data Training 1'!AX75,'Data Training 1'!AX81,'Data Training 1'!AX86,'Data Training 1'!AX91,'Data Training 1'!AX99,'Data Training 1'!AX105,'Data Training 1'!AX111,'Data Training 1'!AX118,'Data Training 1'!AX124,'Data Training 1'!AX128,'Data Training 1'!AX134,'Data Training 1'!AX141,'Data Training 1'!AX145,'Data Training 1'!AX154,'Data Training 1'!AX158,'Data Training 1'!AX164,'Data Training 1'!AX168,'Data Training 1'!AX172,'Data Training 1'!AX175,'Data Training 1'!AX179,'Data Training 1'!AX183,'Data Training 1'!AX187,'Data Training 1'!AX192,'Data Training 1'!AX195,'Data Training 1'!AX199,'Data Training 1'!AX203,'Data Training 1'!AX207,'Data Training 1'!AX211,'Data Training 1'!AX216)</f>
        <v>0</v>
      </c>
    </row>
    <row r="179" spans="41:79">
      <c r="AO179" s="69" t="s">
        <v>509</v>
      </c>
      <c r="AP179" s="69"/>
      <c r="AQ179">
        <f>PRODUCT('Data Training 1'!AW27,'Data Training 1'!AY34,'Data Training 1'!AY37,'Data Training 1'!AY43,'Data Training 1'!AY52,'Data Training 1'!AY58,'Data Training 1'!AY64,'Data Training 1'!AY70,'Data Training 1'!AY75,'Data Training 1'!AY81,'Data Training 1'!AY86,'Data Training 1'!AY91,'Data Training 1'!AY99,'Data Training 1'!AY105,'Data Training 1'!AY111,'Data Training 1'!AY118,'Data Training 1'!AY124,'Data Training 1'!AY128,'Data Training 1'!AY134,'Data Training 1'!AY141,'Data Training 1'!AY145,'Data Training 1'!AY154,'Data Training 1'!AY158,'Data Training 1'!AY164,'Data Training 1'!AY168,'Data Training 1'!AY172,'Data Training 1'!AY175,'Data Training 1'!AY179,'Data Training 1'!AY183,'Data Training 1'!AY187,'Data Training 1'!AY192,'Data Training 1'!AY195,'Data Training 1'!AY199,'Data Training 1'!AY203,'Data Training 1'!AY207,'Data Training 1'!AY211,'Data Training 1'!AY216)</f>
        <v>0</v>
      </c>
    </row>
    <row r="180" spans="41:79">
      <c r="AO180" s="78" t="s">
        <v>437</v>
      </c>
      <c r="AP180" s="78"/>
      <c r="AQ180" t="s">
        <v>294</v>
      </c>
      <c r="AR180" s="74" t="s">
        <v>438</v>
      </c>
      <c r="AS180" s="74"/>
      <c r="AT180" s="74"/>
    </row>
    <row r="182" spans="41:79">
      <c r="AO182" s="79" t="s">
        <v>321</v>
      </c>
      <c r="AP182" s="79"/>
      <c r="AQ182" s="20" t="s">
        <v>64</v>
      </c>
      <c r="AR182" s="1" t="s">
        <v>43</v>
      </c>
      <c r="AS182" s="1" t="s">
        <v>44</v>
      </c>
      <c r="AT182" s="1" t="s">
        <v>45</v>
      </c>
      <c r="AU182" s="1" t="s">
        <v>46</v>
      </c>
      <c r="AV182" s="1" t="s">
        <v>47</v>
      </c>
      <c r="AW182" s="1" t="s">
        <v>48</v>
      </c>
      <c r="AX182" s="1" t="s">
        <v>49</v>
      </c>
      <c r="AY182" s="1" t="s">
        <v>50</v>
      </c>
      <c r="AZ182" s="1" t="s">
        <v>51</v>
      </c>
      <c r="BA182" s="1" t="s">
        <v>52</v>
      </c>
      <c r="BB182" s="1" t="s">
        <v>53</v>
      </c>
      <c r="BC182" s="1" t="s">
        <v>54</v>
      </c>
      <c r="BD182" s="1" t="s">
        <v>55</v>
      </c>
      <c r="BE182" s="1" t="s">
        <v>56</v>
      </c>
      <c r="BF182" s="1" t="s">
        <v>57</v>
      </c>
      <c r="BG182" s="1" t="s">
        <v>58</v>
      </c>
      <c r="BH182" s="1" t="s">
        <v>59</v>
      </c>
      <c r="BI182" s="1" t="s">
        <v>60</v>
      </c>
      <c r="BJ182" s="1" t="s">
        <v>61</v>
      </c>
      <c r="BK182" s="1" t="s">
        <v>62</v>
      </c>
      <c r="BL182" s="1" t="s">
        <v>63</v>
      </c>
      <c r="BM182" s="1" t="s">
        <v>330</v>
      </c>
      <c r="BN182" s="1" t="s">
        <v>331</v>
      </c>
      <c r="BO182" s="1" t="s">
        <v>332</v>
      </c>
      <c r="BP182" s="1" t="s">
        <v>333</v>
      </c>
      <c r="BQ182" s="1" t="s">
        <v>334</v>
      </c>
      <c r="BR182" s="1" t="s">
        <v>335</v>
      </c>
      <c r="BS182" s="1" t="s">
        <v>336</v>
      </c>
      <c r="BT182" s="1" t="s">
        <v>337</v>
      </c>
      <c r="BU182" s="1" t="s">
        <v>338</v>
      </c>
      <c r="BV182" s="1" t="s">
        <v>339</v>
      </c>
      <c r="BW182" s="1" t="s">
        <v>340</v>
      </c>
      <c r="BX182" s="1" t="s">
        <v>341</v>
      </c>
      <c r="BY182" s="1" t="s">
        <v>342</v>
      </c>
      <c r="BZ182" s="1" t="s">
        <v>343</v>
      </c>
      <c r="CA182" s="1" t="s">
        <v>390</v>
      </c>
    </row>
    <row r="183" spans="41:79">
      <c r="AO183" s="79"/>
      <c r="AP183" s="79"/>
      <c r="AQ183" s="20">
        <v>4</v>
      </c>
      <c r="AR183" t="s">
        <v>3</v>
      </c>
      <c r="AS183" t="s">
        <v>3</v>
      </c>
      <c r="AT183" t="s">
        <v>3</v>
      </c>
      <c r="AU183" t="s">
        <v>5</v>
      </c>
      <c r="AV183" t="s">
        <v>5</v>
      </c>
      <c r="AW183" t="s">
        <v>5</v>
      </c>
      <c r="AX183" t="s">
        <v>5</v>
      </c>
      <c r="AY183" t="s">
        <v>2</v>
      </c>
      <c r="AZ183" t="s">
        <v>2</v>
      </c>
      <c r="BA183" t="s">
        <v>3</v>
      </c>
      <c r="BB183" t="s">
        <v>3</v>
      </c>
      <c r="BC183" t="s">
        <v>5</v>
      </c>
      <c r="BD183" t="s">
        <v>5</v>
      </c>
      <c r="BE183" t="s">
        <v>3</v>
      </c>
      <c r="BF183" t="s">
        <v>2</v>
      </c>
      <c r="BG183" t="s">
        <v>5</v>
      </c>
      <c r="BH183" t="s">
        <v>5</v>
      </c>
      <c r="BI183" t="s">
        <v>5</v>
      </c>
      <c r="BJ183" t="s">
        <v>4</v>
      </c>
      <c r="BK183" t="s">
        <v>4</v>
      </c>
      <c r="BL183" t="s">
        <v>4</v>
      </c>
      <c r="BM183" t="s">
        <v>2</v>
      </c>
      <c r="BN183" t="s">
        <v>3</v>
      </c>
      <c r="BO183" t="s">
        <v>4</v>
      </c>
      <c r="BP183" t="s">
        <v>4</v>
      </c>
      <c r="BQ183" t="s">
        <v>4</v>
      </c>
      <c r="BR183" t="s">
        <v>4</v>
      </c>
      <c r="BS183" t="s">
        <v>4</v>
      </c>
      <c r="BT183" t="s">
        <v>3</v>
      </c>
      <c r="BU183" t="s">
        <v>3</v>
      </c>
      <c r="BV183" t="s">
        <v>4</v>
      </c>
      <c r="BW183" t="s">
        <v>3</v>
      </c>
      <c r="BX183" t="s">
        <v>3</v>
      </c>
      <c r="BY183" t="s">
        <v>4</v>
      </c>
      <c r="BZ183" t="s">
        <v>4</v>
      </c>
      <c r="CA183" t="s">
        <v>3</v>
      </c>
    </row>
    <row r="184" spans="41:79">
      <c r="AO184" s="69" t="s">
        <v>504</v>
      </c>
      <c r="AP184" s="69"/>
      <c r="AQ184">
        <f>'Data Training 1'!AW22*'Data Training 1'!AT32*'Data Training 1'!AT38*'Data Training 1'!AT44*'Data Training 1'!AT52*'Data Training 1'!AT58*'Data Training 1'!AT64*'Data Training 1'!AT70*'Data Training 1'!AT75*'Data Training 1'!AT81*'Data Training 1'!AT86*'Data Training 1'!AT92*'Data Training 1'!AT100*'Data Training 1'!AT106*'Data Training 1'!AT110*'Data Training 1'!AT117*'Data Training 1'!AT124*'Data Training 1'!AT130*'Data Training 1'!AT136*'Data Training 1'!AT139*'Data Training 1'!AT145*'Data Training 1'!AT151*'Data Training 1'!AT159*'Data Training 1'!AT164*'Data Training 1'!AT167*'Data Training 1'!AT171*'Data Training 1'!AT175*'Data Training 1'!AT179*'Data Training 1'!AT183*'Data Training 1'!AT188*'Data Training 1'!AT192*'Data Training 1'!AT195*'Data Training 1'!AT200*'Data Training 1'!AT204*'Data Training 1'!AT207*'Data Training 1'!AT211*'Data Training 1'!AT216</f>
        <v>4.5469358308847406E-10</v>
      </c>
    </row>
    <row r="185" spans="41:79">
      <c r="AO185" s="69" t="s">
        <v>505</v>
      </c>
      <c r="AP185" s="69"/>
      <c r="AQ185">
        <f>'Data Training 1'!AW22*'Data Training 1'!AU32*'Data Training 1'!AU38*'Data Training 1'!AU44*'Data Training 1'!AU52*'Data Training 1'!AU58*'Data Training 1'!AU64*'Data Training 1'!AU70*'Data Training 1'!AU75*'Data Training 1'!AU81*'Data Training 1'!AU86*'Data Training 1'!AU92*'Data Training 1'!AU100*'Data Training 1'!AU106*'Data Training 1'!AU110*'Data Training 1'!AU117*'Data Training 1'!AU124*'Data Training 1'!AU130*'Data Training 1'!AU136*'Data Training 1'!AU139*'Data Training 1'!AU145*'Data Training 1'!AU151*'Data Training 1'!AU159*'Data Training 1'!AU164*'Data Training 1'!AU167*'Data Training 1'!AU171*'Data Training 1'!AU175*'Data Training 1'!AU179*'Data Training 1'!AU183*'Data Training 1'!AU188*'Data Training 1'!AU192*'Data Training 1'!AU195*'Data Training 1'!AU200*'Data Training 1'!AU204*'Data Training 1'!AU207*'Data Training 1'!AU211*'Data Training 1'!AU216</f>
        <v>0</v>
      </c>
    </row>
    <row r="186" spans="41:79">
      <c r="AO186" s="69" t="s">
        <v>506</v>
      </c>
      <c r="AP186" s="69"/>
      <c r="AQ186">
        <f>'Data Training 1'!AW22*'Data Training 1'!AV32*'Data Training 1'!AV38*'Data Training 1'!AV44*'Data Training 1'!AV52*'Data Training 1'!AV58*'Data Training 1'!AV64*'Data Training 1'!AV70*'Data Training 1'!AV75*'Data Training 1'!AV81*'Data Training 1'!AV86*'Data Training 1'!AV92*'Data Training 1'!AV100*'Data Training 1'!AV106*'Data Training 1'!AV110*'Data Training 1'!AV117*'Data Training 1'!AV124*'Data Training 1'!AV130*'Data Training 1'!AV136*'Data Training 1'!AV139*'Data Training 1'!AV145*'Data Training 1'!AV151*'Data Training 1'!AV159*'Data Training 1'!AV164*'Data Training 1'!AV167*'Data Training 1'!AV171*'Data Training 1'!AV175*'Data Training 1'!AV179*'Data Training 1'!AV183*'Data Training 1'!AV188*'Data Training 1'!AV192*'Data Training 1'!AV195*'Data Training 1'!AV200*'Data Training 1'!AV204*'Data Training 1'!AV207*'Data Training 1'!AV211*'Data Training 1'!AV216</f>
        <v>0</v>
      </c>
    </row>
    <row r="187" spans="41:79">
      <c r="AO187" s="69" t="s">
        <v>507</v>
      </c>
      <c r="AP187" s="69"/>
      <c r="AQ187">
        <f>'Data Training 1'!AW22*'Data Training 1'!AW32*'Data Training 1'!AW38*'Data Training 1'!AW44*'Data Training 1'!AW52*'Data Training 1'!AW58*'Data Training 1'!AW64*'Data Training 1'!AW70*'Data Training 1'!AW75*'Data Training 1'!AW81*'Data Training 1'!AW86*'Data Training 1'!AW92*'Data Training 1'!AW100*'Data Training 1'!AW106*'Data Training 1'!AW110*'Data Training 1'!AW117*'Data Training 1'!AW124*'Data Training 1'!AW130*'Data Training 1'!AW136*'Data Training 1'!AW139*'Data Training 1'!AW145*'Data Training 1'!AW151*'Data Training 1'!AW159*'Data Training 1'!AW164*'Data Training 1'!AW167*'Data Training 1'!AW171*'Data Training 1'!AW175*'Data Training 1'!AW179*'Data Training 1'!AW183*'Data Training 1'!AW188*'Data Training 1'!AW192*'Data Training 1'!AW195*'Data Training 1'!AW200*'Data Training 1'!AW204*'Data Training 1'!AW207*'Data Training 1'!AW211*'Data Training 1'!AW216</f>
        <v>6.0839707758247844E-8</v>
      </c>
    </row>
    <row r="188" spans="41:79">
      <c r="AO188" s="69" t="s">
        <v>508</v>
      </c>
      <c r="AP188" s="69"/>
      <c r="AQ188">
        <f>'Data Training 1'!AX22*'Data Training 1'!AX32*'Data Training 1'!AX38*'Data Training 1'!AX44*'Data Training 1'!AX52*'Data Training 1'!AX58*'Data Training 1'!AX64*'Data Training 1'!AX70*'Data Training 1'!AX75*'Data Training 1'!AX81*'Data Training 1'!AX86*'Data Training 1'!AX92*'Data Training 1'!AX100*'Data Training 1'!AX106*'Data Training 1'!AX110*'Data Training 1'!AX117*'Data Training 1'!AX124*'Data Training 1'!AX130*'Data Training 1'!AX136*'Data Training 1'!AX139*'Data Training 1'!AX145*'Data Training 1'!AX151*'Data Training 1'!AX159*'Data Training 1'!AX164*'Data Training 1'!AX167*'Data Training 1'!AX171*'Data Training 1'!AX175*'Data Training 1'!AX179*'Data Training 1'!AX183*'Data Training 1'!AX188*'Data Training 1'!AX192*'Data Training 1'!AX195*'Data Training 1'!AX200*'Data Training 1'!AX204*'Data Training 1'!AX207*'Data Training 1'!AX211*'Data Training 1'!AX216</f>
        <v>0</v>
      </c>
    </row>
    <row r="189" spans="41:79">
      <c r="AO189" s="69" t="s">
        <v>509</v>
      </c>
      <c r="AP189" s="69"/>
      <c r="AQ189">
        <f>'Data Training 1'!AY22*'Data Training 1'!AY32*'Data Training 1'!AY38*'Data Training 1'!AY44*'Data Training 1'!AY52*'Data Training 1'!AY58*'Data Training 1'!AY64*'Data Training 1'!AY70*'Data Training 1'!AY75*'Data Training 1'!AY81*'Data Training 1'!AY86*'Data Training 1'!AY92*'Data Training 1'!AY100*'Data Training 1'!AY106*'Data Training 1'!AY110*'Data Training 1'!AY117*'Data Training 1'!AY124*'Data Training 1'!AY130*'Data Training 1'!AY136*'Data Training 1'!AY139*'Data Training 1'!AY145*'Data Training 1'!AY151*'Data Training 1'!AY159*'Data Training 1'!AY164*'Data Training 1'!AY167*'Data Training 1'!AY171*'Data Training 1'!AY175*'Data Training 1'!AY179*'Data Training 1'!AY183*'Data Training 1'!AY188*'Data Training 1'!AY192*'Data Training 1'!AY195*'Data Training 1'!AY200*'Data Training 1'!AY204*'Data Training 1'!AY207*'Data Training 1'!AY211*'Data Training 1'!AY216</f>
        <v>0</v>
      </c>
    </row>
    <row r="190" spans="41:79">
      <c r="AO190" s="78" t="s">
        <v>437</v>
      </c>
      <c r="AP190" s="78"/>
      <c r="AQ190" t="s">
        <v>285</v>
      </c>
      <c r="AR190" s="74" t="s">
        <v>438</v>
      </c>
      <c r="AS190" s="74"/>
      <c r="AT190" s="74"/>
    </row>
    <row r="192" spans="41:79">
      <c r="AO192" s="79" t="s">
        <v>322</v>
      </c>
      <c r="AP192" s="79"/>
      <c r="AQ192" s="20" t="s">
        <v>64</v>
      </c>
      <c r="AR192" s="1" t="s">
        <v>43</v>
      </c>
      <c r="AS192" s="1" t="s">
        <v>44</v>
      </c>
      <c r="AT192" s="1" t="s">
        <v>45</v>
      </c>
      <c r="AU192" s="1" t="s">
        <v>46</v>
      </c>
      <c r="AV192" s="1" t="s">
        <v>47</v>
      </c>
      <c r="AW192" s="1" t="s">
        <v>48</v>
      </c>
      <c r="AX192" s="1" t="s">
        <v>49</v>
      </c>
      <c r="AY192" s="1" t="s">
        <v>50</v>
      </c>
      <c r="AZ192" s="1" t="s">
        <v>51</v>
      </c>
      <c r="BA192" s="1" t="s">
        <v>52</v>
      </c>
      <c r="BB192" s="1" t="s">
        <v>53</v>
      </c>
      <c r="BC192" s="1" t="s">
        <v>54</v>
      </c>
      <c r="BD192" s="1" t="s">
        <v>55</v>
      </c>
      <c r="BE192" s="1" t="s">
        <v>56</v>
      </c>
      <c r="BF192" s="1" t="s">
        <v>57</v>
      </c>
      <c r="BG192" s="1" t="s">
        <v>58</v>
      </c>
      <c r="BH192" s="1" t="s">
        <v>59</v>
      </c>
      <c r="BI192" s="1" t="s">
        <v>60</v>
      </c>
      <c r="BJ192" s="1" t="s">
        <v>61</v>
      </c>
      <c r="BK192" s="1" t="s">
        <v>62</v>
      </c>
      <c r="BL192" s="1" t="s">
        <v>63</v>
      </c>
      <c r="BM192" s="1" t="s">
        <v>330</v>
      </c>
      <c r="BN192" s="1" t="s">
        <v>331</v>
      </c>
      <c r="BO192" s="1" t="s">
        <v>332</v>
      </c>
      <c r="BP192" s="1" t="s">
        <v>333</v>
      </c>
      <c r="BQ192" s="1" t="s">
        <v>334</v>
      </c>
      <c r="BR192" s="1" t="s">
        <v>335</v>
      </c>
      <c r="BS192" s="1" t="s">
        <v>336</v>
      </c>
      <c r="BT192" s="1" t="s">
        <v>337</v>
      </c>
      <c r="BU192" s="1" t="s">
        <v>338</v>
      </c>
      <c r="BV192" s="1" t="s">
        <v>339</v>
      </c>
      <c r="BW192" s="1" t="s">
        <v>340</v>
      </c>
      <c r="BX192" s="1" t="s">
        <v>341</v>
      </c>
      <c r="BY192" s="1" t="s">
        <v>342</v>
      </c>
      <c r="BZ192" s="1" t="s">
        <v>343</v>
      </c>
      <c r="CA192" s="1" t="s">
        <v>390</v>
      </c>
    </row>
    <row r="193" spans="41:79">
      <c r="AO193" s="79"/>
      <c r="AP193" s="79"/>
      <c r="AQ193" s="20">
        <v>4</v>
      </c>
      <c r="AR193" t="s">
        <v>5</v>
      </c>
      <c r="AS193" t="s">
        <v>5</v>
      </c>
      <c r="AT193" t="s">
        <v>2</v>
      </c>
      <c r="AU193" t="s">
        <v>5</v>
      </c>
      <c r="AV193" t="s">
        <v>5</v>
      </c>
      <c r="AW193" t="s">
        <v>5</v>
      </c>
      <c r="AX193" t="s">
        <v>5</v>
      </c>
      <c r="AY193" t="s">
        <v>2</v>
      </c>
      <c r="AZ193" t="s">
        <v>2</v>
      </c>
      <c r="BA193" t="s">
        <v>2</v>
      </c>
      <c r="BB193" t="s">
        <v>3</v>
      </c>
      <c r="BC193" t="s">
        <v>5</v>
      </c>
      <c r="BD193" t="s">
        <v>5</v>
      </c>
      <c r="BE193" t="s">
        <v>2</v>
      </c>
      <c r="BF193" t="s">
        <v>2</v>
      </c>
      <c r="BG193" t="s">
        <v>5</v>
      </c>
      <c r="BH193" t="s">
        <v>5</v>
      </c>
      <c r="BI193" t="s">
        <v>5</v>
      </c>
      <c r="BJ193" t="s">
        <v>5</v>
      </c>
      <c r="BK193" t="s">
        <v>3</v>
      </c>
      <c r="BL193" t="s">
        <v>3</v>
      </c>
      <c r="BM193" t="s">
        <v>2</v>
      </c>
      <c r="BN193" t="s">
        <v>3</v>
      </c>
      <c r="BO193" t="s">
        <v>4</v>
      </c>
      <c r="BP193" t="s">
        <v>4</v>
      </c>
      <c r="BQ193" t="s">
        <v>4</v>
      </c>
      <c r="BR193" t="s">
        <v>4</v>
      </c>
      <c r="BS193" t="s">
        <v>4</v>
      </c>
      <c r="BT193" t="s">
        <v>3</v>
      </c>
      <c r="BU193" t="s">
        <v>3</v>
      </c>
      <c r="BV193" t="s">
        <v>4</v>
      </c>
      <c r="BW193" t="s">
        <v>3</v>
      </c>
      <c r="BX193" t="s">
        <v>3</v>
      </c>
      <c r="BY193" t="s">
        <v>4</v>
      </c>
      <c r="BZ193" t="s">
        <v>3</v>
      </c>
      <c r="CA193" t="s">
        <v>3</v>
      </c>
    </row>
    <row r="194" spans="41:79">
      <c r="AO194" s="69" t="s">
        <v>504</v>
      </c>
      <c r="AP194" s="69"/>
      <c r="AQ194">
        <f>'Data Training 1'!AW22*'Data Training 1'!AT34*'Data Training 1'!AT40*'Data Training 1'!AT45*'Data Training 1'!AT52*'Data Training 1'!AT58*'Data Training 1'!AT64*'Data Training 1'!AT70*'Data Training 1'!AT75*'Data Training 1'!AT81*'Data Training 1'!AT87*'Data Training 1'!AT92*'Data Training 1'!AT100*'Data Training 1'!AT106*'Data Training 1'!AT111*'Data Training 1'!AT117*'Data Training 1'!AT124*'Data Training 1'!AT130*'Data Training 1'!AT136*'Data Training 1'!AT142*'Data Training 1'!AT146*'Data Training 1'!AT152*'Data Training 1'!AT159*'Data Training 1'!AT164*'Data Training 1'!AT167*'Data Training 1'!AT171*'Data Training 1'!AT175*'Data Training 1'!AT179*'Data Training 1'!AT183*'Data Training 1'!AT188*'Data Training 1'!AT192*'Data Training 1'!AT195*'Data Training 1'!AT200*'Data Training 1'!AT204*'Data Training 1'!AT207*'Data Training 1'!AT212*'Data Training 1'!AT216</f>
        <v>0</v>
      </c>
    </row>
    <row r="195" spans="41:79">
      <c r="AO195" s="69" t="s">
        <v>505</v>
      </c>
      <c r="AP195" s="69"/>
      <c r="AQ195">
        <f>'Data Training 1'!AW23*'Data Training 1'!AU34*'Data Training 1'!AU40*'Data Training 1'!AU45*'Data Training 1'!AU52*'Data Training 1'!AU58*'Data Training 1'!AU64*'Data Training 1'!AU70*'Data Training 1'!AU75*'Data Training 1'!AU81*'Data Training 1'!AU87*'Data Training 1'!AU92*'Data Training 1'!AU100*'Data Training 1'!AU106*'Data Training 1'!AU111*'Data Training 1'!AU117*'Data Training 1'!AU124*'Data Training 1'!AU130*'Data Training 1'!AU136*'Data Training 1'!AU142*'Data Training 1'!AU146*'Data Training 1'!AU152*'Data Training 1'!AU159*'Data Training 1'!AU164*'Data Training 1'!AU167*'Data Training 1'!AU171*'Data Training 1'!AU175*'Data Training 1'!AU179*'Data Training 1'!AU183*'Data Training 1'!AU188*'Data Training 1'!AU192*'Data Training 1'!AU195*'Data Training 1'!AU200*'Data Training 1'!AU204*'Data Training 1'!AU207*'Data Training 1'!AU212*'Data Training 1'!AU216</f>
        <v>0</v>
      </c>
    </row>
    <row r="196" spans="41:79">
      <c r="AO196" s="69" t="s">
        <v>506</v>
      </c>
      <c r="AP196" s="69"/>
      <c r="AQ196">
        <f>'Data Training 1'!AW24*'Data Training 1'!AV34*'Data Training 1'!AV40*'Data Training 1'!AV45*'Data Training 1'!AV52*'Data Training 1'!AV58*'Data Training 1'!AV64*'Data Training 1'!AV70*'Data Training 1'!AV75*'Data Training 1'!AV81*'Data Training 1'!AV87*'Data Training 1'!AV92*'Data Training 1'!AV100*'Data Training 1'!AV106*'Data Training 1'!AV111*'Data Training 1'!AV117*'Data Training 1'!AV124*'Data Training 1'!AV130*'Data Training 1'!AV136*'Data Training 1'!AV142*'Data Training 1'!AV146*'Data Training 1'!AV152*'Data Training 1'!AV159*'Data Training 1'!AV164*'Data Training 1'!AV167*'Data Training 1'!AV171*'Data Training 1'!AV175*'Data Training 1'!AV179*'Data Training 1'!AV183*'Data Training 1'!AV188*'Data Training 1'!AV192*'Data Training 1'!AV195*'Data Training 1'!AV200*'Data Training 1'!AV204*'Data Training 1'!AV207*'Data Training 1'!AV212*'Data Training 1'!AV216</f>
        <v>0</v>
      </c>
    </row>
    <row r="197" spans="41:79">
      <c r="AO197" s="69" t="s">
        <v>507</v>
      </c>
      <c r="AP197" s="69"/>
      <c r="AQ197">
        <f>'Data Training 1'!AW25*'Data Training 1'!AW34*'Data Training 1'!AW40*'Data Training 1'!AW45*'Data Training 1'!AW52*'Data Training 1'!AW58*'Data Training 1'!AW64*'Data Training 1'!AW70*'Data Training 1'!AW75*'Data Training 1'!AW81*'Data Training 1'!AW87*'Data Training 1'!AW92*'Data Training 1'!AW100*'Data Training 1'!AW106*'Data Training 1'!AW111*'Data Training 1'!AW117*'Data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5.9125080425896835E-8</v>
      </c>
    </row>
    <row r="198" spans="41:79">
      <c r="AO198" s="69" t="s">
        <v>508</v>
      </c>
      <c r="AP198" s="69"/>
      <c r="AQ198">
        <f>'Data Training 1'!AW26*'Data Training 1'!AX34*'Data Training 1'!AX40*'Data Training 1'!AX45*'Data Training 1'!AX52*'Data Training 1'!AX58*'Data Training 1'!AX64*'Data Training 1'!AX70*'Data Training 1'!AX75*'Data Training 1'!AX81*'Data Training 1'!AX87*'Data Training 1'!AX92*'Data Training 1'!AX100*'Data Training 1'!AX106*'Data Training 1'!AX111*'Data Training 1'!AX117*'Data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3.7379334338352473E-8</v>
      </c>
    </row>
    <row r="199" spans="41:79">
      <c r="AO199" s="69" t="s">
        <v>509</v>
      </c>
      <c r="AP199" s="69"/>
      <c r="AQ199">
        <f>'Data Training 1'!AW27*'Data Training 1'!AY34*'Data Training 1'!AY40*'Data Training 1'!AY45*'Data Training 1'!AY52*'Data Training 1'!AY58*'Data Training 1'!AY64*'Data Training 1'!AY70*'Data Training 1'!AY75*'Data Training 1'!AY81*'Data Training 1'!AY87*'Data Training 1'!AY92*'Data Training 1'!AY100*'Data Training 1'!AY106*'Data Training 1'!AY111*'Data Training 1'!AY117*'Data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2.4311039127593316E-10</v>
      </c>
    </row>
    <row r="200" spans="41:79">
      <c r="AO200" s="78" t="s">
        <v>437</v>
      </c>
      <c r="AP200" s="78"/>
      <c r="AQ200" t="s">
        <v>296</v>
      </c>
      <c r="AR200" s="74" t="s">
        <v>438</v>
      </c>
      <c r="AS200" s="74"/>
      <c r="AT200" s="74"/>
    </row>
    <row r="202" spans="41:79">
      <c r="AO202" s="79" t="s">
        <v>323</v>
      </c>
      <c r="AP202" s="79"/>
      <c r="AQ202" s="20" t="s">
        <v>64</v>
      </c>
      <c r="AR202" s="1" t="s">
        <v>43</v>
      </c>
      <c r="AS202" s="1" t="s">
        <v>44</v>
      </c>
      <c r="AT202" s="1" t="s">
        <v>45</v>
      </c>
      <c r="AU202" s="1" t="s">
        <v>46</v>
      </c>
      <c r="AV202" s="1" t="s">
        <v>47</v>
      </c>
      <c r="AW202" s="1" t="s">
        <v>48</v>
      </c>
      <c r="AX202" s="1" t="s">
        <v>49</v>
      </c>
      <c r="AY202" s="1" t="s">
        <v>50</v>
      </c>
      <c r="AZ202" s="1" t="s">
        <v>51</v>
      </c>
      <c r="BA202" s="1" t="s">
        <v>52</v>
      </c>
      <c r="BB202" s="1" t="s">
        <v>53</v>
      </c>
      <c r="BC202" s="1" t="s">
        <v>54</v>
      </c>
      <c r="BD202" s="1" t="s">
        <v>55</v>
      </c>
      <c r="BE202" s="1" t="s">
        <v>56</v>
      </c>
      <c r="BF202" s="1" t="s">
        <v>57</v>
      </c>
      <c r="BG202" s="1" t="s">
        <v>58</v>
      </c>
      <c r="BH202" s="1" t="s">
        <v>59</v>
      </c>
      <c r="BI202" s="1" t="s">
        <v>60</v>
      </c>
      <c r="BJ202" s="1" t="s">
        <v>61</v>
      </c>
      <c r="BK202" s="1" t="s">
        <v>62</v>
      </c>
      <c r="BL202" s="1" t="s">
        <v>63</v>
      </c>
      <c r="BM202" s="1" t="s">
        <v>330</v>
      </c>
      <c r="BN202" s="1" t="s">
        <v>331</v>
      </c>
      <c r="BO202" s="1" t="s">
        <v>332</v>
      </c>
      <c r="BP202" s="1" t="s">
        <v>333</v>
      </c>
      <c r="BQ202" s="1" t="s">
        <v>334</v>
      </c>
      <c r="BR202" s="1" t="s">
        <v>335</v>
      </c>
      <c r="BS202" s="1" t="s">
        <v>336</v>
      </c>
      <c r="BT202" s="1" t="s">
        <v>337</v>
      </c>
      <c r="BU202" s="1" t="s">
        <v>338</v>
      </c>
      <c r="BV202" s="1" t="s">
        <v>339</v>
      </c>
      <c r="BW202" s="1" t="s">
        <v>340</v>
      </c>
      <c r="BX202" s="1" t="s">
        <v>341</v>
      </c>
      <c r="BY202" s="1" t="s">
        <v>342</v>
      </c>
      <c r="BZ202" s="1" t="s">
        <v>343</v>
      </c>
      <c r="CA202" s="1" t="s">
        <v>390</v>
      </c>
    </row>
    <row r="203" spans="41:79">
      <c r="AO203" s="79"/>
      <c r="AP203" s="79"/>
      <c r="AQ203" s="20">
        <v>4</v>
      </c>
      <c r="AR203" t="s">
        <v>5</v>
      </c>
      <c r="AS203" t="s">
        <v>3</v>
      </c>
      <c r="AT203" t="s">
        <v>2</v>
      </c>
      <c r="AU203" t="s">
        <v>5</v>
      </c>
      <c r="AV203" t="s">
        <v>5</v>
      </c>
      <c r="AW203" t="s">
        <v>5</v>
      </c>
      <c r="AX203" t="s">
        <v>2</v>
      </c>
      <c r="AY203" t="s">
        <v>2</v>
      </c>
      <c r="AZ203" t="s">
        <v>3</v>
      </c>
      <c r="BA203" t="s">
        <v>3</v>
      </c>
      <c r="BB203" t="s">
        <v>3</v>
      </c>
      <c r="BC203" t="s">
        <v>4</v>
      </c>
      <c r="BD203" t="s">
        <v>2</v>
      </c>
      <c r="BE203" t="s">
        <v>2</v>
      </c>
      <c r="BF203" t="s">
        <v>3</v>
      </c>
      <c r="BG203" t="s">
        <v>5</v>
      </c>
      <c r="BH203" t="s">
        <v>2</v>
      </c>
      <c r="BI203" t="s">
        <v>2</v>
      </c>
      <c r="BJ203" t="s">
        <v>5</v>
      </c>
      <c r="BK203" t="s">
        <v>3</v>
      </c>
      <c r="BL203" t="s">
        <v>2</v>
      </c>
      <c r="BM203" t="s">
        <v>2</v>
      </c>
      <c r="BN203" t="s">
        <v>3</v>
      </c>
      <c r="BO203" t="s">
        <v>4</v>
      </c>
      <c r="BP203" t="s">
        <v>4</v>
      </c>
      <c r="BQ203" t="s">
        <v>4</v>
      </c>
      <c r="BR203" t="s">
        <v>4</v>
      </c>
      <c r="BS203" t="s">
        <v>4</v>
      </c>
      <c r="BT203" t="s">
        <v>3</v>
      </c>
      <c r="BU203" t="s">
        <v>3</v>
      </c>
      <c r="BV203" t="s">
        <v>4</v>
      </c>
      <c r="BW203" t="s">
        <v>3</v>
      </c>
      <c r="BX203" t="s">
        <v>4</v>
      </c>
      <c r="BY203" t="s">
        <v>4</v>
      </c>
      <c r="BZ203" t="s">
        <v>4</v>
      </c>
      <c r="CA203" t="s">
        <v>3</v>
      </c>
    </row>
    <row r="204" spans="41:79">
      <c r="AO204" s="69" t="s">
        <v>504</v>
      </c>
      <c r="AP204" s="69"/>
      <c r="AQ204">
        <f>'Data Training 1'!AW22*'Data Training 1'!AT34*'Data Training 1'!AT38*'Data Training 1'!AT45*'Data Training 1'!AT52*'Data Training 1'!AT58*'Data Training 1'!AT64*'Data Training 1'!AT69*'Data Training 1'!AT75*'Data Training 1'!AT80*'Data Training 1'!AT86*'Data Training 1'!AT92*'Data Training 1'!AT97*'Data Training 1'!AT105*'Data Training 1'!AT111*'Data Training 1'!AT116*'Data Training 1'!AT124*'Data Training 1'!AT129*'Data Training 1'!AT135*'Data Training 1'!AT142*'Data Training 1'!AT146*'Data Training 1'!AT153*'Data Training 1'!AT159*'Data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05" spans="41:79">
      <c r="AO205" s="69" t="s">
        <v>505</v>
      </c>
      <c r="AP205" s="69"/>
      <c r="AQ205">
        <f>'Data Training 1'!AW23*'Data Training 1'!AU34*'Data Training 1'!AU38*'Data Training 1'!AU45*'Data Training 1'!AU52*'Data Training 1'!AU58*'Data Training 1'!AU64*'Data Training 1'!AU69*'Data Training 1'!AU75*'Data Training 1'!AU80*'Data Training 1'!AU86*'Data Training 1'!AU92*'Data Training 1'!AU97*'Data Training 1'!AU105*'Data Training 1'!AU111*'Data Training 1'!AU116*'Data Training 1'!AU124*'Data Training 1'!AU129*'Data Training 1'!AU135*'Data Training 1'!AU142*'Data Training 1'!AU146*'Data Training 1'!AU153*'Data Training 1'!AU159*'Data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06" spans="41:79">
      <c r="AO206" s="69" t="s">
        <v>506</v>
      </c>
      <c r="AP206" s="69"/>
      <c r="AQ206">
        <f>'Data Training 1'!AW24*'Data Training 1'!AV34*'Data Training 1'!AV38*'Data Training 1'!AV45*'Data Training 1'!AV52*'Data Training 1'!AV58*'Data Training 1'!AV64*'Data Training 1'!AV69*'Data Training 1'!AV75*'Data Training 1'!AV80*'Data Training 1'!AV86*'Data Training 1'!AV92*'Data Training 1'!AV97*'Data Training 1'!AV105*'Data Training 1'!AV111*'Data Training 1'!AV116*'Data Training 1'!AV124*'Data Training 1'!AV129*'Data Training 1'!AV135*'Data Training 1'!AV142*'Data Training 1'!AV146*'Data Training 1'!AV153*'Data Training 1'!AV159*'Data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07" spans="41:79">
      <c r="AO207" s="69" t="s">
        <v>507</v>
      </c>
      <c r="AP207" s="69"/>
      <c r="AQ207">
        <f>'Data Training 1'!AW25*'Data Training 1'!AW34*'Data Training 1'!AW38*'Data Training 1'!AW45*'Data Training 1'!AW52*'Data Training 1'!AW58*'Data Training 1'!AW64*'Data Training 1'!AW69*'Data Training 1'!AW75*'Data Training 1'!AW80*'Data Training 1'!AW86*'Data Training 1'!AW92*'Data Training 1'!AW97*'Data Training 1'!AW105*'Data Training 1'!AW111*'Data Training 1'!AW116*'Data Training 1'!AW124*'Data Training 1'!AW129*'Data Training 1'!AW135*'Data Training 1'!AW142*'Data Training 1'!AW146*'Data Training 1'!AW153*'Data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1.7102295990961887E-13</v>
      </c>
    </row>
    <row r="208" spans="41:79">
      <c r="AO208" s="69" t="s">
        <v>508</v>
      </c>
      <c r="AP208" s="69"/>
      <c r="AQ208">
        <f>'Data Training 1'!AW26*'Data Training 1'!AX34*'Data Training 1'!AX38*'Data Training 1'!AX45*'Data Training 1'!AX52*'Data Training 1'!AX58*'Data Training 1'!AX64*'Data Training 1'!AX69*'Data Training 1'!AX75*'Data Training 1'!AX80*'Data Training 1'!AX86*'Data Training 1'!AX92*'Data Training 1'!AX97*'Data Training 1'!AX105*'Data Training 1'!AX111*'Data Training 1'!AX116*'Data Training 1'!AX124*'Data Training 1'!AX129*'Data Training 1'!AX135*'Data Training 1'!AX142*'Data Training 1'!AX146*'Data Training 1'!AX153*'Data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0</v>
      </c>
    </row>
    <row r="209" spans="41:79">
      <c r="AO209" s="69" t="s">
        <v>509</v>
      </c>
      <c r="AP209" s="69"/>
      <c r="AQ209">
        <f>'Data Training 1'!AW27*'Data Training 1'!AY34*'Data Training 1'!AY38*'Data Training 1'!AY45*'Data Training 1'!AY52*'Data Training 1'!AY58*'Data Training 1'!AY64*'Data Training 1'!AY69*'Data Training 1'!AY75*'Data Training 1'!AY80*'Data Training 1'!AY86*'Data Training 1'!AY92*'Data Training 1'!AY97*'Data Training 1'!AY105*'Data Training 1'!AY111*'Data Training 1'!AY116*'Data Training 1'!AY124*'Data Training 1'!AY129*'Data Training 1'!AY135*'Data Training 1'!AY142*'Data Training 1'!AY146*'Data Training 1'!AY153*'Data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1.0504769993404522E-13</v>
      </c>
    </row>
    <row r="210" spans="41:79">
      <c r="AO210" s="78" t="s">
        <v>437</v>
      </c>
      <c r="AP210" s="78"/>
      <c r="AQ210" t="s">
        <v>296</v>
      </c>
      <c r="AR210" s="74" t="s">
        <v>438</v>
      </c>
      <c r="AS210" s="74"/>
      <c r="AT210" s="74"/>
    </row>
    <row r="212" spans="41:79">
      <c r="AO212" s="79" t="s">
        <v>471</v>
      </c>
      <c r="AP212" s="79"/>
      <c r="AQ212" s="20" t="s">
        <v>64</v>
      </c>
      <c r="AR212" s="1" t="s">
        <v>43</v>
      </c>
      <c r="AS212" s="1" t="s">
        <v>44</v>
      </c>
      <c r="AT212" s="1" t="s">
        <v>45</v>
      </c>
      <c r="AU212" s="1" t="s">
        <v>46</v>
      </c>
      <c r="AV212" s="1" t="s">
        <v>47</v>
      </c>
      <c r="AW212" s="1" t="s">
        <v>48</v>
      </c>
      <c r="AX212" s="1" t="s">
        <v>49</v>
      </c>
      <c r="AY212" s="1" t="s">
        <v>50</v>
      </c>
      <c r="AZ212" s="1" t="s">
        <v>51</v>
      </c>
      <c r="BA212" s="1" t="s">
        <v>52</v>
      </c>
      <c r="BB212" s="1" t="s">
        <v>53</v>
      </c>
      <c r="BC212" s="1" t="s">
        <v>54</v>
      </c>
      <c r="BD212" s="1" t="s">
        <v>55</v>
      </c>
      <c r="BE212" s="1" t="s">
        <v>56</v>
      </c>
      <c r="BF212" s="1" t="s">
        <v>57</v>
      </c>
      <c r="BG212" s="1" t="s">
        <v>58</v>
      </c>
      <c r="BH212" s="1" t="s">
        <v>59</v>
      </c>
      <c r="BI212" s="1" t="s">
        <v>60</v>
      </c>
      <c r="BJ212" s="1" t="s">
        <v>61</v>
      </c>
      <c r="BK212" s="1" t="s">
        <v>62</v>
      </c>
      <c r="BL212" s="1" t="s">
        <v>63</v>
      </c>
      <c r="BM212" s="1" t="s">
        <v>330</v>
      </c>
      <c r="BN212" s="1" t="s">
        <v>331</v>
      </c>
      <c r="BO212" s="1" t="s">
        <v>332</v>
      </c>
      <c r="BP212" s="1" t="s">
        <v>333</v>
      </c>
      <c r="BQ212" s="1" t="s">
        <v>334</v>
      </c>
      <c r="BR212" s="1" t="s">
        <v>335</v>
      </c>
      <c r="BS212" s="1" t="s">
        <v>336</v>
      </c>
      <c r="BT212" s="1" t="s">
        <v>337</v>
      </c>
      <c r="BU212" s="1" t="s">
        <v>338</v>
      </c>
      <c r="BV212" s="1" t="s">
        <v>339</v>
      </c>
      <c r="BW212" s="1" t="s">
        <v>340</v>
      </c>
      <c r="BX212" s="1" t="s">
        <v>341</v>
      </c>
      <c r="BY212" s="1" t="s">
        <v>342</v>
      </c>
      <c r="BZ212" s="1" t="s">
        <v>343</v>
      </c>
      <c r="CA212" s="1" t="s">
        <v>390</v>
      </c>
    </row>
    <row r="213" spans="41:79">
      <c r="AO213" s="79"/>
      <c r="AP213" s="79"/>
      <c r="AQ213" s="20">
        <v>4</v>
      </c>
      <c r="AR213" t="s">
        <v>5</v>
      </c>
      <c r="AS213" t="s">
        <v>5</v>
      </c>
      <c r="AT213" t="s">
        <v>2</v>
      </c>
      <c r="AU213" t="s">
        <v>5</v>
      </c>
      <c r="AV213" t="s">
        <v>5</v>
      </c>
      <c r="AW213" t="s">
        <v>5</v>
      </c>
      <c r="AX213" t="s">
        <v>5</v>
      </c>
      <c r="AY213" t="s">
        <v>2</v>
      </c>
      <c r="AZ213" t="s">
        <v>3</v>
      </c>
      <c r="BA213" t="s">
        <v>4</v>
      </c>
      <c r="BB213" t="s">
        <v>4</v>
      </c>
      <c r="BC213" t="s">
        <v>3</v>
      </c>
      <c r="BD213" t="s">
        <v>2</v>
      </c>
      <c r="BE213" t="s">
        <v>2</v>
      </c>
      <c r="BF213" t="s">
        <v>3</v>
      </c>
      <c r="BG213" t="s">
        <v>5</v>
      </c>
      <c r="BH213" t="s">
        <v>3</v>
      </c>
      <c r="BI213" t="s">
        <v>2</v>
      </c>
      <c r="BJ213" t="s">
        <v>5</v>
      </c>
      <c r="BK213" t="s">
        <v>3</v>
      </c>
      <c r="BL213" t="s">
        <v>4</v>
      </c>
      <c r="BM213" t="s">
        <v>4</v>
      </c>
      <c r="BN213" t="s">
        <v>3</v>
      </c>
      <c r="BO213" t="s">
        <v>4</v>
      </c>
      <c r="BP213" t="s">
        <v>4</v>
      </c>
      <c r="BQ213" t="s">
        <v>4</v>
      </c>
      <c r="BR213" t="s">
        <v>4</v>
      </c>
      <c r="BS213" t="s">
        <v>4</v>
      </c>
      <c r="BT213" t="s">
        <v>4</v>
      </c>
      <c r="BU213" t="s">
        <v>3</v>
      </c>
      <c r="BV213" t="s">
        <v>3</v>
      </c>
      <c r="BW213" t="s">
        <v>3</v>
      </c>
      <c r="BX213" t="s">
        <v>4</v>
      </c>
      <c r="BY213" t="s">
        <v>4</v>
      </c>
      <c r="BZ213" t="s">
        <v>3</v>
      </c>
      <c r="CA213" t="s">
        <v>3</v>
      </c>
    </row>
    <row r="214" spans="41:79">
      <c r="AO214" s="69" t="s">
        <v>504</v>
      </c>
      <c r="AP214" s="69"/>
      <c r="AQ214">
        <f>PRODUCT('Data Training 1'!AW22,'Data Training 1'!AT34,'Data Training 1'!AT40,'Data Training 1'!AT45,'Data Training 1'!AT52,'Data Training 1'!AT58,'Data Training 1'!AT64,'Data Training 1'!AT70,'Data Training 1'!AT75,'Data Training 1'!AT80,'Data Training 1'!AT85,'Data Training 1'!AT91,'Data Training 1'!AT98,'Data Training 1'!AT105,'Data Training 1'!AT111,'Data Training 1'!AT116,'Data Training 1'!AT124,'Data Training 1'!AT128,'Data Training 1'!AT135,'Data Training 1'!AT142,'Data Training 1'!AT146,'Data Training 1'!AT151,'Data Training 1'!AT157,'Data Training 1'!AT164,'Data Training 1'!AT167,'Data Training 1'!AT171,'Data Training 1'!AT175,'Data Training 1'!AT179,'Data Training 1'!AT183,'Data Training 1'!AT187,'Data Training 1'!AT192,'Data Training 1'!AT196,'Data Training 1'!AT200,'Data Training 1'!AT203,'Data Training 1'!AT207,'Data Training 1'!AT212,'Data Training 1'!AT216)</f>
        <v>0</v>
      </c>
    </row>
    <row r="215" spans="41:79">
      <c r="AO215" s="69" t="s">
        <v>505</v>
      </c>
      <c r="AP215" s="69"/>
      <c r="AQ215">
        <f>PRODUCT('Data Training 1'!AW23,'Data Training 1'!AU34,'Data Training 1'!AU40,'Data Training 1'!AU45,'Data Training 1'!AU52,'Data Training 1'!AU58,'Data Training 1'!AU64,'Data Training 1'!AU70,'Data Training 1'!AU75,'Data Training 1'!AU80,'Data Training 1'!AU85,'Data Training 1'!AU91,'Data Training 1'!AU98,'Data Training 1'!AU105,'Data Training 1'!AU111,'Data Training 1'!AU116,'Data Training 1'!AU124,'Data Training 1'!AU128,'Data Training 1'!AU135,'Data Training 1'!AU142,'Data Training 1'!AU146,'Data Training 1'!AU151,'Data Training 1'!AU157,'Data Training 1'!AU164,'Data Training 1'!AU167,'Data Training 1'!AU171,'Data Training 1'!AU175,'Data Training 1'!AU179,'Data Training 1'!AU183,'Data Training 1'!AU187,'Data Training 1'!AU192,'Data Training 1'!AU196,'Data Training 1'!AU200,'Data Training 1'!AU203,'Data Training 1'!AU207,'Data Training 1'!AU212,'Data Training 1'!AU216)</f>
        <v>0</v>
      </c>
    </row>
    <row r="216" spans="41:79">
      <c r="AO216" s="69" t="s">
        <v>506</v>
      </c>
      <c r="AP216" s="69"/>
      <c r="AQ216">
        <f>PRODUCT('Data Training 1'!AW24,'Data Training 1'!AV34,'Data Training 1'!AV40,'Data Training 1'!AV45,'Data Training 1'!AV52,'Data Training 1'!AV58,'Data Training 1'!AV64,'Data Training 1'!AV70,'Data Training 1'!AV75,'Data Training 1'!AV80,'Data Training 1'!AV85,'Data Training 1'!AV91,'Data Training 1'!AV98,'Data Training 1'!AV105,'Data Training 1'!AV111,'Data Training 1'!AV116,'Data Training 1'!AV124,'Data Training 1'!AV128,'Data Training 1'!AV135,'Data Training 1'!AV142,'Data Training 1'!AV146,'Data Training 1'!AV151,'Data Training 1'!AV157,'Data Training 1'!AV164,'Data Training 1'!AV167,'Data Training 1'!AV171,'Data Training 1'!AV175,'Data Training 1'!AV179,'Data Training 1'!AV183,'Data Training 1'!AV187,'Data Training 1'!AV192,'Data Training 1'!AV196,'Data Training 1'!AV200,'Data Training 1'!AV203,'Data Training 1'!AV207,'Data Training 1'!AV212,'Data Training 1'!AV216)</f>
        <v>0</v>
      </c>
    </row>
    <row r="217" spans="41:79">
      <c r="AO217" s="69" t="s">
        <v>507</v>
      </c>
      <c r="AP217" s="69"/>
      <c r="AQ217">
        <f>PRODUCT('Data Training 1'!AW25,'Data Training 1'!AW34,'Data Training 1'!AW40,'Data Training 1'!AW45,'Data Training 1'!AW52,'Data Training 1'!AW58,'Data Training 1'!AW64,'Data Training 1'!AW70,'Data Training 1'!AW75,'Data Training 1'!AW80,'Data Training 1'!AW85,'Data Training 1'!AW91,'Data Training 1'!AW98,'Data Training 1'!AW105,'Data Training 1'!AW111,'Data Training 1'!AW116,'Data Training 1'!AW124,'Data Training 1'!AW128,'Data Training 1'!AW135,'Data Training 1'!AW142,'Data Training 1'!AW146,'Data Training 1'!AW151,'Data Training 1'!AW157,'Data Training 1'!AW164,'Data Training 1'!AW167,'Data Training 1'!AW171,'Data Training 1'!AW175,'Data Training 1'!AW179,'Data Training 1'!AW183,'Data Training 1'!AW187,'Data Training 1'!AW192,'Data Training 1'!AW196,'Data Training 1'!AW200,'Data Training 1'!AW203,'Data Training 1'!AW207,'Data Training 1'!AW212,'Data Training 1'!AW216)</f>
        <v>0</v>
      </c>
    </row>
    <row r="218" spans="41:79">
      <c r="AO218" s="69" t="s">
        <v>508</v>
      </c>
      <c r="AP218" s="69"/>
      <c r="AQ218">
        <f>PRODUCT('Data Training 1'!AW26,'Data Training 1'!AX34,'Data Training 1'!AX40,'Data Training 1'!AX45,'Data Training 1'!AX52,'Data Training 1'!AX58,'Data Training 1'!AX64,'Data Training 1'!AX70,'Data Training 1'!AX75,'Data Training 1'!AX80,'Data Training 1'!AX85,'Data Training 1'!AX91,'Data Training 1'!AX98,'Data Training 1'!AX105,'Data Training 1'!AX111,'Data Training 1'!AX116,'Data Training 1'!AX124,'Data Training 1'!AX128,'Data Training 1'!AX135,'Data Training 1'!AX142,'Data Training 1'!AX146,'Data Training 1'!AX151,'Data Training 1'!AX157,'Data Training 1'!AX164,'Data Training 1'!AX167,'Data Training 1'!AX171,'Data Training 1'!AX175,'Data Training 1'!AX179,'Data Training 1'!AX183,'Data Training 1'!AX187,'Data Training 1'!AX192,'Data Training 1'!AX196,'Data Training 1'!AX200,'Data Training 1'!AX203,'Data Training 1'!AX207,'Data Training 1'!AX212,'Data Training 1'!AX216)</f>
        <v>0</v>
      </c>
    </row>
    <row r="219" spans="41:79">
      <c r="AO219" s="69" t="s">
        <v>509</v>
      </c>
      <c r="AP219" s="69"/>
      <c r="AQ219">
        <f>PRODUCT('Data Training 1'!AW27,'Data Training 1'!AY34,'Data Training 1'!AY40,'Data Training 1'!AY45,'Data Training 1'!AY52,'Data Training 1'!AY58,'Data Training 1'!AY64,'Data Training 1'!AY70,'Data Training 1'!AY75,'Data Training 1'!AY80,'Data Training 1'!AY85,'Data Training 1'!AY91,'Data Training 1'!AY98,'Data Training 1'!AY105,'Data Training 1'!AY111,'Data Training 1'!AY116,'Data Training 1'!AY124,'Data Training 1'!AY128,'Data Training 1'!AY135,'Data Training 1'!AY142,'Data Training 1'!AY146,'Data Training 1'!AY151,'Data Training 1'!AY157,'Data Training 1'!AY164,'Data Training 1'!AY167,'Data Training 1'!AY171,'Data Training 1'!AY175,'Data Training 1'!AY179,'Data Training 1'!AY183,'Data Training 1'!AY187,'Data Training 1'!AY192,'Data Training 1'!AY196,'Data Training 1'!AY200,'Data Training 1'!AY203,'Data Training 1'!AY207,'Data Training 1'!AY212,'Data Training 1'!AY216)</f>
        <v>4.5273082799857859E-13</v>
      </c>
    </row>
    <row r="220" spans="41:79">
      <c r="AO220" s="78" t="s">
        <v>437</v>
      </c>
      <c r="AP220" s="78"/>
      <c r="AQ220" t="s">
        <v>298</v>
      </c>
      <c r="AR220" s="86" t="s">
        <v>514</v>
      </c>
      <c r="AS220" s="86"/>
      <c r="AT220" s="86"/>
    </row>
    <row r="222" spans="41:79">
      <c r="AO222" s="79" t="s">
        <v>516</v>
      </c>
      <c r="AP222" s="79"/>
      <c r="AQ222" s="20" t="s">
        <v>64</v>
      </c>
      <c r="AR222" s="1" t="s">
        <v>43</v>
      </c>
      <c r="AS222" s="1" t="s">
        <v>44</v>
      </c>
      <c r="AT222" s="1" t="s">
        <v>45</v>
      </c>
      <c r="AU222" s="1" t="s">
        <v>46</v>
      </c>
      <c r="AV222" s="1" t="s">
        <v>47</v>
      </c>
      <c r="AW222" s="1" t="s">
        <v>48</v>
      </c>
      <c r="AX222" s="1" t="s">
        <v>49</v>
      </c>
      <c r="AY222" s="1" t="s">
        <v>50</v>
      </c>
      <c r="AZ222" s="1" t="s">
        <v>51</v>
      </c>
      <c r="BA222" s="1" t="s">
        <v>52</v>
      </c>
      <c r="BB222" s="1" t="s">
        <v>53</v>
      </c>
      <c r="BC222" s="1" t="s">
        <v>54</v>
      </c>
      <c r="BD222" s="1" t="s">
        <v>55</v>
      </c>
      <c r="BE222" s="1" t="s">
        <v>56</v>
      </c>
      <c r="BF222" s="1" t="s">
        <v>57</v>
      </c>
      <c r="BG222" s="1" t="s">
        <v>58</v>
      </c>
      <c r="BH222" s="1" t="s">
        <v>59</v>
      </c>
      <c r="BI222" s="1" t="s">
        <v>60</v>
      </c>
      <c r="BJ222" s="1" t="s">
        <v>61</v>
      </c>
      <c r="BK222" s="1" t="s">
        <v>62</v>
      </c>
      <c r="BL222" s="1" t="s">
        <v>63</v>
      </c>
      <c r="BM222" s="1" t="s">
        <v>330</v>
      </c>
      <c r="BN222" s="1" t="s">
        <v>331</v>
      </c>
      <c r="BO222" s="1" t="s">
        <v>332</v>
      </c>
      <c r="BP222" s="1" t="s">
        <v>333</v>
      </c>
      <c r="BQ222" s="1" t="s">
        <v>334</v>
      </c>
      <c r="BR222" s="1" t="s">
        <v>335</v>
      </c>
      <c r="BS222" s="1" t="s">
        <v>336</v>
      </c>
      <c r="BT222" s="1" t="s">
        <v>337</v>
      </c>
      <c r="BU222" s="1" t="s">
        <v>338</v>
      </c>
      <c r="BV222" s="1" t="s">
        <v>339</v>
      </c>
      <c r="BW222" s="1" t="s">
        <v>340</v>
      </c>
      <c r="BX222" s="1" t="s">
        <v>341</v>
      </c>
      <c r="BY222" s="1" t="s">
        <v>342</v>
      </c>
      <c r="BZ222" s="1" t="s">
        <v>343</v>
      </c>
      <c r="CA222" s="1" t="s">
        <v>390</v>
      </c>
    </row>
    <row r="223" spans="41:79">
      <c r="AO223" s="79"/>
      <c r="AP223" s="79"/>
      <c r="AQ223" s="20">
        <v>4</v>
      </c>
      <c r="AR223" t="s">
        <v>2</v>
      </c>
      <c r="AS223" t="s">
        <v>5</v>
      </c>
      <c r="AT223" t="s">
        <v>2</v>
      </c>
      <c r="AU223" t="s">
        <v>5</v>
      </c>
      <c r="AV223" t="s">
        <v>5</v>
      </c>
      <c r="AW223" t="s">
        <v>5</v>
      </c>
      <c r="AX223" t="s">
        <v>5</v>
      </c>
      <c r="AY223" t="s">
        <v>2</v>
      </c>
      <c r="AZ223" t="s">
        <v>2</v>
      </c>
      <c r="BA223" t="s">
        <v>2</v>
      </c>
      <c r="BB223" t="s">
        <v>5</v>
      </c>
      <c r="BC223" t="s">
        <v>4</v>
      </c>
      <c r="BD223" t="s">
        <v>5</v>
      </c>
      <c r="BE223" t="s">
        <v>2</v>
      </c>
      <c r="BF223" t="s">
        <v>4</v>
      </c>
      <c r="BG223" t="s">
        <v>5</v>
      </c>
      <c r="BH223" t="s">
        <v>5</v>
      </c>
      <c r="BI223" t="s">
        <v>5</v>
      </c>
      <c r="BJ223" t="s">
        <v>4</v>
      </c>
      <c r="BK223" t="s">
        <v>3</v>
      </c>
      <c r="BL223" t="s">
        <v>4</v>
      </c>
      <c r="BM223" t="s">
        <v>4</v>
      </c>
      <c r="BN223" t="s">
        <v>3</v>
      </c>
      <c r="BO223" t="s">
        <v>4</v>
      </c>
      <c r="BP223" t="s">
        <v>4</v>
      </c>
      <c r="BQ223" t="s">
        <v>4</v>
      </c>
      <c r="BR223" t="s">
        <v>4</v>
      </c>
      <c r="BS223" t="s">
        <v>4</v>
      </c>
      <c r="BT223" t="s">
        <v>4</v>
      </c>
      <c r="BU223" t="s">
        <v>3</v>
      </c>
      <c r="BV223" t="s">
        <v>4</v>
      </c>
      <c r="BW223" t="s">
        <v>3</v>
      </c>
      <c r="BX223" t="s">
        <v>4</v>
      </c>
      <c r="BY223" t="s">
        <v>4</v>
      </c>
      <c r="BZ223" t="s">
        <v>3</v>
      </c>
      <c r="CA223" t="s">
        <v>3</v>
      </c>
    </row>
    <row r="224" spans="41:79">
      <c r="AO224" s="69" t="s">
        <v>504</v>
      </c>
      <c r="AP224" s="69"/>
      <c r="AQ224">
        <f>PRODUCT('Data Training 1'!AW22,'Data Training 1'!AT33,'Data Training 1'!AT40,'Data Training 1'!AT45,'Data Training 1'!AT52,'Data Training 1'!AT58,'Data Training 1'!AT64,'Data Training 1'!AT70,'Data Training 1'!AT75,'Data Training 1'!AT81,'Data Training 1'!AT87,'Data Training 1'!AT94,'Data Training 1'!AT97,'Data Training 1'!AT106,'Data Training 1'!AT111,'Data Training 1'!AT115,'Data Training 1'!AT124,'Data Training 1'!AT130,'Data Training 1'!AT136,'Data Training 1'!AT139,'Data Training 1'!AT146,'Data Training 1'!AT151,'Data Training 1'!AT157,'Data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225" spans="41:79">
      <c r="AO225" s="69" t="s">
        <v>505</v>
      </c>
      <c r="AP225" s="69"/>
      <c r="AQ225">
        <f>PRODUCT('Data Training 1'!AW23,'Data Training 1'!AU33,'Data Training 1'!AU40,'Data Training 1'!AU45,'Data Training 1'!AU52,'Data Training 1'!AU58,'Data Training 1'!AU64,'Data Training 1'!AU70,'Data Training 1'!AU75,'Data Training 1'!AU81,'Data Training 1'!AU87,'Data Training 1'!AU94,'Data Training 1'!AU97,'Data Training 1'!AU106,'Data Training 1'!AU111,'Data Training 1'!AU115,'Data Training 1'!AU124,'Data Training 1'!AU130,'Data Training 1'!AU136,'Data Training 1'!AU139,'Data Training 1'!AU146,'Data Training 1'!AU151,'Data Training 1'!AU157,'Data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226" spans="41:79">
      <c r="AO226" s="69" t="s">
        <v>506</v>
      </c>
      <c r="AP226" s="69"/>
      <c r="AQ226">
        <f>PRODUCT('Data Training 1'!AW24,'Data Training 1'!AV33,'Data Training 1'!AV40,'Data Training 1'!AV45,'Data Training 1'!AV52,'Data Training 1'!AV58,'Data Training 1'!AV64,'Data Training 1'!AV70,'Data Training 1'!AV75,'Data Training 1'!AV81,'Data Training 1'!AV87,'Data Training 1'!AV94,'Data Training 1'!AV97,'Data Training 1'!AV106,'Data Training 1'!AV111,'Data Training 1'!AV115,'Data Training 1'!AV124,'Data Training 1'!AV130,'Data Training 1'!AV136,'Data Training 1'!AV139,'Data Training 1'!AV146,'Data Training 1'!AV151,'Data Training 1'!AV157,'Data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0</v>
      </c>
    </row>
    <row r="227" spans="41:79">
      <c r="AO227" s="69" t="s">
        <v>507</v>
      </c>
      <c r="AP227" s="69"/>
      <c r="AQ227">
        <f>PRODUCT('Data Training 1'!AW25,'Data Training 1'!AW33,'Data Training 1'!AW40,'Data Training 1'!AW45,'Data Training 1'!AW52,'Data Training 1'!AW58,'Data Training 1'!AW64,'Data Training 1'!AW70,'Data Training 1'!AW75,'Data Training 1'!AW81,'Data Training 1'!AW87,'Data Training 1'!AW94,'Data Training 1'!AW97,'Data Training 1'!AW106,'Data Training 1'!AW111,'Data Training 1'!AW115,'Data Training 1'!AW124,'Data Training 1'!AW130,'Data Training 1'!AW136,'Data Training 1'!AW139,'Data Training 1'!AW146,'Data Training 1'!AW151,'Data Training 1'!AW157,'Data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1.6555022519251112E-10</v>
      </c>
    </row>
    <row r="228" spans="41:79">
      <c r="AO228" s="69" t="s">
        <v>508</v>
      </c>
      <c r="AP228" s="69"/>
      <c r="AQ228">
        <f>PRODUCT('Data Training 1'!AW26,'Data Training 1'!AX33,'Data Training 1'!AX40,'Data Training 1'!AX45,'Data Training 1'!AX52,'Data Training 1'!AX58,'Data Training 1'!AX64,'Data Training 1'!AX70,'Data Training 1'!AX75,'Data Training 1'!AX81,'Data Training 1'!AX87,'Data Training 1'!AX94,'Data Training 1'!AX97,'Data Training 1'!AX106,'Data Training 1'!AX111,'Data Training 1'!AX115,'Data Training 1'!AX124,'Data Training 1'!AX130,'Data Training 1'!AX136,'Data Training 1'!AX139,'Data Training 1'!AX146,'Data Training 1'!AX151,'Data Training 1'!AX157,'Data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0</v>
      </c>
    </row>
    <row r="229" spans="41:79">
      <c r="AO229" s="69" t="s">
        <v>509</v>
      </c>
      <c r="AP229" s="69"/>
      <c r="AQ229">
        <f>PRODUCT('Data Training 1'!AW27,'Data Training 1'!AY33,'Data Training 1'!AY40,'Data Training 1'!AY45,'Data Training 1'!AY52,'Data Training 1'!AY58,'Data Training 1'!AY64,'Data Training 1'!AY70,'Data Training 1'!AY75,'Data Training 1'!AY81,'Data Training 1'!AY87,'Data Training 1'!AY94,'Data Training 1'!AY97,'Data Training 1'!AY106,'Data Training 1'!AY111,'Data Training 1'!AY115,'Data Training 1'!AY124,'Data Training 1'!AY130,'Data Training 1'!AY136,'Data Training 1'!AY139,'Data Training 1'!AY146,'Data Training 1'!AY151,'Data Training 1'!AY157,'Data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230" spans="41:79">
      <c r="AO230" s="78" t="s">
        <v>437</v>
      </c>
      <c r="AP230" s="78"/>
      <c r="AQ230" t="s">
        <v>296</v>
      </c>
      <c r="AR230" s="74" t="s">
        <v>438</v>
      </c>
      <c r="AS230" s="74"/>
      <c r="AT230" s="74"/>
    </row>
    <row r="232" spans="41:79">
      <c r="AO232" s="79" t="s">
        <v>486</v>
      </c>
      <c r="AP232" s="79"/>
      <c r="AQ232" s="20" t="s">
        <v>64</v>
      </c>
      <c r="AR232" s="1" t="s">
        <v>43</v>
      </c>
      <c r="AS232" s="1" t="s">
        <v>44</v>
      </c>
      <c r="AT232" s="1" t="s">
        <v>45</v>
      </c>
      <c r="AU232" s="1" t="s">
        <v>46</v>
      </c>
      <c r="AV232" s="1" t="s">
        <v>47</v>
      </c>
      <c r="AW232" s="1" t="s">
        <v>48</v>
      </c>
      <c r="AX232" s="1" t="s">
        <v>49</v>
      </c>
      <c r="AY232" s="1" t="s">
        <v>50</v>
      </c>
      <c r="AZ232" s="1" t="s">
        <v>51</v>
      </c>
      <c r="BA232" s="1" t="s">
        <v>52</v>
      </c>
      <c r="BB232" s="1" t="s">
        <v>53</v>
      </c>
      <c r="BC232" s="1" t="s">
        <v>54</v>
      </c>
      <c r="BD232" s="1" t="s">
        <v>55</v>
      </c>
      <c r="BE232" s="1" t="s">
        <v>56</v>
      </c>
      <c r="BF232" s="1" t="s">
        <v>57</v>
      </c>
      <c r="BG232" s="1" t="s">
        <v>58</v>
      </c>
      <c r="BH232" s="1" t="s">
        <v>59</v>
      </c>
      <c r="BI232" s="1" t="s">
        <v>60</v>
      </c>
      <c r="BJ232" s="1" t="s">
        <v>61</v>
      </c>
      <c r="BK232" s="1" t="s">
        <v>62</v>
      </c>
      <c r="BL232" s="1" t="s">
        <v>63</v>
      </c>
      <c r="BM232" s="1" t="s">
        <v>330</v>
      </c>
      <c r="BN232" s="1" t="s">
        <v>331</v>
      </c>
      <c r="BO232" s="1" t="s">
        <v>332</v>
      </c>
      <c r="BP232" s="1" t="s">
        <v>333</v>
      </c>
      <c r="BQ232" s="1" t="s">
        <v>334</v>
      </c>
      <c r="BR232" s="1" t="s">
        <v>335</v>
      </c>
      <c r="BS232" s="1" t="s">
        <v>336</v>
      </c>
      <c r="BT232" s="1" t="s">
        <v>337</v>
      </c>
      <c r="BU232" s="1" t="s">
        <v>338</v>
      </c>
      <c r="BV232" s="1" t="s">
        <v>339</v>
      </c>
      <c r="BW232" s="1" t="s">
        <v>340</v>
      </c>
      <c r="BX232" s="1" t="s">
        <v>341</v>
      </c>
      <c r="BY232" s="1" t="s">
        <v>342</v>
      </c>
      <c r="BZ232" s="1" t="s">
        <v>343</v>
      </c>
      <c r="CA232" s="1" t="s">
        <v>390</v>
      </c>
    </row>
    <row r="233" spans="41:79">
      <c r="AO233" s="79"/>
      <c r="AP233" s="79"/>
      <c r="AQ233" s="20">
        <v>4</v>
      </c>
      <c r="AR233" t="s">
        <v>3</v>
      </c>
      <c r="AS233" t="s">
        <v>5</v>
      </c>
      <c r="AT233" t="s">
        <v>4</v>
      </c>
      <c r="AU233" t="s">
        <v>5</v>
      </c>
      <c r="AV233" t="s">
        <v>5</v>
      </c>
      <c r="AW233" t="s">
        <v>5</v>
      </c>
      <c r="AX233" t="s">
        <v>5</v>
      </c>
      <c r="AY233" t="s">
        <v>2</v>
      </c>
      <c r="AZ233" t="s">
        <v>2</v>
      </c>
      <c r="BA233" t="s">
        <v>4</v>
      </c>
      <c r="BB233" t="s">
        <v>4</v>
      </c>
      <c r="BC233" t="s">
        <v>5</v>
      </c>
      <c r="BD233" t="s">
        <v>2</v>
      </c>
      <c r="BE233" t="s">
        <v>3</v>
      </c>
      <c r="BF233" t="s">
        <v>5</v>
      </c>
      <c r="BG233" t="s">
        <v>5</v>
      </c>
      <c r="BH233" t="s">
        <v>2</v>
      </c>
      <c r="BI233" t="s">
        <v>5</v>
      </c>
      <c r="BJ233" t="s">
        <v>5</v>
      </c>
      <c r="BK233" t="s">
        <v>4</v>
      </c>
      <c r="BL233" t="s">
        <v>4</v>
      </c>
      <c r="BM233" t="s">
        <v>2</v>
      </c>
      <c r="BN233" t="s">
        <v>3</v>
      </c>
      <c r="BO233" t="s">
        <v>4</v>
      </c>
      <c r="BP233" t="s">
        <v>4</v>
      </c>
      <c r="BQ233" t="s">
        <v>4</v>
      </c>
      <c r="BR233" t="s">
        <v>4</v>
      </c>
      <c r="BS233" t="s">
        <v>4</v>
      </c>
      <c r="BT233" t="s">
        <v>4</v>
      </c>
      <c r="BU233" t="s">
        <v>3</v>
      </c>
      <c r="BV233" t="s">
        <v>4</v>
      </c>
      <c r="BW233" t="s">
        <v>3</v>
      </c>
      <c r="BX233" t="s">
        <v>4</v>
      </c>
      <c r="BY233" t="s">
        <v>4</v>
      </c>
      <c r="BZ233" t="s">
        <v>4</v>
      </c>
      <c r="CA233" t="s">
        <v>3</v>
      </c>
    </row>
    <row r="234" spans="41:79">
      <c r="AO234" s="69" t="s">
        <v>504</v>
      </c>
      <c r="AP234" s="69"/>
      <c r="AQ234">
        <f>PRODUCT('Data Training 1'!AW22,'Data Training 1'!AT32,'Data Training 1'!AT40,'Data Training 1'!AT43,'Data Training 1'!AT52,'Data Training 1'!AT58,'Data Training 1'!AT64,'Data Training 1'!AT70,'Data Training 1'!AT75,'Data Training 1'!AT81,'Data Training 1'!AT85,'Data Training 1'!AT91,'Data Training 1'!AT100,'Data Training 1'!AT105,'Data Training 1'!AT110,'Data Training 1'!AT118,'Data Training 1'!AT124,'Data Training 1'!AT129,'Data Training 1'!AT136,'Data Training 1'!AT142,'Data Training 1'!AT145,'Data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235" spans="41:79">
      <c r="AO235" s="69" t="s">
        <v>505</v>
      </c>
      <c r="AP235" s="69"/>
      <c r="AQ235">
        <f>PRODUCT('Data Training 1'!AW23,'Data Training 1'!AU32,'Data Training 1'!AU40,'Data Training 1'!AU43,'Data Training 1'!AU52,'Data Training 1'!AU58,'Data Training 1'!AU64,'Data Training 1'!AU70,'Data Training 1'!AU75,'Data Training 1'!AU81,'Data Training 1'!AU85,'Data Training 1'!AU91,'Data Training 1'!AU100,'Data Training 1'!AU105,'Data Training 1'!AU110,'Data Training 1'!AU118,'Data Training 1'!AU124,'Data Training 1'!AU129,'Data Training 1'!AU136,'Data Training 1'!AU142,'Data Training 1'!AU145,'Data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236" spans="41:79">
      <c r="AO236" s="69" t="s">
        <v>506</v>
      </c>
      <c r="AP236" s="69"/>
      <c r="AQ236">
        <f>PRODUCT('Data Training 1'!AW24,'Data Training 1'!AV32,'Data Training 1'!AV40,'Data Training 1'!AV43,'Data Training 1'!AV52,'Data Training 1'!AV58,'Data Training 1'!AV64,'Data Training 1'!AV70,'Data Training 1'!AV75,'Data Training 1'!AV81,'Data Training 1'!AV85,'Data Training 1'!AV91,'Data Training 1'!AV100,'Data Training 1'!AV105,'Data Training 1'!AV110,'Data Training 1'!AV118,'Data Training 1'!AV124,'Data Training 1'!AV129,'Data Training 1'!AV136,'Data Training 1'!AV142,'Data Training 1'!AV145,'Data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237" spans="41:79">
      <c r="AO237" s="69" t="s">
        <v>507</v>
      </c>
      <c r="AP237" s="69"/>
      <c r="AQ237">
        <f>PRODUCT('Data Training 1'!AW25,'Data Training 1'!AW32,'Data Training 1'!AW40,'Data Training 1'!AW43,'Data Training 1'!AW52,'Data Training 1'!AW58,'Data Training 1'!AW64,'Data Training 1'!AW70,'Data Training 1'!AW75,'Data Training 1'!AW81,'Data Training 1'!AW85,'Data Training 1'!AW91,'Data Training 1'!AW100,'Data Training 1'!AW105,'Data Training 1'!AW110,'Data Training 1'!AW118,'Data Training 1'!AW124,'Data Training 1'!AW129,'Data Training 1'!AW136,'Data Training 1'!AW142,'Data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8.0449200341484734E-10</v>
      </c>
    </row>
    <row r="238" spans="41:79">
      <c r="AO238" s="69" t="s">
        <v>508</v>
      </c>
      <c r="AP238" s="69"/>
      <c r="AQ238">
        <f>PRODUCT('Data Training 1'!AW26,'Data Training 1'!AX32,'Data Training 1'!AX40,'Data Training 1'!AX43,'Data Training 1'!AX52,'Data Training 1'!AX58,'Data Training 1'!AX64,'Data Training 1'!AX70,'Data Training 1'!AX75,'Data Training 1'!AX81,'Data Training 1'!AX85,'Data Training 1'!AX91,'Data Training 1'!AX100,'Data Training 1'!AX105,'Data Training 1'!AX110,'Data Training 1'!AX118,'Data Training 1'!AX124,'Data Training 1'!AX129,'Data Training 1'!AX136,'Data Training 1'!AX142,'Data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0</v>
      </c>
    </row>
    <row r="239" spans="41:79">
      <c r="AO239" s="69" t="s">
        <v>509</v>
      </c>
      <c r="AP239" s="69"/>
      <c r="AQ239">
        <f>PRODUCT('Data Training 1'!AW27,'Data Training 1'!AY32,'Data Training 1'!AY40,'Data Training 1'!AY43,'Data Training 1'!AY52,'Data Training 1'!AY58,'Data Training 1'!AY64,'Data Training 1'!AY70,'Data Training 1'!AY75,'Data Training 1'!AY81,'Data Training 1'!AY85,'Data Training 1'!AY91,'Data Training 1'!AY100,'Data Training 1'!AY105,'Data Training 1'!AY110,'Data Training 1'!AY118,'Data Training 1'!AY124,'Data Training 1'!AY129,'Data Training 1'!AY136,'Data Training 1'!AY142,'Data Training 1'!AY145,'Data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0</v>
      </c>
    </row>
    <row r="240" spans="41:79">
      <c r="AO240" s="78" t="s">
        <v>437</v>
      </c>
      <c r="AP240" s="78"/>
      <c r="AQ240" t="s">
        <v>296</v>
      </c>
      <c r="AR240" s="74" t="s">
        <v>438</v>
      </c>
      <c r="AS240" s="74"/>
      <c r="AT240" s="74"/>
    </row>
    <row r="242" spans="41:79">
      <c r="AO242" s="79" t="s">
        <v>324</v>
      </c>
      <c r="AP242" s="79"/>
      <c r="AQ242" s="20" t="s">
        <v>64</v>
      </c>
      <c r="AR242" s="1" t="s">
        <v>43</v>
      </c>
      <c r="AS242" s="1" t="s">
        <v>44</v>
      </c>
      <c r="AT242" s="1" t="s">
        <v>45</v>
      </c>
      <c r="AU242" s="1" t="s">
        <v>46</v>
      </c>
      <c r="AV242" s="1" t="s">
        <v>47</v>
      </c>
      <c r="AW242" s="1" t="s">
        <v>48</v>
      </c>
      <c r="AX242" s="1" t="s">
        <v>49</v>
      </c>
      <c r="AY242" s="1" t="s">
        <v>50</v>
      </c>
      <c r="AZ242" s="1" t="s">
        <v>51</v>
      </c>
      <c r="BA242" s="1" t="s">
        <v>52</v>
      </c>
      <c r="BB242" s="1" t="s">
        <v>53</v>
      </c>
      <c r="BC242" s="1" t="s">
        <v>54</v>
      </c>
      <c r="BD242" s="1" t="s">
        <v>55</v>
      </c>
      <c r="BE242" s="1" t="s">
        <v>56</v>
      </c>
      <c r="BF242" s="1" t="s">
        <v>57</v>
      </c>
      <c r="BG242" s="1" t="s">
        <v>58</v>
      </c>
      <c r="BH242" s="1" t="s">
        <v>59</v>
      </c>
      <c r="BI242" s="1" t="s">
        <v>60</v>
      </c>
      <c r="BJ242" s="1" t="s">
        <v>61</v>
      </c>
      <c r="BK242" s="1" t="s">
        <v>62</v>
      </c>
      <c r="BL242" s="1" t="s">
        <v>63</v>
      </c>
      <c r="BM242" s="1" t="s">
        <v>330</v>
      </c>
      <c r="BN242" s="1" t="s">
        <v>331</v>
      </c>
      <c r="BO242" s="1" t="s">
        <v>332</v>
      </c>
      <c r="BP242" s="1" t="s">
        <v>333</v>
      </c>
      <c r="BQ242" s="1" t="s">
        <v>334</v>
      </c>
      <c r="BR242" s="1" t="s">
        <v>335</v>
      </c>
      <c r="BS242" s="1" t="s">
        <v>336</v>
      </c>
      <c r="BT242" s="1" t="s">
        <v>337</v>
      </c>
      <c r="BU242" s="1" t="s">
        <v>338</v>
      </c>
      <c r="BV242" s="1" t="s">
        <v>339</v>
      </c>
      <c r="BW242" s="1" t="s">
        <v>340</v>
      </c>
      <c r="BX242" s="1" t="s">
        <v>341</v>
      </c>
      <c r="BY242" s="1" t="s">
        <v>342</v>
      </c>
      <c r="BZ242" s="1" t="s">
        <v>343</v>
      </c>
      <c r="CA242" s="1" t="s">
        <v>390</v>
      </c>
    </row>
    <row r="243" spans="41:79">
      <c r="AO243" s="79"/>
      <c r="AP243" s="79"/>
      <c r="AQ243" s="20">
        <v>5</v>
      </c>
      <c r="AR243" t="s">
        <v>5</v>
      </c>
      <c r="AS243" t="s">
        <v>3</v>
      </c>
      <c r="AT243" t="s">
        <v>3</v>
      </c>
      <c r="AU243" t="s">
        <v>5</v>
      </c>
      <c r="AV243" t="s">
        <v>5</v>
      </c>
      <c r="AW243" t="s">
        <v>5</v>
      </c>
      <c r="AX243" t="s">
        <v>5</v>
      </c>
      <c r="AY243" t="s">
        <v>2</v>
      </c>
      <c r="AZ243" t="s">
        <v>2</v>
      </c>
      <c r="BA243" t="s">
        <v>5</v>
      </c>
      <c r="BB243" t="s">
        <v>3</v>
      </c>
      <c r="BC243" t="s">
        <v>2</v>
      </c>
      <c r="BD243" t="s">
        <v>5</v>
      </c>
      <c r="BE243" t="s">
        <v>2</v>
      </c>
      <c r="BF243" t="s">
        <v>3</v>
      </c>
      <c r="BG243" t="s">
        <v>5</v>
      </c>
      <c r="BH243" t="s">
        <v>5</v>
      </c>
      <c r="BI243" t="s">
        <v>5</v>
      </c>
      <c r="BJ243" t="s">
        <v>5</v>
      </c>
      <c r="BK243" t="s">
        <v>3</v>
      </c>
      <c r="BL243" t="s">
        <v>4</v>
      </c>
      <c r="BM243" t="s">
        <v>2</v>
      </c>
      <c r="BN243" t="s">
        <v>3</v>
      </c>
      <c r="BO243" t="s">
        <v>4</v>
      </c>
      <c r="BP243" t="s">
        <v>4</v>
      </c>
      <c r="BQ243" t="s">
        <v>4</v>
      </c>
      <c r="BR243" t="s">
        <v>4</v>
      </c>
      <c r="BS243" t="s">
        <v>4</v>
      </c>
      <c r="BT243" t="s">
        <v>4</v>
      </c>
      <c r="BU243" t="s">
        <v>3</v>
      </c>
      <c r="BV243" t="s">
        <v>4</v>
      </c>
      <c r="BW243" t="s">
        <v>3</v>
      </c>
      <c r="BX243" t="s">
        <v>4</v>
      </c>
      <c r="BY243" t="s">
        <v>4</v>
      </c>
      <c r="BZ243" t="s">
        <v>4</v>
      </c>
      <c r="CA243" t="s">
        <v>3</v>
      </c>
    </row>
    <row r="244" spans="41:79">
      <c r="AO244" s="69" t="s">
        <v>504</v>
      </c>
      <c r="AP244" s="69"/>
      <c r="AQ244">
        <f>'Data Training 1'!AW22*'Data Training 1'!AT34*'Data Training 1'!AT38*'Data Training 1'!AT44*'Data Training 1'!AT52*'Data Training 1'!AT58*'Data Training 1'!AT64*'Data Training 1'!AT70*'Data Training 1'!AT75*'Data Training 1'!AT81*'Data Training 1'!AT88*'Data Training 1'!AT92*'Data Training 1'!AT99*'Data Training 1'!AT106*'Data Training 1'!AT111*'Data Training 1'!AT116*'Data Training 1'!AT124*'Data Training 1'!AT130*'Data Training 1'!AT136*'Data Training 1'!AT142*'Data Training 1'!AT146*'Data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1'!AT211*'Data Training 1'!AT216</f>
        <v>0</v>
      </c>
    </row>
    <row r="245" spans="41:79">
      <c r="AO245" s="69" t="s">
        <v>505</v>
      </c>
      <c r="AP245" s="69"/>
      <c r="AQ245">
        <f>'Data Training 1'!AW23*'Data Training 1'!AU34*'Data Training 1'!AU38*'Data Training 1'!AU44*'Data Training 1'!AU52*'Data Training 1'!AU58*'Data Training 1'!AU64*'Data Training 1'!AU70*'Data Training 1'!AU75*'Data Training 1'!AU81*'Data Training 1'!AU88*'Data Training 1'!AU92*'Data Training 1'!AU99*'Data Training 1'!AU106*'Data Training 1'!AU111*'Data Training 1'!AU116*'Data Training 1'!AU124*'Data Training 1'!AU130*'Data Training 1'!AU136*'Data Training 1'!AU142*'Data Training 1'!AU146*'Data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1'!AU211*'Data Training 1'!AU216</f>
        <v>0</v>
      </c>
    </row>
    <row r="246" spans="41:79">
      <c r="AO246" s="69" t="s">
        <v>506</v>
      </c>
      <c r="AP246" s="69"/>
      <c r="AQ246">
        <f>'Data Training 1'!AW24*'Data Training 1'!AV34*'Data Training 1'!AV38*'Data Training 1'!AV44*'Data Training 1'!AV52*'Data Training 1'!AV58*'Data Training 1'!AV64*'Data Training 1'!AV70*'Data Training 1'!AV75*'Data Training 1'!AV81*'Data Training 1'!AV88*'Data Training 1'!AV92*'Data Training 1'!AV99*'Data Training 1'!AV106*'Data Training 1'!AV111*'Data Training 1'!AV116*'Data Training 1'!AV124*'Data Training 1'!AV130*'Data Training 1'!AV136*'Data Training 1'!AV142*'Data Training 1'!AV146*'Data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1'!AV211*'Data Training 1'!AV216</f>
        <v>0</v>
      </c>
    </row>
    <row r="247" spans="41:79">
      <c r="AO247" s="69" t="s">
        <v>507</v>
      </c>
      <c r="AP247" s="69"/>
      <c r="AQ247">
        <f>'Data Training 1'!AW25*'Data Training 1'!AW34*'Data Training 1'!AW38*'Data Training 1'!AW44*'Data Training 1'!AW52*'Data Training 1'!AW58*'Data Training 1'!AW64*'Data Training 1'!AW70*'Data Training 1'!AW75*'Data Training 1'!AW81*'Data Training 1'!AW88*'Data Training 1'!AW92*'Data Training 1'!AW99*'Data Training 1'!AW106*'Data Training 1'!AW111*'Data Training 1'!AW116*'Data Training 1'!AW124*'Data Training 1'!AW130*'Data Training 1'!AW136*'Data Training 1'!AW142*'Data Training 1'!AW146*'Data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1'!AW211*'Data Training 1'!AW216</f>
        <v>1.2515597024553842E-7</v>
      </c>
    </row>
    <row r="248" spans="41:79">
      <c r="AO248" s="69" t="s">
        <v>508</v>
      </c>
      <c r="AP248" s="69"/>
      <c r="AQ248">
        <f>'Data Training 1'!AW26*'Data Training 1'!AX34*'Data Training 1'!AX38*'Data Training 1'!AX44*'Data Training 1'!AX52*'Data Training 1'!AX58*'Data Training 1'!AX64*'Data Training 1'!AX70*'Data Training 1'!AX75*'Data Training 1'!AX81*'Data Training 1'!AX88*'Data Training 1'!AX92*'Data Training 1'!AX99*'Data Training 1'!AX106*'Data Training 1'!AX111*'Data Training 1'!AX116*'Data Training 1'!AX124*'Data Training 1'!AX130*'Data Training 1'!AX136*'Data Training 1'!AX142*'Data Training 1'!AX146*'Data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1'!AX211*'Data Training 1'!AX216</f>
        <v>2.1264687979151626E-8</v>
      </c>
    </row>
    <row r="249" spans="41:79">
      <c r="AO249" s="69" t="s">
        <v>509</v>
      </c>
      <c r="AP249" s="69"/>
      <c r="AQ249">
        <f>'Data Training 1'!AW27*'Data Training 1'!AY34*'Data Training 1'!AY38*'Data Training 1'!AY44*'Data Training 1'!AY52*'Data Training 1'!AY58*'Data Training 1'!AY64*'Data Training 1'!AY70*'Data Training 1'!AY75*'Data Training 1'!AY81*'Data Training 1'!AY88*'Data Training 1'!AY92*'Data Training 1'!AY99*'Data Training 1'!AY106*'Data Training 1'!AY111*'Data Training 1'!AY116*'Data Training 1'!AY124*'Data Training 1'!AY130*'Data Training 1'!AY136*'Data Training 1'!AY142*'Data Training 1'!AY146*'Data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1'!AY211*'Data Training 1'!AY216</f>
        <v>7.5634343952512571E-11</v>
      </c>
    </row>
    <row r="250" spans="41:79">
      <c r="AO250" s="78" t="s">
        <v>437</v>
      </c>
      <c r="AP250" s="78"/>
      <c r="AQ250" t="s">
        <v>298</v>
      </c>
      <c r="AR250" s="86" t="s">
        <v>514</v>
      </c>
      <c r="AS250" s="86"/>
      <c r="AT250" s="86"/>
    </row>
    <row r="252" spans="41:79">
      <c r="AO252" s="79" t="s">
        <v>503</v>
      </c>
      <c r="AP252" s="79"/>
      <c r="AQ252" s="20" t="s">
        <v>64</v>
      </c>
      <c r="AR252" s="1" t="s">
        <v>43</v>
      </c>
      <c r="AS252" s="1" t="s">
        <v>44</v>
      </c>
      <c r="AT252" s="1" t="s">
        <v>45</v>
      </c>
      <c r="AU252" s="1" t="s">
        <v>46</v>
      </c>
      <c r="AV252" s="1" t="s">
        <v>47</v>
      </c>
      <c r="AW252" s="1" t="s">
        <v>48</v>
      </c>
      <c r="AX252" s="1" t="s">
        <v>49</v>
      </c>
      <c r="AY252" s="1" t="s">
        <v>50</v>
      </c>
      <c r="AZ252" s="1" t="s">
        <v>51</v>
      </c>
      <c r="BA252" s="1" t="s">
        <v>52</v>
      </c>
      <c r="BB252" s="1" t="s">
        <v>53</v>
      </c>
      <c r="BC252" s="1" t="s">
        <v>54</v>
      </c>
      <c r="BD252" s="1" t="s">
        <v>55</v>
      </c>
      <c r="BE252" s="1" t="s">
        <v>56</v>
      </c>
      <c r="BF252" s="1" t="s">
        <v>57</v>
      </c>
      <c r="BG252" s="1" t="s">
        <v>58</v>
      </c>
      <c r="BH252" s="1" t="s">
        <v>59</v>
      </c>
      <c r="BI252" s="1" t="s">
        <v>60</v>
      </c>
      <c r="BJ252" s="1" t="s">
        <v>61</v>
      </c>
      <c r="BK252" s="1" t="s">
        <v>62</v>
      </c>
      <c r="BL252" s="1" t="s">
        <v>63</v>
      </c>
      <c r="BM252" s="1" t="s">
        <v>330</v>
      </c>
      <c r="BN252" s="1" t="s">
        <v>331</v>
      </c>
      <c r="BO252" s="1" t="s">
        <v>332</v>
      </c>
      <c r="BP252" s="1" t="s">
        <v>333</v>
      </c>
      <c r="BQ252" s="1" t="s">
        <v>334</v>
      </c>
      <c r="BR252" s="1" t="s">
        <v>335</v>
      </c>
      <c r="BS252" s="1" t="s">
        <v>336</v>
      </c>
      <c r="BT252" s="1" t="s">
        <v>337</v>
      </c>
      <c r="BU252" s="1" t="s">
        <v>338</v>
      </c>
      <c r="BV252" s="1" t="s">
        <v>339</v>
      </c>
      <c r="BW252" s="1" t="s">
        <v>340</v>
      </c>
      <c r="BX252" s="1" t="s">
        <v>341</v>
      </c>
      <c r="BY252" s="1" t="s">
        <v>342</v>
      </c>
      <c r="BZ252" s="1" t="s">
        <v>343</v>
      </c>
      <c r="CA252" s="1" t="s">
        <v>390</v>
      </c>
    </row>
    <row r="253" spans="41:79">
      <c r="AO253" s="79"/>
      <c r="AP253" s="79"/>
      <c r="AQ253" s="20">
        <v>5</v>
      </c>
      <c r="AR253" t="s">
        <v>5</v>
      </c>
      <c r="AS253" t="s">
        <v>3</v>
      </c>
      <c r="AT253" t="s">
        <v>5</v>
      </c>
      <c r="AU253" t="s">
        <v>5</v>
      </c>
      <c r="AV253" t="s">
        <v>5</v>
      </c>
      <c r="AW253" t="s">
        <v>5</v>
      </c>
      <c r="AX253" t="s">
        <v>5</v>
      </c>
      <c r="AY253" t="s">
        <v>2</v>
      </c>
      <c r="AZ253" t="s">
        <v>2</v>
      </c>
      <c r="BA253" t="s">
        <v>4</v>
      </c>
      <c r="BB253" t="s">
        <v>4</v>
      </c>
      <c r="BC253" t="s">
        <v>3</v>
      </c>
      <c r="BD253" t="s">
        <v>5</v>
      </c>
      <c r="BE253" t="s">
        <v>2</v>
      </c>
      <c r="BF253" t="s">
        <v>5</v>
      </c>
      <c r="BG253" t="s">
        <v>2</v>
      </c>
      <c r="BH253" t="s">
        <v>2</v>
      </c>
      <c r="BI253" t="s">
        <v>5</v>
      </c>
      <c r="BJ253" t="s">
        <v>4</v>
      </c>
      <c r="BK253" t="s">
        <v>3</v>
      </c>
      <c r="BL253" t="s">
        <v>3</v>
      </c>
      <c r="BM253" t="s">
        <v>4</v>
      </c>
      <c r="BN253" t="s">
        <v>3</v>
      </c>
      <c r="BO253" t="s">
        <v>4</v>
      </c>
      <c r="BP253" t="s">
        <v>4</v>
      </c>
      <c r="BQ253" t="s">
        <v>4</v>
      </c>
      <c r="BR253" t="s">
        <v>4</v>
      </c>
      <c r="BS253" t="s">
        <v>4</v>
      </c>
      <c r="BT253" t="s">
        <v>3</v>
      </c>
      <c r="BU253" t="s">
        <v>3</v>
      </c>
      <c r="BV253" t="s">
        <v>4</v>
      </c>
      <c r="BW253" t="s">
        <v>3</v>
      </c>
      <c r="BX253" t="s">
        <v>4</v>
      </c>
      <c r="BY253" t="s">
        <v>4</v>
      </c>
      <c r="BZ253" t="s">
        <v>4</v>
      </c>
      <c r="CA253" t="s">
        <v>3</v>
      </c>
    </row>
    <row r="254" spans="41:79">
      <c r="AO254" s="69" t="s">
        <v>504</v>
      </c>
      <c r="AP254" s="69"/>
      <c r="AQ254">
        <f>'Data Training 1'!AW22*'Data Training 1'!AT34*'Data Training 1'!AT38*'Data Training 1'!AT46*'Data Training 1'!AT52*'Data Training 1'!AT58*'Data Training 1'!AT64*'Data Training 1'!AT70*'Data Training 1'!AT75*'Data Training 1'!AT81*'Data Training 1'!AT85*'Data Training 1'!AT91*'Data Training 1'!AT98*'Data Training 1'!AT106*'Data Training 1'!AT111*'Data Training 1'!AT118*'Data Training 1'!AT123*'Data Training 1'!AT129*'Data Training 1'!AT136*'Data Training 1'!AT139*'Data Training 1'!AT146*'Data Training 1'!AT152*'Data Training 1'!AT157*'Data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55" spans="41:79">
      <c r="AO255" s="69" t="s">
        <v>505</v>
      </c>
      <c r="AP255" s="69"/>
      <c r="AQ255">
        <f>'Data Training 1'!AW23*'Data Training 1'!AU34*'Data Training 1'!AU38*'Data Training 1'!AU46*'Data Training 1'!AU52*'Data Training 1'!AU58*'Data Training 1'!AU64*'Data Training 1'!AU70*'Data Training 1'!AU75*'Data Training 1'!AU81*'Data Training 1'!AU85*'Data Training 1'!AU91*'Data Training 1'!AU98*'Data Training 1'!AU106*'Data Training 1'!AU111*'Data Training 1'!AU118*'Data Training 1'!AU123*'Data Training 1'!AU129*'Data Training 1'!AU136*'Data Training 1'!AU139*'Data Training 1'!AU146*'Data Training 1'!AU152*'Data Training 1'!AU157*'Data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56" spans="41:79">
      <c r="AO256" s="69" t="s">
        <v>506</v>
      </c>
      <c r="AP256" s="69"/>
      <c r="AQ256">
        <f>'Data Training 1'!AW24*'Data Training 1'!AV34*'Data Training 1'!AV38*'Data Training 1'!AV46*'Data Training 1'!AV52*'Data Training 1'!AV58*'Data Training 1'!AV64*'Data Training 1'!AV70*'Data Training 1'!AV75*'Data Training 1'!AV81*'Data Training 1'!AV85*'Data Training 1'!AV91*'Data Training 1'!AV98*'Data Training 1'!AV106*'Data Training 1'!AV111*'Data Training 1'!AV118*'Data Training 1'!AV123*'Data Training 1'!AV129*'Data Training 1'!AV136*'Data Training 1'!AV139*'Data Training 1'!AV146*'Data Training 1'!AV152*'Data Training 1'!AV157*'Data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57" spans="41:79">
      <c r="AO257" s="69" t="s">
        <v>507</v>
      </c>
      <c r="AP257" s="69"/>
      <c r="AQ257">
        <f>'Data Training 1'!AW25*'Data Training 1'!AW34*'Data Training 1'!AW38*'Data Training 1'!AW46*'Data Training 1'!AW52*'Data Training 1'!AW58*'Data Training 1'!AW64*'Data Training 1'!AW70*'Data Training 1'!AW75*'Data Training 1'!AW81*'Data Training 1'!AW85*'Data Training 1'!AW91*'Data Training 1'!AW98*'Data Training 1'!AW106*'Data Training 1'!AW111*'Data Training 1'!AW118*'Data Training 1'!AW123*'Data Training 1'!AW129*'Data Training 1'!AW136*'Data Training 1'!AW139*'Data Training 1'!AW146*'Data Training 1'!AW152*'Data Training 1'!AW157*'Data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0</v>
      </c>
    </row>
    <row r="258" spans="41:79">
      <c r="AO258" s="69" t="s">
        <v>508</v>
      </c>
      <c r="AP258" s="69"/>
      <c r="AQ258">
        <f>'Data Training 1'!AW26*'Data Training 1'!AX34*'Data Training 1'!AX38*'Data Training 1'!AX46*'Data Training 1'!AX52*'Data Training 1'!AX58*'Data Training 1'!AX64*'Data Training 1'!AX70*'Data Training 1'!AX75*'Data Training 1'!AX81*'Data Training 1'!AX85*'Data Training 1'!AX91*'Data Training 1'!AX98*'Data Training 1'!AX106*'Data Training 1'!AX111*'Data Training 1'!AX118*'Data Training 1'!AX123*'Data Training 1'!AX129*'Data Training 1'!AX136*'Data Training 1'!AX139*'Data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9.0646533889302756E-11</v>
      </c>
    </row>
    <row r="259" spans="41:79">
      <c r="AO259" s="69" t="s">
        <v>509</v>
      </c>
      <c r="AP259" s="69"/>
      <c r="AQ259">
        <f>'Data Training 1'!AW27*'Data Training 1'!AY34*'Data Training 1'!AY38*'Data Training 1'!AY46*'Data Training 1'!AY52*'Data Training 1'!AY58*'Data Training 1'!AY64*'Data Training 1'!AY70*'Data Training 1'!AY75*'Data Training 1'!AY81*'Data Training 1'!AY85*'Data Training 1'!AY91*'Data Training 1'!AY98*'Data Training 1'!AY106*'Data Training 1'!AY111*'Data Training 1'!AY118*'Data Training 1'!AY123*'Data Training 1'!AY129*'Data Training 1'!AY136*'Data Training 1'!AY139*'Data Training 1'!AY146*'Data Training 1'!AY152*'Data Training 1'!AY157*'Data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0</v>
      </c>
    </row>
    <row r="260" spans="41:79">
      <c r="AO260" s="78" t="s">
        <v>437</v>
      </c>
      <c r="AP260" s="78"/>
      <c r="AQ260" t="s">
        <v>297</v>
      </c>
      <c r="AR260" s="74" t="s">
        <v>438</v>
      </c>
      <c r="AS260" s="74"/>
      <c r="AT260" s="74"/>
    </row>
    <row r="262" spans="41:79">
      <c r="AO262" s="68" t="s">
        <v>326</v>
      </c>
      <c r="AP262" s="68"/>
      <c r="AQ262" s="20" t="s">
        <v>64</v>
      </c>
      <c r="AR262" s="1" t="s">
        <v>43</v>
      </c>
      <c r="AS262" s="1" t="s">
        <v>44</v>
      </c>
      <c r="AT262" s="1" t="s">
        <v>45</v>
      </c>
      <c r="AU262" s="1" t="s">
        <v>46</v>
      </c>
      <c r="AV262" s="1" t="s">
        <v>47</v>
      </c>
      <c r="AW262" s="1" t="s">
        <v>48</v>
      </c>
      <c r="AX262" s="1" t="s">
        <v>49</v>
      </c>
      <c r="AY262" s="1" t="s">
        <v>50</v>
      </c>
      <c r="AZ262" s="1" t="s">
        <v>51</v>
      </c>
      <c r="BA262" s="1" t="s">
        <v>52</v>
      </c>
      <c r="BB262" s="1" t="s">
        <v>53</v>
      </c>
      <c r="BC262" s="1" t="s">
        <v>54</v>
      </c>
      <c r="BD262" s="1" t="s">
        <v>55</v>
      </c>
      <c r="BE262" s="1" t="s">
        <v>56</v>
      </c>
      <c r="BF262" s="1" t="s">
        <v>57</v>
      </c>
      <c r="BG262" s="1" t="s">
        <v>58</v>
      </c>
      <c r="BH262" s="1" t="s">
        <v>59</v>
      </c>
      <c r="BI262" s="1" t="s">
        <v>60</v>
      </c>
      <c r="BJ262" s="1" t="s">
        <v>61</v>
      </c>
      <c r="BK262" s="1" t="s">
        <v>62</v>
      </c>
      <c r="BL262" s="1" t="s">
        <v>63</v>
      </c>
      <c r="BM262" s="1" t="s">
        <v>330</v>
      </c>
      <c r="BN262" s="1" t="s">
        <v>331</v>
      </c>
      <c r="BO262" s="1" t="s">
        <v>332</v>
      </c>
      <c r="BP262" s="1" t="s">
        <v>333</v>
      </c>
      <c r="BQ262" s="1" t="s">
        <v>334</v>
      </c>
      <c r="BR262" s="1" t="s">
        <v>335</v>
      </c>
      <c r="BS262" s="1" t="s">
        <v>336</v>
      </c>
      <c r="BT262" s="1" t="s">
        <v>337</v>
      </c>
      <c r="BU262" s="1" t="s">
        <v>338</v>
      </c>
      <c r="BV262" s="1" t="s">
        <v>339</v>
      </c>
      <c r="BW262" s="1" t="s">
        <v>340</v>
      </c>
      <c r="BX262" s="1" t="s">
        <v>341</v>
      </c>
      <c r="BY262" s="1" t="s">
        <v>342</v>
      </c>
      <c r="BZ262" s="1" t="s">
        <v>343</v>
      </c>
      <c r="CA262" s="1" t="s">
        <v>390</v>
      </c>
    </row>
    <row r="263" spans="41:79">
      <c r="AO263" s="68"/>
      <c r="AP263" s="68"/>
      <c r="AQ263" s="20">
        <v>5</v>
      </c>
      <c r="AR263" t="s">
        <v>5</v>
      </c>
      <c r="AS263" t="s">
        <v>5</v>
      </c>
      <c r="AT263" t="s">
        <v>2</v>
      </c>
      <c r="AU263" t="s">
        <v>5</v>
      </c>
      <c r="AV263" t="s">
        <v>5</v>
      </c>
      <c r="AW263" t="s">
        <v>3</v>
      </c>
      <c r="AX263" t="s">
        <v>5</v>
      </c>
      <c r="AY263" t="s">
        <v>2</v>
      </c>
      <c r="AZ263" t="s">
        <v>2</v>
      </c>
      <c r="BA263" t="s">
        <v>2</v>
      </c>
      <c r="BB263" t="s">
        <v>2</v>
      </c>
      <c r="BC263" t="s">
        <v>2</v>
      </c>
      <c r="BD263" t="s">
        <v>2</v>
      </c>
      <c r="BE263" t="s">
        <v>3</v>
      </c>
      <c r="BF263" t="s">
        <v>3</v>
      </c>
      <c r="BG263" t="s">
        <v>5</v>
      </c>
      <c r="BH263" t="s">
        <v>5</v>
      </c>
      <c r="BI263" t="s">
        <v>5</v>
      </c>
      <c r="BJ263" t="s">
        <v>5</v>
      </c>
      <c r="BK263" t="s">
        <v>3</v>
      </c>
      <c r="BL263" t="s">
        <v>3</v>
      </c>
      <c r="BM263" t="s">
        <v>2</v>
      </c>
      <c r="BN263" t="s">
        <v>3</v>
      </c>
      <c r="BO263" t="s">
        <v>4</v>
      </c>
      <c r="BP263" t="s">
        <v>4</v>
      </c>
      <c r="BQ263" t="s">
        <v>4</v>
      </c>
      <c r="BR263" t="s">
        <v>4</v>
      </c>
      <c r="BS263" t="s">
        <v>4</v>
      </c>
      <c r="BT263" t="s">
        <v>3</v>
      </c>
      <c r="BU263" t="s">
        <v>3</v>
      </c>
      <c r="BV263" t="s">
        <v>4</v>
      </c>
      <c r="BW263" t="s">
        <v>3</v>
      </c>
      <c r="BX263" t="s">
        <v>3</v>
      </c>
      <c r="BY263" t="s">
        <v>4</v>
      </c>
      <c r="BZ263" t="s">
        <v>3</v>
      </c>
      <c r="CA263" t="s">
        <v>3</v>
      </c>
    </row>
    <row r="264" spans="41:79">
      <c r="AO264" s="69" t="s">
        <v>504</v>
      </c>
      <c r="AP264" s="69"/>
      <c r="AQ264">
        <f>'Data Training 1'!AW22*'Data Training 1'!AT34*'Data Training 1'!AT40*'Data Training 1'!AT45*'Data Training 1'!AT52*'Data Training 1'!AT58*'Data Training 1'!AT62*'Data Training 1'!AT70*'Data Training 1'!AT75*'Data Training 1'!AT81*'Data Training 1'!AT87*'Data Training 1'!AT93*'Data Training 1'!AT99*'Data Training 1'!AT105*'Data Training 1'!AT110*'Data Training 1'!AT116*'Data Training 1'!AT124*'Data Training 1'!AT130*'Data Training 1'!AT136*'Data Training 1'!AT142*'Data Training 1'!AT146*'Data Training 1'!AT152*'Data Training 1'!AT159*'Data Training 1'!AT164*'Data Training 1'!AT167*'Data Training 1'!AT171*'Data Training 1'!AT175*'Data Training 1'!AT179*'Data Training 1'!AT183*'Data Training 1'!AT188*'Data Training 1'!AT192*'Data Training 1'!AT195*'Data Training 1'!AT200*'Data Training 1'!AT204*'Data Training 1'!AT207*'Data Training 1'!AT212*'Data Training 1'!AT216</f>
        <v>0</v>
      </c>
    </row>
    <row r="265" spans="41:79">
      <c r="AO265" s="69" t="s">
        <v>505</v>
      </c>
      <c r="AP265" s="69"/>
      <c r="AQ265">
        <f>'Data Training 1'!AW23*'Data Training 1'!AU34*'Data Training 1'!AU40*'Data Training 1'!AU45*'Data Training 1'!AU52*'Data Training 1'!AU58*'Data Training 1'!AU62*'Data Training 1'!AU70*'Data Training 1'!AU75*'Data Training 1'!AU81*'Data Training 1'!AU87*'Data Training 1'!AU93*'Data Training 1'!AU99*'Data Training 1'!AU105*'Data Training 1'!AU110*'Data Training 1'!AU116*'Data Training 1'!AU124*'Data Training 1'!AU130*'Data Training 1'!AU136*'Data Training 1'!AU142*'Data Training 1'!AU146*'Data Training 1'!AU152*'Data Training 1'!AU159*'Data Training 1'!AU164*'Data Training 1'!AU167*'Data Training 1'!AU171*'Data Training 1'!AU175*'Data Training 1'!AU179*'Data Training 1'!AU183*'Data Training 1'!AU188*'Data Training 1'!AU192*'Data Training 1'!AU195*'Data Training 1'!AU200*'Data Training 1'!AU204*'Data Training 1'!AU207*'Data Training 1'!AU212*'Data Training 1'!AU216</f>
        <v>0</v>
      </c>
    </row>
    <row r="266" spans="41:79">
      <c r="AO266" s="69" t="s">
        <v>506</v>
      </c>
      <c r="AP266" s="69"/>
      <c r="AQ266">
        <f>'Data Training 1'!AW24*'Data Training 1'!AV34*'Data Training 1'!AV40*'Data Training 1'!AV45*'Data Training 1'!AV52*'Data Training 1'!AV58*'Data Training 1'!AV62*'Data Training 1'!AV70*'Data Training 1'!AV75*'Data Training 1'!AV81*'Data Training 1'!AV87*'Data Training 1'!AV93*'Data Training 1'!AV99*'Data Training 1'!AV105*'Data Training 1'!AV110*'Data Training 1'!AV116*'Data Training 1'!AV124*'Data Training 1'!AV130*'Data Training 1'!AV136*'Data Training 1'!AV142*'Data Training 1'!AV146*'Data Training 1'!AV152*'Data Training 1'!AV159*'Data Training 1'!AV164*'Data Training 1'!AV167*'Data Training 1'!AV171*'Data Training 1'!AV175*'Data Training 1'!AV179*'Data Training 1'!AV183*'Data Training 1'!AV188*'Data Training 1'!AV192*'Data Training 1'!AV195*'Data Training 1'!AV200*'Data Training 1'!AV204*'Data Training 1'!AV207*'Data Training 1'!AV212*'Data Training 1'!AV216</f>
        <v>0</v>
      </c>
    </row>
    <row r="267" spans="41:79">
      <c r="AO267" s="69" t="s">
        <v>507</v>
      </c>
      <c r="AP267" s="69"/>
      <c r="AQ267">
        <f>'Data Training 1'!AW25*'Data Training 1'!AW34*'Data Training 1'!AW40*'Data Training 1'!AW45*'Data Training 1'!AW52*'Data Training 1'!AW58*'Data Training 1'!AW62*'Data Training 1'!AW70*'Data Training 1'!AW75*'Data Training 1'!AW81*'Data Training 1'!AW87*'Data Training 1'!AW93*'Data Training 1'!AW99*'Data Training 1'!AW105*'Data Training 1'!AW110*'Data Training 1'!AW116*'Data Training 1'!AW124*'Data Training 1'!AW130*'Data Training 1'!AW136*'Data Training 1'!AW142*'Data Training 1'!AW146*'Data Training 1'!AW152*'Data Training 1'!AW159*'Data Training 1'!AW164*'Data Training 1'!AW167*'Data Training 1'!AW171*'Data Training 1'!AW175*'Data Training 1'!AW179*'Data Training 1'!AW183*'Data Training 1'!AW188*'Data Training 1'!AW192*'Data Training 1'!AW195*'Data Training 1'!AW200*'Data Training 1'!AW204*'Data Training 1'!AW207*'Data Training 1'!AW212*'Data Training 1'!AW216</f>
        <v>0</v>
      </c>
    </row>
    <row r="268" spans="41:79">
      <c r="AO268" s="69" t="s">
        <v>508</v>
      </c>
      <c r="AP268" s="69"/>
      <c r="AQ268">
        <f>'Data Training 1'!AW26*'Data Training 1'!AX34*'Data Training 1'!AX40*'Data Training 1'!AX45*'Data Training 1'!AX52*'Data Training 1'!AX58*'Data Training 1'!AX62*'Data Training 1'!AX70*'Data Training 1'!AX75*'Data Training 1'!AX81*'Data Training 1'!AX87*'Data Training 1'!AX93*'Data Training 1'!AX99*'Data Training 1'!AX105*'Data Training 1'!AX110*'Data Training 1'!AX116*'Data Training 1'!AX124*'Data Training 1'!AX130*'Data Training 1'!AX136*'Data Training 1'!AX142*'Data Training 1'!AX146*'Data Training 1'!AX152*'Data Training 1'!AX159*'Data Training 1'!AX164*'Data Training 1'!AX167*'Data Training 1'!AX171*'Data Training 1'!AX175*'Data Training 1'!AX179*'Data Training 1'!AX183*'Data Training 1'!AX188*'Data Training 1'!AX192*'Data Training 1'!AX195*'Data Training 1'!AX200*'Data Training 1'!AX204*'Data Training 1'!AX207*'Data Training 1'!AX212*'Data Training 1'!AX216</f>
        <v>3.0513742317022442E-9</v>
      </c>
    </row>
    <row r="269" spans="41:79">
      <c r="AO269" s="69" t="s">
        <v>509</v>
      </c>
      <c r="AP269" s="69"/>
      <c r="AQ269">
        <f>'Data Training 1'!AW27*'Data Training 1'!AY34*'Data Training 1'!AY40*'Data Training 1'!AY45*'Data Training 1'!AY52*'Data Training 1'!AY58*'Data Training 1'!AY62*'Data Training 1'!AY70*'Data Training 1'!AY75*'Data Training 1'!AY81*'Data Training 1'!AY87*'Data Training 1'!AY93*'Data Training 1'!AY99*'Data Training 1'!AY105*'Data Training 1'!AY110*'Data Training 1'!AY116*'Data Training 1'!AY124*'Data Training 1'!AY130*'Data Training 1'!AY136*'Data Training 1'!AY142*'Data Training 1'!AY146*'Data Training 1'!AY152*'Data Training 1'!AY159*'Data Training 1'!AY164*'Data Training 1'!AY167*'Data Training 1'!AY171*'Data Training 1'!AY175*'Data Training 1'!AY179*'Data Training 1'!AY183*'Data Training 1'!AY188*'Data Training 1'!AY192*'Data Training 1'!AY195*'Data Training 1'!AY200*'Data Training 1'!AY204*'Data Training 1'!AY207*'Data Training 1'!AY212*'Data Training 1'!AY216</f>
        <v>8.1855350597957332E-13</v>
      </c>
    </row>
    <row r="270" spans="41:79">
      <c r="AO270" s="78" t="s">
        <v>437</v>
      </c>
      <c r="AP270" s="78"/>
      <c r="AQ270" t="s">
        <v>298</v>
      </c>
      <c r="AR270" s="86" t="s">
        <v>514</v>
      </c>
      <c r="AS270" s="86"/>
      <c r="AT270" s="86"/>
    </row>
    <row r="272" spans="41:79">
      <c r="AO272" s="79" t="s">
        <v>479</v>
      </c>
      <c r="AP272" s="79"/>
      <c r="AQ272" s="20" t="s">
        <v>64</v>
      </c>
      <c r="AR272" s="1" t="s">
        <v>43</v>
      </c>
      <c r="AS272" s="1" t="s">
        <v>44</v>
      </c>
      <c r="AT272" s="1" t="s">
        <v>45</v>
      </c>
      <c r="AU272" s="1" t="s">
        <v>46</v>
      </c>
      <c r="AV272" s="1" t="s">
        <v>47</v>
      </c>
      <c r="AW272" s="1" t="s">
        <v>48</v>
      </c>
      <c r="AX272" s="1" t="s">
        <v>49</v>
      </c>
      <c r="AY272" s="1" t="s">
        <v>50</v>
      </c>
      <c r="AZ272" s="1" t="s">
        <v>51</v>
      </c>
      <c r="BA272" s="1" t="s">
        <v>52</v>
      </c>
      <c r="BB272" s="1" t="s">
        <v>53</v>
      </c>
      <c r="BC272" s="1" t="s">
        <v>54</v>
      </c>
      <c r="BD272" s="1" t="s">
        <v>55</v>
      </c>
      <c r="BE272" s="1" t="s">
        <v>56</v>
      </c>
      <c r="BF272" s="1" t="s">
        <v>57</v>
      </c>
      <c r="BG272" s="1" t="s">
        <v>58</v>
      </c>
      <c r="BH272" s="1" t="s">
        <v>59</v>
      </c>
      <c r="BI272" s="1" t="s">
        <v>60</v>
      </c>
      <c r="BJ272" s="1" t="s">
        <v>61</v>
      </c>
      <c r="BK272" s="1" t="s">
        <v>62</v>
      </c>
      <c r="BL272" s="1" t="s">
        <v>63</v>
      </c>
      <c r="BM272" s="1" t="s">
        <v>330</v>
      </c>
      <c r="BN272" s="1" t="s">
        <v>331</v>
      </c>
      <c r="BO272" s="1" t="s">
        <v>332</v>
      </c>
      <c r="BP272" s="1" t="s">
        <v>333</v>
      </c>
      <c r="BQ272" s="1" t="s">
        <v>334</v>
      </c>
      <c r="BR272" s="1" t="s">
        <v>335</v>
      </c>
      <c r="BS272" s="1" t="s">
        <v>336</v>
      </c>
      <c r="BT272" s="1" t="s">
        <v>337</v>
      </c>
      <c r="BU272" s="1" t="s">
        <v>338</v>
      </c>
      <c r="BV272" s="1" t="s">
        <v>339</v>
      </c>
      <c r="BW272" s="1" t="s">
        <v>340</v>
      </c>
      <c r="BX272" s="1" t="s">
        <v>341</v>
      </c>
      <c r="BY272" s="1" t="s">
        <v>342</v>
      </c>
      <c r="BZ272" s="1" t="s">
        <v>343</v>
      </c>
      <c r="CA272" s="1" t="s">
        <v>390</v>
      </c>
    </row>
    <row r="273" spans="41:79">
      <c r="AO273" s="79"/>
      <c r="AP273" s="79"/>
      <c r="AQ273" s="20">
        <v>5</v>
      </c>
      <c r="AR273" t="s">
        <v>2</v>
      </c>
      <c r="AS273" t="s">
        <v>3</v>
      </c>
      <c r="AT273" t="s">
        <v>5</v>
      </c>
      <c r="AU273" t="s">
        <v>5</v>
      </c>
      <c r="AV273" t="s">
        <v>5</v>
      </c>
      <c r="AW273" t="s">
        <v>5</v>
      </c>
      <c r="AX273" t="s">
        <v>5</v>
      </c>
      <c r="AY273" t="s">
        <v>2</v>
      </c>
      <c r="AZ273" t="s">
        <v>3</v>
      </c>
      <c r="BA273" t="s">
        <v>3</v>
      </c>
      <c r="BB273" t="s">
        <v>5</v>
      </c>
      <c r="BC273" t="s">
        <v>2</v>
      </c>
      <c r="BD273" t="s">
        <v>5</v>
      </c>
      <c r="BE273" t="s">
        <v>2</v>
      </c>
      <c r="BF273" t="s">
        <v>2</v>
      </c>
      <c r="BG273" t="s">
        <v>5</v>
      </c>
      <c r="BH273" t="s">
        <v>5</v>
      </c>
      <c r="BI273" t="s">
        <v>5</v>
      </c>
      <c r="BJ273" t="s">
        <v>3</v>
      </c>
      <c r="BK273" t="s">
        <v>3</v>
      </c>
      <c r="BL273" t="s">
        <v>4</v>
      </c>
      <c r="BM273" t="s">
        <v>2</v>
      </c>
      <c r="BN273" t="s">
        <v>3</v>
      </c>
      <c r="BO273" t="s">
        <v>4</v>
      </c>
      <c r="BP273" t="s">
        <v>4</v>
      </c>
      <c r="BQ273" t="s">
        <v>4</v>
      </c>
      <c r="BR273" t="s">
        <v>4</v>
      </c>
      <c r="BS273" t="s">
        <v>4</v>
      </c>
      <c r="BT273" t="s">
        <v>3</v>
      </c>
      <c r="BU273" t="s">
        <v>3</v>
      </c>
      <c r="BV273" t="s">
        <v>4</v>
      </c>
      <c r="BW273" t="s">
        <v>3</v>
      </c>
      <c r="BX273" t="s">
        <v>4</v>
      </c>
      <c r="BY273" t="s">
        <v>4</v>
      </c>
      <c r="BZ273" t="s">
        <v>4</v>
      </c>
      <c r="CA273" t="s">
        <v>3</v>
      </c>
    </row>
    <row r="274" spans="41:79">
      <c r="AO274" s="69" t="s">
        <v>504</v>
      </c>
      <c r="AP274" s="69"/>
      <c r="AQ274">
        <f>PRODUCT('Data Training 1'!AW22,'Data Training 1'!AT33,'Data Training 1'!AT38,'Data Training 1'!AT46,'Data Training 1'!AT52,'Data Training 1'!AT58,'Data Training 1'!AT64,'Data Training 1'!AT70,'Data Training 1'!AT75,'Data Training 1'!AT80,'Data Training 1'!AT86,'Data Training 1'!AT94,'Data Training 1'!AT99,'Data Training 1'!AT106,'Data Training 1'!AT111,'Data Training 1'!AT117,'Data Training 1'!AT124,'Data Training 1'!AT130,'Data Training 1'!AT136,'Data Training 1'!AT140,'Data Training 1'!AT146,'Data Training 1'!AT151,'Data Training 1'!AT159,'Data Training 1'!AT164,'Data Training 1'!AT167,'Data Training 1'!AT171,'Data Training 1'!AT175,'Data Training 1'!AT179,'Data Training 1'!AT183,'Data Training 1'!AT188,'Data Training 1'!AT192,'Data Training 1'!AT195,'Data Training 1'!AT200,'Data Training 1'!AT203,'Data Training 1'!AT207,'Data Training 1'!AT211,'Data Training 1'!AT216)</f>
        <v>0</v>
      </c>
    </row>
    <row r="275" spans="41:79">
      <c r="AO275" s="69" t="s">
        <v>505</v>
      </c>
      <c r="AP275" s="69"/>
      <c r="AQ275">
        <f>PRODUCT('Data Training 1'!AW23,'Data Training 1'!AU33,'Data Training 1'!AU38,'Data Training 1'!AU46,'Data Training 1'!AU52,'Data Training 1'!AU58,'Data Training 1'!AU64,'Data Training 1'!AU70,'Data Training 1'!AU75,'Data Training 1'!AU80,'Data Training 1'!AU86,'Data Training 1'!AU94,'Data Training 1'!AU99,'Data Training 1'!AU106,'Data Training 1'!AU111,'Data Training 1'!AU117,'Data Training 1'!AU124,'Data Training 1'!AU130,'Data Training 1'!AU136,'Data Training 1'!AU140,'Data Training 1'!AU146,'Data Training 1'!AU151,'Data Training 1'!AU159,'Data Training 1'!AU164,'Data Training 1'!AU167,'Data Training 1'!AU171,'Data Training 1'!AU175,'Data Training 1'!AU179,'Data Training 1'!AU183,'Data Training 1'!AU188,'Data Training 1'!AU192,'Data Training 1'!AU195,'Data Training 1'!AU200,'Data Training 1'!AU203,'Data Training 1'!AU207,'Data Training 1'!AU211,'Data Training 1'!AU216)</f>
        <v>0</v>
      </c>
    </row>
    <row r="276" spans="41:79">
      <c r="AO276" s="69" t="s">
        <v>506</v>
      </c>
      <c r="AP276" s="69"/>
      <c r="AQ276">
        <f>PRODUCT('Data Training 1'!AW24,'Data Training 1'!AV33,'Data Training 1'!AV38,'Data Training 1'!AV46,'Data Training 1'!AV52,'Data Training 1'!AV58,'Data Training 1'!AV64,'Data Training 1'!AV70,'Data Training 1'!AV75,'Data Training 1'!AV80,'Data Training 1'!AV86,'Data Training 1'!AV94,'Data Training 1'!AV99,'Data Training 1'!AV106,'Data Training 1'!AV111,'Data Training 1'!AV117,'Data Training 1'!AV124,'Data Training 1'!AV130,'Data Training 1'!AV136,'Data Training 1'!AV140,'Data Training 1'!AV146,'Data Training 1'!AV151,'Data Training 1'!AV159,'Data Training 1'!AV164,'Data Training 1'!AV167,'Data Training 1'!AV171,'Data Training 1'!AV175,'Data Training 1'!AV179,'Data Training 1'!AV183,'Data Training 1'!AV188,'Data Training 1'!AV192,'Data Training 1'!AV195,'Data Training 1'!AV200,'Data Training 1'!AV203,'Data Training 1'!AV207,'Data Training 1'!AV211,'Data Training 1'!AV216)</f>
        <v>0</v>
      </c>
    </row>
    <row r="277" spans="41:79">
      <c r="AO277" s="69" t="s">
        <v>507</v>
      </c>
      <c r="AP277" s="69"/>
      <c r="AQ277">
        <f>PRODUCT('Data Training 1'!AW25,'Data Training 1'!AW33,'Data Training 1'!AW38,'Data Training 1'!AW46,'Data Training 1'!AW52,'Data Training 1'!AW58,'Data Training 1'!AW64,'Data Training 1'!AW70,'Data Training 1'!AW75,'Data Training 1'!AW80,'Data Training 1'!AW86,'Data Training 1'!AW94,'Data Training 1'!AW99,'Data Training 1'!AW106,'Data Training 1'!AW111,'Data Training 1'!AW117,'Data Training 1'!AW124,'Data Training 1'!AW130,'Data Training 1'!AW136,'Data Training 1'!AW140,'Data Training 1'!AW146,'Data Training 1'!AW151,'Data Training 1'!AW159,'Data Training 1'!AW164,'Data Training 1'!AW167,'Data Training 1'!AW171,'Data Training 1'!AW175,'Data Training 1'!AW179,'Data Training 1'!AW183,'Data Training 1'!AW188,'Data Training 1'!AW192,'Data Training 1'!AW195,'Data Training 1'!AW200,'Data Training 1'!AW203,'Data Training 1'!AW207,'Data Training 1'!AW211,'Data Training 1'!AW216)</f>
        <v>1.7168171501445595E-10</v>
      </c>
    </row>
    <row r="278" spans="41:79">
      <c r="AO278" s="69" t="s">
        <v>508</v>
      </c>
      <c r="AP278" s="69"/>
      <c r="AQ278" s="44">
        <f>PRODUCT('Data Training 1'!AW26,'Data Training 1'!AX33,'Data Training 1'!AX38,'Data Training 1'!AX46,'Data Training 1'!AX52,'Data Training 1'!AX58,'Data Training 1'!AX64,'Data Training 1'!AX70,'Data Training 1'!AX75,'Data Training 1'!AX80,'Data Training 1'!AX86,'Data Training 1'!AX94,'Data Training 1'!AX99,'Data Training 1'!AX106,'Data Training 1'!AX111,'Data Training 1'!AX117,'Data Training 1'!AX124,'Data Training 1'!AX130,'Data Training 1'!AX136,'Data Training 1'!AX140,'Data Training 1'!AX146,'Data Training 1'!AX151,'Data Training 1'!AX159,'Data Training 1'!AX164,'Data Training 1'!AX167,'Data Training 1'!AX171,'Data Training 1'!AX175,'Data Training 1'!AX179,'Data Training 1'!AX183,'Data Training 1'!AX188,'Data Training 1'!AX192,'Data Training 1'!AX195,'Data Training 1'!AX200,'Data Training 1'!AX203,'Data Training 1'!AX207,'Data Training 1'!AX211,'Data Training 1'!AX216)</f>
        <v>8.8998415091315388E-11</v>
      </c>
    </row>
    <row r="279" spans="41:79">
      <c r="AO279" s="69" t="s">
        <v>509</v>
      </c>
      <c r="AP279" s="69"/>
      <c r="AQ279">
        <f>PRODUCT('Data Training 1'!AW27,'Data Training 1'!AY33,'Data Training 1'!AY38,'Data Training 1'!AY46,'Data Training 1'!AY52,'Data Training 1'!AY58,'Data Training 1'!AY64,'Data Training 1'!AY70,'Data Training 1'!AY75,'Data Training 1'!AY80,'Data Training 1'!AY86,'Data Training 1'!AY94,'Data Training 1'!AY99,'Data Training 1'!AY106,'Data Training 1'!AY111,'Data Training 1'!AY117,'Data Training 1'!AY124,'Data Training 1'!AY130,'Data Training 1'!AY136,'Data Training 1'!AY140,'Data Training 1'!AY146,'Data Training 1'!AY151,'Data Training 1'!AY159,'Data Training 1'!AY164,'Data Training 1'!AY167,'Data Training 1'!AY171,'Data Training 1'!AY175,'Data Training 1'!AY179,'Data Training 1'!AY183,'Data Training 1'!AY188,'Data Training 1'!AY192,'Data Training 1'!AY195,'Data Training 1'!AY200,'Data Training 1'!AY203,'Data Training 1'!AY207,'Data Training 1'!AY211,'Data Training 1'!AY216)</f>
        <v>0</v>
      </c>
    </row>
    <row r="280" spans="41:79">
      <c r="AO280" s="78" t="s">
        <v>437</v>
      </c>
      <c r="AP280" s="78"/>
      <c r="AQ280" t="s">
        <v>297</v>
      </c>
      <c r="AR280" s="74" t="s">
        <v>438</v>
      </c>
      <c r="AS280" s="74"/>
      <c r="AT280" s="74"/>
    </row>
    <row r="282" spans="41:79">
      <c r="AO282" s="79" t="s">
        <v>480</v>
      </c>
      <c r="AP282" s="79"/>
      <c r="AQ282" s="20" t="s">
        <v>64</v>
      </c>
      <c r="AR282" s="1" t="s">
        <v>43</v>
      </c>
      <c r="AS282" s="1" t="s">
        <v>44</v>
      </c>
      <c r="AT282" s="1" t="s">
        <v>45</v>
      </c>
      <c r="AU282" s="1" t="s">
        <v>46</v>
      </c>
      <c r="AV282" s="1" t="s">
        <v>47</v>
      </c>
      <c r="AW282" s="1" t="s">
        <v>48</v>
      </c>
      <c r="AX282" s="1" t="s">
        <v>49</v>
      </c>
      <c r="AY282" s="1" t="s">
        <v>50</v>
      </c>
      <c r="AZ282" s="1" t="s">
        <v>51</v>
      </c>
      <c r="BA282" s="1" t="s">
        <v>52</v>
      </c>
      <c r="BB282" s="1" t="s">
        <v>53</v>
      </c>
      <c r="BC282" s="1" t="s">
        <v>54</v>
      </c>
      <c r="BD282" s="1" t="s">
        <v>55</v>
      </c>
      <c r="BE282" s="1" t="s">
        <v>56</v>
      </c>
      <c r="BF282" s="1" t="s">
        <v>57</v>
      </c>
      <c r="BG282" s="1" t="s">
        <v>58</v>
      </c>
      <c r="BH282" s="1" t="s">
        <v>59</v>
      </c>
      <c r="BI282" s="1" t="s">
        <v>60</v>
      </c>
      <c r="BJ282" s="1" t="s">
        <v>61</v>
      </c>
      <c r="BK282" s="1" t="s">
        <v>62</v>
      </c>
      <c r="BL282" s="1" t="s">
        <v>63</v>
      </c>
      <c r="BM282" s="1" t="s">
        <v>330</v>
      </c>
      <c r="BN282" s="1" t="s">
        <v>331</v>
      </c>
      <c r="BO282" s="1" t="s">
        <v>332</v>
      </c>
      <c r="BP282" s="1" t="s">
        <v>333</v>
      </c>
      <c r="BQ282" s="1" t="s">
        <v>334</v>
      </c>
      <c r="BR282" s="1" t="s">
        <v>335</v>
      </c>
      <c r="BS282" s="1" t="s">
        <v>336</v>
      </c>
      <c r="BT282" s="1" t="s">
        <v>337</v>
      </c>
      <c r="BU282" s="1" t="s">
        <v>338</v>
      </c>
      <c r="BV282" s="1" t="s">
        <v>339</v>
      </c>
      <c r="BW282" s="1" t="s">
        <v>340</v>
      </c>
      <c r="BX282" s="1" t="s">
        <v>341</v>
      </c>
      <c r="BY282" s="1" t="s">
        <v>342</v>
      </c>
      <c r="BZ282" s="1" t="s">
        <v>343</v>
      </c>
      <c r="CA282" s="1" t="s">
        <v>390</v>
      </c>
    </row>
    <row r="283" spans="41:79">
      <c r="AO283" s="79"/>
      <c r="AP283" s="79"/>
      <c r="AQ283" s="20">
        <v>5</v>
      </c>
      <c r="AR283" t="s">
        <v>2</v>
      </c>
      <c r="AS283" t="s">
        <v>3</v>
      </c>
      <c r="AT283" t="s">
        <v>4</v>
      </c>
      <c r="AU283" t="s">
        <v>5</v>
      </c>
      <c r="AV283" t="s">
        <v>5</v>
      </c>
      <c r="AW283" t="s">
        <v>3</v>
      </c>
      <c r="AX283" t="s">
        <v>5</v>
      </c>
      <c r="AY283" t="s">
        <v>2</v>
      </c>
      <c r="AZ283" t="s">
        <v>3</v>
      </c>
      <c r="BA283" t="s">
        <v>2</v>
      </c>
      <c r="BB283" t="s">
        <v>2</v>
      </c>
      <c r="BC283" t="s">
        <v>5</v>
      </c>
      <c r="BD283" t="s">
        <v>5</v>
      </c>
      <c r="BE283" t="s">
        <v>2</v>
      </c>
      <c r="BF283" t="s">
        <v>5</v>
      </c>
      <c r="BG283" t="s">
        <v>5</v>
      </c>
      <c r="BH283" t="s">
        <v>3</v>
      </c>
      <c r="BI283" t="s">
        <v>5</v>
      </c>
      <c r="BJ283" t="s">
        <v>2</v>
      </c>
      <c r="BK283" t="s">
        <v>4</v>
      </c>
      <c r="BL283" t="s">
        <v>4</v>
      </c>
      <c r="BM283" t="s">
        <v>2</v>
      </c>
      <c r="BN283" t="s">
        <v>3</v>
      </c>
      <c r="BO283" t="s">
        <v>4</v>
      </c>
      <c r="BP283" t="s">
        <v>4</v>
      </c>
      <c r="BQ283" t="s">
        <v>4</v>
      </c>
      <c r="BR283" t="s">
        <v>4</v>
      </c>
      <c r="BS283" t="s">
        <v>4</v>
      </c>
      <c r="BT283" t="s">
        <v>4</v>
      </c>
      <c r="BU283" t="s">
        <v>3</v>
      </c>
      <c r="BV283" t="s">
        <v>4</v>
      </c>
      <c r="BW283" t="s">
        <v>3</v>
      </c>
      <c r="BX283" t="s">
        <v>4</v>
      </c>
      <c r="BY283" t="s">
        <v>4</v>
      </c>
      <c r="BZ283" t="s">
        <v>3</v>
      </c>
      <c r="CA283" t="s">
        <v>3</v>
      </c>
    </row>
    <row r="284" spans="41:79">
      <c r="AO284" s="69" t="s">
        <v>504</v>
      </c>
      <c r="AP284" s="69"/>
      <c r="AQ284">
        <f>PRODUCT('Data Training 1'!AW22,'Data Training 1'!AT33,'Data Training 1'!AT38,'Data Training 1'!AT43,'Data Training 1'!AT52,'Data Training 1'!AT58,'Data Training 1'!AT62,'Data Training 1'!AT70,'Data Training 1'!AT75,'Data Training 1'!AT80,'Data Training 1'!AT87,'Data Training 1'!AT93,'Data Training 1'!AT100,'Data Training 1'!AT106,'Data Training 1'!AT111,'Data Training 1'!AT118,'Data Training 1'!AT124,'Data Training 1'!AT128,'Data Training 1'!AT136,'Data Training 1'!AT141,'Data Training 1'!AT145,'Data Training 1'!AT151,'Data Training 1'!AT159,'Data Training 1'!AT164,'Data Training 1'!AT167,'Data Training 1'!AT171,'Data Training 1'!AT175,'Data Training 1'!AT179,'Data Training 1'!AT183,'Data Training 1'!AT187,'Data Training 1'!AT192,'Data Training 1'!AT195,'Data Training 1'!AT200,'Data Training 1'!AT203,'Data Training 1'!AT207,'Data Training 1'!AT212,'Data Training 1'!AT216)</f>
        <v>0</v>
      </c>
    </row>
    <row r="285" spans="41:79">
      <c r="AO285" s="69" t="s">
        <v>505</v>
      </c>
      <c r="AP285" s="69"/>
      <c r="AQ285">
        <f>PRODUCT('Data Training 1'!AW23,'Data Training 1'!AU33,'Data Training 1'!AU38,'Data Training 1'!AU43,'Data Training 1'!AU52,'Data Training 1'!AU58,'Data Training 1'!AU62,'Data Training 1'!AU70,'Data Training 1'!AU75,'Data Training 1'!AU80,'Data Training 1'!AU87,'Data Training 1'!AU93,'Data Training 1'!AU100,'Data Training 1'!AU106,'Data Training 1'!AU111,'Data Training 1'!AU118,'Data Training 1'!AU124,'Data Training 1'!AU128,'Data Training 1'!AU136,'Data Training 1'!AU141,'Data Training 1'!AU145,'Data Training 1'!AU151,'Data Training 1'!AU159,'Data Training 1'!AU164,'Data Training 1'!AU167,'Data Training 1'!AU171,'Data Training 1'!AU175,'Data Training 1'!AU179,'Data Training 1'!AU183,'Data Training 1'!AU187,'Data Training 1'!AU192,'Data Training 1'!AU195,'Data Training 1'!AU200,'Data Training 1'!AU203,'Data Training 1'!AU207,'Data Training 1'!AU212,'Data Training 1'!AU216)</f>
        <v>0</v>
      </c>
    </row>
    <row r="286" spans="41:79">
      <c r="AO286" s="69" t="s">
        <v>506</v>
      </c>
      <c r="AP286" s="69"/>
      <c r="AQ286">
        <f>PRODUCT('Data Training 1'!AW24,'Data Training 1'!AV33,'Data Training 1'!AV38,'Data Training 1'!AV43,'Data Training 1'!AV52,'Data Training 1'!AV58,'Data Training 1'!AV62,'Data Training 1'!AV70,'Data Training 1'!AV75,'Data Training 1'!AV80,'Data Training 1'!AV87,'Data Training 1'!AV93,'Data Training 1'!AV100,'Data Training 1'!AV106,'Data Training 1'!AV111,'Data Training 1'!AV118,'Data Training 1'!AV124,'Data Training 1'!AV128,'Data Training 1'!AV136,'Data Training 1'!AV141,'Data Training 1'!AV145,'Data Training 1'!AV151,'Data Training 1'!AV159,'Data Training 1'!AV164,'Data Training 1'!AV167,'Data Training 1'!AV171,'Data Training 1'!AV175,'Data Training 1'!AV179,'Data Training 1'!AV183,'Data Training 1'!AV187,'Data Training 1'!AV192,'Data Training 1'!AV195,'Data Training 1'!AV200,'Data Training 1'!AV203,'Data Training 1'!AV207,'Data Training 1'!AV212,'Data Training 1'!AV216)</f>
        <v>0</v>
      </c>
    </row>
    <row r="287" spans="41:79">
      <c r="AO287" s="69" t="s">
        <v>507</v>
      </c>
      <c r="AP287" s="69"/>
      <c r="AQ287">
        <f>PRODUCT('Data Training 1'!AW25,'Data Training 1'!AW33,'Data Training 1'!AW38,'Data Training 1'!AW43,'Data Training 1'!AW52,'Data Training 1'!AW58,'Data Training 1'!AW62,'Data Training 1'!AW70,'Data Training 1'!AW75,'Data Training 1'!AW80,'Data Training 1'!AW87,'Data Training 1'!AW93,'Data Training 1'!AW100,'Data Training 1'!AW106,'Data Training 1'!AW111,'Data Training 1'!AW118,'Data Training 1'!AW124,'Data Training 1'!AW128,'Data Training 1'!AW136,'Data Training 1'!AW141,'Data Training 1'!AW145,'Data Training 1'!AW151,'Data Training 1'!AW159,'Data Training 1'!AW164,'Data Training 1'!AW167,'Data Training 1'!AW171,'Data Training 1'!AW175,'Data Training 1'!AW179,'Data Training 1'!AW183,'Data Training 1'!AW187,'Data Training 1'!AW192,'Data Training 1'!AW195,'Data Training 1'!AW200,'Data Training 1'!AW203,'Data Training 1'!AW207,'Data Training 1'!AW212,'Data Training 1'!AW216)</f>
        <v>0</v>
      </c>
    </row>
    <row r="288" spans="41:79">
      <c r="AO288" s="69" t="s">
        <v>508</v>
      </c>
      <c r="AP288" s="69"/>
      <c r="AQ288">
        <f>PRODUCT('Data Training 1'!AW26,'Data Training 1'!AX33,'Data Training 1'!AX38,'Data Training 1'!AX43,'Data Training 1'!AX52,'Data Training 1'!AX58,'Data Training 1'!AX62,'Data Training 1'!AX70,'Data Training 1'!AX75,'Data Training 1'!AX80,'Data Training 1'!AX87,'Data Training 1'!AX93,'Data Training 1'!AX100,'Data Training 1'!AX106,'Data Training 1'!AX111,'Data Training 1'!AX118,'Data Training 1'!AX124,'Data Training 1'!AX128,'Data Training 1'!AX136,'Data Training 1'!AX141,'Data Training 1'!AX145,'Data Training 1'!AX151,'Data Training 1'!AX159,'Data Training 1'!AX164,'Data Training 1'!AX167,'Data Training 1'!AX171,'Data Training 1'!AX175,'Data Training 1'!AX179,'Data Training 1'!AX183,'Data Training 1'!AX187,'Data Training 1'!AX192,'Data Training 1'!AX195,'Data Training 1'!AX200,'Data Training 1'!AX203,'Data Training 1'!AX207,'Data Training 1'!AX212,'Data Training 1'!AX216)</f>
        <v>3.0998087433165655E-11</v>
      </c>
    </row>
    <row r="289" spans="41:79">
      <c r="AO289" s="69" t="s">
        <v>509</v>
      </c>
      <c r="AP289" s="69"/>
      <c r="AQ289">
        <f>PRODUCT('Data Training 1'!AW27,'Data Training 1'!AY33,'Data Training 1'!AY38,'Data Training 1'!AY43,'Data Training 1'!AY52,'Data Training 1'!AY58,'Data Training 1'!AY62,'Data Training 1'!AY70,'Data Training 1'!AY75,'Data Training 1'!AY80,'Data Training 1'!AY87,'Data Training 1'!AY93,'Data Training 1'!AY100,'Data Training 1'!AY106,'Data Training 1'!AY111,'Data Training 1'!AY118,'Data Training 1'!AY124,'Data Training 1'!AY128,'Data Training 1'!AY136,'Data Training 1'!AY141,'Data Training 1'!AY145,'Data Training 1'!AY151,'Data Training 1'!AY159,'Data Training 1'!AY164,'Data Training 1'!AY167,'Data Training 1'!AY171,'Data Training 1'!AY175,'Data Training 1'!AY179,'Data Training 1'!AY183,'Data Training 1'!AY187,'Data Training 1'!AY192,'Data Training 1'!AY195,'Data Training 1'!AY200,'Data Training 1'!AY203,'Data Training 1'!AY207,'Data Training 1'!AY212,'Data Training 1'!AY216)</f>
        <v>0</v>
      </c>
    </row>
    <row r="290" spans="41:79">
      <c r="AO290" s="78" t="s">
        <v>437</v>
      </c>
      <c r="AP290" s="78"/>
      <c r="AQ290" t="s">
        <v>297</v>
      </c>
      <c r="AR290" s="74" t="s">
        <v>438</v>
      </c>
      <c r="AS290" s="74"/>
      <c r="AT290" s="74"/>
    </row>
    <row r="291" spans="41:79">
      <c r="AO291" s="42"/>
      <c r="AP291" s="42"/>
    </row>
    <row r="292" spans="41:79">
      <c r="AO292" s="79" t="s">
        <v>495</v>
      </c>
      <c r="AP292" s="79"/>
      <c r="AQ292" s="20" t="s">
        <v>64</v>
      </c>
      <c r="AR292" s="1" t="s">
        <v>43</v>
      </c>
      <c r="AS292" s="1" t="s">
        <v>44</v>
      </c>
      <c r="AT292" s="1" t="s">
        <v>45</v>
      </c>
      <c r="AU292" s="1" t="s">
        <v>46</v>
      </c>
      <c r="AV292" s="1" t="s">
        <v>47</v>
      </c>
      <c r="AW292" s="1" t="s">
        <v>48</v>
      </c>
      <c r="AX292" s="1" t="s">
        <v>49</v>
      </c>
      <c r="AY292" s="1" t="s">
        <v>50</v>
      </c>
      <c r="AZ292" s="1" t="s">
        <v>51</v>
      </c>
      <c r="BA292" s="1" t="s">
        <v>52</v>
      </c>
      <c r="BB292" s="1" t="s">
        <v>53</v>
      </c>
      <c r="BC292" s="1" t="s">
        <v>54</v>
      </c>
      <c r="BD292" s="1" t="s">
        <v>55</v>
      </c>
      <c r="BE292" s="1" t="s">
        <v>56</v>
      </c>
      <c r="BF292" s="1" t="s">
        <v>57</v>
      </c>
      <c r="BG292" s="1" t="s">
        <v>58</v>
      </c>
      <c r="BH292" s="1" t="s">
        <v>59</v>
      </c>
      <c r="BI292" s="1" t="s">
        <v>60</v>
      </c>
      <c r="BJ292" s="1" t="s">
        <v>61</v>
      </c>
      <c r="BK292" s="1" t="s">
        <v>62</v>
      </c>
      <c r="BL292" s="1" t="s">
        <v>63</v>
      </c>
      <c r="BM292" s="1" t="s">
        <v>330</v>
      </c>
      <c r="BN292" s="1" t="s">
        <v>331</v>
      </c>
      <c r="BO292" s="1" t="s">
        <v>332</v>
      </c>
      <c r="BP292" s="1" t="s">
        <v>333</v>
      </c>
      <c r="BQ292" s="1" t="s">
        <v>334</v>
      </c>
      <c r="BR292" s="1" t="s">
        <v>335</v>
      </c>
      <c r="BS292" s="1" t="s">
        <v>336</v>
      </c>
      <c r="BT292" s="1" t="s">
        <v>337</v>
      </c>
      <c r="BU292" s="1" t="s">
        <v>338</v>
      </c>
      <c r="BV292" s="1" t="s">
        <v>339</v>
      </c>
      <c r="BW292" s="1" t="s">
        <v>340</v>
      </c>
      <c r="BX292" s="1" t="s">
        <v>341</v>
      </c>
      <c r="BY292" s="1" t="s">
        <v>342</v>
      </c>
      <c r="BZ292" s="1" t="s">
        <v>343</v>
      </c>
      <c r="CA292" s="1" t="s">
        <v>390</v>
      </c>
    </row>
    <row r="293" spans="41:79">
      <c r="AO293" s="79"/>
      <c r="AP293" s="79"/>
      <c r="AQ293" s="20">
        <v>5</v>
      </c>
      <c r="AR293" t="s">
        <v>5</v>
      </c>
      <c r="AS293" t="s">
        <v>5</v>
      </c>
      <c r="AT293" t="s">
        <v>3</v>
      </c>
      <c r="AU293" t="s">
        <v>5</v>
      </c>
      <c r="AV293" t="s">
        <v>5</v>
      </c>
      <c r="AW293" t="s">
        <v>5</v>
      </c>
      <c r="AX293" t="s">
        <v>5</v>
      </c>
      <c r="AY293" t="s">
        <v>2</v>
      </c>
      <c r="AZ293" t="s">
        <v>2</v>
      </c>
      <c r="BA293" t="s">
        <v>5</v>
      </c>
      <c r="BB293" t="s">
        <v>2</v>
      </c>
      <c r="BC293" t="s">
        <v>2</v>
      </c>
      <c r="BD293" t="s">
        <v>4</v>
      </c>
      <c r="BE293" t="s">
        <v>3</v>
      </c>
      <c r="BF293" t="s">
        <v>2</v>
      </c>
      <c r="BG293" t="s">
        <v>5</v>
      </c>
      <c r="BH293" t="s">
        <v>5</v>
      </c>
      <c r="BI293" t="s">
        <v>5</v>
      </c>
      <c r="BJ293" t="s">
        <v>3</v>
      </c>
      <c r="BK293" t="s">
        <v>3</v>
      </c>
      <c r="BL293" t="s">
        <v>3</v>
      </c>
      <c r="BM293" t="s">
        <v>4</v>
      </c>
      <c r="BN293" t="s">
        <v>3</v>
      </c>
      <c r="BO293" t="s">
        <v>4</v>
      </c>
      <c r="BP293" t="s">
        <v>4</v>
      </c>
      <c r="BQ293" t="s">
        <v>4</v>
      </c>
      <c r="BR293" t="s">
        <v>4</v>
      </c>
      <c r="BS293" t="s">
        <v>4</v>
      </c>
      <c r="BT293" t="s">
        <v>3</v>
      </c>
      <c r="BU293" t="s">
        <v>3</v>
      </c>
      <c r="BV293" t="s">
        <v>4</v>
      </c>
      <c r="BW293" t="s">
        <v>3</v>
      </c>
      <c r="BX293" t="s">
        <v>4</v>
      </c>
      <c r="BY293" t="s">
        <v>4</v>
      </c>
      <c r="BZ293" t="s">
        <v>3</v>
      </c>
      <c r="CA293" t="s">
        <v>3</v>
      </c>
    </row>
    <row r="294" spans="41:79">
      <c r="AO294" s="69" t="s">
        <v>504</v>
      </c>
      <c r="AP294" s="69"/>
      <c r="AQ294" s="44">
        <f>PRODUCT('Data Training 1'!AW22,'Data Training 1'!AT34,'Data Training 1'!AT40,'Data Training 1'!AT44,'Data Training 1'!AT52,'Data Training 1'!AT58,'Data Training 1'!AT64,'Data Training 1'!AT70,'Data Training 1'!AT75,'Data Training 1'!AT81,'Data Training 1'!AT88,'Data Training 1'!AT93,'Data Training 1'!AT99,'Data Training 1'!AT103,'Data Training 1'!AT110,'Data Training 1'!AT117,'Data Training 1'!AT124,'Data Training 1'!AT130,'Data Training 1'!AT136,'Data Training 1'!AT140,'Data Training 1'!AT146,'Data Training 1'!AT152,'Data Training 1'!AT157,'Data Training 1'!AT164,'Data Training 1'!AT167,'Data Training 1'!AT171,'Data Training 1'!AT175,'Data Training 1'!AT179,'Data Training 1'!AT183,'Data Training 1'!AT188,'Data Training 1'!AT192,'Data Training 1'!AT195,'Data Training 1'!AT200,'Data Training 1'!AT203,'Data Training 1'!AT207,'Data Training 1'!AT212,'Data Training 1'!AT216)</f>
        <v>0</v>
      </c>
    </row>
    <row r="295" spans="41:79">
      <c r="AO295" s="69" t="s">
        <v>505</v>
      </c>
      <c r="AP295" s="69"/>
      <c r="AQ295" s="44">
        <f>PRODUCT('Data Training 1'!AW23,'Data Training 1'!AU34,'Data Training 1'!AU40,'Data Training 1'!AU44,'Data Training 1'!AU52,'Data Training 1'!AU58,'Data Training 1'!AU64,'Data Training 1'!AU70,'Data Training 1'!AU75,'Data Training 1'!AU81,'Data Training 1'!AU88,'Data Training 1'!AU93,'Data Training 1'!AU99,'Data Training 1'!AU103,'Data Training 1'!AU110,'Data Training 1'!AU117,'Data Training 1'!AU124,'Data Training 1'!AU130,'Data Training 1'!AU136,'Data Training 1'!AU140,'Data Training 1'!AU146,'Data Training 1'!AU152,'Data Training 1'!AU157,'Data Training 1'!AU164,'Data Training 1'!AU167,'Data Training 1'!AU171,'Data Training 1'!AU175,'Data Training 1'!AU179,'Data Training 1'!AU183,'Data Training 1'!AU188,'Data Training 1'!AU192,'Data Training 1'!AU195,'Data Training 1'!AU200,'Data Training 1'!AU203,'Data Training 1'!AU207,'Data Training 1'!AU212,'Data Training 1'!AU216)</f>
        <v>0</v>
      </c>
    </row>
    <row r="296" spans="41:79">
      <c r="AO296" s="69" t="s">
        <v>506</v>
      </c>
      <c r="AP296" s="69"/>
      <c r="AQ296" s="44">
        <f>PRODUCT('Data Training 1'!AW24,'Data Training 1'!AV34,'Data Training 1'!AV40,'Data Training 1'!AV44,'Data Training 1'!AV52,'Data Training 1'!AV58,'Data Training 1'!AV64,'Data Training 1'!AV70,'Data Training 1'!AV75,'Data Training 1'!AV81,'Data Training 1'!AV88,'Data Training 1'!AV93,'Data Training 1'!AV99,'Data Training 1'!AV103,'Data Training 1'!AV110,'Data Training 1'!AV117,'Data Training 1'!AV124,'Data Training 1'!AV130,'Data Training 1'!AV136,'Data Training 1'!AV140,'Data Training 1'!AV146,'Data Training 1'!AV152,'Data Training 1'!AV157,'Data Training 1'!AV164,'Data Training 1'!AV167,'Data Training 1'!AV171,'Data Training 1'!AV175,'Data Training 1'!AV179,'Data Training 1'!AV183,'Data Training 1'!AV188,'Data Training 1'!AV192,'Data Training 1'!AV195,'Data Training 1'!AV200,'Data Training 1'!AV203,'Data Training 1'!AV207,'Data Training 1'!AV212,'Data Training 1'!AV216)</f>
        <v>0</v>
      </c>
    </row>
    <row r="297" spans="41:79">
      <c r="AO297" s="69" t="s">
        <v>507</v>
      </c>
      <c r="AP297" s="69"/>
      <c r="AQ297" s="44">
        <f>PRODUCT('Data Training 1'!AW25,'Data Training 1'!AW34,'Data Training 1'!AW40,'Data Training 1'!AW44,'Data Training 1'!AW52,'Data Training 1'!AW58,'Data Training 1'!AW64,'Data Training 1'!AW70,'Data Training 1'!AW75,'Data Training 1'!AW81,'Data Training 1'!AW88,'Data Training 1'!AW93,'Data Training 1'!AW99,'Data Training 1'!AW103,'Data Training 1'!AW110,'Data Training 1'!AW117,'Data Training 1'!AW124,'Data Training 1'!AW130,'Data Training 1'!AW136,'Data Training 1'!AW140,'Data Training 1'!AW146,'Data Training 1'!AW152,'Data Training 1'!AW157,'Data Training 1'!AW164,'Data Training 1'!AW167,'Data Training 1'!AW171,'Data Training 1'!AW175,'Data Training 1'!AW179,'Data Training 1'!AW183,'Data Training 1'!AW188,'Data Training 1'!AW192,'Data Training 1'!AW195,'Data Training 1'!AW200,'Data Training 1'!AW203,'Data Training 1'!AW207,'Data Training 1'!AW212,'Data Training 1'!AW216)</f>
        <v>0</v>
      </c>
    </row>
    <row r="298" spans="41:79">
      <c r="AO298" s="69" t="s">
        <v>508</v>
      </c>
      <c r="AP298" s="69"/>
      <c r="AQ298" s="44">
        <f>PRODUCT('Data Training 1'!AW26,'Data Training 1'!AX34,'Data Training 1'!AX40,'Data Training 1'!AX44,'Data Training 1'!AX52,'Data Training 1'!AX58,'Data Training 1'!AX64,'Data Training 1'!AX70,'Data Training 1'!AX75,'Data Training 1'!AX81,'Data Training 1'!AX88,'Data Training 1'!AX93,'Data Training 1'!AX99,'Data Training 1'!AX103,'Data Training 1'!AX110,'Data Training 1'!AX117,'Data Training 1'!AX124,'Data Training 1'!AX130,'Data Training 1'!AX136,'Data Training 1'!AX140,'Data Training 1'!AX146,'Data Training 1'!AX152,'Data Training 1'!AX157,'Data Training 1'!AX164,'Data Training 1'!AX167,'Data Training 1'!AX171,'Data Training 1'!AX175,'Data Training 1'!AX179,'Data Training 1'!AX183,'Data Training 1'!AX188,'Data Training 1'!AX192,'Data Training 1'!AX195,'Data Training 1'!AX200,'Data Training 1'!AX203,'Data Training 1'!AX207,'Data Training 1'!AX212,'Data Training 1'!AX216)</f>
        <v>3.1078811619189511E-9</v>
      </c>
    </row>
    <row r="299" spans="41:79">
      <c r="AO299" s="69" t="s">
        <v>509</v>
      </c>
      <c r="AP299" s="69"/>
      <c r="AQ299" s="44">
        <f>PRODUCT('Data Training 1'!AW27,'Data Training 1'!AY34,'Data Training 1'!AY40,'Data Training 1'!AY44,'Data Training 1'!AY52,'Data Training 1'!AY58,'Data Training 1'!AY64,'Data Training 1'!AY70,'Data Training 1'!AY75,'Data Training 1'!AY81,'Data Training 1'!AY88,'Data Training 1'!AY93,'Data Training 1'!AY99,'Data Training 1'!AY103,'Data Training 1'!AY110,'Data Training 1'!AY117,'Data Training 1'!AY124,'Data Training 1'!AY130,'Data Training 1'!AY136,'Data Training 1'!AY140,'Data Training 1'!AY146,'Data Training 1'!AY152,'Data Training 1'!AY157,'Data Training 1'!AY164,'Data Training 1'!AY167,'Data Training 1'!AY171,'Data Training 1'!AY175,'Data Training 1'!AY179,'Data Training 1'!AY183,'Data Training 1'!AY188,'Data Training 1'!AY192,'Data Training 1'!AY195,'Data Training 1'!AY200,'Data Training 1'!AY203,'Data Training 1'!AY207,'Data Training 1'!AY212,'Data Training 1'!AY216)</f>
        <v>0</v>
      </c>
    </row>
    <row r="300" spans="41:79">
      <c r="AO300" s="78" t="s">
        <v>437</v>
      </c>
      <c r="AP300" s="78"/>
      <c r="AQ300" t="s">
        <v>297</v>
      </c>
      <c r="AR300" s="74" t="s">
        <v>438</v>
      </c>
      <c r="AS300" s="74"/>
      <c r="AT300" s="74"/>
    </row>
    <row r="301" spans="41:79">
      <c r="AO301" s="42"/>
      <c r="AP301" s="42"/>
    </row>
    <row r="302" spans="41:79">
      <c r="AO302" s="68" t="s">
        <v>430</v>
      </c>
      <c r="AP302" s="68"/>
      <c r="AQ302" s="20" t="s">
        <v>64</v>
      </c>
      <c r="AR302" s="1" t="s">
        <v>43</v>
      </c>
      <c r="AS302" s="1" t="s">
        <v>44</v>
      </c>
      <c r="AT302" s="1" t="s">
        <v>45</v>
      </c>
      <c r="AU302" s="1" t="s">
        <v>46</v>
      </c>
      <c r="AV302" s="1" t="s">
        <v>47</v>
      </c>
      <c r="AW302" s="1" t="s">
        <v>48</v>
      </c>
      <c r="AX302" s="1" t="s">
        <v>49</v>
      </c>
      <c r="AY302" s="1" t="s">
        <v>50</v>
      </c>
      <c r="AZ302" s="1" t="s">
        <v>51</v>
      </c>
      <c r="BA302" s="1" t="s">
        <v>52</v>
      </c>
      <c r="BB302" s="1" t="s">
        <v>53</v>
      </c>
      <c r="BC302" s="1" t="s">
        <v>54</v>
      </c>
      <c r="BD302" s="1" t="s">
        <v>55</v>
      </c>
      <c r="BE302" s="1" t="s">
        <v>56</v>
      </c>
      <c r="BF302" s="1" t="s">
        <v>57</v>
      </c>
      <c r="BG302" s="1" t="s">
        <v>58</v>
      </c>
      <c r="BH302" s="1" t="s">
        <v>59</v>
      </c>
      <c r="BI302" s="1" t="s">
        <v>60</v>
      </c>
      <c r="BJ302" s="1" t="s">
        <v>61</v>
      </c>
      <c r="BK302" s="1" t="s">
        <v>62</v>
      </c>
      <c r="BL302" s="1" t="s">
        <v>63</v>
      </c>
      <c r="BM302" s="1" t="s">
        <v>330</v>
      </c>
      <c r="BN302" s="1" t="s">
        <v>331</v>
      </c>
      <c r="BO302" s="1" t="s">
        <v>332</v>
      </c>
      <c r="BP302" s="1" t="s">
        <v>333</v>
      </c>
      <c r="BQ302" s="1" t="s">
        <v>334</v>
      </c>
      <c r="BR302" s="1" t="s">
        <v>335</v>
      </c>
      <c r="BS302" s="1" t="s">
        <v>336</v>
      </c>
      <c r="BT302" s="1" t="s">
        <v>337</v>
      </c>
      <c r="BU302" s="1" t="s">
        <v>338</v>
      </c>
      <c r="BV302" s="1" t="s">
        <v>339</v>
      </c>
      <c r="BW302" s="1" t="s">
        <v>340</v>
      </c>
      <c r="BX302" s="1" t="s">
        <v>341</v>
      </c>
      <c r="BY302" s="1" t="s">
        <v>342</v>
      </c>
      <c r="BZ302" s="1" t="s">
        <v>343</v>
      </c>
      <c r="CA302" s="1" t="s">
        <v>390</v>
      </c>
    </row>
    <row r="303" spans="41:79">
      <c r="AO303" s="68"/>
      <c r="AP303" s="68"/>
      <c r="AQ303" s="20">
        <v>6</v>
      </c>
      <c r="AR303" t="s">
        <v>5</v>
      </c>
      <c r="AS303" t="s">
        <v>5</v>
      </c>
      <c r="AT303" t="s">
        <v>3</v>
      </c>
      <c r="AU303" t="s">
        <v>5</v>
      </c>
      <c r="AV303" t="s">
        <v>5</v>
      </c>
      <c r="AW303" t="s">
        <v>5</v>
      </c>
      <c r="AX303" t="s">
        <v>5</v>
      </c>
      <c r="AY303" t="s">
        <v>2</v>
      </c>
      <c r="AZ303" t="s">
        <v>2</v>
      </c>
      <c r="BA303" t="s">
        <v>4</v>
      </c>
      <c r="BB303" t="s">
        <v>4</v>
      </c>
      <c r="BC303" t="s">
        <v>4</v>
      </c>
      <c r="BD303" t="s">
        <v>5</v>
      </c>
      <c r="BE303" t="s">
        <v>4</v>
      </c>
      <c r="BF303" t="s">
        <v>5</v>
      </c>
      <c r="BG303" t="s">
        <v>5</v>
      </c>
      <c r="BH303" t="s">
        <v>5</v>
      </c>
      <c r="BI303" t="s">
        <v>5</v>
      </c>
      <c r="BJ303" t="s">
        <v>3</v>
      </c>
      <c r="BK303" t="s">
        <v>5</v>
      </c>
      <c r="BL303" t="s">
        <v>2</v>
      </c>
      <c r="BM303" t="s">
        <v>2</v>
      </c>
      <c r="BN303" t="s">
        <v>3</v>
      </c>
      <c r="BO303" t="s">
        <v>4</v>
      </c>
      <c r="BP303" t="s">
        <v>4</v>
      </c>
      <c r="BQ303" t="s">
        <v>4</v>
      </c>
      <c r="BR303" t="s">
        <v>4</v>
      </c>
      <c r="BS303" t="s">
        <v>4</v>
      </c>
      <c r="BT303" t="s">
        <v>4</v>
      </c>
      <c r="BU303" t="s">
        <v>3</v>
      </c>
      <c r="BV303" t="s">
        <v>4</v>
      </c>
      <c r="BW303" t="s">
        <v>3</v>
      </c>
      <c r="BX303" t="s">
        <v>3</v>
      </c>
      <c r="BY303" t="s">
        <v>4</v>
      </c>
      <c r="BZ303" t="s">
        <v>3</v>
      </c>
      <c r="CA303" t="s">
        <v>3</v>
      </c>
    </row>
    <row r="304" spans="41:79">
      <c r="AO304" s="69" t="s">
        <v>504</v>
      </c>
      <c r="AP304" s="69"/>
      <c r="AQ304">
        <f>'Data Training 1'!AW22*'Data Training 1'!AT34*'Data Training 1'!AT40*'Data Training 1'!AT44*'Data Training 1'!AT52*'Data Training 1'!AT58*'Data Training 1'!AT64*'Data Training 1'!AT70*'Data Training 1'!AT75*'Data Training 1'!AT81*'Data Training 1'!AT85*'Data Training 1'!AT91*'Data Training 1'!AT97*'Data Training 1'!AT106*'Data Training 1'!AT109*'Data Training 1'!AT124*'Data Training 1'!AT118*'Data Training 1'!AT130*'Data Training 1'!AT136*'Data Training 1'!AT140*'Data Training 1'!AT148*'Data Training 1'!AT153*'Data Training 1'!AT159*'Data Training 1'!AT164*'Data Training 1'!AT167*'Data Training 1'!AT171*'Data Training 1'!AT175*'Data Training 1'!AT179*'Data Training 1'!AT183*'Data Training 1'!AT187*'Data Training 1'!AT192*'Data Training 1'!AT195*'Data Training 1'!AT200*'Data Training 1'!AT204*'Data Training 1'!AT207*'Data Training 1'!AT212*'Data Training 1'!AT216</f>
        <v>0</v>
      </c>
    </row>
    <row r="305" spans="41:79">
      <c r="AO305" s="69" t="s">
        <v>505</v>
      </c>
      <c r="AP305" s="69"/>
      <c r="AQ305">
        <f>'Data Training 1'!AW23*'Data Training 1'!AU34*'Data Training 1'!AU40*'Data Training 1'!AU44*'Data Training 1'!AU52*'Data Training 1'!AU58*'Data Training 1'!AU64*'Data Training 1'!AU70*'Data Training 1'!AU75*'Data Training 1'!AU81*'Data Training 1'!AU85*'Data Training 1'!AU91*'Data Training 1'!AU97*'Data Training 1'!AU106*'Data Training 1'!AU109*'Data Training 1'!AU124*'Data Training 1'!AU118*'Data Training 1'!AU130*'Data Training 1'!AU136*'Data Training 1'!AU140*'Data Training 1'!AU148*'Data Training 1'!AU153*'Data Training 1'!AU159*'Data Training 1'!AU164*'Data Training 1'!AU167*'Data Training 1'!AU171*'Data Training 1'!AU175*'Data Training 1'!AU179*'Data Training 1'!AU183*'Data Training 1'!AU187*'Data Training 1'!AU192*'Data Training 1'!AU195*'Data Training 1'!AU200*'Data Training 1'!AU204*'Data Training 1'!AU207*'Data Training 1'!AU212*'Data Training 1'!AU216</f>
        <v>0</v>
      </c>
    </row>
    <row r="306" spans="41:79">
      <c r="AO306" s="69" t="s">
        <v>506</v>
      </c>
      <c r="AP306" s="69"/>
      <c r="AQ306">
        <f>'Data Training 1'!AW24*'Data Training 1'!AV34*'Data Training 1'!AV40*'Data Training 1'!AV44*'Data Training 1'!AV52*'Data Training 1'!AV58*'Data Training 1'!AV64*'Data Training 1'!AV70*'Data Training 1'!AV75*'Data Training 1'!AV81*'Data Training 1'!AV85*'Data Training 1'!AV91*'Data Training 1'!AV97*'Data Training 1'!AV106*'Data Training 1'!AV109*'Data Training 1'!AV124*'Data Training 1'!AV118*'Data Training 1'!AV130*'Data Training 1'!AV136*'Data Training 1'!AV140*'Data Training 1'!AV148*'Data Training 1'!AV153*'Data Training 1'!AV159*'Data Training 1'!AV164*'Data Training 1'!AV167*'Data Training 1'!AV171*'Data Training 1'!AV175*'Data Training 1'!AV179*'Data Training 1'!AV183*'Data Training 1'!AV187*'Data Training 1'!AV192*'Data Training 1'!AV195*'Data Training 1'!AV200*'Data Training 1'!AV204*'Data Training 1'!AV207*'Data Training 1'!AV212*'Data Training 1'!AV216</f>
        <v>0</v>
      </c>
    </row>
    <row r="307" spans="41:79">
      <c r="AO307" s="69" t="s">
        <v>507</v>
      </c>
      <c r="AP307" s="69"/>
      <c r="AQ307">
        <f>'Data Training 1'!AW25*'Data Training 1'!AW34*'Data Training 1'!AW40*'Data Training 1'!AW44*'Data Training 1'!AW52*'Data Training 1'!AW58*'Data Training 1'!AW64*'Data Training 1'!AW70*'Data Training 1'!AW75*'Data Training 1'!AW81*'Data Training 1'!AW85*'Data Training 1'!AW91*'Data Training 1'!AW97*'Data Training 1'!AW106*'Data Training 1'!AW109*'Data Training 1'!AW124*'Data Training 1'!AW118*'Data Training 1'!AW130*'Data Training 1'!AW136*'Data Training 1'!AW140*'Data Training 1'!AW148*'Data Training 1'!AW153*'Data Training 1'!AW159*'Data Training 1'!AW164*'Data Training 1'!AW167*'Data Training 1'!AW171*'Data Training 1'!AW175*'Data Training 1'!AW179*'Data Training 1'!AW183*'Data Training 1'!AW187*'Data Training 1'!AW192*'Data Training 1'!AW195*'Data Training 1'!AW200*'Data Training 1'!AW204*'Data Training 1'!AW207*'Data Training 1'!AW212*'Data Training 1'!AW216</f>
        <v>0</v>
      </c>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row>
    <row r="308" spans="41:79">
      <c r="AO308" s="69" t="s">
        <v>508</v>
      </c>
      <c r="AP308" s="69"/>
      <c r="AQ308">
        <f>'Data Training 1'!AW26*'Data Training 1'!AX34*'Data Training 1'!AX40*'Data Training 1'!AX44*'Data Training 1'!AX52*'Data Training 1'!AX58*'Data Training 1'!AX64*'Data Training 1'!AX70*'Data Training 1'!AX75*'Data Training 1'!AX81*'Data Training 1'!AX85*'Data Training 1'!AX91*'Data Training 1'!AX97*'Data Training 1'!AX106*'Data Training 1'!AX109*'Data Training 1'!AX124*'Data Training 1'!AX118*'Data Training 1'!AX130*'Data Training 1'!AX136*'Data Training 1'!AX140*'Data Training 1'!AX148*'Data Training 1'!AX153*'Data Training 1'!AX159*'Data Training 1'!AX164*'Data Training 1'!AX167*'Data Training 1'!AX171*'Data Training 1'!AX175*'Data Training 1'!AX179*'Data Training 1'!AX183*'Data Training 1'!AX187*'Data Training 1'!AX192*'Data Training 1'!AX195*'Data Training 1'!AX200*'Data Training 1'!AX204*'Data Training 1'!AX207*'Data Training 1'!AX212*'Data Training 1'!AX216</f>
        <v>0</v>
      </c>
    </row>
    <row r="309" spans="41:79">
      <c r="AO309" s="69" t="s">
        <v>509</v>
      </c>
      <c r="AP309" s="69"/>
      <c r="AQ309">
        <f>'Data Training 1'!AW27*'Data Training 1'!AY34*'Data Training 1'!AY40*'Data Training 1'!AY44*'Data Training 1'!AY52*'Data Training 1'!AY58*'Data Training 1'!AY64*'Data Training 1'!AY70*'Data Training 1'!AY75*'Data Training 1'!AY81*'Data Training 1'!AY85*'Data Training 1'!AY91*'Data Training 1'!AY97*'Data Training 1'!AY106*'Data Training 1'!AY109*'Data Training 1'!AY124*'Data Training 1'!AY118*'Data Training 1'!AY130*'Data Training 1'!AY136*'Data Training 1'!AY140*'Data Training 1'!AY148*'Data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8.0676633549346722E-10</v>
      </c>
    </row>
    <row r="310" spans="41:79">
      <c r="AO310" s="78" t="s">
        <v>437</v>
      </c>
      <c r="AP310" s="78"/>
      <c r="AQ310" t="s">
        <v>298</v>
      </c>
      <c r="AR310" s="74" t="s">
        <v>438</v>
      </c>
      <c r="AS310" s="74"/>
      <c r="AT310" s="74"/>
    </row>
    <row r="312" spans="41:79">
      <c r="AO312" s="79" t="s">
        <v>327</v>
      </c>
      <c r="AP312" s="79"/>
      <c r="AQ312" s="20" t="s">
        <v>64</v>
      </c>
      <c r="AR312" s="1" t="s">
        <v>43</v>
      </c>
      <c r="AS312" s="1" t="s">
        <v>44</v>
      </c>
      <c r="AT312" s="1" t="s">
        <v>45</v>
      </c>
      <c r="AU312" s="1" t="s">
        <v>46</v>
      </c>
      <c r="AV312" s="1" t="s">
        <v>47</v>
      </c>
      <c r="AW312" s="1" t="s">
        <v>48</v>
      </c>
      <c r="AX312" s="1" t="s">
        <v>49</v>
      </c>
      <c r="AY312" s="1" t="s">
        <v>50</v>
      </c>
      <c r="AZ312" s="1" t="s">
        <v>51</v>
      </c>
      <c r="BA312" s="1" t="s">
        <v>52</v>
      </c>
      <c r="BB312" s="1" t="s">
        <v>53</v>
      </c>
      <c r="BC312" s="1" t="s">
        <v>54</v>
      </c>
      <c r="BD312" s="1" t="s">
        <v>55</v>
      </c>
      <c r="BE312" s="1" t="s">
        <v>56</v>
      </c>
      <c r="BF312" s="1" t="s">
        <v>57</v>
      </c>
      <c r="BG312" s="1" t="s">
        <v>58</v>
      </c>
      <c r="BH312" s="1" t="s">
        <v>59</v>
      </c>
      <c r="BI312" s="1" t="s">
        <v>60</v>
      </c>
      <c r="BJ312" s="1" t="s">
        <v>61</v>
      </c>
      <c r="BK312" s="1" t="s">
        <v>62</v>
      </c>
      <c r="BL312" s="1" t="s">
        <v>63</v>
      </c>
      <c r="BM312" s="1" t="s">
        <v>330</v>
      </c>
      <c r="BN312" s="1" t="s">
        <v>331</v>
      </c>
      <c r="BO312" s="1" t="s">
        <v>332</v>
      </c>
      <c r="BP312" s="1" t="s">
        <v>333</v>
      </c>
      <c r="BQ312" s="1" t="s">
        <v>334</v>
      </c>
      <c r="BR312" s="1" t="s">
        <v>335</v>
      </c>
      <c r="BS312" s="1" t="s">
        <v>336</v>
      </c>
      <c r="BT312" s="1" t="s">
        <v>337</v>
      </c>
      <c r="BU312" s="1" t="s">
        <v>338</v>
      </c>
      <c r="BV312" s="1" t="s">
        <v>339</v>
      </c>
      <c r="BW312" s="1" t="s">
        <v>340</v>
      </c>
      <c r="BX312" s="1" t="s">
        <v>341</v>
      </c>
      <c r="BY312" s="1" t="s">
        <v>342</v>
      </c>
      <c r="BZ312" s="1" t="s">
        <v>343</v>
      </c>
      <c r="CA312" s="1" t="s">
        <v>390</v>
      </c>
    </row>
    <row r="313" spans="41:79">
      <c r="AO313" s="79"/>
      <c r="AP313" s="79"/>
      <c r="AQ313" s="20">
        <v>6</v>
      </c>
      <c r="AR313" t="s">
        <v>4</v>
      </c>
      <c r="AS313" t="s">
        <v>5</v>
      </c>
      <c r="AT313" t="s">
        <v>2</v>
      </c>
      <c r="AU313" t="s">
        <v>5</v>
      </c>
      <c r="AV313" t="s">
        <v>5</v>
      </c>
      <c r="AW313" t="s">
        <v>5</v>
      </c>
      <c r="AX313" t="s">
        <v>2</v>
      </c>
      <c r="AY313" t="s">
        <v>2</v>
      </c>
      <c r="AZ313" t="s">
        <v>2</v>
      </c>
      <c r="BA313" t="s">
        <v>4</v>
      </c>
      <c r="BB313" t="s">
        <v>2</v>
      </c>
      <c r="BC313" t="s">
        <v>5</v>
      </c>
      <c r="BD313" t="s">
        <v>5</v>
      </c>
      <c r="BE313" t="s">
        <v>4</v>
      </c>
      <c r="BF313" t="s">
        <v>5</v>
      </c>
      <c r="BG313" t="s">
        <v>5</v>
      </c>
      <c r="BH313" t="s">
        <v>5</v>
      </c>
      <c r="BI313" t="s">
        <v>5</v>
      </c>
      <c r="BJ313" t="s">
        <v>5</v>
      </c>
      <c r="BK313" t="s">
        <v>4</v>
      </c>
      <c r="BL313" t="s">
        <v>3</v>
      </c>
      <c r="BM313" t="s">
        <v>2</v>
      </c>
      <c r="BN313" t="s">
        <v>3</v>
      </c>
      <c r="BO313" t="s">
        <v>4</v>
      </c>
      <c r="BP313" t="s">
        <v>4</v>
      </c>
      <c r="BQ313" t="s">
        <v>4</v>
      </c>
      <c r="BR313" t="s">
        <v>3</v>
      </c>
      <c r="BS313" t="s">
        <v>4</v>
      </c>
      <c r="BT313" t="s">
        <v>3</v>
      </c>
      <c r="BU313" t="s">
        <v>3</v>
      </c>
      <c r="BV313" t="s">
        <v>3</v>
      </c>
      <c r="BW313" t="s">
        <v>3</v>
      </c>
      <c r="BX313" t="s">
        <v>3</v>
      </c>
      <c r="BY313" t="s">
        <v>3</v>
      </c>
      <c r="BZ313" t="s">
        <v>3</v>
      </c>
      <c r="CA313" t="s">
        <v>3</v>
      </c>
    </row>
    <row r="314" spans="41:79">
      <c r="AO314" s="69" t="s">
        <v>504</v>
      </c>
      <c r="AP314" s="69"/>
      <c r="AQ314">
        <f>'Data Training 1'!AW22*'Data Training 1'!AT31*'Data Training 1'!AT40*'Data Training 1'!AT45*'Data Training 1'!AT52*'Data Training 1'!AT58*'Data Training 1'!AT64*'Data Training 1'!AT69*'Data Training 1'!AT75*'Data Training 1'!AT81*'Data Training 1'!AT85*'Data Training 1'!AT93*'Data Training 1'!AT100*'Data Training 1'!AT106*'Data Training 1'!AT109*'Data Training 1'!AT118*'Data Training 1'!AT124*'Data Training 1'!AT130*'Data Training 1'!AT136*'Data Training 1'!AT142*'Data Training 1'!AT145*'Data Training 1'!AT152*'Data Training 1'!AT159*'Data Training 1'!AT164*'Data Training 1'!AT167*'Data Training 1'!AT171*'Data Training 1'!AT175*'Data Training 1'!AT180*'Data Training 1'!AT183*'Data Training 1'!AT188*'Data Training 1'!AT192*'Data Training 1'!AT196*'Data Training 1'!AT200*'Data Training 1'!AT204*'Data Training 1'!AT208*'Data Training 1'!AT212*'Data Training 1'!AT216</f>
        <v>0</v>
      </c>
    </row>
    <row r="315" spans="41:79">
      <c r="AO315" s="69" t="s">
        <v>505</v>
      </c>
      <c r="AP315" s="69"/>
      <c r="AQ315">
        <f>'Data Training 1'!AW23*'Data Training 1'!AU31*'Data Training 1'!AU40*'Data Training 1'!AU45*'Data Training 1'!AU52*'Data Training 1'!AU58*'Data Training 1'!AU64*'Data Training 1'!AU69*'Data Training 1'!AU75*'Data Training 1'!AU81*'Data Training 1'!AU85*'Data Training 1'!AU93*'Data Training 1'!AU100*'Data Training 1'!AU106*'Data Training 1'!AU109*'Data Training 1'!AU118*'Data Training 1'!AU124*'Data Training 1'!AU130*'Data Training 1'!AU136*'Data Training 1'!AU142*'Data Training 1'!AU145*'Data Training 1'!AU152*'Data Training 1'!AU159*'Data Training 1'!AU164*'Data Training 1'!AU167*'Data Training 1'!AU171*'Data Training 1'!AU175*'Data Training 1'!AU180*'Data Training 1'!AU183*'Data Training 1'!AU188*'Data Training 1'!AU192*'Data Training 1'!AU196*'Data Training 1'!AU200*'Data Training 1'!AU204*'Data Training 1'!AU208*'Data Training 1'!AU212*'Data Training 1'!AU216</f>
        <v>0</v>
      </c>
    </row>
    <row r="316" spans="41:79">
      <c r="AO316" s="69" t="s">
        <v>506</v>
      </c>
      <c r="AP316" s="69"/>
      <c r="AQ316">
        <f>'Data Training 1'!AW24*'Data Training 1'!AV31*'Data Training 1'!AV40*'Data Training 1'!AV45*'Data Training 1'!AV52*'Data Training 1'!AV58*'Data Training 1'!AV64*'Data Training 1'!AV69*'Data Training 1'!AV75*'Data Training 1'!AV81*'Data Training 1'!AV85*'Data Training 1'!AV93*'Data Training 1'!AV100*'Data Training 1'!AV106*'Data Training 1'!AV109*'Data Training 1'!AV118*'Data Training 1'!AV124*'Data Training 1'!AV130*'Data Training 1'!AV136*'Data Training 1'!AV142*'Data Training 1'!AV145*'Data Training 1'!AV152*'Data Training 1'!AV159*'Data Training 1'!AV164*'Data Training 1'!AV167*'Data Training 1'!AV171*'Data Training 1'!AV175*'Data Training 1'!AV180*'Data Training 1'!AV183*'Data Training 1'!AV188*'Data Training 1'!AV192*'Data Training 1'!AV196*'Data Training 1'!AV200*'Data Training 1'!AV204*'Data Training 1'!AV208*'Data Training 1'!AV212*'Data Training 1'!AV216</f>
        <v>0</v>
      </c>
    </row>
    <row r="317" spans="41:79">
      <c r="AO317" s="69" t="s">
        <v>507</v>
      </c>
      <c r="AP317" s="69"/>
      <c r="AQ317">
        <f>'Data Training 1'!AW25*'Data Training 1'!AW31*'Data Training 1'!AW40*'Data Training 1'!AW45*'Data Training 1'!AW52*'Data Training 1'!AW58*'Data Training 1'!AW64*'Data Training 1'!AW69*'Data Training 1'!AW75*'Data Training 1'!AW81*'Data Training 1'!AW85*'Data Training 1'!AW93*'Data Training 1'!AW100*'Data Training 1'!AW106*'Data Training 1'!AW109*'Data Training 1'!AW118*'Data Training 1'!AW124*'Data Training 1'!AW130*'Data Training 1'!AW136*'Data Training 1'!AW142*'Data Training 1'!AW145*'Data Training 1'!AW152*'Data Training 1'!AW159*'Data Training 1'!AW164*'Data Training 1'!AW167*'Data Training 1'!AW171*'Data Training 1'!AW175*'Data Training 1'!AW180*'Data Training 1'!AW183*'Data Training 1'!AW188*'Data Training 1'!AW192*'Data Training 1'!AW196*'Data Training 1'!AW200*'Data Training 1'!AW204*'Data Training 1'!AW208*'Data Training 1'!AW212*'Data Training 1'!AW216</f>
        <v>0</v>
      </c>
    </row>
    <row r="318" spans="41:79">
      <c r="AO318" s="69" t="s">
        <v>508</v>
      </c>
      <c r="AP318" s="69"/>
      <c r="AQ318">
        <f>'Data Training 1'!AW26*'Data Training 1'!AX31*'Data Training 1'!AX40*'Data Training 1'!AX45*'Data Training 1'!AX52*'Data Training 1'!AX58*'Data Training 1'!AX64*'Data Training 1'!AX69*'Data Training 1'!AX75*'Data Training 1'!AX81*'Data Training 1'!AX85*'Data Training 1'!AX93*'Data Training 1'!AX100*'Data Training 1'!AX106*'Data Training 1'!AX109*'Data Training 1'!AX118*'Data Training 1'!AX124*'Data Training 1'!AX130*'Data Training 1'!AX136*'Data Training 1'!AX142*'Data Training 1'!AX145*'Data Training 1'!AX152*'Data Training 1'!AX159*'Data Training 1'!AX164*'Data Training 1'!AX167*'Data Training 1'!AX171*'Data Training 1'!AX175*'Data Training 1'!AX180*'Data Training 1'!AX183*'Data Training 1'!AX188*'Data Training 1'!AX192*'Data Training 1'!AX196*'Data Training 1'!AX200*'Data Training 1'!AX204*'Data Training 1'!AX208*'Data Training 1'!AX212*'Data Training 1'!AX216</f>
        <v>0</v>
      </c>
    </row>
    <row r="319" spans="41:79">
      <c r="AO319" s="69" t="s">
        <v>509</v>
      </c>
      <c r="AP319" s="69"/>
      <c r="AQ319">
        <f>'Data Training 1'!AW27*'Data Training 1'!AY31*'Data Training 1'!AY40*'Data Training 1'!AY45*'Data Training 1'!AY52*'Data Training 1'!AY58*'Data Training 1'!AY64*'Data Training 1'!AY69*'Data Training 1'!AY75*'Data Training 1'!AY81*'Data Training 1'!AY85*'Data Training 1'!AY93*'Data Training 1'!AY100*'Data Training 1'!AY106*'Data Training 1'!AY109*'Data Training 1'!AY118*'Data Training 1'!AY124*'Data Training 1'!AY130*'Data Training 1'!AY136*'Data Training 1'!AY142*'Data Training 1'!AY145*'Data Training 1'!AY152*'Data Training 1'!AY159*'Data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1.6408277097135984E-12</v>
      </c>
    </row>
    <row r="320" spans="41:79">
      <c r="AO320" s="78" t="s">
        <v>437</v>
      </c>
      <c r="AP320" s="78"/>
      <c r="AQ320" t="s">
        <v>298</v>
      </c>
      <c r="AR320" s="74" t="s">
        <v>438</v>
      </c>
      <c r="AS320" s="74"/>
      <c r="AT320" s="74"/>
    </row>
    <row r="322" spans="41:79">
      <c r="AO322" s="79" t="s">
        <v>328</v>
      </c>
      <c r="AP322" s="79"/>
      <c r="AQ322" s="20" t="s">
        <v>64</v>
      </c>
      <c r="AR322" s="1" t="s">
        <v>43</v>
      </c>
      <c r="AS322" s="1" t="s">
        <v>44</v>
      </c>
      <c r="AT322" s="1" t="s">
        <v>45</v>
      </c>
      <c r="AU322" s="1" t="s">
        <v>46</v>
      </c>
      <c r="AV322" s="1" t="s">
        <v>47</v>
      </c>
      <c r="AW322" s="1" t="s">
        <v>48</v>
      </c>
      <c r="AX322" s="1" t="s">
        <v>49</v>
      </c>
      <c r="AY322" s="1" t="s">
        <v>50</v>
      </c>
      <c r="AZ322" s="1" t="s">
        <v>51</v>
      </c>
      <c r="BA322" s="1" t="s">
        <v>52</v>
      </c>
      <c r="BB322" s="1" t="s">
        <v>53</v>
      </c>
      <c r="BC322" s="1" t="s">
        <v>54</v>
      </c>
      <c r="BD322" s="1" t="s">
        <v>55</v>
      </c>
      <c r="BE322" s="1" t="s">
        <v>56</v>
      </c>
      <c r="BF322" s="1" t="s">
        <v>57</v>
      </c>
      <c r="BG322" s="1" t="s">
        <v>58</v>
      </c>
      <c r="BH322" s="1" t="s">
        <v>59</v>
      </c>
      <c r="BI322" s="1" t="s">
        <v>60</v>
      </c>
      <c r="BJ322" s="1" t="s">
        <v>61</v>
      </c>
      <c r="BK322" s="1" t="s">
        <v>62</v>
      </c>
      <c r="BL322" s="1" t="s">
        <v>63</v>
      </c>
      <c r="BM322" s="1" t="s">
        <v>330</v>
      </c>
      <c r="BN322" s="1" t="s">
        <v>331</v>
      </c>
      <c r="BO322" s="1" t="s">
        <v>332</v>
      </c>
      <c r="BP322" s="1" t="s">
        <v>333</v>
      </c>
      <c r="BQ322" s="1" t="s">
        <v>334</v>
      </c>
      <c r="BR322" s="1" t="s">
        <v>335</v>
      </c>
      <c r="BS322" s="1" t="s">
        <v>336</v>
      </c>
      <c r="BT322" s="1" t="s">
        <v>337</v>
      </c>
      <c r="BU322" s="1" t="s">
        <v>338</v>
      </c>
      <c r="BV322" s="1" t="s">
        <v>339</v>
      </c>
      <c r="BW322" s="1" t="s">
        <v>340</v>
      </c>
      <c r="BX322" s="1" t="s">
        <v>341</v>
      </c>
      <c r="BY322" s="1" t="s">
        <v>342</v>
      </c>
      <c r="BZ322" s="1" t="s">
        <v>343</v>
      </c>
      <c r="CA322" s="1" t="s">
        <v>390</v>
      </c>
    </row>
    <row r="323" spans="41:79">
      <c r="AO323" s="79"/>
      <c r="AP323" s="79"/>
      <c r="AQ323" s="20">
        <v>6</v>
      </c>
      <c r="AR323" t="s">
        <v>5</v>
      </c>
      <c r="AS323" t="s">
        <v>5</v>
      </c>
      <c r="AT323" t="s">
        <v>3</v>
      </c>
      <c r="AU323" t="s">
        <v>2</v>
      </c>
      <c r="AV323" t="s">
        <v>5</v>
      </c>
      <c r="AW323" t="s">
        <v>5</v>
      </c>
      <c r="AX323" t="s">
        <v>5</v>
      </c>
      <c r="AY323" t="s">
        <v>5</v>
      </c>
      <c r="AZ323" t="s">
        <v>2</v>
      </c>
      <c r="BA323" t="s">
        <v>4</v>
      </c>
      <c r="BB323" t="s">
        <v>4</v>
      </c>
      <c r="BC323" t="s">
        <v>2</v>
      </c>
      <c r="BD323" t="s">
        <v>5</v>
      </c>
      <c r="BE323" t="s">
        <v>2</v>
      </c>
      <c r="BF323" t="s">
        <v>2</v>
      </c>
      <c r="BG323" t="s">
        <v>5</v>
      </c>
      <c r="BH323" t="s">
        <v>3</v>
      </c>
      <c r="BI323" t="s">
        <v>5</v>
      </c>
      <c r="BJ323" t="s">
        <v>3</v>
      </c>
      <c r="BK323" t="s">
        <v>2</v>
      </c>
      <c r="BL323" t="s">
        <v>2</v>
      </c>
      <c r="BM323" t="s">
        <v>5</v>
      </c>
      <c r="BN323" t="s">
        <v>3</v>
      </c>
      <c r="BO323" t="s">
        <v>4</v>
      </c>
      <c r="BP323" t="s">
        <v>4</v>
      </c>
      <c r="BQ323" t="s">
        <v>4</v>
      </c>
      <c r="BR323" t="s">
        <v>3</v>
      </c>
      <c r="BS323" t="s">
        <v>4</v>
      </c>
      <c r="BT323" t="s">
        <v>3</v>
      </c>
      <c r="BU323" t="s">
        <v>3</v>
      </c>
      <c r="BV323" t="s">
        <v>3</v>
      </c>
      <c r="BW323" t="s">
        <v>3</v>
      </c>
      <c r="BX323" t="s">
        <v>3</v>
      </c>
      <c r="BY323" t="s">
        <v>3</v>
      </c>
      <c r="BZ323" t="s">
        <v>3</v>
      </c>
      <c r="CA323" t="s">
        <v>3</v>
      </c>
    </row>
    <row r="324" spans="41:79">
      <c r="AO324" s="69" t="s">
        <v>504</v>
      </c>
      <c r="AP324" s="69"/>
      <c r="AQ324">
        <f>'Data Training 1'!AW22*'Data Training 1'!AT34*'Data Training 1'!AT40*'Data Training 1'!AT44*'Data Training 1'!AT51*'Data Training 1'!AT58*'Data Training 1'!AT64*'Data Training 1'!AT70*'Data Training 1'!AT76*'Data Training 1'!AT81*'Data Training 1'!AT85*'Data Training 1'!AT91*'Data Training 1'!AT99*'Data Training 1'!AT106*'Data Training 1'!AT111*'Data Training 1'!AT117*'Data Training 1'!AT124*'Data Training 1'!AT128*'Data Training 1'!AT136*'Data Training 1'!AT140*'Data Training 1'!AT147*'Data Training 1'!AT153*'Data Training 1'!AT160*'Data Training 1'!AT164*'Data Training 1'!AT167*'Data Training 1'!AT171*'Data Training 1'!AT175*'Data Training 1'!AT180*'Data Training 1'!AT183*'Data Training 1'!AT188*'Data Training 1'!AT192*'Data Training 1'!AT196*'Data Training 1'!AT200*'Data Training 1'!AT204*'Data Training 1'!AT208*'Data Training 1'!AT212*'Data Training 1'!AT216</f>
        <v>0</v>
      </c>
    </row>
    <row r="325" spans="41:79">
      <c r="AO325" s="69" t="s">
        <v>505</v>
      </c>
      <c r="AP325" s="69"/>
      <c r="AQ325">
        <f>'Data Training 1'!AW23*'Data Training 1'!AU34*'Data Training 1'!AU40*'Data Training 1'!AU44*'Data Training 1'!AU51*'Data Training 1'!AU58*'Data Training 1'!AU64*'Data Training 1'!AU70*'Data Training 1'!AU76*'Data Training 1'!AU81*'Data Training 1'!AU85*'Data Training 1'!AU91*'Data Training 1'!AU99*'Data Training 1'!AU106*'Data Training 1'!AU111*'Data Training 1'!AU117*'Data Training 1'!AU124*'Data Training 1'!AU128*'Data Training 1'!AU136*'Data Training 1'!AU140*'Data Training 1'!AU147*'Data Training 1'!AU153*'Data Training 1'!AU160*'Data Training 1'!AU164*'Data Training 1'!AU167*'Data Training 1'!AU171*'Data Training 1'!AU175*'Data Training 1'!AU180*'Data Training 1'!AU183*'Data Training 1'!AU188*'Data Training 1'!AU192*'Data Training 1'!AU196*'Data Training 1'!AU200*'Data Training 1'!AU204*'Data Training 1'!AU208*'Data Training 1'!AU212*'Data Training 1'!AU216</f>
        <v>0</v>
      </c>
    </row>
    <row r="326" spans="41:79">
      <c r="AO326" s="69" t="s">
        <v>506</v>
      </c>
      <c r="AP326" s="69"/>
      <c r="AQ326">
        <f>'Data Training 1'!AW24*'Data Training 1'!AV34*'Data Training 1'!AV40*'Data Training 1'!AV44*'Data Training 1'!AV51*'Data Training 1'!AV58*'Data Training 1'!AV64*'Data Training 1'!AV70*'Data Training 1'!AV76*'Data Training 1'!AV81*'Data Training 1'!AV85*'Data Training 1'!AV91*'Data Training 1'!AV99*'Data Training 1'!AV106*'Data Training 1'!AV111*'Data Training 1'!AV117*'Data Training 1'!AV124*'Data Training 1'!AV128*'Data Training 1'!AV136*'Data Training 1'!AV140*'Data Training 1'!AV147*'Data Training 1'!AV153*'Data Training 1'!AV160*'Data Training 1'!AV164*'Data Training 1'!AV167*'Data Training 1'!AV171*'Data Training 1'!AV175*'Data Training 1'!AV180*'Data Training 1'!AV183*'Data Training 1'!AV188*'Data Training 1'!AV192*'Data Training 1'!AV196*'Data Training 1'!AV200*'Data Training 1'!AV204*'Data Training 1'!AV208*'Data Training 1'!AV212*'Data Training 1'!AV216</f>
        <v>0</v>
      </c>
    </row>
    <row r="327" spans="41:79">
      <c r="AO327" s="69" t="s">
        <v>507</v>
      </c>
      <c r="AP327" s="69"/>
      <c r="AQ327">
        <f>'Data Training 1'!AW25*'Data Training 1'!AW34*'Data Training 1'!AW40*'Data Training 1'!AW44*'Data Training 1'!AW51*'Data Training 1'!AW58*'Data Training 1'!AW64*'Data Training 1'!AW70*'Data Training 1'!AW76*'Data Training 1'!AW81*'Data Training 1'!AW85*'Data Training 1'!AW91*'Data Training 1'!AW99*'Data Training 1'!AW106*'Data Training 1'!AW111*'Data Training 1'!AW117*'Data Training 1'!AW124*'Data Training 1'!AW128*'Data Training 1'!AW136*'Data Training 1'!AW140*'Data Training 1'!AW147*'Data Training 1'!AW153*'Data Training 1'!AW160*'Data Training 1'!AW164*'Data Training 1'!AW167*'Data Training 1'!AW171*'Data Training 1'!AW175*'Data Training 1'!AW180*'Data Training 1'!AW183*'Data Training 1'!AW188*'Data Training 1'!AW192*'Data Training 1'!AW196*'Data Training 1'!AW200*'Data Training 1'!AW204*'Data Training 1'!AW208*'Data Training 1'!AW212*'Data Training 1'!AW216</f>
        <v>0</v>
      </c>
    </row>
    <row r="328" spans="41:79">
      <c r="AO328" s="69" t="s">
        <v>508</v>
      </c>
      <c r="AP328" s="69"/>
      <c r="AQ328">
        <f>'Data Training 1'!AW26*'Data Training 1'!AX34*'Data Training 1'!AX40*'Data Training 1'!AX44*'Data Training 1'!AX51*'Data Training 1'!AX58*'Data Training 1'!AX64*'Data Training 1'!AX70*'Data Training 1'!AX76*'Data Training 1'!AX81*'Data Training 1'!AX85*'Data Training 1'!AX91*'Data Training 1'!AX99*'Data Training 1'!AX106*'Data Training 1'!AX111*'Data Training 1'!AX117*'Data Training 1'!AX124*'Data Training 1'!AX128*'Data Training 1'!AX136*'Data Training 1'!AX140*'Data Training 1'!AX147*'Data Training 1'!AX153*'Data Training 1'!AX160*'Data Training 1'!AX164*'Data Training 1'!AX167*'Data Training 1'!AX171*'Data Training 1'!AX175*'Data Training 1'!AX180*'Data Training 1'!AX183*'Data Training 1'!AX188*'Data Training 1'!AX192*'Data Training 1'!AX196*'Data Training 1'!AX200*'Data Training 1'!AX204*'Data Training 1'!AX208*'Data Training 1'!AX212*'Data Training 1'!AX216</f>
        <v>0</v>
      </c>
    </row>
    <row r="329" spans="41:79">
      <c r="AO329" s="69" t="s">
        <v>509</v>
      </c>
      <c r="AP329" s="69"/>
      <c r="AQ329">
        <f>'Data Training 1'!AW27*'Data Training 1'!AY34*'Data Training 1'!AY40*'Data Training 1'!AY44*'Data Training 1'!AY51*'Data Training 1'!AY58*'Data Training 1'!AY64*'Data Training 1'!AY70*'Data Training 1'!AY76*'Data Training 1'!AY81*'Data Training 1'!AY85*'Data Training 1'!AY91*'Data Training 1'!AY99*'Data Training 1'!AY106*'Data Training 1'!AY111*'Data Training 1'!AY117*'Data Training 1'!AY124*'Data Training 1'!AY128*'Data Training 1'!AY136*'Data Training 1'!AY140*'Data Training 1'!AY147*'Data Training 1'!AY153*'Data Training 1'!AY160*'Data Training 1'!AY164*'Data Training 1'!AY167*'Data Training 1'!AY171*'Data Training 1'!AY175*'Data Training 1'!AY180*'Data Training 1'!AY183*'Data Training 1'!AY188*'Data Training 1'!AY192*'Data Training 1'!AY196*'Data Training 1'!AY200*'Data Training 1'!AY204*'Data Training 1'!AY208*'Data Training 1'!AY212*'Data Training 1'!AY216</f>
        <v>4.2092742272595132E-14</v>
      </c>
    </row>
    <row r="330" spans="41:79">
      <c r="AO330" s="78" t="s">
        <v>437</v>
      </c>
      <c r="AP330" s="78"/>
      <c r="AQ330" t="s">
        <v>298</v>
      </c>
      <c r="AR330" s="74" t="s">
        <v>438</v>
      </c>
      <c r="AS330" s="74"/>
      <c r="AT330" s="74"/>
    </row>
    <row r="332" spans="41:79">
      <c r="AO332" s="79" t="s">
        <v>475</v>
      </c>
      <c r="AP332" s="79"/>
      <c r="AQ332" s="20" t="s">
        <v>64</v>
      </c>
      <c r="AR332" s="1" t="s">
        <v>43</v>
      </c>
      <c r="AS332" s="1" t="s">
        <v>44</v>
      </c>
      <c r="AT332" s="1" t="s">
        <v>45</v>
      </c>
      <c r="AU332" s="1" t="s">
        <v>46</v>
      </c>
      <c r="AV332" s="1" t="s">
        <v>47</v>
      </c>
      <c r="AW332" s="1" t="s">
        <v>48</v>
      </c>
      <c r="AX332" s="1" t="s">
        <v>49</v>
      </c>
      <c r="AY332" s="1" t="s">
        <v>50</v>
      </c>
      <c r="AZ332" s="1" t="s">
        <v>51</v>
      </c>
      <c r="BA332" s="1" t="s">
        <v>52</v>
      </c>
      <c r="BB332" s="1" t="s">
        <v>53</v>
      </c>
      <c r="BC332" s="1" t="s">
        <v>54</v>
      </c>
      <c r="BD332" s="1" t="s">
        <v>55</v>
      </c>
      <c r="BE332" s="1" t="s">
        <v>56</v>
      </c>
      <c r="BF332" s="1" t="s">
        <v>57</v>
      </c>
      <c r="BG332" s="1" t="s">
        <v>58</v>
      </c>
      <c r="BH332" s="1" t="s">
        <v>59</v>
      </c>
      <c r="BI332" s="1" t="s">
        <v>60</v>
      </c>
      <c r="BJ332" s="1" t="s">
        <v>61</v>
      </c>
      <c r="BK332" s="1" t="s">
        <v>62</v>
      </c>
      <c r="BL332" s="1" t="s">
        <v>63</v>
      </c>
      <c r="BM332" s="1" t="s">
        <v>330</v>
      </c>
      <c r="BN332" s="1" t="s">
        <v>331</v>
      </c>
      <c r="BO332" s="1" t="s">
        <v>332</v>
      </c>
      <c r="BP332" s="1" t="s">
        <v>333</v>
      </c>
      <c r="BQ332" s="1" t="s">
        <v>334</v>
      </c>
      <c r="BR332" s="1" t="s">
        <v>335</v>
      </c>
      <c r="BS332" s="1" t="s">
        <v>336</v>
      </c>
      <c r="BT332" s="1" t="s">
        <v>337</v>
      </c>
      <c r="BU332" s="1" t="s">
        <v>338</v>
      </c>
      <c r="BV332" s="1" t="s">
        <v>339</v>
      </c>
      <c r="BW332" s="1" t="s">
        <v>340</v>
      </c>
      <c r="BX332" s="1" t="s">
        <v>341</v>
      </c>
      <c r="BY332" s="1" t="s">
        <v>342</v>
      </c>
      <c r="BZ332" s="1" t="s">
        <v>343</v>
      </c>
      <c r="CA332" s="1" t="s">
        <v>390</v>
      </c>
    </row>
    <row r="333" spans="41:79">
      <c r="AO333" s="79"/>
      <c r="AP333" s="79"/>
      <c r="AQ333" s="20">
        <v>6</v>
      </c>
      <c r="AR333" t="s">
        <v>5</v>
      </c>
      <c r="AS333" t="s">
        <v>5</v>
      </c>
      <c r="AT333" t="s">
        <v>2</v>
      </c>
      <c r="AU333" t="s">
        <v>5</v>
      </c>
      <c r="AV333" t="s">
        <v>5</v>
      </c>
      <c r="AW333" t="s">
        <v>5</v>
      </c>
      <c r="AX333" t="s">
        <v>5</v>
      </c>
      <c r="AY333" t="s">
        <v>5</v>
      </c>
      <c r="AZ333" t="s">
        <v>2</v>
      </c>
      <c r="BA333" t="s">
        <v>4</v>
      </c>
      <c r="BB333" t="s">
        <v>4</v>
      </c>
      <c r="BC333" t="s">
        <v>5</v>
      </c>
      <c r="BD333" t="s">
        <v>2</v>
      </c>
      <c r="BE333" t="s">
        <v>3</v>
      </c>
      <c r="BF333" t="s">
        <v>5</v>
      </c>
      <c r="BG333" t="s">
        <v>5</v>
      </c>
      <c r="BH333" t="s">
        <v>3</v>
      </c>
      <c r="BI333" t="s">
        <v>5</v>
      </c>
      <c r="BJ333" t="s">
        <v>5</v>
      </c>
      <c r="BK333" t="s">
        <v>4</v>
      </c>
      <c r="BL333" t="s">
        <v>3</v>
      </c>
      <c r="BM333" t="s">
        <v>2</v>
      </c>
      <c r="BN333" t="s">
        <v>3</v>
      </c>
      <c r="BO333" t="s">
        <v>4</v>
      </c>
      <c r="BP333" t="s">
        <v>4</v>
      </c>
      <c r="BQ333" t="s">
        <v>3</v>
      </c>
      <c r="BR333" t="s">
        <v>4</v>
      </c>
      <c r="BS333" t="s">
        <v>4</v>
      </c>
      <c r="BT333" t="s">
        <v>4</v>
      </c>
      <c r="BU333" t="s">
        <v>3</v>
      </c>
      <c r="BV333" t="s">
        <v>4</v>
      </c>
      <c r="BW333" t="s">
        <v>3</v>
      </c>
      <c r="BX333" t="s">
        <v>4</v>
      </c>
      <c r="BY333" t="s">
        <v>4</v>
      </c>
      <c r="BZ333" t="s">
        <v>4</v>
      </c>
      <c r="CA333" t="s">
        <v>3</v>
      </c>
    </row>
    <row r="334" spans="41:79">
      <c r="AO334" s="69" t="s">
        <v>504</v>
      </c>
      <c r="AP334" s="69"/>
      <c r="AQ334">
        <f>PRODUCT('Data Training 1'!AW22,'Data Training 1'!AT34,'Data Training 1'!AT40,'Data Training 1'!AT45,'Data Training 1'!AT52,'Data Training 1'!AT58,'Data Training 1'!AT64,'Data Training 1'!AT70,'Data Training 1'!AT76,'Data Training 1'!AT81,'Data Training 1'!AT85,'Data Training 1'!AT91,'Data Training 1'!AT100,'Data Training 1'!AT105,'Data Training 1'!AT110,'Data Training 1'!AT118,'Data Training 1'!AT124,'Data Training 1'!AT128,'Data Training 1'!AT136,'Data Training 1'!AT142,'Data Training 1'!AT145,'Data Training 1'!AT152,'Data Training 1'!AT159,'Data Training 1'!AT164,'Data Training 1'!AT167,'Data Training 1'!AT171,'Data Training 1'!AT176,'Data Training 1'!AT179,'Data Training 1'!AT183,'Data Training 1'!AT187,'Data Training 1'!AT192,'Data Training 1'!AT195,'Data Training 1'!AT200,'Data Training 1'!AT203,'Data Training 1'!AT207,'Data Training 1'!AT211,'Data Training 1'!AT216)</f>
        <v>0</v>
      </c>
    </row>
    <row r="335" spans="41:79">
      <c r="AO335" s="69" t="s">
        <v>505</v>
      </c>
      <c r="AP335" s="69"/>
      <c r="AQ335" s="44">
        <f>PRODUCT('Data Training 1'!AW23,'Data Training 1'!AU34,'Data Training 1'!AU40,'Data Training 1'!AU45,'Data Training 1'!AU52,'Data Training 1'!AU58,'Data Training 1'!AU64,'Data Training 1'!AU70,'Data Training 1'!AU76,'Data Training 1'!AU81,'Data Training 1'!AU85,'Data Training 1'!AU91,'Data Training 1'!AU100,'Data Training 1'!AU105,'Data Training 1'!AU110,'Data Training 1'!AU118,'Data Training 1'!AU124,'Data Training 1'!AU128,'Data Training 1'!AU136,'Data Training 1'!AU142,'Data Training 1'!AU145,'Data Training 1'!AU152,'Data Training 1'!AU159,'Data Training 1'!AU164,'Data Training 1'!AU167,'Data Training 1'!AU171,'Data Training 1'!AU176,'Data Training 1'!AU179,'Data Training 1'!AU183,'Data Training 1'!AU187,'Data Training 1'!AU192,'Data Training 1'!AU195,'Data Training 1'!AU200,'Data Training 1'!AU203,'Data Training 1'!AU207,'Data Training 1'!AU211,'Data Training 1'!AU216)</f>
        <v>0</v>
      </c>
    </row>
    <row r="336" spans="41:79">
      <c r="AO336" s="69" t="s">
        <v>506</v>
      </c>
      <c r="AP336" s="69"/>
      <c r="AQ336" s="44">
        <f>PRODUCT('Data Training 1'!AW24,'Data Training 1'!AV34,'Data Training 1'!AV40,'Data Training 1'!AV45,'Data Training 1'!AV52,'Data Training 1'!AV58,'Data Training 1'!AV64,'Data Training 1'!AV70,'Data Training 1'!AV76,'Data Training 1'!AV81,'Data Training 1'!AV85,'Data Training 1'!AV91,'Data Training 1'!AV100,'Data Training 1'!AV105,'Data Training 1'!AV110,'Data Training 1'!AV118,'Data Training 1'!AV124,'Data Training 1'!AV128,'Data Training 1'!AV136,'Data Training 1'!AV142,'Data Training 1'!AV145,'Data Training 1'!AV152,'Data Training 1'!AV159,'Data Training 1'!AV164,'Data Training 1'!AV167,'Data Training 1'!AV171,'Data Training 1'!AV176,'Data Training 1'!AV179,'Data Training 1'!AV183,'Data Training 1'!AV187,'Data Training 1'!AV192,'Data Training 1'!AV195,'Data Training 1'!AV200,'Data Training 1'!AV203,'Data Training 1'!AV207,'Data Training 1'!AV211,'Data Training 1'!AV216)</f>
        <v>0</v>
      </c>
    </row>
    <row r="337" spans="41:79">
      <c r="AO337" s="69" t="s">
        <v>507</v>
      </c>
      <c r="AP337" s="69"/>
      <c r="AQ337" s="44">
        <f>PRODUCT('Data Training 1'!AW25,'Data Training 1'!AW34,'Data Training 1'!AW40,'Data Training 1'!AW45,'Data Training 1'!AW52,'Data Training 1'!AW58,'Data Training 1'!AW64,'Data Training 1'!AW70,'Data Training 1'!AW76,'Data Training 1'!AW81,'Data Training 1'!AW85,'Data Training 1'!AW91,'Data Training 1'!AW100,'Data Training 1'!AW105,'Data Training 1'!AW110,'Data Training 1'!AW118,'Data Training 1'!AW124,'Data Training 1'!AW128,'Data Training 1'!AW136,'Data Training 1'!AW142,'Data Training 1'!AW145,'Data Training 1'!AW152,'Data Training 1'!AW159,'Data Training 1'!AW164,'Data Training 1'!AW167,'Data Training 1'!AW171,'Data Training 1'!AW176,'Data Training 1'!AW179,'Data Training 1'!AW183,'Data Training 1'!AW187,'Data Training 1'!AW192,'Data Training 1'!AW195,'Data Training 1'!AW200,'Data Training 1'!AW203,'Data Training 1'!AW207,'Data Training 1'!AW211,'Data Training 1'!AW216)</f>
        <v>0</v>
      </c>
    </row>
    <row r="338" spans="41:79">
      <c r="AO338" s="69" t="s">
        <v>508</v>
      </c>
      <c r="AP338" s="69"/>
      <c r="AQ338" s="44">
        <f>PRODUCT('Data Training 1'!AW26,'Data Training 1'!AX34,'Data Training 1'!AX40,'Data Training 1'!AX45,'Data Training 1'!AX52,'Data Training 1'!AX58,'Data Training 1'!AX64,'Data Training 1'!AX70,'Data Training 1'!AX76,'Data Training 1'!AX81,'Data Training 1'!AX85,'Data Training 1'!AX91,'Data Training 1'!AX100,'Data Training 1'!AX105,'Data Training 1'!AX110,'Data Training 1'!AX118,'Data Training 1'!AX124,'Data Training 1'!AX128,'Data Training 1'!AX136,'Data Training 1'!AX142,'Data Training 1'!AX145,'Data Training 1'!AX152,'Data Training 1'!AX159,'Data Training 1'!AX164,'Data Training 1'!AX167,'Data Training 1'!AX171,'Data Training 1'!AX176,'Data Training 1'!AX179,'Data Training 1'!AX183,'Data Training 1'!AX187,'Data Training 1'!AX192,'Data Training 1'!AX195,'Data Training 1'!AX200,'Data Training 1'!AX203,'Data Training 1'!AX207,'Data Training 1'!AX211,'Data Training 1'!AX216)</f>
        <v>0</v>
      </c>
    </row>
    <row r="339" spans="41:79">
      <c r="AO339" s="69" t="s">
        <v>509</v>
      </c>
      <c r="AP339" s="69"/>
      <c r="AQ339" s="44">
        <f>PRODUCT('Data Training 1'!AW27,'Data Training 1'!AY34,'Data Training 1'!AY40,'Data Training 1'!AY45,'Data Training 1'!AY52,'Data Training 1'!AY58,'Data Training 1'!AY64,'Data Training 1'!AY70,'Data Training 1'!AY76,'Data Training 1'!AY81,'Data Training 1'!AY85,'Data Training 1'!AY91,'Data Training 1'!AY100,'Data Training 1'!AY105,'Data Training 1'!AY110,'Data Training 1'!AY118,'Data Training 1'!AY124,'Data Training 1'!AY128,'Data Training 1'!AY136,'Data Training 1'!AY142,'Data Training 1'!AY145,'Data Training 1'!AY152,'Data Training 1'!AY159,'Data Training 1'!AY164,'Data Training 1'!AY167,'Data Training 1'!AY171,'Data Training 1'!AY176,'Data Training 1'!AY179,'Data Training 1'!AY183,'Data Training 1'!AY187,'Data Training 1'!AY192,'Data Training 1'!AY195,'Data Training 1'!AY200,'Data Training 1'!AY203,'Data Training 1'!AY207,'Data Training 1'!AY211,'Data Training 1'!AY216)</f>
        <v>2.7381160477354036E-10</v>
      </c>
    </row>
    <row r="340" spans="41:79">
      <c r="AO340" s="78" t="s">
        <v>437</v>
      </c>
      <c r="AP340" s="78"/>
      <c r="AQ340" t="s">
        <v>298</v>
      </c>
      <c r="AR340" s="74" t="s">
        <v>438</v>
      </c>
      <c r="AS340" s="74"/>
      <c r="AT340" s="74"/>
    </row>
    <row r="342" spans="41:79">
      <c r="AO342" s="79" t="s">
        <v>477</v>
      </c>
      <c r="AP342" s="79"/>
      <c r="AQ342" s="20" t="s">
        <v>64</v>
      </c>
      <c r="AR342" s="1" t="s">
        <v>43</v>
      </c>
      <c r="AS342" s="1" t="s">
        <v>44</v>
      </c>
      <c r="AT342" s="1" t="s">
        <v>45</v>
      </c>
      <c r="AU342" s="1" t="s">
        <v>46</v>
      </c>
      <c r="AV342" s="1" t="s">
        <v>47</v>
      </c>
      <c r="AW342" s="1" t="s">
        <v>48</v>
      </c>
      <c r="AX342" s="1" t="s">
        <v>49</v>
      </c>
      <c r="AY342" s="1" t="s">
        <v>50</v>
      </c>
      <c r="AZ342" s="1" t="s">
        <v>51</v>
      </c>
      <c r="BA342" s="1" t="s">
        <v>52</v>
      </c>
      <c r="BB342" s="1" t="s">
        <v>53</v>
      </c>
      <c r="BC342" s="1" t="s">
        <v>54</v>
      </c>
      <c r="BD342" s="1" t="s">
        <v>55</v>
      </c>
      <c r="BE342" s="1" t="s">
        <v>56</v>
      </c>
      <c r="BF342" s="1" t="s">
        <v>57</v>
      </c>
      <c r="BG342" s="1" t="s">
        <v>58</v>
      </c>
      <c r="BH342" s="1" t="s">
        <v>59</v>
      </c>
      <c r="BI342" s="1" t="s">
        <v>60</v>
      </c>
      <c r="BJ342" s="1" t="s">
        <v>61</v>
      </c>
      <c r="BK342" s="1" t="s">
        <v>62</v>
      </c>
      <c r="BL342" s="1" t="s">
        <v>63</v>
      </c>
      <c r="BM342" s="1" t="s">
        <v>330</v>
      </c>
      <c r="BN342" s="1" t="s">
        <v>331</v>
      </c>
      <c r="BO342" s="1" t="s">
        <v>332</v>
      </c>
      <c r="BP342" s="1" t="s">
        <v>333</v>
      </c>
      <c r="BQ342" s="1" t="s">
        <v>334</v>
      </c>
      <c r="BR342" s="1" t="s">
        <v>335</v>
      </c>
      <c r="BS342" s="1" t="s">
        <v>336</v>
      </c>
      <c r="BT342" s="1" t="s">
        <v>337</v>
      </c>
      <c r="BU342" s="1" t="s">
        <v>338</v>
      </c>
      <c r="BV342" s="1" t="s">
        <v>339</v>
      </c>
      <c r="BW342" s="1" t="s">
        <v>340</v>
      </c>
      <c r="BX342" s="1" t="s">
        <v>341</v>
      </c>
      <c r="BY342" s="1" t="s">
        <v>342</v>
      </c>
      <c r="BZ342" s="1" t="s">
        <v>343</v>
      </c>
      <c r="CA342" s="1" t="s">
        <v>390</v>
      </c>
    </row>
    <row r="343" spans="41:79">
      <c r="AO343" s="79"/>
      <c r="AP343" s="79"/>
      <c r="AQ343" s="20">
        <v>6</v>
      </c>
      <c r="AR343" t="s">
        <v>5</v>
      </c>
      <c r="AS343" t="s">
        <v>5</v>
      </c>
      <c r="AT343" t="s">
        <v>3</v>
      </c>
      <c r="AU343" t="s">
        <v>5</v>
      </c>
      <c r="AV343" t="s">
        <v>5</v>
      </c>
      <c r="AW343" t="s">
        <v>5</v>
      </c>
      <c r="AX343" t="s">
        <v>5</v>
      </c>
      <c r="AY343" t="s">
        <v>2</v>
      </c>
      <c r="AZ343" t="s">
        <v>2</v>
      </c>
      <c r="BA343" t="s">
        <v>2</v>
      </c>
      <c r="BB343" t="s">
        <v>2</v>
      </c>
      <c r="BC343" t="s">
        <v>3</v>
      </c>
      <c r="BD343" t="s">
        <v>5</v>
      </c>
      <c r="BE343" t="s">
        <v>3</v>
      </c>
      <c r="BF343" t="s">
        <v>3</v>
      </c>
      <c r="BG343" t="s">
        <v>5</v>
      </c>
      <c r="BH343" t="s">
        <v>5</v>
      </c>
      <c r="BI343" t="s">
        <v>5</v>
      </c>
      <c r="BJ343" t="s">
        <v>2</v>
      </c>
      <c r="BK343" t="s">
        <v>3</v>
      </c>
      <c r="BL343" t="s">
        <v>4</v>
      </c>
      <c r="BM343" t="s">
        <v>4</v>
      </c>
      <c r="BN343" t="s">
        <v>3</v>
      </c>
      <c r="BO343" t="s">
        <v>4</v>
      </c>
      <c r="BP343" t="s">
        <v>4</v>
      </c>
      <c r="BQ343" t="s">
        <v>4</v>
      </c>
      <c r="BR343" t="s">
        <v>3</v>
      </c>
      <c r="BS343" t="s">
        <v>4</v>
      </c>
      <c r="BT343" t="s">
        <v>4</v>
      </c>
      <c r="BU343" t="s">
        <v>3</v>
      </c>
      <c r="BV343" t="s">
        <v>3</v>
      </c>
      <c r="BW343" t="s">
        <v>3</v>
      </c>
      <c r="BX343" t="s">
        <v>3</v>
      </c>
      <c r="BY343" t="s">
        <v>3</v>
      </c>
      <c r="BZ343" t="s">
        <v>3</v>
      </c>
      <c r="CA343" t="s">
        <v>3</v>
      </c>
    </row>
    <row r="344" spans="41:79">
      <c r="AO344" s="69" t="s">
        <v>504</v>
      </c>
      <c r="AP344" s="69"/>
      <c r="AQ344" s="44">
        <f>PRODUCT('Data Training 1'!AW22,'Data Training 1'!AT34,'Data Training 1'!AT40,'Data Training 1'!AT44,'Data Training 1'!AT52,'Data Training 1'!AT58,'Data Training 1'!AT64,'Data Training 1'!AT70,'Data Training 1'!AT75,'Data Training 1'!AT81,'Data Training 1'!AT87,'Data Training 1'!AT93,'Data Training 1'!AT98,'Data Training 1'!AT106,'Data Training 1'!AT110,'Data Training 1'!AT116,'Data Training 1'!AT124,'Data Training 1'!AT130,'Data Training 1'!AT136,'Data Training 1'!AT141,'Data Training 1'!AT146,'Data Training 1'!AT151,'Data Training 1'!AT157,'Data Training 1'!AT164,'Data Training 1'!AT167,'Data Training 1'!AT171,'Data Training 1'!AT175,'Data Training 1'!AT180,'Data Training 1'!AT183,'Data Training 1'!AT187,'Data Training 1'!AT192,'Data Training 1'!AT196,'Data Training 1'!AT200,'Data Training 1'!AT204,'Data Training 1'!AT208,'Data Training 1'!AT212,'Data Training 1'!AT216)</f>
        <v>0</v>
      </c>
    </row>
    <row r="345" spans="41:79">
      <c r="AO345" s="69" t="s">
        <v>505</v>
      </c>
      <c r="AP345" s="69"/>
      <c r="AQ345" s="44">
        <f>PRODUCT('Data Training 1'!AW23,'Data Training 1'!AU34,'Data Training 1'!AU40,'Data Training 1'!AU44,'Data Training 1'!AU52,'Data Training 1'!AU58,'Data Training 1'!AU64,'Data Training 1'!AU70,'Data Training 1'!AU75,'Data Training 1'!AU81,'Data Training 1'!AU87,'Data Training 1'!AU93,'Data Training 1'!AU98,'Data Training 1'!AU106,'Data Training 1'!AU110,'Data Training 1'!AU116,'Data Training 1'!AU124,'Data Training 1'!AU130,'Data Training 1'!AU136,'Data Training 1'!AU141,'Data Training 1'!AU146,'Data Training 1'!AU151,'Data Training 1'!AU157,'Data Training 1'!AU164,'Data Training 1'!AU167,'Data Training 1'!AU171,'Data Training 1'!AU175,'Data Training 1'!AU180,'Data Training 1'!AU183,'Data Training 1'!AU187,'Data Training 1'!AU192,'Data Training 1'!AU196,'Data Training 1'!AU200,'Data Training 1'!AU204,'Data Training 1'!AU208,'Data Training 1'!AU212,'Data Training 1'!AU216)</f>
        <v>0</v>
      </c>
    </row>
    <row r="346" spans="41:79">
      <c r="AO346" s="69" t="s">
        <v>506</v>
      </c>
      <c r="AP346" s="69"/>
      <c r="AQ346" s="44">
        <f>PRODUCT('Data Training 1'!AW24,'Data Training 1'!AV34,'Data Training 1'!AV40,'Data Training 1'!AV44,'Data Training 1'!AV52,'Data Training 1'!AV58,'Data Training 1'!AV64,'Data Training 1'!AV70,'Data Training 1'!AV75,'Data Training 1'!AV81,'Data Training 1'!AV87,'Data Training 1'!AV93,'Data Training 1'!AV98,'Data Training 1'!AV106,'Data Training 1'!AV110,'Data Training 1'!AV116,'Data Training 1'!AV124,'Data Training 1'!AV130,'Data Training 1'!AV136,'Data Training 1'!AV141,'Data Training 1'!AV146,'Data Training 1'!AV151,'Data Training 1'!AV157,'Data Training 1'!AV164,'Data Training 1'!AV167,'Data Training 1'!AV171,'Data Training 1'!AV175,'Data Training 1'!AV180,'Data Training 1'!AV183,'Data Training 1'!AV187,'Data Training 1'!AV192,'Data Training 1'!AV196,'Data Training 1'!AV200,'Data Training 1'!AV204,'Data Training 1'!AV208,'Data Training 1'!AV212,'Data Training 1'!AV216)</f>
        <v>0</v>
      </c>
    </row>
    <row r="347" spans="41:79">
      <c r="AO347" s="69" t="s">
        <v>507</v>
      </c>
      <c r="AP347" s="69"/>
      <c r="AQ347">
        <f>PRODUCT('Data Training 1'!AW25,'Data Training 1'!AW34,'Data Training 1'!AW40,'Data Training 1'!AW44,'Data Training 1'!AW52,'Data Training 1'!AW58,'Data Training 1'!AW64,'Data Training 1'!AW70,'Data Training 1'!AW75,'Data Training 1'!AW81,'Data Training 1'!AW87,'Data Training 1'!AW93,'Data Training 1'!AW98,'Data Training 1'!AW106,'Data Training 1'!AW110,'Data Training 1'!AW116,'Data Training 1'!AW124,'Data Training 1'!AW130,'Data Training 1'!AW136,'Data Training 1'!AW141,'Data Training 1'!AW146,'Data Training 1'!AW151,'Data Training 1'!AW157,'Data Training 1'!AW164,'Data Training 1'!AW167,'Data Training 1'!AW171,'Data Training 1'!AW175,'Data Training 1'!AW180,'Data Training 1'!AW183,'Data Training 1'!AW187,'Data Training 1'!AW192,'Data Training 1'!AW196,'Data Training 1'!AW200,'Data Training 1'!AW204,'Data Training 1'!AW208,'Data Training 1'!AW212,'Data Training 1'!AW216)</f>
        <v>0</v>
      </c>
    </row>
    <row r="348" spans="41:79">
      <c r="AO348" s="69" t="s">
        <v>508</v>
      </c>
      <c r="AP348" s="69"/>
      <c r="AQ348" s="44">
        <f>PRODUCT('Data Training 1'!AW26,'Data Training 1'!AX34,'Data Training 1'!AX40,'Data Training 1'!AX44,'Data Training 1'!AX52,'Data Training 1'!AX58,'Data Training 1'!AX64,'Data Training 1'!AX70,'Data Training 1'!AX75,'Data Training 1'!AX81,'Data Training 1'!AX87,'Data Training 1'!AX93,'Data Training 1'!AX98,'Data Training 1'!AX106,'Data Training 1'!AX110,'Data Training 1'!AX116,'Data Training 1'!AX124,'Data Training 1'!AX130,'Data Training 1'!AX136,'Data Training 1'!AX141,'Data Training 1'!AX146,'Data Training 1'!AX151,'Data Training 1'!AX157,'Data Training 1'!AX164,'Data Training 1'!AX167,'Data Training 1'!AX171,'Data Training 1'!AX175,'Data Training 1'!AX180,'Data Training 1'!AX183,'Data Training 1'!AX187,'Data Training 1'!AX192,'Data Training 1'!AX196,'Data Training 1'!AX200,'Data Training 1'!AX204,'Data Training 1'!AX208,'Data Training 1'!AX212,'Data Training 1'!AX216)</f>
        <v>0</v>
      </c>
    </row>
    <row r="349" spans="41:79">
      <c r="AO349" s="69" t="s">
        <v>509</v>
      </c>
      <c r="AP349" s="69"/>
      <c r="AQ349" s="44">
        <f>PRODUCT('Data Training 1'!AW27,'Data Training 1'!AY34,'Data Training 1'!AY40,'Data Training 1'!AY44,'Data Training 1'!AY52,'Data Training 1'!AY58,'Data Training 1'!AY64,'Data Training 1'!AY70,'Data Training 1'!AY75,'Data Training 1'!AY81,'Data Training 1'!AY87,'Data Training 1'!AY93,'Data Training 1'!AY98,'Data Training 1'!AY106,'Data Training 1'!AY110,'Data Training 1'!AY116,'Data Training 1'!AY124,'Data Training 1'!AY130,'Data Training 1'!AY136,'Data Training 1'!AY141,'Data Training 1'!AY146,'Data Training 1'!AY151,'Data Training 1'!AY157,'Data Training 1'!AY164,'Data Training 1'!AY167,'Data Training 1'!AY171,'Data Training 1'!AY175,'Data Training 1'!AY180,'Data Training 1'!AY183,'Data Training 1'!AY187,'Data Training 1'!AY192,'Data Training 1'!AY196,'Data Training 1'!AY200,'Data Training 1'!AY204,'Data Training 1'!AY208,'Data Training 1'!AY212,'Data Training 1'!AY216)</f>
        <v>1.7859349221372509E-13</v>
      </c>
    </row>
    <row r="350" spans="41:79">
      <c r="AO350" s="78" t="s">
        <v>437</v>
      </c>
      <c r="AP350" s="78"/>
      <c r="AQ350" t="s">
        <v>298</v>
      </c>
      <c r="AR350" s="74" t="s">
        <v>438</v>
      </c>
      <c r="AS350" s="74"/>
      <c r="AT350" s="74"/>
    </row>
    <row r="352" spans="41:79">
      <c r="AO352" s="79" t="s">
        <v>488</v>
      </c>
      <c r="AP352" s="79"/>
      <c r="AQ352" s="20" t="s">
        <v>64</v>
      </c>
      <c r="AR352" s="1" t="s">
        <v>43</v>
      </c>
      <c r="AS352" s="1" t="s">
        <v>44</v>
      </c>
      <c r="AT352" s="1" t="s">
        <v>45</v>
      </c>
      <c r="AU352" s="1" t="s">
        <v>46</v>
      </c>
      <c r="AV352" s="1" t="s">
        <v>47</v>
      </c>
      <c r="AW352" s="1" t="s">
        <v>48</v>
      </c>
      <c r="AX352" s="1" t="s">
        <v>49</v>
      </c>
      <c r="AY352" s="1" t="s">
        <v>50</v>
      </c>
      <c r="AZ352" s="1" t="s">
        <v>51</v>
      </c>
      <c r="BA352" s="1" t="s">
        <v>52</v>
      </c>
      <c r="BB352" s="1" t="s">
        <v>53</v>
      </c>
      <c r="BC352" s="1" t="s">
        <v>54</v>
      </c>
      <c r="BD352" s="1" t="s">
        <v>55</v>
      </c>
      <c r="BE352" s="1" t="s">
        <v>56</v>
      </c>
      <c r="BF352" s="1" t="s">
        <v>57</v>
      </c>
      <c r="BG352" s="1" t="s">
        <v>58</v>
      </c>
      <c r="BH352" s="1" t="s">
        <v>59</v>
      </c>
      <c r="BI352" s="1" t="s">
        <v>60</v>
      </c>
      <c r="BJ352" s="1" t="s">
        <v>61</v>
      </c>
      <c r="BK352" s="1" t="s">
        <v>62</v>
      </c>
      <c r="BL352" s="1" t="s">
        <v>63</v>
      </c>
      <c r="BM352" s="1" t="s">
        <v>330</v>
      </c>
      <c r="BN352" s="1" t="s">
        <v>331</v>
      </c>
      <c r="BO352" s="1" t="s">
        <v>332</v>
      </c>
      <c r="BP352" s="1" t="s">
        <v>333</v>
      </c>
      <c r="BQ352" s="1" t="s">
        <v>334</v>
      </c>
      <c r="BR352" s="1" t="s">
        <v>335</v>
      </c>
      <c r="BS352" s="1" t="s">
        <v>336</v>
      </c>
      <c r="BT352" s="1" t="s">
        <v>337</v>
      </c>
      <c r="BU352" s="1" t="s">
        <v>338</v>
      </c>
      <c r="BV352" s="1" t="s">
        <v>339</v>
      </c>
      <c r="BW352" s="1" t="s">
        <v>340</v>
      </c>
      <c r="BX352" s="1" t="s">
        <v>341</v>
      </c>
      <c r="BY352" s="1" t="s">
        <v>342</v>
      </c>
      <c r="BZ352" s="1" t="s">
        <v>343</v>
      </c>
      <c r="CA352" s="1" t="s">
        <v>390</v>
      </c>
    </row>
    <row r="353" spans="40:79">
      <c r="AO353" s="79"/>
      <c r="AP353" s="79"/>
      <c r="AQ353" s="20">
        <v>6</v>
      </c>
      <c r="AR353" t="s">
        <v>5</v>
      </c>
      <c r="AS353" t="s">
        <v>5</v>
      </c>
      <c r="AT353" t="s">
        <v>4</v>
      </c>
      <c r="AU353" t="s">
        <v>5</v>
      </c>
      <c r="AV353" t="s">
        <v>5</v>
      </c>
      <c r="AW353" t="s">
        <v>5</v>
      </c>
      <c r="AX353" t="s">
        <v>5</v>
      </c>
      <c r="AY353" t="s">
        <v>2</v>
      </c>
      <c r="AZ353" t="s">
        <v>3</v>
      </c>
      <c r="BA353" t="s">
        <v>4</v>
      </c>
      <c r="BB353" t="s">
        <v>3</v>
      </c>
      <c r="BC353" t="s">
        <v>5</v>
      </c>
      <c r="BD353" t="s">
        <v>5</v>
      </c>
      <c r="BE353" t="s">
        <v>3</v>
      </c>
      <c r="BF353" t="s">
        <v>5</v>
      </c>
      <c r="BG353" t="s">
        <v>5</v>
      </c>
      <c r="BH353" t="s">
        <v>3</v>
      </c>
      <c r="BI353" t="s">
        <v>5</v>
      </c>
      <c r="BJ353" t="s">
        <v>3</v>
      </c>
      <c r="BK353" t="s">
        <v>4</v>
      </c>
      <c r="BL353" t="s">
        <v>2</v>
      </c>
      <c r="BM353" t="s">
        <v>2</v>
      </c>
      <c r="BN353" t="s">
        <v>3</v>
      </c>
      <c r="BO353" t="s">
        <v>4</v>
      </c>
      <c r="BP353" t="s">
        <v>4</v>
      </c>
      <c r="BQ353" t="s">
        <v>4</v>
      </c>
      <c r="BR353" t="s">
        <v>4</v>
      </c>
      <c r="BS353" t="s">
        <v>4</v>
      </c>
      <c r="BT353" t="s">
        <v>4</v>
      </c>
      <c r="BU353" t="s">
        <v>3</v>
      </c>
      <c r="BV353" t="s">
        <v>4</v>
      </c>
      <c r="BW353" t="s">
        <v>3</v>
      </c>
      <c r="BX353" t="s">
        <v>3</v>
      </c>
      <c r="BY353" t="s">
        <v>4</v>
      </c>
      <c r="BZ353" t="s">
        <v>3</v>
      </c>
      <c r="CA353" t="s">
        <v>3</v>
      </c>
    </row>
    <row r="354" spans="40:79">
      <c r="AO354" s="69" t="s">
        <v>504</v>
      </c>
      <c r="AP354" s="69"/>
      <c r="AQ354">
        <f>PRODUCT('Data Training 1'!AW22,'Data Training 1'!AT34,'Data Training 1'!AT40,'Data Training 1'!AT43,'Data Training 1'!AT52,'Data Training 1'!AT58,'Data Training 1'!AT64,'Data Training 1'!AT70,'Data Training 1'!AT75,'Data Training 1'!AT80,'Data Training 1'!AT85,'Data Training 1'!AT92,'Data Training 1'!AT100,'Data Training 1'!AT106,'Data Training 1'!AT110,'Data Training 1'!AT118,'Data Training 1'!AT124,'Data Training 1'!AT128,'Data Training 1'!AT136,'Data Training 1'!AT140,'Data Training 1'!AT145,'Data Training 1'!AT153,'Data Training 1'!AT159,'Data Training 1'!AT164,'Data Training 1'!AT167,'Data Training 1'!AT171,'Data Training 1'!AT175,'Data Training 1'!AT179,'Data Training 1'!AT183,'Data Training 1'!AT187,'Data Training 1'!AT192,'Data Training 1'!AT195,'Data Training 1'!AT200,'Data Training 1'!AT204,'Data Training 1'!AT207,'Data Training 1'!AT212,'Data Training 1'!AT216)</f>
        <v>0</v>
      </c>
    </row>
    <row r="355" spans="40:79">
      <c r="AO355" s="69" t="s">
        <v>505</v>
      </c>
      <c r="AP355" s="69"/>
      <c r="AQ355" s="44">
        <f>PRODUCT('Data Training 1'!AW23,'Data Training 1'!AU34,'Data Training 1'!AU40,'Data Training 1'!AU43,'Data Training 1'!AU52,'Data Training 1'!AU58,'Data Training 1'!AU64,'Data Training 1'!AU70,'Data Training 1'!AU75,'Data Training 1'!AU80,'Data Training 1'!AU85,'Data Training 1'!AU92,'Data Training 1'!AU100,'Data Training 1'!AU106,'Data Training 1'!AU110,'Data Training 1'!AU118,'Data Training 1'!AU124,'Data Training 1'!AU128,'Data Training 1'!AU136,'Data Training 1'!AU140,'Data Training 1'!AU145,'Data Training 1'!AU153,'Data Training 1'!AU159,'Data Training 1'!AU163,'Data Training 1'!AU167,'Data Training 1'!AU171,'Data Training 1'!AU175,'Data Training 1'!AU179,'Data Training 1'!AU183,'Data Training 1'!AU187,'Data Training 1'!AU192,'Data Training 1'!AU195,'Data Training 1'!AU200,'Data Training 1'!AU204,'Data Training 1'!AU207,'Data Training 1'!AU212,'Data Training 1'!AU216)</f>
        <v>0</v>
      </c>
    </row>
    <row r="356" spans="40:79">
      <c r="AO356" s="69" t="s">
        <v>506</v>
      </c>
      <c r="AP356" s="69"/>
      <c r="AQ356" s="44">
        <f>PRODUCT('Data Training 1'!AW24,'Data Training 1'!AV34,'Data Training 1'!AV40,'Data Training 1'!AV43,'Data Training 1'!AV52,'Data Training 1'!AV58,'Data Training 1'!AV64,'Data Training 1'!AV70,'Data Training 1'!AV75,'Data Training 1'!AV80,'Data Training 1'!AV85,'Data Training 1'!AV92,'Data Training 1'!AV100,'Data Training 1'!AV106,'Data Training 1'!AV110,'Data Training 1'!AV118,'Data Training 1'!AV124,'Data Training 1'!AV128,'Data Training 1'!AV136,'Data Training 1'!AV140,'Data Training 1'!AV145,'Data Training 1'!AV153,'Data Training 1'!AV159,'Data Training 1'!AV163,'Data Training 1'!AV167,'Data Training 1'!AV171,'Data Training 1'!AV175,'Data Training 1'!AV179,'Data Training 1'!AV183,'Data Training 1'!AV187,'Data Training 1'!AV192,'Data Training 1'!AV195,'Data Training 1'!AV200,'Data Training 1'!AV204,'Data Training 1'!AV207,'Data Training 1'!AV212,'Data Training 1'!AV216)</f>
        <v>0</v>
      </c>
    </row>
    <row r="357" spans="40:79">
      <c r="AO357" s="69" t="s">
        <v>507</v>
      </c>
      <c r="AP357" s="69"/>
      <c r="AQ357" s="44">
        <f>PRODUCT('Data Training 1'!AW25,'Data Training 1'!AW34,'Data Training 1'!AW40,'Data Training 1'!AW43,'Data Training 1'!AW52,'Data Training 1'!AW58,'Data Training 1'!AW64,'Data Training 1'!AW70,'Data Training 1'!AW75,'Data Training 1'!AW80,'Data Training 1'!AW85,'Data Training 1'!AW92,'Data Training 1'!AW100,'Data Training 1'!AW106,'Data Training 1'!AW110,'Data Training 1'!AW118,'Data Training 1'!AW124,'Data Training 1'!AW128,'Data Training 1'!AW136,'Data Training 1'!AW140,'Data Training 1'!AW145,'Data Training 1'!AW153,'Data Training 1'!AW159,'Data Training 1'!AW163,'Data Training 1'!AW167,'Data Training 1'!AW171,'Data Training 1'!AW175,'Data Training 1'!AW179,'Data Training 1'!AW183,'Data Training 1'!AW187,'Data Training 1'!AW192,'Data Training 1'!AW195,'Data Training 1'!AW200,'Data Training 1'!AW204,'Data Training 1'!AW207,'Data Training 1'!AW212,'Data Training 1'!AW216)</f>
        <v>0</v>
      </c>
    </row>
    <row r="358" spans="40:79">
      <c r="AO358" s="69" t="s">
        <v>508</v>
      </c>
      <c r="AP358" s="69"/>
      <c r="AQ358" s="44">
        <f>PRODUCT('Data Training 1'!AW26,'Data Training 1'!AX34,'Data Training 1'!AX40,'Data Training 1'!AX43,'Data Training 1'!AX52,'Data Training 1'!AX58,'Data Training 1'!AX64,'Data Training 1'!AX70,'Data Training 1'!AX75,'Data Training 1'!AX80,'Data Training 1'!AX85,'Data Training 1'!AX92,'Data Training 1'!AX100,'Data Training 1'!AX106,'Data Training 1'!AX110,'Data Training 1'!AX118,'Data Training 1'!AX124,'Data Training 1'!AX128,'Data Training 1'!AX136,'Data Training 1'!AX140,'Data Training 1'!AX145,'Data Training 1'!AX153,'Data Training 1'!AX159,'Data Training 1'!AX163,'Data Training 1'!AX167,'Data Training 1'!AX171,'Data Training 1'!AX175,'Data Training 1'!AX179,'Data Training 1'!AX183,'Data Training 1'!AX187,'Data Training 1'!AX192,'Data Training 1'!AX195,'Data Training 1'!AX200,'Data Training 1'!AX204,'Data Training 1'!AX207,'Data Training 1'!AX212,'Data Training 1'!AX216)</f>
        <v>0</v>
      </c>
    </row>
    <row r="359" spans="40:79">
      <c r="AO359" s="69" t="s">
        <v>509</v>
      </c>
      <c r="AP359" s="69"/>
      <c r="AQ359" s="44">
        <f>PRODUCT('Data Training 1'!AW27,'Data Training 1'!AY34,'Data Training 1'!AY40,'Data Training 1'!AY43,'Data Training 1'!AY52,'Data Training 1'!AY58,'Data Training 1'!AY64,'Data Training 1'!AY70,'Data Training 1'!AY75,'Data Training 1'!AY80,'Data Training 1'!AY85,'Data Training 1'!AY92,'Data Training 1'!AY100,'Data Training 1'!AY106,'Data Training 1'!AY110,'Data Training 1'!AY118,'Data Training 1'!AY124,'Data Training 1'!AY128,'Data Training 1'!AY136,'Data Training 1'!AY140,'Data Training 1'!AY145,'Data Training 1'!AY153,'Data Training 1'!AY159,'Data Training 1'!AY164,'Data Training 1'!AY167,'Data Training 1'!AY171,'Data Training 1'!AY175,'Data Training 1'!AY179,'Data Training 1'!AY183,'Data Training 1'!AY187,'Data Training 1'!AY192,'Data Training 1'!AY195,'Data Training 1'!AY200,'Data Training 1'!AY204,'Data Training 1'!AY207,'Data Training 1'!AY212,'Data Training 1'!AY216)</f>
        <v>2.9043588077764822E-9</v>
      </c>
    </row>
    <row r="360" spans="40:79">
      <c r="AO360" s="78" t="s">
        <v>437</v>
      </c>
      <c r="AP360" s="78"/>
      <c r="AQ360" t="s">
        <v>298</v>
      </c>
      <c r="AR360" s="74" t="s">
        <v>438</v>
      </c>
      <c r="AS360" s="74"/>
      <c r="AT360" s="74"/>
    </row>
    <row r="362" spans="40:79">
      <c r="AN362" s="121"/>
      <c r="AO362" s="122"/>
      <c r="AP362" s="122"/>
      <c r="AQ362" s="121"/>
      <c r="AR362" s="123"/>
      <c r="AS362" s="123"/>
      <c r="AT362" s="123"/>
      <c r="AU362" s="123"/>
      <c r="AV362" s="123"/>
      <c r="AW362" s="123"/>
      <c r="AX362" s="123"/>
      <c r="AY362" s="123"/>
      <c r="AZ362" s="123"/>
      <c r="BA362" s="123"/>
      <c r="BB362" s="123"/>
      <c r="BC362" s="123"/>
      <c r="BD362" s="123"/>
      <c r="BE362" s="123"/>
      <c r="BF362" s="123"/>
      <c r="BG362" s="123"/>
      <c r="BH362" s="123"/>
      <c r="BI362" s="123"/>
      <c r="BJ362" s="123"/>
      <c r="BK362" s="123"/>
      <c r="BL362" s="123"/>
      <c r="BM362" s="123"/>
      <c r="BN362" s="123"/>
      <c r="BO362" s="123"/>
      <c r="BP362" s="123"/>
      <c r="BQ362" s="123"/>
      <c r="BR362" s="123"/>
      <c r="BS362" s="123"/>
      <c r="BT362" s="123"/>
      <c r="BU362" s="123"/>
      <c r="BV362" s="123"/>
      <c r="BW362" s="123"/>
      <c r="BX362" s="123"/>
      <c r="BY362" s="123"/>
      <c r="BZ362" s="123"/>
      <c r="CA362" s="123"/>
    </row>
    <row r="363" spans="40:79">
      <c r="AN363" s="121"/>
      <c r="AO363" s="122"/>
      <c r="AP363" s="122"/>
      <c r="AQ363" s="121"/>
      <c r="AR363" s="121"/>
      <c r="AS363" s="121"/>
      <c r="AT363" s="121"/>
      <c r="AU363" s="121"/>
      <c r="AV363" s="121"/>
      <c r="AW363" s="121"/>
      <c r="AX363" s="121"/>
      <c r="AY363" s="121"/>
      <c r="AZ363" s="121"/>
      <c r="BA363" s="121"/>
      <c r="BB363" s="121"/>
      <c r="BC363" s="121"/>
      <c r="BD363" s="121"/>
      <c r="BE363" s="121"/>
      <c r="BF363" s="121"/>
      <c r="BG363" s="121"/>
      <c r="BH363" s="121"/>
      <c r="BI363" s="121"/>
      <c r="BJ363" s="121"/>
      <c r="BK363" s="121"/>
      <c r="BL363" s="121"/>
      <c r="BM363" s="121"/>
      <c r="BN363" s="121"/>
      <c r="BO363" s="121"/>
      <c r="BP363" s="121"/>
      <c r="BQ363" s="121"/>
      <c r="BR363" s="121"/>
      <c r="BS363" s="121"/>
      <c r="BT363" s="121"/>
      <c r="BU363" s="121"/>
      <c r="BV363" s="121"/>
      <c r="BW363" s="121"/>
      <c r="BX363" s="121"/>
      <c r="BY363" s="121"/>
      <c r="BZ363" s="121"/>
      <c r="CA363" s="121"/>
    </row>
    <row r="364" spans="40:79">
      <c r="AN364" s="121"/>
      <c r="AO364" s="124"/>
      <c r="AP364" s="124"/>
      <c r="AQ364" s="121"/>
      <c r="AR364" s="121"/>
      <c r="AS364" s="121"/>
      <c r="AT364" s="121"/>
      <c r="AU364" s="121"/>
      <c r="AV364" s="121"/>
      <c r="AW364" s="121"/>
      <c r="AX364" s="121"/>
      <c r="AY364" s="121"/>
      <c r="AZ364" s="121"/>
      <c r="BA364" s="121"/>
      <c r="BB364" s="121"/>
      <c r="BC364" s="121"/>
      <c r="BD364" s="121"/>
      <c r="BE364" s="121"/>
      <c r="BF364" s="121"/>
      <c r="BG364" s="121"/>
      <c r="BH364" s="121"/>
      <c r="BI364" s="121"/>
      <c r="BJ364" s="121"/>
      <c r="BK364" s="121"/>
      <c r="BL364" s="121"/>
      <c r="BM364" s="121"/>
      <c r="BN364" s="121"/>
      <c r="BO364" s="121"/>
      <c r="BP364" s="121"/>
      <c r="BQ364" s="121"/>
      <c r="BR364" s="121"/>
      <c r="BS364" s="121"/>
      <c r="BT364" s="121"/>
      <c r="BU364" s="121"/>
      <c r="BV364" s="121"/>
      <c r="BW364" s="121"/>
      <c r="BX364" s="121"/>
      <c r="BY364" s="121"/>
      <c r="BZ364" s="121"/>
      <c r="CA364" s="121"/>
    </row>
    <row r="365" spans="40:79">
      <c r="AN365" s="121"/>
      <c r="AO365" s="124"/>
      <c r="AP365" s="124"/>
      <c r="AQ365" s="121"/>
      <c r="AR365" s="121"/>
      <c r="AS365" s="121"/>
      <c r="AT365" s="121"/>
      <c r="AU365" s="121"/>
      <c r="AV365" s="121"/>
      <c r="AW365" s="121"/>
      <c r="AX365" s="121"/>
      <c r="AY365" s="121"/>
      <c r="AZ365" s="121"/>
      <c r="BA365" s="121"/>
      <c r="BB365" s="121"/>
      <c r="BC365" s="121"/>
      <c r="BD365" s="121"/>
      <c r="BE365" s="121"/>
      <c r="BF365" s="121"/>
      <c r="BG365" s="121"/>
      <c r="BH365" s="121"/>
      <c r="BI365" s="121"/>
      <c r="BJ365" s="121"/>
      <c r="BK365" s="121"/>
      <c r="BL365" s="121"/>
      <c r="BM365" s="121"/>
      <c r="BN365" s="121"/>
      <c r="BO365" s="121"/>
      <c r="BP365" s="121"/>
      <c r="BQ365" s="121"/>
      <c r="BR365" s="121"/>
      <c r="BS365" s="121"/>
      <c r="BT365" s="121"/>
      <c r="BU365" s="121"/>
      <c r="BV365" s="121"/>
      <c r="BW365" s="121"/>
      <c r="BX365" s="121"/>
      <c r="BY365" s="121"/>
      <c r="BZ365" s="121"/>
      <c r="CA365" s="121"/>
    </row>
    <row r="366" spans="40:79">
      <c r="AN366" s="121"/>
      <c r="AO366" s="124"/>
      <c r="AP366" s="124"/>
      <c r="AQ366" s="125"/>
      <c r="AR366" s="121"/>
      <c r="AS366" s="121"/>
      <c r="AT366" s="121"/>
      <c r="AU366" s="121"/>
      <c r="AV366" s="121"/>
      <c r="AW366" s="121"/>
      <c r="AX366" s="121"/>
      <c r="AY366" s="121"/>
      <c r="AZ366" s="121"/>
      <c r="BA366" s="121"/>
      <c r="BB366" s="121"/>
      <c r="BC366" s="121"/>
      <c r="BD366" s="121"/>
      <c r="BE366" s="121"/>
      <c r="BF366" s="121"/>
      <c r="BG366" s="121"/>
      <c r="BH366" s="121"/>
      <c r="BI366" s="121"/>
      <c r="BJ366" s="121"/>
      <c r="BK366" s="121"/>
      <c r="BL366" s="121"/>
      <c r="BM366" s="121"/>
      <c r="BN366" s="121"/>
      <c r="BO366" s="121"/>
      <c r="BP366" s="121"/>
      <c r="BQ366" s="121"/>
      <c r="BR366" s="121"/>
      <c r="BS366" s="121"/>
      <c r="BT366" s="121"/>
      <c r="BU366" s="121"/>
      <c r="BV366" s="121"/>
      <c r="BW366" s="121"/>
      <c r="BX366" s="121"/>
      <c r="BY366" s="121"/>
      <c r="BZ366" s="121"/>
      <c r="CA366" s="121"/>
    </row>
    <row r="367" spans="40:79">
      <c r="AN367" s="121"/>
      <c r="AO367" s="124"/>
      <c r="AP367" s="124"/>
      <c r="AQ367" s="125"/>
      <c r="AR367" s="121"/>
      <c r="AS367" s="121"/>
      <c r="AT367" s="121"/>
      <c r="AU367" s="121"/>
      <c r="AV367" s="121"/>
      <c r="AW367" s="121"/>
      <c r="AX367" s="121"/>
      <c r="AY367" s="121"/>
      <c r="AZ367" s="121"/>
      <c r="BA367" s="121"/>
      <c r="BB367" s="121"/>
      <c r="BC367" s="121"/>
      <c r="BD367" s="121"/>
      <c r="BE367" s="121"/>
      <c r="BF367" s="121"/>
      <c r="BG367" s="121"/>
      <c r="BH367" s="121"/>
      <c r="BI367" s="121"/>
      <c r="BJ367" s="121"/>
      <c r="BK367" s="121"/>
      <c r="BL367" s="121"/>
      <c r="BM367" s="121"/>
      <c r="BN367" s="121"/>
      <c r="BO367" s="121"/>
      <c r="BP367" s="121"/>
      <c r="BQ367" s="121"/>
      <c r="BR367" s="121"/>
      <c r="BS367" s="121"/>
      <c r="BT367" s="121"/>
      <c r="BU367" s="121"/>
      <c r="BV367" s="121"/>
      <c r="BW367" s="121"/>
      <c r="BX367" s="121"/>
      <c r="BY367" s="121"/>
      <c r="BZ367" s="121"/>
      <c r="CA367" s="121"/>
    </row>
    <row r="368" spans="40:79">
      <c r="AN368" s="121"/>
      <c r="AO368" s="124"/>
      <c r="AP368" s="124"/>
      <c r="AQ368" s="125"/>
      <c r="AR368" s="121"/>
      <c r="AS368" s="121"/>
      <c r="AT368" s="121"/>
      <c r="AU368" s="121"/>
      <c r="AV368" s="121"/>
      <c r="AW368" s="121"/>
      <c r="AX368" s="121"/>
      <c r="AY368" s="121"/>
      <c r="AZ368" s="121"/>
      <c r="BA368" s="121"/>
      <c r="BB368" s="121"/>
      <c r="BC368" s="121"/>
      <c r="BD368" s="121"/>
      <c r="BE368" s="121"/>
      <c r="BF368" s="121"/>
      <c r="BG368" s="121"/>
      <c r="BH368" s="121"/>
      <c r="BI368" s="121"/>
      <c r="BJ368" s="121"/>
      <c r="BK368" s="121"/>
      <c r="BL368" s="121"/>
      <c r="BM368" s="121"/>
      <c r="BN368" s="121"/>
      <c r="BO368" s="121"/>
      <c r="BP368" s="121"/>
      <c r="BQ368" s="121"/>
      <c r="BR368" s="121"/>
      <c r="BS368" s="121"/>
      <c r="BT368" s="121"/>
      <c r="BU368" s="121"/>
      <c r="BV368" s="121"/>
      <c r="BW368" s="121"/>
      <c r="BX368" s="121"/>
      <c r="BY368" s="121"/>
      <c r="BZ368" s="121"/>
      <c r="CA368" s="121"/>
    </row>
    <row r="369" spans="40:79">
      <c r="AN369" s="121"/>
      <c r="AO369" s="124"/>
      <c r="AP369" s="124"/>
      <c r="AQ369" s="125"/>
      <c r="AR369" s="121"/>
      <c r="AS369" s="121"/>
      <c r="AT369" s="121"/>
      <c r="AU369" s="121"/>
      <c r="AV369" s="121"/>
      <c r="AW369" s="121"/>
      <c r="AX369" s="121"/>
      <c r="AY369" s="121"/>
      <c r="AZ369" s="121"/>
      <c r="BA369" s="121"/>
      <c r="BB369" s="121"/>
      <c r="BC369" s="121"/>
      <c r="BD369" s="121"/>
      <c r="BE369" s="121"/>
      <c r="BF369" s="121"/>
      <c r="BG369" s="121"/>
      <c r="BH369" s="121"/>
      <c r="BI369" s="121"/>
      <c r="BJ369" s="121"/>
      <c r="BK369" s="121"/>
      <c r="BL369" s="121"/>
      <c r="BM369" s="121"/>
      <c r="BN369" s="121"/>
      <c r="BO369" s="121"/>
      <c r="BP369" s="121"/>
      <c r="BQ369" s="121"/>
      <c r="BR369" s="121"/>
      <c r="BS369" s="121"/>
      <c r="BT369" s="121"/>
      <c r="BU369" s="121"/>
      <c r="BV369" s="121"/>
      <c r="BW369" s="121"/>
      <c r="BX369" s="121"/>
      <c r="BY369" s="121"/>
      <c r="BZ369" s="121"/>
      <c r="CA369" s="121"/>
    </row>
    <row r="370" spans="40:79">
      <c r="AN370" s="121"/>
      <c r="AO370" s="124"/>
      <c r="AP370" s="124"/>
      <c r="AQ370" s="121"/>
      <c r="AR370" s="124"/>
      <c r="AS370" s="124"/>
      <c r="AT370" s="124"/>
      <c r="AU370" s="121"/>
      <c r="AV370" s="121"/>
      <c r="AW370" s="121"/>
      <c r="AX370" s="121"/>
      <c r="AY370" s="121"/>
      <c r="AZ370" s="121"/>
      <c r="BA370" s="121"/>
      <c r="BB370" s="121"/>
      <c r="BC370" s="121"/>
      <c r="BD370" s="121"/>
      <c r="BE370" s="121"/>
      <c r="BF370" s="121"/>
      <c r="BG370" s="121"/>
      <c r="BH370" s="121"/>
      <c r="BI370" s="121"/>
      <c r="BJ370" s="121"/>
      <c r="BK370" s="121"/>
      <c r="BL370" s="121"/>
      <c r="BM370" s="121"/>
      <c r="BN370" s="121"/>
      <c r="BO370" s="121"/>
      <c r="BP370" s="121"/>
      <c r="BQ370" s="121"/>
      <c r="BR370" s="121"/>
      <c r="BS370" s="121"/>
      <c r="BT370" s="121"/>
      <c r="BU370" s="121"/>
      <c r="BV370" s="121"/>
      <c r="BW370" s="121"/>
      <c r="BX370" s="121"/>
      <c r="BY370" s="121"/>
      <c r="BZ370" s="121"/>
      <c r="CA370" s="121"/>
    </row>
    <row r="371" spans="40:79">
      <c r="AN371" s="121"/>
      <c r="AO371" s="121"/>
      <c r="AP371" s="121"/>
      <c r="AQ371" s="121"/>
      <c r="AR371" s="121"/>
      <c r="AS371" s="121"/>
      <c r="AT371" s="121"/>
      <c r="AU371" s="121"/>
      <c r="AV371" s="121"/>
      <c r="AW371" s="121"/>
      <c r="AX371" s="121"/>
      <c r="AY371" s="121"/>
      <c r="AZ371" s="121"/>
      <c r="BA371" s="121"/>
      <c r="BB371" s="121"/>
      <c r="BC371" s="121"/>
      <c r="BD371" s="121"/>
      <c r="BE371" s="121"/>
      <c r="BF371" s="121"/>
      <c r="BG371" s="121"/>
      <c r="BH371" s="121"/>
      <c r="BI371" s="121"/>
      <c r="BJ371" s="121"/>
      <c r="BK371" s="121"/>
      <c r="BL371" s="121"/>
      <c r="BM371" s="121"/>
      <c r="BN371" s="121"/>
      <c r="BO371" s="121"/>
      <c r="BP371" s="121"/>
      <c r="BQ371" s="121"/>
      <c r="BR371" s="121"/>
      <c r="BS371" s="121"/>
      <c r="BT371" s="121"/>
      <c r="BU371" s="121"/>
      <c r="BV371" s="121"/>
      <c r="BW371" s="121"/>
      <c r="BX371" s="121"/>
      <c r="BY371" s="121"/>
      <c r="BZ371" s="121"/>
      <c r="CA371" s="121"/>
    </row>
    <row r="372" spans="40:79">
      <c r="AN372" s="121"/>
      <c r="AO372" s="122"/>
      <c r="AP372" s="122"/>
      <c r="AQ372" s="121"/>
      <c r="AR372" s="123"/>
      <c r="AS372" s="123"/>
      <c r="AT372" s="123"/>
      <c r="AU372" s="123"/>
      <c r="AV372" s="123"/>
      <c r="AW372" s="123"/>
      <c r="AX372" s="123"/>
      <c r="AY372" s="123"/>
      <c r="AZ372" s="123"/>
      <c r="BA372" s="123"/>
      <c r="BB372" s="123"/>
      <c r="BC372" s="123"/>
      <c r="BD372" s="123"/>
      <c r="BE372" s="123"/>
      <c r="BF372" s="123"/>
      <c r="BG372" s="123"/>
      <c r="BH372" s="123"/>
      <c r="BI372" s="123"/>
      <c r="BJ372" s="123"/>
      <c r="BK372" s="123"/>
      <c r="BL372" s="123"/>
      <c r="BM372" s="123"/>
      <c r="BN372" s="123"/>
      <c r="BO372" s="123"/>
      <c r="BP372" s="123"/>
      <c r="BQ372" s="123"/>
      <c r="BR372" s="123"/>
      <c r="BS372" s="123"/>
      <c r="BT372" s="123"/>
      <c r="BU372" s="123"/>
      <c r="BV372" s="123"/>
      <c r="BW372" s="123"/>
      <c r="BX372" s="123"/>
      <c r="BY372" s="123"/>
      <c r="BZ372" s="123"/>
      <c r="CA372" s="123"/>
    </row>
    <row r="373" spans="40:79">
      <c r="AN373" s="121"/>
      <c r="AO373" s="122"/>
      <c r="AP373" s="122"/>
      <c r="AQ373" s="121"/>
      <c r="AR373" s="121"/>
      <c r="AS373" s="121"/>
      <c r="AT373" s="121"/>
      <c r="AU373" s="121"/>
      <c r="AV373" s="121"/>
      <c r="AW373" s="121"/>
      <c r="AX373" s="121"/>
      <c r="AY373" s="121"/>
      <c r="AZ373" s="121"/>
      <c r="BA373" s="121"/>
      <c r="BB373" s="121"/>
      <c r="BC373" s="121"/>
      <c r="BD373" s="121"/>
      <c r="BE373" s="121"/>
      <c r="BF373" s="121"/>
      <c r="BG373" s="121"/>
      <c r="BH373" s="121"/>
      <c r="BI373" s="121"/>
      <c r="BJ373" s="121"/>
      <c r="BK373" s="121"/>
      <c r="BL373" s="121"/>
      <c r="BM373" s="121"/>
      <c r="BN373" s="121"/>
      <c r="BO373" s="121"/>
      <c r="BP373" s="121"/>
      <c r="BQ373" s="121"/>
      <c r="BR373" s="121"/>
      <c r="BS373" s="121"/>
      <c r="BT373" s="121"/>
      <c r="BU373" s="121"/>
      <c r="BV373" s="121"/>
      <c r="BW373" s="121"/>
      <c r="BX373" s="121"/>
      <c r="BY373" s="121"/>
      <c r="BZ373" s="121"/>
      <c r="CA373" s="121"/>
    </row>
    <row r="374" spans="40:79">
      <c r="AN374" s="121"/>
      <c r="AO374" s="124"/>
      <c r="AP374" s="124"/>
      <c r="AQ374" s="125"/>
      <c r="AR374" s="121"/>
      <c r="AS374" s="121"/>
      <c r="AT374" s="121"/>
      <c r="AU374" s="121"/>
      <c r="AV374" s="121"/>
      <c r="AW374" s="121"/>
      <c r="AX374" s="121"/>
      <c r="AY374" s="121"/>
      <c r="AZ374" s="121"/>
      <c r="BA374" s="121"/>
      <c r="BB374" s="121"/>
      <c r="BC374" s="121"/>
      <c r="BD374" s="121"/>
      <c r="BE374" s="121"/>
      <c r="BF374" s="121"/>
      <c r="BG374" s="121"/>
      <c r="BH374" s="121"/>
      <c r="BI374" s="121"/>
      <c r="BJ374" s="121"/>
      <c r="BK374" s="121"/>
      <c r="BL374" s="121"/>
      <c r="BM374" s="121"/>
      <c r="BN374" s="121"/>
      <c r="BO374" s="121"/>
      <c r="BP374" s="121"/>
      <c r="BQ374" s="121"/>
      <c r="BR374" s="121"/>
      <c r="BS374" s="121"/>
      <c r="BT374" s="121"/>
      <c r="BU374" s="121"/>
      <c r="BV374" s="121"/>
      <c r="BW374" s="121"/>
      <c r="BX374" s="121"/>
      <c r="BY374" s="121"/>
      <c r="BZ374" s="121"/>
      <c r="CA374" s="121"/>
    </row>
    <row r="375" spans="40:79">
      <c r="AN375" s="121"/>
      <c r="AO375" s="124"/>
      <c r="AP375" s="124"/>
      <c r="AQ375" s="125"/>
      <c r="AR375" s="121"/>
      <c r="AS375" s="121"/>
      <c r="AT375" s="121"/>
      <c r="AU375" s="121"/>
      <c r="AV375" s="121"/>
      <c r="AW375" s="121"/>
      <c r="AX375" s="121"/>
      <c r="AY375" s="121"/>
      <c r="AZ375" s="121"/>
      <c r="BA375" s="121"/>
      <c r="BB375" s="121"/>
      <c r="BC375" s="121"/>
      <c r="BD375" s="121"/>
      <c r="BE375" s="121"/>
      <c r="BF375" s="121"/>
      <c r="BG375" s="121"/>
      <c r="BH375" s="121"/>
      <c r="BI375" s="121"/>
      <c r="BJ375" s="121"/>
      <c r="BK375" s="121"/>
      <c r="BL375" s="121"/>
      <c r="BM375" s="121"/>
      <c r="BN375" s="121"/>
      <c r="BO375" s="121"/>
      <c r="BP375" s="121"/>
      <c r="BQ375" s="121"/>
      <c r="BR375" s="121"/>
      <c r="BS375" s="121"/>
      <c r="BT375" s="121"/>
      <c r="BU375" s="121"/>
      <c r="BV375" s="121"/>
      <c r="BW375" s="121"/>
      <c r="BX375" s="121"/>
      <c r="BY375" s="121"/>
      <c r="BZ375" s="121"/>
      <c r="CA375" s="121"/>
    </row>
    <row r="376" spans="40:79">
      <c r="AN376" s="121"/>
      <c r="AO376" s="124"/>
      <c r="AP376" s="124"/>
      <c r="AQ376" s="125"/>
      <c r="AR376" s="121"/>
      <c r="AS376" s="121"/>
      <c r="AT376" s="121"/>
      <c r="AU376" s="121"/>
      <c r="AV376" s="121"/>
      <c r="AW376" s="121"/>
      <c r="AX376" s="121"/>
      <c r="AY376" s="121"/>
      <c r="AZ376" s="121"/>
      <c r="BA376" s="121"/>
      <c r="BB376" s="121"/>
      <c r="BC376" s="121"/>
      <c r="BD376" s="121"/>
      <c r="BE376" s="121"/>
      <c r="BF376" s="121"/>
      <c r="BG376" s="121"/>
      <c r="BH376" s="121"/>
      <c r="BI376" s="121"/>
      <c r="BJ376" s="121"/>
      <c r="BK376" s="121"/>
      <c r="BL376" s="121"/>
      <c r="BM376" s="121"/>
      <c r="BN376" s="121"/>
      <c r="BO376" s="121"/>
      <c r="BP376" s="121"/>
      <c r="BQ376" s="121"/>
      <c r="BR376" s="121"/>
      <c r="BS376" s="121"/>
      <c r="BT376" s="121"/>
      <c r="BU376" s="121"/>
      <c r="BV376" s="121"/>
      <c r="BW376" s="121"/>
      <c r="BX376" s="121"/>
      <c r="BY376" s="121"/>
      <c r="BZ376" s="121"/>
      <c r="CA376" s="121"/>
    </row>
    <row r="377" spans="40:79">
      <c r="AN377" s="121"/>
      <c r="AO377" s="124"/>
      <c r="AP377" s="124"/>
      <c r="AQ377" s="125"/>
      <c r="AR377" s="121"/>
      <c r="AS377" s="121"/>
      <c r="AT377" s="121"/>
      <c r="AU377" s="121"/>
      <c r="AV377" s="121"/>
      <c r="AW377" s="121"/>
      <c r="AX377" s="121"/>
      <c r="AY377" s="121"/>
      <c r="AZ377" s="121"/>
      <c r="BA377" s="121"/>
      <c r="BB377" s="121"/>
      <c r="BC377" s="121"/>
      <c r="BD377" s="121"/>
      <c r="BE377" s="121"/>
      <c r="BF377" s="121"/>
      <c r="BG377" s="121"/>
      <c r="BH377" s="121"/>
      <c r="BI377" s="121"/>
      <c r="BJ377" s="121"/>
      <c r="BK377" s="121"/>
      <c r="BL377" s="121"/>
      <c r="BM377" s="121"/>
      <c r="BN377" s="121"/>
      <c r="BO377" s="121"/>
      <c r="BP377" s="121"/>
      <c r="BQ377" s="121"/>
      <c r="BR377" s="121"/>
      <c r="BS377" s="121"/>
      <c r="BT377" s="121"/>
      <c r="BU377" s="121"/>
      <c r="BV377" s="121"/>
      <c r="BW377" s="121"/>
      <c r="BX377" s="121"/>
      <c r="BY377" s="121"/>
      <c r="BZ377" s="121"/>
      <c r="CA377" s="121"/>
    </row>
    <row r="378" spans="40:79">
      <c r="AN378" s="121"/>
      <c r="AO378" s="124"/>
      <c r="AP378" s="124"/>
      <c r="AQ378" s="125"/>
      <c r="AR378" s="121"/>
      <c r="AS378" s="121"/>
      <c r="AT378" s="121"/>
      <c r="AU378" s="121"/>
      <c r="AV378" s="121"/>
      <c r="AW378" s="121"/>
      <c r="AX378" s="121"/>
      <c r="AY378" s="121"/>
      <c r="AZ378" s="121"/>
      <c r="BA378" s="121"/>
      <c r="BB378" s="121"/>
      <c r="BC378" s="121"/>
      <c r="BD378" s="121"/>
      <c r="BE378" s="121"/>
      <c r="BF378" s="121"/>
      <c r="BG378" s="121"/>
      <c r="BH378" s="121"/>
      <c r="BI378" s="121"/>
      <c r="BJ378" s="121"/>
      <c r="BK378" s="121"/>
      <c r="BL378" s="121"/>
      <c r="BM378" s="121"/>
      <c r="BN378" s="121"/>
      <c r="BO378" s="121"/>
      <c r="BP378" s="121"/>
      <c r="BQ378" s="121"/>
      <c r="BR378" s="121"/>
      <c r="BS378" s="121"/>
      <c r="BT378" s="121"/>
      <c r="BU378" s="121"/>
      <c r="BV378" s="121"/>
      <c r="BW378" s="121"/>
      <c r="BX378" s="121"/>
      <c r="BY378" s="121"/>
      <c r="BZ378" s="121"/>
      <c r="CA378" s="121"/>
    </row>
    <row r="379" spans="40:79">
      <c r="AN379" s="121"/>
      <c r="AO379" s="124"/>
      <c r="AP379" s="124"/>
      <c r="AQ379" s="125"/>
      <c r="AR379" s="121"/>
      <c r="AS379" s="121"/>
      <c r="AT379" s="121"/>
      <c r="AU379" s="121"/>
      <c r="AV379" s="121"/>
      <c r="AW379" s="121"/>
      <c r="AX379" s="121"/>
      <c r="AY379" s="121"/>
      <c r="AZ379" s="121"/>
      <c r="BA379" s="121"/>
      <c r="BB379" s="121"/>
      <c r="BC379" s="121"/>
      <c r="BD379" s="121"/>
      <c r="BE379" s="121"/>
      <c r="BF379" s="121"/>
      <c r="BG379" s="121"/>
      <c r="BH379" s="121"/>
      <c r="BI379" s="121"/>
      <c r="BJ379" s="121"/>
      <c r="BK379" s="121"/>
      <c r="BL379" s="121"/>
      <c r="BM379" s="121"/>
      <c r="BN379" s="121"/>
      <c r="BO379" s="121"/>
      <c r="BP379" s="121"/>
      <c r="BQ379" s="121"/>
      <c r="BR379" s="121"/>
      <c r="BS379" s="121"/>
      <c r="BT379" s="121"/>
      <c r="BU379" s="121"/>
      <c r="BV379" s="121"/>
      <c r="BW379" s="121"/>
      <c r="BX379" s="121"/>
      <c r="BY379" s="121"/>
      <c r="BZ379" s="121"/>
      <c r="CA379" s="121"/>
    </row>
    <row r="380" spans="40:79">
      <c r="AN380" s="121"/>
      <c r="AO380" s="124"/>
      <c r="AP380" s="124"/>
      <c r="AQ380" s="121"/>
      <c r="AR380" s="124"/>
      <c r="AS380" s="124"/>
      <c r="AT380" s="124"/>
      <c r="AU380" s="121"/>
      <c r="AV380" s="121"/>
      <c r="AW380" s="121"/>
      <c r="AX380" s="121"/>
      <c r="AY380" s="121"/>
      <c r="AZ380" s="121"/>
      <c r="BA380" s="121"/>
      <c r="BB380" s="121"/>
      <c r="BC380" s="121"/>
      <c r="BD380" s="121"/>
      <c r="BE380" s="121"/>
      <c r="BF380" s="121"/>
      <c r="BG380" s="121"/>
      <c r="BH380" s="121"/>
      <c r="BI380" s="121"/>
      <c r="BJ380" s="121"/>
      <c r="BK380" s="121"/>
      <c r="BL380" s="121"/>
      <c r="BM380" s="121"/>
      <c r="BN380" s="121"/>
      <c r="BO380" s="121"/>
      <c r="BP380" s="121"/>
      <c r="BQ380" s="121"/>
      <c r="BR380" s="121"/>
      <c r="BS380" s="121"/>
      <c r="BT380" s="121"/>
      <c r="BU380" s="121"/>
      <c r="BV380" s="121"/>
      <c r="BW380" s="121"/>
      <c r="BX380" s="121"/>
      <c r="BY380" s="121"/>
      <c r="BZ380" s="121"/>
      <c r="CA380" s="121"/>
    </row>
    <row r="381" spans="40:79">
      <c r="AN381" s="121"/>
      <c r="AO381" s="121"/>
      <c r="AP381" s="121"/>
      <c r="AQ381" s="121"/>
      <c r="AR381" s="121"/>
      <c r="AS381" s="121"/>
      <c r="AT381" s="121"/>
      <c r="AU381" s="121"/>
      <c r="AV381" s="121"/>
      <c r="AW381" s="121"/>
      <c r="AX381" s="121"/>
      <c r="AY381" s="121"/>
      <c r="AZ381" s="121"/>
      <c r="BA381" s="121"/>
      <c r="BB381" s="121"/>
      <c r="BC381" s="121"/>
      <c r="BD381" s="121"/>
      <c r="BE381" s="121"/>
      <c r="BF381" s="121"/>
      <c r="BG381" s="121"/>
      <c r="BH381" s="121"/>
      <c r="BI381" s="121"/>
      <c r="BJ381" s="121"/>
      <c r="BK381" s="121"/>
      <c r="BL381" s="121"/>
      <c r="BM381" s="121"/>
      <c r="BN381" s="121"/>
      <c r="BO381" s="121"/>
      <c r="BP381" s="121"/>
      <c r="BQ381" s="121"/>
      <c r="BR381" s="121"/>
      <c r="BS381" s="121"/>
      <c r="BT381" s="121"/>
      <c r="BU381" s="121"/>
      <c r="BV381" s="121"/>
      <c r="BW381" s="121"/>
      <c r="BX381" s="121"/>
      <c r="BY381" s="121"/>
      <c r="BZ381" s="121"/>
      <c r="CA381" s="121"/>
    </row>
    <row r="382" spans="40:79">
      <c r="AN382" s="121"/>
      <c r="AO382" s="122"/>
      <c r="AP382" s="122"/>
      <c r="AQ382" s="121"/>
      <c r="AR382" s="123"/>
      <c r="AS382" s="123"/>
      <c r="AT382" s="123"/>
      <c r="AU382" s="123"/>
      <c r="AV382" s="123"/>
      <c r="AW382" s="123"/>
      <c r="AX382" s="123"/>
      <c r="AY382" s="123"/>
      <c r="AZ382" s="123"/>
      <c r="BA382" s="123"/>
      <c r="BB382" s="123"/>
      <c r="BC382" s="123"/>
      <c r="BD382" s="123"/>
      <c r="BE382" s="123"/>
      <c r="BF382" s="123"/>
      <c r="BG382" s="123"/>
      <c r="BH382" s="123"/>
      <c r="BI382" s="123"/>
      <c r="BJ382" s="123"/>
      <c r="BK382" s="123"/>
      <c r="BL382" s="123"/>
      <c r="BM382" s="123"/>
      <c r="BN382" s="123"/>
      <c r="BO382" s="123"/>
      <c r="BP382" s="123"/>
      <c r="BQ382" s="123"/>
      <c r="BR382" s="123"/>
      <c r="BS382" s="123"/>
      <c r="BT382" s="123"/>
      <c r="BU382" s="123"/>
      <c r="BV382" s="123"/>
      <c r="BW382" s="123"/>
      <c r="BX382" s="123"/>
      <c r="BY382" s="123"/>
      <c r="BZ382" s="123"/>
      <c r="CA382" s="123"/>
    </row>
    <row r="383" spans="40:79">
      <c r="AN383" s="121"/>
      <c r="AO383" s="122"/>
      <c r="AP383" s="122"/>
      <c r="AQ383" s="121"/>
      <c r="AR383" s="121"/>
      <c r="AS383" s="121"/>
      <c r="AT383" s="121"/>
      <c r="AU383" s="121"/>
      <c r="AV383" s="121"/>
      <c r="AW383" s="121"/>
      <c r="AX383" s="121"/>
      <c r="AY383" s="121"/>
      <c r="AZ383" s="121"/>
      <c r="BA383" s="121"/>
      <c r="BB383" s="121"/>
      <c r="BC383" s="121"/>
      <c r="BD383" s="121"/>
      <c r="BE383" s="121"/>
      <c r="BF383" s="121"/>
      <c r="BG383" s="121"/>
      <c r="BH383" s="121"/>
      <c r="BI383" s="121"/>
      <c r="BJ383" s="121"/>
      <c r="BK383" s="121"/>
      <c r="BL383" s="121"/>
      <c r="BM383" s="121"/>
      <c r="BN383" s="121"/>
      <c r="BO383" s="121"/>
      <c r="BP383" s="121"/>
      <c r="BQ383" s="121"/>
      <c r="BR383" s="121"/>
      <c r="BS383" s="121"/>
      <c r="BT383" s="121"/>
      <c r="BU383" s="121"/>
      <c r="BV383" s="121"/>
      <c r="BW383" s="121"/>
      <c r="BX383" s="121"/>
      <c r="BY383" s="121"/>
      <c r="BZ383" s="121"/>
      <c r="CA383" s="121"/>
    </row>
    <row r="384" spans="40:79">
      <c r="AN384" s="121"/>
      <c r="AO384" s="124"/>
      <c r="AP384" s="124"/>
      <c r="AQ384" s="125"/>
      <c r="AR384" s="121"/>
      <c r="AS384" s="121"/>
      <c r="AT384" s="121"/>
      <c r="AU384" s="121"/>
      <c r="AV384" s="121"/>
      <c r="AW384" s="121"/>
      <c r="AX384" s="121"/>
      <c r="AY384" s="121"/>
      <c r="AZ384" s="121"/>
      <c r="BA384" s="121"/>
      <c r="BB384" s="121"/>
      <c r="BC384" s="121"/>
      <c r="BD384" s="121"/>
      <c r="BE384" s="121"/>
      <c r="BF384" s="121"/>
      <c r="BG384" s="121"/>
      <c r="BH384" s="121"/>
      <c r="BI384" s="121"/>
      <c r="BJ384" s="121"/>
      <c r="BK384" s="121"/>
      <c r="BL384" s="121"/>
      <c r="BM384" s="121"/>
      <c r="BN384" s="121"/>
      <c r="BO384" s="121"/>
      <c r="BP384" s="121"/>
      <c r="BQ384" s="121"/>
      <c r="BR384" s="121"/>
      <c r="BS384" s="121"/>
      <c r="BT384" s="121"/>
      <c r="BU384" s="121"/>
      <c r="BV384" s="121"/>
      <c r="BW384" s="121"/>
      <c r="BX384" s="121"/>
      <c r="BY384" s="121"/>
      <c r="BZ384" s="121"/>
      <c r="CA384" s="121"/>
    </row>
    <row r="385" spans="40:79">
      <c r="AN385" s="121"/>
      <c r="AO385" s="124"/>
      <c r="AP385" s="124"/>
      <c r="AQ385" s="125"/>
      <c r="AR385" s="121"/>
      <c r="AS385" s="121"/>
      <c r="AT385" s="121"/>
      <c r="AU385" s="121"/>
      <c r="AV385" s="121"/>
      <c r="AW385" s="121"/>
      <c r="AX385" s="121"/>
      <c r="AY385" s="121"/>
      <c r="AZ385" s="121"/>
      <c r="BA385" s="121"/>
      <c r="BB385" s="121"/>
      <c r="BC385" s="121"/>
      <c r="BD385" s="121"/>
      <c r="BE385" s="121"/>
      <c r="BF385" s="121"/>
      <c r="BG385" s="121"/>
      <c r="BH385" s="121"/>
      <c r="BI385" s="121"/>
      <c r="BJ385" s="121"/>
      <c r="BK385" s="121"/>
      <c r="BL385" s="121"/>
      <c r="BM385" s="121"/>
      <c r="BN385" s="121"/>
      <c r="BO385" s="121"/>
      <c r="BP385" s="121"/>
      <c r="BQ385" s="121"/>
      <c r="BR385" s="121"/>
      <c r="BS385" s="121"/>
      <c r="BT385" s="121"/>
      <c r="BU385" s="121"/>
      <c r="BV385" s="121"/>
      <c r="BW385" s="121"/>
      <c r="BX385" s="121"/>
      <c r="BY385" s="121"/>
      <c r="BZ385" s="121"/>
      <c r="CA385" s="121"/>
    </row>
    <row r="386" spans="40:79">
      <c r="AN386" s="121"/>
      <c r="AO386" s="124"/>
      <c r="AP386" s="124"/>
      <c r="AQ386" s="125"/>
      <c r="AR386" s="121"/>
      <c r="AS386" s="121"/>
      <c r="AT386" s="121"/>
      <c r="AU386" s="121"/>
      <c r="AV386" s="121"/>
      <c r="AW386" s="121"/>
      <c r="AX386" s="121"/>
      <c r="AY386" s="121"/>
      <c r="AZ386" s="121"/>
      <c r="BA386" s="121"/>
      <c r="BB386" s="121"/>
      <c r="BC386" s="121"/>
      <c r="BD386" s="121"/>
      <c r="BE386" s="121"/>
      <c r="BF386" s="121"/>
      <c r="BG386" s="121"/>
      <c r="BH386" s="121"/>
      <c r="BI386" s="121"/>
      <c r="BJ386" s="121"/>
      <c r="BK386" s="121"/>
      <c r="BL386" s="121"/>
      <c r="BM386" s="121"/>
      <c r="BN386" s="121"/>
      <c r="BO386" s="121"/>
      <c r="BP386" s="121"/>
      <c r="BQ386" s="121"/>
      <c r="BR386" s="121"/>
      <c r="BS386" s="121"/>
      <c r="BT386" s="121"/>
      <c r="BU386" s="121"/>
      <c r="BV386" s="121"/>
      <c r="BW386" s="121"/>
      <c r="BX386" s="121"/>
      <c r="BY386" s="121"/>
      <c r="BZ386" s="121"/>
      <c r="CA386" s="121"/>
    </row>
    <row r="387" spans="40:79">
      <c r="AN387" s="121"/>
      <c r="AO387" s="124"/>
      <c r="AP387" s="124"/>
      <c r="AQ387" s="125"/>
      <c r="AR387" s="121"/>
      <c r="AS387" s="121"/>
      <c r="AT387" s="121"/>
      <c r="AU387" s="121"/>
      <c r="AV387" s="121"/>
      <c r="AW387" s="121"/>
      <c r="AX387" s="121"/>
      <c r="AY387" s="121"/>
      <c r="AZ387" s="121"/>
      <c r="BA387" s="121"/>
      <c r="BB387" s="121"/>
      <c r="BC387" s="121"/>
      <c r="BD387" s="121"/>
      <c r="BE387" s="121"/>
      <c r="BF387" s="121"/>
      <c r="BG387" s="121"/>
      <c r="BH387" s="121"/>
      <c r="BI387" s="121"/>
      <c r="BJ387" s="121"/>
      <c r="BK387" s="121"/>
      <c r="BL387" s="121"/>
      <c r="BM387" s="121"/>
      <c r="BN387" s="121"/>
      <c r="BO387" s="121"/>
      <c r="BP387" s="121"/>
      <c r="BQ387" s="121"/>
      <c r="BR387" s="121"/>
      <c r="BS387" s="121"/>
      <c r="BT387" s="121"/>
      <c r="BU387" s="121"/>
      <c r="BV387" s="121"/>
      <c r="BW387" s="121"/>
      <c r="BX387" s="121"/>
      <c r="BY387" s="121"/>
      <c r="BZ387" s="121"/>
      <c r="CA387" s="121"/>
    </row>
    <row r="388" spans="40:79">
      <c r="AN388" s="121"/>
      <c r="AO388" s="124"/>
      <c r="AP388" s="124"/>
      <c r="AQ388" s="125"/>
      <c r="AR388" s="121"/>
      <c r="AS388" s="121"/>
      <c r="AT388" s="121"/>
      <c r="AU388" s="121"/>
      <c r="AV388" s="121"/>
      <c r="AW388" s="121"/>
      <c r="AX388" s="121"/>
      <c r="AY388" s="121"/>
      <c r="AZ388" s="121"/>
      <c r="BA388" s="121"/>
      <c r="BB388" s="121"/>
      <c r="BC388" s="121"/>
      <c r="BD388" s="121"/>
      <c r="BE388" s="121"/>
      <c r="BF388" s="121"/>
      <c r="BG388" s="121"/>
      <c r="BH388" s="121"/>
      <c r="BI388" s="121"/>
      <c r="BJ388" s="121"/>
      <c r="BK388" s="121"/>
      <c r="BL388" s="121"/>
      <c r="BM388" s="121"/>
      <c r="BN388" s="121"/>
      <c r="BO388" s="121"/>
      <c r="BP388" s="121"/>
      <c r="BQ388" s="121"/>
      <c r="BR388" s="121"/>
      <c r="BS388" s="121"/>
      <c r="BT388" s="121"/>
      <c r="BU388" s="121"/>
      <c r="BV388" s="121"/>
      <c r="BW388" s="121"/>
      <c r="BX388" s="121"/>
      <c r="BY388" s="121"/>
      <c r="BZ388" s="121"/>
      <c r="CA388" s="121"/>
    </row>
    <row r="389" spans="40:79">
      <c r="AN389" s="121"/>
      <c r="AO389" s="124"/>
      <c r="AP389" s="124"/>
      <c r="AQ389" s="125"/>
      <c r="AR389" s="121"/>
      <c r="AS389" s="121"/>
      <c r="AT389" s="121"/>
      <c r="AU389" s="121"/>
      <c r="AV389" s="121"/>
      <c r="AW389" s="121"/>
      <c r="AX389" s="121"/>
      <c r="AY389" s="121"/>
      <c r="AZ389" s="121"/>
      <c r="BA389" s="121"/>
      <c r="BB389" s="121"/>
      <c r="BC389" s="121"/>
      <c r="BD389" s="121"/>
      <c r="BE389" s="121"/>
      <c r="BF389" s="121"/>
      <c r="BG389" s="121"/>
      <c r="BH389" s="121"/>
      <c r="BI389" s="121"/>
      <c r="BJ389" s="121"/>
      <c r="BK389" s="121"/>
      <c r="BL389" s="121"/>
      <c r="BM389" s="121"/>
      <c r="BN389" s="121"/>
      <c r="BO389" s="121"/>
      <c r="BP389" s="121"/>
      <c r="BQ389" s="121"/>
      <c r="BR389" s="121"/>
      <c r="BS389" s="121"/>
      <c r="BT389" s="121"/>
      <c r="BU389" s="121"/>
      <c r="BV389" s="121"/>
      <c r="BW389" s="121"/>
      <c r="BX389" s="121"/>
      <c r="BY389" s="121"/>
      <c r="BZ389" s="121"/>
      <c r="CA389" s="121"/>
    </row>
    <row r="390" spans="40:79">
      <c r="AN390" s="121"/>
      <c r="AO390" s="124"/>
      <c r="AP390" s="124"/>
      <c r="AQ390" s="121"/>
      <c r="AR390" s="124"/>
      <c r="AS390" s="124"/>
      <c r="AT390" s="124"/>
      <c r="AU390" s="121"/>
      <c r="AV390" s="121"/>
      <c r="AW390" s="121"/>
      <c r="AX390" s="121"/>
      <c r="AY390" s="121"/>
      <c r="AZ390" s="121"/>
      <c r="BA390" s="121"/>
      <c r="BB390" s="121"/>
      <c r="BC390" s="121"/>
      <c r="BD390" s="121"/>
      <c r="BE390" s="121"/>
      <c r="BF390" s="121"/>
      <c r="BG390" s="121"/>
      <c r="BH390" s="121"/>
      <c r="BI390" s="121"/>
      <c r="BJ390" s="121"/>
      <c r="BK390" s="121"/>
      <c r="BL390" s="121"/>
      <c r="BM390" s="121"/>
      <c r="BN390" s="121"/>
      <c r="BO390" s="121"/>
      <c r="BP390" s="121"/>
      <c r="BQ390" s="121"/>
      <c r="BR390" s="121"/>
      <c r="BS390" s="121"/>
      <c r="BT390" s="121"/>
      <c r="BU390" s="121"/>
      <c r="BV390" s="121"/>
      <c r="BW390" s="121"/>
      <c r="BX390" s="121"/>
      <c r="BY390" s="121"/>
      <c r="BZ390" s="121"/>
      <c r="CA390" s="121"/>
    </row>
    <row r="391" spans="40:79">
      <c r="AN391" s="121"/>
      <c r="AO391" s="121"/>
      <c r="AP391" s="121"/>
      <c r="AQ391" s="121"/>
      <c r="AR391" s="121"/>
      <c r="AS391" s="121"/>
      <c r="AT391" s="121"/>
      <c r="AU391" s="121"/>
      <c r="AV391" s="121"/>
      <c r="AW391" s="121"/>
      <c r="AX391" s="121"/>
      <c r="AY391" s="121"/>
      <c r="AZ391" s="121"/>
      <c r="BA391" s="121"/>
      <c r="BB391" s="121"/>
      <c r="BC391" s="121"/>
      <c r="BD391" s="121"/>
      <c r="BE391" s="121"/>
      <c r="BF391" s="121"/>
      <c r="BG391" s="121"/>
      <c r="BH391" s="121"/>
      <c r="BI391" s="121"/>
      <c r="BJ391" s="121"/>
      <c r="BK391" s="121"/>
      <c r="BL391" s="121"/>
      <c r="BM391" s="121"/>
      <c r="BN391" s="121"/>
      <c r="BO391" s="121"/>
      <c r="BP391" s="121"/>
      <c r="BQ391" s="121"/>
      <c r="BR391" s="121"/>
      <c r="BS391" s="121"/>
      <c r="BT391" s="121"/>
      <c r="BU391" s="121"/>
      <c r="BV391" s="121"/>
      <c r="BW391" s="121"/>
      <c r="BX391" s="121"/>
      <c r="BY391" s="121"/>
      <c r="BZ391" s="121"/>
      <c r="CA391" s="121"/>
    </row>
    <row r="392" spans="40:79">
      <c r="AN392" s="121"/>
      <c r="AO392" s="122"/>
      <c r="AP392" s="122"/>
      <c r="AQ392" s="121"/>
      <c r="AR392" s="123"/>
      <c r="AS392" s="123"/>
      <c r="AT392" s="123"/>
      <c r="AU392" s="123"/>
      <c r="AV392" s="123"/>
      <c r="AW392" s="123"/>
      <c r="AX392" s="123"/>
      <c r="AY392" s="123"/>
      <c r="AZ392" s="123"/>
      <c r="BA392" s="123"/>
      <c r="BB392" s="123"/>
      <c r="BC392" s="123"/>
      <c r="BD392" s="123"/>
      <c r="BE392" s="123"/>
      <c r="BF392" s="123"/>
      <c r="BG392" s="123"/>
      <c r="BH392" s="123"/>
      <c r="BI392" s="123"/>
      <c r="BJ392" s="123"/>
      <c r="BK392" s="123"/>
      <c r="BL392" s="123"/>
      <c r="BM392" s="123"/>
      <c r="BN392" s="123"/>
      <c r="BO392" s="123"/>
      <c r="BP392" s="123"/>
      <c r="BQ392" s="123"/>
      <c r="BR392" s="123"/>
      <c r="BS392" s="123"/>
      <c r="BT392" s="123"/>
      <c r="BU392" s="123"/>
      <c r="BV392" s="123"/>
      <c r="BW392" s="123"/>
      <c r="BX392" s="123"/>
      <c r="BY392" s="123"/>
      <c r="BZ392" s="123"/>
      <c r="CA392" s="123"/>
    </row>
    <row r="393" spans="40:79">
      <c r="AN393" s="121"/>
      <c r="AO393" s="122"/>
      <c r="AP393" s="122"/>
      <c r="AQ393" s="121"/>
      <c r="AR393" s="121"/>
      <c r="AS393" s="121"/>
      <c r="AT393" s="121"/>
      <c r="AU393" s="121"/>
      <c r="AV393" s="121"/>
      <c r="AW393" s="121"/>
      <c r="AX393" s="121"/>
      <c r="AY393" s="121"/>
      <c r="AZ393" s="121"/>
      <c r="BA393" s="121"/>
      <c r="BB393" s="121"/>
      <c r="BC393" s="121"/>
      <c r="BD393" s="121"/>
      <c r="BE393" s="121"/>
      <c r="BF393" s="121"/>
      <c r="BG393" s="121"/>
      <c r="BH393" s="121"/>
      <c r="BI393" s="121"/>
      <c r="BJ393" s="121"/>
      <c r="BK393" s="121"/>
      <c r="BL393" s="121"/>
      <c r="BM393" s="121"/>
      <c r="BN393" s="121"/>
      <c r="BO393" s="121"/>
      <c r="BP393" s="121"/>
      <c r="BQ393" s="121"/>
      <c r="BR393" s="121"/>
      <c r="BS393" s="121"/>
      <c r="BT393" s="121"/>
      <c r="BU393" s="121"/>
      <c r="BV393" s="121"/>
      <c r="BW393" s="121"/>
      <c r="BX393" s="121"/>
      <c r="BY393" s="121"/>
      <c r="BZ393" s="121"/>
      <c r="CA393" s="121"/>
    </row>
    <row r="394" spans="40:79">
      <c r="AN394" s="121"/>
      <c r="AO394" s="124"/>
      <c r="AP394" s="124"/>
      <c r="AQ394" s="125"/>
      <c r="AR394" s="121"/>
      <c r="AS394" s="121"/>
      <c r="AT394" s="121"/>
      <c r="AU394" s="121"/>
      <c r="AV394" s="121"/>
      <c r="AW394" s="121"/>
      <c r="AX394" s="121"/>
      <c r="AY394" s="121"/>
      <c r="AZ394" s="121"/>
      <c r="BA394" s="121"/>
      <c r="BB394" s="121"/>
      <c r="BC394" s="121"/>
      <c r="BD394" s="121"/>
      <c r="BE394" s="121"/>
      <c r="BF394" s="121"/>
      <c r="BG394" s="121"/>
      <c r="BH394" s="121"/>
      <c r="BI394" s="121"/>
      <c r="BJ394" s="121"/>
      <c r="BK394" s="121"/>
      <c r="BL394" s="121"/>
      <c r="BM394" s="121"/>
      <c r="BN394" s="121"/>
      <c r="BO394" s="121"/>
      <c r="BP394" s="121"/>
      <c r="BQ394" s="121"/>
      <c r="BR394" s="121"/>
      <c r="BS394" s="121"/>
      <c r="BT394" s="121"/>
      <c r="BU394" s="121"/>
      <c r="BV394" s="121"/>
      <c r="BW394" s="121"/>
      <c r="BX394" s="121"/>
      <c r="BY394" s="121"/>
      <c r="BZ394" s="121"/>
      <c r="CA394" s="121"/>
    </row>
    <row r="395" spans="40:79">
      <c r="AN395" s="121"/>
      <c r="AO395" s="124"/>
      <c r="AP395" s="124"/>
      <c r="AQ395" s="125"/>
      <c r="AR395" s="121"/>
      <c r="AS395" s="121"/>
      <c r="AT395" s="121"/>
      <c r="AU395" s="121"/>
      <c r="AV395" s="121"/>
      <c r="AW395" s="121"/>
      <c r="AX395" s="121"/>
      <c r="AY395" s="121"/>
      <c r="AZ395" s="121"/>
      <c r="BA395" s="121"/>
      <c r="BB395" s="121"/>
      <c r="BC395" s="121"/>
      <c r="BD395" s="121"/>
      <c r="BE395" s="121"/>
      <c r="BF395" s="121"/>
      <c r="BG395" s="121"/>
      <c r="BH395" s="121"/>
      <c r="BI395" s="121"/>
      <c r="BJ395" s="121"/>
      <c r="BK395" s="121"/>
      <c r="BL395" s="121"/>
      <c r="BM395" s="121"/>
      <c r="BN395" s="121"/>
      <c r="BO395" s="121"/>
      <c r="BP395" s="121"/>
      <c r="BQ395" s="121"/>
      <c r="BR395" s="121"/>
      <c r="BS395" s="121"/>
      <c r="BT395" s="121"/>
      <c r="BU395" s="121"/>
      <c r="BV395" s="121"/>
      <c r="BW395" s="121"/>
      <c r="BX395" s="121"/>
      <c r="BY395" s="121"/>
      <c r="BZ395" s="121"/>
      <c r="CA395" s="121"/>
    </row>
    <row r="396" spans="40:79">
      <c r="AN396" s="121"/>
      <c r="AO396" s="124"/>
      <c r="AP396" s="124"/>
      <c r="AQ396" s="125"/>
      <c r="AR396" s="121"/>
      <c r="AS396" s="121"/>
      <c r="AT396" s="121"/>
      <c r="AU396" s="121"/>
      <c r="AV396" s="121"/>
      <c r="AW396" s="121"/>
      <c r="AX396" s="121"/>
      <c r="AY396" s="121"/>
      <c r="AZ396" s="121"/>
      <c r="BA396" s="121"/>
      <c r="BB396" s="121"/>
      <c r="BC396" s="121"/>
      <c r="BD396" s="121"/>
      <c r="BE396" s="121"/>
      <c r="BF396" s="121"/>
      <c r="BG396" s="121"/>
      <c r="BH396" s="121"/>
      <c r="BI396" s="121"/>
      <c r="BJ396" s="121"/>
      <c r="BK396" s="121"/>
      <c r="BL396" s="121"/>
      <c r="BM396" s="121"/>
      <c r="BN396" s="121"/>
      <c r="BO396" s="121"/>
      <c r="BP396" s="121"/>
      <c r="BQ396" s="121"/>
      <c r="BR396" s="121"/>
      <c r="BS396" s="121"/>
      <c r="BT396" s="121"/>
      <c r="BU396" s="121"/>
      <c r="BV396" s="121"/>
      <c r="BW396" s="121"/>
      <c r="BX396" s="121"/>
      <c r="BY396" s="121"/>
      <c r="BZ396" s="121"/>
      <c r="CA396" s="121"/>
    </row>
    <row r="397" spans="40:79">
      <c r="AN397" s="121"/>
      <c r="AO397" s="124"/>
      <c r="AP397" s="124"/>
      <c r="AQ397" s="125"/>
      <c r="AR397" s="121"/>
      <c r="AS397" s="121"/>
      <c r="AT397" s="121"/>
      <c r="AU397" s="121"/>
      <c r="AV397" s="121"/>
      <c r="AW397" s="121"/>
      <c r="AX397" s="121"/>
      <c r="AY397" s="121"/>
      <c r="AZ397" s="121"/>
      <c r="BA397" s="121"/>
      <c r="BB397" s="121"/>
      <c r="BC397" s="121"/>
      <c r="BD397" s="121"/>
      <c r="BE397" s="121"/>
      <c r="BF397" s="121"/>
      <c r="BG397" s="121"/>
      <c r="BH397" s="121"/>
      <c r="BI397" s="121"/>
      <c r="BJ397" s="121"/>
      <c r="BK397" s="121"/>
      <c r="BL397" s="121"/>
      <c r="BM397" s="121"/>
      <c r="BN397" s="121"/>
      <c r="BO397" s="121"/>
      <c r="BP397" s="121"/>
      <c r="BQ397" s="121"/>
      <c r="BR397" s="121"/>
      <c r="BS397" s="121"/>
      <c r="BT397" s="121"/>
      <c r="BU397" s="121"/>
      <c r="BV397" s="121"/>
      <c r="BW397" s="121"/>
      <c r="BX397" s="121"/>
      <c r="BY397" s="121"/>
      <c r="BZ397" s="121"/>
      <c r="CA397" s="121"/>
    </row>
    <row r="398" spans="40:79">
      <c r="AN398" s="121"/>
      <c r="AO398" s="124"/>
      <c r="AP398" s="124"/>
      <c r="AQ398" s="125"/>
      <c r="AR398" s="121"/>
      <c r="AS398" s="121"/>
      <c r="AT398" s="121"/>
      <c r="AU398" s="121"/>
      <c r="AV398" s="121"/>
      <c r="AW398" s="121"/>
      <c r="AX398" s="121"/>
      <c r="AY398" s="121"/>
      <c r="AZ398" s="121"/>
      <c r="BA398" s="121"/>
      <c r="BB398" s="121"/>
      <c r="BC398" s="121"/>
      <c r="BD398" s="121"/>
      <c r="BE398" s="121"/>
      <c r="BF398" s="121"/>
      <c r="BG398" s="121"/>
      <c r="BH398" s="121"/>
      <c r="BI398" s="121"/>
      <c r="BJ398" s="121"/>
      <c r="BK398" s="121"/>
      <c r="BL398" s="121"/>
      <c r="BM398" s="121"/>
      <c r="BN398" s="121"/>
      <c r="BO398" s="121"/>
      <c r="BP398" s="121"/>
      <c r="BQ398" s="121"/>
      <c r="BR398" s="121"/>
      <c r="BS398" s="121"/>
      <c r="BT398" s="121"/>
      <c r="BU398" s="121"/>
      <c r="BV398" s="121"/>
      <c r="BW398" s="121"/>
      <c r="BX398" s="121"/>
      <c r="BY398" s="121"/>
      <c r="BZ398" s="121"/>
      <c r="CA398" s="121"/>
    </row>
    <row r="399" spans="40:79">
      <c r="AN399" s="121"/>
      <c r="AO399" s="124"/>
      <c r="AP399" s="124"/>
      <c r="AQ399" s="125"/>
      <c r="AR399" s="121"/>
      <c r="AS399" s="121"/>
      <c r="AT399" s="121"/>
      <c r="AU399" s="121"/>
      <c r="AV399" s="121"/>
      <c r="AW399" s="121"/>
      <c r="AX399" s="121"/>
      <c r="AY399" s="121"/>
      <c r="AZ399" s="121"/>
      <c r="BA399" s="121"/>
      <c r="BB399" s="121"/>
      <c r="BC399" s="121"/>
      <c r="BD399" s="121"/>
      <c r="BE399" s="121"/>
      <c r="BF399" s="121"/>
      <c r="BG399" s="121"/>
      <c r="BH399" s="121"/>
      <c r="BI399" s="121"/>
      <c r="BJ399" s="121"/>
      <c r="BK399" s="121"/>
      <c r="BL399" s="121"/>
      <c r="BM399" s="121"/>
      <c r="BN399" s="121"/>
      <c r="BO399" s="121"/>
      <c r="BP399" s="121"/>
      <c r="BQ399" s="121"/>
      <c r="BR399" s="121"/>
      <c r="BS399" s="121"/>
      <c r="BT399" s="121"/>
      <c r="BU399" s="121"/>
      <c r="BV399" s="121"/>
      <c r="BW399" s="121"/>
      <c r="BX399" s="121"/>
      <c r="BY399" s="121"/>
      <c r="BZ399" s="121"/>
      <c r="CA399" s="121"/>
    </row>
    <row r="400" spans="40:79">
      <c r="AN400" s="121"/>
      <c r="AO400" s="124"/>
      <c r="AP400" s="124"/>
      <c r="AQ400" s="121"/>
      <c r="AR400" s="124"/>
      <c r="AS400" s="124"/>
      <c r="AT400" s="124"/>
      <c r="AU400" s="121"/>
      <c r="AV400" s="121"/>
      <c r="AW400" s="121"/>
      <c r="AX400" s="121"/>
      <c r="AY400" s="121"/>
      <c r="AZ400" s="121"/>
      <c r="BA400" s="121"/>
      <c r="BB400" s="121"/>
      <c r="BC400" s="121"/>
      <c r="BD400" s="121"/>
      <c r="BE400" s="121"/>
      <c r="BF400" s="121"/>
      <c r="BG400" s="121"/>
      <c r="BH400" s="121"/>
      <c r="BI400" s="121"/>
      <c r="BJ400" s="121"/>
      <c r="BK400" s="121"/>
      <c r="BL400" s="121"/>
      <c r="BM400" s="121"/>
      <c r="BN400" s="121"/>
      <c r="BO400" s="121"/>
      <c r="BP400" s="121"/>
      <c r="BQ400" s="121"/>
      <c r="BR400" s="121"/>
      <c r="BS400" s="121"/>
      <c r="BT400" s="121"/>
      <c r="BU400" s="121"/>
      <c r="BV400" s="121"/>
      <c r="BW400" s="121"/>
      <c r="BX400" s="121"/>
      <c r="BY400" s="121"/>
      <c r="BZ400" s="121"/>
      <c r="CA400" s="121"/>
    </row>
    <row r="401" spans="40:79">
      <c r="AN401" s="121"/>
      <c r="AO401" s="121"/>
      <c r="AP401" s="121"/>
      <c r="AQ401" s="121"/>
      <c r="AR401" s="121"/>
      <c r="AS401" s="121"/>
      <c r="AT401" s="121"/>
      <c r="AU401" s="121"/>
      <c r="AV401" s="121"/>
      <c r="AW401" s="121"/>
      <c r="AX401" s="121"/>
      <c r="AY401" s="121"/>
      <c r="AZ401" s="121"/>
      <c r="BA401" s="121"/>
      <c r="BB401" s="121"/>
      <c r="BC401" s="121"/>
      <c r="BD401" s="121"/>
      <c r="BE401" s="121"/>
      <c r="BF401" s="121"/>
      <c r="BG401" s="121"/>
      <c r="BH401" s="121"/>
      <c r="BI401" s="121"/>
      <c r="BJ401" s="121"/>
      <c r="BK401" s="121"/>
      <c r="BL401" s="121"/>
      <c r="BM401" s="121"/>
      <c r="BN401" s="121"/>
      <c r="BO401" s="121"/>
      <c r="BP401" s="121"/>
      <c r="BQ401" s="121"/>
      <c r="BR401" s="121"/>
      <c r="BS401" s="121"/>
      <c r="BT401" s="121"/>
      <c r="BU401" s="121"/>
      <c r="BV401" s="121"/>
      <c r="BW401" s="121"/>
      <c r="BX401" s="121"/>
      <c r="BY401" s="121"/>
      <c r="BZ401" s="121"/>
      <c r="CA401" s="121"/>
    </row>
    <row r="402" spans="40:79">
      <c r="AN402" s="121"/>
      <c r="AO402" s="122"/>
      <c r="AP402" s="122"/>
      <c r="AQ402" s="121"/>
      <c r="AR402" s="123"/>
      <c r="AS402" s="123"/>
      <c r="AT402" s="123"/>
      <c r="AU402" s="123"/>
      <c r="AV402" s="123"/>
      <c r="AW402" s="123"/>
      <c r="AX402" s="123"/>
      <c r="AY402" s="123"/>
      <c r="AZ402" s="123"/>
      <c r="BA402" s="123"/>
      <c r="BB402" s="123"/>
      <c r="BC402" s="123"/>
      <c r="BD402" s="123"/>
      <c r="BE402" s="123"/>
      <c r="BF402" s="123"/>
      <c r="BG402" s="123"/>
      <c r="BH402" s="123"/>
      <c r="BI402" s="123"/>
      <c r="BJ402" s="123"/>
      <c r="BK402" s="123"/>
      <c r="BL402" s="123"/>
      <c r="BM402" s="123"/>
      <c r="BN402" s="123"/>
      <c r="BO402" s="123"/>
      <c r="BP402" s="123"/>
      <c r="BQ402" s="123"/>
      <c r="BR402" s="123"/>
      <c r="BS402" s="123"/>
      <c r="BT402" s="123"/>
      <c r="BU402" s="123"/>
      <c r="BV402" s="123"/>
      <c r="BW402" s="123"/>
      <c r="BX402" s="123"/>
      <c r="BY402" s="123"/>
      <c r="BZ402" s="123"/>
      <c r="CA402" s="123"/>
    </row>
    <row r="403" spans="40:79">
      <c r="AN403" s="121"/>
      <c r="AO403" s="122"/>
      <c r="AP403" s="122"/>
      <c r="AQ403" s="121"/>
      <c r="AR403" s="121"/>
      <c r="AS403" s="121"/>
      <c r="AT403" s="121"/>
      <c r="AU403" s="121"/>
      <c r="AV403" s="121"/>
      <c r="AW403" s="121"/>
      <c r="AX403" s="121"/>
      <c r="AY403" s="121"/>
      <c r="AZ403" s="121"/>
      <c r="BA403" s="121"/>
      <c r="BB403" s="121"/>
      <c r="BC403" s="121"/>
      <c r="BD403" s="121"/>
      <c r="BE403" s="121"/>
      <c r="BF403" s="121"/>
      <c r="BG403" s="121"/>
      <c r="BH403" s="121"/>
      <c r="BI403" s="121"/>
      <c r="BJ403" s="121"/>
      <c r="BK403" s="121"/>
      <c r="BL403" s="121"/>
      <c r="BM403" s="121"/>
      <c r="BN403" s="121"/>
      <c r="BO403" s="121"/>
      <c r="BP403" s="121"/>
      <c r="BQ403" s="121"/>
      <c r="BR403" s="121"/>
      <c r="BS403" s="121"/>
      <c r="BT403" s="121"/>
      <c r="BU403" s="121"/>
      <c r="BV403" s="121"/>
      <c r="BW403" s="121"/>
      <c r="BX403" s="121"/>
      <c r="BY403" s="121"/>
      <c r="BZ403" s="121"/>
      <c r="CA403" s="121"/>
    </row>
    <row r="404" spans="40:79">
      <c r="AN404" s="121"/>
      <c r="AO404" s="124"/>
      <c r="AP404" s="124"/>
      <c r="AQ404" s="125"/>
      <c r="AR404" s="121"/>
      <c r="AS404" s="121"/>
      <c r="AT404" s="121"/>
      <c r="AU404" s="121"/>
      <c r="AV404" s="121"/>
      <c r="AW404" s="121"/>
      <c r="AX404" s="121"/>
      <c r="AY404" s="121"/>
      <c r="AZ404" s="121"/>
      <c r="BA404" s="121"/>
      <c r="BB404" s="121"/>
      <c r="BC404" s="121"/>
      <c r="BD404" s="121"/>
      <c r="BE404" s="121"/>
      <c r="BF404" s="121"/>
      <c r="BG404" s="121"/>
      <c r="BH404" s="121"/>
      <c r="BI404" s="121"/>
      <c r="BJ404" s="121"/>
      <c r="BK404" s="121"/>
      <c r="BL404" s="121"/>
      <c r="BM404" s="121"/>
      <c r="BN404" s="121"/>
      <c r="BO404" s="121"/>
      <c r="BP404" s="121"/>
      <c r="BQ404" s="121"/>
      <c r="BR404" s="121"/>
      <c r="BS404" s="121"/>
      <c r="BT404" s="121"/>
      <c r="BU404" s="121"/>
      <c r="BV404" s="121"/>
      <c r="BW404" s="121"/>
      <c r="BX404" s="121"/>
      <c r="BY404" s="121"/>
      <c r="BZ404" s="121"/>
      <c r="CA404" s="121"/>
    </row>
    <row r="405" spans="40:79">
      <c r="AN405" s="121"/>
      <c r="AO405" s="124"/>
      <c r="AP405" s="124"/>
      <c r="AQ405" s="125"/>
      <c r="AR405" s="121"/>
      <c r="AS405" s="121"/>
      <c r="AT405" s="121"/>
      <c r="AU405" s="121"/>
      <c r="AV405" s="121"/>
      <c r="AW405" s="121"/>
      <c r="AX405" s="121"/>
      <c r="AY405" s="121"/>
      <c r="AZ405" s="121"/>
      <c r="BA405" s="121"/>
      <c r="BB405" s="121"/>
      <c r="BC405" s="121"/>
      <c r="BD405" s="121"/>
      <c r="BE405" s="121"/>
      <c r="BF405" s="121"/>
      <c r="BG405" s="121"/>
      <c r="BH405" s="121"/>
      <c r="BI405" s="121"/>
      <c r="BJ405" s="121"/>
      <c r="BK405" s="121"/>
      <c r="BL405" s="121"/>
      <c r="BM405" s="121"/>
      <c r="BN405" s="121"/>
      <c r="BO405" s="121"/>
      <c r="BP405" s="121"/>
      <c r="BQ405" s="121"/>
      <c r="BR405" s="121"/>
      <c r="BS405" s="121"/>
      <c r="BT405" s="121"/>
      <c r="BU405" s="121"/>
      <c r="BV405" s="121"/>
      <c r="BW405" s="121"/>
      <c r="BX405" s="121"/>
      <c r="BY405" s="121"/>
      <c r="BZ405" s="121"/>
      <c r="CA405" s="121"/>
    </row>
    <row r="406" spans="40:79">
      <c r="AN406" s="121"/>
      <c r="AO406" s="124"/>
      <c r="AP406" s="124"/>
      <c r="AQ406" s="125"/>
      <c r="AR406" s="121"/>
      <c r="AS406" s="121"/>
      <c r="AT406" s="121"/>
      <c r="AU406" s="121"/>
      <c r="AV406" s="121"/>
      <c r="AW406" s="121"/>
      <c r="AX406" s="121"/>
      <c r="AY406" s="121"/>
      <c r="AZ406" s="121"/>
      <c r="BA406" s="121"/>
      <c r="BB406" s="121"/>
      <c r="BC406" s="121"/>
      <c r="BD406" s="121"/>
      <c r="BE406" s="121"/>
      <c r="BF406" s="121"/>
      <c r="BG406" s="121"/>
      <c r="BH406" s="121"/>
      <c r="BI406" s="121"/>
      <c r="BJ406" s="121"/>
      <c r="BK406" s="121"/>
      <c r="BL406" s="121"/>
      <c r="BM406" s="121"/>
      <c r="BN406" s="121"/>
      <c r="BO406" s="121"/>
      <c r="BP406" s="121"/>
      <c r="BQ406" s="121"/>
      <c r="BR406" s="121"/>
      <c r="BS406" s="121"/>
      <c r="BT406" s="121"/>
      <c r="BU406" s="121"/>
      <c r="BV406" s="121"/>
      <c r="BW406" s="121"/>
      <c r="BX406" s="121"/>
      <c r="BY406" s="121"/>
      <c r="BZ406" s="121"/>
      <c r="CA406" s="121"/>
    </row>
    <row r="407" spans="40:79">
      <c r="AN407" s="121"/>
      <c r="AO407" s="124"/>
      <c r="AP407" s="124"/>
      <c r="AQ407" s="125"/>
      <c r="AR407" s="121"/>
      <c r="AS407" s="121"/>
      <c r="AT407" s="121"/>
      <c r="AU407" s="121"/>
      <c r="AV407" s="121"/>
      <c r="AW407" s="121"/>
      <c r="AX407" s="121"/>
      <c r="AY407" s="121"/>
      <c r="AZ407" s="121"/>
      <c r="BA407" s="121"/>
      <c r="BB407" s="121"/>
      <c r="BC407" s="121"/>
      <c r="BD407" s="121"/>
      <c r="BE407" s="121"/>
      <c r="BF407" s="121"/>
      <c r="BG407" s="121"/>
      <c r="BH407" s="121"/>
      <c r="BI407" s="121"/>
      <c r="BJ407" s="121"/>
      <c r="BK407" s="121"/>
      <c r="BL407" s="121"/>
      <c r="BM407" s="121"/>
      <c r="BN407" s="121"/>
      <c r="BO407" s="121"/>
      <c r="BP407" s="121"/>
      <c r="BQ407" s="121"/>
      <c r="BR407" s="121"/>
      <c r="BS407" s="121"/>
      <c r="BT407" s="121"/>
      <c r="BU407" s="121"/>
      <c r="BV407" s="121"/>
      <c r="BW407" s="121"/>
      <c r="BX407" s="121"/>
      <c r="BY407" s="121"/>
      <c r="BZ407" s="121"/>
      <c r="CA407" s="121"/>
    </row>
    <row r="408" spans="40:79">
      <c r="AN408" s="121"/>
      <c r="AO408" s="124"/>
      <c r="AP408" s="124"/>
      <c r="AQ408" s="125"/>
      <c r="AR408" s="121"/>
      <c r="AS408" s="121"/>
      <c r="AT408" s="121"/>
      <c r="AU408" s="121"/>
      <c r="AV408" s="121"/>
      <c r="AW408" s="121"/>
      <c r="AX408" s="121"/>
      <c r="AY408" s="121"/>
      <c r="AZ408" s="121"/>
      <c r="BA408" s="121"/>
      <c r="BB408" s="121"/>
      <c r="BC408" s="121"/>
      <c r="BD408" s="121"/>
      <c r="BE408" s="121"/>
      <c r="BF408" s="121"/>
      <c r="BG408" s="121"/>
      <c r="BH408" s="121"/>
      <c r="BI408" s="121"/>
      <c r="BJ408" s="121"/>
      <c r="BK408" s="121"/>
      <c r="BL408" s="121"/>
      <c r="BM408" s="121"/>
      <c r="BN408" s="121"/>
      <c r="BO408" s="121"/>
      <c r="BP408" s="121"/>
      <c r="BQ408" s="121"/>
      <c r="BR408" s="121"/>
      <c r="BS408" s="121"/>
      <c r="BT408" s="121"/>
      <c r="BU408" s="121"/>
      <c r="BV408" s="121"/>
      <c r="BW408" s="121"/>
      <c r="BX408" s="121"/>
      <c r="BY408" s="121"/>
      <c r="BZ408" s="121"/>
      <c r="CA408" s="121"/>
    </row>
    <row r="409" spans="40:79">
      <c r="AN409" s="121"/>
      <c r="AO409" s="124"/>
      <c r="AP409" s="124"/>
      <c r="AQ409" s="125"/>
      <c r="AR409" s="121"/>
      <c r="AS409" s="121"/>
      <c r="AT409" s="121"/>
      <c r="AU409" s="121"/>
      <c r="AV409" s="121"/>
      <c r="AW409" s="121"/>
      <c r="AX409" s="121"/>
      <c r="AY409" s="121"/>
      <c r="AZ409" s="121"/>
      <c r="BA409" s="121"/>
      <c r="BB409" s="121"/>
      <c r="BC409" s="121"/>
      <c r="BD409" s="121"/>
      <c r="BE409" s="121"/>
      <c r="BF409" s="121"/>
      <c r="BG409" s="121"/>
      <c r="BH409" s="121"/>
      <c r="BI409" s="121"/>
      <c r="BJ409" s="121"/>
      <c r="BK409" s="121"/>
      <c r="BL409" s="121"/>
      <c r="BM409" s="121"/>
      <c r="BN409" s="121"/>
      <c r="BO409" s="121"/>
      <c r="BP409" s="121"/>
      <c r="BQ409" s="121"/>
      <c r="BR409" s="121"/>
      <c r="BS409" s="121"/>
      <c r="BT409" s="121"/>
      <c r="BU409" s="121"/>
      <c r="BV409" s="121"/>
      <c r="BW409" s="121"/>
      <c r="BX409" s="121"/>
      <c r="BY409" s="121"/>
      <c r="BZ409" s="121"/>
      <c r="CA409" s="121"/>
    </row>
    <row r="410" spans="40:79">
      <c r="AN410" s="121"/>
      <c r="AO410" s="124"/>
      <c r="AP410" s="124"/>
      <c r="AQ410" s="121"/>
      <c r="AR410" s="124"/>
      <c r="AS410" s="124"/>
      <c r="AT410" s="124"/>
      <c r="AU410" s="121"/>
      <c r="AV410" s="121"/>
      <c r="AW410" s="121"/>
      <c r="AX410" s="121"/>
      <c r="AY410" s="121"/>
      <c r="AZ410" s="121"/>
      <c r="BA410" s="121"/>
      <c r="BB410" s="121"/>
      <c r="BC410" s="121"/>
      <c r="BD410" s="121"/>
      <c r="BE410" s="121"/>
      <c r="BF410" s="121"/>
      <c r="BG410" s="121"/>
      <c r="BH410" s="121"/>
      <c r="BI410" s="121"/>
      <c r="BJ410" s="121"/>
      <c r="BK410" s="121"/>
      <c r="BL410" s="121"/>
      <c r="BM410" s="121"/>
      <c r="BN410" s="121"/>
      <c r="BO410" s="121"/>
      <c r="BP410" s="121"/>
      <c r="BQ410" s="121"/>
      <c r="BR410" s="121"/>
      <c r="BS410" s="121"/>
      <c r="BT410" s="121"/>
      <c r="BU410" s="121"/>
      <c r="BV410" s="121"/>
      <c r="BW410" s="121"/>
      <c r="BX410" s="121"/>
      <c r="BY410" s="121"/>
      <c r="BZ410" s="121"/>
      <c r="CA410" s="121"/>
    </row>
    <row r="411" spans="40:79">
      <c r="AN411" s="121"/>
      <c r="AO411" s="121"/>
      <c r="AP411" s="121"/>
      <c r="AQ411" s="121"/>
      <c r="AR411" s="121"/>
      <c r="AS411" s="121"/>
      <c r="AT411" s="121"/>
      <c r="AU411" s="121"/>
      <c r="AV411" s="121"/>
      <c r="AW411" s="121"/>
      <c r="AX411" s="121"/>
      <c r="AY411" s="121"/>
      <c r="AZ411" s="121"/>
      <c r="BA411" s="121"/>
      <c r="BB411" s="121"/>
      <c r="BC411" s="121"/>
      <c r="BD411" s="121"/>
      <c r="BE411" s="121"/>
      <c r="BF411" s="121"/>
      <c r="BG411" s="121"/>
      <c r="BH411" s="121"/>
      <c r="BI411" s="121"/>
      <c r="BJ411" s="121"/>
      <c r="BK411" s="121"/>
      <c r="BL411" s="121"/>
      <c r="BM411" s="121"/>
      <c r="BN411" s="121"/>
      <c r="BO411" s="121"/>
      <c r="BP411" s="121"/>
      <c r="BQ411" s="121"/>
      <c r="BR411" s="121"/>
      <c r="BS411" s="121"/>
      <c r="BT411" s="121"/>
      <c r="BU411" s="121"/>
      <c r="BV411" s="121"/>
      <c r="BW411" s="121"/>
      <c r="BX411" s="121"/>
      <c r="BY411" s="121"/>
      <c r="BZ411" s="121"/>
      <c r="CA411" s="121"/>
    </row>
    <row r="412" spans="40:79">
      <c r="AN412" s="121"/>
      <c r="AO412" s="122"/>
      <c r="AP412" s="122"/>
      <c r="AQ412" s="121"/>
      <c r="AR412" s="123"/>
      <c r="AS412" s="123"/>
      <c r="AT412" s="123"/>
      <c r="AU412" s="123"/>
      <c r="AV412" s="123"/>
      <c r="AW412" s="123"/>
      <c r="AX412" s="123"/>
      <c r="AY412" s="123"/>
      <c r="AZ412" s="123"/>
      <c r="BA412" s="123"/>
      <c r="BB412" s="123"/>
      <c r="BC412" s="123"/>
      <c r="BD412" s="123"/>
      <c r="BE412" s="123"/>
      <c r="BF412" s="123"/>
      <c r="BG412" s="123"/>
      <c r="BH412" s="123"/>
      <c r="BI412" s="123"/>
      <c r="BJ412" s="123"/>
      <c r="BK412" s="123"/>
      <c r="BL412" s="123"/>
      <c r="BM412" s="123"/>
      <c r="BN412" s="123"/>
      <c r="BO412" s="123"/>
      <c r="BP412" s="123"/>
      <c r="BQ412" s="123"/>
      <c r="BR412" s="123"/>
      <c r="BS412" s="123"/>
      <c r="BT412" s="123"/>
      <c r="BU412" s="123"/>
      <c r="BV412" s="123"/>
      <c r="BW412" s="123"/>
      <c r="BX412" s="123"/>
      <c r="BY412" s="123"/>
      <c r="BZ412" s="123"/>
      <c r="CA412" s="123"/>
    </row>
    <row r="413" spans="40:79">
      <c r="AN413" s="121"/>
      <c r="AO413" s="122"/>
      <c r="AP413" s="122"/>
      <c r="AQ413" s="121"/>
      <c r="AR413" s="121"/>
      <c r="AS413" s="121"/>
      <c r="AT413" s="121"/>
      <c r="AU413" s="121"/>
      <c r="AV413" s="121"/>
      <c r="AW413" s="121"/>
      <c r="AX413" s="121"/>
      <c r="AY413" s="121"/>
      <c r="AZ413" s="121"/>
      <c r="BA413" s="121"/>
      <c r="BB413" s="121"/>
      <c r="BC413" s="121"/>
      <c r="BD413" s="121"/>
      <c r="BE413" s="121"/>
      <c r="BF413" s="121"/>
      <c r="BG413" s="121"/>
      <c r="BH413" s="121"/>
      <c r="BI413" s="121"/>
      <c r="BJ413" s="121"/>
      <c r="BK413" s="121"/>
      <c r="BL413" s="121"/>
      <c r="BM413" s="121"/>
      <c r="BN413" s="121"/>
      <c r="BO413" s="121"/>
      <c r="BP413" s="121"/>
      <c r="BQ413" s="121"/>
      <c r="BR413" s="121"/>
      <c r="BS413" s="121"/>
      <c r="BT413" s="121"/>
      <c r="BU413" s="121"/>
      <c r="BV413" s="121"/>
      <c r="BW413" s="121"/>
      <c r="BX413" s="121"/>
      <c r="BY413" s="121"/>
      <c r="BZ413" s="121"/>
      <c r="CA413" s="121"/>
    </row>
    <row r="414" spans="40:79">
      <c r="AN414" s="121"/>
      <c r="AO414" s="124"/>
      <c r="AP414" s="124"/>
      <c r="AQ414" s="125"/>
      <c r="AR414" s="121"/>
      <c r="AS414" s="121"/>
      <c r="AT414" s="121"/>
      <c r="AU414" s="121"/>
      <c r="AV414" s="121"/>
      <c r="AW414" s="121"/>
      <c r="AX414" s="121"/>
      <c r="AY414" s="121"/>
      <c r="AZ414" s="121"/>
      <c r="BA414" s="121"/>
      <c r="BB414" s="121"/>
      <c r="BC414" s="121"/>
      <c r="BD414" s="121"/>
      <c r="BE414" s="121"/>
      <c r="BF414" s="121"/>
      <c r="BG414" s="121"/>
      <c r="BH414" s="121"/>
      <c r="BI414" s="121"/>
      <c r="BJ414" s="121"/>
      <c r="BK414" s="121"/>
      <c r="BL414" s="121"/>
      <c r="BM414" s="121"/>
      <c r="BN414" s="121"/>
      <c r="BO414" s="121"/>
      <c r="BP414" s="121"/>
      <c r="BQ414" s="121"/>
      <c r="BR414" s="121"/>
      <c r="BS414" s="121"/>
      <c r="BT414" s="121"/>
      <c r="BU414" s="121"/>
      <c r="BV414" s="121"/>
      <c r="BW414" s="121"/>
      <c r="BX414" s="121"/>
      <c r="BY414" s="121"/>
      <c r="BZ414" s="121"/>
      <c r="CA414" s="121"/>
    </row>
    <row r="415" spans="40:79">
      <c r="AN415" s="121"/>
      <c r="AO415" s="124"/>
      <c r="AP415" s="124"/>
      <c r="AQ415" s="125"/>
      <c r="AR415" s="121"/>
      <c r="AS415" s="121"/>
      <c r="AT415" s="121"/>
      <c r="AU415" s="121"/>
      <c r="AV415" s="121"/>
      <c r="AW415" s="121"/>
      <c r="AX415" s="121"/>
      <c r="AY415" s="121"/>
      <c r="AZ415" s="121"/>
      <c r="BA415" s="121"/>
      <c r="BB415" s="121"/>
      <c r="BC415" s="121"/>
      <c r="BD415" s="121"/>
      <c r="BE415" s="121"/>
      <c r="BF415" s="121"/>
      <c r="BG415" s="121"/>
      <c r="BH415" s="121"/>
      <c r="BI415" s="121"/>
      <c r="BJ415" s="121"/>
      <c r="BK415" s="121"/>
      <c r="BL415" s="121"/>
      <c r="BM415" s="121"/>
      <c r="BN415" s="121"/>
      <c r="BO415" s="121"/>
      <c r="BP415" s="121"/>
      <c r="BQ415" s="121"/>
      <c r="BR415" s="121"/>
      <c r="BS415" s="121"/>
      <c r="BT415" s="121"/>
      <c r="BU415" s="121"/>
      <c r="BV415" s="121"/>
      <c r="BW415" s="121"/>
      <c r="BX415" s="121"/>
      <c r="BY415" s="121"/>
      <c r="BZ415" s="121"/>
      <c r="CA415" s="121"/>
    </row>
    <row r="416" spans="40:79">
      <c r="AN416" s="121"/>
      <c r="AO416" s="124"/>
      <c r="AP416" s="124"/>
      <c r="AQ416" s="125"/>
      <c r="AR416" s="121"/>
      <c r="AS416" s="121"/>
      <c r="AT416" s="121"/>
      <c r="AU416" s="121"/>
      <c r="AV416" s="121"/>
      <c r="AW416" s="121"/>
      <c r="AX416" s="121"/>
      <c r="AY416" s="121"/>
      <c r="AZ416" s="121"/>
      <c r="BA416" s="121"/>
      <c r="BB416" s="121"/>
      <c r="BC416" s="121"/>
      <c r="BD416" s="121"/>
      <c r="BE416" s="121"/>
      <c r="BF416" s="121"/>
      <c r="BG416" s="121"/>
      <c r="BH416" s="121"/>
      <c r="BI416" s="121"/>
      <c r="BJ416" s="121"/>
      <c r="BK416" s="121"/>
      <c r="BL416" s="121"/>
      <c r="BM416" s="121"/>
      <c r="BN416" s="121"/>
      <c r="BO416" s="121"/>
      <c r="BP416" s="121"/>
      <c r="BQ416" s="121"/>
      <c r="BR416" s="121"/>
      <c r="BS416" s="121"/>
      <c r="BT416" s="121"/>
      <c r="BU416" s="121"/>
      <c r="BV416" s="121"/>
      <c r="BW416" s="121"/>
      <c r="BX416" s="121"/>
      <c r="BY416" s="121"/>
      <c r="BZ416" s="121"/>
      <c r="CA416" s="121"/>
    </row>
    <row r="417" spans="40:79">
      <c r="AN417" s="121"/>
      <c r="AO417" s="124"/>
      <c r="AP417" s="124"/>
      <c r="AQ417" s="125"/>
      <c r="AR417" s="121"/>
      <c r="AS417" s="121"/>
      <c r="AT417" s="121"/>
      <c r="AU417" s="121"/>
      <c r="AV417" s="121"/>
      <c r="AW417" s="121"/>
      <c r="AX417" s="121"/>
      <c r="AY417" s="121"/>
      <c r="AZ417" s="121"/>
      <c r="BA417" s="121"/>
      <c r="BB417" s="121"/>
      <c r="BC417" s="121"/>
      <c r="BD417" s="121"/>
      <c r="BE417" s="121"/>
      <c r="BF417" s="121"/>
      <c r="BG417" s="121"/>
      <c r="BH417" s="121"/>
      <c r="BI417" s="121"/>
      <c r="BJ417" s="121"/>
      <c r="BK417" s="121"/>
      <c r="BL417" s="121"/>
      <c r="BM417" s="121"/>
      <c r="BN417" s="121"/>
      <c r="BO417" s="121"/>
      <c r="BP417" s="121"/>
      <c r="BQ417" s="121"/>
      <c r="BR417" s="121"/>
      <c r="BS417" s="121"/>
      <c r="BT417" s="121"/>
      <c r="BU417" s="121"/>
      <c r="BV417" s="121"/>
      <c r="BW417" s="121"/>
      <c r="BX417" s="121"/>
      <c r="BY417" s="121"/>
      <c r="BZ417" s="121"/>
      <c r="CA417" s="121"/>
    </row>
    <row r="418" spans="40:79">
      <c r="AN418" s="121"/>
      <c r="AO418" s="124"/>
      <c r="AP418" s="124"/>
      <c r="AQ418" s="125"/>
      <c r="AR418" s="121"/>
      <c r="AS418" s="121"/>
      <c r="AT418" s="121"/>
      <c r="AU418" s="121"/>
      <c r="AV418" s="121"/>
      <c r="AW418" s="121"/>
      <c r="AX418" s="121"/>
      <c r="AY418" s="121"/>
      <c r="AZ418" s="121"/>
      <c r="BA418" s="121"/>
      <c r="BB418" s="121"/>
      <c r="BC418" s="121"/>
      <c r="BD418" s="121"/>
      <c r="BE418" s="121"/>
      <c r="BF418" s="121"/>
      <c r="BG418" s="121"/>
      <c r="BH418" s="121"/>
      <c r="BI418" s="121"/>
      <c r="BJ418" s="121"/>
      <c r="BK418" s="121"/>
      <c r="BL418" s="121"/>
      <c r="BM418" s="121"/>
      <c r="BN418" s="121"/>
      <c r="BO418" s="121"/>
      <c r="BP418" s="121"/>
      <c r="BQ418" s="121"/>
      <c r="BR418" s="121"/>
      <c r="BS418" s="121"/>
      <c r="BT418" s="121"/>
      <c r="BU418" s="121"/>
      <c r="BV418" s="121"/>
      <c r="BW418" s="121"/>
      <c r="BX418" s="121"/>
      <c r="BY418" s="121"/>
      <c r="BZ418" s="121"/>
      <c r="CA418" s="121"/>
    </row>
    <row r="419" spans="40:79">
      <c r="AN419" s="121"/>
      <c r="AO419" s="124"/>
      <c r="AP419" s="124"/>
      <c r="AQ419" s="125"/>
      <c r="AR419" s="121"/>
      <c r="AS419" s="121"/>
      <c r="AT419" s="121"/>
      <c r="AU419" s="121"/>
      <c r="AV419" s="121"/>
      <c r="AW419" s="121"/>
      <c r="AX419" s="121"/>
      <c r="AY419" s="121"/>
      <c r="AZ419" s="121"/>
      <c r="BA419" s="121"/>
      <c r="BB419" s="121"/>
      <c r="BC419" s="121"/>
      <c r="BD419" s="121"/>
      <c r="BE419" s="121"/>
      <c r="BF419" s="121"/>
      <c r="BG419" s="121"/>
      <c r="BH419" s="121"/>
      <c r="BI419" s="121"/>
      <c r="BJ419" s="121"/>
      <c r="BK419" s="121"/>
      <c r="BL419" s="121"/>
      <c r="BM419" s="121"/>
      <c r="BN419" s="121"/>
      <c r="BO419" s="121"/>
      <c r="BP419" s="121"/>
      <c r="BQ419" s="121"/>
      <c r="BR419" s="121"/>
      <c r="BS419" s="121"/>
      <c r="BT419" s="121"/>
      <c r="BU419" s="121"/>
      <c r="BV419" s="121"/>
      <c r="BW419" s="121"/>
      <c r="BX419" s="121"/>
      <c r="BY419" s="121"/>
      <c r="BZ419" s="121"/>
      <c r="CA419" s="121"/>
    </row>
    <row r="420" spans="40:79">
      <c r="AN420" s="121"/>
      <c r="AO420" s="124"/>
      <c r="AP420" s="124"/>
      <c r="AQ420" s="121"/>
      <c r="AR420" s="124"/>
      <c r="AS420" s="124"/>
      <c r="AT420" s="124"/>
      <c r="AU420" s="121"/>
      <c r="AV420" s="121"/>
      <c r="AW420" s="121"/>
      <c r="AX420" s="121"/>
      <c r="AY420" s="121"/>
      <c r="AZ420" s="121"/>
      <c r="BA420" s="121"/>
      <c r="BB420" s="121"/>
      <c r="BC420" s="121"/>
      <c r="BD420" s="121"/>
      <c r="BE420" s="121"/>
      <c r="BF420" s="121"/>
      <c r="BG420" s="121"/>
      <c r="BH420" s="121"/>
      <c r="BI420" s="121"/>
      <c r="BJ420" s="121"/>
      <c r="BK420" s="121"/>
      <c r="BL420" s="121"/>
      <c r="BM420" s="121"/>
      <c r="BN420" s="121"/>
      <c r="BO420" s="121"/>
      <c r="BP420" s="121"/>
      <c r="BQ420" s="121"/>
      <c r="BR420" s="121"/>
      <c r="BS420" s="121"/>
      <c r="BT420" s="121"/>
      <c r="BU420" s="121"/>
      <c r="BV420" s="121"/>
      <c r="BW420" s="121"/>
      <c r="BX420" s="121"/>
      <c r="BY420" s="121"/>
      <c r="BZ420" s="121"/>
      <c r="CA420" s="121"/>
    </row>
    <row r="421" spans="40:79">
      <c r="AN421" s="121"/>
      <c r="AO421" s="121"/>
      <c r="AP421" s="121"/>
      <c r="AQ421" s="121"/>
      <c r="AR421" s="121"/>
      <c r="AS421" s="121"/>
      <c r="AT421" s="121"/>
      <c r="AU421" s="121"/>
      <c r="AV421" s="121"/>
      <c r="AW421" s="121"/>
      <c r="AX421" s="121"/>
      <c r="AY421" s="121"/>
      <c r="AZ421" s="121"/>
      <c r="BA421" s="121"/>
      <c r="BB421" s="121"/>
      <c r="BC421" s="121"/>
      <c r="BD421" s="121"/>
      <c r="BE421" s="121"/>
      <c r="BF421" s="121"/>
      <c r="BG421" s="121"/>
      <c r="BH421" s="121"/>
      <c r="BI421" s="121"/>
      <c r="BJ421" s="121"/>
      <c r="BK421" s="121"/>
      <c r="BL421" s="121"/>
      <c r="BM421" s="121"/>
      <c r="BN421" s="121"/>
      <c r="BO421" s="121"/>
      <c r="BP421" s="121"/>
      <c r="BQ421" s="121"/>
      <c r="BR421" s="121"/>
      <c r="BS421" s="121"/>
      <c r="BT421" s="121"/>
      <c r="BU421" s="121"/>
      <c r="BV421" s="121"/>
      <c r="BW421" s="121"/>
      <c r="BX421" s="121"/>
      <c r="BY421" s="121"/>
      <c r="BZ421" s="121"/>
      <c r="CA421" s="121"/>
    </row>
    <row r="422" spans="40:79">
      <c r="AN422" s="121"/>
      <c r="AO422" s="122"/>
      <c r="AP422" s="122"/>
      <c r="AQ422" s="121"/>
      <c r="AR422" s="123"/>
      <c r="AS422" s="123"/>
      <c r="AT422" s="123"/>
      <c r="AU422" s="123"/>
      <c r="AV422" s="123"/>
      <c r="AW422" s="123"/>
      <c r="AX422" s="123"/>
      <c r="AY422" s="123"/>
      <c r="AZ422" s="123"/>
      <c r="BA422" s="123"/>
      <c r="BB422" s="123"/>
      <c r="BC422" s="123"/>
      <c r="BD422" s="123"/>
      <c r="BE422" s="123"/>
      <c r="BF422" s="123"/>
      <c r="BG422" s="123"/>
      <c r="BH422" s="123"/>
      <c r="BI422" s="123"/>
      <c r="BJ422" s="123"/>
      <c r="BK422" s="123"/>
      <c r="BL422" s="123"/>
      <c r="BM422" s="123"/>
      <c r="BN422" s="123"/>
      <c r="BO422" s="123"/>
      <c r="BP422" s="123"/>
      <c r="BQ422" s="123"/>
      <c r="BR422" s="123"/>
      <c r="BS422" s="123"/>
      <c r="BT422" s="123"/>
      <c r="BU422" s="123"/>
      <c r="BV422" s="123"/>
      <c r="BW422" s="123"/>
      <c r="BX422" s="123"/>
      <c r="BY422" s="123"/>
      <c r="BZ422" s="123"/>
      <c r="CA422" s="123"/>
    </row>
    <row r="423" spans="40:79">
      <c r="AN423" s="121"/>
      <c r="AO423" s="122"/>
      <c r="AP423" s="122"/>
      <c r="AQ423" s="121"/>
      <c r="AR423" s="121"/>
      <c r="AS423" s="121"/>
      <c r="AT423" s="121"/>
      <c r="AU423" s="121"/>
      <c r="AV423" s="121"/>
      <c r="AW423" s="121"/>
      <c r="AX423" s="121"/>
      <c r="AY423" s="121"/>
      <c r="AZ423" s="121"/>
      <c r="BA423" s="121"/>
      <c r="BB423" s="121"/>
      <c r="BC423" s="121"/>
      <c r="BD423" s="121"/>
      <c r="BE423" s="121"/>
      <c r="BF423" s="121"/>
      <c r="BG423" s="121"/>
      <c r="BH423" s="121"/>
      <c r="BI423" s="121"/>
      <c r="BJ423" s="121"/>
      <c r="BK423" s="121"/>
      <c r="BL423" s="121"/>
      <c r="BM423" s="121"/>
      <c r="BN423" s="121"/>
      <c r="BO423" s="121"/>
      <c r="BP423" s="121"/>
      <c r="BQ423" s="121"/>
      <c r="BR423" s="121"/>
      <c r="BS423" s="121"/>
      <c r="BT423" s="121"/>
      <c r="BU423" s="121"/>
      <c r="BV423" s="121"/>
      <c r="BW423" s="121"/>
      <c r="BX423" s="121"/>
      <c r="BY423" s="121"/>
      <c r="BZ423" s="121"/>
      <c r="CA423" s="121"/>
    </row>
    <row r="424" spans="40:79">
      <c r="AN424" s="121"/>
      <c r="AO424" s="124"/>
      <c r="AP424" s="124"/>
      <c r="AQ424" s="125"/>
      <c r="AR424" s="121"/>
      <c r="AS424" s="121"/>
      <c r="AT424" s="121"/>
      <c r="AU424" s="121"/>
      <c r="AV424" s="121"/>
      <c r="AW424" s="121"/>
      <c r="AX424" s="121"/>
      <c r="AY424" s="121"/>
      <c r="AZ424" s="121"/>
      <c r="BA424" s="121"/>
      <c r="BB424" s="121"/>
      <c r="BC424" s="121"/>
      <c r="BD424" s="121"/>
      <c r="BE424" s="121"/>
      <c r="BF424" s="121"/>
      <c r="BG424" s="121"/>
      <c r="BH424" s="121"/>
      <c r="BI424" s="121"/>
      <c r="BJ424" s="121"/>
      <c r="BK424" s="121"/>
      <c r="BL424" s="121"/>
      <c r="BM424" s="121"/>
      <c r="BN424" s="121"/>
      <c r="BO424" s="121"/>
      <c r="BP424" s="121"/>
      <c r="BQ424" s="121"/>
      <c r="BR424" s="121"/>
      <c r="BS424" s="121"/>
      <c r="BT424" s="121"/>
      <c r="BU424" s="121"/>
      <c r="BV424" s="121"/>
      <c r="BW424" s="121"/>
      <c r="BX424" s="121"/>
      <c r="BY424" s="121"/>
      <c r="BZ424" s="121"/>
      <c r="CA424" s="121"/>
    </row>
    <row r="425" spans="40:79">
      <c r="AN425" s="121"/>
      <c r="AO425" s="124"/>
      <c r="AP425" s="124"/>
      <c r="AQ425" s="125"/>
      <c r="AR425" s="121"/>
      <c r="AS425" s="121"/>
      <c r="AT425" s="121"/>
      <c r="AU425" s="121"/>
      <c r="AV425" s="121"/>
      <c r="AW425" s="121"/>
      <c r="AX425" s="121"/>
      <c r="AY425" s="121"/>
      <c r="AZ425" s="121"/>
      <c r="BA425" s="121"/>
      <c r="BB425" s="121"/>
      <c r="BC425" s="121"/>
      <c r="BD425" s="121"/>
      <c r="BE425" s="121"/>
      <c r="BF425" s="121"/>
      <c r="BG425" s="121"/>
      <c r="BH425" s="121"/>
      <c r="BI425" s="121"/>
      <c r="BJ425" s="121"/>
      <c r="BK425" s="121"/>
      <c r="BL425" s="121"/>
      <c r="BM425" s="121"/>
      <c r="BN425" s="121"/>
      <c r="BO425" s="121"/>
      <c r="BP425" s="121"/>
      <c r="BQ425" s="121"/>
      <c r="BR425" s="121"/>
      <c r="BS425" s="121"/>
      <c r="BT425" s="121"/>
      <c r="BU425" s="121"/>
      <c r="BV425" s="121"/>
      <c r="BW425" s="121"/>
      <c r="BX425" s="121"/>
      <c r="BY425" s="121"/>
      <c r="BZ425" s="121"/>
      <c r="CA425" s="121"/>
    </row>
    <row r="426" spans="40:79">
      <c r="AN426" s="121"/>
      <c r="AO426" s="124"/>
      <c r="AP426" s="124"/>
      <c r="AQ426" s="125"/>
      <c r="AR426" s="121"/>
      <c r="AS426" s="121"/>
      <c r="AT426" s="121"/>
      <c r="AU426" s="121"/>
      <c r="AV426" s="121"/>
      <c r="AW426" s="121"/>
      <c r="AX426" s="121"/>
      <c r="AY426" s="121"/>
      <c r="AZ426" s="121"/>
      <c r="BA426" s="121"/>
      <c r="BB426" s="121"/>
      <c r="BC426" s="121"/>
      <c r="BD426" s="121"/>
      <c r="BE426" s="121"/>
      <c r="BF426" s="121"/>
      <c r="BG426" s="121"/>
      <c r="BH426" s="121"/>
      <c r="BI426" s="121"/>
      <c r="BJ426" s="121"/>
      <c r="BK426" s="121"/>
      <c r="BL426" s="121"/>
      <c r="BM426" s="121"/>
      <c r="BN426" s="121"/>
      <c r="BO426" s="121"/>
      <c r="BP426" s="121"/>
      <c r="BQ426" s="121"/>
      <c r="BR426" s="121"/>
      <c r="BS426" s="121"/>
      <c r="BT426" s="121"/>
      <c r="BU426" s="121"/>
      <c r="BV426" s="121"/>
      <c r="BW426" s="121"/>
      <c r="BX426" s="121"/>
      <c r="BY426" s="121"/>
      <c r="BZ426" s="121"/>
      <c r="CA426" s="121"/>
    </row>
    <row r="427" spans="40:79">
      <c r="AN427" s="121"/>
      <c r="AO427" s="124"/>
      <c r="AP427" s="124"/>
      <c r="AQ427" s="125"/>
      <c r="AR427" s="121"/>
      <c r="AS427" s="121"/>
      <c r="AT427" s="121"/>
      <c r="AU427" s="121"/>
      <c r="AV427" s="121"/>
      <c r="AW427" s="121"/>
      <c r="AX427" s="121"/>
      <c r="AY427" s="121"/>
      <c r="AZ427" s="121"/>
      <c r="BA427" s="121"/>
      <c r="BB427" s="121"/>
      <c r="BC427" s="121"/>
      <c r="BD427" s="121"/>
      <c r="BE427" s="121"/>
      <c r="BF427" s="121"/>
      <c r="BG427" s="121"/>
      <c r="BH427" s="121"/>
      <c r="BI427" s="121"/>
      <c r="BJ427" s="121"/>
      <c r="BK427" s="121"/>
      <c r="BL427" s="121"/>
      <c r="BM427" s="121"/>
      <c r="BN427" s="121"/>
      <c r="BO427" s="121"/>
      <c r="BP427" s="121"/>
      <c r="BQ427" s="121"/>
      <c r="BR427" s="121"/>
      <c r="BS427" s="121"/>
      <c r="BT427" s="121"/>
      <c r="BU427" s="121"/>
      <c r="BV427" s="121"/>
      <c r="BW427" s="121"/>
      <c r="BX427" s="121"/>
      <c r="BY427" s="121"/>
      <c r="BZ427" s="121"/>
      <c r="CA427" s="121"/>
    </row>
    <row r="428" spans="40:79">
      <c r="AN428" s="121"/>
      <c r="AO428" s="124"/>
      <c r="AP428" s="124"/>
      <c r="AQ428" s="125"/>
      <c r="AR428" s="121"/>
      <c r="AS428" s="121"/>
      <c r="AT428" s="121"/>
      <c r="AU428" s="121"/>
      <c r="AV428" s="121"/>
      <c r="AW428" s="121"/>
      <c r="AX428" s="121"/>
      <c r="AY428" s="121"/>
      <c r="AZ428" s="121"/>
      <c r="BA428" s="121"/>
      <c r="BB428" s="121"/>
      <c r="BC428" s="121"/>
      <c r="BD428" s="121"/>
      <c r="BE428" s="121"/>
      <c r="BF428" s="121"/>
      <c r="BG428" s="121"/>
      <c r="BH428" s="121"/>
      <c r="BI428" s="121"/>
      <c r="BJ428" s="121"/>
      <c r="BK428" s="121"/>
      <c r="BL428" s="121"/>
      <c r="BM428" s="121"/>
      <c r="BN428" s="121"/>
      <c r="BO428" s="121"/>
      <c r="BP428" s="121"/>
      <c r="BQ428" s="121"/>
      <c r="BR428" s="121"/>
      <c r="BS428" s="121"/>
      <c r="BT428" s="121"/>
      <c r="BU428" s="121"/>
      <c r="BV428" s="121"/>
      <c r="BW428" s="121"/>
      <c r="BX428" s="121"/>
      <c r="BY428" s="121"/>
      <c r="BZ428" s="121"/>
      <c r="CA428" s="121"/>
    </row>
    <row r="429" spans="40:79">
      <c r="AN429" s="121"/>
      <c r="AO429" s="124"/>
      <c r="AP429" s="124"/>
      <c r="AQ429" s="125"/>
      <c r="AR429" s="121"/>
      <c r="AS429" s="121"/>
      <c r="AT429" s="121"/>
      <c r="AU429" s="121"/>
      <c r="AV429" s="121"/>
      <c r="AW429" s="121"/>
      <c r="AX429" s="121"/>
      <c r="AY429" s="121"/>
      <c r="AZ429" s="121"/>
      <c r="BA429" s="121"/>
      <c r="BB429" s="121"/>
      <c r="BC429" s="121"/>
      <c r="BD429" s="121"/>
      <c r="BE429" s="121"/>
      <c r="BF429" s="121"/>
      <c r="BG429" s="121"/>
      <c r="BH429" s="121"/>
      <c r="BI429" s="121"/>
      <c r="BJ429" s="121"/>
      <c r="BK429" s="121"/>
      <c r="BL429" s="121"/>
      <c r="BM429" s="121"/>
      <c r="BN429" s="121"/>
      <c r="BO429" s="121"/>
      <c r="BP429" s="121"/>
      <c r="BQ429" s="121"/>
      <c r="BR429" s="121"/>
      <c r="BS429" s="121"/>
      <c r="BT429" s="121"/>
      <c r="BU429" s="121"/>
      <c r="BV429" s="121"/>
      <c r="BW429" s="121"/>
      <c r="BX429" s="121"/>
      <c r="BY429" s="121"/>
      <c r="BZ429" s="121"/>
      <c r="CA429" s="121"/>
    </row>
    <row r="430" spans="40:79">
      <c r="AN430" s="121"/>
      <c r="AO430" s="124"/>
      <c r="AP430" s="124"/>
      <c r="AQ430" s="121"/>
      <c r="AR430" s="124"/>
      <c r="AS430" s="124"/>
      <c r="AT430" s="124"/>
      <c r="AU430" s="121"/>
      <c r="AV430" s="121"/>
      <c r="AW430" s="121"/>
      <c r="AX430" s="121"/>
      <c r="AY430" s="121"/>
      <c r="AZ430" s="121"/>
      <c r="BA430" s="121"/>
      <c r="BB430" s="121"/>
      <c r="BC430" s="121"/>
      <c r="BD430" s="121"/>
      <c r="BE430" s="121"/>
      <c r="BF430" s="121"/>
      <c r="BG430" s="121"/>
      <c r="BH430" s="121"/>
      <c r="BI430" s="121"/>
      <c r="BJ430" s="121"/>
      <c r="BK430" s="121"/>
      <c r="BL430" s="121"/>
      <c r="BM430" s="121"/>
      <c r="BN430" s="121"/>
      <c r="BO430" s="121"/>
      <c r="BP430" s="121"/>
      <c r="BQ430" s="121"/>
      <c r="BR430" s="121"/>
      <c r="BS430" s="121"/>
      <c r="BT430" s="121"/>
      <c r="BU430" s="121"/>
      <c r="BV430" s="121"/>
      <c r="BW430" s="121"/>
      <c r="BX430" s="121"/>
      <c r="BY430" s="121"/>
      <c r="BZ430" s="121"/>
      <c r="CA430" s="121"/>
    </row>
    <row r="431" spans="40:79">
      <c r="AN431" s="121"/>
      <c r="AO431" s="121"/>
      <c r="AP431" s="121"/>
      <c r="AQ431" s="121"/>
      <c r="AR431" s="121"/>
      <c r="AS431" s="121"/>
      <c r="AT431" s="121"/>
      <c r="AU431" s="121"/>
      <c r="AV431" s="121"/>
      <c r="AW431" s="121"/>
      <c r="AX431" s="121"/>
      <c r="AY431" s="121"/>
      <c r="AZ431" s="121"/>
      <c r="BA431" s="121"/>
      <c r="BB431" s="121"/>
      <c r="BC431" s="121"/>
      <c r="BD431" s="121"/>
      <c r="BE431" s="121"/>
      <c r="BF431" s="121"/>
      <c r="BG431" s="121"/>
      <c r="BH431" s="121"/>
      <c r="BI431" s="121"/>
      <c r="BJ431" s="121"/>
      <c r="BK431" s="121"/>
      <c r="BL431" s="121"/>
      <c r="BM431" s="121"/>
      <c r="BN431" s="121"/>
      <c r="BO431" s="121"/>
      <c r="BP431" s="121"/>
      <c r="BQ431" s="121"/>
      <c r="BR431" s="121"/>
      <c r="BS431" s="121"/>
      <c r="BT431" s="121"/>
      <c r="BU431" s="121"/>
      <c r="BV431" s="121"/>
      <c r="BW431" s="121"/>
      <c r="BX431" s="121"/>
      <c r="BY431" s="121"/>
      <c r="BZ431" s="121"/>
      <c r="CA431" s="121"/>
    </row>
    <row r="432" spans="40:79">
      <c r="AN432" s="121"/>
      <c r="AO432" s="122"/>
      <c r="AP432" s="122"/>
      <c r="AQ432" s="121"/>
      <c r="AR432" s="123"/>
      <c r="AS432" s="123"/>
      <c r="AT432" s="123"/>
      <c r="AU432" s="123"/>
      <c r="AV432" s="123"/>
      <c r="AW432" s="123"/>
      <c r="AX432" s="123"/>
      <c r="AY432" s="123"/>
      <c r="AZ432" s="123"/>
      <c r="BA432" s="123"/>
      <c r="BB432" s="123"/>
      <c r="BC432" s="123"/>
      <c r="BD432" s="123"/>
      <c r="BE432" s="123"/>
      <c r="BF432" s="123"/>
      <c r="BG432" s="123"/>
      <c r="BH432" s="123"/>
      <c r="BI432" s="123"/>
      <c r="BJ432" s="123"/>
      <c r="BK432" s="123"/>
      <c r="BL432" s="123"/>
      <c r="BM432" s="123"/>
      <c r="BN432" s="123"/>
      <c r="BO432" s="123"/>
      <c r="BP432" s="123"/>
      <c r="BQ432" s="123"/>
      <c r="BR432" s="123"/>
      <c r="BS432" s="123"/>
      <c r="BT432" s="123"/>
      <c r="BU432" s="123"/>
      <c r="BV432" s="123"/>
      <c r="BW432" s="123"/>
      <c r="BX432" s="123"/>
      <c r="BY432" s="123"/>
      <c r="BZ432" s="123"/>
      <c r="CA432" s="123"/>
    </row>
    <row r="433" spans="40:79">
      <c r="AN433" s="121"/>
      <c r="AO433" s="122"/>
      <c r="AP433" s="122"/>
      <c r="AQ433" s="121"/>
      <c r="AR433" s="121"/>
      <c r="AS433" s="121"/>
      <c r="AT433" s="121"/>
      <c r="AU433" s="121"/>
      <c r="AV433" s="121"/>
      <c r="AW433" s="121"/>
      <c r="AX433" s="121"/>
      <c r="AY433" s="121"/>
      <c r="AZ433" s="121"/>
      <c r="BA433" s="121"/>
      <c r="BB433" s="121"/>
      <c r="BC433" s="121"/>
      <c r="BD433" s="121"/>
      <c r="BE433" s="121"/>
      <c r="BF433" s="121"/>
      <c r="BG433" s="121"/>
      <c r="BH433" s="121"/>
      <c r="BI433" s="121"/>
      <c r="BJ433" s="121"/>
      <c r="BK433" s="121"/>
      <c r="BL433" s="121"/>
      <c r="BM433" s="121"/>
      <c r="BN433" s="121"/>
      <c r="BO433" s="121"/>
      <c r="BP433" s="121"/>
      <c r="BQ433" s="121"/>
      <c r="BR433" s="121"/>
      <c r="BS433" s="121"/>
      <c r="BT433" s="121"/>
      <c r="BU433" s="121"/>
      <c r="BV433" s="121"/>
      <c r="BW433" s="121"/>
      <c r="BX433" s="121"/>
      <c r="BY433" s="121"/>
      <c r="BZ433" s="121"/>
      <c r="CA433" s="121"/>
    </row>
    <row r="434" spans="40:79">
      <c r="AN434" s="121"/>
      <c r="AO434" s="124"/>
      <c r="AP434" s="124"/>
      <c r="AQ434" s="125"/>
      <c r="AR434" s="121"/>
      <c r="AS434" s="121"/>
      <c r="AT434" s="121"/>
      <c r="AU434" s="121"/>
      <c r="AV434" s="121"/>
      <c r="AW434" s="121"/>
      <c r="AX434" s="121"/>
      <c r="AY434" s="121"/>
      <c r="AZ434" s="121"/>
      <c r="BA434" s="121"/>
      <c r="BB434" s="121"/>
      <c r="BC434" s="121"/>
      <c r="BD434" s="121"/>
      <c r="BE434" s="121"/>
      <c r="BF434" s="121"/>
      <c r="BG434" s="121"/>
      <c r="BH434" s="121"/>
      <c r="BI434" s="121"/>
      <c r="BJ434" s="121"/>
      <c r="BK434" s="121"/>
      <c r="BL434" s="121"/>
      <c r="BM434" s="121"/>
      <c r="BN434" s="121"/>
      <c r="BO434" s="121"/>
      <c r="BP434" s="121"/>
      <c r="BQ434" s="121"/>
      <c r="BR434" s="121"/>
      <c r="BS434" s="121"/>
      <c r="BT434" s="121"/>
      <c r="BU434" s="121"/>
      <c r="BV434" s="121"/>
      <c r="BW434" s="121"/>
      <c r="BX434" s="121"/>
      <c r="BY434" s="121"/>
      <c r="BZ434" s="121"/>
      <c r="CA434" s="121"/>
    </row>
    <row r="435" spans="40:79">
      <c r="AN435" s="121"/>
      <c r="AO435" s="124"/>
      <c r="AP435" s="124"/>
      <c r="AQ435" s="121"/>
      <c r="AR435" s="121"/>
      <c r="AS435" s="121"/>
      <c r="AT435" s="121"/>
      <c r="AU435" s="121"/>
      <c r="AV435" s="121"/>
      <c r="AW435" s="121"/>
      <c r="AX435" s="121"/>
      <c r="AY435" s="121"/>
      <c r="AZ435" s="121"/>
      <c r="BA435" s="121"/>
      <c r="BB435" s="121"/>
      <c r="BC435" s="121"/>
      <c r="BD435" s="121"/>
      <c r="BE435" s="121"/>
      <c r="BF435" s="121"/>
      <c r="BG435" s="121"/>
      <c r="BH435" s="121"/>
      <c r="BI435" s="121"/>
      <c r="BJ435" s="121"/>
      <c r="BK435" s="121"/>
      <c r="BL435" s="121"/>
      <c r="BM435" s="121"/>
      <c r="BN435" s="121"/>
      <c r="BO435" s="121"/>
      <c r="BP435" s="121"/>
      <c r="BQ435" s="121"/>
      <c r="BR435" s="121"/>
      <c r="BS435" s="121"/>
      <c r="BT435" s="121"/>
      <c r="BU435" s="121"/>
      <c r="BV435" s="121"/>
      <c r="BW435" s="121"/>
      <c r="BX435" s="121"/>
      <c r="BY435" s="121"/>
      <c r="BZ435" s="121"/>
      <c r="CA435" s="121"/>
    </row>
    <row r="436" spans="40:79">
      <c r="AN436" s="121"/>
      <c r="AO436" s="124"/>
      <c r="AP436" s="124"/>
      <c r="AQ436" s="121"/>
      <c r="AR436" s="121"/>
      <c r="AS436" s="121"/>
      <c r="AT436" s="121"/>
      <c r="AU436" s="121"/>
      <c r="AV436" s="121"/>
      <c r="AW436" s="121"/>
      <c r="AX436" s="121"/>
      <c r="AY436" s="121"/>
      <c r="AZ436" s="121"/>
      <c r="BA436" s="121"/>
      <c r="BB436" s="121"/>
      <c r="BC436" s="121"/>
      <c r="BD436" s="121"/>
      <c r="BE436" s="121"/>
      <c r="BF436" s="121"/>
      <c r="BG436" s="121"/>
      <c r="BH436" s="121"/>
      <c r="BI436" s="121"/>
      <c r="BJ436" s="121"/>
      <c r="BK436" s="121"/>
      <c r="BL436" s="121"/>
      <c r="BM436" s="121"/>
      <c r="BN436" s="121"/>
      <c r="BO436" s="121"/>
      <c r="BP436" s="121"/>
      <c r="BQ436" s="121"/>
      <c r="BR436" s="121"/>
      <c r="BS436" s="121"/>
      <c r="BT436" s="121"/>
      <c r="BU436" s="121"/>
      <c r="BV436" s="121"/>
      <c r="BW436" s="121"/>
      <c r="BX436" s="121"/>
      <c r="BY436" s="121"/>
      <c r="BZ436" s="121"/>
      <c r="CA436" s="121"/>
    </row>
    <row r="437" spans="40:79">
      <c r="AN437" s="121"/>
      <c r="AO437" s="124"/>
      <c r="AP437" s="124"/>
      <c r="AQ437" s="121"/>
      <c r="AR437" s="121"/>
      <c r="AS437" s="121"/>
      <c r="AT437" s="121"/>
      <c r="AU437" s="121"/>
      <c r="AV437" s="121"/>
      <c r="AW437" s="121"/>
      <c r="AX437" s="121"/>
      <c r="AY437" s="121"/>
      <c r="AZ437" s="121"/>
      <c r="BA437" s="121"/>
      <c r="BB437" s="121"/>
      <c r="BC437" s="121"/>
      <c r="BD437" s="121"/>
      <c r="BE437" s="121"/>
      <c r="BF437" s="121"/>
      <c r="BG437" s="121"/>
      <c r="BH437" s="121"/>
      <c r="BI437" s="121"/>
      <c r="BJ437" s="121"/>
      <c r="BK437" s="121"/>
      <c r="BL437" s="121"/>
      <c r="BM437" s="121"/>
      <c r="BN437" s="121"/>
      <c r="BO437" s="121"/>
      <c r="BP437" s="121"/>
      <c r="BQ437" s="121"/>
      <c r="BR437" s="121"/>
      <c r="BS437" s="121"/>
      <c r="BT437" s="121"/>
      <c r="BU437" s="121"/>
      <c r="BV437" s="121"/>
      <c r="BW437" s="121"/>
      <c r="BX437" s="121"/>
      <c r="BY437" s="121"/>
      <c r="BZ437" s="121"/>
      <c r="CA437" s="121"/>
    </row>
    <row r="438" spans="40:79">
      <c r="AN438" s="121"/>
      <c r="AO438" s="124"/>
      <c r="AP438" s="124"/>
      <c r="AQ438" s="121"/>
      <c r="AR438" s="121"/>
      <c r="AS438" s="121"/>
      <c r="AT438" s="121"/>
      <c r="AU438" s="121"/>
      <c r="AV438" s="121"/>
      <c r="AW438" s="121"/>
      <c r="AX438" s="121"/>
      <c r="AY438" s="121"/>
      <c r="AZ438" s="121"/>
      <c r="BA438" s="121"/>
      <c r="BB438" s="121"/>
      <c r="BC438" s="121"/>
      <c r="BD438" s="121"/>
      <c r="BE438" s="121"/>
      <c r="BF438" s="121"/>
      <c r="BG438" s="121"/>
      <c r="BH438" s="121"/>
      <c r="BI438" s="121"/>
      <c r="BJ438" s="121"/>
      <c r="BK438" s="121"/>
      <c r="BL438" s="121"/>
      <c r="BM438" s="121"/>
      <c r="BN438" s="121"/>
      <c r="BO438" s="121"/>
      <c r="BP438" s="121"/>
      <c r="BQ438" s="121"/>
      <c r="BR438" s="121"/>
      <c r="BS438" s="121"/>
      <c r="BT438" s="121"/>
      <c r="BU438" s="121"/>
      <c r="BV438" s="121"/>
      <c r="BW438" s="121"/>
      <c r="BX438" s="121"/>
      <c r="BY438" s="121"/>
      <c r="BZ438" s="121"/>
      <c r="CA438" s="121"/>
    </row>
    <row r="439" spans="40:79">
      <c r="AN439" s="121"/>
      <c r="AO439" s="124"/>
      <c r="AP439" s="124"/>
      <c r="AQ439" s="121"/>
      <c r="AR439" s="121"/>
      <c r="AS439" s="121"/>
      <c r="AT439" s="121"/>
      <c r="AU439" s="121"/>
      <c r="AV439" s="121"/>
      <c r="AW439" s="121"/>
      <c r="AX439" s="121"/>
      <c r="AY439" s="121"/>
      <c r="AZ439" s="121"/>
      <c r="BA439" s="121"/>
      <c r="BB439" s="121"/>
      <c r="BC439" s="121"/>
      <c r="BD439" s="121"/>
      <c r="BE439" s="121"/>
      <c r="BF439" s="121"/>
      <c r="BG439" s="121"/>
      <c r="BH439" s="121"/>
      <c r="BI439" s="121"/>
      <c r="BJ439" s="121"/>
      <c r="BK439" s="121"/>
      <c r="BL439" s="121"/>
      <c r="BM439" s="121"/>
      <c r="BN439" s="121"/>
      <c r="BO439" s="121"/>
      <c r="BP439" s="121"/>
      <c r="BQ439" s="121"/>
      <c r="BR439" s="121"/>
      <c r="BS439" s="121"/>
      <c r="BT439" s="121"/>
      <c r="BU439" s="121"/>
      <c r="BV439" s="121"/>
      <c r="BW439" s="121"/>
      <c r="BX439" s="121"/>
      <c r="BY439" s="121"/>
      <c r="BZ439" s="121"/>
      <c r="CA439" s="121"/>
    </row>
    <row r="440" spans="40:79">
      <c r="AN440" s="121"/>
      <c r="AO440" s="124"/>
      <c r="AP440" s="124"/>
      <c r="AQ440" s="121"/>
      <c r="AR440" s="124"/>
      <c r="AS440" s="124"/>
      <c r="AT440" s="124"/>
      <c r="AU440" s="121"/>
      <c r="AV440" s="121"/>
      <c r="AW440" s="121"/>
      <c r="AX440" s="121"/>
      <c r="AY440" s="121"/>
      <c r="AZ440" s="121"/>
      <c r="BA440" s="121"/>
      <c r="BB440" s="121"/>
      <c r="BC440" s="121"/>
      <c r="BD440" s="121"/>
      <c r="BE440" s="121"/>
      <c r="BF440" s="121"/>
      <c r="BG440" s="121"/>
      <c r="BH440" s="121"/>
      <c r="BI440" s="121"/>
      <c r="BJ440" s="121"/>
      <c r="BK440" s="121"/>
      <c r="BL440" s="121"/>
      <c r="BM440" s="121"/>
      <c r="BN440" s="121"/>
      <c r="BO440" s="121"/>
      <c r="BP440" s="121"/>
      <c r="BQ440" s="121"/>
      <c r="BR440" s="121"/>
      <c r="BS440" s="121"/>
      <c r="BT440" s="121"/>
      <c r="BU440" s="121"/>
      <c r="BV440" s="121"/>
      <c r="BW440" s="121"/>
      <c r="BX440" s="121"/>
      <c r="BY440" s="121"/>
      <c r="BZ440" s="121"/>
      <c r="CA440" s="121"/>
    </row>
    <row r="441" spans="40:79">
      <c r="AN441" s="121"/>
      <c r="AO441" s="121"/>
      <c r="AP441" s="121"/>
      <c r="AQ441" s="121"/>
      <c r="AR441" s="121"/>
      <c r="AS441" s="121"/>
      <c r="AT441" s="121"/>
      <c r="AU441" s="121"/>
      <c r="AV441" s="121"/>
      <c r="AW441" s="121"/>
      <c r="AX441" s="121"/>
      <c r="AY441" s="121"/>
      <c r="AZ441" s="121"/>
      <c r="BA441" s="121"/>
      <c r="BB441" s="121"/>
      <c r="BC441" s="121"/>
      <c r="BD441" s="121"/>
      <c r="BE441" s="121"/>
      <c r="BF441" s="121"/>
      <c r="BG441" s="121"/>
      <c r="BH441" s="121"/>
      <c r="BI441" s="121"/>
      <c r="BJ441" s="121"/>
      <c r="BK441" s="121"/>
      <c r="BL441" s="121"/>
      <c r="BM441" s="121"/>
      <c r="BN441" s="121"/>
      <c r="BO441" s="121"/>
      <c r="BP441" s="121"/>
      <c r="BQ441" s="121"/>
      <c r="BR441" s="121"/>
      <c r="BS441" s="121"/>
      <c r="BT441" s="121"/>
      <c r="BU441" s="121"/>
      <c r="BV441" s="121"/>
      <c r="BW441" s="121"/>
      <c r="BX441" s="121"/>
      <c r="BY441" s="121"/>
      <c r="BZ441" s="121"/>
      <c r="CA441" s="121"/>
    </row>
    <row r="442" spans="40:79">
      <c r="AN442" s="121"/>
      <c r="AO442" s="122"/>
      <c r="AP442" s="122"/>
      <c r="AQ442" s="121"/>
      <c r="AR442" s="123"/>
      <c r="AS442" s="123"/>
      <c r="AT442" s="123"/>
      <c r="AU442" s="123"/>
      <c r="AV442" s="123"/>
      <c r="AW442" s="123"/>
      <c r="AX442" s="123"/>
      <c r="AY442" s="123"/>
      <c r="AZ442" s="123"/>
      <c r="BA442" s="123"/>
      <c r="BB442" s="123"/>
      <c r="BC442" s="123"/>
      <c r="BD442" s="123"/>
      <c r="BE442" s="123"/>
      <c r="BF442" s="123"/>
      <c r="BG442" s="123"/>
      <c r="BH442" s="123"/>
      <c r="BI442" s="123"/>
      <c r="BJ442" s="123"/>
      <c r="BK442" s="123"/>
      <c r="BL442" s="123"/>
      <c r="BM442" s="123"/>
      <c r="BN442" s="123"/>
      <c r="BO442" s="123"/>
      <c r="BP442" s="123"/>
      <c r="BQ442" s="123"/>
      <c r="BR442" s="123"/>
      <c r="BS442" s="123"/>
      <c r="BT442" s="123"/>
      <c r="BU442" s="123"/>
      <c r="BV442" s="123"/>
      <c r="BW442" s="123"/>
      <c r="BX442" s="123"/>
      <c r="BY442" s="123"/>
      <c r="BZ442" s="123"/>
      <c r="CA442" s="123"/>
    </row>
    <row r="443" spans="40:79">
      <c r="AN443" s="121"/>
      <c r="AO443" s="122"/>
      <c r="AP443" s="122"/>
      <c r="AQ443" s="121"/>
      <c r="AR443" s="121"/>
      <c r="AS443" s="121"/>
      <c r="AT443" s="121"/>
      <c r="AU443" s="121"/>
      <c r="AV443" s="121"/>
      <c r="AW443" s="121"/>
      <c r="AX443" s="121"/>
      <c r="AY443" s="121"/>
      <c r="AZ443" s="121"/>
      <c r="BA443" s="121"/>
      <c r="BB443" s="121"/>
      <c r="BC443" s="121"/>
      <c r="BD443" s="121"/>
      <c r="BE443" s="121"/>
      <c r="BF443" s="121"/>
      <c r="BG443" s="121"/>
      <c r="BH443" s="121"/>
      <c r="BI443" s="121"/>
      <c r="BJ443" s="121"/>
      <c r="BK443" s="121"/>
      <c r="BL443" s="121"/>
      <c r="BM443" s="121"/>
      <c r="BN443" s="121"/>
      <c r="BO443" s="121"/>
      <c r="BP443" s="121"/>
      <c r="BQ443" s="121"/>
      <c r="BR443" s="121"/>
      <c r="BS443" s="121"/>
      <c r="BT443" s="121"/>
      <c r="BU443" s="121"/>
      <c r="BV443" s="121"/>
      <c r="BW443" s="121"/>
      <c r="BX443" s="121"/>
      <c r="BY443" s="121"/>
      <c r="BZ443" s="121"/>
      <c r="CA443" s="121"/>
    </row>
    <row r="444" spans="40:79">
      <c r="AN444" s="121"/>
      <c r="AO444" s="124"/>
      <c r="AP444" s="124"/>
      <c r="AQ444" s="121"/>
      <c r="AR444" s="121"/>
      <c r="AS444" s="121"/>
      <c r="AT444" s="121"/>
      <c r="AU444" s="121"/>
      <c r="AV444" s="121"/>
      <c r="AW444" s="121"/>
      <c r="AX444" s="121"/>
      <c r="AY444" s="121"/>
      <c r="AZ444" s="121"/>
      <c r="BA444" s="121"/>
      <c r="BB444" s="121"/>
      <c r="BC444" s="121"/>
      <c r="BD444" s="121"/>
      <c r="BE444" s="121"/>
      <c r="BF444" s="121"/>
      <c r="BG444" s="121"/>
      <c r="BH444" s="121"/>
      <c r="BI444" s="121"/>
      <c r="BJ444" s="121"/>
      <c r="BK444" s="121"/>
      <c r="BL444" s="121"/>
      <c r="BM444" s="121"/>
      <c r="BN444" s="121"/>
      <c r="BO444" s="121"/>
      <c r="BP444" s="121"/>
      <c r="BQ444" s="121"/>
      <c r="BR444" s="121"/>
      <c r="BS444" s="121"/>
      <c r="BT444" s="121"/>
      <c r="BU444" s="121"/>
      <c r="BV444" s="121"/>
      <c r="BW444" s="121"/>
      <c r="BX444" s="121"/>
      <c r="BY444" s="121"/>
      <c r="BZ444" s="121"/>
      <c r="CA444" s="121"/>
    </row>
    <row r="445" spans="40:79">
      <c r="AN445" s="121"/>
      <c r="AO445" s="124"/>
      <c r="AP445" s="124"/>
      <c r="AQ445" s="121"/>
      <c r="AR445" s="121"/>
      <c r="AS445" s="121"/>
      <c r="AT445" s="121"/>
      <c r="AU445" s="121"/>
      <c r="AV445" s="121"/>
      <c r="AW445" s="121"/>
      <c r="AX445" s="121"/>
      <c r="AY445" s="121"/>
      <c r="AZ445" s="121"/>
      <c r="BA445" s="121"/>
      <c r="BB445" s="121"/>
      <c r="BC445" s="121"/>
      <c r="BD445" s="121"/>
      <c r="BE445" s="121"/>
      <c r="BF445" s="121"/>
      <c r="BG445" s="121"/>
      <c r="BH445" s="121"/>
      <c r="BI445" s="121"/>
      <c r="BJ445" s="121"/>
      <c r="BK445" s="121"/>
      <c r="BL445" s="121"/>
      <c r="BM445" s="121"/>
      <c r="BN445" s="121"/>
      <c r="BO445" s="121"/>
      <c r="BP445" s="121"/>
      <c r="BQ445" s="121"/>
      <c r="BR445" s="121"/>
      <c r="BS445" s="121"/>
      <c r="BT445" s="121"/>
      <c r="BU445" s="121"/>
      <c r="BV445" s="121"/>
      <c r="BW445" s="121"/>
      <c r="BX445" s="121"/>
      <c r="BY445" s="121"/>
      <c r="BZ445" s="121"/>
      <c r="CA445" s="121"/>
    </row>
    <row r="446" spans="40:79">
      <c r="AN446" s="121"/>
      <c r="AO446" s="124"/>
      <c r="AP446" s="124"/>
      <c r="AQ446" s="121"/>
      <c r="AR446" s="121"/>
      <c r="AS446" s="121"/>
      <c r="AT446" s="121"/>
      <c r="AU446" s="121"/>
      <c r="AV446" s="121"/>
      <c r="AW446" s="121"/>
      <c r="AX446" s="121"/>
      <c r="AY446" s="121"/>
      <c r="AZ446" s="121"/>
      <c r="BA446" s="121"/>
      <c r="BB446" s="121"/>
      <c r="BC446" s="121"/>
      <c r="BD446" s="121"/>
      <c r="BE446" s="121"/>
      <c r="BF446" s="121"/>
      <c r="BG446" s="121"/>
      <c r="BH446" s="121"/>
      <c r="BI446" s="121"/>
      <c r="BJ446" s="121"/>
      <c r="BK446" s="121"/>
      <c r="BL446" s="121"/>
      <c r="BM446" s="121"/>
      <c r="BN446" s="121"/>
      <c r="BO446" s="121"/>
      <c r="BP446" s="121"/>
      <c r="BQ446" s="121"/>
      <c r="BR446" s="121"/>
      <c r="BS446" s="121"/>
      <c r="BT446" s="121"/>
      <c r="BU446" s="121"/>
      <c r="BV446" s="121"/>
      <c r="BW446" s="121"/>
      <c r="BX446" s="121"/>
      <c r="BY446" s="121"/>
      <c r="BZ446" s="121"/>
      <c r="CA446" s="121"/>
    </row>
    <row r="447" spans="40:79">
      <c r="AN447" s="121"/>
      <c r="AO447" s="124"/>
      <c r="AP447" s="124"/>
      <c r="AQ447" s="121"/>
      <c r="AR447" s="121"/>
      <c r="AS447" s="121"/>
      <c r="AT447" s="121"/>
      <c r="AU447" s="121"/>
      <c r="AV447" s="121"/>
      <c r="AW447" s="121"/>
      <c r="AX447" s="121"/>
      <c r="AY447" s="121"/>
      <c r="AZ447" s="121"/>
      <c r="BA447" s="121"/>
      <c r="BB447" s="121"/>
      <c r="BC447" s="121"/>
      <c r="BD447" s="121"/>
      <c r="BE447" s="121"/>
      <c r="BF447" s="121"/>
      <c r="BG447" s="121"/>
      <c r="BH447" s="121"/>
      <c r="BI447" s="121"/>
      <c r="BJ447" s="121"/>
      <c r="BK447" s="121"/>
      <c r="BL447" s="121"/>
      <c r="BM447" s="121"/>
      <c r="BN447" s="121"/>
      <c r="BO447" s="121"/>
      <c r="BP447" s="121"/>
      <c r="BQ447" s="121"/>
      <c r="BR447" s="121"/>
      <c r="BS447" s="121"/>
      <c r="BT447" s="121"/>
      <c r="BU447" s="121"/>
      <c r="BV447" s="121"/>
      <c r="BW447" s="121"/>
      <c r="BX447" s="121"/>
      <c r="BY447" s="121"/>
      <c r="BZ447" s="121"/>
      <c r="CA447" s="121"/>
    </row>
    <row r="448" spans="40:79">
      <c r="AN448" s="121"/>
      <c r="AO448" s="124"/>
      <c r="AP448" s="124"/>
      <c r="AQ448" s="121"/>
      <c r="AR448" s="121"/>
      <c r="AS448" s="121"/>
      <c r="AT448" s="121"/>
      <c r="AU448" s="121"/>
      <c r="AV448" s="121"/>
      <c r="AW448" s="121"/>
      <c r="AX448" s="121"/>
      <c r="AY448" s="121"/>
      <c r="AZ448" s="121"/>
      <c r="BA448" s="121"/>
      <c r="BB448" s="121"/>
      <c r="BC448" s="121"/>
      <c r="BD448" s="121"/>
      <c r="BE448" s="121"/>
      <c r="BF448" s="121"/>
      <c r="BG448" s="121"/>
      <c r="BH448" s="121"/>
      <c r="BI448" s="121"/>
      <c r="BJ448" s="121"/>
      <c r="BK448" s="121"/>
      <c r="BL448" s="121"/>
      <c r="BM448" s="121"/>
      <c r="BN448" s="121"/>
      <c r="BO448" s="121"/>
      <c r="BP448" s="121"/>
      <c r="BQ448" s="121"/>
      <c r="BR448" s="121"/>
      <c r="BS448" s="121"/>
      <c r="BT448" s="121"/>
      <c r="BU448" s="121"/>
      <c r="BV448" s="121"/>
      <c r="BW448" s="121"/>
      <c r="BX448" s="121"/>
      <c r="BY448" s="121"/>
      <c r="BZ448" s="121"/>
      <c r="CA448" s="121"/>
    </row>
    <row r="449" spans="40:79">
      <c r="AN449" s="121"/>
      <c r="AO449" s="124"/>
      <c r="AP449" s="124"/>
      <c r="AQ449" s="121"/>
      <c r="AR449" s="121"/>
      <c r="AS449" s="121"/>
      <c r="AT449" s="121"/>
      <c r="AU449" s="121"/>
      <c r="AV449" s="121"/>
      <c r="AW449" s="121"/>
      <c r="AX449" s="121"/>
      <c r="AY449" s="121"/>
      <c r="AZ449" s="121"/>
      <c r="BA449" s="121"/>
      <c r="BB449" s="121"/>
      <c r="BC449" s="121"/>
      <c r="BD449" s="121"/>
      <c r="BE449" s="121"/>
      <c r="BF449" s="121"/>
      <c r="BG449" s="121"/>
      <c r="BH449" s="121"/>
      <c r="BI449" s="121"/>
      <c r="BJ449" s="121"/>
      <c r="BK449" s="121"/>
      <c r="BL449" s="121"/>
      <c r="BM449" s="121"/>
      <c r="BN449" s="121"/>
      <c r="BO449" s="121"/>
      <c r="BP449" s="121"/>
      <c r="BQ449" s="121"/>
      <c r="BR449" s="121"/>
      <c r="BS449" s="121"/>
      <c r="BT449" s="121"/>
      <c r="BU449" s="121"/>
      <c r="BV449" s="121"/>
      <c r="BW449" s="121"/>
      <c r="BX449" s="121"/>
      <c r="BY449" s="121"/>
      <c r="BZ449" s="121"/>
      <c r="CA449" s="121"/>
    </row>
    <row r="450" spans="40:79">
      <c r="AN450" s="121"/>
      <c r="AO450" s="124"/>
      <c r="AP450" s="124"/>
      <c r="AQ450" s="121"/>
      <c r="AR450" s="124"/>
      <c r="AS450" s="124"/>
      <c r="AT450" s="124"/>
      <c r="AU450" s="121"/>
      <c r="AV450" s="121"/>
      <c r="AW450" s="121"/>
      <c r="AX450" s="121"/>
      <c r="AY450" s="121"/>
      <c r="AZ450" s="121"/>
      <c r="BA450" s="121"/>
      <c r="BB450" s="121"/>
      <c r="BC450" s="121"/>
      <c r="BD450" s="121"/>
      <c r="BE450" s="121"/>
      <c r="BF450" s="121"/>
      <c r="BG450" s="121"/>
      <c r="BH450" s="121"/>
      <c r="BI450" s="121"/>
      <c r="BJ450" s="121"/>
      <c r="BK450" s="121"/>
      <c r="BL450" s="121"/>
      <c r="BM450" s="121"/>
      <c r="BN450" s="121"/>
      <c r="BO450" s="121"/>
      <c r="BP450" s="121"/>
      <c r="BQ450" s="121"/>
      <c r="BR450" s="121"/>
      <c r="BS450" s="121"/>
      <c r="BT450" s="121"/>
      <c r="BU450" s="121"/>
      <c r="BV450" s="121"/>
      <c r="BW450" s="121"/>
      <c r="BX450" s="121"/>
      <c r="BY450" s="121"/>
      <c r="BZ450" s="121"/>
      <c r="CA450" s="121"/>
    </row>
    <row r="451" spans="40:79">
      <c r="AN451" s="121"/>
      <c r="AO451" s="124"/>
      <c r="AP451" s="124"/>
      <c r="AQ451" s="121"/>
      <c r="AR451" s="121"/>
      <c r="AS451" s="121"/>
      <c r="AT451" s="121"/>
      <c r="AU451" s="121"/>
      <c r="AV451" s="121"/>
      <c r="AW451" s="121"/>
      <c r="AX451" s="121"/>
      <c r="AY451" s="121"/>
      <c r="AZ451" s="121"/>
      <c r="BA451" s="121"/>
      <c r="BB451" s="121"/>
      <c r="BC451" s="121"/>
      <c r="BD451" s="121"/>
      <c r="BE451" s="121"/>
      <c r="BF451" s="121"/>
      <c r="BG451" s="121"/>
      <c r="BH451" s="121"/>
      <c r="BI451" s="121"/>
      <c r="BJ451" s="121"/>
      <c r="BK451" s="121"/>
      <c r="BL451" s="121"/>
      <c r="BM451" s="121"/>
      <c r="BN451" s="121"/>
      <c r="BO451" s="121"/>
      <c r="BP451" s="121"/>
      <c r="BQ451" s="121"/>
      <c r="BR451" s="121"/>
      <c r="BS451" s="121"/>
      <c r="BT451" s="121"/>
      <c r="BU451" s="121"/>
      <c r="BV451" s="121"/>
      <c r="BW451" s="121"/>
      <c r="BX451" s="121"/>
      <c r="BY451" s="121"/>
      <c r="BZ451" s="121"/>
      <c r="CA451" s="121"/>
    </row>
    <row r="452" spans="40:79">
      <c r="AN452" s="121"/>
      <c r="AO452" s="122"/>
      <c r="AP452" s="122"/>
      <c r="AQ452" s="121"/>
      <c r="AR452" s="123"/>
      <c r="AS452" s="123"/>
      <c r="AT452" s="123"/>
      <c r="AU452" s="123"/>
      <c r="AV452" s="123"/>
      <c r="AW452" s="123"/>
      <c r="AX452" s="123"/>
      <c r="AY452" s="123"/>
      <c r="AZ452" s="123"/>
      <c r="BA452" s="123"/>
      <c r="BB452" s="123"/>
      <c r="BC452" s="123"/>
      <c r="BD452" s="123"/>
      <c r="BE452" s="123"/>
      <c r="BF452" s="123"/>
      <c r="BG452" s="123"/>
      <c r="BH452" s="123"/>
      <c r="BI452" s="123"/>
      <c r="BJ452" s="123"/>
      <c r="BK452" s="123"/>
      <c r="BL452" s="123"/>
      <c r="BM452" s="123"/>
      <c r="BN452" s="123"/>
      <c r="BO452" s="123"/>
      <c r="BP452" s="123"/>
      <c r="BQ452" s="123"/>
      <c r="BR452" s="123"/>
      <c r="BS452" s="123"/>
      <c r="BT452" s="123"/>
      <c r="BU452" s="123"/>
      <c r="BV452" s="123"/>
      <c r="BW452" s="123"/>
      <c r="BX452" s="123"/>
      <c r="BY452" s="123"/>
      <c r="BZ452" s="123"/>
      <c r="CA452" s="123"/>
    </row>
    <row r="453" spans="40:79">
      <c r="AN453" s="121"/>
      <c r="AO453" s="122"/>
      <c r="AP453" s="122"/>
      <c r="AQ453" s="121"/>
      <c r="AR453" s="121"/>
      <c r="AS453" s="121"/>
      <c r="AT453" s="121"/>
      <c r="AU453" s="121"/>
      <c r="AV453" s="121"/>
      <c r="AW453" s="121"/>
      <c r="AX453" s="121"/>
      <c r="AY453" s="121"/>
      <c r="AZ453" s="121"/>
      <c r="BA453" s="121"/>
      <c r="BB453" s="121"/>
      <c r="BC453" s="121"/>
      <c r="BD453" s="121"/>
      <c r="BE453" s="121"/>
      <c r="BF453" s="121"/>
      <c r="BG453" s="121"/>
      <c r="BH453" s="121"/>
      <c r="BI453" s="121"/>
      <c r="BJ453" s="121"/>
      <c r="BK453" s="121"/>
      <c r="BL453" s="121"/>
      <c r="BM453" s="121"/>
      <c r="BN453" s="121"/>
      <c r="BO453" s="121"/>
      <c r="BP453" s="121"/>
      <c r="BQ453" s="121"/>
      <c r="BR453" s="121"/>
      <c r="BS453" s="121"/>
      <c r="BT453" s="121"/>
      <c r="BU453" s="121"/>
      <c r="BV453" s="121"/>
      <c r="BW453" s="121"/>
      <c r="BX453" s="121"/>
      <c r="BY453" s="121"/>
      <c r="BZ453" s="121"/>
      <c r="CA453" s="121"/>
    </row>
    <row r="454" spans="40:79">
      <c r="AN454" s="121"/>
      <c r="AO454" s="124"/>
      <c r="AP454" s="124"/>
      <c r="AQ454" s="125"/>
      <c r="AR454" s="121"/>
      <c r="AS454" s="121"/>
      <c r="AT454" s="121"/>
      <c r="AU454" s="121"/>
      <c r="AV454" s="121"/>
      <c r="AW454" s="121"/>
      <c r="AX454" s="121"/>
      <c r="AY454" s="121"/>
      <c r="AZ454" s="121"/>
      <c r="BA454" s="121"/>
      <c r="BB454" s="121"/>
      <c r="BC454" s="121"/>
      <c r="BD454" s="121"/>
      <c r="BE454" s="121"/>
      <c r="BF454" s="121"/>
      <c r="BG454" s="121"/>
      <c r="BH454" s="121"/>
      <c r="BI454" s="121"/>
      <c r="BJ454" s="121"/>
      <c r="BK454" s="121"/>
      <c r="BL454" s="121"/>
      <c r="BM454" s="121"/>
      <c r="BN454" s="121"/>
      <c r="BO454" s="121"/>
      <c r="BP454" s="121"/>
      <c r="BQ454" s="121"/>
      <c r="BR454" s="121"/>
      <c r="BS454" s="121"/>
      <c r="BT454" s="121"/>
      <c r="BU454" s="121"/>
      <c r="BV454" s="121"/>
      <c r="BW454" s="121"/>
      <c r="BX454" s="121"/>
      <c r="BY454" s="121"/>
      <c r="BZ454" s="121"/>
      <c r="CA454" s="121"/>
    </row>
    <row r="455" spans="40:79">
      <c r="AN455" s="121"/>
      <c r="AO455" s="124"/>
      <c r="AP455" s="124"/>
      <c r="AQ455" s="121"/>
      <c r="AR455" s="121"/>
      <c r="AS455" s="121"/>
      <c r="AT455" s="121"/>
      <c r="AU455" s="121"/>
      <c r="AV455" s="121"/>
      <c r="AW455" s="121"/>
      <c r="AX455" s="121"/>
      <c r="AY455" s="121"/>
      <c r="AZ455" s="121"/>
      <c r="BA455" s="121"/>
      <c r="BB455" s="121"/>
      <c r="BC455" s="121"/>
      <c r="BD455" s="121"/>
      <c r="BE455" s="121"/>
      <c r="BF455" s="121"/>
      <c r="BG455" s="121"/>
      <c r="BH455" s="121"/>
      <c r="BI455" s="121"/>
      <c r="BJ455" s="121"/>
      <c r="BK455" s="121"/>
      <c r="BL455" s="121"/>
      <c r="BM455" s="121"/>
      <c r="BN455" s="121"/>
      <c r="BO455" s="121"/>
      <c r="BP455" s="121"/>
      <c r="BQ455" s="121"/>
      <c r="BR455" s="121"/>
      <c r="BS455" s="121"/>
      <c r="BT455" s="121"/>
      <c r="BU455" s="121"/>
      <c r="BV455" s="121"/>
      <c r="BW455" s="121"/>
      <c r="BX455" s="121"/>
      <c r="BY455" s="121"/>
      <c r="BZ455" s="121"/>
      <c r="CA455" s="121"/>
    </row>
    <row r="456" spans="40:79">
      <c r="AN456" s="121"/>
      <c r="AO456" s="124"/>
      <c r="AP456" s="124"/>
      <c r="AQ456" s="121"/>
      <c r="AR456" s="121"/>
      <c r="AS456" s="121"/>
      <c r="AT456" s="121"/>
      <c r="AU456" s="121"/>
      <c r="AV456" s="121"/>
      <c r="AW456" s="121"/>
      <c r="AX456" s="121"/>
      <c r="AY456" s="121"/>
      <c r="AZ456" s="121"/>
      <c r="BA456" s="121"/>
      <c r="BB456" s="121"/>
      <c r="BC456" s="121"/>
      <c r="BD456" s="121"/>
      <c r="BE456" s="121"/>
      <c r="BF456" s="121"/>
      <c r="BG456" s="121"/>
      <c r="BH456" s="121"/>
      <c r="BI456" s="121"/>
      <c r="BJ456" s="121"/>
      <c r="BK456" s="121"/>
      <c r="BL456" s="121"/>
      <c r="BM456" s="121"/>
      <c r="BN456" s="121"/>
      <c r="BO456" s="121"/>
      <c r="BP456" s="121"/>
      <c r="BQ456" s="121"/>
      <c r="BR456" s="121"/>
      <c r="BS456" s="121"/>
      <c r="BT456" s="121"/>
      <c r="BU456" s="121"/>
      <c r="BV456" s="121"/>
      <c r="BW456" s="121"/>
      <c r="BX456" s="121"/>
      <c r="BY456" s="121"/>
      <c r="BZ456" s="121"/>
      <c r="CA456" s="121"/>
    </row>
    <row r="457" spans="40:79">
      <c r="AN457" s="121"/>
      <c r="AO457" s="124"/>
      <c r="AP457" s="124"/>
      <c r="AQ457" s="121"/>
      <c r="AR457" s="121"/>
      <c r="AS457" s="121"/>
      <c r="AT457" s="121"/>
      <c r="AU457" s="121"/>
      <c r="AV457" s="121"/>
      <c r="AW457" s="121"/>
      <c r="AX457" s="121"/>
      <c r="AY457" s="121"/>
      <c r="AZ457" s="121"/>
      <c r="BA457" s="121"/>
      <c r="BB457" s="121"/>
      <c r="BC457" s="121"/>
      <c r="BD457" s="121"/>
      <c r="BE457" s="121"/>
      <c r="BF457" s="121"/>
      <c r="BG457" s="121"/>
      <c r="BH457" s="121"/>
      <c r="BI457" s="121"/>
      <c r="BJ457" s="121"/>
      <c r="BK457" s="121"/>
      <c r="BL457" s="121"/>
      <c r="BM457" s="121"/>
      <c r="BN457" s="121"/>
      <c r="BO457" s="121"/>
      <c r="BP457" s="121"/>
      <c r="BQ457" s="121"/>
      <c r="BR457" s="121"/>
      <c r="BS457" s="121"/>
      <c r="BT457" s="121"/>
      <c r="BU457" s="121"/>
      <c r="BV457" s="121"/>
      <c r="BW457" s="121"/>
      <c r="BX457" s="121"/>
      <c r="BY457" s="121"/>
      <c r="BZ457" s="121"/>
      <c r="CA457" s="121"/>
    </row>
    <row r="458" spans="40:79">
      <c r="AN458" s="121"/>
      <c r="AO458" s="124"/>
      <c r="AP458" s="124"/>
      <c r="AQ458" s="121"/>
      <c r="AR458" s="121"/>
      <c r="AS458" s="121"/>
      <c r="AT458" s="121"/>
      <c r="AU458" s="121"/>
      <c r="AV458" s="121"/>
      <c r="AW458" s="121"/>
      <c r="AX458" s="121"/>
      <c r="AY458" s="121"/>
      <c r="AZ458" s="121"/>
      <c r="BA458" s="121"/>
      <c r="BB458" s="121"/>
      <c r="BC458" s="121"/>
      <c r="BD458" s="121"/>
      <c r="BE458" s="121"/>
      <c r="BF458" s="121"/>
      <c r="BG458" s="121"/>
      <c r="BH458" s="121"/>
      <c r="BI458" s="121"/>
      <c r="BJ458" s="121"/>
      <c r="BK458" s="121"/>
      <c r="BL458" s="121"/>
      <c r="BM458" s="121"/>
      <c r="BN458" s="121"/>
      <c r="BO458" s="121"/>
      <c r="BP458" s="121"/>
      <c r="BQ458" s="121"/>
      <c r="BR458" s="121"/>
      <c r="BS458" s="121"/>
      <c r="BT458" s="121"/>
      <c r="BU458" s="121"/>
      <c r="BV458" s="121"/>
      <c r="BW458" s="121"/>
      <c r="BX458" s="121"/>
      <c r="BY458" s="121"/>
      <c r="BZ458" s="121"/>
      <c r="CA458" s="121"/>
    </row>
    <row r="459" spans="40:79">
      <c r="AN459" s="121"/>
      <c r="AO459" s="124"/>
      <c r="AP459" s="124"/>
      <c r="AQ459" s="121"/>
      <c r="AR459" s="121"/>
      <c r="AS459" s="121"/>
      <c r="AT459" s="121"/>
      <c r="AU459" s="121"/>
      <c r="AV459" s="121"/>
      <c r="AW459" s="121"/>
      <c r="AX459" s="121"/>
      <c r="AY459" s="121"/>
      <c r="AZ459" s="121"/>
      <c r="BA459" s="121"/>
      <c r="BB459" s="121"/>
      <c r="BC459" s="121"/>
      <c r="BD459" s="121"/>
      <c r="BE459" s="121"/>
      <c r="BF459" s="121"/>
      <c r="BG459" s="121"/>
      <c r="BH459" s="121"/>
      <c r="BI459" s="121"/>
      <c r="BJ459" s="121"/>
      <c r="BK459" s="121"/>
      <c r="BL459" s="121"/>
      <c r="BM459" s="121"/>
      <c r="BN459" s="121"/>
      <c r="BO459" s="121"/>
      <c r="BP459" s="121"/>
      <c r="BQ459" s="121"/>
      <c r="BR459" s="121"/>
      <c r="BS459" s="121"/>
      <c r="BT459" s="121"/>
      <c r="BU459" s="121"/>
      <c r="BV459" s="121"/>
      <c r="BW459" s="121"/>
      <c r="BX459" s="121"/>
      <c r="BY459" s="121"/>
      <c r="BZ459" s="121"/>
      <c r="CA459" s="121"/>
    </row>
    <row r="460" spans="40:79">
      <c r="AN460" s="121"/>
      <c r="AO460" s="124"/>
      <c r="AP460" s="124"/>
      <c r="AQ460" s="121"/>
      <c r="AR460" s="124"/>
      <c r="AS460" s="124"/>
      <c r="AT460" s="124"/>
      <c r="AU460" s="121"/>
      <c r="AV460" s="121"/>
      <c r="AW460" s="121"/>
      <c r="AX460" s="121"/>
      <c r="AY460" s="121"/>
      <c r="AZ460" s="121"/>
      <c r="BA460" s="121"/>
      <c r="BB460" s="121"/>
      <c r="BC460" s="121"/>
      <c r="BD460" s="121"/>
      <c r="BE460" s="121"/>
      <c r="BF460" s="121"/>
      <c r="BG460" s="121"/>
      <c r="BH460" s="121"/>
      <c r="BI460" s="121"/>
      <c r="BJ460" s="121"/>
      <c r="BK460" s="121"/>
      <c r="BL460" s="121"/>
      <c r="BM460" s="121"/>
      <c r="BN460" s="121"/>
      <c r="BO460" s="121"/>
      <c r="BP460" s="121"/>
      <c r="BQ460" s="121"/>
      <c r="BR460" s="121"/>
      <c r="BS460" s="121"/>
      <c r="BT460" s="121"/>
      <c r="BU460" s="121"/>
      <c r="BV460" s="121"/>
      <c r="BW460" s="121"/>
      <c r="BX460" s="121"/>
      <c r="BY460" s="121"/>
      <c r="BZ460" s="121"/>
      <c r="CA460" s="121"/>
    </row>
    <row r="461" spans="40:79">
      <c r="AN461" s="121"/>
      <c r="AO461" s="121"/>
      <c r="AP461" s="121"/>
      <c r="AQ461" s="121"/>
      <c r="AR461" s="121"/>
      <c r="AS461" s="121"/>
      <c r="AT461" s="121"/>
      <c r="AU461" s="121"/>
      <c r="AV461" s="121"/>
      <c r="AW461" s="121"/>
      <c r="AX461" s="121"/>
      <c r="AY461" s="121"/>
      <c r="AZ461" s="121"/>
      <c r="BA461" s="121"/>
      <c r="BB461" s="121"/>
      <c r="BC461" s="121"/>
      <c r="BD461" s="121"/>
      <c r="BE461" s="121"/>
      <c r="BF461" s="121"/>
      <c r="BG461" s="121"/>
      <c r="BH461" s="121"/>
      <c r="BI461" s="121"/>
      <c r="BJ461" s="121"/>
      <c r="BK461" s="121"/>
      <c r="BL461" s="121"/>
      <c r="BM461" s="121"/>
      <c r="BN461" s="121"/>
      <c r="BO461" s="121"/>
      <c r="BP461" s="121"/>
      <c r="BQ461" s="121"/>
      <c r="BR461" s="121"/>
      <c r="BS461" s="121"/>
      <c r="BT461" s="121"/>
      <c r="BU461" s="121"/>
      <c r="BV461" s="121"/>
      <c r="BW461" s="121"/>
      <c r="BX461" s="121"/>
      <c r="BY461" s="121"/>
      <c r="BZ461" s="121"/>
      <c r="CA461" s="121"/>
    </row>
    <row r="462" spans="40:79">
      <c r="AN462" s="121"/>
      <c r="AO462" s="122"/>
      <c r="AP462" s="122"/>
      <c r="AQ462" s="121"/>
      <c r="AR462" s="123"/>
      <c r="AS462" s="123"/>
      <c r="AT462" s="123"/>
      <c r="AU462" s="123"/>
      <c r="AV462" s="123"/>
      <c r="AW462" s="123"/>
      <c r="AX462" s="123"/>
      <c r="AY462" s="123"/>
      <c r="AZ462" s="123"/>
      <c r="BA462" s="123"/>
      <c r="BB462" s="123"/>
      <c r="BC462" s="123"/>
      <c r="BD462" s="123"/>
      <c r="BE462" s="123"/>
      <c r="BF462" s="123"/>
      <c r="BG462" s="123"/>
      <c r="BH462" s="123"/>
      <c r="BI462" s="123"/>
      <c r="BJ462" s="123"/>
      <c r="BK462" s="123"/>
      <c r="BL462" s="123"/>
      <c r="BM462" s="123"/>
      <c r="BN462" s="123"/>
      <c r="BO462" s="123"/>
      <c r="BP462" s="123"/>
      <c r="BQ462" s="123"/>
      <c r="BR462" s="123"/>
      <c r="BS462" s="123"/>
      <c r="BT462" s="123"/>
      <c r="BU462" s="123"/>
      <c r="BV462" s="123"/>
      <c r="BW462" s="123"/>
      <c r="BX462" s="123"/>
      <c r="BY462" s="123"/>
      <c r="BZ462" s="123"/>
      <c r="CA462" s="123"/>
    </row>
    <row r="463" spans="40:79">
      <c r="AN463" s="121"/>
      <c r="AO463" s="122"/>
      <c r="AP463" s="122"/>
      <c r="AQ463" s="121"/>
      <c r="AR463" s="121"/>
      <c r="AS463" s="121"/>
      <c r="AT463" s="121"/>
      <c r="AU463" s="121"/>
      <c r="AV463" s="121"/>
      <c r="AW463" s="121"/>
      <c r="AX463" s="121"/>
      <c r="AY463" s="121"/>
      <c r="AZ463" s="121"/>
      <c r="BA463" s="121"/>
      <c r="BB463" s="121"/>
      <c r="BC463" s="121"/>
      <c r="BD463" s="121"/>
      <c r="BE463" s="121"/>
      <c r="BF463" s="121"/>
      <c r="BG463" s="121"/>
      <c r="BH463" s="121"/>
      <c r="BI463" s="121"/>
      <c r="BJ463" s="121"/>
      <c r="BK463" s="121"/>
      <c r="BL463" s="121"/>
      <c r="BM463" s="121"/>
      <c r="BN463" s="121"/>
      <c r="BO463" s="121"/>
      <c r="BP463" s="121"/>
      <c r="BQ463" s="121"/>
      <c r="BR463" s="121"/>
      <c r="BS463" s="121"/>
      <c r="BT463" s="121"/>
      <c r="BU463" s="121"/>
      <c r="BV463" s="121"/>
      <c r="BW463" s="121"/>
      <c r="BX463" s="121"/>
      <c r="BY463" s="121"/>
      <c r="BZ463" s="121"/>
      <c r="CA463" s="121"/>
    </row>
    <row r="464" spans="40:79">
      <c r="AN464" s="121"/>
      <c r="AO464" s="124"/>
      <c r="AP464" s="124"/>
      <c r="AQ464" s="121"/>
      <c r="AR464" s="121"/>
      <c r="AS464" s="121"/>
      <c r="AT464" s="121"/>
      <c r="AU464" s="121"/>
      <c r="AV464" s="121"/>
      <c r="AW464" s="121"/>
      <c r="AX464" s="121"/>
      <c r="AY464" s="121"/>
      <c r="AZ464" s="121"/>
      <c r="BA464" s="121"/>
      <c r="BB464" s="121"/>
      <c r="BC464" s="121"/>
      <c r="BD464" s="121"/>
      <c r="BE464" s="121"/>
      <c r="BF464" s="121"/>
      <c r="BG464" s="121"/>
      <c r="BH464" s="121"/>
      <c r="BI464" s="121"/>
      <c r="BJ464" s="121"/>
      <c r="BK464" s="121"/>
      <c r="BL464" s="121"/>
      <c r="BM464" s="121"/>
      <c r="BN464" s="121"/>
      <c r="BO464" s="121"/>
      <c r="BP464" s="121"/>
      <c r="BQ464" s="121"/>
      <c r="BR464" s="121"/>
      <c r="BS464" s="121"/>
      <c r="BT464" s="121"/>
      <c r="BU464" s="121"/>
      <c r="BV464" s="121"/>
      <c r="BW464" s="121"/>
      <c r="BX464" s="121"/>
      <c r="BY464" s="121"/>
      <c r="BZ464" s="121"/>
      <c r="CA464" s="121"/>
    </row>
    <row r="465" spans="40:79">
      <c r="AN465" s="121"/>
      <c r="AO465" s="124"/>
      <c r="AP465" s="124"/>
      <c r="AQ465" s="121"/>
      <c r="AR465" s="121"/>
      <c r="AS465" s="121"/>
      <c r="AT465" s="121"/>
      <c r="AU465" s="121"/>
      <c r="AV465" s="121"/>
      <c r="AW465" s="121"/>
      <c r="AX465" s="121"/>
      <c r="AY465" s="121"/>
      <c r="AZ465" s="121"/>
      <c r="BA465" s="121"/>
      <c r="BB465" s="121"/>
      <c r="BC465" s="121"/>
      <c r="BD465" s="121"/>
      <c r="BE465" s="121"/>
      <c r="BF465" s="121"/>
      <c r="BG465" s="121"/>
      <c r="BH465" s="121"/>
      <c r="BI465" s="121"/>
      <c r="BJ465" s="121"/>
      <c r="BK465" s="121"/>
      <c r="BL465" s="121"/>
      <c r="BM465" s="121"/>
      <c r="BN465" s="121"/>
      <c r="BO465" s="121"/>
      <c r="BP465" s="121"/>
      <c r="BQ465" s="121"/>
      <c r="BR465" s="121"/>
      <c r="BS465" s="121"/>
      <c r="BT465" s="121"/>
      <c r="BU465" s="121"/>
      <c r="BV465" s="121"/>
      <c r="BW465" s="121"/>
      <c r="BX465" s="121"/>
      <c r="BY465" s="121"/>
      <c r="BZ465" s="121"/>
      <c r="CA465" s="121"/>
    </row>
    <row r="466" spans="40:79">
      <c r="AN466" s="121"/>
      <c r="AO466" s="124"/>
      <c r="AP466" s="124"/>
      <c r="AQ466" s="121"/>
      <c r="AR466" s="121"/>
      <c r="AS466" s="121"/>
      <c r="AT466" s="121"/>
      <c r="AU466" s="121"/>
      <c r="AV466" s="121"/>
      <c r="AW466" s="121"/>
      <c r="AX466" s="121"/>
      <c r="AY466" s="121"/>
      <c r="AZ466" s="121"/>
      <c r="BA466" s="121"/>
      <c r="BB466" s="121"/>
      <c r="BC466" s="121"/>
      <c r="BD466" s="121"/>
      <c r="BE466" s="121"/>
      <c r="BF466" s="121"/>
      <c r="BG466" s="121"/>
      <c r="BH466" s="121"/>
      <c r="BI466" s="121"/>
      <c r="BJ466" s="121"/>
      <c r="BK466" s="121"/>
      <c r="BL466" s="121"/>
      <c r="BM466" s="121"/>
      <c r="BN466" s="121"/>
      <c r="BO466" s="121"/>
      <c r="BP466" s="121"/>
      <c r="BQ466" s="121"/>
      <c r="BR466" s="121"/>
      <c r="BS466" s="121"/>
      <c r="BT466" s="121"/>
      <c r="BU466" s="121"/>
      <c r="BV466" s="121"/>
      <c r="BW466" s="121"/>
      <c r="BX466" s="121"/>
      <c r="BY466" s="121"/>
      <c r="BZ466" s="121"/>
      <c r="CA466" s="121"/>
    </row>
    <row r="467" spans="40:79">
      <c r="AN467" s="121"/>
      <c r="AO467" s="124"/>
      <c r="AP467" s="124"/>
      <c r="AQ467" s="121"/>
      <c r="AR467" s="121"/>
      <c r="AS467" s="121"/>
      <c r="AT467" s="121"/>
      <c r="AU467" s="121"/>
      <c r="AV467" s="121"/>
      <c r="AW467" s="121"/>
      <c r="AX467" s="121"/>
      <c r="AY467" s="121"/>
      <c r="AZ467" s="121"/>
      <c r="BA467" s="121"/>
      <c r="BB467" s="121"/>
      <c r="BC467" s="121"/>
      <c r="BD467" s="121"/>
      <c r="BE467" s="121"/>
      <c r="BF467" s="121"/>
      <c r="BG467" s="121"/>
      <c r="BH467" s="121"/>
      <c r="BI467" s="121"/>
      <c r="BJ467" s="121"/>
      <c r="BK467" s="121"/>
      <c r="BL467" s="121"/>
      <c r="BM467" s="121"/>
      <c r="BN467" s="121"/>
      <c r="BO467" s="121"/>
      <c r="BP467" s="121"/>
      <c r="BQ467" s="121"/>
      <c r="BR467" s="121"/>
      <c r="BS467" s="121"/>
      <c r="BT467" s="121"/>
      <c r="BU467" s="121"/>
      <c r="BV467" s="121"/>
      <c r="BW467" s="121"/>
      <c r="BX467" s="121"/>
      <c r="BY467" s="121"/>
      <c r="BZ467" s="121"/>
      <c r="CA467" s="121"/>
    </row>
    <row r="468" spans="40:79">
      <c r="AN468" s="121"/>
      <c r="AO468" s="124"/>
      <c r="AP468" s="124"/>
      <c r="AQ468" s="121"/>
      <c r="AR468" s="121"/>
      <c r="AS468" s="121"/>
      <c r="AT468" s="121"/>
      <c r="AU468" s="121"/>
      <c r="AV468" s="121"/>
      <c r="AW468" s="121"/>
      <c r="AX468" s="121"/>
      <c r="AY468" s="121"/>
      <c r="AZ468" s="121"/>
      <c r="BA468" s="121"/>
      <c r="BB468" s="121"/>
      <c r="BC468" s="121"/>
      <c r="BD468" s="121"/>
      <c r="BE468" s="121"/>
      <c r="BF468" s="121"/>
      <c r="BG468" s="121"/>
      <c r="BH468" s="121"/>
      <c r="BI468" s="121"/>
      <c r="BJ468" s="121"/>
      <c r="BK468" s="121"/>
      <c r="BL468" s="121"/>
      <c r="BM468" s="121"/>
      <c r="BN468" s="121"/>
      <c r="BO468" s="121"/>
      <c r="BP468" s="121"/>
      <c r="BQ468" s="121"/>
      <c r="BR468" s="121"/>
      <c r="BS468" s="121"/>
      <c r="BT468" s="121"/>
      <c r="BU468" s="121"/>
      <c r="BV468" s="121"/>
      <c r="BW468" s="121"/>
      <c r="BX468" s="121"/>
      <c r="BY468" s="121"/>
      <c r="BZ468" s="121"/>
      <c r="CA468" s="121"/>
    </row>
    <row r="469" spans="40:79">
      <c r="AN469" s="121"/>
      <c r="AO469" s="124"/>
      <c r="AP469" s="124"/>
      <c r="AQ469" s="121"/>
      <c r="AR469" s="121"/>
      <c r="AS469" s="121"/>
      <c r="AT469" s="121"/>
      <c r="AU469" s="121"/>
      <c r="AV469" s="121"/>
      <c r="AW469" s="121"/>
      <c r="AX469" s="121"/>
      <c r="AY469" s="121"/>
      <c r="AZ469" s="121"/>
      <c r="BA469" s="121"/>
      <c r="BB469" s="121"/>
      <c r="BC469" s="121"/>
      <c r="BD469" s="121"/>
      <c r="BE469" s="121"/>
      <c r="BF469" s="121"/>
      <c r="BG469" s="121"/>
      <c r="BH469" s="121"/>
      <c r="BI469" s="121"/>
      <c r="BJ469" s="121"/>
      <c r="BK469" s="121"/>
      <c r="BL469" s="121"/>
      <c r="BM469" s="121"/>
      <c r="BN469" s="121"/>
      <c r="BO469" s="121"/>
      <c r="BP469" s="121"/>
      <c r="BQ469" s="121"/>
      <c r="BR469" s="121"/>
      <c r="BS469" s="121"/>
      <c r="BT469" s="121"/>
      <c r="BU469" s="121"/>
      <c r="BV469" s="121"/>
      <c r="BW469" s="121"/>
      <c r="BX469" s="121"/>
      <c r="BY469" s="121"/>
      <c r="BZ469" s="121"/>
      <c r="CA469" s="121"/>
    </row>
    <row r="470" spans="40:79">
      <c r="AN470" s="121"/>
      <c r="AO470" s="124"/>
      <c r="AP470" s="124"/>
      <c r="AQ470" s="121"/>
      <c r="AR470" s="124"/>
      <c r="AS470" s="124"/>
      <c r="AT470" s="124"/>
      <c r="AU470" s="121"/>
      <c r="AV470" s="121"/>
      <c r="AW470" s="121"/>
      <c r="AX470" s="121"/>
      <c r="AY470" s="121"/>
      <c r="AZ470" s="121"/>
      <c r="BA470" s="121"/>
      <c r="BB470" s="121"/>
      <c r="BC470" s="121"/>
      <c r="BD470" s="121"/>
      <c r="BE470" s="121"/>
      <c r="BF470" s="121"/>
      <c r="BG470" s="121"/>
      <c r="BH470" s="121"/>
      <c r="BI470" s="121"/>
      <c r="BJ470" s="121"/>
      <c r="BK470" s="121"/>
      <c r="BL470" s="121"/>
      <c r="BM470" s="121"/>
      <c r="BN470" s="121"/>
      <c r="BO470" s="121"/>
      <c r="BP470" s="121"/>
      <c r="BQ470" s="121"/>
      <c r="BR470" s="121"/>
      <c r="BS470" s="121"/>
      <c r="BT470" s="121"/>
      <c r="BU470" s="121"/>
      <c r="BV470" s="121"/>
      <c r="BW470" s="121"/>
      <c r="BX470" s="121"/>
      <c r="BY470" s="121"/>
      <c r="BZ470" s="121"/>
      <c r="CA470" s="121"/>
    </row>
    <row r="471" spans="40:79">
      <c r="AN471" s="121"/>
      <c r="AO471" s="126"/>
      <c r="AP471" s="126"/>
      <c r="AQ471" s="121"/>
      <c r="AR471" s="121"/>
      <c r="AS471" s="121"/>
      <c r="AT471" s="121"/>
      <c r="AU471" s="121"/>
      <c r="AV471" s="121"/>
      <c r="AW471" s="121"/>
      <c r="AX471" s="121"/>
      <c r="AY471" s="121"/>
      <c r="AZ471" s="121"/>
      <c r="BA471" s="121"/>
      <c r="BB471" s="121"/>
      <c r="BC471" s="121"/>
      <c r="BD471" s="121"/>
      <c r="BE471" s="121"/>
      <c r="BF471" s="121"/>
      <c r="BG471" s="121"/>
      <c r="BH471" s="121"/>
      <c r="BI471" s="121"/>
      <c r="BJ471" s="121"/>
      <c r="BK471" s="121"/>
      <c r="BL471" s="121"/>
      <c r="BM471" s="121"/>
      <c r="BN471" s="121"/>
      <c r="BO471" s="121"/>
      <c r="BP471" s="121"/>
      <c r="BQ471" s="121"/>
      <c r="BR471" s="121"/>
      <c r="BS471" s="121"/>
      <c r="BT471" s="121"/>
      <c r="BU471" s="121"/>
      <c r="BV471" s="121"/>
      <c r="BW471" s="121"/>
      <c r="BX471" s="121"/>
      <c r="BY471" s="121"/>
      <c r="BZ471" s="121"/>
      <c r="CA471" s="121"/>
    </row>
    <row r="472" spans="40:79">
      <c r="AN472" s="121"/>
      <c r="AO472" s="122"/>
      <c r="AP472" s="122"/>
      <c r="AQ472" s="121"/>
      <c r="AR472" s="123"/>
      <c r="AS472" s="123"/>
      <c r="AT472" s="123"/>
      <c r="AU472" s="123"/>
      <c r="AV472" s="123"/>
      <c r="AW472" s="123"/>
      <c r="AX472" s="123"/>
      <c r="AY472" s="123"/>
      <c r="AZ472" s="123"/>
      <c r="BA472" s="123"/>
      <c r="BB472" s="123"/>
      <c r="BC472" s="123"/>
      <c r="BD472" s="123"/>
      <c r="BE472" s="123"/>
      <c r="BF472" s="123"/>
      <c r="BG472" s="123"/>
      <c r="BH472" s="123"/>
      <c r="BI472" s="123"/>
      <c r="BJ472" s="123"/>
      <c r="BK472" s="123"/>
      <c r="BL472" s="123"/>
      <c r="BM472" s="123"/>
      <c r="BN472" s="123"/>
      <c r="BO472" s="123"/>
      <c r="BP472" s="123"/>
      <c r="BQ472" s="123"/>
      <c r="BR472" s="123"/>
      <c r="BS472" s="123"/>
      <c r="BT472" s="123"/>
      <c r="BU472" s="123"/>
      <c r="BV472" s="123"/>
      <c r="BW472" s="123"/>
      <c r="BX472" s="123"/>
      <c r="BY472" s="123"/>
      <c r="BZ472" s="123"/>
      <c r="CA472" s="123"/>
    </row>
    <row r="473" spans="40:79">
      <c r="AN473" s="121"/>
      <c r="AO473" s="122"/>
      <c r="AP473" s="122"/>
      <c r="AQ473" s="121"/>
      <c r="AR473" s="121"/>
      <c r="AS473" s="121"/>
      <c r="AT473" s="121"/>
      <c r="AU473" s="121"/>
      <c r="AV473" s="121"/>
      <c r="AW473" s="121"/>
      <c r="AX473" s="121"/>
      <c r="AY473" s="121"/>
      <c r="AZ473" s="121"/>
      <c r="BA473" s="121"/>
      <c r="BB473" s="121"/>
      <c r="BC473" s="121"/>
      <c r="BD473" s="121"/>
      <c r="BE473" s="121"/>
      <c r="BF473" s="121"/>
      <c r="BG473" s="121"/>
      <c r="BH473" s="121"/>
      <c r="BI473" s="121"/>
      <c r="BJ473" s="121"/>
      <c r="BK473" s="121"/>
      <c r="BL473" s="121"/>
      <c r="BM473" s="121"/>
      <c r="BN473" s="121"/>
      <c r="BO473" s="121"/>
      <c r="BP473" s="121"/>
      <c r="BQ473" s="121"/>
      <c r="BR473" s="121"/>
      <c r="BS473" s="121"/>
      <c r="BT473" s="121"/>
      <c r="BU473" s="121"/>
      <c r="BV473" s="121"/>
      <c r="BW473" s="121"/>
      <c r="BX473" s="121"/>
      <c r="BY473" s="121"/>
      <c r="BZ473" s="121"/>
      <c r="CA473" s="121"/>
    </row>
    <row r="474" spans="40:79">
      <c r="AN474" s="121"/>
      <c r="AO474" s="124"/>
      <c r="AP474" s="124"/>
      <c r="AQ474" s="125"/>
      <c r="AR474" s="121"/>
      <c r="AS474" s="121"/>
      <c r="AT474" s="121"/>
      <c r="AU474" s="121"/>
      <c r="AV474" s="121"/>
      <c r="AW474" s="121"/>
      <c r="AX474" s="121"/>
      <c r="AY474" s="121"/>
      <c r="AZ474" s="121"/>
      <c r="BA474" s="121"/>
      <c r="BB474" s="121"/>
      <c r="BC474" s="121"/>
      <c r="BD474" s="121"/>
      <c r="BE474" s="121"/>
      <c r="BF474" s="121"/>
      <c r="BG474" s="121"/>
      <c r="BH474" s="121"/>
      <c r="BI474" s="121"/>
      <c r="BJ474" s="121"/>
      <c r="BK474" s="121"/>
      <c r="BL474" s="121"/>
      <c r="BM474" s="121"/>
      <c r="BN474" s="121"/>
      <c r="BO474" s="121"/>
      <c r="BP474" s="121"/>
      <c r="BQ474" s="121"/>
      <c r="BR474" s="121"/>
      <c r="BS474" s="121"/>
      <c r="BT474" s="121"/>
      <c r="BU474" s="121"/>
      <c r="BV474" s="121"/>
      <c r="BW474" s="121"/>
      <c r="BX474" s="121"/>
      <c r="BY474" s="121"/>
      <c r="BZ474" s="121"/>
      <c r="CA474" s="121"/>
    </row>
    <row r="475" spans="40:79">
      <c r="AN475" s="121"/>
      <c r="AO475" s="124"/>
      <c r="AP475" s="124"/>
      <c r="AQ475" s="121"/>
      <c r="AR475" s="121"/>
      <c r="AS475" s="121"/>
      <c r="AT475" s="121"/>
      <c r="AU475" s="121"/>
      <c r="AV475" s="121"/>
      <c r="AW475" s="121"/>
      <c r="AX475" s="121"/>
      <c r="AY475" s="121"/>
      <c r="AZ475" s="121"/>
      <c r="BA475" s="121"/>
      <c r="BB475" s="121"/>
      <c r="BC475" s="121"/>
      <c r="BD475" s="121"/>
      <c r="BE475" s="121"/>
      <c r="BF475" s="121"/>
      <c r="BG475" s="121"/>
      <c r="BH475" s="121"/>
      <c r="BI475" s="121"/>
      <c r="BJ475" s="121"/>
      <c r="BK475" s="121"/>
      <c r="BL475" s="121"/>
      <c r="BM475" s="121"/>
      <c r="BN475" s="121"/>
      <c r="BO475" s="121"/>
      <c r="BP475" s="121"/>
      <c r="BQ475" s="121"/>
      <c r="BR475" s="121"/>
      <c r="BS475" s="121"/>
      <c r="BT475" s="121"/>
      <c r="BU475" s="121"/>
      <c r="BV475" s="121"/>
      <c r="BW475" s="121"/>
      <c r="BX475" s="121"/>
      <c r="BY475" s="121"/>
      <c r="BZ475" s="121"/>
      <c r="CA475" s="121"/>
    </row>
    <row r="476" spans="40:79">
      <c r="AN476" s="121"/>
      <c r="AO476" s="124"/>
      <c r="AP476" s="124"/>
      <c r="AQ476" s="121"/>
      <c r="AR476" s="121"/>
      <c r="AS476" s="121"/>
      <c r="AT476" s="121"/>
      <c r="AU476" s="121"/>
      <c r="AV476" s="121"/>
      <c r="AW476" s="121"/>
      <c r="AX476" s="121"/>
      <c r="AY476" s="121"/>
      <c r="AZ476" s="121"/>
      <c r="BA476" s="121"/>
      <c r="BB476" s="121"/>
      <c r="BC476" s="121"/>
      <c r="BD476" s="121"/>
      <c r="BE476" s="121"/>
      <c r="BF476" s="121"/>
      <c r="BG476" s="121"/>
      <c r="BH476" s="121"/>
      <c r="BI476" s="121"/>
      <c r="BJ476" s="121"/>
      <c r="BK476" s="121"/>
      <c r="BL476" s="121"/>
      <c r="BM476" s="121"/>
      <c r="BN476" s="121"/>
      <c r="BO476" s="121"/>
      <c r="BP476" s="121"/>
      <c r="BQ476" s="121"/>
      <c r="BR476" s="121"/>
      <c r="BS476" s="121"/>
      <c r="BT476" s="121"/>
      <c r="BU476" s="121"/>
      <c r="BV476" s="121"/>
      <c r="BW476" s="121"/>
      <c r="BX476" s="121"/>
      <c r="BY476" s="121"/>
      <c r="BZ476" s="121"/>
      <c r="CA476" s="121"/>
    </row>
    <row r="477" spans="40:79">
      <c r="AN477" s="121"/>
      <c r="AO477" s="124"/>
      <c r="AP477" s="124"/>
      <c r="AQ477" s="121"/>
      <c r="AR477" s="121"/>
      <c r="AS477" s="121"/>
      <c r="AT477" s="121"/>
      <c r="AU477" s="121"/>
      <c r="AV477" s="121"/>
      <c r="AW477" s="121"/>
      <c r="AX477" s="121"/>
      <c r="AY477" s="121"/>
      <c r="AZ477" s="121"/>
      <c r="BA477" s="121"/>
      <c r="BB477" s="121"/>
      <c r="BC477" s="121"/>
      <c r="BD477" s="121"/>
      <c r="BE477" s="121"/>
      <c r="BF477" s="121"/>
      <c r="BG477" s="121"/>
      <c r="BH477" s="121"/>
      <c r="BI477" s="121"/>
      <c r="BJ477" s="121"/>
      <c r="BK477" s="121"/>
      <c r="BL477" s="121"/>
      <c r="BM477" s="121"/>
      <c r="BN477" s="121"/>
      <c r="BO477" s="121"/>
      <c r="BP477" s="121"/>
      <c r="BQ477" s="121"/>
      <c r="BR477" s="121"/>
      <c r="BS477" s="121"/>
      <c r="BT477" s="121"/>
      <c r="BU477" s="121"/>
      <c r="BV477" s="121"/>
      <c r="BW477" s="121"/>
      <c r="BX477" s="121"/>
      <c r="BY477" s="121"/>
      <c r="BZ477" s="121"/>
      <c r="CA477" s="121"/>
    </row>
    <row r="478" spans="40:79">
      <c r="AN478" s="121"/>
      <c r="AO478" s="124"/>
      <c r="AP478" s="124"/>
      <c r="AQ478" s="121"/>
      <c r="AR478" s="121"/>
      <c r="AS478" s="121"/>
      <c r="AT478" s="121"/>
      <c r="AU478" s="121"/>
      <c r="AV478" s="121"/>
      <c r="AW478" s="121"/>
      <c r="AX478" s="121"/>
      <c r="AY478" s="121"/>
      <c r="AZ478" s="121"/>
      <c r="BA478" s="121"/>
      <c r="BB478" s="121"/>
      <c r="BC478" s="121"/>
      <c r="BD478" s="121"/>
      <c r="BE478" s="121"/>
      <c r="BF478" s="121"/>
      <c r="BG478" s="121"/>
      <c r="BH478" s="121"/>
      <c r="BI478" s="121"/>
      <c r="BJ478" s="121"/>
      <c r="BK478" s="121"/>
      <c r="BL478" s="121"/>
      <c r="BM478" s="121"/>
      <c r="BN478" s="121"/>
      <c r="BO478" s="121"/>
      <c r="BP478" s="121"/>
      <c r="BQ478" s="121"/>
      <c r="BR478" s="121"/>
      <c r="BS478" s="121"/>
      <c r="BT478" s="121"/>
      <c r="BU478" s="121"/>
      <c r="BV478" s="121"/>
      <c r="BW478" s="121"/>
      <c r="BX478" s="121"/>
      <c r="BY478" s="121"/>
      <c r="BZ478" s="121"/>
      <c r="CA478" s="121"/>
    </row>
    <row r="479" spans="40:79">
      <c r="AN479" s="121"/>
      <c r="AO479" s="124"/>
      <c r="AP479" s="124"/>
      <c r="AQ479" s="121"/>
      <c r="AR479" s="121"/>
      <c r="AS479" s="121"/>
      <c r="AT479" s="121"/>
      <c r="AU479" s="121"/>
      <c r="AV479" s="121"/>
      <c r="AW479" s="121"/>
      <c r="AX479" s="121"/>
      <c r="AY479" s="121"/>
      <c r="AZ479" s="121"/>
      <c r="BA479" s="121"/>
      <c r="BB479" s="121"/>
      <c r="BC479" s="121"/>
      <c r="BD479" s="121"/>
      <c r="BE479" s="121"/>
      <c r="BF479" s="121"/>
      <c r="BG479" s="121"/>
      <c r="BH479" s="121"/>
      <c r="BI479" s="121"/>
      <c r="BJ479" s="121"/>
      <c r="BK479" s="121"/>
      <c r="BL479" s="121"/>
      <c r="BM479" s="121"/>
      <c r="BN479" s="121"/>
      <c r="BO479" s="121"/>
      <c r="BP479" s="121"/>
      <c r="BQ479" s="121"/>
      <c r="BR479" s="121"/>
      <c r="BS479" s="121"/>
      <c r="BT479" s="121"/>
      <c r="BU479" s="121"/>
      <c r="BV479" s="121"/>
      <c r="BW479" s="121"/>
      <c r="BX479" s="121"/>
      <c r="BY479" s="121"/>
      <c r="BZ479" s="121"/>
      <c r="CA479" s="121"/>
    </row>
    <row r="480" spans="40:79">
      <c r="AN480" s="121"/>
      <c r="AO480" s="124"/>
      <c r="AP480" s="124"/>
      <c r="AQ480" s="121"/>
      <c r="AR480" s="124"/>
      <c r="AS480" s="124"/>
      <c r="AT480" s="124"/>
      <c r="AU480" s="121"/>
      <c r="AV480" s="121"/>
      <c r="AW480" s="121"/>
      <c r="AX480" s="121"/>
      <c r="AY480" s="121"/>
      <c r="AZ480" s="121"/>
      <c r="BA480" s="121"/>
      <c r="BB480" s="121"/>
      <c r="BC480" s="121"/>
      <c r="BD480" s="121"/>
      <c r="BE480" s="121"/>
      <c r="BF480" s="121"/>
      <c r="BG480" s="121"/>
      <c r="BH480" s="121"/>
      <c r="BI480" s="121"/>
      <c r="BJ480" s="121"/>
      <c r="BK480" s="121"/>
      <c r="BL480" s="121"/>
      <c r="BM480" s="121"/>
      <c r="BN480" s="121"/>
      <c r="BO480" s="121"/>
      <c r="BP480" s="121"/>
      <c r="BQ480" s="121"/>
      <c r="BR480" s="121"/>
      <c r="BS480" s="121"/>
      <c r="BT480" s="121"/>
      <c r="BU480" s="121"/>
      <c r="BV480" s="121"/>
      <c r="BW480" s="121"/>
      <c r="BX480" s="121"/>
      <c r="BY480" s="121"/>
      <c r="BZ480" s="121"/>
      <c r="CA480" s="121"/>
    </row>
    <row r="481" spans="40:79">
      <c r="AN481" s="121"/>
      <c r="AO481" s="121"/>
      <c r="AP481" s="121"/>
      <c r="AQ481" s="121"/>
      <c r="AR481" s="121"/>
      <c r="AS481" s="121"/>
      <c r="AT481" s="121"/>
      <c r="AU481" s="121"/>
      <c r="AV481" s="121"/>
      <c r="AW481" s="121"/>
      <c r="AX481" s="121"/>
      <c r="AY481" s="121"/>
      <c r="AZ481" s="121"/>
      <c r="BA481" s="121"/>
      <c r="BB481" s="121"/>
      <c r="BC481" s="121"/>
      <c r="BD481" s="121"/>
      <c r="BE481" s="121"/>
      <c r="BF481" s="121"/>
      <c r="BG481" s="121"/>
      <c r="BH481" s="121"/>
      <c r="BI481" s="121"/>
      <c r="BJ481" s="121"/>
      <c r="BK481" s="121"/>
      <c r="BL481" s="121"/>
      <c r="BM481" s="121"/>
      <c r="BN481" s="121"/>
      <c r="BO481" s="121"/>
      <c r="BP481" s="121"/>
      <c r="BQ481" s="121"/>
      <c r="BR481" s="121"/>
      <c r="BS481" s="121"/>
      <c r="BT481" s="121"/>
      <c r="BU481" s="121"/>
      <c r="BV481" s="121"/>
      <c r="BW481" s="121"/>
      <c r="BX481" s="121"/>
      <c r="BY481" s="121"/>
      <c r="BZ481" s="121"/>
      <c r="CA481" s="121"/>
    </row>
    <row r="482" spans="40:79">
      <c r="AN482" s="121"/>
      <c r="AO482" s="127"/>
      <c r="AP482" s="127"/>
      <c r="AQ482" s="121"/>
      <c r="AR482" s="123"/>
      <c r="AS482" s="123"/>
      <c r="AT482" s="123"/>
      <c r="AU482" s="123"/>
      <c r="AV482" s="123"/>
      <c r="AW482" s="123"/>
      <c r="AX482" s="123"/>
      <c r="AY482" s="123"/>
      <c r="AZ482" s="123"/>
      <c r="BA482" s="123"/>
      <c r="BB482" s="123"/>
      <c r="BC482" s="123"/>
      <c r="BD482" s="123"/>
      <c r="BE482" s="123"/>
      <c r="BF482" s="123"/>
      <c r="BG482" s="123"/>
      <c r="BH482" s="123"/>
      <c r="BI482" s="123"/>
      <c r="BJ482" s="123"/>
      <c r="BK482" s="123"/>
      <c r="BL482" s="123"/>
      <c r="BM482" s="123"/>
      <c r="BN482" s="123"/>
      <c r="BO482" s="123"/>
      <c r="BP482" s="123"/>
      <c r="BQ482" s="123"/>
      <c r="BR482" s="123"/>
      <c r="BS482" s="123"/>
      <c r="BT482" s="123"/>
      <c r="BU482" s="123"/>
      <c r="BV482" s="123"/>
      <c r="BW482" s="123"/>
      <c r="BX482" s="123"/>
      <c r="BY482" s="123"/>
      <c r="BZ482" s="123"/>
      <c r="CA482" s="123"/>
    </row>
    <row r="483" spans="40:79">
      <c r="AN483" s="121"/>
      <c r="AO483" s="127"/>
      <c r="AP483" s="127"/>
      <c r="AQ483" s="121"/>
      <c r="AR483" s="121"/>
      <c r="AS483" s="121"/>
      <c r="AT483" s="121"/>
      <c r="AU483" s="121"/>
      <c r="AV483" s="121"/>
      <c r="AW483" s="121"/>
      <c r="AX483" s="121"/>
      <c r="AY483" s="121"/>
      <c r="AZ483" s="121"/>
      <c r="BA483" s="121"/>
      <c r="BB483" s="121"/>
      <c r="BC483" s="121"/>
      <c r="BD483" s="121"/>
      <c r="BE483" s="121"/>
      <c r="BF483" s="121"/>
      <c r="BG483" s="121"/>
      <c r="BH483" s="121"/>
      <c r="BI483" s="121"/>
      <c r="BJ483" s="121"/>
      <c r="BK483" s="121"/>
      <c r="BL483" s="121"/>
      <c r="BM483" s="121"/>
      <c r="BN483" s="121"/>
      <c r="BO483" s="121"/>
      <c r="BP483" s="121"/>
      <c r="BQ483" s="121"/>
      <c r="BR483" s="121"/>
      <c r="BS483" s="121"/>
      <c r="BT483" s="121"/>
      <c r="BU483" s="121"/>
      <c r="BV483" s="121"/>
      <c r="BW483" s="121"/>
      <c r="BX483" s="121"/>
      <c r="BY483" s="121"/>
      <c r="BZ483" s="121"/>
      <c r="CA483" s="121"/>
    </row>
    <row r="484" spans="40:79">
      <c r="AN484" s="121"/>
      <c r="AO484" s="124"/>
      <c r="AP484" s="124"/>
      <c r="AQ484" s="125"/>
      <c r="AR484" s="121"/>
      <c r="AS484" s="121"/>
      <c r="AT484" s="121"/>
      <c r="AU484" s="121"/>
      <c r="AV484" s="121"/>
      <c r="AW484" s="121"/>
      <c r="AX484" s="121"/>
      <c r="AY484" s="121"/>
      <c r="AZ484" s="121"/>
      <c r="BA484" s="121"/>
      <c r="BB484" s="121"/>
      <c r="BC484" s="121"/>
      <c r="BD484" s="121"/>
      <c r="BE484" s="121"/>
      <c r="BF484" s="121"/>
      <c r="BG484" s="121"/>
      <c r="BH484" s="121"/>
      <c r="BI484" s="121"/>
      <c r="BJ484" s="121"/>
      <c r="BK484" s="121"/>
      <c r="BL484" s="121"/>
      <c r="BM484" s="121"/>
      <c r="BN484" s="121"/>
      <c r="BO484" s="121"/>
      <c r="BP484" s="121"/>
      <c r="BQ484" s="121"/>
      <c r="BR484" s="121"/>
      <c r="BS484" s="121"/>
      <c r="BT484" s="121"/>
      <c r="BU484" s="121"/>
      <c r="BV484" s="121"/>
      <c r="BW484" s="121"/>
      <c r="BX484" s="121"/>
      <c r="BY484" s="121"/>
      <c r="BZ484" s="121"/>
      <c r="CA484" s="121"/>
    </row>
    <row r="485" spans="40:79">
      <c r="AN485" s="121"/>
      <c r="AO485" s="124"/>
      <c r="AP485" s="124"/>
      <c r="AQ485" s="121"/>
      <c r="AR485" s="121"/>
      <c r="AS485" s="121"/>
      <c r="AT485" s="121"/>
      <c r="AU485" s="121"/>
      <c r="AV485" s="121"/>
      <c r="AW485" s="121"/>
      <c r="AX485" s="121"/>
      <c r="AY485" s="121"/>
      <c r="AZ485" s="121"/>
      <c r="BA485" s="121"/>
      <c r="BB485" s="121"/>
      <c r="BC485" s="121"/>
      <c r="BD485" s="121"/>
      <c r="BE485" s="121"/>
      <c r="BF485" s="121"/>
      <c r="BG485" s="121"/>
      <c r="BH485" s="121"/>
      <c r="BI485" s="121"/>
      <c r="BJ485" s="121"/>
      <c r="BK485" s="121"/>
      <c r="BL485" s="121"/>
      <c r="BM485" s="121"/>
      <c r="BN485" s="121"/>
      <c r="BO485" s="121"/>
      <c r="BP485" s="121"/>
      <c r="BQ485" s="121"/>
      <c r="BR485" s="121"/>
      <c r="BS485" s="121"/>
      <c r="BT485" s="121"/>
      <c r="BU485" s="121"/>
      <c r="BV485" s="121"/>
      <c r="BW485" s="121"/>
      <c r="BX485" s="121"/>
      <c r="BY485" s="121"/>
      <c r="BZ485" s="121"/>
      <c r="CA485" s="121"/>
    </row>
    <row r="486" spans="40:79">
      <c r="AN486" s="121"/>
      <c r="AO486" s="124"/>
      <c r="AP486" s="124"/>
      <c r="AQ486" s="121"/>
      <c r="AR486" s="121"/>
      <c r="AS486" s="121"/>
      <c r="AT486" s="121"/>
      <c r="AU486" s="121"/>
      <c r="AV486" s="121"/>
      <c r="AW486" s="121"/>
      <c r="AX486" s="121"/>
      <c r="AY486" s="121"/>
      <c r="AZ486" s="121"/>
      <c r="BA486" s="121"/>
      <c r="BB486" s="121"/>
      <c r="BC486" s="121"/>
      <c r="BD486" s="121"/>
      <c r="BE486" s="121"/>
      <c r="BF486" s="121"/>
      <c r="BG486" s="121"/>
      <c r="BH486" s="121"/>
      <c r="BI486" s="121"/>
      <c r="BJ486" s="121"/>
      <c r="BK486" s="121"/>
      <c r="BL486" s="121"/>
      <c r="BM486" s="121"/>
      <c r="BN486" s="121"/>
      <c r="BO486" s="121"/>
      <c r="BP486" s="121"/>
      <c r="BQ486" s="121"/>
      <c r="BR486" s="121"/>
      <c r="BS486" s="121"/>
      <c r="BT486" s="121"/>
      <c r="BU486" s="121"/>
      <c r="BV486" s="121"/>
      <c r="BW486" s="121"/>
      <c r="BX486" s="121"/>
      <c r="BY486" s="121"/>
      <c r="BZ486" s="121"/>
      <c r="CA486" s="121"/>
    </row>
    <row r="487" spans="40:79">
      <c r="AN487" s="121"/>
      <c r="AO487" s="124"/>
      <c r="AP487" s="124"/>
      <c r="AQ487" s="121"/>
      <c r="AR487" s="121"/>
      <c r="AS487" s="121"/>
      <c r="AT487" s="121"/>
      <c r="AU487" s="121"/>
      <c r="AV487" s="121"/>
      <c r="AW487" s="121"/>
      <c r="AX487" s="121"/>
      <c r="AY487" s="121"/>
      <c r="AZ487" s="121"/>
      <c r="BA487" s="121"/>
      <c r="BB487" s="121"/>
      <c r="BC487" s="121"/>
      <c r="BD487" s="121"/>
      <c r="BE487" s="121"/>
      <c r="BF487" s="121"/>
      <c r="BG487" s="121"/>
      <c r="BH487" s="121"/>
      <c r="BI487" s="121"/>
      <c r="BJ487" s="121"/>
      <c r="BK487" s="121"/>
      <c r="BL487" s="121"/>
      <c r="BM487" s="121"/>
      <c r="BN487" s="121"/>
      <c r="BO487" s="121"/>
      <c r="BP487" s="121"/>
      <c r="BQ487" s="121"/>
      <c r="BR487" s="121"/>
      <c r="BS487" s="121"/>
      <c r="BT487" s="121"/>
      <c r="BU487" s="121"/>
      <c r="BV487" s="121"/>
      <c r="BW487" s="121"/>
      <c r="BX487" s="121"/>
      <c r="BY487" s="121"/>
      <c r="BZ487" s="121"/>
      <c r="CA487" s="121"/>
    </row>
    <row r="488" spans="40:79">
      <c r="AN488" s="121"/>
      <c r="AO488" s="124"/>
      <c r="AP488" s="124"/>
      <c r="AQ488" s="121"/>
      <c r="AR488" s="121"/>
      <c r="AS488" s="121"/>
      <c r="AT488" s="121"/>
      <c r="AU488" s="121"/>
      <c r="AV488" s="121"/>
      <c r="AW488" s="121"/>
      <c r="AX488" s="121"/>
      <c r="AY488" s="121"/>
      <c r="AZ488" s="121"/>
      <c r="BA488" s="121"/>
      <c r="BB488" s="121"/>
      <c r="BC488" s="121"/>
      <c r="BD488" s="121"/>
      <c r="BE488" s="121"/>
      <c r="BF488" s="121"/>
      <c r="BG488" s="121"/>
      <c r="BH488" s="121"/>
      <c r="BI488" s="121"/>
      <c r="BJ488" s="121"/>
      <c r="BK488" s="121"/>
      <c r="BL488" s="121"/>
      <c r="BM488" s="121"/>
      <c r="BN488" s="121"/>
      <c r="BO488" s="121"/>
      <c r="BP488" s="121"/>
      <c r="BQ488" s="121"/>
      <c r="BR488" s="121"/>
      <c r="BS488" s="121"/>
      <c r="BT488" s="121"/>
      <c r="BU488" s="121"/>
      <c r="BV488" s="121"/>
      <c r="BW488" s="121"/>
      <c r="BX488" s="121"/>
      <c r="BY488" s="121"/>
      <c r="BZ488" s="121"/>
      <c r="CA488" s="121"/>
    </row>
    <row r="489" spans="40:79">
      <c r="AN489" s="121"/>
      <c r="AO489" s="124"/>
      <c r="AP489" s="124"/>
      <c r="AQ489" s="121"/>
      <c r="AR489" s="121"/>
      <c r="AS489" s="121"/>
      <c r="AT489" s="121"/>
      <c r="AU489" s="121"/>
      <c r="AV489" s="121"/>
      <c r="AW489" s="121"/>
      <c r="AX489" s="121"/>
      <c r="AY489" s="121"/>
      <c r="AZ489" s="121"/>
      <c r="BA489" s="121"/>
      <c r="BB489" s="121"/>
      <c r="BC489" s="121"/>
      <c r="BD489" s="121"/>
      <c r="BE489" s="121"/>
      <c r="BF489" s="121"/>
      <c r="BG489" s="121"/>
      <c r="BH489" s="121"/>
      <c r="BI489" s="121"/>
      <c r="BJ489" s="121"/>
      <c r="BK489" s="121"/>
      <c r="BL489" s="121"/>
      <c r="BM489" s="121"/>
      <c r="BN489" s="121"/>
      <c r="BO489" s="121"/>
      <c r="BP489" s="121"/>
      <c r="BQ489" s="121"/>
      <c r="BR489" s="121"/>
      <c r="BS489" s="121"/>
      <c r="BT489" s="121"/>
      <c r="BU489" s="121"/>
      <c r="BV489" s="121"/>
      <c r="BW489" s="121"/>
      <c r="BX489" s="121"/>
      <c r="BY489" s="121"/>
      <c r="BZ489" s="121"/>
      <c r="CA489" s="121"/>
    </row>
    <row r="490" spans="40:79">
      <c r="AN490" s="121"/>
      <c r="AO490" s="124"/>
      <c r="AP490" s="124"/>
      <c r="AQ490" s="121"/>
      <c r="AR490" s="124"/>
      <c r="AS490" s="124"/>
      <c r="AT490" s="124"/>
      <c r="AU490" s="121"/>
      <c r="AV490" s="121"/>
      <c r="AW490" s="121"/>
      <c r="AX490" s="121"/>
      <c r="AY490" s="121"/>
      <c r="AZ490" s="121"/>
      <c r="BA490" s="121"/>
      <c r="BB490" s="121"/>
      <c r="BC490" s="121"/>
      <c r="BD490" s="121"/>
      <c r="BE490" s="121"/>
      <c r="BF490" s="121"/>
      <c r="BG490" s="121"/>
      <c r="BH490" s="121"/>
      <c r="BI490" s="121"/>
      <c r="BJ490" s="121"/>
      <c r="BK490" s="121"/>
      <c r="BL490" s="121"/>
      <c r="BM490" s="121"/>
      <c r="BN490" s="121"/>
      <c r="BO490" s="121"/>
      <c r="BP490" s="121"/>
      <c r="BQ490" s="121"/>
      <c r="BR490" s="121"/>
      <c r="BS490" s="121"/>
      <c r="BT490" s="121"/>
      <c r="BU490" s="121"/>
      <c r="BV490" s="121"/>
      <c r="BW490" s="121"/>
      <c r="BX490" s="121"/>
      <c r="BY490" s="121"/>
      <c r="BZ490" s="121"/>
      <c r="CA490" s="121"/>
    </row>
    <row r="491" spans="40:79">
      <c r="AN491" s="121"/>
      <c r="AO491" s="121"/>
      <c r="AP491" s="121"/>
      <c r="AQ491" s="121"/>
      <c r="AR491" s="121"/>
      <c r="AS491" s="121"/>
      <c r="AT491" s="121"/>
      <c r="AU491" s="121"/>
      <c r="AV491" s="121"/>
      <c r="AW491" s="121"/>
      <c r="AX491" s="121"/>
      <c r="AY491" s="121"/>
      <c r="AZ491" s="121"/>
      <c r="BA491" s="121"/>
      <c r="BB491" s="121"/>
      <c r="BC491" s="121"/>
      <c r="BD491" s="121"/>
      <c r="BE491" s="121"/>
      <c r="BF491" s="121"/>
      <c r="BG491" s="121"/>
      <c r="BH491" s="121"/>
      <c r="BI491" s="121"/>
      <c r="BJ491" s="121"/>
      <c r="BK491" s="121"/>
      <c r="BL491" s="121"/>
      <c r="BM491" s="121"/>
      <c r="BN491" s="121"/>
      <c r="BO491" s="121"/>
      <c r="BP491" s="121"/>
      <c r="BQ491" s="121"/>
      <c r="BR491" s="121"/>
      <c r="BS491" s="121"/>
      <c r="BT491" s="121"/>
      <c r="BU491" s="121"/>
      <c r="BV491" s="121"/>
      <c r="BW491" s="121"/>
      <c r="BX491" s="121"/>
      <c r="BY491" s="121"/>
      <c r="BZ491" s="121"/>
      <c r="CA491" s="121"/>
    </row>
    <row r="492" spans="40:79">
      <c r="AN492" s="121"/>
      <c r="AO492" s="127"/>
      <c r="AP492" s="127"/>
      <c r="AQ492" s="121"/>
      <c r="AR492" s="123"/>
      <c r="AS492" s="123"/>
      <c r="AT492" s="123"/>
      <c r="AU492" s="123"/>
      <c r="AV492" s="123"/>
      <c r="AW492" s="123"/>
      <c r="AX492" s="123"/>
      <c r="AY492" s="123"/>
      <c r="AZ492" s="123"/>
      <c r="BA492" s="123"/>
      <c r="BB492" s="123"/>
      <c r="BC492" s="123"/>
      <c r="BD492" s="123"/>
      <c r="BE492" s="123"/>
      <c r="BF492" s="123"/>
      <c r="BG492" s="123"/>
      <c r="BH492" s="123"/>
      <c r="BI492" s="123"/>
      <c r="BJ492" s="123"/>
      <c r="BK492" s="123"/>
      <c r="BL492" s="123"/>
      <c r="BM492" s="123"/>
      <c r="BN492" s="123"/>
      <c r="BO492" s="123"/>
      <c r="BP492" s="123"/>
      <c r="BQ492" s="123"/>
      <c r="BR492" s="123"/>
      <c r="BS492" s="123"/>
      <c r="BT492" s="123"/>
      <c r="BU492" s="123"/>
      <c r="BV492" s="123"/>
      <c r="BW492" s="123"/>
      <c r="BX492" s="123"/>
      <c r="BY492" s="123"/>
      <c r="BZ492" s="123"/>
      <c r="CA492" s="123"/>
    </row>
    <row r="493" spans="40:79">
      <c r="AN493" s="121"/>
      <c r="AO493" s="127"/>
      <c r="AP493" s="127"/>
      <c r="AQ493" s="121"/>
      <c r="AR493" s="121"/>
      <c r="AS493" s="121"/>
      <c r="AT493" s="121"/>
      <c r="AU493" s="121"/>
      <c r="AV493" s="121"/>
      <c r="AW493" s="121"/>
      <c r="AX493" s="121"/>
      <c r="AY493" s="121"/>
      <c r="AZ493" s="121"/>
      <c r="BA493" s="121"/>
      <c r="BB493" s="121"/>
      <c r="BC493" s="121"/>
      <c r="BD493" s="121"/>
      <c r="BE493" s="121"/>
      <c r="BF493" s="121"/>
      <c r="BG493" s="121"/>
      <c r="BH493" s="121"/>
      <c r="BI493" s="121"/>
      <c r="BJ493" s="121"/>
      <c r="BK493" s="121"/>
      <c r="BL493" s="121"/>
      <c r="BM493" s="121"/>
      <c r="BN493" s="121"/>
      <c r="BO493" s="121"/>
      <c r="BP493" s="121"/>
      <c r="BQ493" s="121"/>
      <c r="BR493" s="121"/>
      <c r="BS493" s="121"/>
      <c r="BT493" s="121"/>
      <c r="BU493" s="121"/>
      <c r="BV493" s="121"/>
      <c r="BW493" s="121"/>
      <c r="BX493" s="121"/>
      <c r="BY493" s="121"/>
      <c r="BZ493" s="121"/>
      <c r="CA493" s="121"/>
    </row>
    <row r="494" spans="40:79">
      <c r="AN494" s="121"/>
      <c r="AO494" s="124"/>
      <c r="AP494" s="124"/>
      <c r="AQ494" s="125"/>
      <c r="AR494" s="121"/>
      <c r="AS494" s="121"/>
      <c r="AT494" s="121"/>
      <c r="AU494" s="121"/>
      <c r="AV494" s="121"/>
      <c r="AW494" s="121"/>
      <c r="AX494" s="121"/>
      <c r="AY494" s="121"/>
      <c r="AZ494" s="121"/>
      <c r="BA494" s="121"/>
      <c r="BB494" s="121"/>
      <c r="BC494" s="121"/>
      <c r="BD494" s="121"/>
      <c r="BE494" s="121"/>
      <c r="BF494" s="121"/>
      <c r="BG494" s="121"/>
      <c r="BH494" s="121"/>
      <c r="BI494" s="121"/>
      <c r="BJ494" s="121"/>
      <c r="BK494" s="121"/>
      <c r="BL494" s="121"/>
      <c r="BM494" s="121"/>
      <c r="BN494" s="121"/>
      <c r="BO494" s="121"/>
      <c r="BP494" s="121"/>
      <c r="BQ494" s="121"/>
      <c r="BR494" s="121"/>
      <c r="BS494" s="121"/>
      <c r="BT494" s="121"/>
      <c r="BU494" s="121"/>
      <c r="BV494" s="121"/>
      <c r="BW494" s="121"/>
      <c r="BX494" s="121"/>
      <c r="BY494" s="121"/>
      <c r="BZ494" s="121"/>
      <c r="CA494" s="121"/>
    </row>
    <row r="495" spans="40:79">
      <c r="AN495" s="121"/>
      <c r="AO495" s="124"/>
      <c r="AP495" s="124"/>
      <c r="AQ495" s="121"/>
      <c r="AR495" s="121"/>
      <c r="AS495" s="121"/>
      <c r="AT495" s="121"/>
      <c r="AU495" s="121"/>
      <c r="AV495" s="121"/>
      <c r="AW495" s="121"/>
      <c r="AX495" s="121"/>
      <c r="AY495" s="121"/>
      <c r="AZ495" s="121"/>
      <c r="BA495" s="121"/>
      <c r="BB495" s="121"/>
      <c r="BC495" s="121"/>
      <c r="BD495" s="121"/>
      <c r="BE495" s="121"/>
      <c r="BF495" s="121"/>
      <c r="BG495" s="121"/>
      <c r="BH495" s="121"/>
      <c r="BI495" s="121"/>
      <c r="BJ495" s="121"/>
      <c r="BK495" s="121"/>
      <c r="BL495" s="121"/>
      <c r="BM495" s="121"/>
      <c r="BN495" s="121"/>
      <c r="BO495" s="121"/>
      <c r="BP495" s="121"/>
      <c r="BQ495" s="121"/>
      <c r="BR495" s="121"/>
      <c r="BS495" s="121"/>
      <c r="BT495" s="121"/>
      <c r="BU495" s="121"/>
      <c r="BV495" s="121"/>
      <c r="BW495" s="121"/>
      <c r="BX495" s="121"/>
      <c r="BY495" s="121"/>
      <c r="BZ495" s="121"/>
      <c r="CA495" s="121"/>
    </row>
    <row r="496" spans="40:79">
      <c r="AN496" s="121"/>
      <c r="AO496" s="124"/>
      <c r="AP496" s="124"/>
      <c r="AQ496" s="121"/>
      <c r="AR496" s="121"/>
      <c r="AS496" s="121"/>
      <c r="AT496" s="121"/>
      <c r="AU496" s="121"/>
      <c r="AV496" s="121"/>
      <c r="AW496" s="121"/>
      <c r="AX496" s="121"/>
      <c r="AY496" s="121"/>
      <c r="AZ496" s="121"/>
      <c r="BA496" s="121"/>
      <c r="BB496" s="121"/>
      <c r="BC496" s="121"/>
      <c r="BD496" s="121"/>
      <c r="BE496" s="121"/>
      <c r="BF496" s="121"/>
      <c r="BG496" s="121"/>
      <c r="BH496" s="121"/>
      <c r="BI496" s="121"/>
      <c r="BJ496" s="121"/>
      <c r="BK496" s="121"/>
      <c r="BL496" s="121"/>
      <c r="BM496" s="121"/>
      <c r="BN496" s="121"/>
      <c r="BO496" s="121"/>
      <c r="BP496" s="121"/>
      <c r="BQ496" s="121"/>
      <c r="BR496" s="121"/>
      <c r="BS496" s="121"/>
      <c r="BT496" s="121"/>
      <c r="BU496" s="121"/>
      <c r="BV496" s="121"/>
      <c r="BW496" s="121"/>
      <c r="BX496" s="121"/>
      <c r="BY496" s="121"/>
      <c r="BZ496" s="121"/>
      <c r="CA496" s="121"/>
    </row>
    <row r="497" spans="40:79">
      <c r="AN497" s="121"/>
      <c r="AO497" s="124"/>
      <c r="AP497" s="124"/>
      <c r="AQ497" s="121"/>
      <c r="AR497" s="121"/>
      <c r="AS497" s="121"/>
      <c r="AT497" s="121"/>
      <c r="AU497" s="121"/>
      <c r="AV497" s="121"/>
      <c r="AW497" s="121"/>
      <c r="AX497" s="121"/>
      <c r="AY497" s="121"/>
      <c r="AZ497" s="121"/>
      <c r="BA497" s="121"/>
      <c r="BB497" s="121"/>
      <c r="BC497" s="121"/>
      <c r="BD497" s="121"/>
      <c r="BE497" s="121"/>
      <c r="BF497" s="121"/>
      <c r="BG497" s="121"/>
      <c r="BH497" s="121"/>
      <c r="BI497" s="121"/>
      <c r="BJ497" s="121"/>
      <c r="BK497" s="121"/>
      <c r="BL497" s="121"/>
      <c r="BM497" s="121"/>
      <c r="BN497" s="121"/>
      <c r="BO497" s="121"/>
      <c r="BP497" s="121"/>
      <c r="BQ497" s="121"/>
      <c r="BR497" s="121"/>
      <c r="BS497" s="121"/>
      <c r="BT497" s="121"/>
      <c r="BU497" s="121"/>
      <c r="BV497" s="121"/>
      <c r="BW497" s="121"/>
      <c r="BX497" s="121"/>
      <c r="BY497" s="121"/>
      <c r="BZ497" s="121"/>
      <c r="CA497" s="121"/>
    </row>
    <row r="498" spans="40:79">
      <c r="AN498" s="121"/>
      <c r="AO498" s="124"/>
      <c r="AP498" s="124"/>
      <c r="AQ498" s="121"/>
      <c r="AR498" s="121"/>
      <c r="AS498" s="121"/>
      <c r="AT498" s="121"/>
      <c r="AU498" s="121"/>
      <c r="AV498" s="121"/>
      <c r="AW498" s="121"/>
      <c r="AX498" s="121"/>
      <c r="AY498" s="121"/>
      <c r="AZ498" s="121"/>
      <c r="BA498" s="121"/>
      <c r="BB498" s="121"/>
      <c r="BC498" s="121"/>
      <c r="BD498" s="121"/>
      <c r="BE498" s="121"/>
      <c r="BF498" s="121"/>
      <c r="BG498" s="121"/>
      <c r="BH498" s="121"/>
      <c r="BI498" s="121"/>
      <c r="BJ498" s="121"/>
      <c r="BK498" s="121"/>
      <c r="BL498" s="121"/>
      <c r="BM498" s="121"/>
      <c r="BN498" s="121"/>
      <c r="BO498" s="121"/>
      <c r="BP498" s="121"/>
      <c r="BQ498" s="121"/>
      <c r="BR498" s="121"/>
      <c r="BS498" s="121"/>
      <c r="BT498" s="121"/>
      <c r="BU498" s="121"/>
      <c r="BV498" s="121"/>
      <c r="BW498" s="121"/>
      <c r="BX498" s="121"/>
      <c r="BY498" s="121"/>
      <c r="BZ498" s="121"/>
      <c r="CA498" s="121"/>
    </row>
    <row r="499" spans="40:79">
      <c r="AN499" s="121"/>
      <c r="AO499" s="124"/>
      <c r="AP499" s="124"/>
      <c r="AQ499" s="121"/>
      <c r="AR499" s="121"/>
      <c r="AS499" s="121"/>
      <c r="AT499" s="121"/>
      <c r="AU499" s="121"/>
      <c r="AV499" s="121"/>
      <c r="AW499" s="121"/>
      <c r="AX499" s="121"/>
      <c r="AY499" s="121"/>
      <c r="AZ499" s="121"/>
      <c r="BA499" s="121"/>
      <c r="BB499" s="121"/>
      <c r="BC499" s="121"/>
      <c r="BD499" s="121"/>
      <c r="BE499" s="121"/>
      <c r="BF499" s="121"/>
      <c r="BG499" s="121"/>
      <c r="BH499" s="121"/>
      <c r="BI499" s="121"/>
      <c r="BJ499" s="121"/>
      <c r="BK499" s="121"/>
      <c r="BL499" s="121"/>
      <c r="BM499" s="121"/>
      <c r="BN499" s="121"/>
      <c r="BO499" s="121"/>
      <c r="BP499" s="121"/>
      <c r="BQ499" s="121"/>
      <c r="BR499" s="121"/>
      <c r="BS499" s="121"/>
      <c r="BT499" s="121"/>
      <c r="BU499" s="121"/>
      <c r="BV499" s="121"/>
      <c r="BW499" s="121"/>
      <c r="BX499" s="121"/>
      <c r="BY499" s="121"/>
      <c r="BZ499" s="121"/>
      <c r="CA499" s="121"/>
    </row>
    <row r="500" spans="40:79">
      <c r="AN500" s="121"/>
      <c r="AO500" s="124"/>
      <c r="AP500" s="124"/>
      <c r="AQ500" s="121"/>
      <c r="AR500" s="124"/>
      <c r="AS500" s="124"/>
      <c r="AT500" s="124"/>
      <c r="AU500" s="121"/>
      <c r="AV500" s="121"/>
      <c r="AW500" s="121"/>
      <c r="AX500" s="121"/>
      <c r="AY500" s="121"/>
      <c r="AZ500" s="121"/>
      <c r="BA500" s="121"/>
      <c r="BB500" s="121"/>
      <c r="BC500" s="121"/>
      <c r="BD500" s="121"/>
      <c r="BE500" s="121"/>
      <c r="BF500" s="121"/>
      <c r="BG500" s="121"/>
      <c r="BH500" s="121"/>
      <c r="BI500" s="121"/>
      <c r="BJ500" s="121"/>
      <c r="BK500" s="121"/>
      <c r="BL500" s="121"/>
      <c r="BM500" s="121"/>
      <c r="BN500" s="121"/>
      <c r="BO500" s="121"/>
      <c r="BP500" s="121"/>
      <c r="BQ500" s="121"/>
      <c r="BR500" s="121"/>
      <c r="BS500" s="121"/>
      <c r="BT500" s="121"/>
      <c r="BU500" s="121"/>
      <c r="BV500" s="121"/>
      <c r="BW500" s="121"/>
      <c r="BX500" s="121"/>
      <c r="BY500" s="121"/>
      <c r="BZ500" s="121"/>
      <c r="CA500" s="121"/>
    </row>
    <row r="501" spans="40:79">
      <c r="AN501" s="121"/>
      <c r="AO501" s="121"/>
      <c r="AP501" s="121"/>
      <c r="AQ501" s="121"/>
      <c r="AR501" s="121"/>
      <c r="AS501" s="121"/>
      <c r="AT501" s="121"/>
      <c r="AU501" s="121"/>
      <c r="AV501" s="121"/>
      <c r="AW501" s="121"/>
      <c r="AX501" s="121"/>
      <c r="AY501" s="121"/>
      <c r="AZ501" s="121"/>
      <c r="BA501" s="121"/>
      <c r="BB501" s="121"/>
      <c r="BC501" s="121"/>
      <c r="BD501" s="121"/>
      <c r="BE501" s="121"/>
      <c r="BF501" s="121"/>
      <c r="BG501" s="121"/>
      <c r="BH501" s="121"/>
      <c r="BI501" s="121"/>
      <c r="BJ501" s="121"/>
      <c r="BK501" s="121"/>
      <c r="BL501" s="121"/>
      <c r="BM501" s="121"/>
      <c r="BN501" s="121"/>
      <c r="BO501" s="121"/>
      <c r="BP501" s="121"/>
      <c r="BQ501" s="121"/>
      <c r="BR501" s="121"/>
      <c r="BS501" s="121"/>
      <c r="BT501" s="121"/>
      <c r="BU501" s="121"/>
      <c r="BV501" s="121"/>
      <c r="BW501" s="121"/>
      <c r="BX501" s="121"/>
      <c r="BY501" s="121"/>
      <c r="BZ501" s="121"/>
      <c r="CA501" s="121"/>
    </row>
    <row r="502" spans="40:79">
      <c r="AN502" s="121"/>
      <c r="AO502" s="127"/>
      <c r="AP502" s="127"/>
      <c r="AQ502" s="121"/>
      <c r="AR502" s="123"/>
      <c r="AS502" s="123"/>
      <c r="AT502" s="123"/>
      <c r="AU502" s="123"/>
      <c r="AV502" s="123"/>
      <c r="AW502" s="123"/>
      <c r="AX502" s="123"/>
      <c r="AY502" s="123"/>
      <c r="AZ502" s="123"/>
      <c r="BA502" s="123"/>
      <c r="BB502" s="123"/>
      <c r="BC502" s="123"/>
      <c r="BD502" s="123"/>
      <c r="BE502" s="123"/>
      <c r="BF502" s="123"/>
      <c r="BG502" s="123"/>
      <c r="BH502" s="123"/>
      <c r="BI502" s="123"/>
      <c r="BJ502" s="123"/>
      <c r="BK502" s="123"/>
      <c r="BL502" s="123"/>
      <c r="BM502" s="123"/>
      <c r="BN502" s="123"/>
      <c r="BO502" s="123"/>
      <c r="BP502" s="123"/>
      <c r="BQ502" s="123"/>
      <c r="BR502" s="123"/>
      <c r="BS502" s="123"/>
      <c r="BT502" s="123"/>
      <c r="BU502" s="123"/>
      <c r="BV502" s="123"/>
      <c r="BW502" s="123"/>
      <c r="BX502" s="123"/>
      <c r="BY502" s="123"/>
      <c r="BZ502" s="123"/>
      <c r="CA502" s="123"/>
    </row>
    <row r="503" spans="40:79">
      <c r="AN503" s="121"/>
      <c r="AO503" s="127"/>
      <c r="AP503" s="127"/>
      <c r="AQ503" s="121"/>
      <c r="AR503" s="121"/>
      <c r="AS503" s="121"/>
      <c r="AT503" s="121"/>
      <c r="AU503" s="121"/>
      <c r="AV503" s="121"/>
      <c r="AW503" s="121"/>
      <c r="AX503" s="121"/>
      <c r="AY503" s="121"/>
      <c r="AZ503" s="121"/>
      <c r="BA503" s="121"/>
      <c r="BB503" s="121"/>
      <c r="BC503" s="121"/>
      <c r="BD503" s="121"/>
      <c r="BE503" s="121"/>
      <c r="BF503" s="121"/>
      <c r="BG503" s="121"/>
      <c r="BH503" s="121"/>
      <c r="BI503" s="121"/>
      <c r="BJ503" s="121"/>
      <c r="BK503" s="121"/>
      <c r="BL503" s="121"/>
      <c r="BM503" s="121"/>
      <c r="BN503" s="121"/>
      <c r="BO503" s="121"/>
      <c r="BP503" s="121"/>
      <c r="BQ503" s="121"/>
      <c r="BR503" s="121"/>
      <c r="BS503" s="121"/>
      <c r="BT503" s="121"/>
      <c r="BU503" s="121"/>
      <c r="BV503" s="121"/>
      <c r="BW503" s="121"/>
      <c r="BX503" s="121"/>
      <c r="BY503" s="121"/>
      <c r="BZ503" s="121"/>
      <c r="CA503" s="121"/>
    </row>
    <row r="504" spans="40:79">
      <c r="AN504" s="121"/>
      <c r="AO504" s="124"/>
      <c r="AP504" s="124"/>
      <c r="AQ504" s="125"/>
      <c r="AR504" s="121"/>
      <c r="AS504" s="121"/>
      <c r="AT504" s="121"/>
      <c r="AU504" s="121"/>
      <c r="AV504" s="121"/>
      <c r="AW504" s="121"/>
      <c r="AX504" s="121"/>
      <c r="AY504" s="121"/>
      <c r="AZ504" s="121"/>
      <c r="BA504" s="121"/>
      <c r="BB504" s="121"/>
      <c r="BC504" s="121"/>
      <c r="BD504" s="121"/>
      <c r="BE504" s="121"/>
      <c r="BF504" s="121"/>
      <c r="BG504" s="121"/>
      <c r="BH504" s="121"/>
      <c r="BI504" s="121"/>
      <c r="BJ504" s="121"/>
      <c r="BK504" s="121"/>
      <c r="BL504" s="121"/>
      <c r="BM504" s="121"/>
      <c r="BN504" s="121"/>
      <c r="BO504" s="121"/>
      <c r="BP504" s="121"/>
      <c r="BQ504" s="121"/>
      <c r="BR504" s="121"/>
      <c r="BS504" s="121"/>
      <c r="BT504" s="121"/>
      <c r="BU504" s="121"/>
      <c r="BV504" s="121"/>
      <c r="BW504" s="121"/>
      <c r="BX504" s="121"/>
      <c r="BY504" s="121"/>
      <c r="BZ504" s="121"/>
      <c r="CA504" s="121"/>
    </row>
    <row r="505" spans="40:79">
      <c r="AN505" s="121"/>
      <c r="AO505" s="124"/>
      <c r="AP505" s="124"/>
      <c r="AQ505" s="121"/>
      <c r="AR505" s="121"/>
      <c r="AS505" s="121"/>
      <c r="AT505" s="121"/>
      <c r="AU505" s="121"/>
      <c r="AV505" s="121"/>
      <c r="AW505" s="121"/>
      <c r="AX505" s="121"/>
      <c r="AY505" s="121"/>
      <c r="AZ505" s="121"/>
      <c r="BA505" s="121"/>
      <c r="BB505" s="121"/>
      <c r="BC505" s="121"/>
      <c r="BD505" s="121"/>
      <c r="BE505" s="121"/>
      <c r="BF505" s="121"/>
      <c r="BG505" s="121"/>
      <c r="BH505" s="121"/>
      <c r="BI505" s="121"/>
      <c r="BJ505" s="121"/>
      <c r="BK505" s="121"/>
      <c r="BL505" s="121"/>
      <c r="BM505" s="121"/>
      <c r="BN505" s="121"/>
      <c r="BO505" s="121"/>
      <c r="BP505" s="121"/>
      <c r="BQ505" s="121"/>
      <c r="BR505" s="121"/>
      <c r="BS505" s="121"/>
      <c r="BT505" s="121"/>
      <c r="BU505" s="121"/>
      <c r="BV505" s="121"/>
      <c r="BW505" s="121"/>
      <c r="BX505" s="121"/>
      <c r="BY505" s="121"/>
      <c r="BZ505" s="121"/>
      <c r="CA505" s="121"/>
    </row>
    <row r="506" spans="40:79">
      <c r="AN506" s="121"/>
      <c r="AO506" s="124"/>
      <c r="AP506" s="124"/>
      <c r="AQ506" s="121"/>
      <c r="AR506" s="121"/>
      <c r="AS506" s="121"/>
      <c r="AT506" s="121"/>
      <c r="AU506" s="121"/>
      <c r="AV506" s="121"/>
      <c r="AW506" s="121"/>
      <c r="AX506" s="121"/>
      <c r="AY506" s="121"/>
      <c r="AZ506" s="121"/>
      <c r="BA506" s="121"/>
      <c r="BB506" s="121"/>
      <c r="BC506" s="121"/>
      <c r="BD506" s="121"/>
      <c r="BE506" s="121"/>
      <c r="BF506" s="121"/>
      <c r="BG506" s="121"/>
      <c r="BH506" s="121"/>
      <c r="BI506" s="121"/>
      <c r="BJ506" s="121"/>
      <c r="BK506" s="121"/>
      <c r="BL506" s="121"/>
      <c r="BM506" s="121"/>
      <c r="BN506" s="121"/>
      <c r="BO506" s="121"/>
      <c r="BP506" s="121"/>
      <c r="BQ506" s="121"/>
      <c r="BR506" s="121"/>
      <c r="BS506" s="121"/>
      <c r="BT506" s="121"/>
      <c r="BU506" s="121"/>
      <c r="BV506" s="121"/>
      <c r="BW506" s="121"/>
      <c r="BX506" s="121"/>
      <c r="BY506" s="121"/>
      <c r="BZ506" s="121"/>
      <c r="CA506" s="121"/>
    </row>
    <row r="507" spans="40:79">
      <c r="AN507" s="121"/>
      <c r="AO507" s="124"/>
      <c r="AP507" s="124"/>
      <c r="AQ507" s="121"/>
      <c r="AR507" s="121"/>
      <c r="AS507" s="121"/>
      <c r="AT507" s="121"/>
      <c r="AU507" s="121"/>
      <c r="AV507" s="121"/>
      <c r="AW507" s="121"/>
      <c r="AX507" s="121"/>
      <c r="AY507" s="121"/>
      <c r="AZ507" s="121"/>
      <c r="BA507" s="121"/>
      <c r="BB507" s="121"/>
      <c r="BC507" s="121"/>
      <c r="BD507" s="121"/>
      <c r="BE507" s="121"/>
      <c r="BF507" s="121"/>
      <c r="BG507" s="121"/>
      <c r="BH507" s="121"/>
      <c r="BI507" s="121"/>
      <c r="BJ507" s="121"/>
      <c r="BK507" s="121"/>
      <c r="BL507" s="121"/>
      <c r="BM507" s="121"/>
      <c r="BN507" s="121"/>
      <c r="BO507" s="121"/>
      <c r="BP507" s="121"/>
      <c r="BQ507" s="121"/>
      <c r="BR507" s="121"/>
      <c r="BS507" s="121"/>
      <c r="BT507" s="121"/>
      <c r="BU507" s="121"/>
      <c r="BV507" s="121"/>
      <c r="BW507" s="121"/>
      <c r="BX507" s="121"/>
      <c r="BY507" s="121"/>
      <c r="BZ507" s="121"/>
      <c r="CA507" s="121"/>
    </row>
    <row r="508" spans="40:79">
      <c r="AN508" s="121"/>
      <c r="AO508" s="124"/>
      <c r="AP508" s="124"/>
      <c r="AQ508" s="121"/>
      <c r="AR508" s="121"/>
      <c r="AS508" s="121"/>
      <c r="AT508" s="121"/>
      <c r="AU508" s="121"/>
      <c r="AV508" s="121"/>
      <c r="AW508" s="121"/>
      <c r="AX508" s="121"/>
      <c r="AY508" s="121"/>
      <c r="AZ508" s="121"/>
      <c r="BA508" s="121"/>
      <c r="BB508" s="121"/>
      <c r="BC508" s="121"/>
      <c r="BD508" s="121"/>
      <c r="BE508" s="121"/>
      <c r="BF508" s="121"/>
      <c r="BG508" s="121"/>
      <c r="BH508" s="121"/>
      <c r="BI508" s="121"/>
      <c r="BJ508" s="121"/>
      <c r="BK508" s="121"/>
      <c r="BL508" s="121"/>
      <c r="BM508" s="121"/>
      <c r="BN508" s="121"/>
      <c r="BO508" s="121"/>
      <c r="BP508" s="121"/>
      <c r="BQ508" s="121"/>
      <c r="BR508" s="121"/>
      <c r="BS508" s="121"/>
      <c r="BT508" s="121"/>
      <c r="BU508" s="121"/>
      <c r="BV508" s="121"/>
      <c r="BW508" s="121"/>
      <c r="BX508" s="121"/>
      <c r="BY508" s="121"/>
      <c r="BZ508" s="121"/>
      <c r="CA508" s="121"/>
    </row>
    <row r="509" spans="40:79">
      <c r="AN509" s="121"/>
      <c r="AO509" s="124"/>
      <c r="AP509" s="124"/>
      <c r="AQ509" s="121"/>
      <c r="AR509" s="121"/>
      <c r="AS509" s="121"/>
      <c r="AT509" s="121"/>
      <c r="AU509" s="121"/>
      <c r="AV509" s="121"/>
      <c r="AW509" s="121"/>
      <c r="AX509" s="121"/>
      <c r="AY509" s="121"/>
      <c r="AZ509" s="121"/>
      <c r="BA509" s="121"/>
      <c r="BB509" s="121"/>
      <c r="BC509" s="121"/>
      <c r="BD509" s="121"/>
      <c r="BE509" s="121"/>
      <c r="BF509" s="121"/>
      <c r="BG509" s="121"/>
      <c r="BH509" s="121"/>
      <c r="BI509" s="121"/>
      <c r="BJ509" s="121"/>
      <c r="BK509" s="121"/>
      <c r="BL509" s="121"/>
      <c r="BM509" s="121"/>
      <c r="BN509" s="121"/>
      <c r="BO509" s="121"/>
      <c r="BP509" s="121"/>
      <c r="BQ509" s="121"/>
      <c r="BR509" s="121"/>
      <c r="BS509" s="121"/>
      <c r="BT509" s="121"/>
      <c r="BU509" s="121"/>
      <c r="BV509" s="121"/>
      <c r="BW509" s="121"/>
      <c r="BX509" s="121"/>
      <c r="BY509" s="121"/>
      <c r="BZ509" s="121"/>
      <c r="CA509" s="121"/>
    </row>
    <row r="510" spans="40:79">
      <c r="AN510" s="121"/>
      <c r="AO510" s="124"/>
      <c r="AP510" s="124"/>
      <c r="AQ510" s="121"/>
      <c r="AR510" s="124"/>
      <c r="AS510" s="124"/>
      <c r="AT510" s="124"/>
      <c r="AU510" s="121"/>
      <c r="AV510" s="121"/>
      <c r="AW510" s="121"/>
      <c r="AX510" s="121"/>
      <c r="AY510" s="121"/>
      <c r="AZ510" s="121"/>
      <c r="BA510" s="121"/>
      <c r="BB510" s="121"/>
      <c r="BC510" s="121"/>
      <c r="BD510" s="121"/>
      <c r="BE510" s="121"/>
      <c r="BF510" s="121"/>
      <c r="BG510" s="121"/>
      <c r="BH510" s="121"/>
      <c r="BI510" s="121"/>
      <c r="BJ510" s="121"/>
      <c r="BK510" s="121"/>
      <c r="BL510" s="121"/>
      <c r="BM510" s="121"/>
      <c r="BN510" s="121"/>
      <c r="BO510" s="121"/>
      <c r="BP510" s="121"/>
      <c r="BQ510" s="121"/>
      <c r="BR510" s="121"/>
      <c r="BS510" s="121"/>
      <c r="BT510" s="121"/>
      <c r="BU510" s="121"/>
      <c r="BV510" s="121"/>
      <c r="BW510" s="121"/>
      <c r="BX510" s="121"/>
      <c r="BY510" s="121"/>
      <c r="BZ510" s="121"/>
      <c r="CA510" s="121"/>
    </row>
    <row r="511" spans="40:79">
      <c r="AN511" s="121"/>
      <c r="AO511" s="121"/>
      <c r="AP511" s="121"/>
      <c r="AQ511" s="121"/>
      <c r="AR511" s="121"/>
      <c r="AS511" s="121"/>
      <c r="AT511" s="121"/>
      <c r="AU511" s="121"/>
      <c r="AV511" s="121"/>
      <c r="AW511" s="121"/>
      <c r="AX511" s="121"/>
      <c r="AY511" s="121"/>
      <c r="AZ511" s="121"/>
      <c r="BA511" s="121"/>
      <c r="BB511" s="121"/>
      <c r="BC511" s="121"/>
      <c r="BD511" s="121"/>
      <c r="BE511" s="121"/>
      <c r="BF511" s="121"/>
      <c r="BG511" s="121"/>
      <c r="BH511" s="121"/>
      <c r="BI511" s="121"/>
      <c r="BJ511" s="121"/>
      <c r="BK511" s="121"/>
      <c r="BL511" s="121"/>
      <c r="BM511" s="121"/>
      <c r="BN511" s="121"/>
      <c r="BO511" s="121"/>
      <c r="BP511" s="121"/>
      <c r="BQ511" s="121"/>
      <c r="BR511" s="121"/>
      <c r="BS511" s="121"/>
      <c r="BT511" s="121"/>
      <c r="BU511" s="121"/>
      <c r="BV511" s="121"/>
      <c r="BW511" s="121"/>
      <c r="BX511" s="121"/>
      <c r="BY511" s="121"/>
      <c r="BZ511" s="121"/>
      <c r="CA511" s="121"/>
    </row>
    <row r="512" spans="40:79">
      <c r="AN512" s="121"/>
      <c r="AO512" s="127"/>
      <c r="AP512" s="127"/>
      <c r="AQ512" s="121"/>
      <c r="AR512" s="123"/>
      <c r="AS512" s="123"/>
      <c r="AT512" s="123"/>
      <c r="AU512" s="123"/>
      <c r="AV512" s="123"/>
      <c r="AW512" s="123"/>
      <c r="AX512" s="123"/>
      <c r="AY512" s="123"/>
      <c r="AZ512" s="123"/>
      <c r="BA512" s="123"/>
      <c r="BB512" s="123"/>
      <c r="BC512" s="123"/>
      <c r="BD512" s="123"/>
      <c r="BE512" s="123"/>
      <c r="BF512" s="123"/>
      <c r="BG512" s="123"/>
      <c r="BH512" s="123"/>
      <c r="BI512" s="123"/>
      <c r="BJ512" s="123"/>
      <c r="BK512" s="123"/>
      <c r="BL512" s="123"/>
      <c r="BM512" s="123"/>
      <c r="BN512" s="123"/>
      <c r="BO512" s="123"/>
      <c r="BP512" s="123"/>
      <c r="BQ512" s="123"/>
      <c r="BR512" s="123"/>
      <c r="BS512" s="123"/>
      <c r="BT512" s="123"/>
      <c r="BU512" s="123"/>
      <c r="BV512" s="123"/>
      <c r="BW512" s="123"/>
      <c r="BX512" s="123"/>
      <c r="BY512" s="123"/>
      <c r="BZ512" s="123"/>
      <c r="CA512" s="123"/>
    </row>
    <row r="513" spans="40:79">
      <c r="AN513" s="121"/>
      <c r="AO513" s="127"/>
      <c r="AP513" s="127"/>
      <c r="AQ513" s="121"/>
      <c r="AR513" s="121"/>
      <c r="AS513" s="121"/>
      <c r="AT513" s="121"/>
      <c r="AU513" s="121"/>
      <c r="AV513" s="121"/>
      <c r="AW513" s="121"/>
      <c r="AX513" s="121"/>
      <c r="AY513" s="121"/>
      <c r="AZ513" s="121"/>
      <c r="BA513" s="121"/>
      <c r="BB513" s="121"/>
      <c r="BC513" s="121"/>
      <c r="BD513" s="121"/>
      <c r="BE513" s="121"/>
      <c r="BF513" s="121"/>
      <c r="BG513" s="121"/>
      <c r="BH513" s="121"/>
      <c r="BI513" s="121"/>
      <c r="BJ513" s="121"/>
      <c r="BK513" s="121"/>
      <c r="BL513" s="121"/>
      <c r="BM513" s="121"/>
      <c r="BN513" s="121"/>
      <c r="BO513" s="121"/>
      <c r="BP513" s="121"/>
      <c r="BQ513" s="121"/>
      <c r="BR513" s="121"/>
      <c r="BS513" s="121"/>
      <c r="BT513" s="121"/>
      <c r="BU513" s="121"/>
      <c r="BV513" s="121"/>
      <c r="BW513" s="121"/>
      <c r="BX513" s="121"/>
      <c r="BY513" s="121"/>
      <c r="BZ513" s="121"/>
      <c r="CA513" s="121"/>
    </row>
    <row r="514" spans="40:79">
      <c r="AN514" s="121"/>
      <c r="AO514" s="124"/>
      <c r="AP514" s="124"/>
      <c r="AQ514" s="125"/>
      <c r="AR514" s="121"/>
      <c r="AS514" s="121"/>
      <c r="AT514" s="121"/>
      <c r="AU514" s="121"/>
      <c r="AV514" s="121"/>
      <c r="AW514" s="121"/>
      <c r="AX514" s="121"/>
      <c r="AY514" s="121"/>
      <c r="AZ514" s="121"/>
      <c r="BA514" s="121"/>
      <c r="BB514" s="121"/>
      <c r="BC514" s="121"/>
      <c r="BD514" s="121"/>
      <c r="BE514" s="121"/>
      <c r="BF514" s="121"/>
      <c r="BG514" s="121"/>
      <c r="BH514" s="121"/>
      <c r="BI514" s="121"/>
      <c r="BJ514" s="121"/>
      <c r="BK514" s="121"/>
      <c r="BL514" s="121"/>
      <c r="BM514" s="121"/>
      <c r="BN514" s="121"/>
      <c r="BO514" s="121"/>
      <c r="BP514" s="121"/>
      <c r="BQ514" s="121"/>
      <c r="BR514" s="121"/>
      <c r="BS514" s="121"/>
      <c r="BT514" s="121"/>
      <c r="BU514" s="121"/>
      <c r="BV514" s="121"/>
      <c r="BW514" s="121"/>
      <c r="BX514" s="121"/>
      <c r="BY514" s="121"/>
      <c r="BZ514" s="121"/>
      <c r="CA514" s="121"/>
    </row>
    <row r="515" spans="40:79">
      <c r="AN515" s="121"/>
      <c r="AO515" s="124"/>
      <c r="AP515" s="124"/>
      <c r="AQ515" s="121"/>
      <c r="AR515" s="121"/>
      <c r="AS515" s="121"/>
      <c r="AT515" s="121"/>
      <c r="AU515" s="121"/>
      <c r="AV515" s="121"/>
      <c r="AW515" s="121"/>
      <c r="AX515" s="121"/>
      <c r="AY515" s="121"/>
      <c r="AZ515" s="121"/>
      <c r="BA515" s="121"/>
      <c r="BB515" s="121"/>
      <c r="BC515" s="121"/>
      <c r="BD515" s="121"/>
      <c r="BE515" s="121"/>
      <c r="BF515" s="121"/>
      <c r="BG515" s="121"/>
      <c r="BH515" s="121"/>
      <c r="BI515" s="121"/>
      <c r="BJ515" s="121"/>
      <c r="BK515" s="121"/>
      <c r="BL515" s="121"/>
      <c r="BM515" s="121"/>
      <c r="BN515" s="121"/>
      <c r="BO515" s="121"/>
      <c r="BP515" s="121"/>
      <c r="BQ515" s="121"/>
      <c r="BR515" s="121"/>
      <c r="BS515" s="121"/>
      <c r="BT515" s="121"/>
      <c r="BU515" s="121"/>
      <c r="BV515" s="121"/>
      <c r="BW515" s="121"/>
      <c r="BX515" s="121"/>
      <c r="BY515" s="121"/>
      <c r="BZ515" s="121"/>
      <c r="CA515" s="121"/>
    </row>
    <row r="516" spans="40:79">
      <c r="AN516" s="121"/>
      <c r="AO516" s="124"/>
      <c r="AP516" s="124"/>
      <c r="AQ516" s="121"/>
      <c r="AR516" s="121"/>
      <c r="AS516" s="121"/>
      <c r="AT516" s="121"/>
      <c r="AU516" s="121"/>
      <c r="AV516" s="121"/>
      <c r="AW516" s="121"/>
      <c r="AX516" s="121"/>
      <c r="AY516" s="121"/>
      <c r="AZ516" s="121"/>
      <c r="BA516" s="121"/>
      <c r="BB516" s="121"/>
      <c r="BC516" s="121"/>
      <c r="BD516" s="121"/>
      <c r="BE516" s="121"/>
      <c r="BF516" s="121"/>
      <c r="BG516" s="121"/>
      <c r="BH516" s="121"/>
      <c r="BI516" s="121"/>
      <c r="BJ516" s="121"/>
      <c r="BK516" s="121"/>
      <c r="BL516" s="121"/>
      <c r="BM516" s="121"/>
      <c r="BN516" s="121"/>
      <c r="BO516" s="121"/>
      <c r="BP516" s="121"/>
      <c r="BQ516" s="121"/>
      <c r="BR516" s="121"/>
      <c r="BS516" s="121"/>
      <c r="BT516" s="121"/>
      <c r="BU516" s="121"/>
      <c r="BV516" s="121"/>
      <c r="BW516" s="121"/>
      <c r="BX516" s="121"/>
      <c r="BY516" s="121"/>
      <c r="BZ516" s="121"/>
      <c r="CA516" s="121"/>
    </row>
    <row r="517" spans="40:79">
      <c r="AN517" s="121"/>
      <c r="AO517" s="124"/>
      <c r="AP517" s="124"/>
      <c r="AQ517" s="121"/>
      <c r="AR517" s="121"/>
      <c r="AS517" s="121"/>
      <c r="AT517" s="121"/>
      <c r="AU517" s="121"/>
      <c r="AV517" s="121"/>
      <c r="AW517" s="121"/>
      <c r="AX517" s="121"/>
      <c r="AY517" s="121"/>
      <c r="AZ517" s="121"/>
      <c r="BA517" s="121"/>
      <c r="BB517" s="121"/>
      <c r="BC517" s="121"/>
      <c r="BD517" s="121"/>
      <c r="BE517" s="121"/>
      <c r="BF517" s="121"/>
      <c r="BG517" s="121"/>
      <c r="BH517" s="121"/>
      <c r="BI517" s="121"/>
      <c r="BJ517" s="121"/>
      <c r="BK517" s="121"/>
      <c r="BL517" s="121"/>
      <c r="BM517" s="121"/>
      <c r="BN517" s="121"/>
      <c r="BO517" s="121"/>
      <c r="BP517" s="121"/>
      <c r="BQ517" s="121"/>
      <c r="BR517" s="121"/>
      <c r="BS517" s="121"/>
      <c r="BT517" s="121"/>
      <c r="BU517" s="121"/>
      <c r="BV517" s="121"/>
      <c r="BW517" s="121"/>
      <c r="BX517" s="121"/>
      <c r="BY517" s="121"/>
      <c r="BZ517" s="121"/>
      <c r="CA517" s="121"/>
    </row>
    <row r="518" spans="40:79">
      <c r="AN518" s="121"/>
      <c r="AO518" s="124"/>
      <c r="AP518" s="124"/>
      <c r="AQ518" s="121"/>
      <c r="AR518" s="121"/>
      <c r="AS518" s="121"/>
      <c r="AT518" s="121"/>
      <c r="AU518" s="121"/>
      <c r="AV518" s="121"/>
      <c r="AW518" s="121"/>
      <c r="AX518" s="121"/>
      <c r="AY518" s="121"/>
      <c r="AZ518" s="121"/>
      <c r="BA518" s="121"/>
      <c r="BB518" s="121"/>
      <c r="BC518" s="121"/>
      <c r="BD518" s="121"/>
      <c r="BE518" s="121"/>
      <c r="BF518" s="121"/>
      <c r="BG518" s="121"/>
      <c r="BH518" s="121"/>
      <c r="BI518" s="121"/>
      <c r="BJ518" s="121"/>
      <c r="BK518" s="121"/>
      <c r="BL518" s="121"/>
      <c r="BM518" s="121"/>
      <c r="BN518" s="121"/>
      <c r="BO518" s="121"/>
      <c r="BP518" s="121"/>
      <c r="BQ518" s="121"/>
      <c r="BR518" s="121"/>
      <c r="BS518" s="121"/>
      <c r="BT518" s="121"/>
      <c r="BU518" s="121"/>
      <c r="BV518" s="121"/>
      <c r="BW518" s="121"/>
      <c r="BX518" s="121"/>
      <c r="BY518" s="121"/>
      <c r="BZ518" s="121"/>
      <c r="CA518" s="121"/>
    </row>
    <row r="519" spans="40:79">
      <c r="AN519" s="121"/>
      <c r="AO519" s="124"/>
      <c r="AP519" s="124"/>
      <c r="AQ519" s="121"/>
      <c r="AR519" s="121"/>
      <c r="AS519" s="121"/>
      <c r="AT519" s="121"/>
      <c r="AU519" s="121"/>
      <c r="AV519" s="121"/>
      <c r="AW519" s="121"/>
      <c r="AX519" s="121"/>
      <c r="AY519" s="121"/>
      <c r="AZ519" s="121"/>
      <c r="BA519" s="121"/>
      <c r="BB519" s="121"/>
      <c r="BC519" s="121"/>
      <c r="BD519" s="121"/>
      <c r="BE519" s="121"/>
      <c r="BF519" s="121"/>
      <c r="BG519" s="121"/>
      <c r="BH519" s="121"/>
      <c r="BI519" s="121"/>
      <c r="BJ519" s="121"/>
      <c r="BK519" s="121"/>
      <c r="BL519" s="121"/>
      <c r="BM519" s="121"/>
      <c r="BN519" s="121"/>
      <c r="BO519" s="121"/>
      <c r="BP519" s="121"/>
      <c r="BQ519" s="121"/>
      <c r="BR519" s="121"/>
      <c r="BS519" s="121"/>
      <c r="BT519" s="121"/>
      <c r="BU519" s="121"/>
      <c r="BV519" s="121"/>
      <c r="BW519" s="121"/>
      <c r="BX519" s="121"/>
      <c r="BY519" s="121"/>
      <c r="BZ519" s="121"/>
      <c r="CA519" s="121"/>
    </row>
    <row r="520" spans="40:79">
      <c r="AN520" s="121"/>
      <c r="AO520" s="124"/>
      <c r="AP520" s="124"/>
      <c r="AQ520" s="121"/>
      <c r="AR520" s="124"/>
      <c r="AS520" s="124"/>
      <c r="AT520" s="124"/>
      <c r="AU520" s="121"/>
      <c r="AV520" s="121"/>
      <c r="AW520" s="121"/>
      <c r="AX520" s="121"/>
      <c r="AY520" s="121"/>
      <c r="AZ520" s="121"/>
      <c r="BA520" s="121"/>
      <c r="BB520" s="121"/>
      <c r="BC520" s="121"/>
      <c r="BD520" s="121"/>
      <c r="BE520" s="121"/>
      <c r="BF520" s="121"/>
      <c r="BG520" s="121"/>
      <c r="BH520" s="121"/>
      <c r="BI520" s="121"/>
      <c r="BJ520" s="121"/>
      <c r="BK520" s="121"/>
      <c r="BL520" s="121"/>
      <c r="BM520" s="121"/>
      <c r="BN520" s="121"/>
      <c r="BO520" s="121"/>
      <c r="BP520" s="121"/>
      <c r="BQ520" s="121"/>
      <c r="BR520" s="121"/>
      <c r="BS520" s="121"/>
      <c r="BT520" s="121"/>
      <c r="BU520" s="121"/>
      <c r="BV520" s="121"/>
      <c r="BW520" s="121"/>
      <c r="BX520" s="121"/>
      <c r="BY520" s="121"/>
      <c r="BZ520" s="121"/>
      <c r="CA520" s="121"/>
    </row>
    <row r="521" spans="40:79">
      <c r="AN521" s="121"/>
      <c r="AO521" s="121"/>
      <c r="AP521" s="121"/>
      <c r="AQ521" s="121"/>
      <c r="AR521" s="121"/>
      <c r="AS521" s="121"/>
      <c r="AT521" s="121"/>
      <c r="AU521" s="121"/>
      <c r="AV521" s="121"/>
      <c r="AW521" s="121"/>
      <c r="AX521" s="121"/>
      <c r="AY521" s="121"/>
      <c r="AZ521" s="121"/>
      <c r="BA521" s="121"/>
      <c r="BB521" s="121"/>
      <c r="BC521" s="121"/>
      <c r="BD521" s="121"/>
      <c r="BE521" s="121"/>
      <c r="BF521" s="121"/>
      <c r="BG521" s="121"/>
      <c r="BH521" s="121"/>
      <c r="BI521" s="121"/>
      <c r="BJ521" s="121"/>
      <c r="BK521" s="121"/>
      <c r="BL521" s="121"/>
      <c r="BM521" s="121"/>
      <c r="BN521" s="121"/>
      <c r="BO521" s="121"/>
      <c r="BP521" s="121"/>
      <c r="BQ521" s="121"/>
      <c r="BR521" s="121"/>
      <c r="BS521" s="121"/>
      <c r="BT521" s="121"/>
      <c r="BU521" s="121"/>
      <c r="BV521" s="121"/>
      <c r="BW521" s="121"/>
      <c r="BX521" s="121"/>
      <c r="BY521" s="121"/>
      <c r="BZ521" s="121"/>
      <c r="CA521" s="121"/>
    </row>
    <row r="522" spans="40:79">
      <c r="AN522" s="121"/>
      <c r="AO522" s="127"/>
      <c r="AP522" s="127"/>
      <c r="AQ522" s="121"/>
      <c r="AR522" s="123"/>
      <c r="AS522" s="123"/>
      <c r="AT522" s="123"/>
      <c r="AU522" s="123"/>
      <c r="AV522" s="123"/>
      <c r="AW522" s="123"/>
      <c r="AX522" s="123"/>
      <c r="AY522" s="123"/>
      <c r="AZ522" s="123"/>
      <c r="BA522" s="123"/>
      <c r="BB522" s="123"/>
      <c r="BC522" s="123"/>
      <c r="BD522" s="123"/>
      <c r="BE522" s="123"/>
      <c r="BF522" s="123"/>
      <c r="BG522" s="123"/>
      <c r="BH522" s="123"/>
      <c r="BI522" s="123"/>
      <c r="BJ522" s="123"/>
      <c r="BK522" s="123"/>
      <c r="BL522" s="123"/>
      <c r="BM522" s="123"/>
      <c r="BN522" s="123"/>
      <c r="BO522" s="123"/>
      <c r="BP522" s="123"/>
      <c r="BQ522" s="123"/>
      <c r="BR522" s="123"/>
      <c r="BS522" s="123"/>
      <c r="BT522" s="123"/>
      <c r="BU522" s="123"/>
      <c r="BV522" s="123"/>
      <c r="BW522" s="123"/>
      <c r="BX522" s="123"/>
      <c r="BY522" s="123"/>
      <c r="BZ522" s="123"/>
      <c r="CA522" s="123"/>
    </row>
    <row r="523" spans="40:79">
      <c r="AN523" s="121"/>
      <c r="AO523" s="127"/>
      <c r="AP523" s="127"/>
      <c r="AQ523" s="121"/>
      <c r="AR523" s="121"/>
      <c r="AS523" s="121"/>
      <c r="AT523" s="121"/>
      <c r="AU523" s="121"/>
      <c r="AV523" s="121"/>
      <c r="AW523" s="121"/>
      <c r="AX523" s="121"/>
      <c r="AY523" s="121"/>
      <c r="AZ523" s="121"/>
      <c r="BA523" s="121"/>
      <c r="BB523" s="121"/>
      <c r="BC523" s="121"/>
      <c r="BD523" s="121"/>
      <c r="BE523" s="121"/>
      <c r="BF523" s="121"/>
      <c r="BG523" s="121"/>
      <c r="BH523" s="121"/>
      <c r="BI523" s="121"/>
      <c r="BJ523" s="121"/>
      <c r="BK523" s="121"/>
      <c r="BL523" s="121"/>
      <c r="BM523" s="121"/>
      <c r="BN523" s="121"/>
      <c r="BO523" s="121"/>
      <c r="BP523" s="121"/>
      <c r="BQ523" s="121"/>
      <c r="BR523" s="121"/>
      <c r="BS523" s="121"/>
      <c r="BT523" s="121"/>
      <c r="BU523" s="121"/>
      <c r="BV523" s="121"/>
      <c r="BW523" s="121"/>
      <c r="BX523" s="121"/>
      <c r="BY523" s="121"/>
      <c r="BZ523" s="121"/>
      <c r="CA523" s="121"/>
    </row>
    <row r="524" spans="40:79">
      <c r="AN524" s="121"/>
      <c r="AO524" s="124"/>
      <c r="AP524" s="124"/>
      <c r="AQ524" s="121"/>
      <c r="AR524" s="121"/>
      <c r="AS524" s="121"/>
      <c r="AT524" s="121"/>
      <c r="AU524" s="121"/>
      <c r="AV524" s="121"/>
      <c r="AW524" s="121"/>
      <c r="AX524" s="121"/>
      <c r="AY524" s="121"/>
      <c r="AZ524" s="121"/>
      <c r="BA524" s="121"/>
      <c r="BB524" s="121"/>
      <c r="BC524" s="121"/>
      <c r="BD524" s="121"/>
      <c r="BE524" s="121"/>
      <c r="BF524" s="121"/>
      <c r="BG524" s="121"/>
      <c r="BH524" s="121"/>
      <c r="BI524" s="121"/>
      <c r="BJ524" s="121"/>
      <c r="BK524" s="121"/>
      <c r="BL524" s="121"/>
      <c r="BM524" s="121"/>
      <c r="BN524" s="121"/>
      <c r="BO524" s="121"/>
      <c r="BP524" s="121"/>
      <c r="BQ524" s="121"/>
      <c r="BR524" s="121"/>
      <c r="BS524" s="121"/>
      <c r="BT524" s="121"/>
      <c r="BU524" s="121"/>
      <c r="BV524" s="121"/>
      <c r="BW524" s="121"/>
      <c r="BX524" s="121"/>
      <c r="BY524" s="121"/>
      <c r="BZ524" s="121"/>
      <c r="CA524" s="121"/>
    </row>
    <row r="525" spans="40:79">
      <c r="AN525" s="121"/>
      <c r="AO525" s="124"/>
      <c r="AP525" s="124"/>
      <c r="AQ525" s="121"/>
      <c r="AR525" s="121"/>
      <c r="AS525" s="121"/>
      <c r="AT525" s="121"/>
      <c r="AU525" s="121"/>
      <c r="AV525" s="121"/>
      <c r="AW525" s="121"/>
      <c r="AX525" s="121"/>
      <c r="AY525" s="121"/>
      <c r="AZ525" s="121"/>
      <c r="BA525" s="121"/>
      <c r="BB525" s="121"/>
      <c r="BC525" s="121"/>
      <c r="BD525" s="121"/>
      <c r="BE525" s="121"/>
      <c r="BF525" s="121"/>
      <c r="BG525" s="121"/>
      <c r="BH525" s="121"/>
      <c r="BI525" s="121"/>
      <c r="BJ525" s="121"/>
      <c r="BK525" s="121"/>
      <c r="BL525" s="121"/>
      <c r="BM525" s="121"/>
      <c r="BN525" s="121"/>
      <c r="BO525" s="121"/>
      <c r="BP525" s="121"/>
      <c r="BQ525" s="121"/>
      <c r="BR525" s="121"/>
      <c r="BS525" s="121"/>
      <c r="BT525" s="121"/>
      <c r="BU525" s="121"/>
      <c r="BV525" s="121"/>
      <c r="BW525" s="121"/>
      <c r="BX525" s="121"/>
      <c r="BY525" s="121"/>
      <c r="BZ525" s="121"/>
      <c r="CA525" s="121"/>
    </row>
    <row r="526" spans="40:79">
      <c r="AN526" s="121"/>
      <c r="AO526" s="124"/>
      <c r="AP526" s="124"/>
      <c r="AQ526" s="121"/>
      <c r="AR526" s="121"/>
      <c r="AS526" s="121"/>
      <c r="AT526" s="121"/>
      <c r="AU526" s="121"/>
      <c r="AV526" s="121"/>
      <c r="AW526" s="121"/>
      <c r="AX526" s="121"/>
      <c r="AY526" s="121"/>
      <c r="AZ526" s="121"/>
      <c r="BA526" s="121"/>
      <c r="BB526" s="121"/>
      <c r="BC526" s="121"/>
      <c r="BD526" s="121"/>
      <c r="BE526" s="121"/>
      <c r="BF526" s="121"/>
      <c r="BG526" s="121"/>
      <c r="BH526" s="121"/>
      <c r="BI526" s="121"/>
      <c r="BJ526" s="121"/>
      <c r="BK526" s="121"/>
      <c r="BL526" s="121"/>
      <c r="BM526" s="121"/>
      <c r="BN526" s="121"/>
      <c r="BO526" s="121"/>
      <c r="BP526" s="121"/>
      <c r="BQ526" s="121"/>
      <c r="BR526" s="121"/>
      <c r="BS526" s="121"/>
      <c r="BT526" s="121"/>
      <c r="BU526" s="121"/>
      <c r="BV526" s="121"/>
      <c r="BW526" s="121"/>
      <c r="BX526" s="121"/>
      <c r="BY526" s="121"/>
      <c r="BZ526" s="121"/>
      <c r="CA526" s="121"/>
    </row>
    <row r="527" spans="40:79">
      <c r="AN527" s="121"/>
      <c r="AO527" s="124"/>
      <c r="AP527" s="124"/>
      <c r="AQ527" s="121"/>
      <c r="AR527" s="121"/>
      <c r="AS527" s="121"/>
      <c r="AT527" s="121"/>
      <c r="AU527" s="121"/>
      <c r="AV527" s="121"/>
      <c r="AW527" s="121"/>
      <c r="AX527" s="121"/>
      <c r="AY527" s="121"/>
      <c r="AZ527" s="121"/>
      <c r="BA527" s="121"/>
      <c r="BB527" s="121"/>
      <c r="BC527" s="121"/>
      <c r="BD527" s="121"/>
      <c r="BE527" s="121"/>
      <c r="BF527" s="121"/>
      <c r="BG527" s="121"/>
      <c r="BH527" s="121"/>
      <c r="BI527" s="121"/>
      <c r="BJ527" s="121"/>
      <c r="BK527" s="121"/>
      <c r="BL527" s="121"/>
      <c r="BM527" s="121"/>
      <c r="BN527" s="121"/>
      <c r="BO527" s="121"/>
      <c r="BP527" s="121"/>
      <c r="BQ527" s="121"/>
      <c r="BR527" s="121"/>
      <c r="BS527" s="121"/>
      <c r="BT527" s="121"/>
      <c r="BU527" s="121"/>
      <c r="BV527" s="121"/>
      <c r="BW527" s="121"/>
      <c r="BX527" s="121"/>
      <c r="BY527" s="121"/>
      <c r="BZ527" s="121"/>
      <c r="CA527" s="121"/>
    </row>
    <row r="528" spans="40:79">
      <c r="AN528" s="121"/>
      <c r="AO528" s="124"/>
      <c r="AP528" s="124"/>
      <c r="AQ528" s="121"/>
      <c r="AR528" s="121"/>
      <c r="AS528" s="121"/>
      <c r="AT528" s="121"/>
      <c r="AU528" s="121"/>
      <c r="AV528" s="121"/>
      <c r="AW528" s="121"/>
      <c r="AX528" s="121"/>
      <c r="AY528" s="121"/>
      <c r="AZ528" s="121"/>
      <c r="BA528" s="121"/>
      <c r="BB528" s="121"/>
      <c r="BC528" s="121"/>
      <c r="BD528" s="121"/>
      <c r="BE528" s="121"/>
      <c r="BF528" s="121"/>
      <c r="BG528" s="121"/>
      <c r="BH528" s="121"/>
      <c r="BI528" s="121"/>
      <c r="BJ528" s="121"/>
      <c r="BK528" s="121"/>
      <c r="BL528" s="121"/>
      <c r="BM528" s="121"/>
      <c r="BN528" s="121"/>
      <c r="BO528" s="121"/>
      <c r="BP528" s="121"/>
      <c r="BQ528" s="121"/>
      <c r="BR528" s="121"/>
      <c r="BS528" s="121"/>
      <c r="BT528" s="121"/>
      <c r="BU528" s="121"/>
      <c r="BV528" s="121"/>
      <c r="BW528" s="121"/>
      <c r="BX528" s="121"/>
      <c r="BY528" s="121"/>
      <c r="BZ528" s="121"/>
      <c r="CA528" s="121"/>
    </row>
    <row r="529" spans="40:79">
      <c r="AN529" s="121"/>
      <c r="AO529" s="124"/>
      <c r="AP529" s="124"/>
      <c r="AQ529" s="121"/>
      <c r="AR529" s="121"/>
      <c r="AS529" s="121"/>
      <c r="AT529" s="121"/>
      <c r="AU529" s="121"/>
      <c r="AV529" s="121"/>
      <c r="AW529" s="121"/>
      <c r="AX529" s="121"/>
      <c r="AY529" s="121"/>
      <c r="AZ529" s="121"/>
      <c r="BA529" s="121"/>
      <c r="BB529" s="121"/>
      <c r="BC529" s="121"/>
      <c r="BD529" s="121"/>
      <c r="BE529" s="121"/>
      <c r="BF529" s="121"/>
      <c r="BG529" s="121"/>
      <c r="BH529" s="121"/>
      <c r="BI529" s="121"/>
      <c r="BJ529" s="121"/>
      <c r="BK529" s="121"/>
      <c r="BL529" s="121"/>
      <c r="BM529" s="121"/>
      <c r="BN529" s="121"/>
      <c r="BO529" s="121"/>
      <c r="BP529" s="121"/>
      <c r="BQ529" s="121"/>
      <c r="BR529" s="121"/>
      <c r="BS529" s="121"/>
      <c r="BT529" s="121"/>
      <c r="BU529" s="121"/>
      <c r="BV529" s="121"/>
      <c r="BW529" s="121"/>
      <c r="BX529" s="121"/>
      <c r="BY529" s="121"/>
      <c r="BZ529" s="121"/>
      <c r="CA529" s="121"/>
    </row>
    <row r="530" spans="40:79">
      <c r="AN530" s="121"/>
      <c r="AO530" s="124"/>
      <c r="AP530" s="124"/>
      <c r="AQ530" s="121"/>
      <c r="AR530" s="124"/>
      <c r="AS530" s="124"/>
      <c r="AT530" s="124"/>
      <c r="AU530" s="121"/>
      <c r="AV530" s="121"/>
      <c r="AW530" s="121"/>
      <c r="AX530" s="121"/>
      <c r="AY530" s="121"/>
      <c r="AZ530" s="121"/>
      <c r="BA530" s="121"/>
      <c r="BB530" s="121"/>
      <c r="BC530" s="121"/>
      <c r="BD530" s="121"/>
      <c r="BE530" s="121"/>
      <c r="BF530" s="121"/>
      <c r="BG530" s="121"/>
      <c r="BH530" s="121"/>
      <c r="BI530" s="121"/>
      <c r="BJ530" s="121"/>
      <c r="BK530" s="121"/>
      <c r="BL530" s="121"/>
      <c r="BM530" s="121"/>
      <c r="BN530" s="121"/>
      <c r="BO530" s="121"/>
      <c r="BP530" s="121"/>
      <c r="BQ530" s="121"/>
      <c r="BR530" s="121"/>
      <c r="BS530" s="121"/>
      <c r="BT530" s="121"/>
      <c r="BU530" s="121"/>
      <c r="BV530" s="121"/>
      <c r="BW530" s="121"/>
      <c r="BX530" s="121"/>
      <c r="BY530" s="121"/>
      <c r="BZ530" s="121"/>
      <c r="CA530" s="121"/>
    </row>
    <row r="531" spans="40:79">
      <c r="AN531" s="121"/>
      <c r="AO531" s="121"/>
      <c r="AP531" s="121"/>
      <c r="AQ531" s="121"/>
      <c r="AR531" s="121"/>
      <c r="AS531" s="121"/>
      <c r="AT531" s="121"/>
      <c r="AU531" s="121"/>
      <c r="AV531" s="121"/>
      <c r="AW531" s="121"/>
      <c r="AX531" s="121"/>
      <c r="AY531" s="121"/>
      <c r="AZ531" s="121"/>
      <c r="BA531" s="121"/>
      <c r="BB531" s="121"/>
      <c r="BC531" s="121"/>
      <c r="BD531" s="121"/>
      <c r="BE531" s="121"/>
      <c r="BF531" s="121"/>
      <c r="BG531" s="121"/>
      <c r="BH531" s="121"/>
      <c r="BI531" s="121"/>
      <c r="BJ531" s="121"/>
      <c r="BK531" s="121"/>
      <c r="BL531" s="121"/>
      <c r="BM531" s="121"/>
      <c r="BN531" s="121"/>
      <c r="BO531" s="121"/>
      <c r="BP531" s="121"/>
      <c r="BQ531" s="121"/>
      <c r="BR531" s="121"/>
      <c r="BS531" s="121"/>
      <c r="BT531" s="121"/>
      <c r="BU531" s="121"/>
      <c r="BV531" s="121"/>
      <c r="BW531" s="121"/>
      <c r="BX531" s="121"/>
      <c r="BY531" s="121"/>
      <c r="BZ531" s="121"/>
      <c r="CA531" s="121"/>
    </row>
    <row r="532" spans="40:79">
      <c r="AN532" s="121"/>
      <c r="AO532" s="127"/>
      <c r="AP532" s="127"/>
      <c r="AQ532" s="121"/>
      <c r="AR532" s="123"/>
      <c r="AS532" s="123"/>
      <c r="AT532" s="123"/>
      <c r="AU532" s="123"/>
      <c r="AV532" s="123"/>
      <c r="AW532" s="123"/>
      <c r="AX532" s="123"/>
      <c r="AY532" s="123"/>
      <c r="AZ532" s="123"/>
      <c r="BA532" s="123"/>
      <c r="BB532" s="123"/>
      <c r="BC532" s="123"/>
      <c r="BD532" s="123"/>
      <c r="BE532" s="123"/>
      <c r="BF532" s="123"/>
      <c r="BG532" s="123"/>
      <c r="BH532" s="123"/>
      <c r="BI532" s="123"/>
      <c r="BJ532" s="123"/>
      <c r="BK532" s="123"/>
      <c r="BL532" s="123"/>
      <c r="BM532" s="123"/>
      <c r="BN532" s="123"/>
      <c r="BO532" s="123"/>
      <c r="BP532" s="123"/>
      <c r="BQ532" s="123"/>
      <c r="BR532" s="123"/>
      <c r="BS532" s="123"/>
      <c r="BT532" s="123"/>
      <c r="BU532" s="123"/>
      <c r="BV532" s="123"/>
      <c r="BW532" s="123"/>
      <c r="BX532" s="123"/>
      <c r="BY532" s="123"/>
      <c r="BZ532" s="123"/>
      <c r="CA532" s="123"/>
    </row>
    <row r="533" spans="40:79">
      <c r="AN533" s="121"/>
      <c r="AO533" s="127"/>
      <c r="AP533" s="127"/>
      <c r="AQ533" s="121"/>
      <c r="AR533" s="121"/>
      <c r="AS533" s="121"/>
      <c r="AT533" s="121"/>
      <c r="AU533" s="121"/>
      <c r="AV533" s="121"/>
      <c r="AW533" s="121"/>
      <c r="AX533" s="121"/>
      <c r="AY533" s="121"/>
      <c r="AZ533" s="121"/>
      <c r="BA533" s="121"/>
      <c r="BB533" s="121"/>
      <c r="BC533" s="121"/>
      <c r="BD533" s="121"/>
      <c r="BE533" s="121"/>
      <c r="BF533" s="121"/>
      <c r="BG533" s="121"/>
      <c r="BH533" s="121"/>
      <c r="BI533" s="121"/>
      <c r="BJ533" s="121"/>
      <c r="BK533" s="121"/>
      <c r="BL533" s="121"/>
      <c r="BM533" s="121"/>
      <c r="BN533" s="121"/>
      <c r="BO533" s="121"/>
      <c r="BP533" s="121"/>
      <c r="BQ533" s="121"/>
      <c r="BR533" s="121"/>
      <c r="BS533" s="121"/>
      <c r="BT533" s="121"/>
      <c r="BU533" s="121"/>
      <c r="BV533" s="121"/>
      <c r="BW533" s="121"/>
      <c r="BX533" s="121"/>
      <c r="BY533" s="121"/>
      <c r="BZ533" s="121"/>
      <c r="CA533" s="121"/>
    </row>
    <row r="534" spans="40:79">
      <c r="AN534" s="121"/>
      <c r="AO534" s="124"/>
      <c r="AP534" s="124"/>
      <c r="AQ534" s="125"/>
      <c r="AR534" s="121"/>
      <c r="AS534" s="121"/>
      <c r="AT534" s="121"/>
      <c r="AU534" s="121"/>
      <c r="AV534" s="121"/>
      <c r="AW534" s="121"/>
      <c r="AX534" s="121"/>
      <c r="AY534" s="121"/>
      <c r="AZ534" s="121"/>
      <c r="BA534" s="121"/>
      <c r="BB534" s="121"/>
      <c r="BC534" s="121"/>
      <c r="BD534" s="121"/>
      <c r="BE534" s="121"/>
      <c r="BF534" s="121"/>
      <c r="BG534" s="121"/>
      <c r="BH534" s="121"/>
      <c r="BI534" s="121"/>
      <c r="BJ534" s="121"/>
      <c r="BK534" s="121"/>
      <c r="BL534" s="121"/>
      <c r="BM534" s="121"/>
      <c r="BN534" s="121"/>
      <c r="BO534" s="121"/>
      <c r="BP534" s="121"/>
      <c r="BQ534" s="121"/>
      <c r="BR534" s="121"/>
      <c r="BS534" s="121"/>
      <c r="BT534" s="121"/>
      <c r="BU534" s="121"/>
      <c r="BV534" s="121"/>
      <c r="BW534" s="121"/>
      <c r="BX534" s="121"/>
      <c r="BY534" s="121"/>
      <c r="BZ534" s="121"/>
      <c r="CA534" s="121"/>
    </row>
    <row r="535" spans="40:79">
      <c r="AN535" s="121"/>
      <c r="AO535" s="124"/>
      <c r="AP535" s="124"/>
      <c r="AQ535" s="121"/>
      <c r="AR535" s="121"/>
      <c r="AS535" s="121"/>
      <c r="AT535" s="121"/>
      <c r="AU535" s="121"/>
      <c r="AV535" s="121"/>
      <c r="AW535" s="121"/>
      <c r="AX535" s="121"/>
      <c r="AY535" s="121"/>
      <c r="AZ535" s="121"/>
      <c r="BA535" s="121"/>
      <c r="BB535" s="121"/>
      <c r="BC535" s="121"/>
      <c r="BD535" s="121"/>
      <c r="BE535" s="121"/>
      <c r="BF535" s="121"/>
      <c r="BG535" s="121"/>
      <c r="BH535" s="121"/>
      <c r="BI535" s="121"/>
      <c r="BJ535" s="121"/>
      <c r="BK535" s="121"/>
      <c r="BL535" s="121"/>
      <c r="BM535" s="121"/>
      <c r="BN535" s="121"/>
      <c r="BO535" s="121"/>
      <c r="BP535" s="121"/>
      <c r="BQ535" s="121"/>
      <c r="BR535" s="121"/>
      <c r="BS535" s="121"/>
      <c r="BT535" s="121"/>
      <c r="BU535" s="121"/>
      <c r="BV535" s="121"/>
      <c r="BW535" s="121"/>
      <c r="BX535" s="121"/>
      <c r="BY535" s="121"/>
      <c r="BZ535" s="121"/>
      <c r="CA535" s="121"/>
    </row>
    <row r="536" spans="40:79">
      <c r="AN536" s="121"/>
      <c r="AO536" s="124"/>
      <c r="AP536" s="124"/>
      <c r="AQ536" s="121"/>
      <c r="AR536" s="121"/>
      <c r="AS536" s="121"/>
      <c r="AT536" s="121"/>
      <c r="AU536" s="121"/>
      <c r="AV536" s="121"/>
      <c r="AW536" s="121"/>
      <c r="AX536" s="121"/>
      <c r="AY536" s="121"/>
      <c r="AZ536" s="121"/>
      <c r="BA536" s="121"/>
      <c r="BB536" s="121"/>
      <c r="BC536" s="121"/>
      <c r="BD536" s="121"/>
      <c r="BE536" s="121"/>
      <c r="BF536" s="121"/>
      <c r="BG536" s="121"/>
      <c r="BH536" s="121"/>
      <c r="BI536" s="121"/>
      <c r="BJ536" s="121"/>
      <c r="BK536" s="121"/>
      <c r="BL536" s="121"/>
      <c r="BM536" s="121"/>
      <c r="BN536" s="121"/>
      <c r="BO536" s="121"/>
      <c r="BP536" s="121"/>
      <c r="BQ536" s="121"/>
      <c r="BR536" s="121"/>
      <c r="BS536" s="121"/>
      <c r="BT536" s="121"/>
      <c r="BU536" s="121"/>
      <c r="BV536" s="121"/>
      <c r="BW536" s="121"/>
      <c r="BX536" s="121"/>
      <c r="BY536" s="121"/>
      <c r="BZ536" s="121"/>
      <c r="CA536" s="121"/>
    </row>
    <row r="537" spans="40:79">
      <c r="AN537" s="121"/>
      <c r="AO537" s="124"/>
      <c r="AP537" s="124"/>
      <c r="AQ537" s="121"/>
      <c r="AR537" s="121"/>
      <c r="AS537" s="121"/>
      <c r="AT537" s="121"/>
      <c r="AU537" s="121"/>
      <c r="AV537" s="121"/>
      <c r="AW537" s="121"/>
      <c r="AX537" s="121"/>
      <c r="AY537" s="121"/>
      <c r="AZ537" s="121"/>
      <c r="BA537" s="121"/>
      <c r="BB537" s="121"/>
      <c r="BC537" s="121"/>
      <c r="BD537" s="121"/>
      <c r="BE537" s="121"/>
      <c r="BF537" s="121"/>
      <c r="BG537" s="121"/>
      <c r="BH537" s="121"/>
      <c r="BI537" s="121"/>
      <c r="BJ537" s="121"/>
      <c r="BK537" s="121"/>
      <c r="BL537" s="121"/>
      <c r="BM537" s="121"/>
      <c r="BN537" s="121"/>
      <c r="BO537" s="121"/>
      <c r="BP537" s="121"/>
      <c r="BQ537" s="121"/>
      <c r="BR537" s="121"/>
      <c r="BS537" s="121"/>
      <c r="BT537" s="121"/>
      <c r="BU537" s="121"/>
      <c r="BV537" s="121"/>
      <c r="BW537" s="121"/>
      <c r="BX537" s="121"/>
      <c r="BY537" s="121"/>
      <c r="BZ537" s="121"/>
      <c r="CA537" s="121"/>
    </row>
    <row r="538" spans="40:79">
      <c r="AN538" s="121"/>
      <c r="AO538" s="124"/>
      <c r="AP538" s="124"/>
      <c r="AQ538" s="121"/>
      <c r="AR538" s="121"/>
      <c r="AS538" s="121"/>
      <c r="AT538" s="121"/>
      <c r="AU538" s="121"/>
      <c r="AV538" s="121"/>
      <c r="AW538" s="121"/>
      <c r="AX538" s="121"/>
      <c r="AY538" s="121"/>
      <c r="AZ538" s="121"/>
      <c r="BA538" s="121"/>
      <c r="BB538" s="121"/>
      <c r="BC538" s="121"/>
      <c r="BD538" s="121"/>
      <c r="BE538" s="121"/>
      <c r="BF538" s="121"/>
      <c r="BG538" s="121"/>
      <c r="BH538" s="121"/>
      <c r="BI538" s="121"/>
      <c r="BJ538" s="121"/>
      <c r="BK538" s="121"/>
      <c r="BL538" s="121"/>
      <c r="BM538" s="121"/>
      <c r="BN538" s="121"/>
      <c r="BO538" s="121"/>
      <c r="BP538" s="121"/>
      <c r="BQ538" s="121"/>
      <c r="BR538" s="121"/>
      <c r="BS538" s="121"/>
      <c r="BT538" s="121"/>
      <c r="BU538" s="121"/>
      <c r="BV538" s="121"/>
      <c r="BW538" s="121"/>
      <c r="BX538" s="121"/>
      <c r="BY538" s="121"/>
      <c r="BZ538" s="121"/>
      <c r="CA538" s="121"/>
    </row>
    <row r="539" spans="40:79">
      <c r="AN539" s="121"/>
      <c r="AO539" s="124"/>
      <c r="AP539" s="124"/>
      <c r="AQ539" s="121"/>
      <c r="AR539" s="121"/>
      <c r="AS539" s="121"/>
      <c r="AT539" s="121"/>
      <c r="AU539" s="121"/>
      <c r="AV539" s="121"/>
      <c r="AW539" s="121"/>
      <c r="AX539" s="121"/>
      <c r="AY539" s="121"/>
      <c r="AZ539" s="121"/>
      <c r="BA539" s="121"/>
      <c r="BB539" s="121"/>
      <c r="BC539" s="121"/>
      <c r="BD539" s="121"/>
      <c r="BE539" s="121"/>
      <c r="BF539" s="121"/>
      <c r="BG539" s="121"/>
      <c r="BH539" s="121"/>
      <c r="BI539" s="121"/>
      <c r="BJ539" s="121"/>
      <c r="BK539" s="121"/>
      <c r="BL539" s="121"/>
      <c r="BM539" s="121"/>
      <c r="BN539" s="121"/>
      <c r="BO539" s="121"/>
      <c r="BP539" s="121"/>
      <c r="BQ539" s="121"/>
      <c r="BR539" s="121"/>
      <c r="BS539" s="121"/>
      <c r="BT539" s="121"/>
      <c r="BU539" s="121"/>
      <c r="BV539" s="121"/>
      <c r="BW539" s="121"/>
      <c r="BX539" s="121"/>
      <c r="BY539" s="121"/>
      <c r="BZ539" s="121"/>
      <c r="CA539" s="121"/>
    </row>
    <row r="540" spans="40:79">
      <c r="AN540" s="121"/>
      <c r="AO540" s="124"/>
      <c r="AP540" s="124"/>
      <c r="AQ540" s="121"/>
      <c r="AR540" s="124"/>
      <c r="AS540" s="124"/>
      <c r="AT540" s="124"/>
      <c r="AU540" s="121"/>
      <c r="AV540" s="121"/>
      <c r="AW540" s="121"/>
      <c r="AX540" s="121"/>
      <c r="AY540" s="121"/>
      <c r="AZ540" s="121"/>
      <c r="BA540" s="121"/>
      <c r="BB540" s="121"/>
      <c r="BC540" s="121"/>
      <c r="BD540" s="121"/>
      <c r="BE540" s="121"/>
      <c r="BF540" s="121"/>
      <c r="BG540" s="121"/>
      <c r="BH540" s="121"/>
      <c r="BI540" s="121"/>
      <c r="BJ540" s="121"/>
      <c r="BK540" s="121"/>
      <c r="BL540" s="121"/>
      <c r="BM540" s="121"/>
      <c r="BN540" s="121"/>
      <c r="BO540" s="121"/>
      <c r="BP540" s="121"/>
      <c r="BQ540" s="121"/>
      <c r="BR540" s="121"/>
      <c r="BS540" s="121"/>
      <c r="BT540" s="121"/>
      <c r="BU540" s="121"/>
      <c r="BV540" s="121"/>
      <c r="BW540" s="121"/>
      <c r="BX540" s="121"/>
      <c r="BY540" s="121"/>
      <c r="BZ540" s="121"/>
      <c r="CA540" s="121"/>
    </row>
    <row r="541" spans="40:79">
      <c r="AN541" s="121"/>
      <c r="AO541" s="121"/>
      <c r="AP541" s="121"/>
      <c r="AQ541" s="121"/>
      <c r="AR541" s="121"/>
      <c r="AS541" s="121"/>
      <c r="AT541" s="121"/>
      <c r="AU541" s="121"/>
      <c r="AV541" s="121"/>
      <c r="AW541" s="121"/>
      <c r="AX541" s="121"/>
      <c r="AY541" s="121"/>
      <c r="AZ541" s="121"/>
      <c r="BA541" s="121"/>
      <c r="BB541" s="121"/>
      <c r="BC541" s="121"/>
      <c r="BD541" s="121"/>
      <c r="BE541" s="121"/>
      <c r="BF541" s="121"/>
      <c r="BG541" s="121"/>
      <c r="BH541" s="121"/>
      <c r="BI541" s="121"/>
      <c r="BJ541" s="121"/>
      <c r="BK541" s="121"/>
      <c r="BL541" s="121"/>
      <c r="BM541" s="121"/>
      <c r="BN541" s="121"/>
      <c r="BO541" s="121"/>
      <c r="BP541" s="121"/>
      <c r="BQ541" s="121"/>
      <c r="BR541" s="121"/>
      <c r="BS541" s="121"/>
      <c r="BT541" s="121"/>
      <c r="BU541" s="121"/>
      <c r="BV541" s="121"/>
      <c r="BW541" s="121"/>
      <c r="BX541" s="121"/>
      <c r="BY541" s="121"/>
      <c r="BZ541" s="121"/>
      <c r="CA541" s="121"/>
    </row>
    <row r="542" spans="40:79">
      <c r="AN542" s="121"/>
      <c r="AO542" s="121"/>
      <c r="AP542" s="121"/>
      <c r="AQ542" s="121"/>
      <c r="AR542" s="121"/>
      <c r="AS542" s="121"/>
      <c r="AT542" s="121"/>
      <c r="AU542" s="121"/>
      <c r="AV542" s="121"/>
      <c r="AW542" s="121"/>
      <c r="AX542" s="121"/>
      <c r="AY542" s="121"/>
      <c r="AZ542" s="121"/>
      <c r="BA542" s="121"/>
      <c r="BB542" s="121"/>
      <c r="BC542" s="121"/>
      <c r="BD542" s="121"/>
      <c r="BE542" s="121"/>
      <c r="BF542" s="121"/>
      <c r="BG542" s="121"/>
      <c r="BH542" s="121"/>
      <c r="BI542" s="121"/>
      <c r="BJ542" s="121"/>
      <c r="BK542" s="121"/>
      <c r="BL542" s="121"/>
      <c r="BM542" s="121"/>
      <c r="BN542" s="121"/>
      <c r="BO542" s="121"/>
      <c r="BP542" s="121"/>
      <c r="BQ542" s="121"/>
      <c r="BR542" s="121"/>
      <c r="BS542" s="121"/>
      <c r="BT542" s="121"/>
      <c r="BU542" s="121"/>
      <c r="BV542" s="121"/>
      <c r="BW542" s="121"/>
      <c r="BX542" s="121"/>
      <c r="BY542" s="121"/>
      <c r="BZ542" s="121"/>
      <c r="CA542" s="121"/>
    </row>
    <row r="543" spans="40:79">
      <c r="AN543" s="121"/>
      <c r="AO543" s="121"/>
      <c r="AP543" s="121"/>
      <c r="AQ543" s="121"/>
      <c r="AR543" s="121"/>
      <c r="AS543" s="121"/>
      <c r="AT543" s="121"/>
      <c r="AU543" s="121"/>
      <c r="AV543" s="121"/>
      <c r="AW543" s="121"/>
      <c r="AX543" s="121"/>
      <c r="AY543" s="121"/>
      <c r="AZ543" s="121"/>
      <c r="BA543" s="121"/>
      <c r="BB543" s="121"/>
      <c r="BC543" s="121"/>
      <c r="BD543" s="121"/>
      <c r="BE543" s="121"/>
      <c r="BF543" s="121"/>
      <c r="BG543" s="121"/>
      <c r="BH543" s="121"/>
      <c r="BI543" s="121"/>
      <c r="BJ543" s="121"/>
      <c r="BK543" s="121"/>
      <c r="BL543" s="121"/>
      <c r="BM543" s="121"/>
      <c r="BN543" s="121"/>
      <c r="BO543" s="121"/>
      <c r="BP543" s="121"/>
      <c r="BQ543" s="121"/>
      <c r="BR543" s="121"/>
      <c r="BS543" s="121"/>
      <c r="BT543" s="121"/>
      <c r="BU543" s="121"/>
      <c r="BV543" s="121"/>
      <c r="BW543" s="121"/>
      <c r="BX543" s="121"/>
      <c r="BY543" s="121"/>
      <c r="BZ543" s="121"/>
      <c r="CA543" s="121"/>
    </row>
    <row r="544" spans="40:79">
      <c r="AN544" s="121"/>
      <c r="AO544" s="121"/>
      <c r="AP544" s="121"/>
      <c r="AQ544" s="121"/>
      <c r="AR544" s="121"/>
      <c r="AS544" s="121"/>
      <c r="AT544" s="121"/>
      <c r="AU544" s="121"/>
      <c r="AV544" s="121"/>
      <c r="AW544" s="121"/>
      <c r="AX544" s="121"/>
      <c r="AY544" s="121"/>
      <c r="AZ544" s="121"/>
      <c r="BA544" s="121"/>
      <c r="BB544" s="121"/>
      <c r="BC544" s="121"/>
      <c r="BD544" s="121"/>
      <c r="BE544" s="121"/>
      <c r="BF544" s="121"/>
      <c r="BG544" s="121"/>
      <c r="BH544" s="121"/>
      <c r="BI544" s="121"/>
      <c r="BJ544" s="121"/>
      <c r="BK544" s="121"/>
      <c r="BL544" s="121"/>
      <c r="BM544" s="121"/>
      <c r="BN544" s="121"/>
      <c r="BO544" s="121"/>
      <c r="BP544" s="121"/>
      <c r="BQ544" s="121"/>
      <c r="BR544" s="121"/>
      <c r="BS544" s="121"/>
      <c r="BT544" s="121"/>
      <c r="BU544" s="121"/>
      <c r="BV544" s="121"/>
      <c r="BW544" s="121"/>
      <c r="BX544" s="121"/>
      <c r="BY544" s="121"/>
      <c r="BZ544" s="121"/>
      <c r="CA544" s="121"/>
    </row>
    <row r="545" spans="40:79">
      <c r="AN545" s="121"/>
      <c r="AO545" s="121"/>
      <c r="AP545" s="121"/>
      <c r="AQ545" s="121"/>
      <c r="AR545" s="121"/>
      <c r="AS545" s="121"/>
      <c r="AT545" s="121"/>
      <c r="AU545" s="121"/>
      <c r="AV545" s="121"/>
      <c r="AW545" s="121"/>
      <c r="AX545" s="121"/>
      <c r="AY545" s="121"/>
      <c r="AZ545" s="121"/>
      <c r="BA545" s="121"/>
      <c r="BB545" s="121"/>
      <c r="BC545" s="121"/>
      <c r="BD545" s="121"/>
      <c r="BE545" s="121"/>
      <c r="BF545" s="121"/>
      <c r="BG545" s="121"/>
      <c r="BH545" s="121"/>
      <c r="BI545" s="121"/>
      <c r="BJ545" s="121"/>
      <c r="BK545" s="121"/>
      <c r="BL545" s="121"/>
      <c r="BM545" s="121"/>
      <c r="BN545" s="121"/>
      <c r="BO545" s="121"/>
      <c r="BP545" s="121"/>
      <c r="BQ545" s="121"/>
      <c r="BR545" s="121"/>
      <c r="BS545" s="121"/>
      <c r="BT545" s="121"/>
      <c r="BU545" s="121"/>
      <c r="BV545" s="121"/>
      <c r="BW545" s="121"/>
      <c r="BX545" s="121"/>
      <c r="BY545" s="121"/>
      <c r="BZ545" s="121"/>
      <c r="CA545" s="121"/>
    </row>
  </sheetData>
  <mergeCells count="461">
    <mergeCell ref="AO537:AP537"/>
    <mergeCell ref="AO538:AP538"/>
    <mergeCell ref="AO539:AP539"/>
    <mergeCell ref="AO540:AP540"/>
    <mergeCell ref="AR540:AT540"/>
    <mergeCell ref="AO530:AP530"/>
    <mergeCell ref="AR530:AT530"/>
    <mergeCell ref="AO532:AP533"/>
    <mergeCell ref="AO534:AP534"/>
    <mergeCell ref="AO535:AP535"/>
    <mergeCell ref="AO536:AP536"/>
    <mergeCell ref="AO524:AP524"/>
    <mergeCell ref="AO525:AP525"/>
    <mergeCell ref="AO526:AP526"/>
    <mergeCell ref="AO527:AP527"/>
    <mergeCell ref="AO528:AP528"/>
    <mergeCell ref="AO529:AP529"/>
    <mergeCell ref="AO517:AP517"/>
    <mergeCell ref="AO518:AP518"/>
    <mergeCell ref="AO519:AP519"/>
    <mergeCell ref="AO520:AP520"/>
    <mergeCell ref="AR520:AT520"/>
    <mergeCell ref="AO522:AP523"/>
    <mergeCell ref="AO510:AP510"/>
    <mergeCell ref="AR510:AT510"/>
    <mergeCell ref="AO512:AP513"/>
    <mergeCell ref="AO514:AP514"/>
    <mergeCell ref="AO515:AP515"/>
    <mergeCell ref="AO516:AP516"/>
    <mergeCell ref="AO504:AP504"/>
    <mergeCell ref="AO505:AP505"/>
    <mergeCell ref="AO506:AP506"/>
    <mergeCell ref="AO507:AP507"/>
    <mergeCell ref="AO508:AP508"/>
    <mergeCell ref="AO509:AP509"/>
    <mergeCell ref="AO497:AP497"/>
    <mergeCell ref="AO498:AP498"/>
    <mergeCell ref="AO499:AP499"/>
    <mergeCell ref="AO500:AP500"/>
    <mergeCell ref="AR500:AT500"/>
    <mergeCell ref="AO502:AP503"/>
    <mergeCell ref="AO490:AP490"/>
    <mergeCell ref="AR490:AT490"/>
    <mergeCell ref="AO492:AP493"/>
    <mergeCell ref="AO494:AP494"/>
    <mergeCell ref="AO495:AP495"/>
    <mergeCell ref="AO496:AP496"/>
    <mergeCell ref="AO484:AP484"/>
    <mergeCell ref="AO485:AP485"/>
    <mergeCell ref="AO486:AP486"/>
    <mergeCell ref="AO487:AP487"/>
    <mergeCell ref="AO488:AP488"/>
    <mergeCell ref="AO489:AP489"/>
    <mergeCell ref="AO477:AP477"/>
    <mergeCell ref="AO478:AP478"/>
    <mergeCell ref="AO479:AP479"/>
    <mergeCell ref="AO480:AP480"/>
    <mergeCell ref="AR480:AT480"/>
    <mergeCell ref="AO482:AP483"/>
    <mergeCell ref="AO470:AP470"/>
    <mergeCell ref="AR470:AT470"/>
    <mergeCell ref="AO472:AP473"/>
    <mergeCell ref="AO474:AP474"/>
    <mergeCell ref="AO475:AP475"/>
    <mergeCell ref="AO476:AP476"/>
    <mergeCell ref="AO464:AP464"/>
    <mergeCell ref="AO465:AP465"/>
    <mergeCell ref="AO466:AP466"/>
    <mergeCell ref="AO467:AP467"/>
    <mergeCell ref="AO468:AP468"/>
    <mergeCell ref="AO469:AP469"/>
    <mergeCell ref="AO457:AP457"/>
    <mergeCell ref="AO458:AP458"/>
    <mergeCell ref="AO459:AP459"/>
    <mergeCell ref="AO460:AP460"/>
    <mergeCell ref="AR460:AT460"/>
    <mergeCell ref="AO462:AP463"/>
    <mergeCell ref="AR450:AT450"/>
    <mergeCell ref="AO451:AP451"/>
    <mergeCell ref="AO452:AP453"/>
    <mergeCell ref="AO454:AP454"/>
    <mergeCell ref="AO455:AP455"/>
    <mergeCell ref="AO456:AP456"/>
    <mergeCell ref="AO445:AP445"/>
    <mergeCell ref="AO446:AP446"/>
    <mergeCell ref="AO447:AP447"/>
    <mergeCell ref="AO448:AP448"/>
    <mergeCell ref="AO449:AP449"/>
    <mergeCell ref="AO450:AP450"/>
    <mergeCell ref="AO438:AP438"/>
    <mergeCell ref="AO439:AP439"/>
    <mergeCell ref="AO440:AP440"/>
    <mergeCell ref="AR440:AT440"/>
    <mergeCell ref="AO442:AP443"/>
    <mergeCell ref="AO444:AP444"/>
    <mergeCell ref="AR430:AT430"/>
    <mergeCell ref="AO432:AP433"/>
    <mergeCell ref="AO434:AP434"/>
    <mergeCell ref="AO435:AP435"/>
    <mergeCell ref="AO436:AP436"/>
    <mergeCell ref="AO437:AP437"/>
    <mergeCell ref="AO425:AP425"/>
    <mergeCell ref="AO426:AP426"/>
    <mergeCell ref="AO427:AP427"/>
    <mergeCell ref="AO428:AP428"/>
    <mergeCell ref="AO429:AP429"/>
    <mergeCell ref="AO430:AP430"/>
    <mergeCell ref="AO418:AP418"/>
    <mergeCell ref="AO419:AP419"/>
    <mergeCell ref="AO420:AP420"/>
    <mergeCell ref="AR420:AT420"/>
    <mergeCell ref="AO422:AP423"/>
    <mergeCell ref="AO424:AP424"/>
    <mergeCell ref="AR410:AT410"/>
    <mergeCell ref="AO412:AP413"/>
    <mergeCell ref="AO414:AP414"/>
    <mergeCell ref="AO415:AP415"/>
    <mergeCell ref="AO416:AP416"/>
    <mergeCell ref="AO417:AP417"/>
    <mergeCell ref="AO405:AP405"/>
    <mergeCell ref="AO406:AP406"/>
    <mergeCell ref="AO407:AP407"/>
    <mergeCell ref="AO408:AP408"/>
    <mergeCell ref="AO409:AP409"/>
    <mergeCell ref="AO410:AP410"/>
    <mergeCell ref="AO398:AP398"/>
    <mergeCell ref="AO399:AP399"/>
    <mergeCell ref="AO400:AP400"/>
    <mergeCell ref="AR400:AT400"/>
    <mergeCell ref="AO402:AP403"/>
    <mergeCell ref="AO404:AP404"/>
    <mergeCell ref="AR390:AT390"/>
    <mergeCell ref="AO392:AP393"/>
    <mergeCell ref="AO394:AP394"/>
    <mergeCell ref="AO395:AP395"/>
    <mergeCell ref="AO396:AP396"/>
    <mergeCell ref="AO397:AP397"/>
    <mergeCell ref="AO385:AP385"/>
    <mergeCell ref="AO386:AP386"/>
    <mergeCell ref="AO387:AP387"/>
    <mergeCell ref="AO388:AP388"/>
    <mergeCell ref="AO389:AP389"/>
    <mergeCell ref="AO390:AP390"/>
    <mergeCell ref="AO378:AP378"/>
    <mergeCell ref="AO379:AP379"/>
    <mergeCell ref="AO380:AP380"/>
    <mergeCell ref="AR380:AT380"/>
    <mergeCell ref="AO382:AP383"/>
    <mergeCell ref="AO384:AP384"/>
    <mergeCell ref="AR370:AT370"/>
    <mergeCell ref="AO372:AP373"/>
    <mergeCell ref="AO374:AP374"/>
    <mergeCell ref="AO375:AP375"/>
    <mergeCell ref="AO376:AP376"/>
    <mergeCell ref="AO377:AP377"/>
    <mergeCell ref="AO365:AP365"/>
    <mergeCell ref="AO366:AP366"/>
    <mergeCell ref="AO367:AP367"/>
    <mergeCell ref="AO368:AP368"/>
    <mergeCell ref="AO369:AP369"/>
    <mergeCell ref="AO370:AP370"/>
    <mergeCell ref="AO358:AP358"/>
    <mergeCell ref="AO359:AP359"/>
    <mergeCell ref="AO360:AP360"/>
    <mergeCell ref="AR360:AT360"/>
    <mergeCell ref="AO362:AP363"/>
    <mergeCell ref="AO364:AP364"/>
    <mergeCell ref="AR350:AT350"/>
    <mergeCell ref="AO352:AP353"/>
    <mergeCell ref="AO354:AP354"/>
    <mergeCell ref="AO355:AP355"/>
    <mergeCell ref="AO356:AP356"/>
    <mergeCell ref="AO357:AP357"/>
    <mergeCell ref="AO345:AP345"/>
    <mergeCell ref="AO346:AP346"/>
    <mergeCell ref="AO347:AP347"/>
    <mergeCell ref="AO348:AP348"/>
    <mergeCell ref="AO349:AP349"/>
    <mergeCell ref="AO350:AP350"/>
    <mergeCell ref="AO338:AP338"/>
    <mergeCell ref="AO339:AP339"/>
    <mergeCell ref="AO340:AP340"/>
    <mergeCell ref="AR340:AT340"/>
    <mergeCell ref="AO342:AP343"/>
    <mergeCell ref="AO344:AP344"/>
    <mergeCell ref="AR330:AT330"/>
    <mergeCell ref="AO332:AP333"/>
    <mergeCell ref="AO334:AP334"/>
    <mergeCell ref="AO335:AP335"/>
    <mergeCell ref="AO336:AP336"/>
    <mergeCell ref="AO337:AP337"/>
    <mergeCell ref="AO325:AP325"/>
    <mergeCell ref="AO326:AP326"/>
    <mergeCell ref="AO327:AP327"/>
    <mergeCell ref="AO328:AP328"/>
    <mergeCell ref="AO329:AP329"/>
    <mergeCell ref="AO330:AP330"/>
    <mergeCell ref="AO318:AP318"/>
    <mergeCell ref="AO319:AP319"/>
    <mergeCell ref="AO320:AP320"/>
    <mergeCell ref="AR320:AT320"/>
    <mergeCell ref="AO322:AP323"/>
    <mergeCell ref="AO324:AP324"/>
    <mergeCell ref="AR310:AT310"/>
    <mergeCell ref="AO312:AP313"/>
    <mergeCell ref="AO314:AP314"/>
    <mergeCell ref="AO315:AP315"/>
    <mergeCell ref="AO316:AP316"/>
    <mergeCell ref="AO317:AP317"/>
    <mergeCell ref="AO305:AP305"/>
    <mergeCell ref="AO306:AP306"/>
    <mergeCell ref="AO307:AP307"/>
    <mergeCell ref="AO308:AP308"/>
    <mergeCell ref="AO309:AP309"/>
    <mergeCell ref="AO310:AP310"/>
    <mergeCell ref="AO298:AP298"/>
    <mergeCell ref="AO299:AP299"/>
    <mergeCell ref="AO300:AP300"/>
    <mergeCell ref="AR300:AT300"/>
    <mergeCell ref="AO302:AP303"/>
    <mergeCell ref="AO304:AP304"/>
    <mergeCell ref="AR290:AT290"/>
    <mergeCell ref="AO292:AP293"/>
    <mergeCell ref="AO294:AP294"/>
    <mergeCell ref="AO295:AP295"/>
    <mergeCell ref="AO296:AP296"/>
    <mergeCell ref="AO297:AP297"/>
    <mergeCell ref="AO285:AP285"/>
    <mergeCell ref="AO286:AP286"/>
    <mergeCell ref="AO287:AP287"/>
    <mergeCell ref="AO288:AP288"/>
    <mergeCell ref="AO289:AP289"/>
    <mergeCell ref="AO290:AP290"/>
    <mergeCell ref="AO278:AP278"/>
    <mergeCell ref="AO279:AP279"/>
    <mergeCell ref="AO280:AP280"/>
    <mergeCell ref="AR280:AT280"/>
    <mergeCell ref="AO282:AP283"/>
    <mergeCell ref="AO284:AP284"/>
    <mergeCell ref="AR270:AT270"/>
    <mergeCell ref="AO272:AP273"/>
    <mergeCell ref="AO274:AP274"/>
    <mergeCell ref="AO275:AP275"/>
    <mergeCell ref="AO276:AP276"/>
    <mergeCell ref="AO277:AP277"/>
    <mergeCell ref="AO265:AP265"/>
    <mergeCell ref="AO266:AP266"/>
    <mergeCell ref="AO267:AP267"/>
    <mergeCell ref="AO268:AP268"/>
    <mergeCell ref="AO269:AP269"/>
    <mergeCell ref="AO270:AP270"/>
    <mergeCell ref="AO258:AP258"/>
    <mergeCell ref="AO259:AP259"/>
    <mergeCell ref="AO260:AP260"/>
    <mergeCell ref="AR260:AT260"/>
    <mergeCell ref="AO262:AP263"/>
    <mergeCell ref="AO264:AP264"/>
    <mergeCell ref="AR250:AT250"/>
    <mergeCell ref="AO252:AP253"/>
    <mergeCell ref="AO254:AP254"/>
    <mergeCell ref="AO255:AP255"/>
    <mergeCell ref="AO256:AP256"/>
    <mergeCell ref="AO257:AP257"/>
    <mergeCell ref="AO245:AP245"/>
    <mergeCell ref="AO246:AP246"/>
    <mergeCell ref="AO247:AP247"/>
    <mergeCell ref="AO248:AP248"/>
    <mergeCell ref="AO249:AP249"/>
    <mergeCell ref="AO250:AP250"/>
    <mergeCell ref="AO238:AP238"/>
    <mergeCell ref="AO239:AP239"/>
    <mergeCell ref="AO240:AP240"/>
    <mergeCell ref="AR240:AT240"/>
    <mergeCell ref="AO242:AP243"/>
    <mergeCell ref="AO244:AP244"/>
    <mergeCell ref="AR230:AT230"/>
    <mergeCell ref="AO232:AP233"/>
    <mergeCell ref="AO234:AP234"/>
    <mergeCell ref="AO235:AP235"/>
    <mergeCell ref="AO236:AP236"/>
    <mergeCell ref="AO237:AP237"/>
    <mergeCell ref="AO225:AP225"/>
    <mergeCell ref="AO226:AP226"/>
    <mergeCell ref="AO227:AP227"/>
    <mergeCell ref="AO228:AP228"/>
    <mergeCell ref="AO229:AP229"/>
    <mergeCell ref="AO230:AP230"/>
    <mergeCell ref="AO218:AP218"/>
    <mergeCell ref="AO219:AP219"/>
    <mergeCell ref="AO220:AP220"/>
    <mergeCell ref="AR220:AT220"/>
    <mergeCell ref="AO222:AP223"/>
    <mergeCell ref="AO224:AP224"/>
    <mergeCell ref="AR210:AT210"/>
    <mergeCell ref="AO212:AP213"/>
    <mergeCell ref="AO214:AP214"/>
    <mergeCell ref="AO215:AP215"/>
    <mergeCell ref="AO216:AP216"/>
    <mergeCell ref="AO217:AP217"/>
    <mergeCell ref="AO205:AP205"/>
    <mergeCell ref="AO206:AP206"/>
    <mergeCell ref="AO207:AP207"/>
    <mergeCell ref="AO208:AP208"/>
    <mergeCell ref="AO209:AP209"/>
    <mergeCell ref="AO210:AP210"/>
    <mergeCell ref="AO198:AP198"/>
    <mergeCell ref="AO199:AP199"/>
    <mergeCell ref="AO200:AP200"/>
    <mergeCell ref="AR200:AT200"/>
    <mergeCell ref="AO202:AP203"/>
    <mergeCell ref="AO204:AP204"/>
    <mergeCell ref="AR190:AT190"/>
    <mergeCell ref="AO192:AP193"/>
    <mergeCell ref="AO194:AP194"/>
    <mergeCell ref="AO195:AP195"/>
    <mergeCell ref="AO196:AP196"/>
    <mergeCell ref="AO197:AP197"/>
    <mergeCell ref="AO185:AP185"/>
    <mergeCell ref="AO186:AP186"/>
    <mergeCell ref="AO187:AP187"/>
    <mergeCell ref="AO188:AP188"/>
    <mergeCell ref="AO189:AP189"/>
    <mergeCell ref="AO190:AP190"/>
    <mergeCell ref="AO178:AP178"/>
    <mergeCell ref="AO179:AP179"/>
    <mergeCell ref="AO180:AP180"/>
    <mergeCell ref="AR180:AT180"/>
    <mergeCell ref="AO182:AP183"/>
    <mergeCell ref="AO184:AP184"/>
    <mergeCell ref="AR170:AT170"/>
    <mergeCell ref="AO172:AP173"/>
    <mergeCell ref="AO174:AP174"/>
    <mergeCell ref="AO175:AP175"/>
    <mergeCell ref="AO176:AP176"/>
    <mergeCell ref="AO177:AP177"/>
    <mergeCell ref="AO165:AP165"/>
    <mergeCell ref="AO166:AP166"/>
    <mergeCell ref="AO167:AP167"/>
    <mergeCell ref="AO168:AP168"/>
    <mergeCell ref="AO169:AP169"/>
    <mergeCell ref="AO170:AP170"/>
    <mergeCell ref="AO158:AP158"/>
    <mergeCell ref="AO159:AP159"/>
    <mergeCell ref="AO160:AP160"/>
    <mergeCell ref="AR160:AT160"/>
    <mergeCell ref="AO162:AP163"/>
    <mergeCell ref="AO164:AP164"/>
    <mergeCell ref="AO149:AP149"/>
    <mergeCell ref="AO150:AP150"/>
    <mergeCell ref="AR150:AT150"/>
    <mergeCell ref="AO152:AP153"/>
    <mergeCell ref="AO156:AP156"/>
    <mergeCell ref="AO157:AP157"/>
    <mergeCell ref="AO140:AP140"/>
    <mergeCell ref="AR140:AT140"/>
    <mergeCell ref="AO142:AP143"/>
    <mergeCell ref="AO146:AP146"/>
    <mergeCell ref="AO147:AP147"/>
    <mergeCell ref="AO148:AP148"/>
    <mergeCell ref="AR130:AT130"/>
    <mergeCell ref="AO132:AP133"/>
    <mergeCell ref="AO136:AP136"/>
    <mergeCell ref="AO137:AP137"/>
    <mergeCell ref="AO138:AP138"/>
    <mergeCell ref="AO139:AP139"/>
    <mergeCell ref="AO122:AP123"/>
    <mergeCell ref="AO126:AP126"/>
    <mergeCell ref="AO127:AP127"/>
    <mergeCell ref="AO128:AP128"/>
    <mergeCell ref="AO129:AP129"/>
    <mergeCell ref="AO130:AP130"/>
    <mergeCell ref="AO116:AP116"/>
    <mergeCell ref="AO117:AP117"/>
    <mergeCell ref="AO118:AP118"/>
    <mergeCell ref="AO119:AP119"/>
    <mergeCell ref="AO120:AP120"/>
    <mergeCell ref="AR120:AT120"/>
    <mergeCell ref="AO107:AP107"/>
    <mergeCell ref="AO108:AP108"/>
    <mergeCell ref="AO109:AP109"/>
    <mergeCell ref="AO110:AP110"/>
    <mergeCell ref="AR110:AT110"/>
    <mergeCell ref="AO112:AP113"/>
    <mergeCell ref="AO98:AP98"/>
    <mergeCell ref="AO99:AP99"/>
    <mergeCell ref="AO100:AP100"/>
    <mergeCell ref="AR100:AT100"/>
    <mergeCell ref="AO102:AP103"/>
    <mergeCell ref="AO106:AP106"/>
    <mergeCell ref="AO89:AP89"/>
    <mergeCell ref="AO90:AP90"/>
    <mergeCell ref="AR90:AT90"/>
    <mergeCell ref="AO92:AP93"/>
    <mergeCell ref="AO96:AP96"/>
    <mergeCell ref="AO97:AP97"/>
    <mergeCell ref="AR80:AT80"/>
    <mergeCell ref="AO82:AP83"/>
    <mergeCell ref="AO84:AP84"/>
    <mergeCell ref="AO86:AP86"/>
    <mergeCell ref="AO87:AP87"/>
    <mergeCell ref="AO88:AP88"/>
    <mergeCell ref="AO72:AP73"/>
    <mergeCell ref="AO76:AP76"/>
    <mergeCell ref="AO77:AP77"/>
    <mergeCell ref="AO78:AP78"/>
    <mergeCell ref="AO79:AP79"/>
    <mergeCell ref="AO80:AP80"/>
    <mergeCell ref="AO66:AP66"/>
    <mergeCell ref="AO67:AP67"/>
    <mergeCell ref="AO68:AP68"/>
    <mergeCell ref="AO69:AP69"/>
    <mergeCell ref="AO70:AP70"/>
    <mergeCell ref="AR70:AT70"/>
    <mergeCell ref="AO57:AP57"/>
    <mergeCell ref="AO58:AP58"/>
    <mergeCell ref="AO59:AP59"/>
    <mergeCell ref="AO60:AP60"/>
    <mergeCell ref="AR60:AT60"/>
    <mergeCell ref="AO62:AP63"/>
    <mergeCell ref="AO50:AP50"/>
    <mergeCell ref="AR50:AT50"/>
    <mergeCell ref="AO52:AP53"/>
    <mergeCell ref="AO54:AP54"/>
    <mergeCell ref="AO55:AP55"/>
    <mergeCell ref="AO56:AP56"/>
    <mergeCell ref="AO44:AP44"/>
    <mergeCell ref="AO45:AP45"/>
    <mergeCell ref="AO46:AP46"/>
    <mergeCell ref="AO47:AP47"/>
    <mergeCell ref="AO48:AP48"/>
    <mergeCell ref="AO49:AP49"/>
    <mergeCell ref="AO37:AP37"/>
    <mergeCell ref="AO38:AP38"/>
    <mergeCell ref="AO39:AP39"/>
    <mergeCell ref="AO40:AP40"/>
    <mergeCell ref="AR40:AT40"/>
    <mergeCell ref="AO42:AP43"/>
    <mergeCell ref="AO30:AP30"/>
    <mergeCell ref="AR30:AT30"/>
    <mergeCell ref="AO32:AP33"/>
    <mergeCell ref="AO34:AP34"/>
    <mergeCell ref="AO35:AP35"/>
    <mergeCell ref="AO36:AP36"/>
    <mergeCell ref="AO15:AP15"/>
    <mergeCell ref="AO16:AP16"/>
    <mergeCell ref="AO20:AP20"/>
    <mergeCell ref="AR20:AT20"/>
    <mergeCell ref="AO22:AP23"/>
    <mergeCell ref="AO24:AP24"/>
    <mergeCell ref="AO8:AP8"/>
    <mergeCell ref="AO9:AP9"/>
    <mergeCell ref="AO10:AP10"/>
    <mergeCell ref="AR10:AT10"/>
    <mergeCell ref="AO12:AP13"/>
    <mergeCell ref="AO14:AP14"/>
    <mergeCell ref="AO1:CA1"/>
    <mergeCell ref="AO2:AP3"/>
    <mergeCell ref="AO4:AP4"/>
    <mergeCell ref="AO5:AP5"/>
    <mergeCell ref="AO6:AP6"/>
    <mergeCell ref="AO7:AP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1799D-F9F6-4D9A-8B0C-07154D91B23D}">
  <dimension ref="A1:C117"/>
  <sheetViews>
    <sheetView zoomScale="90" zoomScaleNormal="90" workbookViewId="0">
      <selection activeCell="C22" sqref="C22"/>
    </sheetView>
  </sheetViews>
  <sheetFormatPr defaultRowHeight="14.4"/>
  <cols>
    <col min="1" max="1" width="50.33203125" bestFit="1" customWidth="1"/>
    <col min="2" max="2" width="13.33203125" bestFit="1" customWidth="1"/>
    <col min="3" max="3" width="55.6640625" bestFit="1" customWidth="1"/>
  </cols>
  <sheetData>
    <row r="1" spans="1:3">
      <c r="A1" s="37" t="s">
        <v>433</v>
      </c>
      <c r="B1" s="37" t="s">
        <v>535</v>
      </c>
      <c r="C1" s="66" t="s">
        <v>85</v>
      </c>
    </row>
    <row r="2" spans="1:3">
      <c r="A2" s="8" t="s">
        <v>391</v>
      </c>
      <c r="B2" s="9" t="s">
        <v>4</v>
      </c>
      <c r="C2" s="6" t="s">
        <v>86</v>
      </c>
    </row>
    <row r="3" spans="1:3">
      <c r="A3" s="11"/>
      <c r="B3" t="s">
        <v>3</v>
      </c>
      <c r="C3" s="6" t="s">
        <v>87</v>
      </c>
    </row>
    <row r="4" spans="1:3">
      <c r="A4" s="11"/>
      <c r="B4" t="s">
        <v>2</v>
      </c>
      <c r="C4" s="6" t="s">
        <v>88</v>
      </c>
    </row>
    <row r="5" spans="1:3">
      <c r="A5" s="12"/>
      <c r="B5" s="13" t="s">
        <v>5</v>
      </c>
      <c r="C5" s="6" t="s">
        <v>89</v>
      </c>
    </row>
    <row r="6" spans="1:3">
      <c r="A6" s="8" t="s">
        <v>392</v>
      </c>
      <c r="B6" s="9" t="s">
        <v>4</v>
      </c>
      <c r="C6" s="6" t="s">
        <v>90</v>
      </c>
    </row>
    <row r="7" spans="1:3">
      <c r="A7" s="11"/>
      <c r="B7" t="s">
        <v>3</v>
      </c>
      <c r="C7" s="6" t="s">
        <v>91</v>
      </c>
    </row>
    <row r="8" spans="1:3">
      <c r="A8" s="11"/>
      <c r="B8" t="s">
        <v>2</v>
      </c>
      <c r="C8" s="6" t="s">
        <v>92</v>
      </c>
    </row>
    <row r="9" spans="1:3">
      <c r="A9" s="12"/>
      <c r="B9" s="13" t="s">
        <v>5</v>
      </c>
      <c r="C9" s="6" t="s">
        <v>93</v>
      </c>
    </row>
    <row r="10" spans="1:3">
      <c r="A10" s="8" t="s">
        <v>393</v>
      </c>
      <c r="B10" s="9" t="s">
        <v>4</v>
      </c>
      <c r="C10" s="6" t="s">
        <v>94</v>
      </c>
    </row>
    <row r="11" spans="1:3">
      <c r="A11" s="11"/>
      <c r="B11" t="s">
        <v>3</v>
      </c>
      <c r="C11" s="6" t="s">
        <v>95</v>
      </c>
    </row>
    <row r="12" spans="1:3">
      <c r="A12" s="11"/>
      <c r="B12" t="s">
        <v>2</v>
      </c>
      <c r="C12" s="6" t="s">
        <v>96</v>
      </c>
    </row>
    <row r="13" spans="1:3">
      <c r="A13" s="12"/>
      <c r="B13" s="13" t="s">
        <v>5</v>
      </c>
      <c r="C13" s="6" t="s">
        <v>97</v>
      </c>
    </row>
    <row r="14" spans="1:3">
      <c r="A14" s="8" t="s">
        <v>394</v>
      </c>
      <c r="B14" s="9" t="s">
        <v>4</v>
      </c>
      <c r="C14" s="6" t="s">
        <v>98</v>
      </c>
    </row>
    <row r="15" spans="1:3">
      <c r="A15" s="11"/>
      <c r="B15" t="s">
        <v>3</v>
      </c>
      <c r="C15" s="6" t="s">
        <v>99</v>
      </c>
    </row>
    <row r="16" spans="1:3">
      <c r="A16" s="11"/>
      <c r="B16" t="s">
        <v>2</v>
      </c>
      <c r="C16" s="6" t="s">
        <v>100</v>
      </c>
    </row>
    <row r="17" spans="1:3">
      <c r="A17" s="12"/>
      <c r="B17" s="13" t="s">
        <v>5</v>
      </c>
      <c r="C17" s="6" t="s">
        <v>101</v>
      </c>
    </row>
    <row r="18" spans="1:3">
      <c r="A18" s="8" t="s">
        <v>395</v>
      </c>
      <c r="B18" s="9" t="s">
        <v>4</v>
      </c>
      <c r="C18" s="6" t="s">
        <v>102</v>
      </c>
    </row>
    <row r="19" spans="1:3">
      <c r="A19" s="11"/>
      <c r="B19" t="s">
        <v>3</v>
      </c>
      <c r="C19" s="6" t="s">
        <v>103</v>
      </c>
    </row>
    <row r="20" spans="1:3">
      <c r="A20" s="11"/>
      <c r="B20" t="s">
        <v>2</v>
      </c>
      <c r="C20" s="6" t="s">
        <v>104</v>
      </c>
    </row>
    <row r="21" spans="1:3">
      <c r="A21" s="12"/>
      <c r="B21" s="13" t="s">
        <v>5</v>
      </c>
      <c r="C21" s="6" t="s">
        <v>89</v>
      </c>
    </row>
    <row r="22" spans="1:3">
      <c r="A22" s="8" t="s">
        <v>396</v>
      </c>
      <c r="B22" s="9" t="s">
        <v>4</v>
      </c>
      <c r="C22" s="6" t="s">
        <v>105</v>
      </c>
    </row>
    <row r="23" spans="1:3">
      <c r="A23" s="11"/>
      <c r="B23" t="s">
        <v>3</v>
      </c>
      <c r="C23" s="6" t="s">
        <v>106</v>
      </c>
    </row>
    <row r="24" spans="1:3">
      <c r="A24" s="11"/>
      <c r="B24" t="s">
        <v>2</v>
      </c>
      <c r="C24" s="6" t="s">
        <v>107</v>
      </c>
    </row>
    <row r="25" spans="1:3">
      <c r="A25" s="12"/>
      <c r="B25" s="13" t="s">
        <v>5</v>
      </c>
      <c r="C25" s="6" t="s">
        <v>108</v>
      </c>
    </row>
    <row r="26" spans="1:3">
      <c r="A26" s="8" t="s">
        <v>397</v>
      </c>
      <c r="B26" s="9" t="s">
        <v>4</v>
      </c>
      <c r="C26" s="6" t="s">
        <v>109</v>
      </c>
    </row>
    <row r="27" spans="1:3">
      <c r="A27" s="11"/>
      <c r="B27" t="s">
        <v>3</v>
      </c>
      <c r="C27" s="6" t="s">
        <v>110</v>
      </c>
    </row>
    <row r="28" spans="1:3">
      <c r="A28" s="11"/>
      <c r="B28" t="s">
        <v>2</v>
      </c>
      <c r="C28" s="6" t="s">
        <v>111</v>
      </c>
    </row>
    <row r="29" spans="1:3">
      <c r="A29" s="12"/>
      <c r="B29" s="13" t="s">
        <v>5</v>
      </c>
      <c r="C29" s="6" t="s">
        <v>112</v>
      </c>
    </row>
    <row r="30" spans="1:3">
      <c r="A30" s="8" t="s">
        <v>398</v>
      </c>
      <c r="B30" s="9" t="s">
        <v>4</v>
      </c>
      <c r="C30" s="6" t="s">
        <v>113</v>
      </c>
    </row>
    <row r="31" spans="1:3">
      <c r="A31" s="11"/>
      <c r="B31" t="s">
        <v>3</v>
      </c>
      <c r="C31" s="6" t="s">
        <v>114</v>
      </c>
    </row>
    <row r="32" spans="1:3">
      <c r="A32" s="11"/>
      <c r="B32" t="s">
        <v>2</v>
      </c>
      <c r="C32" s="6" t="s">
        <v>115</v>
      </c>
    </row>
    <row r="33" spans="1:3">
      <c r="A33" s="12"/>
      <c r="B33" s="13" t="s">
        <v>5</v>
      </c>
      <c r="C33" s="6" t="s">
        <v>116</v>
      </c>
    </row>
    <row r="34" spans="1:3">
      <c r="A34" t="s">
        <v>399</v>
      </c>
      <c r="B34" t="s">
        <v>4</v>
      </c>
      <c r="C34" s="6" t="s">
        <v>426</v>
      </c>
    </row>
    <row r="35" spans="1:3">
      <c r="B35" t="s">
        <v>3</v>
      </c>
      <c r="C35" s="6" t="s">
        <v>117</v>
      </c>
    </row>
    <row r="36" spans="1:3">
      <c r="B36" t="s">
        <v>2</v>
      </c>
      <c r="C36" s="6" t="s">
        <v>118</v>
      </c>
    </row>
    <row r="37" spans="1:3">
      <c r="B37" t="s">
        <v>5</v>
      </c>
      <c r="C37" s="6" t="s">
        <v>119</v>
      </c>
    </row>
    <row r="38" spans="1:3">
      <c r="A38" s="8" t="s">
        <v>400</v>
      </c>
      <c r="B38" s="9" t="s">
        <v>4</v>
      </c>
      <c r="C38" s="6" t="s">
        <v>120</v>
      </c>
    </row>
    <row r="39" spans="1:3">
      <c r="A39" s="11"/>
      <c r="B39" t="s">
        <v>3</v>
      </c>
      <c r="C39" s="6" t="s">
        <v>121</v>
      </c>
    </row>
    <row r="40" spans="1:3">
      <c r="A40" s="11"/>
      <c r="B40" t="s">
        <v>2</v>
      </c>
      <c r="C40" s="6" t="s">
        <v>122</v>
      </c>
    </row>
    <row r="41" spans="1:3">
      <c r="A41" s="12"/>
      <c r="B41" s="13" t="s">
        <v>5</v>
      </c>
      <c r="C41" s="6" t="s">
        <v>123</v>
      </c>
    </row>
    <row r="42" spans="1:3">
      <c r="A42" s="8" t="s">
        <v>401</v>
      </c>
      <c r="B42" s="9" t="s">
        <v>4</v>
      </c>
      <c r="C42" s="6" t="s">
        <v>124</v>
      </c>
    </row>
    <row r="43" spans="1:3">
      <c r="A43" s="11"/>
      <c r="B43" t="s">
        <v>3</v>
      </c>
      <c r="C43" s="6" t="s">
        <v>125</v>
      </c>
    </row>
    <row r="44" spans="1:3">
      <c r="A44" s="11"/>
      <c r="B44" t="s">
        <v>2</v>
      </c>
      <c r="C44" s="6" t="s">
        <v>126</v>
      </c>
    </row>
    <row r="45" spans="1:3">
      <c r="A45" s="12"/>
      <c r="B45" s="13" t="s">
        <v>5</v>
      </c>
      <c r="C45" s="6" t="s">
        <v>127</v>
      </c>
    </row>
    <row r="46" spans="1:3">
      <c r="A46" s="8" t="s">
        <v>402</v>
      </c>
      <c r="B46" s="9" t="s">
        <v>4</v>
      </c>
      <c r="C46" s="6" t="s">
        <v>128</v>
      </c>
    </row>
    <row r="47" spans="1:3">
      <c r="A47" s="11"/>
      <c r="B47" t="s">
        <v>3</v>
      </c>
      <c r="C47" s="6" t="s">
        <v>129</v>
      </c>
    </row>
    <row r="48" spans="1:3">
      <c r="A48" s="11"/>
      <c r="B48" t="s">
        <v>2</v>
      </c>
      <c r="C48" s="6" t="s">
        <v>130</v>
      </c>
    </row>
    <row r="49" spans="1:3">
      <c r="A49" s="12"/>
      <c r="B49" s="13" t="s">
        <v>5</v>
      </c>
      <c r="C49" s="6" t="s">
        <v>131</v>
      </c>
    </row>
    <row r="50" spans="1:3">
      <c r="A50" s="8" t="s">
        <v>403</v>
      </c>
      <c r="B50" s="9" t="s">
        <v>4</v>
      </c>
      <c r="C50" s="6" t="s">
        <v>132</v>
      </c>
    </row>
    <row r="51" spans="1:3">
      <c r="A51" s="11"/>
      <c r="B51" t="s">
        <v>3</v>
      </c>
      <c r="C51" s="6" t="s">
        <v>133</v>
      </c>
    </row>
    <row r="52" spans="1:3">
      <c r="A52" s="11"/>
      <c r="B52" t="s">
        <v>2</v>
      </c>
      <c r="C52" s="6" t="s">
        <v>134</v>
      </c>
    </row>
    <row r="53" spans="1:3">
      <c r="A53" s="12"/>
      <c r="B53" s="13" t="s">
        <v>5</v>
      </c>
      <c r="C53" s="6" t="s">
        <v>135</v>
      </c>
    </row>
    <row r="54" spans="1:3">
      <c r="A54" s="8" t="s">
        <v>404</v>
      </c>
      <c r="B54" s="9" t="s">
        <v>4</v>
      </c>
      <c r="C54" s="6" t="s">
        <v>136</v>
      </c>
    </row>
    <row r="55" spans="1:3">
      <c r="A55" s="11"/>
      <c r="B55" t="s">
        <v>3</v>
      </c>
      <c r="C55" s="6" t="s">
        <v>137</v>
      </c>
    </row>
    <row r="56" spans="1:3">
      <c r="A56" s="11"/>
      <c r="B56" t="s">
        <v>2</v>
      </c>
      <c r="C56" s="6" t="s">
        <v>138</v>
      </c>
    </row>
    <row r="57" spans="1:3">
      <c r="A57" s="12"/>
      <c r="B57" s="13" t="s">
        <v>5</v>
      </c>
      <c r="C57" s="6" t="s">
        <v>139</v>
      </c>
    </row>
    <row r="58" spans="1:3">
      <c r="A58" s="8" t="s">
        <v>405</v>
      </c>
      <c r="B58" s="9" t="s">
        <v>4</v>
      </c>
      <c r="C58" s="6" t="s">
        <v>139</v>
      </c>
    </row>
    <row r="59" spans="1:3">
      <c r="A59" s="11"/>
      <c r="B59" t="s">
        <v>3</v>
      </c>
      <c r="C59" s="6" t="s">
        <v>140</v>
      </c>
    </row>
    <row r="60" spans="1:3">
      <c r="A60" s="11"/>
      <c r="B60" t="s">
        <v>2</v>
      </c>
      <c r="C60" s="6" t="s">
        <v>137</v>
      </c>
    </row>
    <row r="61" spans="1:3">
      <c r="A61" s="12"/>
      <c r="B61" s="13" t="s">
        <v>5</v>
      </c>
      <c r="C61" s="6" t="s">
        <v>136</v>
      </c>
    </row>
    <row r="62" spans="1:3">
      <c r="A62" s="8" t="s">
        <v>406</v>
      </c>
      <c r="B62" s="9" t="s">
        <v>4</v>
      </c>
      <c r="C62" s="6" t="s">
        <v>141</v>
      </c>
    </row>
    <row r="63" spans="1:3">
      <c r="A63" s="11"/>
      <c r="B63" t="s">
        <v>3</v>
      </c>
      <c r="C63" s="6" t="s">
        <v>142</v>
      </c>
    </row>
    <row r="64" spans="1:3">
      <c r="A64" s="11"/>
      <c r="B64" t="s">
        <v>2</v>
      </c>
      <c r="C64" s="6" t="s">
        <v>143</v>
      </c>
    </row>
    <row r="65" spans="1:3">
      <c r="A65" s="12"/>
      <c r="B65" s="13" t="s">
        <v>5</v>
      </c>
      <c r="C65" s="6" t="s">
        <v>144</v>
      </c>
    </row>
    <row r="66" spans="1:3">
      <c r="A66" s="8" t="s">
        <v>407</v>
      </c>
      <c r="B66" s="9" t="s">
        <v>4</v>
      </c>
      <c r="C66" s="6" t="s">
        <v>145</v>
      </c>
    </row>
    <row r="67" spans="1:3">
      <c r="A67" s="11"/>
      <c r="B67" t="s">
        <v>3</v>
      </c>
      <c r="C67" s="6" t="s">
        <v>146</v>
      </c>
    </row>
    <row r="68" spans="1:3">
      <c r="A68" s="11"/>
      <c r="B68" t="s">
        <v>2</v>
      </c>
      <c r="C68" s="6" t="s">
        <v>147</v>
      </c>
    </row>
    <row r="69" spans="1:3">
      <c r="A69" s="12"/>
      <c r="B69" s="13" t="s">
        <v>5</v>
      </c>
      <c r="C69" s="6" t="s">
        <v>144</v>
      </c>
    </row>
    <row r="70" spans="1:3">
      <c r="A70" s="8" t="s">
        <v>408</v>
      </c>
      <c r="B70" s="9" t="s">
        <v>4</v>
      </c>
      <c r="C70" s="6" t="s">
        <v>148</v>
      </c>
    </row>
    <row r="71" spans="1:3">
      <c r="A71" s="11"/>
      <c r="B71" t="s">
        <v>3</v>
      </c>
      <c r="C71" s="6" t="s">
        <v>149</v>
      </c>
    </row>
    <row r="72" spans="1:3">
      <c r="A72" s="11"/>
      <c r="B72" t="s">
        <v>2</v>
      </c>
      <c r="C72" s="6" t="s">
        <v>150</v>
      </c>
    </row>
    <row r="73" spans="1:3">
      <c r="A73" s="12"/>
      <c r="B73" s="13" t="s">
        <v>5</v>
      </c>
      <c r="C73" s="6" t="s">
        <v>144</v>
      </c>
    </row>
    <row r="74" spans="1:3">
      <c r="A74" s="8" t="s">
        <v>409</v>
      </c>
      <c r="B74" s="9" t="s">
        <v>4</v>
      </c>
      <c r="C74" s="6" t="s">
        <v>151</v>
      </c>
    </row>
    <row r="75" spans="1:3">
      <c r="A75" s="11"/>
      <c r="B75" t="s">
        <v>3</v>
      </c>
      <c r="C75" s="6" t="s">
        <v>152</v>
      </c>
    </row>
    <row r="76" spans="1:3">
      <c r="A76" s="11"/>
      <c r="B76" t="s">
        <v>2</v>
      </c>
      <c r="C76" s="6" t="s">
        <v>153</v>
      </c>
    </row>
    <row r="77" spans="1:3">
      <c r="A77" s="12"/>
      <c r="B77" s="13" t="s">
        <v>5</v>
      </c>
      <c r="C77" s="6" t="s">
        <v>154</v>
      </c>
    </row>
    <row r="78" spans="1:3">
      <c r="A78" s="8" t="s">
        <v>410</v>
      </c>
      <c r="B78" s="9" t="s">
        <v>4</v>
      </c>
      <c r="C78" s="6" t="s">
        <v>155</v>
      </c>
    </row>
    <row r="79" spans="1:3">
      <c r="A79" s="11"/>
      <c r="B79" t="s">
        <v>3</v>
      </c>
      <c r="C79" s="6" t="s">
        <v>156</v>
      </c>
    </row>
    <row r="80" spans="1:3">
      <c r="A80" s="11"/>
      <c r="B80" t="s">
        <v>2</v>
      </c>
      <c r="C80" s="6" t="s">
        <v>157</v>
      </c>
    </row>
    <row r="81" spans="1:3">
      <c r="A81" s="12"/>
      <c r="B81" s="13" t="s">
        <v>5</v>
      </c>
      <c r="C81" s="6" t="s">
        <v>158</v>
      </c>
    </row>
    <row r="82" spans="1:3">
      <c r="A82" s="8" t="s">
        <v>411</v>
      </c>
      <c r="B82" s="9" t="s">
        <v>4</v>
      </c>
      <c r="C82" s="6" t="s">
        <v>144</v>
      </c>
    </row>
    <row r="83" spans="1:3">
      <c r="A83" s="11"/>
      <c r="B83" t="s">
        <v>3</v>
      </c>
      <c r="C83" s="6" t="s">
        <v>159</v>
      </c>
    </row>
    <row r="84" spans="1:3">
      <c r="A84" s="11"/>
      <c r="B84" t="s">
        <v>2</v>
      </c>
      <c r="C84" s="6" t="s">
        <v>160</v>
      </c>
    </row>
    <row r="85" spans="1:3">
      <c r="A85" s="12"/>
      <c r="B85" s="13" t="s">
        <v>5</v>
      </c>
      <c r="C85" s="6" t="s">
        <v>161</v>
      </c>
    </row>
    <row r="86" spans="1:3">
      <c r="A86" s="8" t="s">
        <v>412</v>
      </c>
      <c r="B86" s="9" t="s">
        <v>4</v>
      </c>
      <c r="C86" s="6" t="s">
        <v>226</v>
      </c>
    </row>
    <row r="87" spans="1:3">
      <c r="A87" s="11"/>
      <c r="B87" t="s">
        <v>3</v>
      </c>
      <c r="C87" s="6" t="s">
        <v>227</v>
      </c>
    </row>
    <row r="88" spans="1:3">
      <c r="A88" s="11"/>
      <c r="B88" t="s">
        <v>2</v>
      </c>
      <c r="C88" s="6" t="s">
        <v>228</v>
      </c>
    </row>
    <row r="89" spans="1:3">
      <c r="A89" s="11"/>
      <c r="B89" t="s">
        <v>5</v>
      </c>
      <c r="C89" s="6" t="s">
        <v>229</v>
      </c>
    </row>
    <row r="90" spans="1:3">
      <c r="A90" s="15" t="s">
        <v>413</v>
      </c>
      <c r="B90" s="15" t="s">
        <v>4</v>
      </c>
      <c r="C90" s="61" t="s">
        <v>230</v>
      </c>
    </row>
    <row r="91" spans="1:3">
      <c r="A91" s="17"/>
      <c r="B91" s="17" t="s">
        <v>3</v>
      </c>
      <c r="C91" s="61" t="s">
        <v>231</v>
      </c>
    </row>
    <row r="92" spans="1:3">
      <c r="A92" t="s">
        <v>414</v>
      </c>
      <c r="B92" t="s">
        <v>4</v>
      </c>
      <c r="C92" s="6" t="s">
        <v>428</v>
      </c>
    </row>
    <row r="93" spans="1:3">
      <c r="B93" s="13" t="s">
        <v>3</v>
      </c>
      <c r="C93" s="6" t="s">
        <v>429</v>
      </c>
    </row>
    <row r="94" spans="1:3">
      <c r="A94" s="8" t="s">
        <v>415</v>
      </c>
      <c r="B94" t="s">
        <v>4</v>
      </c>
      <c r="C94" s="6" t="s">
        <v>428</v>
      </c>
    </row>
    <row r="95" spans="1:3">
      <c r="A95" s="13"/>
      <c r="B95" t="s">
        <v>3</v>
      </c>
      <c r="C95" s="6" t="s">
        <v>429</v>
      </c>
    </row>
    <row r="96" spans="1:3">
      <c r="A96" s="9" t="s">
        <v>416</v>
      </c>
      <c r="B96" s="9" t="s">
        <v>4</v>
      </c>
      <c r="C96" s="6" t="s">
        <v>428</v>
      </c>
    </row>
    <row r="97" spans="1:3">
      <c r="B97" t="s">
        <v>3</v>
      </c>
      <c r="C97" s="6" t="s">
        <v>431</v>
      </c>
    </row>
    <row r="98" spans="1:3">
      <c r="A98" s="8" t="s">
        <v>417</v>
      </c>
      <c r="B98" s="9" t="s">
        <v>4</v>
      </c>
      <c r="C98" s="6" t="s">
        <v>432</v>
      </c>
    </row>
    <row r="99" spans="1:3">
      <c r="B99" t="s">
        <v>3</v>
      </c>
      <c r="C99" s="6" t="s">
        <v>431</v>
      </c>
    </row>
    <row r="100" spans="1:3">
      <c r="A100" s="9" t="s">
        <v>418</v>
      </c>
      <c r="B100" s="9" t="s">
        <v>4</v>
      </c>
      <c r="C100" s="6" t="s">
        <v>432</v>
      </c>
    </row>
    <row r="101" spans="1:3">
      <c r="B101" t="s">
        <v>3</v>
      </c>
      <c r="C101" s="6" t="s">
        <v>431</v>
      </c>
    </row>
    <row r="102" spans="1:3">
      <c r="A102" s="8" t="s">
        <v>419</v>
      </c>
      <c r="B102" s="9" t="s">
        <v>4</v>
      </c>
      <c r="C102" s="6" t="s">
        <v>432</v>
      </c>
    </row>
    <row r="103" spans="1:3">
      <c r="A103" s="12"/>
      <c r="B103" s="13" t="s">
        <v>3</v>
      </c>
      <c r="C103" s="6" t="s">
        <v>431</v>
      </c>
    </row>
    <row r="104" spans="1:3">
      <c r="A104" s="8" t="s">
        <v>420</v>
      </c>
      <c r="B104" s="9" t="s">
        <v>4</v>
      </c>
      <c r="C104" s="6" t="s">
        <v>432</v>
      </c>
    </row>
    <row r="105" spans="1:3">
      <c r="A105" s="12"/>
      <c r="B105" s="13" t="s">
        <v>3</v>
      </c>
      <c r="C105" s="6" t="s">
        <v>431</v>
      </c>
    </row>
    <row r="106" spans="1:3">
      <c r="A106" s="8" t="s">
        <v>421</v>
      </c>
      <c r="B106" s="9" t="s">
        <v>4</v>
      </c>
      <c r="C106" s="6" t="s">
        <v>432</v>
      </c>
    </row>
    <row r="107" spans="1:3">
      <c r="A107" s="12"/>
      <c r="B107" s="13" t="s">
        <v>3</v>
      </c>
      <c r="C107" s="6" t="s">
        <v>431</v>
      </c>
    </row>
    <row r="108" spans="1:3">
      <c r="A108" s="8" t="s">
        <v>422</v>
      </c>
      <c r="B108" s="9" t="s">
        <v>4</v>
      </c>
      <c r="C108" s="6" t="s">
        <v>432</v>
      </c>
    </row>
    <row r="109" spans="1:3">
      <c r="A109" s="12"/>
      <c r="B109" s="13" t="s">
        <v>3</v>
      </c>
      <c r="C109" s="6" t="s">
        <v>431</v>
      </c>
    </row>
    <row r="110" spans="1:3">
      <c r="A110" s="8" t="s">
        <v>423</v>
      </c>
      <c r="B110" s="9" t="s">
        <v>4</v>
      </c>
      <c r="C110" s="6" t="s">
        <v>432</v>
      </c>
    </row>
    <row r="111" spans="1:3">
      <c r="A111" s="12"/>
      <c r="B111" s="13" t="s">
        <v>3</v>
      </c>
      <c r="C111" s="6" t="s">
        <v>431</v>
      </c>
    </row>
    <row r="112" spans="1:3">
      <c r="A112" s="8" t="s">
        <v>424</v>
      </c>
      <c r="B112" s="9" t="s">
        <v>4</v>
      </c>
      <c r="C112" s="6" t="s">
        <v>432</v>
      </c>
    </row>
    <row r="113" spans="1:3">
      <c r="A113" s="12"/>
      <c r="B113" s="13" t="s">
        <v>3</v>
      </c>
      <c r="C113" s="6" t="s">
        <v>431</v>
      </c>
    </row>
    <row r="114" spans="1:3">
      <c r="A114" s="8" t="s">
        <v>425</v>
      </c>
      <c r="B114" s="9" t="s">
        <v>4</v>
      </c>
      <c r="C114" s="6" t="s">
        <v>428</v>
      </c>
    </row>
    <row r="115" spans="1:3">
      <c r="A115" s="12"/>
      <c r="B115" s="13" t="s">
        <v>3</v>
      </c>
      <c r="C115" s="6" t="s">
        <v>431</v>
      </c>
    </row>
    <row r="116" spans="1:3">
      <c r="A116" s="8" t="s">
        <v>427</v>
      </c>
      <c r="B116" s="9" t="s">
        <v>4</v>
      </c>
      <c r="C116" s="6" t="s">
        <v>432</v>
      </c>
    </row>
    <row r="117" spans="1:3">
      <c r="A117" s="12"/>
      <c r="B117" s="13" t="s">
        <v>3</v>
      </c>
      <c r="C117" s="6" t="s">
        <v>431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3C04F-6D75-4A47-8448-10B87895542A}">
  <dimension ref="A1:C20"/>
  <sheetViews>
    <sheetView workbookViewId="0">
      <selection activeCell="C13" sqref="C13"/>
    </sheetView>
  </sheetViews>
  <sheetFormatPr defaultRowHeight="14.4"/>
  <cols>
    <col min="1" max="1" width="46.77734375" bestFit="1" customWidth="1"/>
    <col min="2" max="2" width="5.109375" bestFit="1" customWidth="1"/>
    <col min="3" max="3" width="15.5546875" bestFit="1" customWidth="1"/>
  </cols>
  <sheetData>
    <row r="1" spans="1:3">
      <c r="A1" s="38" t="s">
        <v>534</v>
      </c>
      <c r="B1" s="45"/>
      <c r="C1" s="45"/>
    </row>
    <row r="2" spans="1:3">
      <c r="A2" s="61" t="s">
        <v>523</v>
      </c>
      <c r="B2" s="31"/>
      <c r="C2" s="31"/>
    </row>
    <row r="3" spans="1:3">
      <c r="A3" s="62" t="s">
        <v>524</v>
      </c>
      <c r="B3" s="31"/>
      <c r="C3" s="31"/>
    </row>
    <row r="4" spans="1:3">
      <c r="A4" s="61" t="s">
        <v>525</v>
      </c>
      <c r="B4" s="31"/>
      <c r="C4" s="31"/>
    </row>
    <row r="5" spans="1:3">
      <c r="A5" s="64" t="s">
        <v>526</v>
      </c>
      <c r="B5" s="31"/>
      <c r="C5" s="31"/>
    </row>
    <row r="6" spans="1:3">
      <c r="A6" s="63"/>
      <c r="B6" s="31"/>
      <c r="C6" s="31"/>
    </row>
    <row r="7" spans="1:3">
      <c r="A7" s="65" t="s">
        <v>527</v>
      </c>
      <c r="B7" s="31"/>
      <c r="C7" s="31"/>
    </row>
    <row r="8" spans="1:3">
      <c r="A8" s="18"/>
      <c r="B8" s="31"/>
      <c r="C8" s="31"/>
    </row>
    <row r="9" spans="1:3">
      <c r="A9" s="64" t="s">
        <v>528</v>
      </c>
      <c r="B9" s="31"/>
      <c r="C9" s="31"/>
    </row>
    <row r="10" spans="1:3">
      <c r="A10" s="63"/>
      <c r="B10" s="31"/>
      <c r="C10" s="31"/>
    </row>
    <row r="11" spans="1:3">
      <c r="A11" s="65" t="s">
        <v>529</v>
      </c>
      <c r="B11" s="31"/>
      <c r="C11" s="31"/>
    </row>
    <row r="12" spans="1:3">
      <c r="A12" s="63"/>
      <c r="B12" s="31"/>
      <c r="C12" s="31"/>
    </row>
    <row r="13" spans="1:3">
      <c r="A13" s="16" t="s">
        <v>530</v>
      </c>
      <c r="B13" s="31"/>
      <c r="C13" s="31"/>
    </row>
    <row r="14" spans="1:3">
      <c r="A14" s="63"/>
      <c r="B14" s="31"/>
      <c r="C14" s="31"/>
    </row>
    <row r="15" spans="1:3">
      <c r="A15" s="65" t="s">
        <v>531</v>
      </c>
      <c r="B15" s="31"/>
      <c r="C15" s="31"/>
    </row>
    <row r="16" spans="1:3">
      <c r="A16" s="63"/>
      <c r="B16" s="31"/>
      <c r="C16" s="31"/>
    </row>
    <row r="17" spans="1:3">
      <c r="A17" s="65" t="s">
        <v>532</v>
      </c>
      <c r="B17" s="31"/>
      <c r="C17" s="31"/>
    </row>
    <row r="18" spans="1:3">
      <c r="A18" s="62"/>
      <c r="B18" s="31"/>
      <c r="C18" s="31"/>
    </row>
    <row r="19" spans="1:3">
      <c r="A19" s="65" t="s">
        <v>533</v>
      </c>
      <c r="B19" s="31"/>
      <c r="C19" s="31"/>
    </row>
    <row r="20" spans="1:3">
      <c r="A20" s="62"/>
      <c r="B20" s="31"/>
      <c r="C20" s="3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1183-34E6-4AD3-8E41-D84E180E5241}">
  <dimension ref="A1:AM115"/>
  <sheetViews>
    <sheetView workbookViewId="0">
      <selection activeCell="E15" sqref="E15"/>
    </sheetView>
  </sheetViews>
  <sheetFormatPr defaultRowHeight="14.4"/>
  <cols>
    <col min="1" max="1" width="6.21875" customWidth="1"/>
    <col min="2" max="2" width="23.44140625" bestFit="1" customWidth="1"/>
    <col min="3" max="3" width="17.44140625" bestFit="1" customWidth="1"/>
  </cols>
  <sheetData>
    <row r="1" spans="1:39">
      <c r="A1" s="51" t="s">
        <v>288</v>
      </c>
      <c r="B1" s="51" t="s">
        <v>0</v>
      </c>
      <c r="C1" s="51" t="s">
        <v>64</v>
      </c>
      <c r="D1" s="51" t="s">
        <v>43</v>
      </c>
      <c r="E1" s="51" t="s">
        <v>44</v>
      </c>
      <c r="F1" s="51" t="s">
        <v>45</v>
      </c>
      <c r="G1" s="51" t="s">
        <v>46</v>
      </c>
      <c r="H1" s="51" t="s">
        <v>47</v>
      </c>
      <c r="I1" s="51" t="s">
        <v>48</v>
      </c>
      <c r="J1" s="51" t="s">
        <v>49</v>
      </c>
      <c r="K1" s="51" t="s">
        <v>50</v>
      </c>
      <c r="L1" s="51" t="s">
        <v>51</v>
      </c>
      <c r="M1" s="51" t="s">
        <v>52</v>
      </c>
      <c r="N1" s="51" t="s">
        <v>53</v>
      </c>
      <c r="O1" s="51" t="s">
        <v>54</v>
      </c>
      <c r="P1" s="51" t="s">
        <v>55</v>
      </c>
      <c r="Q1" s="51" t="s">
        <v>56</v>
      </c>
      <c r="R1" s="51" t="s">
        <v>57</v>
      </c>
      <c r="S1" s="51" t="s">
        <v>58</v>
      </c>
      <c r="T1" s="51" t="s">
        <v>59</v>
      </c>
      <c r="U1" s="51" t="s">
        <v>60</v>
      </c>
      <c r="V1" s="51" t="s">
        <v>61</v>
      </c>
      <c r="W1" s="51" t="s">
        <v>62</v>
      </c>
      <c r="X1" s="51" t="s">
        <v>63</v>
      </c>
      <c r="Y1" s="51" t="s">
        <v>330</v>
      </c>
      <c r="Z1" s="51" t="s">
        <v>331</v>
      </c>
      <c r="AA1" s="51" t="s">
        <v>332</v>
      </c>
      <c r="AB1" s="51" t="s">
        <v>333</v>
      </c>
      <c r="AC1" s="51" t="s">
        <v>334</v>
      </c>
      <c r="AD1" s="51" t="s">
        <v>335</v>
      </c>
      <c r="AE1" s="51" t="s">
        <v>336</v>
      </c>
      <c r="AF1" s="51" t="s">
        <v>337</v>
      </c>
      <c r="AG1" s="51" t="s">
        <v>338</v>
      </c>
      <c r="AH1" s="51" t="s">
        <v>339</v>
      </c>
      <c r="AI1" s="51" t="s">
        <v>340</v>
      </c>
      <c r="AJ1" s="51" t="s">
        <v>341</v>
      </c>
      <c r="AK1" s="51" t="s">
        <v>342</v>
      </c>
      <c r="AL1" s="51" t="s">
        <v>343</v>
      </c>
      <c r="AM1" s="51" t="s">
        <v>390</v>
      </c>
    </row>
    <row r="2" spans="1:39">
      <c r="A2" s="6">
        <f>ROW()-1</f>
        <v>1</v>
      </c>
      <c r="B2" s="6" t="s">
        <v>1</v>
      </c>
      <c r="C2" s="6">
        <v>1</v>
      </c>
      <c r="D2" s="6" t="s">
        <v>2</v>
      </c>
      <c r="E2" s="6" t="s">
        <v>3</v>
      </c>
      <c r="F2" s="6" t="s">
        <v>4</v>
      </c>
      <c r="G2" s="6" t="s">
        <v>5</v>
      </c>
      <c r="H2" s="6" t="s">
        <v>5</v>
      </c>
      <c r="I2" s="6" t="s">
        <v>5</v>
      </c>
      <c r="J2" s="6" t="s">
        <v>2</v>
      </c>
      <c r="K2" s="6" t="s">
        <v>2</v>
      </c>
      <c r="L2" s="6" t="s">
        <v>3</v>
      </c>
      <c r="M2" s="6" t="s">
        <v>2</v>
      </c>
      <c r="N2" s="6" t="s">
        <v>4</v>
      </c>
      <c r="O2" s="6" t="s">
        <v>2</v>
      </c>
      <c r="P2" s="6" t="s">
        <v>5</v>
      </c>
      <c r="Q2" s="6" t="s">
        <v>3</v>
      </c>
      <c r="R2" s="6" t="s">
        <v>3</v>
      </c>
      <c r="S2" s="6" t="s">
        <v>5</v>
      </c>
      <c r="T2" s="6" t="s">
        <v>5</v>
      </c>
      <c r="U2" s="6" t="s">
        <v>5</v>
      </c>
      <c r="V2" s="6" t="s">
        <v>2</v>
      </c>
      <c r="W2" s="6" t="s">
        <v>4</v>
      </c>
      <c r="X2" s="6" t="s">
        <v>3</v>
      </c>
      <c r="Y2" s="6" t="s">
        <v>4</v>
      </c>
      <c r="Z2" s="6" t="s">
        <v>4</v>
      </c>
      <c r="AA2" s="6" t="s">
        <v>4</v>
      </c>
      <c r="AB2" s="6" t="s">
        <v>4</v>
      </c>
      <c r="AC2" s="6" t="s">
        <v>4</v>
      </c>
      <c r="AD2" s="6" t="s">
        <v>4</v>
      </c>
      <c r="AE2" s="6" t="s">
        <v>4</v>
      </c>
      <c r="AF2" s="6" t="s">
        <v>3</v>
      </c>
      <c r="AG2" s="6" t="s">
        <v>4</v>
      </c>
      <c r="AH2" s="6" t="s">
        <v>4</v>
      </c>
      <c r="AI2" s="6" t="s">
        <v>3</v>
      </c>
      <c r="AJ2" s="6" t="s">
        <v>4</v>
      </c>
      <c r="AK2" s="6" t="s">
        <v>4</v>
      </c>
      <c r="AL2" s="6" t="s">
        <v>4</v>
      </c>
      <c r="AM2" s="6" t="s">
        <v>3</v>
      </c>
    </row>
    <row r="3" spans="1:39">
      <c r="A3" s="6">
        <f t="shared" ref="A3:A72" si="0">ROW()-1</f>
        <v>2</v>
      </c>
      <c r="B3" s="6" t="s">
        <v>6</v>
      </c>
      <c r="C3" s="6">
        <v>1</v>
      </c>
      <c r="D3" s="6" t="s">
        <v>5</v>
      </c>
      <c r="E3" s="6" t="s">
        <v>3</v>
      </c>
      <c r="F3" s="6" t="s">
        <v>2</v>
      </c>
      <c r="G3" s="6" t="s">
        <v>3</v>
      </c>
      <c r="H3" s="6" t="s">
        <v>5</v>
      </c>
      <c r="I3" s="6" t="s">
        <v>3</v>
      </c>
      <c r="J3" s="6" t="s">
        <v>5</v>
      </c>
      <c r="K3" s="6" t="s">
        <v>2</v>
      </c>
      <c r="L3" s="6" t="s">
        <v>2</v>
      </c>
      <c r="M3" s="6" t="s">
        <v>3</v>
      </c>
      <c r="N3" s="6" t="s">
        <v>3</v>
      </c>
      <c r="O3" s="6" t="s">
        <v>4</v>
      </c>
      <c r="P3" s="6" t="s">
        <v>5</v>
      </c>
      <c r="Q3" s="6" t="s">
        <v>3</v>
      </c>
      <c r="R3" s="6" t="s">
        <v>3</v>
      </c>
      <c r="S3" s="6" t="s">
        <v>5</v>
      </c>
      <c r="T3" s="6" t="s">
        <v>5</v>
      </c>
      <c r="U3" s="6" t="s">
        <v>5</v>
      </c>
      <c r="V3" s="6" t="s">
        <v>4</v>
      </c>
      <c r="W3" s="6" t="s">
        <v>4</v>
      </c>
      <c r="X3" s="6" t="s">
        <v>4</v>
      </c>
      <c r="Y3" s="6" t="s">
        <v>5</v>
      </c>
      <c r="Z3" s="6" t="s">
        <v>3</v>
      </c>
      <c r="AA3" s="6" t="s">
        <v>4</v>
      </c>
      <c r="AB3" s="6" t="s">
        <v>4</v>
      </c>
      <c r="AC3" s="6" t="s">
        <v>4</v>
      </c>
      <c r="AD3" s="6" t="s">
        <v>4</v>
      </c>
      <c r="AE3" s="6" t="s">
        <v>4</v>
      </c>
      <c r="AF3" s="6" t="s">
        <v>4</v>
      </c>
      <c r="AG3" s="6" t="s">
        <v>3</v>
      </c>
      <c r="AH3" s="6" t="s">
        <v>4</v>
      </c>
      <c r="AI3" s="6" t="s">
        <v>3</v>
      </c>
      <c r="AJ3" s="6" t="s">
        <v>4</v>
      </c>
      <c r="AK3" s="6" t="s">
        <v>4</v>
      </c>
      <c r="AL3" s="6" t="s">
        <v>4</v>
      </c>
      <c r="AM3" s="6" t="s">
        <v>3</v>
      </c>
    </row>
    <row r="4" spans="1:39">
      <c r="A4" s="6">
        <f t="shared" si="0"/>
        <v>3</v>
      </c>
      <c r="B4" s="6" t="s">
        <v>7</v>
      </c>
      <c r="C4" s="6">
        <v>1</v>
      </c>
      <c r="D4" s="6" t="s">
        <v>2</v>
      </c>
      <c r="E4" s="6" t="s">
        <v>3</v>
      </c>
      <c r="F4" s="6" t="s">
        <v>4</v>
      </c>
      <c r="G4" s="6" t="s">
        <v>5</v>
      </c>
      <c r="H4" s="6" t="s">
        <v>5</v>
      </c>
      <c r="I4" s="6" t="s">
        <v>5</v>
      </c>
      <c r="J4" s="6" t="s">
        <v>5</v>
      </c>
      <c r="K4" s="6" t="s">
        <v>2</v>
      </c>
      <c r="L4" s="6" t="s">
        <v>3</v>
      </c>
      <c r="M4" s="6" t="s">
        <v>3</v>
      </c>
      <c r="N4" s="6" t="s">
        <v>4</v>
      </c>
      <c r="O4" s="6" t="s">
        <v>3</v>
      </c>
      <c r="P4" s="6" t="s">
        <v>5</v>
      </c>
      <c r="Q4" s="6" t="s">
        <v>3</v>
      </c>
      <c r="R4" s="6" t="s">
        <v>3</v>
      </c>
      <c r="S4" s="6" t="s">
        <v>5</v>
      </c>
      <c r="T4" s="6" t="s">
        <v>5</v>
      </c>
      <c r="U4" s="6" t="s">
        <v>5</v>
      </c>
      <c r="V4" s="6" t="s">
        <v>2</v>
      </c>
      <c r="W4" s="6" t="s">
        <v>4</v>
      </c>
      <c r="X4" s="6" t="s">
        <v>3</v>
      </c>
      <c r="Y4" s="6" t="s">
        <v>2</v>
      </c>
      <c r="Z4" s="6" t="s">
        <v>3</v>
      </c>
      <c r="AA4" s="6" t="s">
        <v>4</v>
      </c>
      <c r="AB4" s="6" t="s">
        <v>4</v>
      </c>
      <c r="AC4" s="6" t="s">
        <v>4</v>
      </c>
      <c r="AD4" s="6" t="s">
        <v>4</v>
      </c>
      <c r="AE4" s="6" t="s">
        <v>4</v>
      </c>
      <c r="AF4" s="6" t="s">
        <v>4</v>
      </c>
      <c r="AG4" s="6" t="s">
        <v>4</v>
      </c>
      <c r="AH4" s="6" t="s">
        <v>4</v>
      </c>
      <c r="AI4" s="6" t="s">
        <v>4</v>
      </c>
      <c r="AJ4" s="6" t="s">
        <v>4</v>
      </c>
      <c r="AK4" s="6" t="s">
        <v>4</v>
      </c>
      <c r="AL4" s="6" t="s">
        <v>3</v>
      </c>
      <c r="AM4" s="6" t="s">
        <v>3</v>
      </c>
    </row>
    <row r="5" spans="1:39">
      <c r="A5" s="6">
        <f t="shared" si="0"/>
        <v>4</v>
      </c>
      <c r="B5" s="6" t="s">
        <v>8</v>
      </c>
      <c r="C5" s="6">
        <v>1</v>
      </c>
      <c r="D5" s="6" t="s">
        <v>5</v>
      </c>
      <c r="E5" s="6" t="s">
        <v>3</v>
      </c>
      <c r="F5" s="6" t="s">
        <v>2</v>
      </c>
      <c r="G5" s="6" t="s">
        <v>3</v>
      </c>
      <c r="H5" s="6" t="s">
        <v>5</v>
      </c>
      <c r="I5" s="6" t="s">
        <v>5</v>
      </c>
      <c r="J5" s="6" t="s">
        <v>5</v>
      </c>
      <c r="K5" s="6" t="s">
        <v>2</v>
      </c>
      <c r="L5" s="6" t="s">
        <v>3</v>
      </c>
      <c r="M5" s="6" t="s">
        <v>3</v>
      </c>
      <c r="N5" s="6" t="s">
        <v>4</v>
      </c>
      <c r="O5" s="6" t="s">
        <v>2</v>
      </c>
      <c r="P5" s="6" t="s">
        <v>5</v>
      </c>
      <c r="Q5" s="6" t="s">
        <v>3</v>
      </c>
      <c r="R5" s="6" t="s">
        <v>2</v>
      </c>
      <c r="S5" s="6" t="s">
        <v>5</v>
      </c>
      <c r="T5" s="6" t="s">
        <v>2</v>
      </c>
      <c r="U5" s="6" t="s">
        <v>2</v>
      </c>
      <c r="V5" s="6" t="s">
        <v>3</v>
      </c>
      <c r="W5" s="6" t="s">
        <v>4</v>
      </c>
      <c r="X5" s="6" t="s">
        <v>3</v>
      </c>
      <c r="Y5" s="6" t="s">
        <v>3</v>
      </c>
      <c r="Z5" s="6" t="s">
        <v>3</v>
      </c>
      <c r="AA5" s="6" t="s">
        <v>4</v>
      </c>
      <c r="AB5" s="6" t="s">
        <v>4</v>
      </c>
      <c r="AC5" s="6" t="s">
        <v>4</v>
      </c>
      <c r="AD5" s="6" t="s">
        <v>4</v>
      </c>
      <c r="AE5" s="6" t="s">
        <v>4</v>
      </c>
      <c r="AF5" s="6" t="s">
        <v>4</v>
      </c>
      <c r="AG5" s="6" t="s">
        <v>3</v>
      </c>
      <c r="AH5" s="6" t="s">
        <v>4</v>
      </c>
      <c r="AI5" s="6" t="s">
        <v>3</v>
      </c>
      <c r="AJ5" s="6" t="s">
        <v>4</v>
      </c>
      <c r="AK5" s="6" t="s">
        <v>4</v>
      </c>
      <c r="AL5" s="6" t="s">
        <v>4</v>
      </c>
      <c r="AM5" s="6" t="s">
        <v>3</v>
      </c>
    </row>
    <row r="6" spans="1:39">
      <c r="A6" s="6">
        <f t="shared" si="0"/>
        <v>5</v>
      </c>
      <c r="B6" s="6" t="s">
        <v>9</v>
      </c>
      <c r="C6" s="6">
        <v>1</v>
      </c>
      <c r="D6" s="6" t="s">
        <v>2</v>
      </c>
      <c r="E6" s="6" t="s">
        <v>3</v>
      </c>
      <c r="F6" s="6" t="s">
        <v>3</v>
      </c>
      <c r="G6" s="6" t="s">
        <v>5</v>
      </c>
      <c r="H6" s="6" t="s">
        <v>5</v>
      </c>
      <c r="I6" s="6" t="s">
        <v>3</v>
      </c>
      <c r="J6" s="6" t="s">
        <v>2</v>
      </c>
      <c r="K6" s="6" t="s">
        <v>2</v>
      </c>
      <c r="L6" s="6" t="s">
        <v>2</v>
      </c>
      <c r="M6" s="6" t="s">
        <v>3</v>
      </c>
      <c r="N6" s="6" t="s">
        <v>4</v>
      </c>
      <c r="O6" s="6" t="s">
        <v>5</v>
      </c>
      <c r="P6" s="6" t="s">
        <v>5</v>
      </c>
      <c r="Q6" s="6" t="s">
        <v>3</v>
      </c>
      <c r="R6" s="6" t="s">
        <v>3</v>
      </c>
      <c r="S6" s="6" t="s">
        <v>5</v>
      </c>
      <c r="T6" s="6" t="s">
        <v>5</v>
      </c>
      <c r="U6" s="6" t="s">
        <v>5</v>
      </c>
      <c r="V6" s="6" t="s">
        <v>5</v>
      </c>
      <c r="W6" s="6" t="s">
        <v>4</v>
      </c>
      <c r="X6" s="6" t="s">
        <v>3</v>
      </c>
      <c r="Y6" s="6" t="s">
        <v>2</v>
      </c>
      <c r="Z6" s="6" t="s">
        <v>3</v>
      </c>
      <c r="AA6" s="6" t="s">
        <v>4</v>
      </c>
      <c r="AB6" s="6" t="s">
        <v>4</v>
      </c>
      <c r="AC6" s="6" t="s">
        <v>4</v>
      </c>
      <c r="AD6" s="6" t="s">
        <v>4</v>
      </c>
      <c r="AE6" s="6" t="s">
        <v>4</v>
      </c>
      <c r="AF6" s="6" t="s">
        <v>3</v>
      </c>
      <c r="AG6" s="6" t="s">
        <v>3</v>
      </c>
      <c r="AH6" s="6" t="s">
        <v>4</v>
      </c>
      <c r="AI6" s="6" t="s">
        <v>4</v>
      </c>
      <c r="AJ6" s="6" t="s">
        <v>4</v>
      </c>
      <c r="AK6" s="6" t="s">
        <v>4</v>
      </c>
      <c r="AL6" s="6" t="s">
        <v>4</v>
      </c>
      <c r="AM6" s="6" t="s">
        <v>3</v>
      </c>
    </row>
    <row r="7" spans="1:39">
      <c r="A7" s="6">
        <f t="shared" si="0"/>
        <v>6</v>
      </c>
      <c r="B7" s="6" t="s">
        <v>10</v>
      </c>
      <c r="C7" s="6">
        <v>1</v>
      </c>
      <c r="D7" s="6" t="s">
        <v>3</v>
      </c>
      <c r="E7" s="6" t="s">
        <v>3</v>
      </c>
      <c r="F7" s="6" t="s">
        <v>2</v>
      </c>
      <c r="G7" s="6" t="s">
        <v>5</v>
      </c>
      <c r="H7" s="6" t="s">
        <v>5</v>
      </c>
      <c r="I7" s="6" t="s">
        <v>3</v>
      </c>
      <c r="J7" s="6" t="s">
        <v>5</v>
      </c>
      <c r="K7" s="6" t="s">
        <v>2</v>
      </c>
      <c r="L7" s="6" t="s">
        <v>2</v>
      </c>
      <c r="M7" s="6" t="s">
        <v>2</v>
      </c>
      <c r="N7" s="6" t="s">
        <v>3</v>
      </c>
      <c r="O7" s="6" t="s">
        <v>3</v>
      </c>
      <c r="P7" s="6" t="s">
        <v>5</v>
      </c>
      <c r="Q7" s="6" t="s">
        <v>3</v>
      </c>
      <c r="R7" s="6" t="s">
        <v>3</v>
      </c>
      <c r="S7" s="6" t="s">
        <v>5</v>
      </c>
      <c r="T7" s="6" t="s">
        <v>5</v>
      </c>
      <c r="U7" s="6" t="s">
        <v>5</v>
      </c>
      <c r="V7" s="6" t="s">
        <v>5</v>
      </c>
      <c r="W7" s="6" t="s">
        <v>4</v>
      </c>
      <c r="X7" s="6" t="s">
        <v>3</v>
      </c>
      <c r="Y7" s="6" t="s">
        <v>2</v>
      </c>
      <c r="Z7" s="6" t="s">
        <v>3</v>
      </c>
      <c r="AA7" s="6" t="s">
        <v>4</v>
      </c>
      <c r="AB7" s="6" t="s">
        <v>4</v>
      </c>
      <c r="AC7" s="6" t="s">
        <v>4</v>
      </c>
      <c r="AD7" s="6" t="s">
        <v>4</v>
      </c>
      <c r="AE7" s="6" t="s">
        <v>4</v>
      </c>
      <c r="AF7" s="6" t="s">
        <v>4</v>
      </c>
      <c r="AG7" s="6" t="s">
        <v>3</v>
      </c>
      <c r="AH7" s="6" t="s">
        <v>4</v>
      </c>
      <c r="AI7" s="6" t="s">
        <v>3</v>
      </c>
      <c r="AJ7" s="6" t="s">
        <v>4</v>
      </c>
      <c r="AK7" s="6" t="s">
        <v>4</v>
      </c>
      <c r="AL7" s="6" t="s">
        <v>4</v>
      </c>
      <c r="AM7" s="6" t="s">
        <v>3</v>
      </c>
    </row>
    <row r="8" spans="1:39">
      <c r="A8" s="6">
        <f t="shared" si="0"/>
        <v>7</v>
      </c>
      <c r="B8" s="6" t="s">
        <v>255</v>
      </c>
      <c r="C8" s="6">
        <v>1</v>
      </c>
      <c r="D8" s="6" t="s">
        <v>3</v>
      </c>
      <c r="E8" s="6" t="s">
        <v>3</v>
      </c>
      <c r="F8" s="6" t="s">
        <v>4</v>
      </c>
      <c r="G8" s="6" t="s">
        <v>3</v>
      </c>
      <c r="H8" s="6" t="s">
        <v>5</v>
      </c>
      <c r="I8" s="6" t="s">
        <v>5</v>
      </c>
      <c r="J8" s="6" t="s">
        <v>2</v>
      </c>
      <c r="K8" s="6" t="s">
        <v>2</v>
      </c>
      <c r="L8" s="6" t="s">
        <v>3</v>
      </c>
      <c r="M8" s="6" t="s">
        <v>3</v>
      </c>
      <c r="N8" s="6" t="s">
        <v>4</v>
      </c>
      <c r="O8" s="6" t="s">
        <v>5</v>
      </c>
      <c r="P8" s="6" t="s">
        <v>5</v>
      </c>
      <c r="Q8" s="6" t="s">
        <v>3</v>
      </c>
      <c r="R8" s="6" t="s">
        <v>2</v>
      </c>
      <c r="S8" s="6" t="s">
        <v>2</v>
      </c>
      <c r="T8" s="6" t="s">
        <v>2</v>
      </c>
      <c r="U8" s="6" t="s">
        <v>2</v>
      </c>
      <c r="V8" s="6" t="s">
        <v>5</v>
      </c>
      <c r="W8" s="6" t="s">
        <v>4</v>
      </c>
      <c r="X8" s="6" t="s">
        <v>4</v>
      </c>
      <c r="Y8" s="6" t="s">
        <v>4</v>
      </c>
      <c r="Z8" s="6" t="s">
        <v>3</v>
      </c>
      <c r="AA8" s="6" t="s">
        <v>4</v>
      </c>
      <c r="AB8" s="6" t="s">
        <v>4</v>
      </c>
      <c r="AC8" s="6" t="s">
        <v>4</v>
      </c>
      <c r="AD8" s="6" t="s">
        <v>4</v>
      </c>
      <c r="AE8" s="6" t="s">
        <v>4</v>
      </c>
      <c r="AF8" s="6" t="s">
        <v>4</v>
      </c>
      <c r="AG8" s="6" t="s">
        <v>3</v>
      </c>
      <c r="AH8" s="6" t="s">
        <v>4</v>
      </c>
      <c r="AI8" s="6" t="s">
        <v>3</v>
      </c>
      <c r="AJ8" s="6" t="s">
        <v>4</v>
      </c>
      <c r="AK8" s="6" t="s">
        <v>4</v>
      </c>
      <c r="AL8" s="6" t="s">
        <v>3</v>
      </c>
      <c r="AM8" s="6" t="s">
        <v>3</v>
      </c>
    </row>
    <row r="9" spans="1:39">
      <c r="A9" s="6">
        <f t="shared" si="0"/>
        <v>8</v>
      </c>
      <c r="B9" s="6" t="s">
        <v>256</v>
      </c>
      <c r="C9" s="6">
        <v>1</v>
      </c>
      <c r="D9" s="6" t="s">
        <v>3</v>
      </c>
      <c r="E9" s="6" t="s">
        <v>5</v>
      </c>
      <c r="F9" s="6" t="s">
        <v>3</v>
      </c>
      <c r="G9" s="6" t="s">
        <v>5</v>
      </c>
      <c r="H9" s="6" t="s">
        <v>5</v>
      </c>
      <c r="I9" s="6" t="s">
        <v>5</v>
      </c>
      <c r="J9" s="6" t="s">
        <v>5</v>
      </c>
      <c r="K9" s="6" t="s">
        <v>2</v>
      </c>
      <c r="L9" s="6" t="s">
        <v>3</v>
      </c>
      <c r="M9" s="6" t="s">
        <v>3</v>
      </c>
      <c r="N9" s="6" t="s">
        <v>3</v>
      </c>
      <c r="O9" s="6" t="s">
        <v>4</v>
      </c>
      <c r="P9" s="6" t="s">
        <v>5</v>
      </c>
      <c r="Q9" s="6" t="s">
        <v>3</v>
      </c>
      <c r="R9" s="6" t="s">
        <v>4</v>
      </c>
      <c r="S9" s="6" t="s">
        <v>5</v>
      </c>
      <c r="T9" s="6" t="s">
        <v>5</v>
      </c>
      <c r="U9" s="6" t="s">
        <v>5</v>
      </c>
      <c r="V9" s="6" t="s">
        <v>3</v>
      </c>
      <c r="W9" s="6" t="s">
        <v>4</v>
      </c>
      <c r="X9" s="6" t="s">
        <v>3</v>
      </c>
      <c r="Y9" s="6" t="s">
        <v>2</v>
      </c>
      <c r="Z9" s="6" t="s">
        <v>3</v>
      </c>
      <c r="AA9" s="6" t="s">
        <v>4</v>
      </c>
      <c r="AB9" s="6" t="s">
        <v>4</v>
      </c>
      <c r="AC9" s="6" t="s">
        <v>4</v>
      </c>
      <c r="AD9" s="6" t="s">
        <v>4</v>
      </c>
      <c r="AE9" s="6" t="s">
        <v>4</v>
      </c>
      <c r="AF9" s="6" t="s">
        <v>4</v>
      </c>
      <c r="AG9" s="6" t="s">
        <v>3</v>
      </c>
      <c r="AH9" s="6" t="s">
        <v>4</v>
      </c>
      <c r="AI9" s="6" t="s">
        <v>3</v>
      </c>
      <c r="AJ9" s="6" t="s">
        <v>4</v>
      </c>
      <c r="AK9" s="6" t="s">
        <v>4</v>
      </c>
      <c r="AL9" s="6" t="s">
        <v>4</v>
      </c>
      <c r="AM9" s="6" t="s">
        <v>3</v>
      </c>
    </row>
    <row r="10" spans="1:39">
      <c r="A10" s="6">
        <f t="shared" si="0"/>
        <v>9</v>
      </c>
      <c r="B10" s="6" t="s">
        <v>257</v>
      </c>
      <c r="C10" s="6">
        <v>1</v>
      </c>
      <c r="D10" s="6" t="s">
        <v>3</v>
      </c>
      <c r="E10" s="6" t="s">
        <v>3</v>
      </c>
      <c r="F10" s="6" t="s">
        <v>2</v>
      </c>
      <c r="G10" s="6" t="s">
        <v>3</v>
      </c>
      <c r="H10" s="6" t="s">
        <v>5</v>
      </c>
      <c r="I10" s="6" t="s">
        <v>5</v>
      </c>
      <c r="J10" s="6" t="s">
        <v>5</v>
      </c>
      <c r="K10" s="6" t="s">
        <v>2</v>
      </c>
      <c r="L10" s="6" t="s">
        <v>2</v>
      </c>
      <c r="M10" s="6" t="s">
        <v>2</v>
      </c>
      <c r="N10" s="6" t="s">
        <v>3</v>
      </c>
      <c r="O10" s="6" t="s">
        <v>2</v>
      </c>
      <c r="P10" s="6" t="s">
        <v>5</v>
      </c>
      <c r="Q10" s="6" t="s">
        <v>3</v>
      </c>
      <c r="R10" s="6" t="s">
        <v>3</v>
      </c>
      <c r="S10" s="6" t="s">
        <v>5</v>
      </c>
      <c r="T10" s="6" t="s">
        <v>5</v>
      </c>
      <c r="U10" s="6" t="s">
        <v>5</v>
      </c>
      <c r="V10" s="6" t="s">
        <v>2</v>
      </c>
      <c r="W10" s="6" t="s">
        <v>4</v>
      </c>
      <c r="X10" s="6" t="s">
        <v>3</v>
      </c>
      <c r="Y10" s="6" t="s">
        <v>4</v>
      </c>
      <c r="Z10" s="6" t="s">
        <v>3</v>
      </c>
      <c r="AA10" s="6" t="s">
        <v>4</v>
      </c>
      <c r="AB10" s="6" t="s">
        <v>4</v>
      </c>
      <c r="AC10" s="6" t="s">
        <v>4</v>
      </c>
      <c r="AD10" s="6" t="s">
        <v>4</v>
      </c>
      <c r="AE10" s="6" t="s">
        <v>4</v>
      </c>
      <c r="AF10" s="6" t="s">
        <v>4</v>
      </c>
      <c r="AG10" s="6" t="s">
        <v>3</v>
      </c>
      <c r="AH10" s="6" t="s">
        <v>4</v>
      </c>
      <c r="AI10" s="6" t="s">
        <v>3</v>
      </c>
      <c r="AJ10" s="6" t="s">
        <v>4</v>
      </c>
      <c r="AK10" s="6" t="s">
        <v>4</v>
      </c>
      <c r="AL10" s="6" t="s">
        <v>4</v>
      </c>
      <c r="AM10" s="6" t="s">
        <v>3</v>
      </c>
    </row>
    <row r="11" spans="1:39">
      <c r="A11" s="6">
        <f t="shared" si="0"/>
        <v>10</v>
      </c>
      <c r="B11" s="6" t="s">
        <v>258</v>
      </c>
      <c r="C11" s="6">
        <v>1</v>
      </c>
      <c r="D11" s="6" t="s">
        <v>3</v>
      </c>
      <c r="E11" s="6" t="s">
        <v>5</v>
      </c>
      <c r="F11" s="6" t="s">
        <v>2</v>
      </c>
      <c r="G11" s="6" t="s">
        <v>5</v>
      </c>
      <c r="H11" s="6" t="s">
        <v>5</v>
      </c>
      <c r="I11" s="6" t="s">
        <v>5</v>
      </c>
      <c r="J11" s="6" t="s">
        <v>5</v>
      </c>
      <c r="K11" s="6" t="s">
        <v>2</v>
      </c>
      <c r="L11" s="6" t="s">
        <v>3</v>
      </c>
      <c r="M11" s="6" t="s">
        <v>3</v>
      </c>
      <c r="N11" s="6" t="s">
        <v>2</v>
      </c>
      <c r="O11" s="6" t="s">
        <v>4</v>
      </c>
      <c r="P11" s="6" t="s">
        <v>4</v>
      </c>
      <c r="Q11" s="6" t="s">
        <v>3</v>
      </c>
      <c r="R11" s="6" t="s">
        <v>4</v>
      </c>
      <c r="S11" s="6" t="s">
        <v>2</v>
      </c>
      <c r="T11" s="6" t="s">
        <v>2</v>
      </c>
      <c r="U11" s="6" t="s">
        <v>2</v>
      </c>
      <c r="V11" s="6" t="s">
        <v>5</v>
      </c>
      <c r="W11" s="6" t="s">
        <v>4</v>
      </c>
      <c r="X11" s="6" t="s">
        <v>4</v>
      </c>
      <c r="Y11" s="6" t="s">
        <v>2</v>
      </c>
      <c r="Z11" s="6" t="s">
        <v>3</v>
      </c>
      <c r="AA11" s="6" t="s">
        <v>4</v>
      </c>
      <c r="AB11" s="6" t="s">
        <v>4</v>
      </c>
      <c r="AC11" s="6" t="s">
        <v>4</v>
      </c>
      <c r="AD11" s="6" t="s">
        <v>4</v>
      </c>
      <c r="AE11" s="6" t="s">
        <v>4</v>
      </c>
      <c r="AF11" s="6" t="s">
        <v>4</v>
      </c>
      <c r="AG11" s="6" t="s">
        <v>3</v>
      </c>
      <c r="AH11" s="6" t="s">
        <v>4</v>
      </c>
      <c r="AI11" s="6" t="s">
        <v>3</v>
      </c>
      <c r="AJ11" s="6" t="s">
        <v>4</v>
      </c>
      <c r="AK11" s="6" t="s">
        <v>4</v>
      </c>
      <c r="AL11" s="6" t="s">
        <v>4</v>
      </c>
      <c r="AM11" s="6" t="s">
        <v>3</v>
      </c>
    </row>
    <row r="12" spans="1:39">
      <c r="A12" s="6">
        <f t="shared" si="0"/>
        <v>11</v>
      </c>
      <c r="B12" s="6" t="s">
        <v>457</v>
      </c>
      <c r="C12" s="6">
        <v>1</v>
      </c>
      <c r="D12" s="6" t="s">
        <v>4</v>
      </c>
      <c r="E12" s="6" t="s">
        <v>2</v>
      </c>
      <c r="F12" s="6" t="s">
        <v>3</v>
      </c>
      <c r="G12" s="6" t="s">
        <v>3</v>
      </c>
      <c r="H12" s="6" t="s">
        <v>5</v>
      </c>
      <c r="I12" s="6" t="s">
        <v>5</v>
      </c>
      <c r="J12" s="6" t="s">
        <v>5</v>
      </c>
      <c r="K12" s="6" t="s">
        <v>2</v>
      </c>
      <c r="L12" s="6" t="s">
        <v>3</v>
      </c>
      <c r="M12" s="6" t="s">
        <v>3</v>
      </c>
      <c r="N12" s="6" t="s">
        <v>4</v>
      </c>
      <c r="O12" s="6" t="s">
        <v>4</v>
      </c>
      <c r="P12" s="6" t="s">
        <v>5</v>
      </c>
      <c r="Q12" s="6" t="s">
        <v>3</v>
      </c>
      <c r="R12" s="6" t="s">
        <v>5</v>
      </c>
      <c r="S12" s="6" t="s">
        <v>5</v>
      </c>
      <c r="T12" s="6" t="s">
        <v>5</v>
      </c>
      <c r="U12" s="6" t="s">
        <v>5</v>
      </c>
      <c r="V12" s="6" t="s">
        <v>4</v>
      </c>
      <c r="W12" s="6" t="s">
        <v>4</v>
      </c>
      <c r="X12" s="6" t="s">
        <v>4</v>
      </c>
      <c r="Y12" s="6" t="s">
        <v>4</v>
      </c>
      <c r="Z12" s="6" t="s">
        <v>3</v>
      </c>
      <c r="AA12" s="6" t="s">
        <v>3</v>
      </c>
      <c r="AB12" s="6" t="s">
        <v>3</v>
      </c>
      <c r="AC12" s="6" t="s">
        <v>4</v>
      </c>
      <c r="AD12" s="6" t="s">
        <v>4</v>
      </c>
      <c r="AE12" s="6" t="s">
        <v>4</v>
      </c>
      <c r="AF12" s="6" t="s">
        <v>4</v>
      </c>
      <c r="AG12" s="6" t="s">
        <v>3</v>
      </c>
      <c r="AH12" s="6" t="s">
        <v>4</v>
      </c>
      <c r="AI12" s="6" t="s">
        <v>3</v>
      </c>
      <c r="AJ12" s="6" t="s">
        <v>4</v>
      </c>
      <c r="AK12" s="6" t="s">
        <v>4</v>
      </c>
      <c r="AL12" s="6" t="s">
        <v>4</v>
      </c>
      <c r="AM12" s="6" t="s">
        <v>3</v>
      </c>
    </row>
    <row r="13" spans="1:39">
      <c r="A13" s="6">
        <f t="shared" si="0"/>
        <v>12</v>
      </c>
      <c r="B13" s="6" t="s">
        <v>458</v>
      </c>
      <c r="C13" s="6">
        <v>1</v>
      </c>
      <c r="D13" s="6" t="s">
        <v>5</v>
      </c>
      <c r="E13" s="6" t="s">
        <v>3</v>
      </c>
      <c r="F13" s="6" t="s">
        <v>4</v>
      </c>
      <c r="G13" s="6" t="s">
        <v>2</v>
      </c>
      <c r="H13" s="6" t="s">
        <v>5</v>
      </c>
      <c r="I13" s="6" t="s">
        <v>5</v>
      </c>
      <c r="J13" s="6" t="s">
        <v>5</v>
      </c>
      <c r="K13" s="6" t="s">
        <v>2</v>
      </c>
      <c r="L13" s="6" t="s">
        <v>2</v>
      </c>
      <c r="M13" s="6" t="s">
        <v>3</v>
      </c>
      <c r="N13" s="6" t="s">
        <v>3</v>
      </c>
      <c r="O13" s="6" t="s">
        <v>2</v>
      </c>
      <c r="P13" s="6" t="s">
        <v>4</v>
      </c>
      <c r="Q13" s="6" t="s">
        <v>3</v>
      </c>
      <c r="R13" s="6" t="s">
        <v>2</v>
      </c>
      <c r="S13" s="6" t="s">
        <v>5</v>
      </c>
      <c r="T13" s="6" t="s">
        <v>2</v>
      </c>
      <c r="U13" s="6" t="s">
        <v>5</v>
      </c>
      <c r="V13" s="6" t="s">
        <v>5</v>
      </c>
      <c r="W13" s="6" t="s">
        <v>4</v>
      </c>
      <c r="X13" s="6" t="s">
        <v>4</v>
      </c>
      <c r="Y13" s="6" t="s">
        <v>2</v>
      </c>
      <c r="Z13" s="6" t="s">
        <v>3</v>
      </c>
      <c r="AA13" s="6" t="s">
        <v>3</v>
      </c>
      <c r="AB13" s="6" t="s">
        <v>3</v>
      </c>
      <c r="AC13" s="6" t="s">
        <v>4</v>
      </c>
      <c r="AD13" s="6" t="s">
        <v>4</v>
      </c>
      <c r="AE13" s="6" t="s">
        <v>4</v>
      </c>
      <c r="AF13" s="6" t="s">
        <v>4</v>
      </c>
      <c r="AG13" s="6" t="s">
        <v>3</v>
      </c>
      <c r="AH13" s="6" t="s">
        <v>4</v>
      </c>
      <c r="AI13" s="6" t="s">
        <v>3</v>
      </c>
      <c r="AJ13" s="6" t="s">
        <v>4</v>
      </c>
      <c r="AK13" s="6" t="s">
        <v>3</v>
      </c>
      <c r="AL13" s="6" t="s">
        <v>3</v>
      </c>
      <c r="AM13" s="6" t="s">
        <v>3</v>
      </c>
    </row>
    <row r="14" spans="1:39">
      <c r="A14" s="6">
        <f t="shared" si="0"/>
        <v>13</v>
      </c>
      <c r="B14" s="6" t="s">
        <v>459</v>
      </c>
      <c r="C14" s="6">
        <v>1</v>
      </c>
      <c r="D14" s="6" t="s">
        <v>5</v>
      </c>
      <c r="E14" s="6" t="s">
        <v>5</v>
      </c>
      <c r="F14" s="6" t="s">
        <v>4</v>
      </c>
      <c r="G14" s="6" t="s">
        <v>5</v>
      </c>
      <c r="H14" s="6" t="s">
        <v>5</v>
      </c>
      <c r="I14" s="6" t="s">
        <v>5</v>
      </c>
      <c r="J14" s="6" t="s">
        <v>5</v>
      </c>
      <c r="K14" s="6" t="s">
        <v>2</v>
      </c>
      <c r="L14" s="6" t="s">
        <v>3</v>
      </c>
      <c r="M14" s="6" t="s">
        <v>4</v>
      </c>
      <c r="N14" s="6" t="s">
        <v>3</v>
      </c>
      <c r="O14" s="6" t="s">
        <v>3</v>
      </c>
      <c r="P14" s="6" t="s">
        <v>5</v>
      </c>
      <c r="Q14" s="6" t="s">
        <v>3</v>
      </c>
      <c r="R14" s="6" t="s">
        <v>3</v>
      </c>
      <c r="S14" s="6" t="s">
        <v>5</v>
      </c>
      <c r="T14" s="6" t="s">
        <v>3</v>
      </c>
      <c r="U14" s="6" t="s">
        <v>3</v>
      </c>
      <c r="V14" s="6" t="s">
        <v>5</v>
      </c>
      <c r="W14" s="6" t="s">
        <v>4</v>
      </c>
      <c r="X14" s="6" t="s">
        <v>3</v>
      </c>
      <c r="Y14" s="6" t="s">
        <v>2</v>
      </c>
      <c r="Z14" s="6" t="s">
        <v>3</v>
      </c>
      <c r="AA14" s="6" t="s">
        <v>3</v>
      </c>
      <c r="AB14" s="6" t="s">
        <v>3</v>
      </c>
      <c r="AC14" s="6" t="s">
        <v>4</v>
      </c>
      <c r="AD14" s="6" t="s">
        <v>4</v>
      </c>
      <c r="AE14" s="6" t="s">
        <v>4</v>
      </c>
      <c r="AF14" s="6" t="s">
        <v>4</v>
      </c>
      <c r="AG14" s="6" t="s">
        <v>3</v>
      </c>
      <c r="AH14" s="6" t="s">
        <v>4</v>
      </c>
      <c r="AI14" s="6" t="s">
        <v>3</v>
      </c>
      <c r="AJ14" s="6" t="s">
        <v>3</v>
      </c>
      <c r="AK14" s="6" t="s">
        <v>4</v>
      </c>
      <c r="AL14" s="6" t="s">
        <v>4</v>
      </c>
      <c r="AM14" s="6" t="s">
        <v>3</v>
      </c>
    </row>
    <row r="15" spans="1:39">
      <c r="A15" s="6">
        <f t="shared" si="0"/>
        <v>14</v>
      </c>
      <c r="B15" s="6" t="s">
        <v>317</v>
      </c>
      <c r="C15" s="6">
        <v>1</v>
      </c>
      <c r="D15" s="6" t="s">
        <v>4</v>
      </c>
      <c r="E15" s="6" t="s">
        <v>5</v>
      </c>
      <c r="F15" s="6" t="s">
        <v>3</v>
      </c>
      <c r="G15" s="6" t="s">
        <v>5</v>
      </c>
      <c r="H15" s="6" t="s">
        <v>5</v>
      </c>
      <c r="I15" s="6" t="s">
        <v>5</v>
      </c>
      <c r="J15" s="6" t="s">
        <v>2</v>
      </c>
      <c r="K15" s="6" t="s">
        <v>2</v>
      </c>
      <c r="L15" s="6" t="s">
        <v>2</v>
      </c>
      <c r="M15" s="6" t="s">
        <v>2</v>
      </c>
      <c r="N15" s="6" t="s">
        <v>3</v>
      </c>
      <c r="O15" s="6" t="s">
        <v>5</v>
      </c>
      <c r="P15" s="6" t="s">
        <v>5</v>
      </c>
      <c r="Q15" s="6" t="s">
        <v>3</v>
      </c>
      <c r="R15" s="6" t="s">
        <v>3</v>
      </c>
      <c r="S15" s="6" t="s">
        <v>5</v>
      </c>
      <c r="T15" s="6" t="s">
        <v>5</v>
      </c>
      <c r="U15" s="6" t="s">
        <v>5</v>
      </c>
      <c r="V15" s="6" t="s">
        <v>2</v>
      </c>
      <c r="W15" s="6" t="s">
        <v>4</v>
      </c>
      <c r="X15" s="6" t="s">
        <v>4</v>
      </c>
      <c r="Y15" s="6" t="s">
        <v>2</v>
      </c>
      <c r="Z15" s="6" t="s">
        <v>4</v>
      </c>
      <c r="AA15" s="6" t="s">
        <v>4</v>
      </c>
      <c r="AB15" s="6" t="s">
        <v>4</v>
      </c>
      <c r="AC15" s="6" t="s">
        <v>4</v>
      </c>
      <c r="AD15" s="6" t="s">
        <v>4</v>
      </c>
      <c r="AE15" s="6" t="s">
        <v>4</v>
      </c>
      <c r="AF15" s="6" t="s">
        <v>4</v>
      </c>
      <c r="AG15" s="6" t="s">
        <v>3</v>
      </c>
      <c r="AH15" s="6" t="s">
        <v>4</v>
      </c>
      <c r="AI15" s="6" t="s">
        <v>3</v>
      </c>
      <c r="AJ15" s="6" t="s">
        <v>4</v>
      </c>
      <c r="AK15" s="6" t="s">
        <v>4</v>
      </c>
      <c r="AL15" s="6" t="s">
        <v>4</v>
      </c>
      <c r="AM15" s="6" t="s">
        <v>3</v>
      </c>
    </row>
    <row r="16" spans="1:39">
      <c r="A16" s="6">
        <f t="shared" si="0"/>
        <v>15</v>
      </c>
      <c r="B16" s="6" t="s">
        <v>313</v>
      </c>
      <c r="C16" s="6">
        <v>1</v>
      </c>
      <c r="D16" s="6" t="s">
        <v>2</v>
      </c>
      <c r="E16" s="6" t="s">
        <v>3</v>
      </c>
      <c r="F16" s="6" t="s">
        <v>4</v>
      </c>
      <c r="G16" s="6" t="s">
        <v>5</v>
      </c>
      <c r="H16" s="6" t="s">
        <v>5</v>
      </c>
      <c r="I16" s="6" t="s">
        <v>5</v>
      </c>
      <c r="J16" s="6" t="s">
        <v>5</v>
      </c>
      <c r="K16" s="6" t="s">
        <v>2</v>
      </c>
      <c r="L16" s="6" t="s">
        <v>3</v>
      </c>
      <c r="M16" s="6" t="s">
        <v>3</v>
      </c>
      <c r="N16" s="6" t="s">
        <v>4</v>
      </c>
      <c r="O16" s="6" t="s">
        <v>3</v>
      </c>
      <c r="P16" s="6" t="s">
        <v>5</v>
      </c>
      <c r="Q16" s="6" t="s">
        <v>3</v>
      </c>
      <c r="R16" s="6" t="s">
        <v>3</v>
      </c>
      <c r="S16" s="6" t="s">
        <v>5</v>
      </c>
      <c r="T16" s="6" t="s">
        <v>5</v>
      </c>
      <c r="U16" s="6" t="s">
        <v>5</v>
      </c>
      <c r="V16" s="6" t="s">
        <v>2</v>
      </c>
      <c r="W16" s="6" t="s">
        <v>4</v>
      </c>
      <c r="X16" s="6" t="s">
        <v>3</v>
      </c>
      <c r="Y16" s="6" t="s">
        <v>2</v>
      </c>
      <c r="Z16" s="6" t="s">
        <v>3</v>
      </c>
      <c r="AA16" s="6" t="s">
        <v>4</v>
      </c>
      <c r="AB16" s="6" t="s">
        <v>4</v>
      </c>
      <c r="AC16" s="6" t="s">
        <v>4</v>
      </c>
      <c r="AD16" s="6" t="s">
        <v>4</v>
      </c>
      <c r="AE16" s="6" t="s">
        <v>4</v>
      </c>
      <c r="AF16" s="6" t="s">
        <v>4</v>
      </c>
      <c r="AG16" s="6" t="s">
        <v>4</v>
      </c>
      <c r="AH16" s="6" t="s">
        <v>4</v>
      </c>
      <c r="AI16" s="6" t="s">
        <v>4</v>
      </c>
      <c r="AJ16" s="6" t="s">
        <v>4</v>
      </c>
      <c r="AK16" s="6" t="s">
        <v>4</v>
      </c>
      <c r="AL16" s="6" t="s">
        <v>3</v>
      </c>
      <c r="AM16" s="6" t="s">
        <v>3</v>
      </c>
    </row>
    <row r="17" spans="1:39">
      <c r="A17" s="6">
        <f t="shared" si="0"/>
        <v>16</v>
      </c>
      <c r="B17" s="6" t="s">
        <v>316</v>
      </c>
      <c r="C17" s="6">
        <v>1</v>
      </c>
      <c r="D17" s="6" t="s">
        <v>2</v>
      </c>
      <c r="E17" s="6" t="s">
        <v>5</v>
      </c>
      <c r="F17" s="6" t="s">
        <v>3</v>
      </c>
      <c r="G17" s="6" t="s">
        <v>5</v>
      </c>
      <c r="H17" s="6" t="s">
        <v>5</v>
      </c>
      <c r="I17" s="6" t="s">
        <v>3</v>
      </c>
      <c r="J17" s="6" t="s">
        <v>2</v>
      </c>
      <c r="K17" s="6" t="s">
        <v>2</v>
      </c>
      <c r="L17" s="6" t="s">
        <v>2</v>
      </c>
      <c r="M17" s="6" t="s">
        <v>3</v>
      </c>
      <c r="N17" s="6" t="s">
        <v>4</v>
      </c>
      <c r="O17" s="6" t="s">
        <v>5</v>
      </c>
      <c r="P17" s="6" t="s">
        <v>5</v>
      </c>
      <c r="Q17" s="6" t="s">
        <v>3</v>
      </c>
      <c r="R17" s="6" t="s">
        <v>3</v>
      </c>
      <c r="S17" s="6" t="s">
        <v>5</v>
      </c>
      <c r="T17" s="6" t="s">
        <v>5</v>
      </c>
      <c r="U17" s="6" t="s">
        <v>5</v>
      </c>
      <c r="V17" s="6" t="s">
        <v>5</v>
      </c>
      <c r="W17" s="6" t="s">
        <v>4</v>
      </c>
      <c r="X17" s="6" t="s">
        <v>3</v>
      </c>
      <c r="Y17" s="6" t="s">
        <v>2</v>
      </c>
      <c r="Z17" s="6" t="s">
        <v>3</v>
      </c>
      <c r="AA17" s="6" t="s">
        <v>4</v>
      </c>
      <c r="AB17" s="6" t="s">
        <v>4</v>
      </c>
      <c r="AC17" s="6" t="s">
        <v>4</v>
      </c>
      <c r="AD17" s="6" t="s">
        <v>4</v>
      </c>
      <c r="AE17" s="6" t="s">
        <v>4</v>
      </c>
      <c r="AF17" s="6" t="s">
        <v>3</v>
      </c>
      <c r="AG17" s="6" t="s">
        <v>3</v>
      </c>
      <c r="AH17" s="6" t="s">
        <v>4</v>
      </c>
      <c r="AI17" s="6" t="s">
        <v>4</v>
      </c>
      <c r="AJ17" s="6" t="s">
        <v>4</v>
      </c>
      <c r="AK17" s="6" t="s">
        <v>4</v>
      </c>
      <c r="AL17" s="6" t="s">
        <v>4</v>
      </c>
      <c r="AM17" s="6" t="s">
        <v>3</v>
      </c>
    </row>
    <row r="18" spans="1:39">
      <c r="A18" s="6">
        <f t="shared" si="0"/>
        <v>17</v>
      </c>
      <c r="B18" s="6" t="s">
        <v>484</v>
      </c>
      <c r="C18" s="6">
        <v>1</v>
      </c>
      <c r="D18" s="6" t="s">
        <v>5</v>
      </c>
      <c r="E18" s="6" t="s">
        <v>3</v>
      </c>
      <c r="F18" s="6" t="s">
        <v>2</v>
      </c>
      <c r="G18" s="6" t="s">
        <v>3</v>
      </c>
      <c r="H18" s="6" t="s">
        <v>5</v>
      </c>
      <c r="I18" s="6" t="s">
        <v>5</v>
      </c>
      <c r="J18" s="6" t="s">
        <v>5</v>
      </c>
      <c r="K18" s="6" t="s">
        <v>2</v>
      </c>
      <c r="L18" s="6" t="s">
        <v>2</v>
      </c>
      <c r="M18" s="6" t="s">
        <v>2</v>
      </c>
      <c r="N18" s="6" t="s">
        <v>2</v>
      </c>
      <c r="O18" s="6" t="s">
        <v>5</v>
      </c>
      <c r="P18" s="6" t="s">
        <v>5</v>
      </c>
      <c r="Q18" s="6" t="s">
        <v>3</v>
      </c>
      <c r="R18" s="6" t="s">
        <v>3</v>
      </c>
      <c r="S18" s="6" t="s">
        <v>5</v>
      </c>
      <c r="T18" s="6" t="s">
        <v>5</v>
      </c>
      <c r="U18" s="6" t="s">
        <v>5</v>
      </c>
      <c r="V18" s="6" t="s">
        <v>5</v>
      </c>
      <c r="W18" s="6" t="s">
        <v>4</v>
      </c>
      <c r="X18" s="6" t="s">
        <v>4</v>
      </c>
      <c r="Y18" s="6" t="s">
        <v>4</v>
      </c>
      <c r="Z18" s="6" t="s">
        <v>3</v>
      </c>
      <c r="AA18" s="6" t="s">
        <v>3</v>
      </c>
      <c r="AB18" s="6" t="s">
        <v>3</v>
      </c>
      <c r="AC18" s="6" t="s">
        <v>4</v>
      </c>
      <c r="AD18" s="6" t="s">
        <v>4</v>
      </c>
      <c r="AE18" s="6" t="s">
        <v>4</v>
      </c>
      <c r="AF18" s="6" t="s">
        <v>4</v>
      </c>
      <c r="AG18" s="6" t="s">
        <v>3</v>
      </c>
      <c r="AH18" s="6" t="s">
        <v>4</v>
      </c>
      <c r="AI18" s="6" t="s">
        <v>3</v>
      </c>
      <c r="AJ18" s="6" t="s">
        <v>3</v>
      </c>
      <c r="AK18" s="6" t="s">
        <v>4</v>
      </c>
      <c r="AL18" s="6" t="s">
        <v>4</v>
      </c>
      <c r="AM18" s="6" t="s">
        <v>3</v>
      </c>
    </row>
    <row r="19" spans="1:39">
      <c r="A19" s="6">
        <f t="shared" si="0"/>
        <v>18</v>
      </c>
      <c r="B19" s="6" t="s">
        <v>460</v>
      </c>
      <c r="C19" s="6">
        <v>1</v>
      </c>
      <c r="D19" s="6" t="s">
        <v>5</v>
      </c>
      <c r="E19" s="6" t="s">
        <v>3</v>
      </c>
      <c r="F19" s="6" t="s">
        <v>4</v>
      </c>
      <c r="G19" s="6" t="s">
        <v>3</v>
      </c>
      <c r="H19" s="6" t="s">
        <v>5</v>
      </c>
      <c r="I19" s="6" t="s">
        <v>5</v>
      </c>
      <c r="J19" s="6" t="s">
        <v>5</v>
      </c>
      <c r="K19" s="6" t="s">
        <v>2</v>
      </c>
      <c r="L19" s="6" t="s">
        <v>3</v>
      </c>
      <c r="M19" s="6" t="s">
        <v>3</v>
      </c>
      <c r="N19" s="6" t="s">
        <v>2</v>
      </c>
      <c r="O19" s="6" t="s">
        <v>4</v>
      </c>
      <c r="P19" s="6" t="s">
        <v>5</v>
      </c>
      <c r="Q19" s="6" t="s">
        <v>3</v>
      </c>
      <c r="R19" s="6" t="s">
        <v>2</v>
      </c>
      <c r="S19" s="6" t="s">
        <v>5</v>
      </c>
      <c r="T19" s="6" t="s">
        <v>5</v>
      </c>
      <c r="U19" s="6" t="s">
        <v>5</v>
      </c>
      <c r="V19" s="6" t="s">
        <v>5</v>
      </c>
      <c r="W19" s="6" t="s">
        <v>4</v>
      </c>
      <c r="X19" s="6" t="s">
        <v>4</v>
      </c>
      <c r="Y19" s="6" t="s">
        <v>4</v>
      </c>
      <c r="Z19" s="6" t="s">
        <v>3</v>
      </c>
      <c r="AA19" s="6" t="s">
        <v>3</v>
      </c>
      <c r="AB19" s="6" t="s">
        <v>3</v>
      </c>
      <c r="AC19" s="6" t="s">
        <v>4</v>
      </c>
      <c r="AD19" s="6" t="s">
        <v>4</v>
      </c>
      <c r="AE19" s="6" t="s">
        <v>4</v>
      </c>
      <c r="AF19" s="6" t="s">
        <v>4</v>
      </c>
      <c r="AG19" s="6" t="s">
        <v>4</v>
      </c>
      <c r="AH19" s="6" t="s">
        <v>4</v>
      </c>
      <c r="AI19" s="6" t="s">
        <v>4</v>
      </c>
      <c r="AJ19" s="6" t="s">
        <v>4</v>
      </c>
      <c r="AK19" s="6" t="s">
        <v>4</v>
      </c>
      <c r="AL19" s="6" t="s">
        <v>4</v>
      </c>
      <c r="AM19" s="6" t="s">
        <v>3</v>
      </c>
    </row>
    <row r="20" spans="1:39">
      <c r="A20" s="6">
        <f t="shared" si="0"/>
        <v>19</v>
      </c>
      <c r="B20" s="6" t="s">
        <v>483</v>
      </c>
      <c r="C20" s="6">
        <v>1</v>
      </c>
      <c r="D20" s="6" t="s">
        <v>5</v>
      </c>
      <c r="E20" s="6" t="s">
        <v>3</v>
      </c>
      <c r="F20" s="6" t="s">
        <v>2</v>
      </c>
      <c r="G20" s="6" t="s">
        <v>3</v>
      </c>
      <c r="H20" s="6" t="s">
        <v>5</v>
      </c>
      <c r="I20" s="6" t="s">
        <v>5</v>
      </c>
      <c r="J20" s="6" t="s">
        <v>5</v>
      </c>
      <c r="K20" s="6" t="s">
        <v>2</v>
      </c>
      <c r="L20" s="6" t="s">
        <v>3</v>
      </c>
      <c r="M20" s="6" t="s">
        <v>3</v>
      </c>
      <c r="N20" s="6" t="s">
        <v>2</v>
      </c>
      <c r="O20" s="6" t="s">
        <v>5</v>
      </c>
      <c r="P20" s="6" t="s">
        <v>5</v>
      </c>
      <c r="Q20" s="6" t="s">
        <v>3</v>
      </c>
      <c r="R20" s="6" t="s">
        <v>2</v>
      </c>
      <c r="S20" s="6" t="s">
        <v>5</v>
      </c>
      <c r="T20" s="6" t="s">
        <v>5</v>
      </c>
      <c r="U20" s="6" t="s">
        <v>5</v>
      </c>
      <c r="V20" s="6" t="s">
        <v>4</v>
      </c>
      <c r="W20" s="6" t="s">
        <v>4</v>
      </c>
      <c r="X20" s="6" t="s">
        <v>4</v>
      </c>
      <c r="Y20" s="6" t="s">
        <v>4</v>
      </c>
      <c r="Z20" s="6" t="s">
        <v>3</v>
      </c>
      <c r="AA20" s="6" t="s">
        <v>3</v>
      </c>
      <c r="AB20" s="6" t="s">
        <v>3</v>
      </c>
      <c r="AC20" s="6" t="s">
        <v>4</v>
      </c>
      <c r="AD20" s="6" t="s">
        <v>4</v>
      </c>
      <c r="AE20" s="6" t="s">
        <v>4</v>
      </c>
      <c r="AF20" s="6" t="s">
        <v>4</v>
      </c>
      <c r="AG20" s="6" t="s">
        <v>3</v>
      </c>
      <c r="AH20" s="6" t="s">
        <v>4</v>
      </c>
      <c r="AI20" s="6" t="s">
        <v>3</v>
      </c>
      <c r="AJ20" s="6" t="s">
        <v>4</v>
      </c>
      <c r="AK20" s="6" t="s">
        <v>4</v>
      </c>
      <c r="AL20" s="6" t="s">
        <v>3</v>
      </c>
      <c r="AM20" s="6" t="s">
        <v>3</v>
      </c>
    </row>
    <row r="21" spans="1:39">
      <c r="A21" s="6">
        <f t="shared" si="0"/>
        <v>20</v>
      </c>
      <c r="B21" s="6" t="s">
        <v>11</v>
      </c>
      <c r="C21" s="6">
        <v>2</v>
      </c>
      <c r="D21" s="6" t="s">
        <v>4</v>
      </c>
      <c r="E21" s="6" t="s">
        <v>5</v>
      </c>
      <c r="F21" s="6" t="s">
        <v>3</v>
      </c>
      <c r="G21" s="6" t="s">
        <v>3</v>
      </c>
      <c r="H21" s="6" t="s">
        <v>5</v>
      </c>
      <c r="I21" s="6" t="s">
        <v>5</v>
      </c>
      <c r="J21" s="6" t="s">
        <v>5</v>
      </c>
      <c r="K21" s="6" t="s">
        <v>2</v>
      </c>
      <c r="L21" s="6" t="s">
        <v>2</v>
      </c>
      <c r="M21" s="6" t="s">
        <v>3</v>
      </c>
      <c r="N21" s="6" t="s">
        <v>4</v>
      </c>
      <c r="O21" s="6" t="s">
        <v>2</v>
      </c>
      <c r="P21" s="6" t="s">
        <v>5</v>
      </c>
      <c r="Q21" s="6" t="s">
        <v>3</v>
      </c>
      <c r="R21" s="6" t="s">
        <v>4</v>
      </c>
      <c r="S21" s="6" t="s">
        <v>5</v>
      </c>
      <c r="T21" s="6" t="s">
        <v>5</v>
      </c>
      <c r="U21" s="6" t="s">
        <v>5</v>
      </c>
      <c r="V21" s="6" t="s">
        <v>4</v>
      </c>
      <c r="W21" s="6" t="s">
        <v>4</v>
      </c>
      <c r="X21" s="6" t="s">
        <v>4</v>
      </c>
      <c r="Y21" s="6" t="s">
        <v>4</v>
      </c>
      <c r="Z21" s="6" t="s">
        <v>3</v>
      </c>
      <c r="AA21" s="6" t="s">
        <v>4</v>
      </c>
      <c r="AB21" s="6" t="s">
        <v>4</v>
      </c>
      <c r="AC21" s="6" t="s">
        <v>4</v>
      </c>
      <c r="AD21" s="6" t="s">
        <v>4</v>
      </c>
      <c r="AE21" s="6" t="s">
        <v>4</v>
      </c>
      <c r="AF21" s="6" t="s">
        <v>4</v>
      </c>
      <c r="AG21" s="6" t="s">
        <v>3</v>
      </c>
      <c r="AH21" s="6" t="s">
        <v>4</v>
      </c>
      <c r="AI21" s="6" t="s">
        <v>4</v>
      </c>
      <c r="AJ21" s="6" t="s">
        <v>4</v>
      </c>
      <c r="AK21" s="6" t="s">
        <v>4</v>
      </c>
      <c r="AL21" s="6" t="s">
        <v>3</v>
      </c>
      <c r="AM21" s="6" t="s">
        <v>3</v>
      </c>
    </row>
    <row r="22" spans="1:39">
      <c r="A22" s="6">
        <f t="shared" si="0"/>
        <v>21</v>
      </c>
      <c r="B22" s="6" t="s">
        <v>12</v>
      </c>
      <c r="C22" s="6">
        <v>2</v>
      </c>
      <c r="D22" s="6" t="s">
        <v>5</v>
      </c>
      <c r="E22" s="6" t="s">
        <v>3</v>
      </c>
      <c r="F22" s="6" t="s">
        <v>4</v>
      </c>
      <c r="G22" s="6" t="s">
        <v>3</v>
      </c>
      <c r="H22" s="6" t="s">
        <v>5</v>
      </c>
      <c r="I22" s="6" t="s">
        <v>5</v>
      </c>
      <c r="J22" s="6" t="s">
        <v>3</v>
      </c>
      <c r="K22" s="6" t="s">
        <v>4</v>
      </c>
      <c r="L22" s="6" t="s">
        <v>3</v>
      </c>
      <c r="M22" s="6" t="s">
        <v>3</v>
      </c>
      <c r="N22" s="6" t="s">
        <v>4</v>
      </c>
      <c r="O22" s="6" t="s">
        <v>4</v>
      </c>
      <c r="P22" s="6" t="s">
        <v>5</v>
      </c>
      <c r="Q22" s="6" t="s">
        <v>3</v>
      </c>
      <c r="R22" s="6" t="s">
        <v>4</v>
      </c>
      <c r="S22" s="6" t="s">
        <v>5</v>
      </c>
      <c r="T22" s="6" t="s">
        <v>5</v>
      </c>
      <c r="U22" s="6" t="s">
        <v>5</v>
      </c>
      <c r="V22" s="6" t="s">
        <v>4</v>
      </c>
      <c r="W22" s="6" t="s">
        <v>4</v>
      </c>
      <c r="X22" s="6" t="s">
        <v>4</v>
      </c>
      <c r="Y22" s="6" t="s">
        <v>4</v>
      </c>
      <c r="Z22" s="6" t="s">
        <v>3</v>
      </c>
      <c r="AA22" s="6" t="s">
        <v>4</v>
      </c>
      <c r="AB22" s="6" t="s">
        <v>4</v>
      </c>
      <c r="AC22" s="6" t="s">
        <v>4</v>
      </c>
      <c r="AD22" s="6" t="s">
        <v>4</v>
      </c>
      <c r="AE22" s="6" t="s">
        <v>4</v>
      </c>
      <c r="AF22" s="6" t="s">
        <v>4</v>
      </c>
      <c r="AG22" s="6" t="s">
        <v>3</v>
      </c>
      <c r="AH22" s="6" t="s">
        <v>4</v>
      </c>
      <c r="AI22" s="6" t="s">
        <v>3</v>
      </c>
      <c r="AJ22" s="6" t="s">
        <v>4</v>
      </c>
      <c r="AK22" s="6" t="s">
        <v>4</v>
      </c>
      <c r="AL22" s="6" t="s">
        <v>4</v>
      </c>
      <c r="AM22" s="6" t="s">
        <v>3</v>
      </c>
    </row>
    <row r="23" spans="1:39">
      <c r="A23" s="6">
        <f t="shared" si="0"/>
        <v>22</v>
      </c>
      <c r="B23" s="6" t="s">
        <v>13</v>
      </c>
      <c r="C23" s="6">
        <v>2</v>
      </c>
      <c r="D23" s="6" t="s">
        <v>5</v>
      </c>
      <c r="E23" s="6" t="s">
        <v>5</v>
      </c>
      <c r="F23" s="6" t="s">
        <v>2</v>
      </c>
      <c r="G23" s="6" t="s">
        <v>2</v>
      </c>
      <c r="H23" s="6" t="s">
        <v>5</v>
      </c>
      <c r="I23" s="6" t="s">
        <v>5</v>
      </c>
      <c r="J23" s="6" t="s">
        <v>2</v>
      </c>
      <c r="K23" s="6" t="s">
        <v>2</v>
      </c>
      <c r="L23" s="6" t="s">
        <v>2</v>
      </c>
      <c r="M23" s="6" t="s">
        <v>4</v>
      </c>
      <c r="N23" s="6" t="s">
        <v>4</v>
      </c>
      <c r="O23" s="6" t="s">
        <v>4</v>
      </c>
      <c r="P23" s="6" t="s">
        <v>5</v>
      </c>
      <c r="Q23" s="6" t="s">
        <v>4</v>
      </c>
      <c r="R23" s="6" t="s">
        <v>5</v>
      </c>
      <c r="S23" s="6" t="s">
        <v>5</v>
      </c>
      <c r="T23" s="6" t="s">
        <v>5</v>
      </c>
      <c r="U23" s="6" t="s">
        <v>5</v>
      </c>
      <c r="V23" s="6" t="s">
        <v>5</v>
      </c>
      <c r="W23" s="6" t="s">
        <v>4</v>
      </c>
      <c r="X23" s="6" t="s">
        <v>3</v>
      </c>
      <c r="Y23" s="6" t="s">
        <v>2</v>
      </c>
      <c r="Z23" s="6" t="s">
        <v>3</v>
      </c>
      <c r="AA23" s="6" t="s">
        <v>4</v>
      </c>
      <c r="AB23" s="6" t="s">
        <v>4</v>
      </c>
      <c r="AC23" s="6" t="s">
        <v>4</v>
      </c>
      <c r="AD23" s="6" t="s">
        <v>4</v>
      </c>
      <c r="AE23" s="6" t="s">
        <v>4</v>
      </c>
      <c r="AF23" s="6" t="s">
        <v>4</v>
      </c>
      <c r="AG23" s="6" t="s">
        <v>4</v>
      </c>
      <c r="AH23" s="6" t="s">
        <v>4</v>
      </c>
      <c r="AI23" s="6" t="s">
        <v>3</v>
      </c>
      <c r="AJ23" s="6" t="s">
        <v>4</v>
      </c>
      <c r="AK23" s="6" t="s">
        <v>4</v>
      </c>
      <c r="AL23" s="6" t="s">
        <v>4</v>
      </c>
      <c r="AM23" s="6" t="s">
        <v>4</v>
      </c>
    </row>
    <row r="24" spans="1:39">
      <c r="A24" s="6">
        <f t="shared" si="0"/>
        <v>23</v>
      </c>
      <c r="B24" s="6" t="s">
        <v>14</v>
      </c>
      <c r="C24" s="6">
        <v>2</v>
      </c>
      <c r="D24" s="6" t="s">
        <v>5</v>
      </c>
      <c r="E24" s="6" t="s">
        <v>5</v>
      </c>
      <c r="F24" s="6" t="s">
        <v>3</v>
      </c>
      <c r="G24" s="6" t="s">
        <v>5</v>
      </c>
      <c r="H24" s="6" t="s">
        <v>5</v>
      </c>
      <c r="I24" s="6" t="s">
        <v>5</v>
      </c>
      <c r="J24" s="6" t="s">
        <v>5</v>
      </c>
      <c r="K24" s="6" t="s">
        <v>2</v>
      </c>
      <c r="L24" s="6" t="s">
        <v>2</v>
      </c>
      <c r="M24" s="6" t="s">
        <v>4</v>
      </c>
      <c r="N24" s="6" t="s">
        <v>4</v>
      </c>
      <c r="O24" s="6" t="s">
        <v>2</v>
      </c>
      <c r="P24" s="6" t="s">
        <v>5</v>
      </c>
      <c r="Q24" s="6" t="s">
        <v>4</v>
      </c>
      <c r="R24" s="6" t="s">
        <v>2</v>
      </c>
      <c r="S24" s="6" t="s">
        <v>5</v>
      </c>
      <c r="T24" s="6" t="s">
        <v>3</v>
      </c>
      <c r="U24" s="6" t="s">
        <v>4</v>
      </c>
      <c r="V24" s="6" t="s">
        <v>5</v>
      </c>
      <c r="W24" s="6" t="s">
        <v>2</v>
      </c>
      <c r="X24" s="6" t="s">
        <v>4</v>
      </c>
      <c r="Y24" s="6" t="s">
        <v>4</v>
      </c>
      <c r="Z24" s="6" t="s">
        <v>3</v>
      </c>
      <c r="AA24" s="6" t="s">
        <v>4</v>
      </c>
      <c r="AB24" s="6" t="s">
        <v>4</v>
      </c>
      <c r="AC24" s="6" t="s">
        <v>4</v>
      </c>
      <c r="AD24" s="6" t="s">
        <v>4</v>
      </c>
      <c r="AE24" s="6" t="s">
        <v>4</v>
      </c>
      <c r="AF24" s="6" t="s">
        <v>4</v>
      </c>
      <c r="AG24" s="6" t="s">
        <v>3</v>
      </c>
      <c r="AH24" s="6" t="s">
        <v>4</v>
      </c>
      <c r="AI24" s="6" t="s">
        <v>3</v>
      </c>
      <c r="AJ24" s="6" t="s">
        <v>4</v>
      </c>
      <c r="AK24" s="6" t="s">
        <v>4</v>
      </c>
      <c r="AL24" s="6" t="s">
        <v>4</v>
      </c>
      <c r="AM24" s="6" t="s">
        <v>3</v>
      </c>
    </row>
    <row r="25" spans="1:39">
      <c r="A25" s="6">
        <f t="shared" si="0"/>
        <v>24</v>
      </c>
      <c r="B25" s="6" t="s">
        <v>15</v>
      </c>
      <c r="C25" s="6">
        <v>2</v>
      </c>
      <c r="D25" s="6" t="s">
        <v>2</v>
      </c>
      <c r="E25" s="6" t="s">
        <v>5</v>
      </c>
      <c r="F25" s="6" t="s">
        <v>4</v>
      </c>
      <c r="G25" s="6" t="s">
        <v>5</v>
      </c>
      <c r="H25" s="6" t="s">
        <v>5</v>
      </c>
      <c r="I25" s="6" t="s">
        <v>5</v>
      </c>
      <c r="J25" s="6" t="s">
        <v>2</v>
      </c>
      <c r="K25" s="6" t="s">
        <v>2</v>
      </c>
      <c r="L25" s="6" t="s">
        <v>3</v>
      </c>
      <c r="M25" s="6" t="s">
        <v>4</v>
      </c>
      <c r="N25" s="6" t="s">
        <v>4</v>
      </c>
      <c r="O25" s="6" t="s">
        <v>5</v>
      </c>
      <c r="P25" s="6" t="s">
        <v>5</v>
      </c>
      <c r="Q25" s="6" t="s">
        <v>4</v>
      </c>
      <c r="R25" s="6" t="s">
        <v>5</v>
      </c>
      <c r="S25" s="6" t="s">
        <v>5</v>
      </c>
      <c r="T25" s="6" t="s">
        <v>2</v>
      </c>
      <c r="U25" s="6" t="s">
        <v>5</v>
      </c>
      <c r="V25" s="6" t="s">
        <v>5</v>
      </c>
      <c r="W25" s="6" t="s">
        <v>4</v>
      </c>
      <c r="X25" s="6" t="s">
        <v>4</v>
      </c>
      <c r="Y25" s="6" t="s">
        <v>4</v>
      </c>
      <c r="Z25" s="6" t="s">
        <v>3</v>
      </c>
      <c r="AA25" s="6" t="s">
        <v>4</v>
      </c>
      <c r="AB25" s="6" t="s">
        <v>4</v>
      </c>
      <c r="AC25" s="6" t="s">
        <v>4</v>
      </c>
      <c r="AD25" s="6" t="s">
        <v>4</v>
      </c>
      <c r="AE25" s="6" t="s">
        <v>4</v>
      </c>
      <c r="AF25" s="6" t="s">
        <v>4</v>
      </c>
      <c r="AG25" s="6" t="s">
        <v>3</v>
      </c>
      <c r="AH25" s="6" t="s">
        <v>4</v>
      </c>
      <c r="AI25" s="6" t="s">
        <v>3</v>
      </c>
      <c r="AJ25" s="6" t="s">
        <v>4</v>
      </c>
      <c r="AK25" s="6" t="s">
        <v>4</v>
      </c>
      <c r="AL25" s="6" t="s">
        <v>4</v>
      </c>
      <c r="AM25" s="6" t="s">
        <v>3</v>
      </c>
    </row>
    <row r="26" spans="1:39">
      <c r="A26" s="6">
        <f t="shared" si="0"/>
        <v>25</v>
      </c>
      <c r="B26" s="6" t="s">
        <v>16</v>
      </c>
      <c r="C26" s="6">
        <v>2</v>
      </c>
      <c r="D26" s="6" t="s">
        <v>5</v>
      </c>
      <c r="E26" s="6" t="s">
        <v>5</v>
      </c>
      <c r="F26" s="6" t="s">
        <v>3</v>
      </c>
      <c r="G26" s="6" t="s">
        <v>5</v>
      </c>
      <c r="H26" s="6" t="s">
        <v>5</v>
      </c>
      <c r="I26" s="6" t="s">
        <v>5</v>
      </c>
      <c r="J26" s="6" t="s">
        <v>2</v>
      </c>
      <c r="K26" s="6" t="s">
        <v>2</v>
      </c>
      <c r="L26" s="6" t="s">
        <v>3</v>
      </c>
      <c r="M26" s="6" t="s">
        <v>2</v>
      </c>
      <c r="N26" s="6" t="s">
        <v>2</v>
      </c>
      <c r="O26" s="6" t="s">
        <v>3</v>
      </c>
      <c r="P26" s="6" t="s">
        <v>5</v>
      </c>
      <c r="Q26" s="6" t="s">
        <v>3</v>
      </c>
      <c r="R26" s="6" t="s">
        <v>4</v>
      </c>
      <c r="S26" s="6" t="s">
        <v>5</v>
      </c>
      <c r="T26" s="6" t="s">
        <v>5</v>
      </c>
      <c r="U26" s="6" t="s">
        <v>5</v>
      </c>
      <c r="V26" s="6" t="s">
        <v>5</v>
      </c>
      <c r="W26" s="6" t="s">
        <v>4</v>
      </c>
      <c r="X26" s="6" t="s">
        <v>4</v>
      </c>
      <c r="Y26" s="6" t="s">
        <v>2</v>
      </c>
      <c r="Z26" s="6" t="s">
        <v>3</v>
      </c>
      <c r="AA26" s="6" t="s">
        <v>4</v>
      </c>
      <c r="AB26" s="6" t="s">
        <v>4</v>
      </c>
      <c r="AC26" s="6" t="s">
        <v>4</v>
      </c>
      <c r="AD26" s="6" t="s">
        <v>4</v>
      </c>
      <c r="AE26" s="6" t="s">
        <v>4</v>
      </c>
      <c r="AF26" s="6" t="s">
        <v>4</v>
      </c>
      <c r="AG26" s="6" t="s">
        <v>3</v>
      </c>
      <c r="AH26" s="6" t="s">
        <v>4</v>
      </c>
      <c r="AI26" s="6" t="s">
        <v>4</v>
      </c>
      <c r="AJ26" s="6" t="s">
        <v>4</v>
      </c>
      <c r="AK26" s="6" t="s">
        <v>4</v>
      </c>
      <c r="AL26" s="6" t="s">
        <v>3</v>
      </c>
      <c r="AM26" s="6" t="s">
        <v>4</v>
      </c>
    </row>
    <row r="27" spans="1:39">
      <c r="A27" s="6">
        <f t="shared" si="0"/>
        <v>26</v>
      </c>
      <c r="B27" s="6" t="s">
        <v>259</v>
      </c>
      <c r="C27" s="6">
        <v>2</v>
      </c>
      <c r="D27" s="6" t="s">
        <v>4</v>
      </c>
      <c r="E27" s="6" t="s">
        <v>5</v>
      </c>
      <c r="F27" s="6" t="s">
        <v>2</v>
      </c>
      <c r="G27" s="6" t="s">
        <v>5</v>
      </c>
      <c r="H27" s="6" t="s">
        <v>5</v>
      </c>
      <c r="I27" s="6" t="s">
        <v>5</v>
      </c>
      <c r="J27" s="6" t="s">
        <v>5</v>
      </c>
      <c r="K27" s="6" t="s">
        <v>2</v>
      </c>
      <c r="L27" s="6" t="s">
        <v>3</v>
      </c>
      <c r="M27" s="6" t="s">
        <v>2</v>
      </c>
      <c r="N27" s="6" t="s">
        <v>3</v>
      </c>
      <c r="O27" s="6" t="s">
        <v>5</v>
      </c>
      <c r="P27" s="6" t="s">
        <v>5</v>
      </c>
      <c r="Q27" s="6" t="s">
        <v>3</v>
      </c>
      <c r="R27" s="6" t="s">
        <v>3</v>
      </c>
      <c r="S27" s="6" t="s">
        <v>5</v>
      </c>
      <c r="T27" s="6" t="s">
        <v>5</v>
      </c>
      <c r="U27" s="6" t="s">
        <v>5</v>
      </c>
      <c r="V27" s="6" t="s">
        <v>5</v>
      </c>
      <c r="W27" s="6" t="s">
        <v>4</v>
      </c>
      <c r="X27" s="6" t="s">
        <v>3</v>
      </c>
      <c r="Y27" s="6" t="s">
        <v>2</v>
      </c>
      <c r="Z27" s="6" t="s">
        <v>3</v>
      </c>
      <c r="AA27" s="6" t="s">
        <v>4</v>
      </c>
      <c r="AB27" s="6" t="s">
        <v>4</v>
      </c>
      <c r="AC27" s="6" t="s">
        <v>4</v>
      </c>
      <c r="AD27" s="6" t="s">
        <v>4</v>
      </c>
      <c r="AE27" s="6" t="s">
        <v>4</v>
      </c>
      <c r="AF27" s="6" t="s">
        <v>4</v>
      </c>
      <c r="AG27" s="6" t="s">
        <v>3</v>
      </c>
      <c r="AH27" s="6" t="s">
        <v>4</v>
      </c>
      <c r="AI27" s="6" t="s">
        <v>3</v>
      </c>
      <c r="AJ27" s="6" t="s">
        <v>4</v>
      </c>
      <c r="AK27" s="6" t="s">
        <v>4</v>
      </c>
      <c r="AL27" s="6" t="s">
        <v>3</v>
      </c>
      <c r="AM27" s="6" t="s">
        <v>3</v>
      </c>
    </row>
    <row r="28" spans="1:39">
      <c r="A28" s="6">
        <f t="shared" si="0"/>
        <v>27</v>
      </c>
      <c r="B28" s="6" t="s">
        <v>260</v>
      </c>
      <c r="C28" s="6">
        <v>2</v>
      </c>
      <c r="D28" s="6" t="s">
        <v>3</v>
      </c>
      <c r="E28" s="6" t="s">
        <v>5</v>
      </c>
      <c r="F28" s="6" t="s">
        <v>3</v>
      </c>
      <c r="G28" s="6" t="s">
        <v>5</v>
      </c>
      <c r="H28" s="6" t="s">
        <v>5</v>
      </c>
      <c r="I28" s="6" t="s">
        <v>5</v>
      </c>
      <c r="J28" s="6" t="s">
        <v>2</v>
      </c>
      <c r="K28" s="6" t="s">
        <v>2</v>
      </c>
      <c r="L28" s="6" t="s">
        <v>2</v>
      </c>
      <c r="M28" s="6" t="s">
        <v>2</v>
      </c>
      <c r="N28" s="6" t="s">
        <v>2</v>
      </c>
      <c r="O28" s="6" t="s">
        <v>2</v>
      </c>
      <c r="P28" s="6" t="s">
        <v>5</v>
      </c>
      <c r="Q28" s="6" t="s">
        <v>3</v>
      </c>
      <c r="R28" s="6" t="s">
        <v>3</v>
      </c>
      <c r="S28" s="6" t="s">
        <v>5</v>
      </c>
      <c r="T28" s="6" t="s">
        <v>5</v>
      </c>
      <c r="U28" s="6" t="s">
        <v>5</v>
      </c>
      <c r="V28" s="6" t="s">
        <v>5</v>
      </c>
      <c r="W28" s="6" t="s">
        <v>4</v>
      </c>
      <c r="X28" s="6" t="s">
        <v>4</v>
      </c>
      <c r="Y28" s="6" t="s">
        <v>4</v>
      </c>
      <c r="Z28" s="6" t="s">
        <v>3</v>
      </c>
      <c r="AA28" s="6" t="s">
        <v>4</v>
      </c>
      <c r="AB28" s="6" t="s">
        <v>4</v>
      </c>
      <c r="AC28" s="6" t="s">
        <v>4</v>
      </c>
      <c r="AD28" s="6" t="s">
        <v>4</v>
      </c>
      <c r="AE28" s="6" t="s">
        <v>4</v>
      </c>
      <c r="AF28" s="6" t="s">
        <v>4</v>
      </c>
      <c r="AG28" s="6" t="s">
        <v>3</v>
      </c>
      <c r="AH28" s="6" t="s">
        <v>4</v>
      </c>
      <c r="AI28" s="6" t="s">
        <v>3</v>
      </c>
      <c r="AJ28" s="6" t="s">
        <v>4</v>
      </c>
      <c r="AK28" s="6" t="s">
        <v>4</v>
      </c>
      <c r="AL28" s="6" t="s">
        <v>4</v>
      </c>
      <c r="AM28" s="6" t="s">
        <v>3</v>
      </c>
    </row>
    <row r="29" spans="1:39">
      <c r="A29" s="6">
        <f t="shared" si="0"/>
        <v>28</v>
      </c>
      <c r="B29" s="6" t="s">
        <v>261</v>
      </c>
      <c r="C29" s="6">
        <v>2</v>
      </c>
      <c r="D29" s="6" t="s">
        <v>5</v>
      </c>
      <c r="E29" s="6" t="s">
        <v>3</v>
      </c>
      <c r="F29" s="6" t="s">
        <v>2</v>
      </c>
      <c r="G29" s="6" t="s">
        <v>2</v>
      </c>
      <c r="H29" s="6" t="s">
        <v>5</v>
      </c>
      <c r="I29" s="6" t="s">
        <v>5</v>
      </c>
      <c r="J29" s="6" t="s">
        <v>5</v>
      </c>
      <c r="K29" s="6" t="s">
        <v>2</v>
      </c>
      <c r="L29" s="6" t="s">
        <v>2</v>
      </c>
      <c r="M29" s="6" t="s">
        <v>2</v>
      </c>
      <c r="N29" s="6" t="s">
        <v>3</v>
      </c>
      <c r="O29" s="6" t="s">
        <v>2</v>
      </c>
      <c r="P29" s="6" t="s">
        <v>5</v>
      </c>
      <c r="Q29" s="6" t="s">
        <v>3</v>
      </c>
      <c r="R29" s="6" t="s">
        <v>2</v>
      </c>
      <c r="S29" s="6" t="s">
        <v>5</v>
      </c>
      <c r="T29" s="6" t="s">
        <v>2</v>
      </c>
      <c r="U29" s="6" t="s">
        <v>2</v>
      </c>
      <c r="V29" s="6" t="s">
        <v>2</v>
      </c>
      <c r="W29" s="6" t="s">
        <v>4</v>
      </c>
      <c r="X29" s="6" t="s">
        <v>4</v>
      </c>
      <c r="Y29" s="6" t="s">
        <v>4</v>
      </c>
      <c r="Z29" s="6" t="s">
        <v>3</v>
      </c>
      <c r="AA29" s="6" t="s">
        <v>4</v>
      </c>
      <c r="AB29" s="6" t="s">
        <v>4</v>
      </c>
      <c r="AC29" s="6" t="s">
        <v>4</v>
      </c>
      <c r="AD29" s="6" t="s">
        <v>4</v>
      </c>
      <c r="AE29" s="6" t="s">
        <v>4</v>
      </c>
      <c r="AF29" s="6" t="s">
        <v>4</v>
      </c>
      <c r="AG29" s="6" t="s">
        <v>3</v>
      </c>
      <c r="AH29" s="6" t="s">
        <v>4</v>
      </c>
      <c r="AI29" s="6" t="s">
        <v>3</v>
      </c>
      <c r="AJ29" s="6" t="s">
        <v>4</v>
      </c>
      <c r="AK29" s="6" t="s">
        <v>4</v>
      </c>
      <c r="AL29" s="6" t="s">
        <v>3</v>
      </c>
      <c r="AM29" s="6" t="s">
        <v>3</v>
      </c>
    </row>
    <row r="30" spans="1:39">
      <c r="A30" s="6">
        <f t="shared" si="0"/>
        <v>29</v>
      </c>
      <c r="B30" s="6" t="s">
        <v>262</v>
      </c>
      <c r="C30" s="6">
        <v>2</v>
      </c>
      <c r="D30" s="6" t="s">
        <v>4</v>
      </c>
      <c r="E30" s="6" t="s">
        <v>5</v>
      </c>
      <c r="F30" s="6" t="s">
        <v>3</v>
      </c>
      <c r="G30" s="6" t="s">
        <v>5</v>
      </c>
      <c r="H30" s="6" t="s">
        <v>5</v>
      </c>
      <c r="I30" s="6" t="s">
        <v>5</v>
      </c>
      <c r="J30" s="6" t="s">
        <v>5</v>
      </c>
      <c r="K30" s="6" t="s">
        <v>2</v>
      </c>
      <c r="L30" s="6" t="s">
        <v>3</v>
      </c>
      <c r="M30" s="6" t="s">
        <v>2</v>
      </c>
      <c r="N30" s="6" t="s">
        <v>3</v>
      </c>
      <c r="O30" s="6" t="s">
        <v>2</v>
      </c>
      <c r="P30" s="6" t="s">
        <v>5</v>
      </c>
      <c r="Q30" s="6" t="s">
        <v>3</v>
      </c>
      <c r="R30" s="6" t="s">
        <v>3</v>
      </c>
      <c r="S30" s="6" t="s">
        <v>5</v>
      </c>
      <c r="T30" s="6" t="s">
        <v>5</v>
      </c>
      <c r="U30" s="6" t="s">
        <v>5</v>
      </c>
      <c r="V30" s="6" t="s">
        <v>3</v>
      </c>
      <c r="W30" s="6" t="s">
        <v>4</v>
      </c>
      <c r="X30" s="6" t="s">
        <v>4</v>
      </c>
      <c r="Y30" s="6" t="s">
        <v>2</v>
      </c>
      <c r="Z30" s="6" t="s">
        <v>3</v>
      </c>
      <c r="AA30" s="6" t="s">
        <v>4</v>
      </c>
      <c r="AB30" s="6" t="s">
        <v>4</v>
      </c>
      <c r="AC30" s="6" t="s">
        <v>4</v>
      </c>
      <c r="AD30" s="6" t="s">
        <v>4</v>
      </c>
      <c r="AE30" s="6" t="s">
        <v>4</v>
      </c>
      <c r="AF30" s="6" t="s">
        <v>4</v>
      </c>
      <c r="AG30" s="6" t="s">
        <v>3</v>
      </c>
      <c r="AH30" s="6" t="s">
        <v>4</v>
      </c>
      <c r="AI30" s="6" t="s">
        <v>4</v>
      </c>
      <c r="AJ30" s="6" t="s">
        <v>4</v>
      </c>
      <c r="AK30" s="6" t="s">
        <v>4</v>
      </c>
      <c r="AL30" s="6" t="s">
        <v>4</v>
      </c>
      <c r="AM30" s="6" t="s">
        <v>3</v>
      </c>
    </row>
    <row r="31" spans="1:39">
      <c r="A31" s="6">
        <f t="shared" si="0"/>
        <v>30</v>
      </c>
      <c r="B31" s="6" t="s">
        <v>461</v>
      </c>
      <c r="C31" s="6">
        <v>2</v>
      </c>
      <c r="D31" s="6" t="s">
        <v>5</v>
      </c>
      <c r="E31" s="6" t="s">
        <v>5</v>
      </c>
      <c r="F31" s="6" t="s">
        <v>2</v>
      </c>
      <c r="G31" s="6" t="s">
        <v>2</v>
      </c>
      <c r="H31" s="6" t="s">
        <v>5</v>
      </c>
      <c r="I31" s="6" t="s">
        <v>3</v>
      </c>
      <c r="J31" s="6" t="s">
        <v>2</v>
      </c>
      <c r="K31" s="6" t="s">
        <v>2</v>
      </c>
      <c r="L31" s="6" t="s">
        <v>3</v>
      </c>
      <c r="M31" s="6" t="s">
        <v>3</v>
      </c>
      <c r="N31" s="6" t="s">
        <v>4</v>
      </c>
      <c r="O31" s="6" t="s">
        <v>5</v>
      </c>
      <c r="P31" s="6" t="s">
        <v>5</v>
      </c>
      <c r="Q31" s="6" t="s">
        <v>4</v>
      </c>
      <c r="R31" s="6" t="s">
        <v>5</v>
      </c>
      <c r="S31" s="6" t="s">
        <v>5</v>
      </c>
      <c r="T31" s="6" t="s">
        <v>2</v>
      </c>
      <c r="U31" s="6" t="s">
        <v>5</v>
      </c>
      <c r="V31" s="6" t="s">
        <v>5</v>
      </c>
      <c r="W31" s="6" t="s">
        <v>3</v>
      </c>
      <c r="X31" s="6" t="s">
        <v>4</v>
      </c>
      <c r="Y31" s="6" t="s">
        <v>2</v>
      </c>
      <c r="Z31" s="6" t="s">
        <v>3</v>
      </c>
      <c r="AA31" s="6" t="s">
        <v>3</v>
      </c>
      <c r="AB31" s="6" t="s">
        <v>4</v>
      </c>
      <c r="AC31" s="6" t="s">
        <v>4</v>
      </c>
      <c r="AD31" s="6" t="s">
        <v>4</v>
      </c>
      <c r="AE31" s="6" t="s">
        <v>4</v>
      </c>
      <c r="AF31" s="6" t="s">
        <v>4</v>
      </c>
      <c r="AG31" s="6" t="s">
        <v>3</v>
      </c>
      <c r="AH31" s="6" t="s">
        <v>4</v>
      </c>
      <c r="AI31" s="6" t="s">
        <v>3</v>
      </c>
      <c r="AJ31" s="6" t="s">
        <v>4</v>
      </c>
      <c r="AK31" s="6" t="s">
        <v>4</v>
      </c>
      <c r="AL31" s="6" t="s">
        <v>3</v>
      </c>
      <c r="AM31" s="6" t="s">
        <v>3</v>
      </c>
    </row>
    <row r="32" spans="1:39">
      <c r="A32" s="6">
        <f t="shared" si="0"/>
        <v>31</v>
      </c>
      <c r="B32" s="6" t="s">
        <v>462</v>
      </c>
      <c r="C32" s="6">
        <v>2</v>
      </c>
      <c r="D32" s="6" t="s">
        <v>5</v>
      </c>
      <c r="E32" s="6" t="s">
        <v>3</v>
      </c>
      <c r="F32" s="6" t="s">
        <v>5</v>
      </c>
      <c r="G32" s="6" t="s">
        <v>5</v>
      </c>
      <c r="H32" s="6" t="s">
        <v>5</v>
      </c>
      <c r="I32" s="6" t="s">
        <v>5</v>
      </c>
      <c r="J32" s="6" t="s">
        <v>5</v>
      </c>
      <c r="K32" s="6" t="s">
        <v>2</v>
      </c>
      <c r="L32" s="6" t="s">
        <v>3</v>
      </c>
      <c r="M32" s="6" t="s">
        <v>3</v>
      </c>
      <c r="N32" s="6" t="s">
        <v>3</v>
      </c>
      <c r="O32" s="6" t="s">
        <v>5</v>
      </c>
      <c r="P32" s="6" t="s">
        <v>5</v>
      </c>
      <c r="Q32" s="6" t="s">
        <v>3</v>
      </c>
      <c r="R32" s="6" t="s">
        <v>5</v>
      </c>
      <c r="S32" s="6" t="s">
        <v>5</v>
      </c>
      <c r="T32" s="6" t="s">
        <v>5</v>
      </c>
      <c r="U32" s="6" t="s">
        <v>5</v>
      </c>
      <c r="V32" s="6" t="s">
        <v>5</v>
      </c>
      <c r="W32" s="6" t="s">
        <v>3</v>
      </c>
      <c r="X32" s="6" t="s">
        <v>4</v>
      </c>
      <c r="Y32" s="6" t="s">
        <v>4</v>
      </c>
      <c r="Z32" s="6" t="s">
        <v>3</v>
      </c>
      <c r="AA32" s="6" t="s">
        <v>3</v>
      </c>
      <c r="AB32" s="6" t="s">
        <v>3</v>
      </c>
      <c r="AC32" s="6" t="s">
        <v>4</v>
      </c>
      <c r="AD32" s="6" t="s">
        <v>4</v>
      </c>
      <c r="AE32" s="6" t="s">
        <v>4</v>
      </c>
      <c r="AF32" s="6" t="s">
        <v>4</v>
      </c>
      <c r="AG32" s="6" t="s">
        <v>3</v>
      </c>
      <c r="AH32" s="6" t="s">
        <v>4</v>
      </c>
      <c r="AI32" s="6" t="s">
        <v>4</v>
      </c>
      <c r="AJ32" s="6" t="s">
        <v>3</v>
      </c>
      <c r="AK32" s="6" t="s">
        <v>4</v>
      </c>
      <c r="AL32" s="6" t="s">
        <v>4</v>
      </c>
      <c r="AM32" s="6" t="s">
        <v>3</v>
      </c>
    </row>
    <row r="33" spans="1:39">
      <c r="A33" s="6">
        <f t="shared" si="0"/>
        <v>32</v>
      </c>
      <c r="B33" s="6" t="s">
        <v>491</v>
      </c>
      <c r="C33" s="6">
        <v>2</v>
      </c>
      <c r="D33" s="6" t="s">
        <v>3</v>
      </c>
      <c r="E33" s="6" t="s">
        <v>3</v>
      </c>
      <c r="F33" s="6" t="s">
        <v>3</v>
      </c>
      <c r="G33" s="6" t="s">
        <v>2</v>
      </c>
      <c r="H33" s="6" t="s">
        <v>5</v>
      </c>
      <c r="I33" s="6" t="s">
        <v>5</v>
      </c>
      <c r="J33" s="6" t="s">
        <v>2</v>
      </c>
      <c r="K33" s="6" t="s">
        <v>2</v>
      </c>
      <c r="L33" s="6" t="s">
        <v>2</v>
      </c>
      <c r="M33" s="6" t="s">
        <v>4</v>
      </c>
      <c r="N33" s="6" t="s">
        <v>4</v>
      </c>
      <c r="O33" s="6" t="s">
        <v>4</v>
      </c>
      <c r="P33" s="6" t="s">
        <v>5</v>
      </c>
      <c r="Q33" s="6" t="s">
        <v>4</v>
      </c>
      <c r="R33" s="6" t="s">
        <v>5</v>
      </c>
      <c r="S33" s="6" t="s">
        <v>5</v>
      </c>
      <c r="T33" s="6" t="s">
        <v>5</v>
      </c>
      <c r="U33" s="6" t="s">
        <v>5</v>
      </c>
      <c r="V33" s="6" t="s">
        <v>5</v>
      </c>
      <c r="W33" s="6" t="s">
        <v>4</v>
      </c>
      <c r="X33" s="6" t="s">
        <v>3</v>
      </c>
      <c r="Y33" s="6" t="s">
        <v>2</v>
      </c>
      <c r="Z33" s="6" t="s">
        <v>3</v>
      </c>
      <c r="AA33" s="6" t="s">
        <v>4</v>
      </c>
      <c r="AB33" s="6" t="s">
        <v>4</v>
      </c>
      <c r="AC33" s="6" t="s">
        <v>4</v>
      </c>
      <c r="AD33" s="6" t="s">
        <v>4</v>
      </c>
      <c r="AE33" s="6" t="s">
        <v>4</v>
      </c>
      <c r="AF33" s="6" t="s">
        <v>4</v>
      </c>
      <c r="AG33" s="6" t="s">
        <v>4</v>
      </c>
      <c r="AH33" s="6" t="s">
        <v>4</v>
      </c>
      <c r="AI33" s="6" t="s">
        <v>3</v>
      </c>
      <c r="AJ33" s="6" t="s">
        <v>4</v>
      </c>
      <c r="AK33" s="6" t="s">
        <v>4</v>
      </c>
      <c r="AL33" s="6" t="s">
        <v>4</v>
      </c>
      <c r="AM33" s="6" t="s">
        <v>3</v>
      </c>
    </row>
    <row r="34" spans="1:39">
      <c r="A34" s="6">
        <f t="shared" si="0"/>
        <v>33</v>
      </c>
      <c r="B34" s="6" t="s">
        <v>314</v>
      </c>
      <c r="C34" s="6">
        <v>2</v>
      </c>
      <c r="D34" s="6" t="s">
        <v>5</v>
      </c>
      <c r="E34" s="6" t="s">
        <v>3</v>
      </c>
      <c r="F34" s="6" t="s">
        <v>4</v>
      </c>
      <c r="G34" s="6" t="s">
        <v>3</v>
      </c>
      <c r="H34" s="6" t="s">
        <v>5</v>
      </c>
      <c r="I34" s="6" t="s">
        <v>5</v>
      </c>
      <c r="J34" s="6" t="s">
        <v>3</v>
      </c>
      <c r="K34" s="6" t="s">
        <v>4</v>
      </c>
      <c r="L34" s="6" t="s">
        <v>3</v>
      </c>
      <c r="M34" s="6" t="s">
        <v>3</v>
      </c>
      <c r="N34" s="6" t="s">
        <v>4</v>
      </c>
      <c r="O34" s="6" t="s">
        <v>4</v>
      </c>
      <c r="P34" s="6" t="s">
        <v>5</v>
      </c>
      <c r="Q34" s="6" t="s">
        <v>3</v>
      </c>
      <c r="R34" s="6" t="s">
        <v>4</v>
      </c>
      <c r="S34" s="6" t="s">
        <v>5</v>
      </c>
      <c r="T34" s="6" t="s">
        <v>5</v>
      </c>
      <c r="U34" s="6" t="s">
        <v>5</v>
      </c>
      <c r="V34" s="6" t="s">
        <v>3</v>
      </c>
      <c r="W34" s="6" t="s">
        <v>4</v>
      </c>
      <c r="X34" s="6" t="s">
        <v>4</v>
      </c>
      <c r="Y34" s="6" t="s">
        <v>4</v>
      </c>
      <c r="Z34" s="6" t="s">
        <v>3</v>
      </c>
      <c r="AA34" s="6" t="s">
        <v>4</v>
      </c>
      <c r="AB34" s="6" t="s">
        <v>4</v>
      </c>
      <c r="AC34" s="6" t="s">
        <v>4</v>
      </c>
      <c r="AD34" s="6" t="s">
        <v>4</v>
      </c>
      <c r="AE34" s="6" t="s">
        <v>4</v>
      </c>
      <c r="AF34" s="6" t="s">
        <v>4</v>
      </c>
      <c r="AG34" s="6" t="s">
        <v>3</v>
      </c>
      <c r="AH34" s="6" t="s">
        <v>4</v>
      </c>
      <c r="AI34" s="6" t="s">
        <v>3</v>
      </c>
      <c r="AJ34" s="6" t="s">
        <v>4</v>
      </c>
      <c r="AK34" s="6" t="s">
        <v>4</v>
      </c>
      <c r="AL34" s="6" t="s">
        <v>4</v>
      </c>
      <c r="AM34" s="6" t="s">
        <v>3</v>
      </c>
    </row>
    <row r="35" spans="1:39">
      <c r="A35" s="6">
        <f t="shared" si="0"/>
        <v>34</v>
      </c>
      <c r="B35" s="6" t="s">
        <v>315</v>
      </c>
      <c r="C35" s="6">
        <v>2</v>
      </c>
      <c r="D35" s="6" t="s">
        <v>5</v>
      </c>
      <c r="E35" s="6" t="s">
        <v>5</v>
      </c>
      <c r="F35" s="6" t="s">
        <v>3</v>
      </c>
      <c r="G35" s="6" t="s">
        <v>5</v>
      </c>
      <c r="H35" s="6" t="s">
        <v>5</v>
      </c>
      <c r="I35" s="6" t="s">
        <v>5</v>
      </c>
      <c r="J35" s="6" t="s">
        <v>2</v>
      </c>
      <c r="K35" s="6" t="s">
        <v>2</v>
      </c>
      <c r="L35" s="6" t="s">
        <v>3</v>
      </c>
      <c r="M35" s="6" t="s">
        <v>2</v>
      </c>
      <c r="N35" s="6" t="s">
        <v>2</v>
      </c>
      <c r="O35" s="6" t="s">
        <v>3</v>
      </c>
      <c r="P35" s="6" t="s">
        <v>5</v>
      </c>
      <c r="Q35" s="6" t="s">
        <v>3</v>
      </c>
      <c r="R35" s="6" t="s">
        <v>4</v>
      </c>
      <c r="S35" s="6" t="s">
        <v>5</v>
      </c>
      <c r="T35" s="6" t="s">
        <v>5</v>
      </c>
      <c r="U35" s="6" t="s">
        <v>5</v>
      </c>
      <c r="V35" s="6" t="s">
        <v>5</v>
      </c>
      <c r="W35" s="6" t="s">
        <v>4</v>
      </c>
      <c r="X35" s="6" t="s">
        <v>3</v>
      </c>
      <c r="Y35" s="6" t="s">
        <v>2</v>
      </c>
      <c r="Z35" s="6" t="s">
        <v>3</v>
      </c>
      <c r="AA35" s="6" t="s">
        <v>4</v>
      </c>
      <c r="AB35" s="6" t="s">
        <v>4</v>
      </c>
      <c r="AC35" s="6" t="s">
        <v>4</v>
      </c>
      <c r="AD35" s="6" t="s">
        <v>4</v>
      </c>
      <c r="AE35" s="6" t="s">
        <v>4</v>
      </c>
      <c r="AF35" s="6" t="s">
        <v>4</v>
      </c>
      <c r="AG35" s="6" t="s">
        <v>3</v>
      </c>
      <c r="AH35" s="6" t="s">
        <v>4</v>
      </c>
      <c r="AI35" s="6" t="s">
        <v>4</v>
      </c>
      <c r="AJ35" s="6" t="s">
        <v>4</v>
      </c>
      <c r="AK35" s="6" t="s">
        <v>4</v>
      </c>
      <c r="AL35" s="6" t="s">
        <v>3</v>
      </c>
      <c r="AM35" s="6" t="s">
        <v>4</v>
      </c>
    </row>
    <row r="36" spans="1:39">
      <c r="A36" s="6">
        <f t="shared" si="0"/>
        <v>35</v>
      </c>
      <c r="B36" s="6" t="s">
        <v>318</v>
      </c>
      <c r="C36" s="6">
        <v>2</v>
      </c>
      <c r="D36" s="6" t="s">
        <v>4</v>
      </c>
      <c r="E36" s="6" t="s">
        <v>5</v>
      </c>
      <c r="F36" s="6" t="s">
        <v>3</v>
      </c>
      <c r="G36" s="6" t="s">
        <v>5</v>
      </c>
      <c r="H36" s="6" t="s">
        <v>5</v>
      </c>
      <c r="I36" s="6" t="s">
        <v>5</v>
      </c>
      <c r="J36" s="6" t="s">
        <v>5</v>
      </c>
      <c r="K36" s="6" t="s">
        <v>2</v>
      </c>
      <c r="L36" s="6" t="s">
        <v>3</v>
      </c>
      <c r="M36" s="6" t="s">
        <v>2</v>
      </c>
      <c r="N36" s="6" t="s">
        <v>3</v>
      </c>
      <c r="O36" s="6" t="s">
        <v>2</v>
      </c>
      <c r="P36" s="6" t="s">
        <v>5</v>
      </c>
      <c r="Q36" s="6" t="s">
        <v>3</v>
      </c>
      <c r="R36" s="6" t="s">
        <v>3</v>
      </c>
      <c r="S36" s="6" t="s">
        <v>5</v>
      </c>
      <c r="T36" s="6" t="s">
        <v>5</v>
      </c>
      <c r="U36" s="6" t="s">
        <v>5</v>
      </c>
      <c r="V36" s="6" t="s">
        <v>4</v>
      </c>
      <c r="W36" s="6" t="s">
        <v>4</v>
      </c>
      <c r="X36" s="6" t="s">
        <v>3</v>
      </c>
      <c r="Y36" s="6" t="s">
        <v>2</v>
      </c>
      <c r="Z36" s="6" t="s">
        <v>3</v>
      </c>
      <c r="AA36" s="6" t="s">
        <v>4</v>
      </c>
      <c r="AB36" s="6" t="s">
        <v>4</v>
      </c>
      <c r="AC36" s="6" t="s">
        <v>4</v>
      </c>
      <c r="AD36" s="6" t="s">
        <v>4</v>
      </c>
      <c r="AE36" s="6" t="s">
        <v>4</v>
      </c>
      <c r="AF36" s="6" t="s">
        <v>4</v>
      </c>
      <c r="AG36" s="6" t="s">
        <v>3</v>
      </c>
      <c r="AH36" s="6" t="s">
        <v>4</v>
      </c>
      <c r="AI36" s="6" t="s">
        <v>4</v>
      </c>
      <c r="AJ36" s="6" t="s">
        <v>4</v>
      </c>
      <c r="AK36" s="6" t="s">
        <v>4</v>
      </c>
      <c r="AL36" s="6" t="s">
        <v>4</v>
      </c>
      <c r="AM36" s="6" t="s">
        <v>3</v>
      </c>
    </row>
    <row r="37" spans="1:39">
      <c r="A37" s="6">
        <f t="shared" si="0"/>
        <v>36</v>
      </c>
      <c r="B37" s="6" t="s">
        <v>463</v>
      </c>
      <c r="C37" s="6">
        <v>2</v>
      </c>
      <c r="D37" s="6" t="s">
        <v>2</v>
      </c>
      <c r="E37" s="6" t="s">
        <v>3</v>
      </c>
      <c r="F37" s="6" t="s">
        <v>2</v>
      </c>
      <c r="G37" s="6" t="s">
        <v>5</v>
      </c>
      <c r="H37" s="6" t="s">
        <v>5</v>
      </c>
      <c r="I37" s="6" t="s">
        <v>5</v>
      </c>
      <c r="J37" s="6" t="s">
        <v>5</v>
      </c>
      <c r="K37" s="6" t="s">
        <v>2</v>
      </c>
      <c r="L37" s="6" t="s">
        <v>3</v>
      </c>
      <c r="M37" s="6" t="s">
        <v>3</v>
      </c>
      <c r="N37" s="6" t="s">
        <v>2</v>
      </c>
      <c r="O37" s="6" t="s">
        <v>5</v>
      </c>
      <c r="P37" s="6" t="s">
        <v>5</v>
      </c>
      <c r="Q37" s="6" t="s">
        <v>3</v>
      </c>
      <c r="R37" s="6" t="s">
        <v>2</v>
      </c>
      <c r="S37" s="6" t="s">
        <v>5</v>
      </c>
      <c r="T37" s="6" t="s">
        <v>5</v>
      </c>
      <c r="U37" s="6" t="s">
        <v>5</v>
      </c>
      <c r="V37" s="6" t="s">
        <v>5</v>
      </c>
      <c r="W37" s="6" t="s">
        <v>4</v>
      </c>
      <c r="X37" s="6" t="s">
        <v>4</v>
      </c>
      <c r="Y37" s="6" t="s">
        <v>4</v>
      </c>
      <c r="Z37" s="6" t="s">
        <v>3</v>
      </c>
      <c r="AA37" s="6" t="s">
        <v>4</v>
      </c>
      <c r="AB37" s="6" t="s">
        <v>4</v>
      </c>
      <c r="AC37" s="6" t="s">
        <v>4</v>
      </c>
      <c r="AD37" s="6" t="s">
        <v>4</v>
      </c>
      <c r="AE37" s="6" t="s">
        <v>4</v>
      </c>
      <c r="AF37" s="6" t="s">
        <v>4</v>
      </c>
      <c r="AG37" s="6" t="s">
        <v>3</v>
      </c>
      <c r="AH37" s="6" t="s">
        <v>4</v>
      </c>
      <c r="AI37" s="6" t="s">
        <v>3</v>
      </c>
      <c r="AJ37" s="6" t="s">
        <v>4</v>
      </c>
      <c r="AK37" s="6" t="s">
        <v>4</v>
      </c>
      <c r="AL37" s="6" t="s">
        <v>4</v>
      </c>
      <c r="AM37" s="6" t="s">
        <v>3</v>
      </c>
    </row>
    <row r="38" spans="1:39">
      <c r="A38" s="6">
        <f t="shared" si="0"/>
        <v>37</v>
      </c>
      <c r="B38" s="6" t="s">
        <v>464</v>
      </c>
      <c r="C38" s="6">
        <v>2</v>
      </c>
      <c r="D38" s="6" t="s">
        <v>4</v>
      </c>
      <c r="E38" s="6" t="s">
        <v>5</v>
      </c>
      <c r="F38" s="6" t="s">
        <v>5</v>
      </c>
      <c r="G38" s="6" t="s">
        <v>5</v>
      </c>
      <c r="H38" s="6" t="s">
        <v>5</v>
      </c>
      <c r="I38" s="6" t="s">
        <v>5</v>
      </c>
      <c r="J38" s="6" t="s">
        <v>5</v>
      </c>
      <c r="K38" s="6" t="s">
        <v>2</v>
      </c>
      <c r="L38" s="6" t="s">
        <v>3</v>
      </c>
      <c r="M38" s="6" t="s">
        <v>4</v>
      </c>
      <c r="N38" s="6" t="s">
        <v>4</v>
      </c>
      <c r="O38" s="6" t="s">
        <v>2</v>
      </c>
      <c r="P38" s="6" t="s">
        <v>5</v>
      </c>
      <c r="Q38" s="6" t="s">
        <v>4</v>
      </c>
      <c r="R38" s="6" t="s">
        <v>2</v>
      </c>
      <c r="S38" s="6" t="s">
        <v>5</v>
      </c>
      <c r="T38" s="6" t="s">
        <v>2</v>
      </c>
      <c r="U38" s="6" t="s">
        <v>5</v>
      </c>
      <c r="V38" s="6" t="s">
        <v>5</v>
      </c>
      <c r="W38" s="6" t="s">
        <v>2</v>
      </c>
      <c r="X38" s="6" t="s">
        <v>4</v>
      </c>
      <c r="Y38" s="6" t="s">
        <v>4</v>
      </c>
      <c r="Z38" s="6" t="s">
        <v>3</v>
      </c>
      <c r="AA38" s="6" t="s">
        <v>4</v>
      </c>
      <c r="AB38" s="6" t="s">
        <v>4</v>
      </c>
      <c r="AC38" s="6" t="s">
        <v>4</v>
      </c>
      <c r="AD38" s="6" t="s">
        <v>4</v>
      </c>
      <c r="AE38" s="6" t="s">
        <v>4</v>
      </c>
      <c r="AF38" s="6" t="s">
        <v>4</v>
      </c>
      <c r="AG38" s="6" t="s">
        <v>4</v>
      </c>
      <c r="AH38" s="6" t="s">
        <v>4</v>
      </c>
      <c r="AI38" s="6" t="s">
        <v>4</v>
      </c>
      <c r="AJ38" s="6" t="s">
        <v>4</v>
      </c>
      <c r="AK38" s="6" t="s">
        <v>4</v>
      </c>
      <c r="AL38" s="6" t="s">
        <v>4</v>
      </c>
      <c r="AM38" s="6" t="s">
        <v>3</v>
      </c>
    </row>
    <row r="39" spans="1:39">
      <c r="A39" s="6">
        <f t="shared" si="0"/>
        <v>38</v>
      </c>
      <c r="B39" s="6" t="s">
        <v>490</v>
      </c>
      <c r="C39" s="6">
        <v>2</v>
      </c>
      <c r="D39" s="6" t="s">
        <v>4</v>
      </c>
      <c r="E39" s="6" t="s">
        <v>5</v>
      </c>
      <c r="F39" s="6" t="s">
        <v>3</v>
      </c>
      <c r="G39" s="6" t="s">
        <v>2</v>
      </c>
      <c r="H39" s="6" t="s">
        <v>5</v>
      </c>
      <c r="I39" s="6" t="s">
        <v>5</v>
      </c>
      <c r="J39" s="6" t="s">
        <v>5</v>
      </c>
      <c r="K39" s="6" t="s">
        <v>2</v>
      </c>
      <c r="L39" s="6" t="s">
        <v>2</v>
      </c>
      <c r="M39" s="6" t="s">
        <v>3</v>
      </c>
      <c r="N39" s="6" t="s">
        <v>4</v>
      </c>
      <c r="O39" s="6" t="s">
        <v>2</v>
      </c>
      <c r="P39" s="6" t="s">
        <v>5</v>
      </c>
      <c r="Q39" s="6" t="s">
        <v>3</v>
      </c>
      <c r="R39" s="6" t="s">
        <v>4</v>
      </c>
      <c r="S39" s="6" t="s">
        <v>5</v>
      </c>
      <c r="T39" s="6" t="s">
        <v>5</v>
      </c>
      <c r="U39" s="6" t="s">
        <v>5</v>
      </c>
      <c r="V39" s="6" t="s">
        <v>4</v>
      </c>
      <c r="W39" s="6" t="s">
        <v>4</v>
      </c>
      <c r="X39" s="6" t="s">
        <v>3</v>
      </c>
      <c r="Y39" s="6" t="s">
        <v>4</v>
      </c>
      <c r="Z39" s="6" t="s">
        <v>3</v>
      </c>
      <c r="AA39" s="6" t="s">
        <v>4</v>
      </c>
      <c r="AB39" s="6" t="s">
        <v>4</v>
      </c>
      <c r="AC39" s="6" t="s">
        <v>4</v>
      </c>
      <c r="AD39" s="6" t="s">
        <v>4</v>
      </c>
      <c r="AE39" s="6" t="s">
        <v>4</v>
      </c>
      <c r="AF39" s="6" t="s">
        <v>4</v>
      </c>
      <c r="AG39" s="6" t="s">
        <v>3</v>
      </c>
      <c r="AH39" s="6" t="s">
        <v>4</v>
      </c>
      <c r="AI39" s="6" t="s">
        <v>3</v>
      </c>
      <c r="AJ39" s="6" t="s">
        <v>4</v>
      </c>
      <c r="AK39" s="6" t="s">
        <v>4</v>
      </c>
      <c r="AL39" s="6" t="s">
        <v>4</v>
      </c>
      <c r="AM39" s="6" t="s">
        <v>4</v>
      </c>
    </row>
    <row r="40" spans="1:39">
      <c r="A40" s="6">
        <f t="shared" si="0"/>
        <v>39</v>
      </c>
      <c r="B40" s="6" t="s">
        <v>17</v>
      </c>
      <c r="C40" s="6">
        <v>3</v>
      </c>
      <c r="D40" s="6" t="s">
        <v>5</v>
      </c>
      <c r="E40" s="6" t="s">
        <v>3</v>
      </c>
      <c r="F40" s="6" t="s">
        <v>3</v>
      </c>
      <c r="G40" s="6" t="s">
        <v>5</v>
      </c>
      <c r="H40" s="6" t="s">
        <v>5</v>
      </c>
      <c r="I40" s="6" t="s">
        <v>5</v>
      </c>
      <c r="J40" s="6" t="s">
        <v>2</v>
      </c>
      <c r="K40" s="6" t="s">
        <v>2</v>
      </c>
      <c r="L40" s="6" t="s">
        <v>3</v>
      </c>
      <c r="M40" s="6" t="s">
        <v>3</v>
      </c>
      <c r="N40" s="6" t="s">
        <v>4</v>
      </c>
      <c r="O40" s="6" t="s">
        <v>5</v>
      </c>
      <c r="P40" s="6" t="s">
        <v>2</v>
      </c>
      <c r="Q40" s="6" t="s">
        <v>3</v>
      </c>
      <c r="R40" s="6" t="s">
        <v>2</v>
      </c>
      <c r="S40" s="6" t="s">
        <v>5</v>
      </c>
      <c r="T40" s="6" t="s">
        <v>5</v>
      </c>
      <c r="U40" s="6" t="s">
        <v>5</v>
      </c>
      <c r="V40" s="6" t="s">
        <v>5</v>
      </c>
      <c r="W40" s="6" t="s">
        <v>4</v>
      </c>
      <c r="X40" s="6" t="s">
        <v>3</v>
      </c>
      <c r="Y40" s="6" t="s">
        <v>3</v>
      </c>
      <c r="Z40" s="6" t="s">
        <v>3</v>
      </c>
      <c r="AA40" s="6" t="s">
        <v>4</v>
      </c>
      <c r="AB40" s="6" t="s">
        <v>4</v>
      </c>
      <c r="AC40" s="6" t="s">
        <v>4</v>
      </c>
      <c r="AD40" s="6" t="s">
        <v>4</v>
      </c>
      <c r="AE40" s="6" t="s">
        <v>4</v>
      </c>
      <c r="AF40" s="6" t="s">
        <v>4</v>
      </c>
      <c r="AG40" s="6" t="s">
        <v>3</v>
      </c>
      <c r="AH40" s="6" t="s">
        <v>4</v>
      </c>
      <c r="AI40" s="6" t="s">
        <v>3</v>
      </c>
      <c r="AJ40" s="6" t="s">
        <v>4</v>
      </c>
      <c r="AK40" s="6" t="s">
        <v>4</v>
      </c>
      <c r="AL40" s="6" t="s">
        <v>4</v>
      </c>
      <c r="AM40" s="6" t="s">
        <v>3</v>
      </c>
    </row>
    <row r="41" spans="1:39">
      <c r="A41" s="6">
        <f t="shared" si="0"/>
        <v>40</v>
      </c>
      <c r="B41" s="6" t="s">
        <v>18</v>
      </c>
      <c r="C41" s="6">
        <v>3</v>
      </c>
      <c r="D41" s="6" t="s">
        <v>5</v>
      </c>
      <c r="E41" s="6" t="s">
        <v>4</v>
      </c>
      <c r="F41" s="6" t="s">
        <v>4</v>
      </c>
      <c r="G41" s="6" t="s">
        <v>3</v>
      </c>
      <c r="H41" s="6" t="s">
        <v>5</v>
      </c>
      <c r="I41" s="6" t="s">
        <v>5</v>
      </c>
      <c r="J41" s="6" t="s">
        <v>5</v>
      </c>
      <c r="K41" s="6" t="s">
        <v>2</v>
      </c>
      <c r="L41" s="6" t="s">
        <v>2</v>
      </c>
      <c r="M41" s="6" t="s">
        <v>3</v>
      </c>
      <c r="N41" s="6" t="s">
        <v>4</v>
      </c>
      <c r="O41" s="6" t="s">
        <v>2</v>
      </c>
      <c r="P41" s="6" t="s">
        <v>2</v>
      </c>
      <c r="Q41" s="6" t="s">
        <v>2</v>
      </c>
      <c r="R41" s="6" t="s">
        <v>5</v>
      </c>
      <c r="S41" s="6" t="s">
        <v>5</v>
      </c>
      <c r="T41" s="6" t="s">
        <v>3</v>
      </c>
      <c r="U41" s="6" t="s">
        <v>3</v>
      </c>
      <c r="V41" s="6" t="s">
        <v>2</v>
      </c>
      <c r="W41" s="6" t="s">
        <v>4</v>
      </c>
      <c r="X41" s="6" t="s">
        <v>5</v>
      </c>
      <c r="Y41" s="6" t="s">
        <v>3</v>
      </c>
      <c r="Z41" s="6" t="s">
        <v>3</v>
      </c>
      <c r="AA41" s="6" t="s">
        <v>3</v>
      </c>
      <c r="AB41" s="6" t="s">
        <v>3</v>
      </c>
      <c r="AC41" s="6" t="s">
        <v>4</v>
      </c>
      <c r="AD41" s="6" t="s">
        <v>4</v>
      </c>
      <c r="AE41" s="6" t="s">
        <v>4</v>
      </c>
      <c r="AF41" s="6" t="s">
        <v>4</v>
      </c>
      <c r="AG41" s="6" t="s">
        <v>3</v>
      </c>
      <c r="AH41" s="6" t="s">
        <v>4</v>
      </c>
      <c r="AI41" s="6" t="s">
        <v>4</v>
      </c>
      <c r="AJ41" s="6" t="s">
        <v>4</v>
      </c>
      <c r="AK41" s="6" t="s">
        <v>4</v>
      </c>
      <c r="AL41" s="6" t="s">
        <v>4</v>
      </c>
      <c r="AM41" s="6" t="s">
        <v>3</v>
      </c>
    </row>
    <row r="42" spans="1:39">
      <c r="A42" s="6">
        <f t="shared" si="0"/>
        <v>41</v>
      </c>
      <c r="B42" s="6" t="s">
        <v>19</v>
      </c>
      <c r="C42" s="6">
        <v>3</v>
      </c>
      <c r="D42" s="6" t="s">
        <v>5</v>
      </c>
      <c r="E42" s="6" t="s">
        <v>5</v>
      </c>
      <c r="F42" s="6" t="s">
        <v>4</v>
      </c>
      <c r="G42" s="6" t="s">
        <v>5</v>
      </c>
      <c r="H42" s="6" t="s">
        <v>5</v>
      </c>
      <c r="I42" s="6" t="s">
        <v>2</v>
      </c>
      <c r="J42" s="6" t="s">
        <v>5</v>
      </c>
      <c r="K42" s="6" t="s">
        <v>2</v>
      </c>
      <c r="L42" s="6" t="s">
        <v>3</v>
      </c>
      <c r="M42" s="6" t="s">
        <v>4</v>
      </c>
      <c r="N42" s="6" t="s">
        <v>4</v>
      </c>
      <c r="O42" s="6" t="s">
        <v>2</v>
      </c>
      <c r="P42" s="6" t="s">
        <v>5</v>
      </c>
      <c r="Q42" s="6" t="s">
        <v>5</v>
      </c>
      <c r="R42" s="6" t="s">
        <v>5</v>
      </c>
      <c r="S42" s="6" t="s">
        <v>5</v>
      </c>
      <c r="T42" s="6" t="s">
        <v>5</v>
      </c>
      <c r="U42" s="6" t="s">
        <v>5</v>
      </c>
      <c r="V42" s="6" t="s">
        <v>4</v>
      </c>
      <c r="W42" s="6" t="s">
        <v>4</v>
      </c>
      <c r="X42" s="6" t="s">
        <v>4</v>
      </c>
      <c r="Y42" s="6" t="s">
        <v>5</v>
      </c>
      <c r="Z42" s="6" t="s">
        <v>3</v>
      </c>
      <c r="AA42" s="6" t="s">
        <v>4</v>
      </c>
      <c r="AB42" s="6" t="s">
        <v>4</v>
      </c>
      <c r="AC42" s="6" t="s">
        <v>4</v>
      </c>
      <c r="AD42" s="6" t="s">
        <v>4</v>
      </c>
      <c r="AE42" s="6" t="s">
        <v>4</v>
      </c>
      <c r="AF42" s="6" t="s">
        <v>4</v>
      </c>
      <c r="AG42" s="6" t="s">
        <v>3</v>
      </c>
      <c r="AH42" s="6" t="s">
        <v>4</v>
      </c>
      <c r="AI42" s="6" t="s">
        <v>3</v>
      </c>
      <c r="AJ42" s="6" t="s">
        <v>4</v>
      </c>
      <c r="AK42" s="6" t="s">
        <v>4</v>
      </c>
      <c r="AL42" s="6" t="s">
        <v>4</v>
      </c>
      <c r="AM42" s="6" t="s">
        <v>3</v>
      </c>
    </row>
    <row r="43" spans="1:39">
      <c r="A43" s="6">
        <f t="shared" si="0"/>
        <v>42</v>
      </c>
      <c r="B43" s="6" t="s">
        <v>20</v>
      </c>
      <c r="C43" s="6">
        <v>3</v>
      </c>
      <c r="D43" s="6" t="s">
        <v>2</v>
      </c>
      <c r="E43" s="6" t="s">
        <v>3</v>
      </c>
      <c r="F43" s="6" t="s">
        <v>3</v>
      </c>
      <c r="G43" s="6" t="s">
        <v>2</v>
      </c>
      <c r="H43" s="6" t="s">
        <v>5</v>
      </c>
      <c r="I43" s="6" t="s">
        <v>2</v>
      </c>
      <c r="J43" s="6" t="s">
        <v>5</v>
      </c>
      <c r="K43" s="6" t="s">
        <v>2</v>
      </c>
      <c r="L43" s="6" t="s">
        <v>3</v>
      </c>
      <c r="M43" s="6" t="s">
        <v>4</v>
      </c>
      <c r="N43" s="6" t="s">
        <v>4</v>
      </c>
      <c r="O43" s="6" t="s">
        <v>5</v>
      </c>
      <c r="P43" s="6" t="s">
        <v>5</v>
      </c>
      <c r="Q43" s="6" t="s">
        <v>4</v>
      </c>
      <c r="R43" s="6" t="s">
        <v>5</v>
      </c>
      <c r="S43" s="6" t="s">
        <v>5</v>
      </c>
      <c r="T43" s="6" t="s">
        <v>5</v>
      </c>
      <c r="U43" s="6" t="s">
        <v>5</v>
      </c>
      <c r="V43" s="6" t="s">
        <v>5</v>
      </c>
      <c r="W43" s="6" t="s">
        <v>4</v>
      </c>
      <c r="X43" s="6" t="s">
        <v>4</v>
      </c>
      <c r="Y43" s="6" t="s">
        <v>4</v>
      </c>
      <c r="Z43" s="6" t="s">
        <v>4</v>
      </c>
      <c r="AA43" s="6" t="s">
        <v>4</v>
      </c>
      <c r="AB43" s="6" t="s">
        <v>4</v>
      </c>
      <c r="AC43" s="6" t="s">
        <v>4</v>
      </c>
      <c r="AD43" s="6" t="s">
        <v>4</v>
      </c>
      <c r="AE43" s="6" t="s">
        <v>4</v>
      </c>
      <c r="AF43" s="6" t="s">
        <v>4</v>
      </c>
      <c r="AG43" s="6" t="s">
        <v>4</v>
      </c>
      <c r="AH43" s="6" t="s">
        <v>4</v>
      </c>
      <c r="AI43" s="6" t="s">
        <v>3</v>
      </c>
      <c r="AJ43" s="6" t="s">
        <v>4</v>
      </c>
      <c r="AK43" s="6" t="s">
        <v>4</v>
      </c>
      <c r="AL43" s="6" t="s">
        <v>3</v>
      </c>
      <c r="AM43" s="6" t="s">
        <v>4</v>
      </c>
    </row>
    <row r="44" spans="1:39">
      <c r="A44" s="6">
        <f t="shared" si="0"/>
        <v>43</v>
      </c>
      <c r="B44" s="6" t="s">
        <v>21</v>
      </c>
      <c r="C44" s="6">
        <v>3</v>
      </c>
      <c r="D44" s="6" t="s">
        <v>2</v>
      </c>
      <c r="E44" s="6" t="s">
        <v>5</v>
      </c>
      <c r="F44" s="6" t="s">
        <v>3</v>
      </c>
      <c r="G44" s="6" t="s">
        <v>5</v>
      </c>
      <c r="H44" s="6" t="s">
        <v>5</v>
      </c>
      <c r="I44" s="6" t="s">
        <v>5</v>
      </c>
      <c r="J44" s="6" t="s">
        <v>5</v>
      </c>
      <c r="K44" s="6" t="s">
        <v>2</v>
      </c>
      <c r="L44" s="6" t="s">
        <v>2</v>
      </c>
      <c r="M44" s="6" t="s">
        <v>3</v>
      </c>
      <c r="N44" s="6" t="s">
        <v>4</v>
      </c>
      <c r="O44" s="6" t="s">
        <v>2</v>
      </c>
      <c r="P44" s="6" t="s">
        <v>5</v>
      </c>
      <c r="Q44" s="6" t="s">
        <v>3</v>
      </c>
      <c r="R44" s="6" t="s">
        <v>3</v>
      </c>
      <c r="S44" s="6" t="s">
        <v>5</v>
      </c>
      <c r="T44" s="6" t="s">
        <v>5</v>
      </c>
      <c r="U44" s="6" t="s">
        <v>5</v>
      </c>
      <c r="V44" s="6" t="s">
        <v>5</v>
      </c>
      <c r="W44" s="6" t="s">
        <v>4</v>
      </c>
      <c r="X44" s="6" t="s">
        <v>2</v>
      </c>
      <c r="Y44" s="6" t="s">
        <v>2</v>
      </c>
      <c r="Z44" s="6" t="s">
        <v>3</v>
      </c>
      <c r="AA44" s="6" t="s">
        <v>4</v>
      </c>
      <c r="AB44" s="6" t="s">
        <v>4</v>
      </c>
      <c r="AC44" s="6" t="s">
        <v>4</v>
      </c>
      <c r="AD44" s="6" t="s">
        <v>4</v>
      </c>
      <c r="AE44" s="6" t="s">
        <v>4</v>
      </c>
      <c r="AF44" s="6" t="s">
        <v>4</v>
      </c>
      <c r="AG44" s="6" t="s">
        <v>3</v>
      </c>
      <c r="AH44" s="6" t="s">
        <v>4</v>
      </c>
      <c r="AI44" s="6" t="s">
        <v>3</v>
      </c>
      <c r="AJ44" s="6" t="s">
        <v>4</v>
      </c>
      <c r="AK44" s="6" t="s">
        <v>4</v>
      </c>
      <c r="AL44" s="6" t="s">
        <v>4</v>
      </c>
      <c r="AM44" s="6" t="s">
        <v>3</v>
      </c>
    </row>
    <row r="45" spans="1:39">
      <c r="A45" s="6">
        <f t="shared" si="0"/>
        <v>44</v>
      </c>
      <c r="B45" s="6" t="s">
        <v>22</v>
      </c>
      <c r="C45" s="6">
        <v>3</v>
      </c>
      <c r="D45" s="6" t="s">
        <v>4</v>
      </c>
      <c r="E45" s="6" t="s">
        <v>5</v>
      </c>
      <c r="F45" s="6" t="s">
        <v>3</v>
      </c>
      <c r="G45" s="6" t="s">
        <v>5</v>
      </c>
      <c r="H45" s="6" t="s">
        <v>5</v>
      </c>
      <c r="I45" s="6" t="s">
        <v>5</v>
      </c>
      <c r="J45" s="6" t="s">
        <v>5</v>
      </c>
      <c r="K45" s="6" t="s">
        <v>2</v>
      </c>
      <c r="L45" s="6" t="s">
        <v>3</v>
      </c>
      <c r="M45" s="6" t="s">
        <v>2</v>
      </c>
      <c r="N45" s="6" t="s">
        <v>2</v>
      </c>
      <c r="O45" s="6" t="s">
        <v>5</v>
      </c>
      <c r="P45" s="6" t="s">
        <v>3</v>
      </c>
      <c r="Q45" s="6" t="s">
        <v>3</v>
      </c>
      <c r="R45" s="6" t="s">
        <v>2</v>
      </c>
      <c r="S45" s="6" t="s">
        <v>5</v>
      </c>
      <c r="T45" s="6" t="s">
        <v>2</v>
      </c>
      <c r="U45" s="6" t="s">
        <v>2</v>
      </c>
      <c r="V45" s="6" t="s">
        <v>5</v>
      </c>
      <c r="W45" s="6" t="s">
        <v>4</v>
      </c>
      <c r="X45" s="6" t="s">
        <v>3</v>
      </c>
      <c r="Y45" s="6" t="s">
        <v>2</v>
      </c>
      <c r="Z45" s="6" t="s">
        <v>3</v>
      </c>
      <c r="AA45" s="6" t="s">
        <v>4</v>
      </c>
      <c r="AB45" s="6" t="s">
        <v>4</v>
      </c>
      <c r="AC45" s="6" t="s">
        <v>4</v>
      </c>
      <c r="AD45" s="6" t="s">
        <v>4</v>
      </c>
      <c r="AE45" s="6" t="s">
        <v>4</v>
      </c>
      <c r="AF45" s="6" t="s">
        <v>4</v>
      </c>
      <c r="AG45" s="6" t="s">
        <v>3</v>
      </c>
      <c r="AH45" s="6" t="s">
        <v>4</v>
      </c>
      <c r="AI45" s="6" t="s">
        <v>3</v>
      </c>
      <c r="AJ45" s="6" t="s">
        <v>4</v>
      </c>
      <c r="AK45" s="6" t="s">
        <v>4</v>
      </c>
      <c r="AL45" s="6" t="s">
        <v>3</v>
      </c>
      <c r="AM45" s="6" t="s">
        <v>3</v>
      </c>
    </row>
    <row r="46" spans="1:39">
      <c r="A46" s="6">
        <f t="shared" si="0"/>
        <v>45</v>
      </c>
      <c r="B46" s="6" t="s">
        <v>263</v>
      </c>
      <c r="C46" s="6">
        <v>3</v>
      </c>
      <c r="D46" s="6" t="s">
        <v>2</v>
      </c>
      <c r="E46" s="6" t="s">
        <v>5</v>
      </c>
      <c r="F46" s="6" t="s">
        <v>3</v>
      </c>
      <c r="G46" s="6" t="s">
        <v>5</v>
      </c>
      <c r="H46" s="6" t="s">
        <v>5</v>
      </c>
      <c r="I46" s="6" t="s">
        <v>5</v>
      </c>
      <c r="J46" s="6" t="s">
        <v>5</v>
      </c>
      <c r="K46" s="6" t="s">
        <v>2</v>
      </c>
      <c r="L46" s="6" t="s">
        <v>2</v>
      </c>
      <c r="M46" s="6" t="s">
        <v>2</v>
      </c>
      <c r="N46" s="6" t="s">
        <v>3</v>
      </c>
      <c r="O46" s="6" t="s">
        <v>5</v>
      </c>
      <c r="P46" s="6" t="s">
        <v>5</v>
      </c>
      <c r="Q46" s="6" t="s">
        <v>3</v>
      </c>
      <c r="R46" s="6" t="s">
        <v>2</v>
      </c>
      <c r="S46" s="6" t="s">
        <v>2</v>
      </c>
      <c r="T46" s="6" t="s">
        <v>5</v>
      </c>
      <c r="U46" s="6" t="s">
        <v>5</v>
      </c>
      <c r="V46" s="6" t="s">
        <v>2</v>
      </c>
      <c r="W46" s="6" t="s">
        <v>4</v>
      </c>
      <c r="X46" s="6" t="s">
        <v>2</v>
      </c>
      <c r="Y46" s="6" t="s">
        <v>2</v>
      </c>
      <c r="Z46" s="6" t="s">
        <v>3</v>
      </c>
      <c r="AA46" s="6" t="s">
        <v>4</v>
      </c>
      <c r="AB46" s="6" t="s">
        <v>4</v>
      </c>
      <c r="AC46" s="6" t="s">
        <v>4</v>
      </c>
      <c r="AD46" s="6" t="s">
        <v>4</v>
      </c>
      <c r="AE46" s="6" t="s">
        <v>4</v>
      </c>
      <c r="AF46" s="6" t="s">
        <v>4</v>
      </c>
      <c r="AG46" s="6" t="s">
        <v>3</v>
      </c>
      <c r="AH46" s="6" t="s">
        <v>4</v>
      </c>
      <c r="AI46" s="6" t="s">
        <v>3</v>
      </c>
      <c r="AJ46" s="6" t="s">
        <v>4</v>
      </c>
      <c r="AK46" s="6" t="s">
        <v>4</v>
      </c>
      <c r="AL46" s="6" t="s">
        <v>4</v>
      </c>
      <c r="AM46" s="6" t="s">
        <v>3</v>
      </c>
    </row>
    <row r="47" spans="1:39">
      <c r="A47" s="6">
        <f t="shared" si="0"/>
        <v>46</v>
      </c>
      <c r="B47" s="6" t="s">
        <v>264</v>
      </c>
      <c r="C47" s="6">
        <v>3</v>
      </c>
      <c r="D47" s="6" t="s">
        <v>5</v>
      </c>
      <c r="E47" s="6" t="s">
        <v>3</v>
      </c>
      <c r="F47" s="6" t="s">
        <v>3</v>
      </c>
      <c r="G47" s="6" t="s">
        <v>5</v>
      </c>
      <c r="H47" s="6" t="s">
        <v>5</v>
      </c>
      <c r="I47" s="6" t="s">
        <v>5</v>
      </c>
      <c r="J47" s="6" t="s">
        <v>5</v>
      </c>
      <c r="K47" s="6" t="s">
        <v>2</v>
      </c>
      <c r="L47" s="6" t="s">
        <v>2</v>
      </c>
      <c r="M47" s="6" t="s">
        <v>3</v>
      </c>
      <c r="N47" s="6" t="s">
        <v>3</v>
      </c>
      <c r="O47" s="6" t="s">
        <v>2</v>
      </c>
      <c r="P47" s="6" t="s">
        <v>5</v>
      </c>
      <c r="Q47" s="6" t="s">
        <v>3</v>
      </c>
      <c r="R47" s="6" t="s">
        <v>3</v>
      </c>
      <c r="S47" s="6" t="s">
        <v>2</v>
      </c>
      <c r="T47" s="6" t="s">
        <v>5</v>
      </c>
      <c r="U47" s="6" t="s">
        <v>5</v>
      </c>
      <c r="V47" s="6" t="s">
        <v>5</v>
      </c>
      <c r="W47" s="6" t="s">
        <v>4</v>
      </c>
      <c r="X47" s="6" t="s">
        <v>3</v>
      </c>
      <c r="Y47" s="6" t="s">
        <v>2</v>
      </c>
      <c r="Z47" s="6" t="s">
        <v>3</v>
      </c>
      <c r="AA47" s="6" t="s">
        <v>4</v>
      </c>
      <c r="AB47" s="6" t="s">
        <v>4</v>
      </c>
      <c r="AC47" s="6" t="s">
        <v>4</v>
      </c>
      <c r="AD47" s="6" t="s">
        <v>4</v>
      </c>
      <c r="AE47" s="6" t="s">
        <v>4</v>
      </c>
      <c r="AF47" s="6" t="s">
        <v>4</v>
      </c>
      <c r="AG47" s="6" t="s">
        <v>3</v>
      </c>
      <c r="AH47" s="6" t="s">
        <v>4</v>
      </c>
      <c r="AI47" s="6" t="s">
        <v>4</v>
      </c>
      <c r="AJ47" s="6" t="s">
        <v>4</v>
      </c>
      <c r="AK47" s="6" t="s">
        <v>4</v>
      </c>
      <c r="AL47" s="6" t="s">
        <v>3</v>
      </c>
      <c r="AM47" s="6" t="s">
        <v>3</v>
      </c>
    </row>
    <row r="48" spans="1:39">
      <c r="A48" s="6">
        <f t="shared" si="0"/>
        <v>47</v>
      </c>
      <c r="B48" s="6" t="s">
        <v>265</v>
      </c>
      <c r="C48" s="6">
        <v>3</v>
      </c>
      <c r="D48" s="6" t="s">
        <v>5</v>
      </c>
      <c r="E48" s="6" t="s">
        <v>3</v>
      </c>
      <c r="F48" s="6" t="s">
        <v>3</v>
      </c>
      <c r="G48" s="6" t="s">
        <v>2</v>
      </c>
      <c r="H48" s="6" t="s">
        <v>5</v>
      </c>
      <c r="I48" s="6" t="s">
        <v>5</v>
      </c>
      <c r="J48" s="6" t="s">
        <v>5</v>
      </c>
      <c r="K48" s="6" t="s">
        <v>2</v>
      </c>
      <c r="L48" s="6" t="s">
        <v>3</v>
      </c>
      <c r="M48" s="6" t="s">
        <v>3</v>
      </c>
      <c r="N48" s="6" t="s">
        <v>3</v>
      </c>
      <c r="O48" s="6" t="s">
        <v>2</v>
      </c>
      <c r="P48" s="6" t="s">
        <v>5</v>
      </c>
      <c r="Q48" s="6" t="s">
        <v>3</v>
      </c>
      <c r="R48" s="6" t="s">
        <v>3</v>
      </c>
      <c r="S48" s="6" t="s">
        <v>5</v>
      </c>
      <c r="T48" s="6" t="s">
        <v>5</v>
      </c>
      <c r="U48" s="6" t="s">
        <v>5</v>
      </c>
      <c r="V48" s="6" t="s">
        <v>5</v>
      </c>
      <c r="W48" s="6" t="s">
        <v>4</v>
      </c>
      <c r="X48" s="6" t="s">
        <v>3</v>
      </c>
      <c r="Y48" s="6" t="s">
        <v>2</v>
      </c>
      <c r="Z48" s="6" t="s">
        <v>3</v>
      </c>
      <c r="AA48" s="6" t="s">
        <v>4</v>
      </c>
      <c r="AB48" s="6" t="s">
        <v>4</v>
      </c>
      <c r="AC48" s="6" t="s">
        <v>4</v>
      </c>
      <c r="AD48" s="6" t="s">
        <v>4</v>
      </c>
      <c r="AE48" s="6" t="s">
        <v>4</v>
      </c>
      <c r="AF48" s="6" t="s">
        <v>4</v>
      </c>
      <c r="AG48" s="6" t="s">
        <v>3</v>
      </c>
      <c r="AH48" s="6" t="s">
        <v>4</v>
      </c>
      <c r="AI48" s="6" t="s">
        <v>3</v>
      </c>
      <c r="AJ48" s="6" t="s">
        <v>4</v>
      </c>
      <c r="AK48" s="6" t="s">
        <v>4</v>
      </c>
      <c r="AL48" s="6" t="s">
        <v>3</v>
      </c>
      <c r="AM48" s="6" t="s">
        <v>3</v>
      </c>
    </row>
    <row r="49" spans="1:39">
      <c r="A49" s="6">
        <f t="shared" si="0"/>
        <v>48</v>
      </c>
      <c r="B49" s="6" t="s">
        <v>266</v>
      </c>
      <c r="C49" s="6">
        <v>3</v>
      </c>
      <c r="D49" s="6" t="s">
        <v>5</v>
      </c>
      <c r="E49" s="6" t="s">
        <v>3</v>
      </c>
      <c r="F49" s="6" t="s">
        <v>3</v>
      </c>
      <c r="G49" s="6" t="s">
        <v>5</v>
      </c>
      <c r="H49" s="6" t="s">
        <v>5</v>
      </c>
      <c r="I49" s="6" t="s">
        <v>5</v>
      </c>
      <c r="J49" s="6" t="s">
        <v>2</v>
      </c>
      <c r="K49" s="6" t="s">
        <v>2</v>
      </c>
      <c r="L49" s="6" t="s">
        <v>3</v>
      </c>
      <c r="M49" s="6" t="s">
        <v>4</v>
      </c>
      <c r="N49" s="6" t="s">
        <v>4</v>
      </c>
      <c r="O49" s="6" t="s">
        <v>5</v>
      </c>
      <c r="P49" s="6" t="s">
        <v>2</v>
      </c>
      <c r="Q49" s="6" t="s">
        <v>3</v>
      </c>
      <c r="R49" s="6" t="s">
        <v>2</v>
      </c>
      <c r="S49" s="6" t="s">
        <v>5</v>
      </c>
      <c r="T49" s="6" t="s">
        <v>5</v>
      </c>
      <c r="U49" s="6" t="s">
        <v>5</v>
      </c>
      <c r="V49" s="6" t="s">
        <v>5</v>
      </c>
      <c r="W49" s="6" t="s">
        <v>4</v>
      </c>
      <c r="X49" s="6" t="s">
        <v>3</v>
      </c>
      <c r="Y49" s="6" t="s">
        <v>3</v>
      </c>
      <c r="Z49" s="6" t="s">
        <v>3</v>
      </c>
      <c r="AA49" s="6" t="s">
        <v>4</v>
      </c>
      <c r="AB49" s="6" t="s">
        <v>4</v>
      </c>
      <c r="AC49" s="6" t="s">
        <v>4</v>
      </c>
      <c r="AD49" s="6" t="s">
        <v>4</v>
      </c>
      <c r="AE49" s="6" t="s">
        <v>4</v>
      </c>
      <c r="AF49" s="6" t="s">
        <v>4</v>
      </c>
      <c r="AG49" s="6" t="s">
        <v>3</v>
      </c>
      <c r="AH49" s="6" t="s">
        <v>4</v>
      </c>
      <c r="AI49" s="6" t="s">
        <v>4</v>
      </c>
      <c r="AJ49" s="6" t="s">
        <v>4</v>
      </c>
      <c r="AK49" s="6" t="s">
        <v>4</v>
      </c>
      <c r="AL49" s="6" t="s">
        <v>4</v>
      </c>
      <c r="AM49" s="6" t="s">
        <v>3</v>
      </c>
    </row>
    <row r="50" spans="1:39">
      <c r="A50" s="6">
        <f t="shared" si="0"/>
        <v>49</v>
      </c>
      <c r="B50" s="6" t="s">
        <v>465</v>
      </c>
      <c r="C50" s="6">
        <v>3</v>
      </c>
      <c r="D50" s="6" t="s">
        <v>5</v>
      </c>
      <c r="E50" s="6" t="s">
        <v>5</v>
      </c>
      <c r="F50" s="6" t="s">
        <v>5</v>
      </c>
      <c r="G50" s="6" t="s">
        <v>5</v>
      </c>
      <c r="H50" s="6" t="s">
        <v>5</v>
      </c>
      <c r="I50" s="6" t="s">
        <v>5</v>
      </c>
      <c r="J50" s="6" t="s">
        <v>5</v>
      </c>
      <c r="K50" s="6" t="s">
        <v>2</v>
      </c>
      <c r="L50" s="6" t="s">
        <v>2</v>
      </c>
      <c r="M50" s="6" t="s">
        <v>2</v>
      </c>
      <c r="N50" s="6" t="s">
        <v>5</v>
      </c>
      <c r="O50" s="6" t="s">
        <v>2</v>
      </c>
      <c r="P50" s="6" t="s">
        <v>2</v>
      </c>
      <c r="Q50" s="6" t="s">
        <v>2</v>
      </c>
      <c r="R50" s="6" t="s">
        <v>2</v>
      </c>
      <c r="S50" s="6" t="s">
        <v>5</v>
      </c>
      <c r="T50" s="6" t="s">
        <v>5</v>
      </c>
      <c r="U50" s="6" t="s">
        <v>5</v>
      </c>
      <c r="V50" s="6" t="s">
        <v>5</v>
      </c>
      <c r="W50" s="6" t="s">
        <v>3</v>
      </c>
      <c r="X50" s="6" t="s">
        <v>4</v>
      </c>
      <c r="Y50" s="6" t="s">
        <v>4</v>
      </c>
      <c r="Z50" s="6" t="s">
        <v>3</v>
      </c>
      <c r="AA50" s="6" t="s">
        <v>4</v>
      </c>
      <c r="AB50" s="6" t="s">
        <v>3</v>
      </c>
      <c r="AC50" s="6" t="s">
        <v>4</v>
      </c>
      <c r="AD50" s="6" t="s">
        <v>4</v>
      </c>
      <c r="AE50" s="6" t="s">
        <v>4</v>
      </c>
      <c r="AF50" s="6" t="s">
        <v>4</v>
      </c>
      <c r="AG50" s="6" t="s">
        <v>4</v>
      </c>
      <c r="AH50" s="6" t="s">
        <v>4</v>
      </c>
      <c r="AI50" s="6" t="s">
        <v>3</v>
      </c>
      <c r="AJ50" s="6" t="s">
        <v>4</v>
      </c>
      <c r="AK50" s="6" t="s">
        <v>4</v>
      </c>
      <c r="AL50" s="6" t="s">
        <v>4</v>
      </c>
      <c r="AM50" s="6" t="s">
        <v>3</v>
      </c>
    </row>
    <row r="51" spans="1:39">
      <c r="A51" s="6">
        <f t="shared" si="0"/>
        <v>50</v>
      </c>
      <c r="B51" s="6" t="s">
        <v>466</v>
      </c>
      <c r="C51" s="6">
        <v>3</v>
      </c>
      <c r="D51" s="6" t="s">
        <v>5</v>
      </c>
      <c r="E51" s="6" t="s">
        <v>3</v>
      </c>
      <c r="F51" s="6" t="s">
        <v>3</v>
      </c>
      <c r="G51" s="6" t="s">
        <v>5</v>
      </c>
      <c r="H51" s="6" t="s">
        <v>5</v>
      </c>
      <c r="I51" s="6" t="s">
        <v>5</v>
      </c>
      <c r="J51" s="6" t="s">
        <v>5</v>
      </c>
      <c r="K51" s="6" t="s">
        <v>2</v>
      </c>
      <c r="L51" s="6" t="s">
        <v>3</v>
      </c>
      <c r="M51" s="6" t="s">
        <v>3</v>
      </c>
      <c r="N51" s="6" t="s">
        <v>4</v>
      </c>
      <c r="O51" s="6" t="s">
        <v>5</v>
      </c>
      <c r="P51" s="6" t="s">
        <v>2</v>
      </c>
      <c r="Q51" s="6" t="s">
        <v>3</v>
      </c>
      <c r="R51" s="6" t="s">
        <v>5</v>
      </c>
      <c r="S51" s="6" t="s">
        <v>5</v>
      </c>
      <c r="T51" s="6" t="s">
        <v>5</v>
      </c>
      <c r="U51" s="6" t="s">
        <v>5</v>
      </c>
      <c r="V51" s="6" t="s">
        <v>4</v>
      </c>
      <c r="W51" s="6" t="s">
        <v>4</v>
      </c>
      <c r="X51" s="6" t="s">
        <v>4</v>
      </c>
      <c r="Y51" s="6" t="s">
        <v>2</v>
      </c>
      <c r="Z51" s="6" t="s">
        <v>3</v>
      </c>
      <c r="AA51" s="6" t="s">
        <v>4</v>
      </c>
      <c r="AB51" s="6" t="s">
        <v>4</v>
      </c>
      <c r="AC51" s="6" t="s">
        <v>4</v>
      </c>
      <c r="AD51" s="6" t="s">
        <v>4</v>
      </c>
      <c r="AE51" s="6" t="s">
        <v>4</v>
      </c>
      <c r="AF51" s="6" t="s">
        <v>4</v>
      </c>
      <c r="AG51" s="6" t="s">
        <v>3</v>
      </c>
      <c r="AH51" s="6" t="s">
        <v>4</v>
      </c>
      <c r="AI51" s="6" t="s">
        <v>3</v>
      </c>
      <c r="AJ51" s="6" t="s">
        <v>4</v>
      </c>
      <c r="AK51" s="6" t="s">
        <v>4</v>
      </c>
      <c r="AL51" s="6" t="s">
        <v>4</v>
      </c>
      <c r="AM51" s="6" t="s">
        <v>4</v>
      </c>
    </row>
    <row r="52" spans="1:39">
      <c r="A52" s="6">
        <f t="shared" si="0"/>
        <v>51</v>
      </c>
      <c r="B52" s="6" t="s">
        <v>493</v>
      </c>
      <c r="C52" s="6">
        <v>3</v>
      </c>
      <c r="D52" s="6" t="s">
        <v>2</v>
      </c>
      <c r="E52" s="6" t="s">
        <v>5</v>
      </c>
      <c r="F52" s="6" t="s">
        <v>3</v>
      </c>
      <c r="G52" s="6" t="s">
        <v>2</v>
      </c>
      <c r="H52" s="6" t="s">
        <v>5</v>
      </c>
      <c r="I52" s="6" t="s">
        <v>5</v>
      </c>
      <c r="J52" s="6" t="s">
        <v>5</v>
      </c>
      <c r="K52" s="6" t="s">
        <v>2</v>
      </c>
      <c r="L52" s="6" t="s">
        <v>3</v>
      </c>
      <c r="M52" s="6" t="s">
        <v>4</v>
      </c>
      <c r="N52" s="6" t="s">
        <v>4</v>
      </c>
      <c r="O52" s="6" t="s">
        <v>5</v>
      </c>
      <c r="P52" s="6" t="s">
        <v>5</v>
      </c>
      <c r="Q52" s="6" t="s">
        <v>4</v>
      </c>
      <c r="R52" s="6" t="s">
        <v>5</v>
      </c>
      <c r="S52" s="6" t="s">
        <v>5</v>
      </c>
      <c r="T52" s="6" t="s">
        <v>5</v>
      </c>
      <c r="U52" s="6" t="s">
        <v>5</v>
      </c>
      <c r="V52" s="6" t="s">
        <v>5</v>
      </c>
      <c r="W52" s="6" t="s">
        <v>4</v>
      </c>
      <c r="X52" s="6" t="s">
        <v>4</v>
      </c>
      <c r="Y52" s="6" t="s">
        <v>4</v>
      </c>
      <c r="Z52" s="6" t="s">
        <v>4</v>
      </c>
      <c r="AA52" s="6" t="s">
        <v>4</v>
      </c>
      <c r="AB52" s="6" t="s">
        <v>4</v>
      </c>
      <c r="AC52" s="6" t="s">
        <v>4</v>
      </c>
      <c r="AD52" s="6" t="s">
        <v>4</v>
      </c>
      <c r="AE52" s="6" t="s">
        <v>4</v>
      </c>
      <c r="AF52" s="6" t="s">
        <v>4</v>
      </c>
      <c r="AG52" s="6" t="s">
        <v>4</v>
      </c>
      <c r="AH52" s="6" t="s">
        <v>4</v>
      </c>
      <c r="AI52" s="6" t="s">
        <v>3</v>
      </c>
      <c r="AJ52" s="6" t="s">
        <v>4</v>
      </c>
      <c r="AK52" s="6" t="s">
        <v>4</v>
      </c>
      <c r="AL52" s="6" t="s">
        <v>3</v>
      </c>
      <c r="AM52" s="6" t="s">
        <v>4</v>
      </c>
    </row>
    <row r="53" spans="1:39">
      <c r="A53" s="6">
        <f t="shared" si="0"/>
        <v>52</v>
      </c>
      <c r="B53" s="6" t="s">
        <v>319</v>
      </c>
      <c r="C53" s="6">
        <v>3</v>
      </c>
      <c r="D53" s="6" t="s">
        <v>2</v>
      </c>
      <c r="E53" s="6" t="s">
        <v>3</v>
      </c>
      <c r="F53" s="6" t="s">
        <v>3</v>
      </c>
      <c r="G53" s="6" t="s">
        <v>2</v>
      </c>
      <c r="H53" s="6" t="s">
        <v>5</v>
      </c>
      <c r="I53" s="6" t="s">
        <v>5</v>
      </c>
      <c r="J53" s="6" t="s">
        <v>5</v>
      </c>
      <c r="K53" s="6" t="s">
        <v>2</v>
      </c>
      <c r="L53" s="6" t="s">
        <v>3</v>
      </c>
      <c r="M53" s="6" t="s">
        <v>3</v>
      </c>
      <c r="N53" s="6" t="s">
        <v>3</v>
      </c>
      <c r="O53" s="6" t="s">
        <v>2</v>
      </c>
      <c r="P53" s="6" t="s">
        <v>5</v>
      </c>
      <c r="Q53" s="6" t="s">
        <v>3</v>
      </c>
      <c r="R53" s="6" t="s">
        <v>3</v>
      </c>
      <c r="S53" s="6" t="s">
        <v>5</v>
      </c>
      <c r="T53" s="6" t="s">
        <v>5</v>
      </c>
      <c r="U53" s="6" t="s">
        <v>5</v>
      </c>
      <c r="V53" s="6" t="s">
        <v>5</v>
      </c>
      <c r="W53" s="6" t="s">
        <v>4</v>
      </c>
      <c r="X53" s="6" t="s">
        <v>3</v>
      </c>
      <c r="Y53" s="6" t="s">
        <v>2</v>
      </c>
      <c r="Z53" s="6" t="s">
        <v>3</v>
      </c>
      <c r="AA53" s="6" t="s">
        <v>4</v>
      </c>
      <c r="AB53" s="6" t="s">
        <v>4</v>
      </c>
      <c r="AC53" s="6" t="s">
        <v>4</v>
      </c>
      <c r="AD53" s="6" t="s">
        <v>4</v>
      </c>
      <c r="AE53" s="6" t="s">
        <v>4</v>
      </c>
      <c r="AF53" s="6" t="s">
        <v>4</v>
      </c>
      <c r="AG53" s="6" t="s">
        <v>3</v>
      </c>
      <c r="AH53" s="6" t="s">
        <v>4</v>
      </c>
      <c r="AI53" s="6" t="s">
        <v>3</v>
      </c>
      <c r="AJ53" s="6" t="s">
        <v>4</v>
      </c>
      <c r="AK53" s="6" t="s">
        <v>4</v>
      </c>
      <c r="AL53" s="6" t="s">
        <v>3</v>
      </c>
      <c r="AM53" s="6" t="s">
        <v>3</v>
      </c>
    </row>
    <row r="54" spans="1:39">
      <c r="A54" s="6">
        <f t="shared" si="0"/>
        <v>53</v>
      </c>
      <c r="B54" s="6" t="s">
        <v>501</v>
      </c>
      <c r="C54" s="6">
        <v>3</v>
      </c>
      <c r="D54" s="6" t="s">
        <v>2</v>
      </c>
      <c r="E54" s="6" t="s">
        <v>3</v>
      </c>
      <c r="F54" s="6" t="s">
        <v>3</v>
      </c>
      <c r="G54" s="6" t="s">
        <v>2</v>
      </c>
      <c r="H54" s="6" t="s">
        <v>5</v>
      </c>
      <c r="I54" s="6" t="s">
        <v>2</v>
      </c>
      <c r="J54" s="6" t="s">
        <v>5</v>
      </c>
      <c r="K54" s="6" t="s">
        <v>2</v>
      </c>
      <c r="L54" s="6" t="s">
        <v>3</v>
      </c>
      <c r="M54" s="6" t="s">
        <v>4</v>
      </c>
      <c r="N54" s="6" t="s">
        <v>4</v>
      </c>
      <c r="O54" s="6" t="s">
        <v>5</v>
      </c>
      <c r="P54" s="6" t="s">
        <v>5</v>
      </c>
      <c r="Q54" s="6" t="s">
        <v>4</v>
      </c>
      <c r="R54" s="6" t="s">
        <v>5</v>
      </c>
      <c r="S54" s="6" t="s">
        <v>5</v>
      </c>
      <c r="T54" s="6" t="s">
        <v>5</v>
      </c>
      <c r="U54" s="6" t="s">
        <v>5</v>
      </c>
      <c r="V54" s="6" t="s">
        <v>5</v>
      </c>
      <c r="W54" s="6" t="s">
        <v>4</v>
      </c>
      <c r="X54" s="6" t="s">
        <v>3</v>
      </c>
      <c r="Y54" s="6" t="s">
        <v>4</v>
      </c>
      <c r="Z54" s="6" t="s">
        <v>4</v>
      </c>
      <c r="AA54" s="6" t="s">
        <v>4</v>
      </c>
      <c r="AB54" s="6" t="s">
        <v>4</v>
      </c>
      <c r="AC54" s="6" t="s">
        <v>4</v>
      </c>
      <c r="AD54" s="6" t="s">
        <v>4</v>
      </c>
      <c r="AE54" s="6" t="s">
        <v>4</v>
      </c>
      <c r="AF54" s="6" t="s">
        <v>4</v>
      </c>
      <c r="AG54" s="6" t="s">
        <v>4</v>
      </c>
      <c r="AH54" s="6" t="s">
        <v>4</v>
      </c>
      <c r="AI54" s="6" t="s">
        <v>3</v>
      </c>
      <c r="AJ54" s="6" t="s">
        <v>4</v>
      </c>
      <c r="AK54" s="6" t="s">
        <v>4</v>
      </c>
      <c r="AL54" s="6" t="s">
        <v>3</v>
      </c>
      <c r="AM54" s="6" t="s">
        <v>4</v>
      </c>
    </row>
    <row r="55" spans="1:39">
      <c r="A55" s="6">
        <f t="shared" si="0"/>
        <v>54</v>
      </c>
      <c r="B55" s="6" t="s">
        <v>320</v>
      </c>
      <c r="C55" s="6">
        <v>3</v>
      </c>
      <c r="D55" s="6" t="s">
        <v>2</v>
      </c>
      <c r="E55" s="6" t="s">
        <v>3</v>
      </c>
      <c r="F55" s="6" t="s">
        <v>3</v>
      </c>
      <c r="G55" s="6" t="s">
        <v>5</v>
      </c>
      <c r="H55" s="6" t="s">
        <v>5</v>
      </c>
      <c r="I55" s="6" t="s">
        <v>5</v>
      </c>
      <c r="J55" s="6" t="s">
        <v>2</v>
      </c>
      <c r="K55" s="6" t="s">
        <v>2</v>
      </c>
      <c r="L55" s="6" t="s">
        <v>3</v>
      </c>
      <c r="M55" s="6" t="s">
        <v>3</v>
      </c>
      <c r="N55" s="6" t="s">
        <v>4</v>
      </c>
      <c r="O55" s="6" t="s">
        <v>5</v>
      </c>
      <c r="P55" s="6" t="s">
        <v>2</v>
      </c>
      <c r="Q55" s="6" t="s">
        <v>3</v>
      </c>
      <c r="R55" s="6" t="s">
        <v>2</v>
      </c>
      <c r="S55" s="6" t="s">
        <v>5</v>
      </c>
      <c r="T55" s="6" t="s">
        <v>5</v>
      </c>
      <c r="U55" s="6" t="s">
        <v>5</v>
      </c>
      <c r="V55" s="6" t="s">
        <v>5</v>
      </c>
      <c r="W55" s="6" t="s">
        <v>4</v>
      </c>
      <c r="X55" s="6" t="s">
        <v>3</v>
      </c>
      <c r="Y55" s="6" t="s">
        <v>3</v>
      </c>
      <c r="Z55" s="6" t="s">
        <v>3</v>
      </c>
      <c r="AA55" s="6" t="s">
        <v>4</v>
      </c>
      <c r="AB55" s="6" t="s">
        <v>4</v>
      </c>
      <c r="AC55" s="6" t="s">
        <v>4</v>
      </c>
      <c r="AD55" s="6" t="s">
        <v>4</v>
      </c>
      <c r="AE55" s="6" t="s">
        <v>4</v>
      </c>
      <c r="AF55" s="6" t="s">
        <v>4</v>
      </c>
      <c r="AG55" s="6" t="s">
        <v>3</v>
      </c>
      <c r="AH55" s="6" t="s">
        <v>4</v>
      </c>
      <c r="AI55" s="6" t="s">
        <v>3</v>
      </c>
      <c r="AJ55" s="6" t="s">
        <v>4</v>
      </c>
      <c r="AK55" s="6" t="s">
        <v>4</v>
      </c>
      <c r="AL55" s="6" t="s">
        <v>3</v>
      </c>
      <c r="AM55" s="6" t="s">
        <v>3</v>
      </c>
    </row>
    <row r="56" spans="1:39">
      <c r="A56" s="6">
        <f t="shared" si="0"/>
        <v>55</v>
      </c>
      <c r="B56" s="6" t="s">
        <v>467</v>
      </c>
      <c r="C56" s="6">
        <v>3</v>
      </c>
      <c r="D56" s="6" t="s">
        <v>2</v>
      </c>
      <c r="E56" s="6" t="s">
        <v>5</v>
      </c>
      <c r="F56" s="6" t="s">
        <v>3</v>
      </c>
      <c r="G56" s="6" t="s">
        <v>3</v>
      </c>
      <c r="H56" s="6" t="s">
        <v>5</v>
      </c>
      <c r="I56" s="6" t="s">
        <v>5</v>
      </c>
      <c r="J56" s="6" t="s">
        <v>2</v>
      </c>
      <c r="K56" s="6" t="s">
        <v>2</v>
      </c>
      <c r="L56" s="6" t="s">
        <v>3</v>
      </c>
      <c r="M56" s="6" t="s">
        <v>4</v>
      </c>
      <c r="N56" s="6" t="s">
        <v>4</v>
      </c>
      <c r="O56" s="6" t="s">
        <v>5</v>
      </c>
      <c r="P56" s="6" t="s">
        <v>3</v>
      </c>
      <c r="Q56" s="6" t="s">
        <v>3</v>
      </c>
      <c r="R56" s="6" t="s">
        <v>2</v>
      </c>
      <c r="S56" s="6" t="s">
        <v>5</v>
      </c>
      <c r="T56" s="6" t="s">
        <v>3</v>
      </c>
      <c r="U56" s="6" t="s">
        <v>2</v>
      </c>
      <c r="V56" s="6" t="s">
        <v>5</v>
      </c>
      <c r="W56" s="6" t="s">
        <v>4</v>
      </c>
      <c r="X56" s="6" t="s">
        <v>3</v>
      </c>
      <c r="Y56" s="6" t="s">
        <v>2</v>
      </c>
      <c r="Z56" s="6" t="s">
        <v>3</v>
      </c>
      <c r="AA56" s="6" t="s">
        <v>4</v>
      </c>
      <c r="AB56" s="6" t="s">
        <v>4</v>
      </c>
      <c r="AC56" s="6" t="s">
        <v>4</v>
      </c>
      <c r="AD56" s="6" t="s">
        <v>4</v>
      </c>
      <c r="AE56" s="6" t="s">
        <v>4</v>
      </c>
      <c r="AF56" s="6" t="s">
        <v>4</v>
      </c>
      <c r="AG56" s="6" t="s">
        <v>3</v>
      </c>
      <c r="AH56" s="6" t="s">
        <v>4</v>
      </c>
      <c r="AI56" s="6" t="s">
        <v>3</v>
      </c>
      <c r="AJ56" s="6" t="s">
        <v>4</v>
      </c>
      <c r="AK56" s="6" t="s">
        <v>4</v>
      </c>
      <c r="AL56" s="6" t="s">
        <v>4</v>
      </c>
      <c r="AM56" s="6" t="s">
        <v>3</v>
      </c>
    </row>
    <row r="57" spans="1:39">
      <c r="A57" s="6">
        <f t="shared" si="0"/>
        <v>56</v>
      </c>
      <c r="B57" s="6" t="s">
        <v>468</v>
      </c>
      <c r="C57" s="6">
        <v>3</v>
      </c>
      <c r="D57" s="6" t="s">
        <v>4</v>
      </c>
      <c r="E57" s="6" t="s">
        <v>3</v>
      </c>
      <c r="F57" s="6" t="s">
        <v>5</v>
      </c>
      <c r="G57" s="6" t="s">
        <v>5</v>
      </c>
      <c r="H57" s="6" t="s">
        <v>5</v>
      </c>
      <c r="I57" s="6" t="s">
        <v>5</v>
      </c>
      <c r="J57" s="6" t="s">
        <v>5</v>
      </c>
      <c r="K57" s="6" t="s">
        <v>2</v>
      </c>
      <c r="L57" s="6" t="s">
        <v>3</v>
      </c>
      <c r="M57" s="6" t="s">
        <v>3</v>
      </c>
      <c r="N57" s="6" t="s">
        <v>2</v>
      </c>
      <c r="O57" s="6" t="s">
        <v>2</v>
      </c>
      <c r="P57" s="6" t="s">
        <v>5</v>
      </c>
      <c r="Q57" s="6" t="s">
        <v>3</v>
      </c>
      <c r="R57" s="6" t="s">
        <v>2</v>
      </c>
      <c r="S57" s="6" t="s">
        <v>2</v>
      </c>
      <c r="T57" s="6" t="s">
        <v>5</v>
      </c>
      <c r="U57" s="6" t="s">
        <v>5</v>
      </c>
      <c r="V57" s="6" t="s">
        <v>5</v>
      </c>
      <c r="W57" s="6" t="s">
        <v>3</v>
      </c>
      <c r="X57" s="6" t="s">
        <v>5</v>
      </c>
      <c r="Y57" s="6" t="s">
        <v>5</v>
      </c>
      <c r="Z57" s="6" t="s">
        <v>4</v>
      </c>
      <c r="AA57" s="6" t="s">
        <v>4</v>
      </c>
      <c r="AB57" s="6" t="s">
        <v>4</v>
      </c>
      <c r="AC57" s="6" t="s">
        <v>4</v>
      </c>
      <c r="AD57" s="6" t="s">
        <v>4</v>
      </c>
      <c r="AE57" s="6" t="s">
        <v>4</v>
      </c>
      <c r="AF57" s="6" t="s">
        <v>4</v>
      </c>
      <c r="AG57" s="6" t="s">
        <v>3</v>
      </c>
      <c r="AH57" s="6" t="s">
        <v>4</v>
      </c>
      <c r="AI57" s="6" t="s">
        <v>3</v>
      </c>
      <c r="AJ57" s="6" t="s">
        <v>4</v>
      </c>
      <c r="AK57" s="6" t="s">
        <v>4</v>
      </c>
      <c r="AL57" s="6" t="s">
        <v>3</v>
      </c>
      <c r="AM57" s="6" t="s">
        <v>3</v>
      </c>
    </row>
    <row r="58" spans="1:39">
      <c r="A58" s="6">
        <f t="shared" si="0"/>
        <v>57</v>
      </c>
      <c r="B58" s="6" t="s">
        <v>492</v>
      </c>
      <c r="C58" s="6">
        <v>3</v>
      </c>
      <c r="D58" s="6" t="s">
        <v>5</v>
      </c>
      <c r="E58" s="6" t="s">
        <v>4</v>
      </c>
      <c r="F58" s="6" t="s">
        <v>4</v>
      </c>
      <c r="G58" s="6" t="s">
        <v>5</v>
      </c>
      <c r="H58" s="6" t="s">
        <v>5</v>
      </c>
      <c r="I58" s="6" t="s">
        <v>5</v>
      </c>
      <c r="J58" s="6" t="s">
        <v>5</v>
      </c>
      <c r="K58" s="6" t="s">
        <v>2</v>
      </c>
      <c r="L58" s="6" t="s">
        <v>2</v>
      </c>
      <c r="M58" s="6" t="s">
        <v>3</v>
      </c>
      <c r="N58" s="6" t="s">
        <v>4</v>
      </c>
      <c r="O58" s="6" t="s">
        <v>2</v>
      </c>
      <c r="P58" s="6" t="s">
        <v>2</v>
      </c>
      <c r="Q58" s="6" t="s">
        <v>2</v>
      </c>
      <c r="R58" s="6" t="s">
        <v>5</v>
      </c>
      <c r="S58" s="6" t="s">
        <v>5</v>
      </c>
      <c r="T58" s="6" t="s">
        <v>3</v>
      </c>
      <c r="U58" s="6" t="s">
        <v>3</v>
      </c>
      <c r="V58" s="6" t="s">
        <v>2</v>
      </c>
      <c r="W58" s="6" t="s">
        <v>4</v>
      </c>
      <c r="X58" s="6" t="s">
        <v>5</v>
      </c>
      <c r="Y58" s="6" t="s">
        <v>3</v>
      </c>
      <c r="Z58" s="6" t="s">
        <v>3</v>
      </c>
      <c r="AA58" s="6" t="s">
        <v>3</v>
      </c>
      <c r="AB58" s="6" t="s">
        <v>3</v>
      </c>
      <c r="AC58" s="6" t="s">
        <v>4</v>
      </c>
      <c r="AD58" s="6" t="s">
        <v>4</v>
      </c>
      <c r="AE58" s="6" t="s">
        <v>4</v>
      </c>
      <c r="AF58" s="6" t="s">
        <v>4</v>
      </c>
      <c r="AG58" s="6" t="s">
        <v>3</v>
      </c>
      <c r="AH58" s="6" t="s">
        <v>4</v>
      </c>
      <c r="AI58" s="6" t="s">
        <v>4</v>
      </c>
      <c r="AJ58" s="6" t="s">
        <v>4</v>
      </c>
      <c r="AK58" s="6" t="s">
        <v>4</v>
      </c>
      <c r="AL58" s="6" t="s">
        <v>4</v>
      </c>
      <c r="AM58" s="6" t="s">
        <v>3</v>
      </c>
    </row>
    <row r="59" spans="1:39">
      <c r="A59" s="6">
        <f t="shared" si="0"/>
        <v>58</v>
      </c>
      <c r="B59" s="6" t="s">
        <v>23</v>
      </c>
      <c r="C59" s="6">
        <v>4</v>
      </c>
      <c r="D59" s="6" t="s">
        <v>3</v>
      </c>
      <c r="E59" s="6" t="s">
        <v>3</v>
      </c>
      <c r="F59" s="6" t="s">
        <v>4</v>
      </c>
      <c r="G59" s="6" t="s">
        <v>2</v>
      </c>
      <c r="H59" s="6" t="s">
        <v>5</v>
      </c>
      <c r="I59" s="6" t="s">
        <v>5</v>
      </c>
      <c r="J59" s="6" t="s">
        <v>5</v>
      </c>
      <c r="K59" s="6" t="s">
        <v>2</v>
      </c>
      <c r="L59" s="6" t="s">
        <v>2</v>
      </c>
      <c r="M59" s="6" t="s">
        <v>2</v>
      </c>
      <c r="N59" s="6" t="s">
        <v>5</v>
      </c>
      <c r="O59" s="6" t="s">
        <v>2</v>
      </c>
      <c r="P59" s="6" t="s">
        <v>5</v>
      </c>
      <c r="Q59" s="6" t="s">
        <v>3</v>
      </c>
      <c r="R59" s="6" t="s">
        <v>3</v>
      </c>
      <c r="S59" s="6" t="s">
        <v>5</v>
      </c>
      <c r="T59" s="6" t="s">
        <v>5</v>
      </c>
      <c r="U59" s="6" t="s">
        <v>5</v>
      </c>
      <c r="V59" s="6" t="s">
        <v>5</v>
      </c>
      <c r="W59" s="6" t="s">
        <v>4</v>
      </c>
      <c r="X59" s="6" t="s">
        <v>4</v>
      </c>
      <c r="Y59" s="6" t="s">
        <v>2</v>
      </c>
      <c r="Z59" s="6" t="s">
        <v>3</v>
      </c>
      <c r="AA59" s="6" t="s">
        <v>4</v>
      </c>
      <c r="AB59" s="6" t="s">
        <v>4</v>
      </c>
      <c r="AC59" s="6" t="s">
        <v>4</v>
      </c>
      <c r="AD59" s="6" t="s">
        <v>4</v>
      </c>
      <c r="AE59" s="6" t="s">
        <v>4</v>
      </c>
      <c r="AF59" s="6" t="s">
        <v>4</v>
      </c>
      <c r="AG59" s="6" t="s">
        <v>3</v>
      </c>
      <c r="AH59" s="6" t="s">
        <v>4</v>
      </c>
      <c r="AI59" s="6" t="s">
        <v>3</v>
      </c>
      <c r="AJ59" s="6" t="s">
        <v>3</v>
      </c>
      <c r="AK59" s="6" t="s">
        <v>4</v>
      </c>
      <c r="AL59" s="6" t="s">
        <v>3</v>
      </c>
      <c r="AM59" s="6" t="s">
        <v>3</v>
      </c>
    </row>
    <row r="60" spans="1:39">
      <c r="A60" s="6">
        <f t="shared" si="0"/>
        <v>59</v>
      </c>
      <c r="B60" s="6" t="s">
        <v>24</v>
      </c>
      <c r="C60" s="6">
        <v>4</v>
      </c>
      <c r="D60" s="6" t="s">
        <v>5</v>
      </c>
      <c r="E60" s="6" t="s">
        <v>3</v>
      </c>
      <c r="F60" s="6" t="s">
        <v>3</v>
      </c>
      <c r="G60" s="6" t="s">
        <v>5</v>
      </c>
      <c r="H60" s="6" t="s">
        <v>5</v>
      </c>
      <c r="I60" s="6" t="s">
        <v>5</v>
      </c>
      <c r="J60" s="6" t="s">
        <v>5</v>
      </c>
      <c r="K60" s="6" t="s">
        <v>2</v>
      </c>
      <c r="L60" s="6" t="s">
        <v>2</v>
      </c>
      <c r="M60" s="6" t="s">
        <v>5</v>
      </c>
      <c r="N60" s="6" t="s">
        <v>3</v>
      </c>
      <c r="O60" s="6" t="s">
        <v>4</v>
      </c>
      <c r="P60" s="6" t="s">
        <v>5</v>
      </c>
      <c r="Q60" s="6" t="s">
        <v>3</v>
      </c>
      <c r="R60" s="6" t="s">
        <v>5</v>
      </c>
      <c r="S60" s="6" t="s">
        <v>5</v>
      </c>
      <c r="T60" s="6" t="s">
        <v>5</v>
      </c>
      <c r="U60" s="6" t="s">
        <v>5</v>
      </c>
      <c r="V60" s="6" t="s">
        <v>5</v>
      </c>
      <c r="W60" s="6" t="s">
        <v>4</v>
      </c>
      <c r="X60" s="6" t="s">
        <v>4</v>
      </c>
      <c r="Y60" s="6" t="s">
        <v>4</v>
      </c>
      <c r="Z60" s="6" t="s">
        <v>3</v>
      </c>
      <c r="AA60" s="6" t="s">
        <v>4</v>
      </c>
      <c r="AB60" s="6" t="s">
        <v>4</v>
      </c>
      <c r="AC60" s="6" t="s">
        <v>4</v>
      </c>
      <c r="AD60" s="6" t="s">
        <v>4</v>
      </c>
      <c r="AE60" s="6" t="s">
        <v>4</v>
      </c>
      <c r="AF60" s="6" t="s">
        <v>4</v>
      </c>
      <c r="AG60" s="6" t="s">
        <v>3</v>
      </c>
      <c r="AH60" s="6" t="s">
        <v>4</v>
      </c>
      <c r="AI60" s="6" t="s">
        <v>3</v>
      </c>
      <c r="AJ60" s="6" t="s">
        <v>4</v>
      </c>
      <c r="AK60" s="6" t="s">
        <v>4</v>
      </c>
      <c r="AL60" s="6" t="s">
        <v>4</v>
      </c>
      <c r="AM60" s="6" t="s">
        <v>3</v>
      </c>
    </row>
    <row r="61" spans="1:39">
      <c r="A61" s="6">
        <f t="shared" si="0"/>
        <v>60</v>
      </c>
      <c r="B61" s="6" t="s">
        <v>25</v>
      </c>
      <c r="C61" s="6">
        <v>4</v>
      </c>
      <c r="D61" s="6" t="s">
        <v>5</v>
      </c>
      <c r="E61" s="6" t="s">
        <v>5</v>
      </c>
      <c r="F61" s="6" t="s">
        <v>5</v>
      </c>
      <c r="G61" s="6" t="s">
        <v>5</v>
      </c>
      <c r="H61" s="6" t="s">
        <v>5</v>
      </c>
      <c r="I61" s="6" t="s">
        <v>5</v>
      </c>
      <c r="J61" s="6" t="s">
        <v>5</v>
      </c>
      <c r="K61" s="6" t="s">
        <v>2</v>
      </c>
      <c r="L61" s="6" t="s">
        <v>5</v>
      </c>
      <c r="M61" s="6" t="s">
        <v>5</v>
      </c>
      <c r="N61" s="6" t="s">
        <v>3</v>
      </c>
      <c r="O61" s="6" t="s">
        <v>5</v>
      </c>
      <c r="P61" s="6" t="s">
        <v>5</v>
      </c>
      <c r="Q61" s="6" t="s">
        <v>2</v>
      </c>
      <c r="R61" s="6" t="s">
        <v>2</v>
      </c>
      <c r="S61" s="6" t="s">
        <v>5</v>
      </c>
      <c r="T61" s="6" t="s">
        <v>5</v>
      </c>
      <c r="U61" s="6" t="s">
        <v>5</v>
      </c>
      <c r="V61" s="6" t="s">
        <v>5</v>
      </c>
      <c r="W61" s="6" t="s">
        <v>4</v>
      </c>
      <c r="X61" s="6" t="s">
        <v>3</v>
      </c>
      <c r="Y61" s="6" t="s">
        <v>2</v>
      </c>
      <c r="Z61" s="6" t="s">
        <v>3</v>
      </c>
      <c r="AA61" s="6" t="s">
        <v>4</v>
      </c>
      <c r="AB61" s="6" t="s">
        <v>4</v>
      </c>
      <c r="AC61" s="6" t="s">
        <v>4</v>
      </c>
      <c r="AD61" s="6" t="s">
        <v>4</v>
      </c>
      <c r="AE61" s="6" t="s">
        <v>4</v>
      </c>
      <c r="AF61" s="6" t="s">
        <v>4</v>
      </c>
      <c r="AG61" s="6" t="s">
        <v>3</v>
      </c>
      <c r="AH61" s="6" t="s">
        <v>4</v>
      </c>
      <c r="AI61" s="6" t="s">
        <v>3</v>
      </c>
      <c r="AJ61" s="6" t="s">
        <v>4</v>
      </c>
      <c r="AK61" s="6" t="s">
        <v>4</v>
      </c>
      <c r="AL61" s="6" t="s">
        <v>3</v>
      </c>
      <c r="AM61" s="6" t="s">
        <v>3</v>
      </c>
    </row>
    <row r="62" spans="1:39">
      <c r="A62" s="6">
        <f t="shared" si="0"/>
        <v>61</v>
      </c>
      <c r="B62" s="6" t="s">
        <v>26</v>
      </c>
      <c r="C62" s="6">
        <v>4</v>
      </c>
      <c r="D62" s="6" t="s">
        <v>3</v>
      </c>
      <c r="E62" s="6" t="s">
        <v>3</v>
      </c>
      <c r="F62" s="6" t="s">
        <v>3</v>
      </c>
      <c r="G62" s="6" t="s">
        <v>5</v>
      </c>
      <c r="H62" s="6" t="s">
        <v>5</v>
      </c>
      <c r="I62" s="6" t="s">
        <v>5</v>
      </c>
      <c r="J62" s="6" t="s">
        <v>5</v>
      </c>
      <c r="K62" s="6" t="s">
        <v>2</v>
      </c>
      <c r="L62" s="6" t="s">
        <v>2</v>
      </c>
      <c r="M62" s="6" t="s">
        <v>4</v>
      </c>
      <c r="N62" s="6" t="s">
        <v>4</v>
      </c>
      <c r="O62" s="6" t="s">
        <v>5</v>
      </c>
      <c r="P62" s="6" t="s">
        <v>5</v>
      </c>
      <c r="Q62" s="6" t="s">
        <v>3</v>
      </c>
      <c r="R62" s="6" t="s">
        <v>2</v>
      </c>
      <c r="S62" s="6" t="s">
        <v>5</v>
      </c>
      <c r="T62" s="6" t="s">
        <v>5</v>
      </c>
      <c r="U62" s="6" t="s">
        <v>5</v>
      </c>
      <c r="V62" s="6" t="s">
        <v>4</v>
      </c>
      <c r="W62" s="6" t="s">
        <v>4</v>
      </c>
      <c r="X62" s="6" t="s">
        <v>3</v>
      </c>
      <c r="Y62" s="6" t="s">
        <v>4</v>
      </c>
      <c r="Z62" s="6" t="s">
        <v>3</v>
      </c>
      <c r="AA62" s="6" t="s">
        <v>4</v>
      </c>
      <c r="AB62" s="6" t="s">
        <v>4</v>
      </c>
      <c r="AC62" s="6" t="s">
        <v>4</v>
      </c>
      <c r="AD62" s="6" t="s">
        <v>4</v>
      </c>
      <c r="AE62" s="6" t="s">
        <v>4</v>
      </c>
      <c r="AF62" s="6" t="s">
        <v>3</v>
      </c>
      <c r="AG62" s="6" t="s">
        <v>3</v>
      </c>
      <c r="AH62" s="6" t="s">
        <v>4</v>
      </c>
      <c r="AI62" s="6" t="s">
        <v>3</v>
      </c>
      <c r="AJ62" s="6" t="s">
        <v>4</v>
      </c>
      <c r="AK62" s="6" t="s">
        <v>4</v>
      </c>
      <c r="AL62" s="6" t="s">
        <v>4</v>
      </c>
      <c r="AM62" s="6" t="s">
        <v>3</v>
      </c>
    </row>
    <row r="63" spans="1:39">
      <c r="A63" s="6">
        <f t="shared" si="0"/>
        <v>62</v>
      </c>
      <c r="B63" s="6" t="s">
        <v>27</v>
      </c>
      <c r="C63" s="6">
        <v>4</v>
      </c>
      <c r="D63" s="6" t="s">
        <v>5</v>
      </c>
      <c r="E63" s="6" t="s">
        <v>3</v>
      </c>
      <c r="F63" s="6" t="s">
        <v>4</v>
      </c>
      <c r="G63" s="6" t="s">
        <v>3</v>
      </c>
      <c r="H63" s="6" t="s">
        <v>5</v>
      </c>
      <c r="I63" s="6" t="s">
        <v>5</v>
      </c>
      <c r="J63" s="6" t="s">
        <v>5</v>
      </c>
      <c r="K63" s="6" t="s">
        <v>2</v>
      </c>
      <c r="L63" s="6" t="s">
        <v>3</v>
      </c>
      <c r="M63" s="6" t="s">
        <v>3</v>
      </c>
      <c r="N63" s="6" t="s">
        <v>4</v>
      </c>
      <c r="O63" s="6" t="s">
        <v>5</v>
      </c>
      <c r="P63" s="6" t="s">
        <v>4</v>
      </c>
      <c r="Q63" s="6" t="s">
        <v>2</v>
      </c>
      <c r="R63" s="6" t="s">
        <v>5</v>
      </c>
      <c r="S63" s="6" t="s">
        <v>5</v>
      </c>
      <c r="T63" s="6" t="s">
        <v>5</v>
      </c>
      <c r="U63" s="6" t="s">
        <v>5</v>
      </c>
      <c r="V63" s="6" t="s">
        <v>4</v>
      </c>
      <c r="W63" s="6" t="s">
        <v>4</v>
      </c>
      <c r="X63" s="6" t="s">
        <v>4</v>
      </c>
      <c r="Y63" s="6" t="s">
        <v>2</v>
      </c>
      <c r="Z63" s="6" t="s">
        <v>3</v>
      </c>
      <c r="AA63" s="6" t="s">
        <v>4</v>
      </c>
      <c r="AB63" s="6" t="s">
        <v>4</v>
      </c>
      <c r="AC63" s="6" t="s">
        <v>4</v>
      </c>
      <c r="AD63" s="6" t="s">
        <v>4</v>
      </c>
      <c r="AE63" s="6" t="s">
        <v>4</v>
      </c>
      <c r="AF63" s="6" t="s">
        <v>4</v>
      </c>
      <c r="AG63" s="6" t="s">
        <v>4</v>
      </c>
      <c r="AH63" s="6" t="s">
        <v>4</v>
      </c>
      <c r="AI63" s="6" t="s">
        <v>3</v>
      </c>
      <c r="AJ63" s="6" t="s">
        <v>4</v>
      </c>
      <c r="AK63" s="6" t="s">
        <v>4</v>
      </c>
      <c r="AL63" s="6" t="s">
        <v>4</v>
      </c>
      <c r="AM63" s="6" t="s">
        <v>3</v>
      </c>
    </row>
    <row r="64" spans="1:39">
      <c r="A64" s="6">
        <f t="shared" si="0"/>
        <v>63</v>
      </c>
      <c r="B64" s="6" t="s">
        <v>28</v>
      </c>
      <c r="C64" s="6">
        <v>4</v>
      </c>
      <c r="D64" s="6" t="s">
        <v>5</v>
      </c>
      <c r="E64" s="6" t="s">
        <v>3</v>
      </c>
      <c r="F64" s="6" t="s">
        <v>2</v>
      </c>
      <c r="G64" s="6" t="s">
        <v>5</v>
      </c>
      <c r="H64" s="6" t="s">
        <v>5</v>
      </c>
      <c r="I64" s="6" t="s">
        <v>5</v>
      </c>
      <c r="J64" s="6" t="s">
        <v>2</v>
      </c>
      <c r="K64" s="6" t="s">
        <v>2</v>
      </c>
      <c r="L64" s="6" t="s">
        <v>3</v>
      </c>
      <c r="M64" s="6" t="s">
        <v>3</v>
      </c>
      <c r="N64" s="6" t="s">
        <v>3</v>
      </c>
      <c r="O64" s="6" t="s">
        <v>3</v>
      </c>
      <c r="P64" s="6" t="s">
        <v>2</v>
      </c>
      <c r="Q64" s="6" t="s">
        <v>2</v>
      </c>
      <c r="R64" s="6" t="s">
        <v>2</v>
      </c>
      <c r="S64" s="6" t="s">
        <v>5</v>
      </c>
      <c r="T64" s="6" t="s">
        <v>2</v>
      </c>
      <c r="U64" s="6" t="s">
        <v>2</v>
      </c>
      <c r="V64" s="6" t="s">
        <v>5</v>
      </c>
      <c r="W64" s="6" t="s">
        <v>3</v>
      </c>
      <c r="X64" s="6" t="s">
        <v>2</v>
      </c>
      <c r="Y64" s="6" t="s">
        <v>2</v>
      </c>
      <c r="Z64" s="6" t="s">
        <v>3</v>
      </c>
      <c r="AA64" s="6" t="s">
        <v>4</v>
      </c>
      <c r="AB64" s="6" t="s">
        <v>4</v>
      </c>
      <c r="AC64" s="6" t="s">
        <v>4</v>
      </c>
      <c r="AD64" s="6" t="s">
        <v>4</v>
      </c>
      <c r="AE64" s="6" t="s">
        <v>4</v>
      </c>
      <c r="AF64" s="6" t="s">
        <v>4</v>
      </c>
      <c r="AG64" s="6" t="s">
        <v>3</v>
      </c>
      <c r="AH64" s="6" t="s">
        <v>4</v>
      </c>
      <c r="AI64" s="6" t="s">
        <v>3</v>
      </c>
      <c r="AJ64" s="6" t="s">
        <v>4</v>
      </c>
      <c r="AK64" s="6" t="s">
        <v>4</v>
      </c>
      <c r="AL64" s="6" t="s">
        <v>4</v>
      </c>
      <c r="AM64" s="6" t="s">
        <v>3</v>
      </c>
    </row>
    <row r="65" spans="1:39">
      <c r="A65" s="6">
        <f t="shared" si="0"/>
        <v>64</v>
      </c>
      <c r="B65" s="6" t="s">
        <v>267</v>
      </c>
      <c r="C65" s="6">
        <v>4</v>
      </c>
      <c r="D65" s="6" t="s">
        <v>5</v>
      </c>
      <c r="E65" s="6" t="s">
        <v>3</v>
      </c>
      <c r="F65" s="6" t="s">
        <v>3</v>
      </c>
      <c r="G65" s="6" t="s">
        <v>2</v>
      </c>
      <c r="H65" s="6" t="s">
        <v>5</v>
      </c>
      <c r="I65" s="6" t="s">
        <v>5</v>
      </c>
      <c r="J65" s="6" t="s">
        <v>5</v>
      </c>
      <c r="K65" s="6" t="s">
        <v>2</v>
      </c>
      <c r="L65" s="6" t="s">
        <v>2</v>
      </c>
      <c r="M65" s="6" t="s">
        <v>2</v>
      </c>
      <c r="N65" s="6" t="s">
        <v>3</v>
      </c>
      <c r="O65" s="6" t="s">
        <v>5</v>
      </c>
      <c r="P65" s="6" t="s">
        <v>5</v>
      </c>
      <c r="Q65" s="6" t="s">
        <v>2</v>
      </c>
      <c r="R65" s="6" t="s">
        <v>2</v>
      </c>
      <c r="S65" s="6" t="s">
        <v>5</v>
      </c>
      <c r="T65" s="6" t="s">
        <v>5</v>
      </c>
      <c r="U65" s="6" t="s">
        <v>5</v>
      </c>
      <c r="V65" s="6" t="s">
        <v>5</v>
      </c>
      <c r="W65" s="6" t="s">
        <v>3</v>
      </c>
      <c r="X65" s="6" t="s">
        <v>3</v>
      </c>
      <c r="Y65" s="6" t="s">
        <v>2</v>
      </c>
      <c r="Z65" s="6" t="s">
        <v>3</v>
      </c>
      <c r="AA65" s="6" t="s">
        <v>4</v>
      </c>
      <c r="AB65" s="6" t="s">
        <v>4</v>
      </c>
      <c r="AC65" s="6" t="s">
        <v>4</v>
      </c>
      <c r="AD65" s="6" t="s">
        <v>4</v>
      </c>
      <c r="AE65" s="6" t="s">
        <v>4</v>
      </c>
      <c r="AF65" s="6" t="s">
        <v>3</v>
      </c>
      <c r="AG65" s="6" t="s">
        <v>3</v>
      </c>
      <c r="AH65" s="6" t="s">
        <v>4</v>
      </c>
      <c r="AI65" s="6" t="s">
        <v>3</v>
      </c>
      <c r="AJ65" s="6" t="s">
        <v>4</v>
      </c>
      <c r="AK65" s="6" t="s">
        <v>4</v>
      </c>
      <c r="AL65" s="6" t="s">
        <v>3</v>
      </c>
      <c r="AM65" s="6" t="s">
        <v>3</v>
      </c>
    </row>
    <row r="66" spans="1:39">
      <c r="A66" s="6">
        <f t="shared" si="0"/>
        <v>65</v>
      </c>
      <c r="B66" s="6" t="s">
        <v>268</v>
      </c>
      <c r="C66" s="6">
        <v>4</v>
      </c>
      <c r="D66" s="6" t="s">
        <v>2</v>
      </c>
      <c r="E66" s="6" t="s">
        <v>3</v>
      </c>
      <c r="F66" s="6" t="s">
        <v>3</v>
      </c>
      <c r="G66" s="6" t="s">
        <v>5</v>
      </c>
      <c r="H66" s="6" t="s">
        <v>5</v>
      </c>
      <c r="I66" s="6" t="s">
        <v>5</v>
      </c>
      <c r="J66" s="6" t="s">
        <v>5</v>
      </c>
      <c r="K66" s="6" t="s">
        <v>2</v>
      </c>
      <c r="L66" s="6" t="s">
        <v>2</v>
      </c>
      <c r="M66" s="6" t="s">
        <v>4</v>
      </c>
      <c r="N66" s="6" t="s">
        <v>4</v>
      </c>
      <c r="O66" s="6" t="s">
        <v>4</v>
      </c>
      <c r="P66" s="6" t="s">
        <v>5</v>
      </c>
      <c r="Q66" s="6" t="s">
        <v>3</v>
      </c>
      <c r="R66" s="6" t="s">
        <v>4</v>
      </c>
      <c r="S66" s="6" t="s">
        <v>5</v>
      </c>
      <c r="T66" s="6" t="s">
        <v>5</v>
      </c>
      <c r="U66" s="6" t="s">
        <v>5</v>
      </c>
      <c r="V66" s="6" t="s">
        <v>4</v>
      </c>
      <c r="W66" s="6" t="s">
        <v>4</v>
      </c>
      <c r="X66" s="6" t="s">
        <v>3</v>
      </c>
      <c r="Y66" s="6" t="s">
        <v>2</v>
      </c>
      <c r="Z66" s="6" t="s">
        <v>3</v>
      </c>
      <c r="AA66" s="6" t="s">
        <v>4</v>
      </c>
      <c r="AB66" s="6" t="s">
        <v>4</v>
      </c>
      <c r="AC66" s="6" t="s">
        <v>4</v>
      </c>
      <c r="AD66" s="6" t="s">
        <v>3</v>
      </c>
      <c r="AE66" s="6" t="s">
        <v>4</v>
      </c>
      <c r="AF66" s="6" t="s">
        <v>4</v>
      </c>
      <c r="AG66" s="6" t="s">
        <v>3</v>
      </c>
      <c r="AH66" s="6" t="s">
        <v>4</v>
      </c>
      <c r="AI66" s="6" t="s">
        <v>3</v>
      </c>
      <c r="AJ66" s="6" t="s">
        <v>3</v>
      </c>
      <c r="AK66" s="6" t="s">
        <v>4</v>
      </c>
      <c r="AL66" s="6" t="s">
        <v>4</v>
      </c>
      <c r="AM66" s="6" t="s">
        <v>3</v>
      </c>
    </row>
    <row r="67" spans="1:39">
      <c r="A67" s="6">
        <f t="shared" si="0"/>
        <v>66</v>
      </c>
      <c r="B67" s="6" t="s">
        <v>269</v>
      </c>
      <c r="C67" s="6">
        <v>4</v>
      </c>
      <c r="D67" s="6" t="s">
        <v>3</v>
      </c>
      <c r="E67" s="6" t="s">
        <v>3</v>
      </c>
      <c r="F67" s="6" t="s">
        <v>4</v>
      </c>
      <c r="G67" s="6" t="s">
        <v>2</v>
      </c>
      <c r="H67" s="6" t="s">
        <v>5</v>
      </c>
      <c r="I67" s="6" t="s">
        <v>5</v>
      </c>
      <c r="J67" s="6" t="s">
        <v>5</v>
      </c>
      <c r="K67" s="6" t="s">
        <v>2</v>
      </c>
      <c r="L67" s="6" t="s">
        <v>2</v>
      </c>
      <c r="M67" s="6" t="s">
        <v>2</v>
      </c>
      <c r="N67" s="6" t="s">
        <v>5</v>
      </c>
      <c r="O67" s="6" t="s">
        <v>2</v>
      </c>
      <c r="P67" s="6" t="s">
        <v>5</v>
      </c>
      <c r="Q67" s="6" t="s">
        <v>3</v>
      </c>
      <c r="R67" s="6" t="s">
        <v>3</v>
      </c>
      <c r="S67" s="6" t="s">
        <v>5</v>
      </c>
      <c r="T67" s="6" t="s">
        <v>5</v>
      </c>
      <c r="U67" s="6" t="s">
        <v>5</v>
      </c>
      <c r="V67" s="6" t="s">
        <v>5</v>
      </c>
      <c r="W67" s="6" t="s">
        <v>4</v>
      </c>
      <c r="X67" s="6" t="s">
        <v>4</v>
      </c>
      <c r="Y67" s="6" t="s">
        <v>2</v>
      </c>
      <c r="Z67" s="6" t="s">
        <v>3</v>
      </c>
      <c r="AA67" s="6" t="s">
        <v>4</v>
      </c>
      <c r="AB67" s="6" t="s">
        <v>4</v>
      </c>
      <c r="AC67" s="6" t="s">
        <v>4</v>
      </c>
      <c r="AD67" s="6" t="s">
        <v>3</v>
      </c>
      <c r="AE67" s="6" t="s">
        <v>4</v>
      </c>
      <c r="AF67" s="6" t="s">
        <v>4</v>
      </c>
      <c r="AG67" s="6" t="s">
        <v>3</v>
      </c>
      <c r="AH67" s="6" t="s">
        <v>4</v>
      </c>
      <c r="AI67" s="6" t="s">
        <v>3</v>
      </c>
      <c r="AJ67" s="6" t="s">
        <v>3</v>
      </c>
      <c r="AK67" s="6" t="s">
        <v>4</v>
      </c>
      <c r="AL67" s="6" t="s">
        <v>3</v>
      </c>
      <c r="AM67" s="6" t="s">
        <v>3</v>
      </c>
    </row>
    <row r="68" spans="1:39">
      <c r="A68" s="6">
        <f t="shared" si="0"/>
        <v>67</v>
      </c>
      <c r="B68" s="6" t="s">
        <v>270</v>
      </c>
      <c r="C68" s="6">
        <v>4</v>
      </c>
      <c r="D68" s="6" t="s">
        <v>5</v>
      </c>
      <c r="E68" s="6" t="s">
        <v>3</v>
      </c>
      <c r="F68" s="6" t="s">
        <v>2</v>
      </c>
      <c r="G68" s="6" t="s">
        <v>5</v>
      </c>
      <c r="H68" s="6" t="s">
        <v>5</v>
      </c>
      <c r="I68" s="6" t="s">
        <v>5</v>
      </c>
      <c r="J68" s="6" t="s">
        <v>5</v>
      </c>
      <c r="K68" s="6" t="s">
        <v>2</v>
      </c>
      <c r="L68" s="6" t="s">
        <v>2</v>
      </c>
      <c r="M68" s="6" t="s">
        <v>2</v>
      </c>
      <c r="N68" s="6" t="s">
        <v>3</v>
      </c>
      <c r="O68" s="6" t="s">
        <v>5</v>
      </c>
      <c r="P68" s="6" t="s">
        <v>5</v>
      </c>
      <c r="Q68" s="6" t="s">
        <v>2</v>
      </c>
      <c r="R68" s="6" t="s">
        <v>2</v>
      </c>
      <c r="S68" s="6" t="s">
        <v>5</v>
      </c>
      <c r="T68" s="6" t="s">
        <v>5</v>
      </c>
      <c r="U68" s="6" t="s">
        <v>5</v>
      </c>
      <c r="V68" s="6" t="s">
        <v>5</v>
      </c>
      <c r="W68" s="6" t="s">
        <v>3</v>
      </c>
      <c r="X68" s="6" t="s">
        <v>3</v>
      </c>
      <c r="Y68" s="6" t="s">
        <v>2</v>
      </c>
      <c r="Z68" s="6" t="s">
        <v>3</v>
      </c>
      <c r="AA68" s="6" t="s">
        <v>4</v>
      </c>
      <c r="AB68" s="6" t="s">
        <v>4</v>
      </c>
      <c r="AC68" s="6" t="s">
        <v>4</v>
      </c>
      <c r="AD68" s="6" t="s">
        <v>4</v>
      </c>
      <c r="AE68" s="6" t="s">
        <v>4</v>
      </c>
      <c r="AF68" s="6" t="s">
        <v>3</v>
      </c>
      <c r="AG68" s="6" t="s">
        <v>3</v>
      </c>
      <c r="AH68" s="6" t="s">
        <v>4</v>
      </c>
      <c r="AI68" s="6" t="s">
        <v>3</v>
      </c>
      <c r="AJ68" s="6" t="s">
        <v>3</v>
      </c>
      <c r="AK68" s="6" t="s">
        <v>4</v>
      </c>
      <c r="AL68" s="6" t="s">
        <v>3</v>
      </c>
      <c r="AM68" s="6" t="s">
        <v>3</v>
      </c>
    </row>
    <row r="69" spans="1:39">
      <c r="A69" s="6">
        <f t="shared" si="0"/>
        <v>68</v>
      </c>
      <c r="B69" s="6" t="s">
        <v>469</v>
      </c>
      <c r="C69" s="6">
        <v>4</v>
      </c>
      <c r="D69" s="6" t="s">
        <v>5</v>
      </c>
      <c r="E69" s="6" t="s">
        <v>5</v>
      </c>
      <c r="F69" s="6" t="s">
        <v>2</v>
      </c>
      <c r="G69" s="6" t="s">
        <v>3</v>
      </c>
      <c r="H69" s="6" t="s">
        <v>5</v>
      </c>
      <c r="I69" s="6" t="s">
        <v>5</v>
      </c>
      <c r="J69" s="6" t="s">
        <v>5</v>
      </c>
      <c r="K69" s="6" t="s">
        <v>2</v>
      </c>
      <c r="L69" s="6" t="s">
        <v>3</v>
      </c>
      <c r="M69" s="6" t="s">
        <v>3</v>
      </c>
      <c r="N69" s="6" t="s">
        <v>5</v>
      </c>
      <c r="O69" s="6" t="s">
        <v>2</v>
      </c>
      <c r="P69" s="6" t="s">
        <v>5</v>
      </c>
      <c r="Q69" s="6" t="s">
        <v>3</v>
      </c>
      <c r="R69" s="6" t="s">
        <v>2</v>
      </c>
      <c r="S69" s="6" t="s">
        <v>5</v>
      </c>
      <c r="T69" s="6" t="s">
        <v>5</v>
      </c>
      <c r="U69" s="6" t="s">
        <v>5</v>
      </c>
      <c r="V69" s="6" t="s">
        <v>5</v>
      </c>
      <c r="W69" s="6" t="s">
        <v>3</v>
      </c>
      <c r="X69" s="6" t="s">
        <v>4</v>
      </c>
      <c r="Y69" s="6" t="s">
        <v>4</v>
      </c>
      <c r="Z69" s="6" t="s">
        <v>3</v>
      </c>
      <c r="AA69" s="6" t="s">
        <v>4</v>
      </c>
      <c r="AB69" s="6" t="s">
        <v>4</v>
      </c>
      <c r="AC69" s="6" t="s">
        <v>4</v>
      </c>
      <c r="AD69" s="6" t="s">
        <v>4</v>
      </c>
      <c r="AE69" s="6" t="s">
        <v>4</v>
      </c>
      <c r="AF69" s="6" t="s">
        <v>4</v>
      </c>
      <c r="AG69" s="6" t="s">
        <v>3</v>
      </c>
      <c r="AH69" s="6" t="s">
        <v>4</v>
      </c>
      <c r="AI69" s="6" t="s">
        <v>3</v>
      </c>
      <c r="AJ69" s="6" t="s">
        <v>4</v>
      </c>
      <c r="AK69" s="6" t="s">
        <v>4</v>
      </c>
      <c r="AL69" s="6" t="s">
        <v>3</v>
      </c>
      <c r="AM69" s="6" t="s">
        <v>3</v>
      </c>
    </row>
    <row r="70" spans="1:39">
      <c r="A70" s="6">
        <f t="shared" si="0"/>
        <v>69</v>
      </c>
      <c r="B70" s="6" t="s">
        <v>470</v>
      </c>
      <c r="C70" s="6">
        <v>4</v>
      </c>
      <c r="D70" s="6" t="s">
        <v>5</v>
      </c>
      <c r="E70" s="6" t="s">
        <v>5</v>
      </c>
      <c r="F70" s="6" t="s">
        <v>5</v>
      </c>
      <c r="G70" s="6" t="s">
        <v>5</v>
      </c>
      <c r="H70" s="6" t="s">
        <v>5</v>
      </c>
      <c r="I70" s="6" t="s">
        <v>5</v>
      </c>
      <c r="J70" s="6" t="s">
        <v>5</v>
      </c>
      <c r="K70" s="6" t="s">
        <v>2</v>
      </c>
      <c r="L70" s="6" t="s">
        <v>2</v>
      </c>
      <c r="M70" s="6" t="s">
        <v>2</v>
      </c>
      <c r="N70" s="6" t="s">
        <v>3</v>
      </c>
      <c r="O70" s="6" t="s">
        <v>3</v>
      </c>
      <c r="P70" s="6" t="s">
        <v>5</v>
      </c>
      <c r="Q70" s="6" t="s">
        <v>3</v>
      </c>
      <c r="R70" s="6" t="s">
        <v>3</v>
      </c>
      <c r="S70" s="6" t="s">
        <v>5</v>
      </c>
      <c r="T70" s="6" t="s">
        <v>5</v>
      </c>
      <c r="U70" s="6" t="s">
        <v>5</v>
      </c>
      <c r="V70" s="6" t="s">
        <v>5</v>
      </c>
      <c r="W70" s="6" t="s">
        <v>4</v>
      </c>
      <c r="X70" s="6" t="s">
        <v>4</v>
      </c>
      <c r="Y70" s="6" t="s">
        <v>2</v>
      </c>
      <c r="Z70" s="6" t="s">
        <v>3</v>
      </c>
      <c r="AA70" s="6" t="s">
        <v>3</v>
      </c>
      <c r="AB70" s="6" t="s">
        <v>3</v>
      </c>
      <c r="AC70" s="6" t="s">
        <v>4</v>
      </c>
      <c r="AD70" s="6" t="s">
        <v>4</v>
      </c>
      <c r="AE70" s="6" t="s">
        <v>4</v>
      </c>
      <c r="AF70" s="6" t="s">
        <v>4</v>
      </c>
      <c r="AG70" s="6" t="s">
        <v>3</v>
      </c>
      <c r="AH70" s="6" t="s">
        <v>4</v>
      </c>
      <c r="AI70" s="6" t="s">
        <v>3</v>
      </c>
      <c r="AJ70" s="6" t="s">
        <v>3</v>
      </c>
      <c r="AK70" s="6" t="s">
        <v>4</v>
      </c>
      <c r="AL70" s="6" t="s">
        <v>4</v>
      </c>
      <c r="AM70" s="6" t="s">
        <v>3</v>
      </c>
    </row>
    <row r="71" spans="1:39">
      <c r="A71" s="6">
        <f t="shared" si="0"/>
        <v>70</v>
      </c>
      <c r="B71" s="6" t="s">
        <v>487</v>
      </c>
      <c r="C71" s="6">
        <v>4</v>
      </c>
      <c r="D71" s="6" t="s">
        <v>5</v>
      </c>
      <c r="E71" s="6" t="s">
        <v>5</v>
      </c>
      <c r="F71" s="6" t="s">
        <v>4</v>
      </c>
      <c r="G71" s="6" t="s">
        <v>5</v>
      </c>
      <c r="H71" s="6" t="s">
        <v>5</v>
      </c>
      <c r="I71" s="6" t="s">
        <v>5</v>
      </c>
      <c r="J71" s="6" t="s">
        <v>5</v>
      </c>
      <c r="K71" s="6" t="s">
        <v>2</v>
      </c>
      <c r="L71" s="6" t="s">
        <v>2</v>
      </c>
      <c r="M71" s="6" t="s">
        <v>4</v>
      </c>
      <c r="N71" s="6" t="s">
        <v>4</v>
      </c>
      <c r="O71" s="6" t="s">
        <v>4</v>
      </c>
      <c r="P71" s="6" t="s">
        <v>5</v>
      </c>
      <c r="Q71" s="6" t="s">
        <v>4</v>
      </c>
      <c r="R71" s="6" t="s">
        <v>5</v>
      </c>
      <c r="S71" s="6" t="s">
        <v>5</v>
      </c>
      <c r="T71" s="6" t="s">
        <v>3</v>
      </c>
      <c r="U71" s="6" t="s">
        <v>5</v>
      </c>
      <c r="V71" s="6" t="s">
        <v>3</v>
      </c>
      <c r="W71" s="6" t="s">
        <v>4</v>
      </c>
      <c r="X71" s="6" t="s">
        <v>4</v>
      </c>
      <c r="Y71" s="6" t="s">
        <v>2</v>
      </c>
      <c r="Z71" s="6" t="s">
        <v>3</v>
      </c>
      <c r="AA71" s="6" t="s">
        <v>4</v>
      </c>
      <c r="AB71" s="6" t="s">
        <v>4</v>
      </c>
      <c r="AC71" s="6" t="s">
        <v>4</v>
      </c>
      <c r="AD71" s="6" t="s">
        <v>4</v>
      </c>
      <c r="AE71" s="6" t="s">
        <v>4</v>
      </c>
      <c r="AF71" s="6" t="s">
        <v>3</v>
      </c>
      <c r="AG71" s="6" t="s">
        <v>3</v>
      </c>
      <c r="AH71" s="6" t="s">
        <v>4</v>
      </c>
      <c r="AI71" s="6" t="s">
        <v>3</v>
      </c>
      <c r="AJ71" s="6" t="s">
        <v>4</v>
      </c>
      <c r="AK71" s="6" t="s">
        <v>4</v>
      </c>
      <c r="AL71" s="6" t="s">
        <v>4</v>
      </c>
      <c r="AM71" s="6" t="s">
        <v>3</v>
      </c>
    </row>
    <row r="72" spans="1:39">
      <c r="A72" s="6">
        <f t="shared" si="0"/>
        <v>71</v>
      </c>
      <c r="B72" s="6" t="s">
        <v>321</v>
      </c>
      <c r="C72" s="6">
        <v>4</v>
      </c>
      <c r="D72" s="6" t="s">
        <v>3</v>
      </c>
      <c r="E72" s="6" t="s">
        <v>3</v>
      </c>
      <c r="F72" s="6" t="s">
        <v>3</v>
      </c>
      <c r="G72" s="6" t="s">
        <v>5</v>
      </c>
      <c r="H72" s="6" t="s">
        <v>5</v>
      </c>
      <c r="I72" s="6" t="s">
        <v>5</v>
      </c>
      <c r="J72" s="6" t="s">
        <v>5</v>
      </c>
      <c r="K72" s="6" t="s">
        <v>2</v>
      </c>
      <c r="L72" s="6" t="s">
        <v>2</v>
      </c>
      <c r="M72" s="6" t="s">
        <v>3</v>
      </c>
      <c r="N72" s="6" t="s">
        <v>4</v>
      </c>
      <c r="O72" s="6" t="s">
        <v>5</v>
      </c>
      <c r="P72" s="6" t="s">
        <v>5</v>
      </c>
      <c r="Q72" s="6" t="s">
        <v>3</v>
      </c>
      <c r="R72" s="6" t="s">
        <v>2</v>
      </c>
      <c r="S72" s="6" t="s">
        <v>5</v>
      </c>
      <c r="T72" s="6" t="s">
        <v>5</v>
      </c>
      <c r="U72" s="6" t="s">
        <v>5</v>
      </c>
      <c r="V72" s="6" t="s">
        <v>4</v>
      </c>
      <c r="W72" s="6" t="s">
        <v>4</v>
      </c>
      <c r="X72" s="6" t="s">
        <v>4</v>
      </c>
      <c r="Y72" s="6" t="s">
        <v>2</v>
      </c>
      <c r="Z72" s="6" t="s">
        <v>3</v>
      </c>
      <c r="AA72" s="6" t="s">
        <v>4</v>
      </c>
      <c r="AB72" s="6" t="s">
        <v>4</v>
      </c>
      <c r="AC72" s="6" t="s">
        <v>4</v>
      </c>
      <c r="AD72" s="6" t="s">
        <v>4</v>
      </c>
      <c r="AE72" s="6" t="s">
        <v>4</v>
      </c>
      <c r="AF72" s="6" t="s">
        <v>3</v>
      </c>
      <c r="AG72" s="6" t="s">
        <v>3</v>
      </c>
      <c r="AH72" s="6" t="s">
        <v>4</v>
      </c>
      <c r="AI72" s="6" t="s">
        <v>3</v>
      </c>
      <c r="AJ72" s="6" t="s">
        <v>3</v>
      </c>
      <c r="AK72" s="6" t="s">
        <v>4</v>
      </c>
      <c r="AL72" s="6" t="s">
        <v>4</v>
      </c>
      <c r="AM72" s="6" t="s">
        <v>3</v>
      </c>
    </row>
    <row r="73" spans="1:39">
      <c r="A73" s="6">
        <f t="shared" ref="A73:A115" si="1">ROW()-1</f>
        <v>72</v>
      </c>
      <c r="B73" s="6" t="s">
        <v>322</v>
      </c>
      <c r="C73" s="6">
        <v>4</v>
      </c>
      <c r="D73" s="6" t="s">
        <v>5</v>
      </c>
      <c r="E73" s="6" t="s">
        <v>5</v>
      </c>
      <c r="F73" s="6" t="s">
        <v>2</v>
      </c>
      <c r="G73" s="6" t="s">
        <v>5</v>
      </c>
      <c r="H73" s="6" t="s">
        <v>5</v>
      </c>
      <c r="I73" s="6" t="s">
        <v>5</v>
      </c>
      <c r="J73" s="6" t="s">
        <v>5</v>
      </c>
      <c r="K73" s="6" t="s">
        <v>2</v>
      </c>
      <c r="L73" s="6" t="s">
        <v>2</v>
      </c>
      <c r="M73" s="6" t="s">
        <v>2</v>
      </c>
      <c r="N73" s="6" t="s">
        <v>3</v>
      </c>
      <c r="O73" s="6" t="s">
        <v>5</v>
      </c>
      <c r="P73" s="6" t="s">
        <v>5</v>
      </c>
      <c r="Q73" s="6" t="s">
        <v>2</v>
      </c>
      <c r="R73" s="6" t="s">
        <v>2</v>
      </c>
      <c r="S73" s="6" t="s">
        <v>5</v>
      </c>
      <c r="T73" s="6" t="s">
        <v>5</v>
      </c>
      <c r="U73" s="6" t="s">
        <v>5</v>
      </c>
      <c r="V73" s="6" t="s">
        <v>5</v>
      </c>
      <c r="W73" s="6" t="s">
        <v>3</v>
      </c>
      <c r="X73" s="6" t="s">
        <v>3</v>
      </c>
      <c r="Y73" s="6" t="s">
        <v>2</v>
      </c>
      <c r="Z73" s="6" t="s">
        <v>3</v>
      </c>
      <c r="AA73" s="6" t="s">
        <v>4</v>
      </c>
      <c r="AB73" s="6" t="s">
        <v>4</v>
      </c>
      <c r="AC73" s="6" t="s">
        <v>4</v>
      </c>
      <c r="AD73" s="6" t="s">
        <v>4</v>
      </c>
      <c r="AE73" s="6" t="s">
        <v>4</v>
      </c>
      <c r="AF73" s="6" t="s">
        <v>3</v>
      </c>
      <c r="AG73" s="6" t="s">
        <v>3</v>
      </c>
      <c r="AH73" s="6" t="s">
        <v>4</v>
      </c>
      <c r="AI73" s="6" t="s">
        <v>3</v>
      </c>
      <c r="AJ73" s="6" t="s">
        <v>3</v>
      </c>
      <c r="AK73" s="6" t="s">
        <v>4</v>
      </c>
      <c r="AL73" s="6" t="s">
        <v>3</v>
      </c>
      <c r="AM73" s="6" t="s">
        <v>3</v>
      </c>
    </row>
    <row r="74" spans="1:39">
      <c r="A74" s="6">
        <f t="shared" si="1"/>
        <v>73</v>
      </c>
      <c r="B74" s="6" t="s">
        <v>323</v>
      </c>
      <c r="C74" s="6">
        <v>4</v>
      </c>
      <c r="D74" s="6" t="s">
        <v>5</v>
      </c>
      <c r="E74" s="6" t="s">
        <v>3</v>
      </c>
      <c r="F74" s="6" t="s">
        <v>2</v>
      </c>
      <c r="G74" s="6" t="s">
        <v>5</v>
      </c>
      <c r="H74" s="6" t="s">
        <v>5</v>
      </c>
      <c r="I74" s="6" t="s">
        <v>5</v>
      </c>
      <c r="J74" s="6" t="s">
        <v>2</v>
      </c>
      <c r="K74" s="6" t="s">
        <v>2</v>
      </c>
      <c r="L74" s="6" t="s">
        <v>3</v>
      </c>
      <c r="M74" s="6" t="s">
        <v>3</v>
      </c>
      <c r="N74" s="6" t="s">
        <v>3</v>
      </c>
      <c r="O74" s="6" t="s">
        <v>3</v>
      </c>
      <c r="P74" s="6" t="s">
        <v>2</v>
      </c>
      <c r="Q74" s="6" t="s">
        <v>2</v>
      </c>
      <c r="R74" s="6" t="s">
        <v>2</v>
      </c>
      <c r="S74" s="6" t="s">
        <v>5</v>
      </c>
      <c r="T74" s="6" t="s">
        <v>2</v>
      </c>
      <c r="U74" s="6" t="s">
        <v>2</v>
      </c>
      <c r="V74" s="6" t="s">
        <v>5</v>
      </c>
      <c r="W74" s="6" t="s">
        <v>3</v>
      </c>
      <c r="X74" s="6" t="s">
        <v>2</v>
      </c>
      <c r="Y74" s="6" t="s">
        <v>2</v>
      </c>
      <c r="Z74" s="6" t="s">
        <v>3</v>
      </c>
      <c r="AA74" s="6" t="s">
        <v>4</v>
      </c>
      <c r="AB74" s="6" t="s">
        <v>4</v>
      </c>
      <c r="AC74" s="6" t="s">
        <v>4</v>
      </c>
      <c r="AD74" s="6" t="s">
        <v>4</v>
      </c>
      <c r="AE74" s="6" t="s">
        <v>4</v>
      </c>
      <c r="AF74" s="6" t="s">
        <v>3</v>
      </c>
      <c r="AG74" s="6" t="s">
        <v>3</v>
      </c>
      <c r="AH74" s="6" t="s">
        <v>4</v>
      </c>
      <c r="AI74" s="6" t="s">
        <v>3</v>
      </c>
      <c r="AJ74" s="6" t="s">
        <v>4</v>
      </c>
      <c r="AK74" s="6" t="s">
        <v>4</v>
      </c>
      <c r="AL74" s="6" t="s">
        <v>4</v>
      </c>
      <c r="AM74" s="6" t="s">
        <v>3</v>
      </c>
    </row>
    <row r="75" spans="1:39">
      <c r="A75" s="6">
        <f t="shared" si="1"/>
        <v>74</v>
      </c>
      <c r="B75" s="6" t="s">
        <v>471</v>
      </c>
      <c r="C75" s="6">
        <v>4</v>
      </c>
      <c r="D75" s="6" t="s">
        <v>5</v>
      </c>
      <c r="E75" s="6" t="s">
        <v>5</v>
      </c>
      <c r="F75" s="6" t="s">
        <v>2</v>
      </c>
      <c r="G75" s="6" t="s">
        <v>5</v>
      </c>
      <c r="H75" s="6" t="s">
        <v>5</v>
      </c>
      <c r="I75" s="6" t="s">
        <v>5</v>
      </c>
      <c r="J75" s="6" t="s">
        <v>5</v>
      </c>
      <c r="K75" s="6" t="s">
        <v>2</v>
      </c>
      <c r="L75" s="6" t="s">
        <v>3</v>
      </c>
      <c r="M75" s="6" t="s">
        <v>4</v>
      </c>
      <c r="N75" s="6" t="s">
        <v>4</v>
      </c>
      <c r="O75" s="6" t="s">
        <v>3</v>
      </c>
      <c r="P75" s="6" t="s">
        <v>2</v>
      </c>
      <c r="Q75" s="6" t="s">
        <v>2</v>
      </c>
      <c r="R75" s="6" t="s">
        <v>3</v>
      </c>
      <c r="S75" s="6" t="s">
        <v>5</v>
      </c>
      <c r="T75" s="6" t="s">
        <v>3</v>
      </c>
      <c r="U75" s="6" t="s">
        <v>2</v>
      </c>
      <c r="V75" s="6" t="s">
        <v>5</v>
      </c>
      <c r="W75" s="6" t="s">
        <v>3</v>
      </c>
      <c r="X75" s="6" t="s">
        <v>4</v>
      </c>
      <c r="Y75" s="6" t="s">
        <v>4</v>
      </c>
      <c r="Z75" s="6" t="s">
        <v>3</v>
      </c>
      <c r="AA75" s="6" t="s">
        <v>4</v>
      </c>
      <c r="AB75" s="6" t="s">
        <v>4</v>
      </c>
      <c r="AC75" s="6" t="s">
        <v>4</v>
      </c>
      <c r="AD75" s="6" t="s">
        <v>4</v>
      </c>
      <c r="AE75" s="6" t="s">
        <v>4</v>
      </c>
      <c r="AF75" s="6" t="s">
        <v>4</v>
      </c>
      <c r="AG75" s="6" t="s">
        <v>3</v>
      </c>
      <c r="AH75" s="6" t="s">
        <v>3</v>
      </c>
      <c r="AI75" s="6" t="s">
        <v>3</v>
      </c>
      <c r="AJ75" s="6" t="s">
        <v>4</v>
      </c>
      <c r="AK75" s="6" t="s">
        <v>4</v>
      </c>
      <c r="AL75" s="6" t="s">
        <v>3</v>
      </c>
      <c r="AM75" s="6" t="s">
        <v>3</v>
      </c>
    </row>
    <row r="76" spans="1:39">
      <c r="A76" s="6">
        <f t="shared" si="1"/>
        <v>75</v>
      </c>
      <c r="B76" s="6" t="s">
        <v>472</v>
      </c>
      <c r="C76" s="6">
        <v>4</v>
      </c>
      <c r="D76" s="6" t="s">
        <v>2</v>
      </c>
      <c r="E76" s="6" t="s">
        <v>5</v>
      </c>
      <c r="F76" s="6" t="s">
        <v>2</v>
      </c>
      <c r="G76" s="6" t="s">
        <v>5</v>
      </c>
      <c r="H76" s="6" t="s">
        <v>5</v>
      </c>
      <c r="I76" s="6" t="s">
        <v>5</v>
      </c>
      <c r="J76" s="6" t="s">
        <v>5</v>
      </c>
      <c r="K76" s="6" t="s">
        <v>2</v>
      </c>
      <c r="L76" s="6" t="s">
        <v>2</v>
      </c>
      <c r="M76" s="6" t="s">
        <v>2</v>
      </c>
      <c r="N76" s="6" t="s">
        <v>5</v>
      </c>
      <c r="O76" s="6" t="s">
        <v>4</v>
      </c>
      <c r="P76" s="6" t="s">
        <v>5</v>
      </c>
      <c r="Q76" s="6" t="s">
        <v>2</v>
      </c>
      <c r="R76" s="6" t="s">
        <v>4</v>
      </c>
      <c r="S76" s="6" t="s">
        <v>5</v>
      </c>
      <c r="T76" s="6" t="s">
        <v>5</v>
      </c>
      <c r="U76" s="6" t="s">
        <v>5</v>
      </c>
      <c r="V76" s="6" t="s">
        <v>4</v>
      </c>
      <c r="W76" s="6" t="s">
        <v>3</v>
      </c>
      <c r="X76" s="6" t="s">
        <v>4</v>
      </c>
      <c r="Y76" s="6" t="s">
        <v>4</v>
      </c>
      <c r="Z76" s="6" t="s">
        <v>3</v>
      </c>
      <c r="AA76" s="6" t="s">
        <v>4</v>
      </c>
      <c r="AB76" s="6" t="s">
        <v>4</v>
      </c>
      <c r="AC76" s="6" t="s">
        <v>4</v>
      </c>
      <c r="AD76" s="6" t="s">
        <v>4</v>
      </c>
      <c r="AE76" s="6" t="s">
        <v>4</v>
      </c>
      <c r="AF76" s="6" t="s">
        <v>4</v>
      </c>
      <c r="AG76" s="6" t="s">
        <v>3</v>
      </c>
      <c r="AH76" s="6" t="s">
        <v>4</v>
      </c>
      <c r="AI76" s="6" t="s">
        <v>3</v>
      </c>
      <c r="AJ76" s="6" t="s">
        <v>4</v>
      </c>
      <c r="AK76" s="6" t="s">
        <v>4</v>
      </c>
      <c r="AL76" s="6" t="s">
        <v>3</v>
      </c>
      <c r="AM76" s="6" t="s">
        <v>3</v>
      </c>
    </row>
    <row r="77" spans="1:39">
      <c r="A77" s="6">
        <f t="shared" si="1"/>
        <v>76</v>
      </c>
      <c r="B77" s="6" t="s">
        <v>486</v>
      </c>
      <c r="C77" s="6">
        <v>4</v>
      </c>
      <c r="D77" s="6" t="s">
        <v>3</v>
      </c>
      <c r="E77" s="6" t="s">
        <v>5</v>
      </c>
      <c r="F77" s="6" t="s">
        <v>4</v>
      </c>
      <c r="G77" s="6" t="s">
        <v>5</v>
      </c>
      <c r="H77" s="6" t="s">
        <v>5</v>
      </c>
      <c r="I77" s="6" t="s">
        <v>5</v>
      </c>
      <c r="J77" s="6" t="s">
        <v>5</v>
      </c>
      <c r="K77" s="6" t="s">
        <v>2</v>
      </c>
      <c r="L77" s="6" t="s">
        <v>2</v>
      </c>
      <c r="M77" s="6" t="s">
        <v>4</v>
      </c>
      <c r="N77" s="6" t="s">
        <v>4</v>
      </c>
      <c r="O77" s="6" t="s">
        <v>5</v>
      </c>
      <c r="P77" s="6" t="s">
        <v>2</v>
      </c>
      <c r="Q77" s="6" t="s">
        <v>3</v>
      </c>
      <c r="R77" s="6" t="s">
        <v>5</v>
      </c>
      <c r="S77" s="6" t="s">
        <v>5</v>
      </c>
      <c r="T77" s="6" t="s">
        <v>2</v>
      </c>
      <c r="U77" s="6" t="s">
        <v>5</v>
      </c>
      <c r="V77" s="6" t="s">
        <v>5</v>
      </c>
      <c r="W77" s="6" t="s">
        <v>4</v>
      </c>
      <c r="X77" s="6" t="s">
        <v>4</v>
      </c>
      <c r="Y77" s="6" t="s">
        <v>2</v>
      </c>
      <c r="Z77" s="6" t="s">
        <v>3</v>
      </c>
      <c r="AA77" s="6" t="s">
        <v>4</v>
      </c>
      <c r="AB77" s="6" t="s">
        <v>4</v>
      </c>
      <c r="AC77" s="6" t="s">
        <v>4</v>
      </c>
      <c r="AD77" s="6" t="s">
        <v>4</v>
      </c>
      <c r="AE77" s="6" t="s">
        <v>4</v>
      </c>
      <c r="AF77" s="6" t="s">
        <v>4</v>
      </c>
      <c r="AG77" s="6" t="s">
        <v>3</v>
      </c>
      <c r="AH77" s="6" t="s">
        <v>4</v>
      </c>
      <c r="AI77" s="6" t="s">
        <v>3</v>
      </c>
      <c r="AJ77" s="6" t="s">
        <v>4</v>
      </c>
      <c r="AK77" s="6" t="s">
        <v>4</v>
      </c>
      <c r="AL77" s="6" t="s">
        <v>4</v>
      </c>
      <c r="AM77" s="6" t="s">
        <v>3</v>
      </c>
    </row>
    <row r="78" spans="1:39">
      <c r="A78" s="6">
        <f t="shared" si="1"/>
        <v>77</v>
      </c>
      <c r="B78" s="6" t="s">
        <v>29</v>
      </c>
      <c r="C78" s="6">
        <v>5</v>
      </c>
      <c r="D78" s="6" t="s">
        <v>5</v>
      </c>
      <c r="E78" s="6" t="s">
        <v>3</v>
      </c>
      <c r="F78" s="6" t="s">
        <v>5</v>
      </c>
      <c r="G78" s="6" t="s">
        <v>5</v>
      </c>
      <c r="H78" s="6" t="s">
        <v>5</v>
      </c>
      <c r="I78" s="6" t="s">
        <v>5</v>
      </c>
      <c r="J78" s="6" t="s">
        <v>5</v>
      </c>
      <c r="K78" s="6" t="s">
        <v>2</v>
      </c>
      <c r="L78" s="6" t="s">
        <v>2</v>
      </c>
      <c r="M78" s="6" t="s">
        <v>4</v>
      </c>
      <c r="N78" s="6" t="s">
        <v>4</v>
      </c>
      <c r="O78" s="6" t="s">
        <v>3</v>
      </c>
      <c r="P78" s="6" t="s">
        <v>5</v>
      </c>
      <c r="Q78" s="6" t="s">
        <v>2</v>
      </c>
      <c r="R78" s="6" t="s">
        <v>5</v>
      </c>
      <c r="S78" s="6" t="s">
        <v>2</v>
      </c>
      <c r="T78" s="6" t="s">
        <v>2</v>
      </c>
      <c r="U78" s="6" t="s">
        <v>5</v>
      </c>
      <c r="V78" s="6" t="s">
        <v>4</v>
      </c>
      <c r="W78" s="6" t="s">
        <v>3</v>
      </c>
      <c r="X78" s="6" t="s">
        <v>3</v>
      </c>
      <c r="Y78" s="6" t="s">
        <v>4</v>
      </c>
      <c r="Z78" s="6" t="s">
        <v>3</v>
      </c>
      <c r="AA78" s="6" t="s">
        <v>4</v>
      </c>
      <c r="AB78" s="6" t="s">
        <v>4</v>
      </c>
      <c r="AC78" s="6" t="s">
        <v>4</v>
      </c>
      <c r="AD78" s="6" t="s">
        <v>4</v>
      </c>
      <c r="AE78" s="6" t="s">
        <v>4</v>
      </c>
      <c r="AF78" s="6" t="s">
        <v>4</v>
      </c>
      <c r="AG78" s="6" t="s">
        <v>3</v>
      </c>
      <c r="AH78" s="6" t="s">
        <v>4</v>
      </c>
      <c r="AI78" s="6" t="s">
        <v>3</v>
      </c>
      <c r="AJ78" s="6" t="s">
        <v>4</v>
      </c>
      <c r="AK78" s="6" t="s">
        <v>4</v>
      </c>
      <c r="AL78" s="6" t="s">
        <v>4</v>
      </c>
      <c r="AM78" s="6" t="s">
        <v>3</v>
      </c>
    </row>
    <row r="79" spans="1:39">
      <c r="A79" s="6">
        <f t="shared" si="1"/>
        <v>78</v>
      </c>
      <c r="B79" s="6" t="s">
        <v>30</v>
      </c>
      <c r="C79" s="6">
        <v>5</v>
      </c>
      <c r="D79" s="6" t="s">
        <v>2</v>
      </c>
      <c r="E79" s="6" t="s">
        <v>5</v>
      </c>
      <c r="F79" s="6" t="s">
        <v>3</v>
      </c>
      <c r="G79" s="6" t="s">
        <v>5</v>
      </c>
      <c r="H79" s="6" t="s">
        <v>5</v>
      </c>
      <c r="I79" s="6" t="s">
        <v>3</v>
      </c>
      <c r="J79" s="6" t="s">
        <v>5</v>
      </c>
      <c r="K79" s="6" t="s">
        <v>2</v>
      </c>
      <c r="L79" s="6" t="s">
        <v>2</v>
      </c>
      <c r="M79" s="6" t="s">
        <v>5</v>
      </c>
      <c r="N79" s="6" t="s">
        <v>2</v>
      </c>
      <c r="O79" s="6" t="s">
        <v>2</v>
      </c>
      <c r="P79" s="6" t="s">
        <v>4</v>
      </c>
      <c r="Q79" s="6" t="s">
        <v>3</v>
      </c>
      <c r="R79" s="6" t="s">
        <v>2</v>
      </c>
      <c r="S79" s="6" t="s">
        <v>5</v>
      </c>
      <c r="T79" s="6" t="s">
        <v>5</v>
      </c>
      <c r="U79" s="6" t="s">
        <v>5</v>
      </c>
      <c r="V79" s="6" t="s">
        <v>3</v>
      </c>
      <c r="W79" s="6" t="s">
        <v>3</v>
      </c>
      <c r="X79" s="6" t="s">
        <v>3</v>
      </c>
      <c r="Y79" s="6" t="s">
        <v>4</v>
      </c>
      <c r="Z79" s="6" t="s">
        <v>3</v>
      </c>
      <c r="AA79" s="6" t="s">
        <v>4</v>
      </c>
      <c r="AB79" s="6" t="s">
        <v>4</v>
      </c>
      <c r="AC79" s="6" t="s">
        <v>4</v>
      </c>
      <c r="AD79" s="6" t="s">
        <v>4</v>
      </c>
      <c r="AE79" s="6" t="s">
        <v>4</v>
      </c>
      <c r="AF79" s="6" t="s">
        <v>3</v>
      </c>
      <c r="AG79" s="6" t="s">
        <v>4</v>
      </c>
      <c r="AH79" s="6" t="s">
        <v>4</v>
      </c>
      <c r="AI79" s="6" t="s">
        <v>3</v>
      </c>
      <c r="AJ79" s="6" t="s">
        <v>4</v>
      </c>
      <c r="AK79" s="6" t="s">
        <v>4</v>
      </c>
      <c r="AL79" s="6" t="s">
        <v>4</v>
      </c>
      <c r="AM79" s="6" t="s">
        <v>3</v>
      </c>
    </row>
    <row r="80" spans="1:39">
      <c r="A80" s="6">
        <f t="shared" si="1"/>
        <v>79</v>
      </c>
      <c r="B80" s="6" t="s">
        <v>31</v>
      </c>
      <c r="C80" s="6">
        <v>5</v>
      </c>
      <c r="D80" s="6" t="s">
        <v>4</v>
      </c>
      <c r="E80" s="6" t="s">
        <v>5</v>
      </c>
      <c r="F80" s="6" t="s">
        <v>2</v>
      </c>
      <c r="G80" s="6" t="s">
        <v>5</v>
      </c>
      <c r="H80" s="6" t="s">
        <v>5</v>
      </c>
      <c r="I80" s="6" t="s">
        <v>5</v>
      </c>
      <c r="J80" s="6" t="s">
        <v>2</v>
      </c>
      <c r="K80" s="6" t="s">
        <v>2</v>
      </c>
      <c r="L80" s="6" t="s">
        <v>2</v>
      </c>
      <c r="M80" s="6" t="s">
        <v>4</v>
      </c>
      <c r="N80" s="6" t="s">
        <v>4</v>
      </c>
      <c r="O80" s="6" t="s">
        <v>4</v>
      </c>
      <c r="P80" s="6" t="s">
        <v>5</v>
      </c>
      <c r="Q80" s="6" t="s">
        <v>4</v>
      </c>
      <c r="R80" s="6" t="s">
        <v>5</v>
      </c>
      <c r="S80" s="6" t="s">
        <v>5</v>
      </c>
      <c r="T80" s="6" t="s">
        <v>5</v>
      </c>
      <c r="U80" s="6" t="s">
        <v>5</v>
      </c>
      <c r="V80" s="6" t="s">
        <v>5</v>
      </c>
      <c r="W80" s="6" t="s">
        <v>4</v>
      </c>
      <c r="X80" s="6" t="s">
        <v>3</v>
      </c>
      <c r="Y80" s="6" t="s">
        <v>3</v>
      </c>
      <c r="Z80" s="6" t="s">
        <v>3</v>
      </c>
      <c r="AA80" s="6" t="s">
        <v>4</v>
      </c>
      <c r="AB80" s="6" t="s">
        <v>4</v>
      </c>
      <c r="AC80" s="6" t="s">
        <v>4</v>
      </c>
      <c r="AD80" s="6" t="s">
        <v>4</v>
      </c>
      <c r="AE80" s="6" t="s">
        <v>4</v>
      </c>
      <c r="AF80" s="6" t="s">
        <v>4</v>
      </c>
      <c r="AG80" s="6" t="s">
        <v>3</v>
      </c>
      <c r="AH80" s="6" t="s">
        <v>4</v>
      </c>
      <c r="AI80" s="6" t="s">
        <v>3</v>
      </c>
      <c r="AJ80" s="6" t="s">
        <v>4</v>
      </c>
      <c r="AK80" s="6" t="s">
        <v>4</v>
      </c>
      <c r="AL80" s="6" t="s">
        <v>4</v>
      </c>
      <c r="AM80" s="6" t="s">
        <v>3</v>
      </c>
    </row>
    <row r="81" spans="1:39">
      <c r="A81" s="6">
        <f t="shared" si="1"/>
        <v>80</v>
      </c>
      <c r="B81" s="6" t="s">
        <v>32</v>
      </c>
      <c r="C81" s="6">
        <v>5</v>
      </c>
      <c r="D81" s="6" t="s">
        <v>5</v>
      </c>
      <c r="E81" s="6" t="s">
        <v>3</v>
      </c>
      <c r="F81" s="6" t="s">
        <v>3</v>
      </c>
      <c r="G81" s="6" t="s">
        <v>5</v>
      </c>
      <c r="H81" s="6" t="s">
        <v>5</v>
      </c>
      <c r="I81" s="6" t="s">
        <v>5</v>
      </c>
      <c r="J81" s="6" t="s">
        <v>5</v>
      </c>
      <c r="K81" s="6" t="s">
        <v>2</v>
      </c>
      <c r="L81" s="6" t="s">
        <v>4</v>
      </c>
      <c r="M81" s="6" t="s">
        <v>4</v>
      </c>
      <c r="N81" s="6" t="s">
        <v>4</v>
      </c>
      <c r="O81" s="6" t="s">
        <v>5</v>
      </c>
      <c r="P81" s="6" t="s">
        <v>2</v>
      </c>
      <c r="Q81" s="6" t="s">
        <v>4</v>
      </c>
      <c r="R81" s="6" t="s">
        <v>5</v>
      </c>
      <c r="S81" s="6" t="s">
        <v>5</v>
      </c>
      <c r="T81" s="6" t="s">
        <v>3</v>
      </c>
      <c r="U81" s="6" t="s">
        <v>3</v>
      </c>
      <c r="V81" s="6" t="s">
        <v>3</v>
      </c>
      <c r="W81" s="6" t="s">
        <v>4</v>
      </c>
      <c r="X81" s="6" t="s">
        <v>3</v>
      </c>
      <c r="Y81" s="6" t="s">
        <v>2</v>
      </c>
      <c r="Z81" s="6" t="s">
        <v>3</v>
      </c>
      <c r="AA81" s="6" t="s">
        <v>4</v>
      </c>
      <c r="AB81" s="6" t="s">
        <v>4</v>
      </c>
      <c r="AC81" s="6" t="s">
        <v>4</v>
      </c>
      <c r="AD81" s="6" t="s">
        <v>4</v>
      </c>
      <c r="AE81" s="6" t="s">
        <v>4</v>
      </c>
      <c r="AF81" s="6" t="s">
        <v>4</v>
      </c>
      <c r="AG81" s="6" t="s">
        <v>3</v>
      </c>
      <c r="AH81" s="6" t="s">
        <v>4</v>
      </c>
      <c r="AI81" s="6" t="s">
        <v>3</v>
      </c>
      <c r="AJ81" s="6" t="s">
        <v>4</v>
      </c>
      <c r="AK81" s="6" t="s">
        <v>4</v>
      </c>
      <c r="AL81" s="6" t="s">
        <v>4</v>
      </c>
      <c r="AM81" s="6" t="s">
        <v>3</v>
      </c>
    </row>
    <row r="82" spans="1:39">
      <c r="A82" s="6">
        <f t="shared" si="1"/>
        <v>81</v>
      </c>
      <c r="B82" s="6" t="s">
        <v>33</v>
      </c>
      <c r="C82" s="6">
        <v>5</v>
      </c>
      <c r="D82" s="6" t="s">
        <v>5</v>
      </c>
      <c r="E82" s="6" t="s">
        <v>3</v>
      </c>
      <c r="F82" s="6" t="s">
        <v>4</v>
      </c>
      <c r="G82" s="6" t="s">
        <v>5</v>
      </c>
      <c r="H82" s="6" t="s">
        <v>5</v>
      </c>
      <c r="I82" s="6" t="s">
        <v>3</v>
      </c>
      <c r="J82" s="6" t="s">
        <v>5</v>
      </c>
      <c r="K82" s="6" t="s">
        <v>2</v>
      </c>
      <c r="L82" s="6" t="s">
        <v>3</v>
      </c>
      <c r="M82" s="6" t="s">
        <v>2</v>
      </c>
      <c r="N82" s="6" t="s">
        <v>2</v>
      </c>
      <c r="O82" s="6" t="s">
        <v>5</v>
      </c>
      <c r="P82" s="6" t="s">
        <v>5</v>
      </c>
      <c r="Q82" s="6" t="s">
        <v>2</v>
      </c>
      <c r="R82" s="6" t="s">
        <v>5</v>
      </c>
      <c r="S82" s="6" t="s">
        <v>5</v>
      </c>
      <c r="T82" s="6" t="s">
        <v>3</v>
      </c>
      <c r="U82" s="6" t="s">
        <v>5</v>
      </c>
      <c r="V82" s="6" t="s">
        <v>2</v>
      </c>
      <c r="W82" s="6" t="s">
        <v>4</v>
      </c>
      <c r="X82" s="6" t="s">
        <v>4</v>
      </c>
      <c r="Y82" s="6" t="s">
        <v>2</v>
      </c>
      <c r="Z82" s="6" t="s">
        <v>3</v>
      </c>
      <c r="AA82" s="6" t="s">
        <v>4</v>
      </c>
      <c r="AB82" s="6" t="s">
        <v>4</v>
      </c>
      <c r="AC82" s="6" t="s">
        <v>4</v>
      </c>
      <c r="AD82" s="6" t="s">
        <v>4</v>
      </c>
      <c r="AE82" s="6" t="s">
        <v>4</v>
      </c>
      <c r="AF82" s="6" t="s">
        <v>4</v>
      </c>
      <c r="AG82" s="6" t="s">
        <v>3</v>
      </c>
      <c r="AH82" s="6" t="s">
        <v>4</v>
      </c>
      <c r="AI82" s="6" t="s">
        <v>3</v>
      </c>
      <c r="AJ82" s="6" t="s">
        <v>4</v>
      </c>
      <c r="AK82" s="6" t="s">
        <v>4</v>
      </c>
      <c r="AL82" s="6" t="s">
        <v>3</v>
      </c>
      <c r="AM82" s="6" t="s">
        <v>3</v>
      </c>
    </row>
    <row r="83" spans="1:39">
      <c r="A83" s="6">
        <f t="shared" si="1"/>
        <v>82</v>
      </c>
      <c r="B83" s="6" t="s">
        <v>34</v>
      </c>
      <c r="C83" s="6">
        <v>5</v>
      </c>
      <c r="D83" s="6" t="s">
        <v>5</v>
      </c>
      <c r="E83" s="6" t="s">
        <v>5</v>
      </c>
      <c r="F83" s="6" t="s">
        <v>3</v>
      </c>
      <c r="G83" s="6" t="s">
        <v>5</v>
      </c>
      <c r="H83" s="6" t="s">
        <v>5</v>
      </c>
      <c r="I83" s="6" t="s">
        <v>3</v>
      </c>
      <c r="J83" s="6" t="s">
        <v>5</v>
      </c>
      <c r="K83" s="6" t="s">
        <v>2</v>
      </c>
      <c r="L83" s="6" t="s">
        <v>4</v>
      </c>
      <c r="M83" s="6" t="s">
        <v>4</v>
      </c>
      <c r="N83" s="6" t="s">
        <v>4</v>
      </c>
      <c r="O83" s="6" t="s">
        <v>5</v>
      </c>
      <c r="P83" s="6" t="s">
        <v>2</v>
      </c>
      <c r="Q83" s="6" t="s">
        <v>4</v>
      </c>
      <c r="R83" s="6" t="s">
        <v>5</v>
      </c>
      <c r="S83" s="6" t="s">
        <v>5</v>
      </c>
      <c r="T83" s="6" t="s">
        <v>2</v>
      </c>
      <c r="U83" s="6" t="s">
        <v>5</v>
      </c>
      <c r="V83" s="6" t="s">
        <v>5</v>
      </c>
      <c r="W83" s="6" t="s">
        <v>3</v>
      </c>
      <c r="X83" s="6" t="s">
        <v>3</v>
      </c>
      <c r="Y83" s="6" t="s">
        <v>4</v>
      </c>
      <c r="Z83" s="6" t="s">
        <v>3</v>
      </c>
      <c r="AA83" s="6" t="s">
        <v>4</v>
      </c>
      <c r="AB83" s="6" t="s">
        <v>4</v>
      </c>
      <c r="AC83" s="6" t="s">
        <v>4</v>
      </c>
      <c r="AD83" s="6" t="s">
        <v>4</v>
      </c>
      <c r="AE83" s="6" t="s">
        <v>4</v>
      </c>
      <c r="AF83" s="6" t="s">
        <v>4</v>
      </c>
      <c r="AG83" s="6" t="s">
        <v>4</v>
      </c>
      <c r="AH83" s="6" t="s">
        <v>4</v>
      </c>
      <c r="AI83" s="6" t="s">
        <v>3</v>
      </c>
      <c r="AJ83" s="6" t="s">
        <v>4</v>
      </c>
      <c r="AK83" s="6" t="s">
        <v>4</v>
      </c>
      <c r="AL83" s="6" t="s">
        <v>3</v>
      </c>
      <c r="AM83" s="6" t="s">
        <v>3</v>
      </c>
    </row>
    <row r="84" spans="1:39">
      <c r="A84" s="6">
        <f t="shared" si="1"/>
        <v>83</v>
      </c>
      <c r="B84" s="6" t="s">
        <v>271</v>
      </c>
      <c r="C84" s="6">
        <v>5</v>
      </c>
      <c r="D84" s="6" t="s">
        <v>5</v>
      </c>
      <c r="E84" s="6" t="s">
        <v>3</v>
      </c>
      <c r="F84" s="6" t="s">
        <v>2</v>
      </c>
      <c r="G84" s="6" t="s">
        <v>5</v>
      </c>
      <c r="H84" s="6" t="s">
        <v>5</v>
      </c>
      <c r="I84" s="6" t="s">
        <v>5</v>
      </c>
      <c r="J84" s="6" t="s">
        <v>5</v>
      </c>
      <c r="K84" s="6" t="s">
        <v>2</v>
      </c>
      <c r="L84" s="6" t="s">
        <v>2</v>
      </c>
      <c r="M84" s="6" t="s">
        <v>2</v>
      </c>
      <c r="N84" s="6" t="s">
        <v>3</v>
      </c>
      <c r="O84" s="6" t="s">
        <v>2</v>
      </c>
      <c r="P84" s="6" t="s">
        <v>5</v>
      </c>
      <c r="Q84" s="6" t="s">
        <v>2</v>
      </c>
      <c r="R84" s="6" t="s">
        <v>2</v>
      </c>
      <c r="S84" s="6" t="s">
        <v>5</v>
      </c>
      <c r="T84" s="6" t="s">
        <v>5</v>
      </c>
      <c r="U84" s="6" t="s">
        <v>5</v>
      </c>
      <c r="V84" s="6" t="s">
        <v>5</v>
      </c>
      <c r="W84" s="6" t="s">
        <v>3</v>
      </c>
      <c r="X84" s="6" t="s">
        <v>3</v>
      </c>
      <c r="Y84" s="6" t="s">
        <v>2</v>
      </c>
      <c r="Z84" s="6" t="s">
        <v>3</v>
      </c>
      <c r="AA84" s="6" t="s">
        <v>4</v>
      </c>
      <c r="AB84" s="6" t="s">
        <v>4</v>
      </c>
      <c r="AC84" s="6" t="s">
        <v>4</v>
      </c>
      <c r="AD84" s="6" t="s">
        <v>4</v>
      </c>
      <c r="AE84" s="6" t="s">
        <v>4</v>
      </c>
      <c r="AF84" s="6" t="s">
        <v>3</v>
      </c>
      <c r="AG84" s="6" t="s">
        <v>3</v>
      </c>
      <c r="AH84" s="6" t="s">
        <v>4</v>
      </c>
      <c r="AI84" s="6" t="s">
        <v>3</v>
      </c>
      <c r="AJ84" s="6" t="s">
        <v>4</v>
      </c>
      <c r="AK84" s="6" t="s">
        <v>4</v>
      </c>
      <c r="AL84" s="6" t="s">
        <v>3</v>
      </c>
      <c r="AM84" s="6" t="s">
        <v>3</v>
      </c>
    </row>
    <row r="85" spans="1:39">
      <c r="A85" s="6">
        <f t="shared" si="1"/>
        <v>84</v>
      </c>
      <c r="B85" s="6" t="s">
        <v>272</v>
      </c>
      <c r="C85" s="6">
        <v>5</v>
      </c>
      <c r="D85" s="6" t="s">
        <v>5</v>
      </c>
      <c r="E85" s="6" t="s">
        <v>5</v>
      </c>
      <c r="F85" s="6" t="s">
        <v>2</v>
      </c>
      <c r="G85" s="6" t="s">
        <v>5</v>
      </c>
      <c r="H85" s="6" t="s">
        <v>5</v>
      </c>
      <c r="I85" s="6" t="s">
        <v>3</v>
      </c>
      <c r="J85" s="6" t="s">
        <v>5</v>
      </c>
      <c r="K85" s="6" t="s">
        <v>2</v>
      </c>
      <c r="L85" s="6" t="s">
        <v>2</v>
      </c>
      <c r="M85" s="6" t="s">
        <v>2</v>
      </c>
      <c r="N85" s="6" t="s">
        <v>2</v>
      </c>
      <c r="O85" s="6" t="s">
        <v>2</v>
      </c>
      <c r="P85" s="6" t="s">
        <v>2</v>
      </c>
      <c r="Q85" s="6" t="s">
        <v>3</v>
      </c>
      <c r="R85" s="6" t="s">
        <v>3</v>
      </c>
      <c r="S85" s="6" t="s">
        <v>5</v>
      </c>
      <c r="T85" s="6" t="s">
        <v>5</v>
      </c>
      <c r="U85" s="6" t="s">
        <v>5</v>
      </c>
      <c r="V85" s="6" t="s">
        <v>5</v>
      </c>
      <c r="W85" s="6" t="s">
        <v>3</v>
      </c>
      <c r="X85" s="6" t="s">
        <v>3</v>
      </c>
      <c r="Y85" s="6" t="s">
        <v>2</v>
      </c>
      <c r="Z85" s="6" t="s">
        <v>3</v>
      </c>
      <c r="AA85" s="6" t="s">
        <v>4</v>
      </c>
      <c r="AB85" s="6" t="s">
        <v>4</v>
      </c>
      <c r="AC85" s="6" t="s">
        <v>4</v>
      </c>
      <c r="AD85" s="6" t="s">
        <v>4</v>
      </c>
      <c r="AE85" s="6" t="s">
        <v>4</v>
      </c>
      <c r="AF85" s="6" t="s">
        <v>3</v>
      </c>
      <c r="AG85" s="6" t="s">
        <v>3</v>
      </c>
      <c r="AH85" s="6" t="s">
        <v>4</v>
      </c>
      <c r="AI85" s="6" t="s">
        <v>3</v>
      </c>
      <c r="AJ85" s="6" t="s">
        <v>3</v>
      </c>
      <c r="AK85" s="6" t="s">
        <v>4</v>
      </c>
      <c r="AL85" s="6" t="s">
        <v>3</v>
      </c>
      <c r="AM85" s="6" t="s">
        <v>3</v>
      </c>
    </row>
    <row r="86" spans="1:39">
      <c r="A86" s="6">
        <f t="shared" si="1"/>
        <v>85</v>
      </c>
      <c r="B86" s="6" t="s">
        <v>273</v>
      </c>
      <c r="C86" s="6">
        <v>5</v>
      </c>
      <c r="D86" s="6" t="s">
        <v>5</v>
      </c>
      <c r="E86" s="6" t="s">
        <v>5</v>
      </c>
      <c r="F86" s="6" t="s">
        <v>2</v>
      </c>
      <c r="G86" s="6" t="s">
        <v>5</v>
      </c>
      <c r="H86" s="6" t="s">
        <v>5</v>
      </c>
      <c r="I86" s="6" t="s">
        <v>3</v>
      </c>
      <c r="J86" s="6" t="s">
        <v>5</v>
      </c>
      <c r="K86" s="6" t="s">
        <v>2</v>
      </c>
      <c r="L86" s="6" t="s">
        <v>3</v>
      </c>
      <c r="M86" s="6" t="s">
        <v>5</v>
      </c>
      <c r="N86" s="6" t="s">
        <v>2</v>
      </c>
      <c r="O86" s="6" t="s">
        <v>5</v>
      </c>
      <c r="P86" s="6" t="s">
        <v>5</v>
      </c>
      <c r="Q86" s="6" t="s">
        <v>2</v>
      </c>
      <c r="R86" s="6" t="s">
        <v>2</v>
      </c>
      <c r="S86" s="6" t="s">
        <v>5</v>
      </c>
      <c r="T86" s="6" t="s">
        <v>5</v>
      </c>
      <c r="U86" s="6" t="s">
        <v>5</v>
      </c>
      <c r="V86" s="6" t="s">
        <v>5</v>
      </c>
      <c r="W86" s="6" t="s">
        <v>3</v>
      </c>
      <c r="X86" s="6" t="s">
        <v>3</v>
      </c>
      <c r="Y86" s="6" t="s">
        <v>2</v>
      </c>
      <c r="Z86" s="6" t="s">
        <v>3</v>
      </c>
      <c r="AA86" s="6" t="s">
        <v>4</v>
      </c>
      <c r="AB86" s="6" t="s">
        <v>4</v>
      </c>
      <c r="AC86" s="6" t="s">
        <v>4</v>
      </c>
      <c r="AD86" s="6" t="s">
        <v>4</v>
      </c>
      <c r="AE86" s="6" t="s">
        <v>4</v>
      </c>
      <c r="AF86" s="6" t="s">
        <v>4</v>
      </c>
      <c r="AG86" s="6" t="s">
        <v>3</v>
      </c>
      <c r="AH86" s="6" t="s">
        <v>4</v>
      </c>
      <c r="AI86" s="6" t="s">
        <v>3</v>
      </c>
      <c r="AJ86" s="6" t="s">
        <v>3</v>
      </c>
      <c r="AK86" s="6" t="s">
        <v>4</v>
      </c>
      <c r="AL86" s="6" t="s">
        <v>4</v>
      </c>
      <c r="AM86" s="6" t="s">
        <v>3</v>
      </c>
    </row>
    <row r="87" spans="1:39">
      <c r="A87" s="6">
        <f t="shared" si="1"/>
        <v>86</v>
      </c>
      <c r="B87" s="6" t="s">
        <v>274</v>
      </c>
      <c r="C87" s="6">
        <v>5</v>
      </c>
      <c r="D87" s="6" t="s">
        <v>5</v>
      </c>
      <c r="E87" s="6" t="s">
        <v>3</v>
      </c>
      <c r="F87" s="6" t="s">
        <v>3</v>
      </c>
      <c r="G87" s="6" t="s">
        <v>5</v>
      </c>
      <c r="H87" s="6" t="s">
        <v>5</v>
      </c>
      <c r="I87" s="6" t="s">
        <v>5</v>
      </c>
      <c r="J87" s="6" t="s">
        <v>5</v>
      </c>
      <c r="K87" s="6" t="s">
        <v>2</v>
      </c>
      <c r="L87" s="6" t="s">
        <v>2</v>
      </c>
      <c r="M87" s="6" t="s">
        <v>5</v>
      </c>
      <c r="N87" s="6" t="s">
        <v>3</v>
      </c>
      <c r="O87" s="6" t="s">
        <v>2</v>
      </c>
      <c r="P87" s="6" t="s">
        <v>5</v>
      </c>
      <c r="Q87" s="6" t="s">
        <v>2</v>
      </c>
      <c r="R87" s="6" t="s">
        <v>3</v>
      </c>
      <c r="S87" s="6" t="s">
        <v>5</v>
      </c>
      <c r="T87" s="6" t="s">
        <v>5</v>
      </c>
      <c r="U87" s="6" t="s">
        <v>5</v>
      </c>
      <c r="V87" s="6" t="s">
        <v>5</v>
      </c>
      <c r="W87" s="6" t="s">
        <v>3</v>
      </c>
      <c r="X87" s="6" t="s">
        <v>3</v>
      </c>
      <c r="Y87" s="6" t="s">
        <v>2</v>
      </c>
      <c r="Z87" s="6" t="s">
        <v>3</v>
      </c>
      <c r="AA87" s="6" t="s">
        <v>4</v>
      </c>
      <c r="AB87" s="6" t="s">
        <v>4</v>
      </c>
      <c r="AC87" s="6" t="s">
        <v>4</v>
      </c>
      <c r="AD87" s="6" t="s">
        <v>4</v>
      </c>
      <c r="AE87" s="6" t="s">
        <v>4</v>
      </c>
      <c r="AF87" s="6" t="s">
        <v>4</v>
      </c>
      <c r="AG87" s="6" t="s">
        <v>3</v>
      </c>
      <c r="AH87" s="6" t="s">
        <v>4</v>
      </c>
      <c r="AI87" s="6" t="s">
        <v>3</v>
      </c>
      <c r="AJ87" s="6" t="s">
        <v>4</v>
      </c>
      <c r="AK87" s="6" t="s">
        <v>4</v>
      </c>
      <c r="AL87" s="6" t="s">
        <v>4</v>
      </c>
      <c r="AM87" s="6" t="s">
        <v>3</v>
      </c>
    </row>
    <row r="88" spans="1:39">
      <c r="A88" s="6">
        <f t="shared" si="1"/>
        <v>87</v>
      </c>
      <c r="B88" s="6" t="s">
        <v>473</v>
      </c>
      <c r="C88" s="6">
        <v>5</v>
      </c>
      <c r="D88" s="6" t="s">
        <v>5</v>
      </c>
      <c r="E88" s="6" t="s">
        <v>3</v>
      </c>
      <c r="F88" s="6" t="s">
        <v>5</v>
      </c>
      <c r="G88" s="6" t="s">
        <v>5</v>
      </c>
      <c r="H88" s="6" t="s">
        <v>5</v>
      </c>
      <c r="I88" s="6" t="s">
        <v>5</v>
      </c>
      <c r="J88" s="6" t="s">
        <v>5</v>
      </c>
      <c r="K88" s="6" t="s">
        <v>2</v>
      </c>
      <c r="L88" s="6" t="s">
        <v>3</v>
      </c>
      <c r="M88" s="6" t="s">
        <v>3</v>
      </c>
      <c r="N88" s="6" t="s">
        <v>5</v>
      </c>
      <c r="O88" s="6" t="s">
        <v>2</v>
      </c>
      <c r="P88" s="6" t="s">
        <v>5</v>
      </c>
      <c r="Q88" s="6" t="s">
        <v>2</v>
      </c>
      <c r="R88" s="6" t="s">
        <v>2</v>
      </c>
      <c r="S88" s="6" t="s">
        <v>5</v>
      </c>
      <c r="T88" s="6" t="s">
        <v>5</v>
      </c>
      <c r="U88" s="6" t="s">
        <v>5</v>
      </c>
      <c r="V88" s="6" t="s">
        <v>3</v>
      </c>
      <c r="W88" s="6" t="s">
        <v>3</v>
      </c>
      <c r="X88" s="6" t="s">
        <v>4</v>
      </c>
      <c r="Y88" s="6" t="s">
        <v>4</v>
      </c>
      <c r="Z88" s="6" t="s">
        <v>3</v>
      </c>
      <c r="AA88" s="6" t="s">
        <v>4</v>
      </c>
      <c r="AB88" s="6" t="s">
        <v>4</v>
      </c>
      <c r="AC88" s="6" t="s">
        <v>4</v>
      </c>
      <c r="AD88" s="6" t="s">
        <v>4</v>
      </c>
      <c r="AE88" s="6" t="s">
        <v>4</v>
      </c>
      <c r="AF88" s="6" t="s">
        <v>3</v>
      </c>
      <c r="AG88" s="6" t="s">
        <v>3</v>
      </c>
      <c r="AH88" s="6" t="s">
        <v>4</v>
      </c>
      <c r="AI88" s="6" t="s">
        <v>3</v>
      </c>
      <c r="AJ88" s="6" t="s">
        <v>4</v>
      </c>
      <c r="AK88" s="6" t="s">
        <v>4</v>
      </c>
      <c r="AL88" s="6" t="s">
        <v>3</v>
      </c>
      <c r="AM88" s="6" t="s">
        <v>3</v>
      </c>
    </row>
    <row r="89" spans="1:39">
      <c r="A89" s="6">
        <f t="shared" si="1"/>
        <v>88</v>
      </c>
      <c r="B89" s="6" t="s">
        <v>478</v>
      </c>
      <c r="C89" s="6">
        <v>5</v>
      </c>
      <c r="D89" s="6" t="s">
        <v>5</v>
      </c>
      <c r="E89" s="6" t="s">
        <v>5</v>
      </c>
      <c r="F89" s="6" t="s">
        <v>2</v>
      </c>
      <c r="G89" s="6" t="s">
        <v>5</v>
      </c>
      <c r="H89" s="6" t="s">
        <v>5</v>
      </c>
      <c r="I89" s="6" t="s">
        <v>3</v>
      </c>
      <c r="J89" s="6" t="s">
        <v>5</v>
      </c>
      <c r="K89" s="6" t="s">
        <v>2</v>
      </c>
      <c r="L89" s="6" t="s">
        <v>3</v>
      </c>
      <c r="M89" s="6" t="s">
        <v>5</v>
      </c>
      <c r="N89" s="6" t="s">
        <v>2</v>
      </c>
      <c r="O89" s="6" t="s">
        <v>5</v>
      </c>
      <c r="P89" s="6" t="s">
        <v>5</v>
      </c>
      <c r="Q89" s="6" t="s">
        <v>2</v>
      </c>
      <c r="R89" s="6" t="s">
        <v>2</v>
      </c>
      <c r="S89" s="6" t="s">
        <v>5</v>
      </c>
      <c r="T89" s="6" t="s">
        <v>5</v>
      </c>
      <c r="U89" s="6" t="s">
        <v>5</v>
      </c>
      <c r="V89" s="6" t="s">
        <v>5</v>
      </c>
      <c r="W89" s="6" t="s">
        <v>3</v>
      </c>
      <c r="X89" s="6" t="s">
        <v>3</v>
      </c>
      <c r="Y89" s="6" t="s">
        <v>2</v>
      </c>
      <c r="Z89" s="6" t="s">
        <v>3</v>
      </c>
      <c r="AA89" s="6" t="s">
        <v>4</v>
      </c>
      <c r="AB89" s="6" t="s">
        <v>4</v>
      </c>
      <c r="AC89" s="6" t="s">
        <v>4</v>
      </c>
      <c r="AD89" s="6" t="s">
        <v>4</v>
      </c>
      <c r="AE89" s="6" t="s">
        <v>4</v>
      </c>
      <c r="AF89" s="6" t="s">
        <v>4</v>
      </c>
      <c r="AG89" s="6" t="s">
        <v>3</v>
      </c>
      <c r="AH89" s="6" t="s">
        <v>4</v>
      </c>
      <c r="AI89" s="6" t="s">
        <v>3</v>
      </c>
      <c r="AJ89" s="6" t="s">
        <v>4</v>
      </c>
      <c r="AK89" s="6" t="s">
        <v>4</v>
      </c>
      <c r="AL89" s="6" t="s">
        <v>3</v>
      </c>
      <c r="AM89" s="6" t="s">
        <v>3</v>
      </c>
    </row>
    <row r="90" spans="1:39">
      <c r="A90" s="6">
        <f t="shared" si="1"/>
        <v>89</v>
      </c>
      <c r="B90" s="6" t="s">
        <v>494</v>
      </c>
      <c r="C90" s="6">
        <v>5</v>
      </c>
      <c r="D90" s="6" t="s">
        <v>2</v>
      </c>
      <c r="E90" s="6" t="s">
        <v>5</v>
      </c>
      <c r="F90" s="6" t="s">
        <v>2</v>
      </c>
      <c r="G90" s="6" t="s">
        <v>5</v>
      </c>
      <c r="H90" s="6" t="s">
        <v>5</v>
      </c>
      <c r="I90" s="6" t="s">
        <v>5</v>
      </c>
      <c r="J90" s="6" t="s">
        <v>2</v>
      </c>
      <c r="K90" s="6" t="s">
        <v>2</v>
      </c>
      <c r="L90" s="6" t="s">
        <v>2</v>
      </c>
      <c r="M90" s="6" t="s">
        <v>4</v>
      </c>
      <c r="N90" s="6" t="s">
        <v>4</v>
      </c>
      <c r="O90" s="6" t="s">
        <v>4</v>
      </c>
      <c r="P90" s="6" t="s">
        <v>5</v>
      </c>
      <c r="Q90" s="6" t="s">
        <v>4</v>
      </c>
      <c r="R90" s="6" t="s">
        <v>5</v>
      </c>
      <c r="S90" s="6" t="s">
        <v>5</v>
      </c>
      <c r="T90" s="6" t="s">
        <v>5</v>
      </c>
      <c r="U90" s="6" t="s">
        <v>5</v>
      </c>
      <c r="V90" s="6" t="s">
        <v>5</v>
      </c>
      <c r="W90" s="6" t="s">
        <v>4</v>
      </c>
      <c r="X90" s="6" t="s">
        <v>3</v>
      </c>
      <c r="Y90" s="6" t="s">
        <v>3</v>
      </c>
      <c r="Z90" s="6" t="s">
        <v>3</v>
      </c>
      <c r="AA90" s="6" t="s">
        <v>4</v>
      </c>
      <c r="AB90" s="6" t="s">
        <v>4</v>
      </c>
      <c r="AC90" s="6" t="s">
        <v>4</v>
      </c>
      <c r="AD90" s="6" t="s">
        <v>4</v>
      </c>
      <c r="AE90" s="6" t="s">
        <v>3</v>
      </c>
      <c r="AF90" s="6" t="s">
        <v>3</v>
      </c>
      <c r="AG90" s="6" t="s">
        <v>3</v>
      </c>
      <c r="AH90" s="6" t="s">
        <v>4</v>
      </c>
      <c r="AI90" s="6" t="s">
        <v>3</v>
      </c>
      <c r="AJ90" s="6" t="s">
        <v>4</v>
      </c>
      <c r="AK90" s="6" t="s">
        <v>4</v>
      </c>
      <c r="AL90" s="6" t="s">
        <v>4</v>
      </c>
      <c r="AM90" s="6" t="s">
        <v>3</v>
      </c>
    </row>
    <row r="91" spans="1:39">
      <c r="A91" s="6">
        <f t="shared" si="1"/>
        <v>90</v>
      </c>
      <c r="B91" s="6" t="s">
        <v>324</v>
      </c>
      <c r="C91" s="6">
        <v>5</v>
      </c>
      <c r="D91" s="6" t="s">
        <v>5</v>
      </c>
      <c r="E91" s="6" t="s">
        <v>3</v>
      </c>
      <c r="F91" s="6" t="s">
        <v>3</v>
      </c>
      <c r="G91" s="6" t="s">
        <v>5</v>
      </c>
      <c r="H91" s="6" t="s">
        <v>5</v>
      </c>
      <c r="I91" s="6" t="s">
        <v>5</v>
      </c>
      <c r="J91" s="6" t="s">
        <v>5</v>
      </c>
      <c r="K91" s="6" t="s">
        <v>2</v>
      </c>
      <c r="L91" s="6" t="s">
        <v>2</v>
      </c>
      <c r="M91" s="6" t="s">
        <v>5</v>
      </c>
      <c r="N91" s="6" t="s">
        <v>3</v>
      </c>
      <c r="O91" s="6" t="s">
        <v>2</v>
      </c>
      <c r="P91" s="6" t="s">
        <v>5</v>
      </c>
      <c r="Q91" s="6" t="s">
        <v>2</v>
      </c>
      <c r="R91" s="6" t="s">
        <v>3</v>
      </c>
      <c r="S91" s="6" t="s">
        <v>5</v>
      </c>
      <c r="T91" s="6" t="s">
        <v>5</v>
      </c>
      <c r="U91" s="6" t="s">
        <v>5</v>
      </c>
      <c r="V91" s="6" t="s">
        <v>5</v>
      </c>
      <c r="W91" s="6" t="s">
        <v>3</v>
      </c>
      <c r="X91" s="6" t="s">
        <v>4</v>
      </c>
      <c r="Y91" s="6" t="s">
        <v>2</v>
      </c>
      <c r="Z91" s="6" t="s">
        <v>3</v>
      </c>
      <c r="AA91" s="6" t="s">
        <v>4</v>
      </c>
      <c r="AB91" s="6" t="s">
        <v>4</v>
      </c>
      <c r="AC91" s="6" t="s">
        <v>4</v>
      </c>
      <c r="AD91" s="6" t="s">
        <v>4</v>
      </c>
      <c r="AE91" s="6" t="s">
        <v>4</v>
      </c>
      <c r="AF91" s="6" t="s">
        <v>4</v>
      </c>
      <c r="AG91" s="6" t="s">
        <v>3</v>
      </c>
      <c r="AH91" s="6" t="s">
        <v>4</v>
      </c>
      <c r="AI91" s="6" t="s">
        <v>3</v>
      </c>
      <c r="AJ91" s="6" t="s">
        <v>4</v>
      </c>
      <c r="AK91" s="6" t="s">
        <v>4</v>
      </c>
      <c r="AL91" s="6" t="s">
        <v>4</v>
      </c>
      <c r="AM91" s="6" t="s">
        <v>3</v>
      </c>
    </row>
    <row r="92" spans="1:39">
      <c r="A92" s="6">
        <f t="shared" si="1"/>
        <v>91</v>
      </c>
      <c r="B92" s="6" t="s">
        <v>325</v>
      </c>
      <c r="C92" s="6">
        <v>5</v>
      </c>
      <c r="D92" s="6" t="s">
        <v>5</v>
      </c>
      <c r="E92" s="6" t="s">
        <v>3</v>
      </c>
      <c r="F92" s="6" t="s">
        <v>5</v>
      </c>
      <c r="G92" s="6" t="s">
        <v>5</v>
      </c>
      <c r="H92" s="6" t="s">
        <v>5</v>
      </c>
      <c r="I92" s="6" t="s">
        <v>5</v>
      </c>
      <c r="J92" s="6" t="s">
        <v>5</v>
      </c>
      <c r="K92" s="6" t="s">
        <v>2</v>
      </c>
      <c r="L92" s="6" t="s">
        <v>2</v>
      </c>
      <c r="M92" s="6" t="s">
        <v>4</v>
      </c>
      <c r="N92" s="6" t="s">
        <v>4</v>
      </c>
      <c r="O92" s="6" t="s">
        <v>3</v>
      </c>
      <c r="P92" s="6" t="s">
        <v>5</v>
      </c>
      <c r="Q92" s="6" t="s">
        <v>2</v>
      </c>
      <c r="R92" s="6" t="s">
        <v>5</v>
      </c>
      <c r="S92" s="6" t="s">
        <v>2</v>
      </c>
      <c r="T92" s="6" t="s">
        <v>2</v>
      </c>
      <c r="U92" s="6" t="s">
        <v>5</v>
      </c>
      <c r="V92" s="6" t="s">
        <v>4</v>
      </c>
      <c r="W92" s="6" t="s">
        <v>3</v>
      </c>
      <c r="X92" s="6" t="s">
        <v>3</v>
      </c>
      <c r="Y92" s="6" t="s">
        <v>4</v>
      </c>
      <c r="Z92" s="6" t="s">
        <v>3</v>
      </c>
      <c r="AA92" s="6" t="s">
        <v>4</v>
      </c>
      <c r="AB92" s="6" t="s">
        <v>4</v>
      </c>
      <c r="AC92" s="6" t="s">
        <v>4</v>
      </c>
      <c r="AD92" s="6" t="s">
        <v>4</v>
      </c>
      <c r="AE92" s="6" t="s">
        <v>4</v>
      </c>
      <c r="AF92" s="6" t="s">
        <v>3</v>
      </c>
      <c r="AG92" s="6" t="s">
        <v>3</v>
      </c>
      <c r="AH92" s="6" t="s">
        <v>4</v>
      </c>
      <c r="AI92" s="6" t="s">
        <v>3</v>
      </c>
      <c r="AJ92" s="6" t="s">
        <v>4</v>
      </c>
      <c r="AK92" s="6" t="s">
        <v>4</v>
      </c>
      <c r="AL92" s="6" t="s">
        <v>4</v>
      </c>
      <c r="AM92" s="6" t="s">
        <v>3</v>
      </c>
    </row>
    <row r="93" spans="1:39">
      <c r="A93" s="6">
        <f t="shared" si="1"/>
        <v>92</v>
      </c>
      <c r="B93" s="6" t="s">
        <v>326</v>
      </c>
      <c r="C93" s="6">
        <v>5</v>
      </c>
      <c r="D93" s="6" t="s">
        <v>5</v>
      </c>
      <c r="E93" s="6" t="s">
        <v>5</v>
      </c>
      <c r="F93" s="6" t="s">
        <v>2</v>
      </c>
      <c r="G93" s="6" t="s">
        <v>5</v>
      </c>
      <c r="H93" s="6" t="s">
        <v>5</v>
      </c>
      <c r="I93" s="6" t="s">
        <v>3</v>
      </c>
      <c r="J93" s="6" t="s">
        <v>5</v>
      </c>
      <c r="K93" s="6" t="s">
        <v>2</v>
      </c>
      <c r="L93" s="6" t="s">
        <v>2</v>
      </c>
      <c r="M93" s="6" t="s">
        <v>2</v>
      </c>
      <c r="N93" s="6" t="s">
        <v>2</v>
      </c>
      <c r="O93" s="6" t="s">
        <v>2</v>
      </c>
      <c r="P93" s="6" t="s">
        <v>2</v>
      </c>
      <c r="Q93" s="6" t="s">
        <v>3</v>
      </c>
      <c r="R93" s="6" t="s">
        <v>3</v>
      </c>
      <c r="S93" s="6" t="s">
        <v>5</v>
      </c>
      <c r="T93" s="6" t="s">
        <v>5</v>
      </c>
      <c r="U93" s="6" t="s">
        <v>5</v>
      </c>
      <c r="V93" s="6" t="s">
        <v>5</v>
      </c>
      <c r="W93" s="6" t="s">
        <v>3</v>
      </c>
      <c r="X93" s="6" t="s">
        <v>3</v>
      </c>
      <c r="Y93" s="6" t="s">
        <v>2</v>
      </c>
      <c r="Z93" s="6" t="s">
        <v>3</v>
      </c>
      <c r="AA93" s="6" t="s">
        <v>4</v>
      </c>
      <c r="AB93" s="6" t="s">
        <v>4</v>
      </c>
      <c r="AC93" s="6" t="s">
        <v>4</v>
      </c>
      <c r="AD93" s="6" t="s">
        <v>4</v>
      </c>
      <c r="AE93" s="6" t="s">
        <v>4</v>
      </c>
      <c r="AF93" s="6" t="s">
        <v>3</v>
      </c>
      <c r="AG93" s="6" t="s">
        <v>3</v>
      </c>
      <c r="AH93" s="6" t="s">
        <v>4</v>
      </c>
      <c r="AI93" s="6" t="s">
        <v>3</v>
      </c>
      <c r="AJ93" s="6" t="s">
        <v>3</v>
      </c>
      <c r="AK93" s="6" t="s">
        <v>4</v>
      </c>
      <c r="AL93" s="6" t="s">
        <v>3</v>
      </c>
      <c r="AM93" s="6" t="s">
        <v>3</v>
      </c>
    </row>
    <row r="94" spans="1:39">
      <c r="A94" s="6">
        <f t="shared" si="1"/>
        <v>93</v>
      </c>
      <c r="B94" s="6" t="s">
        <v>479</v>
      </c>
      <c r="C94" s="6">
        <v>5</v>
      </c>
      <c r="D94" s="6" t="s">
        <v>2</v>
      </c>
      <c r="E94" s="6" t="s">
        <v>3</v>
      </c>
      <c r="F94" s="6" t="s">
        <v>5</v>
      </c>
      <c r="G94" s="6" t="s">
        <v>5</v>
      </c>
      <c r="H94" s="6" t="s">
        <v>5</v>
      </c>
      <c r="I94" s="6" t="s">
        <v>5</v>
      </c>
      <c r="J94" s="6" t="s">
        <v>5</v>
      </c>
      <c r="K94" s="6" t="s">
        <v>2</v>
      </c>
      <c r="L94" s="6" t="s">
        <v>3</v>
      </c>
      <c r="M94" s="6" t="s">
        <v>3</v>
      </c>
      <c r="N94" s="6" t="s">
        <v>5</v>
      </c>
      <c r="O94" s="6" t="s">
        <v>2</v>
      </c>
      <c r="P94" s="6" t="s">
        <v>5</v>
      </c>
      <c r="Q94" s="6" t="s">
        <v>2</v>
      </c>
      <c r="R94" s="6" t="s">
        <v>2</v>
      </c>
      <c r="S94" s="6" t="s">
        <v>5</v>
      </c>
      <c r="T94" s="6" t="s">
        <v>5</v>
      </c>
      <c r="U94" s="6" t="s">
        <v>5</v>
      </c>
      <c r="V94" s="6" t="s">
        <v>3</v>
      </c>
      <c r="W94" s="6" t="s">
        <v>3</v>
      </c>
      <c r="X94" s="6" t="s">
        <v>4</v>
      </c>
      <c r="Y94" s="6" t="s">
        <v>2</v>
      </c>
      <c r="Z94" s="6" t="s">
        <v>3</v>
      </c>
      <c r="AA94" s="6" t="s">
        <v>4</v>
      </c>
      <c r="AB94" s="6" t="s">
        <v>4</v>
      </c>
      <c r="AC94" s="6" t="s">
        <v>4</v>
      </c>
      <c r="AD94" s="6" t="s">
        <v>4</v>
      </c>
      <c r="AE94" s="6" t="s">
        <v>4</v>
      </c>
      <c r="AF94" s="6" t="s">
        <v>3</v>
      </c>
      <c r="AG94" s="6" t="s">
        <v>3</v>
      </c>
      <c r="AH94" s="6" t="s">
        <v>4</v>
      </c>
      <c r="AI94" s="6" t="s">
        <v>3</v>
      </c>
      <c r="AJ94" s="6" t="s">
        <v>4</v>
      </c>
      <c r="AK94" s="6" t="s">
        <v>4</v>
      </c>
      <c r="AL94" s="6" t="s">
        <v>4</v>
      </c>
      <c r="AM94" s="6" t="s">
        <v>3</v>
      </c>
    </row>
    <row r="95" spans="1:39">
      <c r="A95" s="6">
        <f t="shared" si="1"/>
        <v>94</v>
      </c>
      <c r="B95" s="6" t="s">
        <v>480</v>
      </c>
      <c r="C95" s="6">
        <v>5</v>
      </c>
      <c r="D95" s="6" t="s">
        <v>2</v>
      </c>
      <c r="E95" s="6" t="s">
        <v>3</v>
      </c>
      <c r="F95" s="6" t="s">
        <v>4</v>
      </c>
      <c r="G95" s="6" t="s">
        <v>5</v>
      </c>
      <c r="H95" s="6" t="s">
        <v>5</v>
      </c>
      <c r="I95" s="6" t="s">
        <v>3</v>
      </c>
      <c r="J95" s="6" t="s">
        <v>5</v>
      </c>
      <c r="K95" s="6" t="s">
        <v>2</v>
      </c>
      <c r="L95" s="6" t="s">
        <v>3</v>
      </c>
      <c r="M95" s="6" t="s">
        <v>2</v>
      </c>
      <c r="N95" s="6" t="s">
        <v>2</v>
      </c>
      <c r="O95" s="6" t="s">
        <v>5</v>
      </c>
      <c r="P95" s="6" t="s">
        <v>5</v>
      </c>
      <c r="Q95" s="6" t="s">
        <v>2</v>
      </c>
      <c r="R95" s="6" t="s">
        <v>5</v>
      </c>
      <c r="S95" s="6" t="s">
        <v>5</v>
      </c>
      <c r="T95" s="6" t="s">
        <v>3</v>
      </c>
      <c r="U95" s="6" t="s">
        <v>5</v>
      </c>
      <c r="V95" s="6" t="s">
        <v>2</v>
      </c>
      <c r="W95" s="6" t="s">
        <v>4</v>
      </c>
      <c r="X95" s="6" t="s">
        <v>4</v>
      </c>
      <c r="Y95" s="6" t="s">
        <v>2</v>
      </c>
      <c r="Z95" s="6" t="s">
        <v>3</v>
      </c>
      <c r="AA95" s="6" t="s">
        <v>4</v>
      </c>
      <c r="AB95" s="6" t="s">
        <v>4</v>
      </c>
      <c r="AC95" s="6" t="s">
        <v>4</v>
      </c>
      <c r="AD95" s="6" t="s">
        <v>4</v>
      </c>
      <c r="AE95" s="6" t="s">
        <v>4</v>
      </c>
      <c r="AF95" s="6" t="s">
        <v>4</v>
      </c>
      <c r="AG95" s="6" t="s">
        <v>3</v>
      </c>
      <c r="AH95" s="6" t="s">
        <v>4</v>
      </c>
      <c r="AI95" s="6" t="s">
        <v>3</v>
      </c>
      <c r="AJ95" s="6" t="s">
        <v>4</v>
      </c>
      <c r="AK95" s="6" t="s">
        <v>4</v>
      </c>
      <c r="AL95" s="6" t="s">
        <v>3</v>
      </c>
      <c r="AM95" s="6" t="s">
        <v>3</v>
      </c>
    </row>
    <row r="96" spans="1:39">
      <c r="A96" s="6">
        <f t="shared" si="1"/>
        <v>95</v>
      </c>
      <c r="B96" s="6" t="s">
        <v>496</v>
      </c>
      <c r="C96" s="6">
        <v>5</v>
      </c>
      <c r="D96" s="6" t="s">
        <v>5</v>
      </c>
      <c r="E96" s="6" t="s">
        <v>5</v>
      </c>
      <c r="F96" s="6" t="s">
        <v>3</v>
      </c>
      <c r="G96" s="6" t="s">
        <v>5</v>
      </c>
      <c r="H96" s="6" t="s">
        <v>5</v>
      </c>
      <c r="I96" s="6" t="s">
        <v>5</v>
      </c>
      <c r="J96" s="6" t="s">
        <v>5</v>
      </c>
      <c r="K96" s="6" t="s">
        <v>2</v>
      </c>
      <c r="L96" s="6" t="s">
        <v>2</v>
      </c>
      <c r="M96" s="6" t="s">
        <v>5</v>
      </c>
      <c r="N96" s="6" t="s">
        <v>2</v>
      </c>
      <c r="O96" s="6" t="s">
        <v>2</v>
      </c>
      <c r="P96" s="6" t="s">
        <v>4</v>
      </c>
      <c r="Q96" s="6" t="s">
        <v>3</v>
      </c>
      <c r="R96" s="6" t="s">
        <v>2</v>
      </c>
      <c r="S96" s="6" t="s">
        <v>5</v>
      </c>
      <c r="T96" s="6" t="s">
        <v>5</v>
      </c>
      <c r="U96" s="6" t="s">
        <v>5</v>
      </c>
      <c r="V96" s="6" t="s">
        <v>3</v>
      </c>
      <c r="W96" s="6" t="s">
        <v>3</v>
      </c>
      <c r="X96" s="6" t="s">
        <v>3</v>
      </c>
      <c r="Y96" s="6" t="s">
        <v>4</v>
      </c>
      <c r="Z96" s="6" t="s">
        <v>3</v>
      </c>
      <c r="AA96" s="6" t="s">
        <v>4</v>
      </c>
      <c r="AB96" s="6" t="s">
        <v>4</v>
      </c>
      <c r="AC96" s="6" t="s">
        <v>4</v>
      </c>
      <c r="AD96" s="6" t="s">
        <v>4</v>
      </c>
      <c r="AE96" s="6" t="s">
        <v>4</v>
      </c>
      <c r="AF96" s="6" t="s">
        <v>3</v>
      </c>
      <c r="AG96" s="6" t="s">
        <v>3</v>
      </c>
      <c r="AH96" s="6" t="s">
        <v>4</v>
      </c>
      <c r="AI96" s="6" t="s">
        <v>3</v>
      </c>
      <c r="AJ96" s="6" t="s">
        <v>4</v>
      </c>
      <c r="AK96" s="6" t="s">
        <v>4</v>
      </c>
      <c r="AL96" s="6" t="s">
        <v>3</v>
      </c>
      <c r="AM96" s="6" t="s">
        <v>3</v>
      </c>
    </row>
    <row r="97" spans="1:39">
      <c r="A97" s="6">
        <f t="shared" si="1"/>
        <v>96</v>
      </c>
      <c r="B97" s="6" t="s">
        <v>35</v>
      </c>
      <c r="C97" s="52">
        <v>6</v>
      </c>
      <c r="D97" s="6" t="s">
        <v>5</v>
      </c>
      <c r="E97" s="6" t="s">
        <v>3</v>
      </c>
      <c r="F97" s="6" t="s">
        <v>3</v>
      </c>
      <c r="G97" s="6" t="s">
        <v>5</v>
      </c>
      <c r="H97" s="6" t="s">
        <v>5</v>
      </c>
      <c r="I97" s="6" t="s">
        <v>5</v>
      </c>
      <c r="J97" s="6" t="s">
        <v>5</v>
      </c>
      <c r="K97" s="6" t="s">
        <v>5</v>
      </c>
      <c r="L97" s="6" t="s">
        <v>2</v>
      </c>
      <c r="M97" s="6" t="s">
        <v>3</v>
      </c>
      <c r="N97" s="6" t="s">
        <v>2</v>
      </c>
      <c r="O97" s="6" t="s">
        <v>3</v>
      </c>
      <c r="P97" s="6" t="s">
        <v>2</v>
      </c>
      <c r="Q97" s="6" t="s">
        <v>2</v>
      </c>
      <c r="R97" s="6" t="s">
        <v>3</v>
      </c>
      <c r="S97" s="6" t="s">
        <v>5</v>
      </c>
      <c r="T97" s="6" t="s">
        <v>2</v>
      </c>
      <c r="U97" s="6" t="s">
        <v>5</v>
      </c>
      <c r="V97" s="6" t="s">
        <v>3</v>
      </c>
      <c r="W97" s="6" t="s">
        <v>3</v>
      </c>
      <c r="X97" s="6" t="s">
        <v>3</v>
      </c>
      <c r="Y97" s="6" t="s">
        <v>2</v>
      </c>
      <c r="Z97" s="6" t="s">
        <v>3</v>
      </c>
      <c r="AA97" s="6" t="s">
        <v>4</v>
      </c>
      <c r="AB97" s="6" t="s">
        <v>4</v>
      </c>
      <c r="AC97" s="6" t="s">
        <v>3</v>
      </c>
      <c r="AD97" s="6" t="s">
        <v>4</v>
      </c>
      <c r="AE97" s="6" t="s">
        <v>4</v>
      </c>
      <c r="AF97" s="6" t="s">
        <v>3</v>
      </c>
      <c r="AG97" s="6" t="s">
        <v>3</v>
      </c>
      <c r="AH97" s="6" t="s">
        <v>4</v>
      </c>
      <c r="AI97" s="6" t="s">
        <v>3</v>
      </c>
      <c r="AJ97" s="6" t="s">
        <v>4</v>
      </c>
      <c r="AK97" s="6" t="s">
        <v>4</v>
      </c>
      <c r="AL97" s="6" t="s">
        <v>3</v>
      </c>
      <c r="AM97" s="6" t="s">
        <v>3</v>
      </c>
    </row>
    <row r="98" spans="1:39">
      <c r="A98" s="6">
        <f t="shared" si="1"/>
        <v>97</v>
      </c>
      <c r="B98" s="6" t="s">
        <v>36</v>
      </c>
      <c r="C98" s="52">
        <v>6</v>
      </c>
      <c r="D98" s="6" t="s">
        <v>5</v>
      </c>
      <c r="E98" s="6" t="s">
        <v>5</v>
      </c>
      <c r="F98" s="6" t="s">
        <v>5</v>
      </c>
      <c r="G98" s="6" t="s">
        <v>5</v>
      </c>
      <c r="H98" s="6" t="s">
        <v>5</v>
      </c>
      <c r="I98" s="6" t="s">
        <v>5</v>
      </c>
      <c r="J98" s="6" t="s">
        <v>5</v>
      </c>
      <c r="K98" s="6" t="s">
        <v>2</v>
      </c>
      <c r="L98" s="6" t="s">
        <v>4</v>
      </c>
      <c r="M98" s="6" t="s">
        <v>4</v>
      </c>
      <c r="N98" s="6" t="s">
        <v>4</v>
      </c>
      <c r="O98" s="6" t="s">
        <v>5</v>
      </c>
      <c r="P98" s="6" t="s">
        <v>5</v>
      </c>
      <c r="Q98" s="6" t="s">
        <v>3</v>
      </c>
      <c r="R98" s="6" t="s">
        <v>5</v>
      </c>
      <c r="S98" s="6" t="s">
        <v>5</v>
      </c>
      <c r="T98" s="6" t="s">
        <v>2</v>
      </c>
      <c r="U98" s="6" t="s">
        <v>5</v>
      </c>
      <c r="V98" s="6" t="s">
        <v>3</v>
      </c>
      <c r="W98" s="6" t="s">
        <v>3</v>
      </c>
      <c r="X98" s="6" t="s">
        <v>3</v>
      </c>
      <c r="Y98" s="6" t="s">
        <v>2</v>
      </c>
      <c r="Z98" s="6" t="s">
        <v>3</v>
      </c>
      <c r="AA98" s="6" t="s">
        <v>4</v>
      </c>
      <c r="AB98" s="6" t="s">
        <v>4</v>
      </c>
      <c r="AC98" s="6" t="s">
        <v>4</v>
      </c>
      <c r="AD98" s="6" t="s">
        <v>4</v>
      </c>
      <c r="AE98" s="6" t="s">
        <v>3</v>
      </c>
      <c r="AF98" s="6" t="s">
        <v>3</v>
      </c>
      <c r="AG98" s="6" t="s">
        <v>3</v>
      </c>
      <c r="AH98" s="6" t="s">
        <v>4</v>
      </c>
      <c r="AI98" s="6" t="s">
        <v>3</v>
      </c>
      <c r="AJ98" s="6" t="s">
        <v>3</v>
      </c>
      <c r="AK98" s="6" t="s">
        <v>3</v>
      </c>
      <c r="AL98" s="6" t="s">
        <v>3</v>
      </c>
      <c r="AM98" s="6" t="s">
        <v>3</v>
      </c>
    </row>
    <row r="99" spans="1:39">
      <c r="A99" s="6">
        <f t="shared" si="1"/>
        <v>98</v>
      </c>
      <c r="B99" s="6" t="s">
        <v>37</v>
      </c>
      <c r="C99" s="52">
        <v>6</v>
      </c>
      <c r="D99" s="6" t="s">
        <v>5</v>
      </c>
      <c r="E99" s="6" t="s">
        <v>3</v>
      </c>
      <c r="F99" s="6" t="s">
        <v>2</v>
      </c>
      <c r="G99" s="6" t="s">
        <v>5</v>
      </c>
      <c r="H99" s="6" t="s">
        <v>5</v>
      </c>
      <c r="I99" s="6" t="s">
        <v>5</v>
      </c>
      <c r="J99" s="6" t="s">
        <v>5</v>
      </c>
      <c r="K99" s="6" t="s">
        <v>2</v>
      </c>
      <c r="L99" s="6" t="s">
        <v>2</v>
      </c>
      <c r="M99" s="6" t="s">
        <v>4</v>
      </c>
      <c r="N99" s="6" t="s">
        <v>4</v>
      </c>
      <c r="O99" s="6" t="s">
        <v>5</v>
      </c>
      <c r="P99" s="6" t="s">
        <v>5</v>
      </c>
      <c r="Q99" s="6" t="s">
        <v>4</v>
      </c>
      <c r="R99" s="6" t="s">
        <v>5</v>
      </c>
      <c r="S99" s="6" t="s">
        <v>5</v>
      </c>
      <c r="T99" s="6" t="s">
        <v>2</v>
      </c>
      <c r="U99" s="6" t="s">
        <v>5</v>
      </c>
      <c r="V99" s="6" t="s">
        <v>5</v>
      </c>
      <c r="W99" s="6" t="s">
        <v>4</v>
      </c>
      <c r="X99" s="6" t="s">
        <v>3</v>
      </c>
      <c r="Y99" s="6" t="s">
        <v>2</v>
      </c>
      <c r="Z99" s="6" t="s">
        <v>3</v>
      </c>
      <c r="AA99" s="6" t="s">
        <v>3</v>
      </c>
      <c r="AB99" s="6" t="s">
        <v>4</v>
      </c>
      <c r="AC99" s="6" t="s">
        <v>4</v>
      </c>
      <c r="AD99" s="6" t="s">
        <v>4</v>
      </c>
      <c r="AE99" s="6" t="s">
        <v>4</v>
      </c>
      <c r="AF99" s="6" t="s">
        <v>4</v>
      </c>
      <c r="AG99" s="6" t="s">
        <v>3</v>
      </c>
      <c r="AH99" s="6" t="s">
        <v>4</v>
      </c>
      <c r="AI99" s="6" t="s">
        <v>3</v>
      </c>
      <c r="AJ99" s="6" t="s">
        <v>4</v>
      </c>
      <c r="AK99" s="6" t="s">
        <v>4</v>
      </c>
      <c r="AL99" s="6" t="s">
        <v>4</v>
      </c>
      <c r="AM99" s="6" t="s">
        <v>3</v>
      </c>
    </row>
    <row r="100" spans="1:39">
      <c r="A100" s="6">
        <f t="shared" si="1"/>
        <v>99</v>
      </c>
      <c r="B100" s="6" t="s">
        <v>38</v>
      </c>
      <c r="C100" s="52">
        <v>6</v>
      </c>
      <c r="D100" s="6" t="s">
        <v>5</v>
      </c>
      <c r="E100" s="6" t="s">
        <v>3</v>
      </c>
      <c r="F100" s="6" t="s">
        <v>5</v>
      </c>
      <c r="G100" s="6" t="s">
        <v>5</v>
      </c>
      <c r="H100" s="6" t="s">
        <v>5</v>
      </c>
      <c r="I100" s="6" t="s">
        <v>5</v>
      </c>
      <c r="J100" s="6" t="s">
        <v>5</v>
      </c>
      <c r="K100" s="6" t="s">
        <v>2</v>
      </c>
      <c r="L100" s="6" t="s">
        <v>2</v>
      </c>
      <c r="M100" s="6" t="s">
        <v>4</v>
      </c>
      <c r="N100" s="6" t="s">
        <v>3</v>
      </c>
      <c r="O100" s="6" t="s">
        <v>5</v>
      </c>
      <c r="P100" s="6" t="s">
        <v>2</v>
      </c>
      <c r="Q100" s="6" t="s">
        <v>3</v>
      </c>
      <c r="R100" s="6" t="s">
        <v>2</v>
      </c>
      <c r="S100" s="6" t="s">
        <v>5</v>
      </c>
      <c r="T100" s="6" t="s">
        <v>5</v>
      </c>
      <c r="U100" s="6" t="s">
        <v>5</v>
      </c>
      <c r="V100" s="6" t="s">
        <v>5</v>
      </c>
      <c r="W100" s="6" t="s">
        <v>2</v>
      </c>
      <c r="X100" s="6" t="s">
        <v>2</v>
      </c>
      <c r="Y100" s="6" t="s">
        <v>2</v>
      </c>
      <c r="Z100" s="6" t="s">
        <v>3</v>
      </c>
      <c r="AA100" s="6" t="s">
        <v>4</v>
      </c>
      <c r="AB100" s="6" t="s">
        <v>4</v>
      </c>
      <c r="AC100" s="6" t="s">
        <v>4</v>
      </c>
      <c r="AD100" s="6" t="s">
        <v>4</v>
      </c>
      <c r="AE100" s="6" t="s">
        <v>4</v>
      </c>
      <c r="AF100" s="6" t="s">
        <v>3</v>
      </c>
      <c r="AG100" s="6" t="s">
        <v>4</v>
      </c>
      <c r="AH100" s="6" t="s">
        <v>4</v>
      </c>
      <c r="AI100" s="6" t="s">
        <v>4</v>
      </c>
      <c r="AJ100" s="6" t="s">
        <v>4</v>
      </c>
      <c r="AK100" s="6" t="s">
        <v>4</v>
      </c>
      <c r="AL100" s="6" t="s">
        <v>4</v>
      </c>
      <c r="AM100" s="6" t="s">
        <v>3</v>
      </c>
    </row>
    <row r="101" spans="1:39">
      <c r="A101" s="6">
        <f t="shared" si="1"/>
        <v>100</v>
      </c>
      <c r="B101" s="6" t="s">
        <v>254</v>
      </c>
      <c r="C101" s="52">
        <v>6</v>
      </c>
      <c r="D101" s="6" t="s">
        <v>4</v>
      </c>
      <c r="E101" s="6" t="s">
        <v>5</v>
      </c>
      <c r="F101" s="6" t="s">
        <v>2</v>
      </c>
      <c r="G101" s="6" t="s">
        <v>5</v>
      </c>
      <c r="H101" s="6" t="s">
        <v>5</v>
      </c>
      <c r="I101" s="6" t="s">
        <v>5</v>
      </c>
      <c r="J101" s="6" t="s">
        <v>2</v>
      </c>
      <c r="K101" s="6" t="s">
        <v>2</v>
      </c>
      <c r="L101" s="6" t="s">
        <v>2</v>
      </c>
      <c r="M101" s="6" t="s">
        <v>4</v>
      </c>
      <c r="N101" s="6" t="s">
        <v>3</v>
      </c>
      <c r="O101" s="6" t="s">
        <v>5</v>
      </c>
      <c r="P101" s="6" t="s">
        <v>5</v>
      </c>
      <c r="Q101" s="6" t="s">
        <v>4</v>
      </c>
      <c r="R101" s="6" t="s">
        <v>5</v>
      </c>
      <c r="S101" s="6" t="s">
        <v>5</v>
      </c>
      <c r="T101" s="6" t="s">
        <v>5</v>
      </c>
      <c r="U101" s="6" t="s">
        <v>5</v>
      </c>
      <c r="V101" s="6" t="s">
        <v>5</v>
      </c>
      <c r="W101" s="6" t="s">
        <v>4</v>
      </c>
      <c r="X101" s="6" t="s">
        <v>3</v>
      </c>
      <c r="Y101" s="6" t="s">
        <v>2</v>
      </c>
      <c r="Z101" s="6" t="s">
        <v>3</v>
      </c>
      <c r="AA101" s="6" t="s">
        <v>4</v>
      </c>
      <c r="AB101" s="6" t="s">
        <v>4</v>
      </c>
      <c r="AC101" s="6" t="s">
        <v>4</v>
      </c>
      <c r="AD101" s="6" t="s">
        <v>3</v>
      </c>
      <c r="AE101" s="6" t="s">
        <v>4</v>
      </c>
      <c r="AF101" s="6" t="s">
        <v>3</v>
      </c>
      <c r="AG101" s="6" t="s">
        <v>3</v>
      </c>
      <c r="AH101" s="6" t="s">
        <v>3</v>
      </c>
      <c r="AI101" s="6" t="s">
        <v>3</v>
      </c>
      <c r="AJ101" s="6" t="s">
        <v>3</v>
      </c>
      <c r="AK101" s="6" t="s">
        <v>3</v>
      </c>
      <c r="AL101" s="6" t="s">
        <v>3</v>
      </c>
      <c r="AM101" s="6" t="s">
        <v>3</v>
      </c>
    </row>
    <row r="102" spans="1:39">
      <c r="A102" s="6">
        <f t="shared" si="1"/>
        <v>101</v>
      </c>
      <c r="B102" s="6" t="s">
        <v>253</v>
      </c>
      <c r="C102" s="52">
        <v>6</v>
      </c>
      <c r="D102" s="6" t="s">
        <v>5</v>
      </c>
      <c r="E102" s="6" t="s">
        <v>5</v>
      </c>
      <c r="F102" s="6" t="s">
        <v>3</v>
      </c>
      <c r="G102" s="6" t="s">
        <v>2</v>
      </c>
      <c r="H102" s="6" t="s">
        <v>5</v>
      </c>
      <c r="I102" s="6" t="s">
        <v>5</v>
      </c>
      <c r="J102" s="6" t="s">
        <v>5</v>
      </c>
      <c r="K102" s="6" t="s">
        <v>5</v>
      </c>
      <c r="L102" s="6" t="s">
        <v>2</v>
      </c>
      <c r="M102" s="6" t="s">
        <v>4</v>
      </c>
      <c r="N102" s="6" t="s">
        <v>4</v>
      </c>
      <c r="O102" s="6" t="s">
        <v>2</v>
      </c>
      <c r="P102" s="6" t="s">
        <v>5</v>
      </c>
      <c r="Q102" s="6" t="s">
        <v>2</v>
      </c>
      <c r="R102" s="6" t="s">
        <v>2</v>
      </c>
      <c r="S102" s="6" t="s">
        <v>5</v>
      </c>
      <c r="T102" s="6" t="s">
        <v>3</v>
      </c>
      <c r="U102" s="6" t="s">
        <v>5</v>
      </c>
      <c r="V102" s="6" t="s">
        <v>3</v>
      </c>
      <c r="W102" s="6" t="s">
        <v>2</v>
      </c>
      <c r="X102" s="6" t="s">
        <v>2</v>
      </c>
      <c r="Y102" s="6" t="s">
        <v>5</v>
      </c>
      <c r="Z102" s="6" t="s">
        <v>3</v>
      </c>
      <c r="AA102" s="6" t="s">
        <v>4</v>
      </c>
      <c r="AB102" s="6" t="s">
        <v>4</v>
      </c>
      <c r="AC102" s="6" t="s">
        <v>4</v>
      </c>
      <c r="AD102" s="6" t="s">
        <v>3</v>
      </c>
      <c r="AE102" s="6" t="s">
        <v>4</v>
      </c>
      <c r="AF102" s="6" t="s">
        <v>3</v>
      </c>
      <c r="AG102" s="6" t="s">
        <v>3</v>
      </c>
      <c r="AH102" s="6" t="s">
        <v>3</v>
      </c>
      <c r="AI102" s="6" t="s">
        <v>3</v>
      </c>
      <c r="AJ102" s="6" t="s">
        <v>3</v>
      </c>
      <c r="AK102" s="6" t="s">
        <v>3</v>
      </c>
      <c r="AL102" s="6" t="s">
        <v>4</v>
      </c>
      <c r="AM102" s="6" t="s">
        <v>3</v>
      </c>
    </row>
    <row r="103" spans="1:39">
      <c r="A103" s="6">
        <f t="shared" si="1"/>
        <v>102</v>
      </c>
      <c r="B103" s="6" t="s">
        <v>275</v>
      </c>
      <c r="C103" s="52">
        <v>6</v>
      </c>
      <c r="D103" s="6" t="s">
        <v>5</v>
      </c>
      <c r="E103" s="6" t="s">
        <v>3</v>
      </c>
      <c r="F103" s="6" t="s">
        <v>3</v>
      </c>
      <c r="G103" s="6" t="s">
        <v>5</v>
      </c>
      <c r="H103" s="6" t="s">
        <v>5</v>
      </c>
      <c r="I103" s="6" t="s">
        <v>5</v>
      </c>
      <c r="J103" s="6" t="s">
        <v>5</v>
      </c>
      <c r="K103" s="6" t="s">
        <v>2</v>
      </c>
      <c r="L103" s="6" t="s">
        <v>2</v>
      </c>
      <c r="M103" s="6" t="s">
        <v>5</v>
      </c>
      <c r="N103" s="6" t="s">
        <v>3</v>
      </c>
      <c r="O103" s="6" t="s">
        <v>5</v>
      </c>
      <c r="P103" s="6" t="s">
        <v>5</v>
      </c>
      <c r="Q103" s="6" t="s">
        <v>3</v>
      </c>
      <c r="R103" s="6" t="s">
        <v>2</v>
      </c>
      <c r="S103" s="6" t="s">
        <v>5</v>
      </c>
      <c r="T103" s="6" t="s">
        <v>5</v>
      </c>
      <c r="U103" s="6" t="s">
        <v>5</v>
      </c>
      <c r="V103" s="6" t="s">
        <v>5</v>
      </c>
      <c r="W103" s="6" t="s">
        <v>4</v>
      </c>
      <c r="X103" s="6" t="s">
        <v>4</v>
      </c>
      <c r="Y103" s="6" t="s">
        <v>4</v>
      </c>
      <c r="Z103" s="6" t="s">
        <v>3</v>
      </c>
      <c r="AA103" s="6" t="s">
        <v>4</v>
      </c>
      <c r="AB103" s="6" t="s">
        <v>4</v>
      </c>
      <c r="AC103" s="6" t="s">
        <v>4</v>
      </c>
      <c r="AD103" s="6" t="s">
        <v>4</v>
      </c>
      <c r="AE103" s="6" t="s">
        <v>4</v>
      </c>
      <c r="AF103" s="6" t="s">
        <v>4</v>
      </c>
      <c r="AG103" s="6" t="s">
        <v>3</v>
      </c>
      <c r="AH103" s="6" t="s">
        <v>4</v>
      </c>
      <c r="AI103" s="6" t="s">
        <v>3</v>
      </c>
      <c r="AJ103" s="6" t="s">
        <v>3</v>
      </c>
      <c r="AK103" s="6" t="s">
        <v>3</v>
      </c>
      <c r="AL103" s="6" t="s">
        <v>4</v>
      </c>
      <c r="AM103" s="6" t="s">
        <v>3</v>
      </c>
    </row>
    <row r="104" spans="1:39">
      <c r="A104" s="6">
        <f t="shared" si="1"/>
        <v>103</v>
      </c>
      <c r="B104" s="6" t="s">
        <v>276</v>
      </c>
      <c r="C104" s="52">
        <v>6</v>
      </c>
      <c r="D104" s="6" t="s">
        <v>5</v>
      </c>
      <c r="E104" s="6" t="s">
        <v>5</v>
      </c>
      <c r="F104" s="6" t="s">
        <v>5</v>
      </c>
      <c r="G104" s="6" t="s">
        <v>5</v>
      </c>
      <c r="H104" s="6" t="s">
        <v>5</v>
      </c>
      <c r="I104" s="6" t="s">
        <v>5</v>
      </c>
      <c r="J104" s="6" t="s">
        <v>5</v>
      </c>
      <c r="K104" s="6" t="s">
        <v>2</v>
      </c>
      <c r="L104" s="6" t="s">
        <v>3</v>
      </c>
      <c r="M104" s="6" t="s">
        <v>5</v>
      </c>
      <c r="N104" s="6" t="s">
        <v>4</v>
      </c>
      <c r="O104" s="6" t="s">
        <v>5</v>
      </c>
      <c r="P104" s="6" t="s">
        <v>2</v>
      </c>
      <c r="Q104" s="6" t="s">
        <v>2</v>
      </c>
      <c r="R104" s="6" t="s">
        <v>2</v>
      </c>
      <c r="S104" s="6" t="s">
        <v>5</v>
      </c>
      <c r="T104" s="6" t="s">
        <v>3</v>
      </c>
      <c r="U104" s="6" t="s">
        <v>5</v>
      </c>
      <c r="V104" s="6" t="s">
        <v>5</v>
      </c>
      <c r="W104" s="6" t="s">
        <v>3</v>
      </c>
      <c r="X104" s="6" t="s">
        <v>2</v>
      </c>
      <c r="Y104" s="6" t="s">
        <v>2</v>
      </c>
      <c r="Z104" s="6" t="s">
        <v>3</v>
      </c>
      <c r="AA104" s="6" t="s">
        <v>4</v>
      </c>
      <c r="AB104" s="6" t="s">
        <v>4</v>
      </c>
      <c r="AC104" s="6" t="s">
        <v>4</v>
      </c>
      <c r="AD104" s="6" t="s">
        <v>4</v>
      </c>
      <c r="AE104" s="6" t="s">
        <v>4</v>
      </c>
      <c r="AF104" s="6" t="s">
        <v>4</v>
      </c>
      <c r="AG104" s="6" t="s">
        <v>4</v>
      </c>
      <c r="AH104" s="6" t="s">
        <v>4</v>
      </c>
      <c r="AI104" s="6" t="s">
        <v>3</v>
      </c>
      <c r="AJ104" s="6" t="s">
        <v>3</v>
      </c>
      <c r="AK104" s="6" t="s">
        <v>4</v>
      </c>
      <c r="AL104" s="6" t="s">
        <v>4</v>
      </c>
      <c r="AM104" s="6" t="s">
        <v>3</v>
      </c>
    </row>
    <row r="105" spans="1:39">
      <c r="A105" s="6">
        <f t="shared" si="1"/>
        <v>104</v>
      </c>
      <c r="B105" s="6" t="s">
        <v>277</v>
      </c>
      <c r="C105" s="52">
        <v>6</v>
      </c>
      <c r="D105" s="6" t="s">
        <v>5</v>
      </c>
      <c r="E105" s="6" t="s">
        <v>3</v>
      </c>
      <c r="F105" s="6" t="s">
        <v>4</v>
      </c>
      <c r="G105" s="6" t="s">
        <v>5</v>
      </c>
      <c r="H105" s="6" t="s">
        <v>5</v>
      </c>
      <c r="I105" s="6" t="s">
        <v>3</v>
      </c>
      <c r="J105" s="6" t="s">
        <v>2</v>
      </c>
      <c r="K105" s="6" t="s">
        <v>2</v>
      </c>
      <c r="L105" s="6" t="s">
        <v>3</v>
      </c>
      <c r="M105" s="6" t="s">
        <v>3</v>
      </c>
      <c r="N105" s="6" t="s">
        <v>4</v>
      </c>
      <c r="O105" s="6" t="s">
        <v>5</v>
      </c>
      <c r="P105" s="6" t="s">
        <v>5</v>
      </c>
      <c r="Q105" s="6" t="s">
        <v>3</v>
      </c>
      <c r="R105" s="6" t="s">
        <v>5</v>
      </c>
      <c r="S105" s="6" t="s">
        <v>5</v>
      </c>
      <c r="T105" s="6" t="s">
        <v>5</v>
      </c>
      <c r="U105" s="6" t="s">
        <v>5</v>
      </c>
      <c r="V105" s="6" t="s">
        <v>4</v>
      </c>
      <c r="W105" s="6" t="s">
        <v>4</v>
      </c>
      <c r="X105" s="6" t="s">
        <v>3</v>
      </c>
      <c r="Y105" s="6" t="s">
        <v>4</v>
      </c>
      <c r="Z105" s="6" t="s">
        <v>3</v>
      </c>
      <c r="AA105" s="6" t="s">
        <v>3</v>
      </c>
      <c r="AB105" s="6" t="s">
        <v>3</v>
      </c>
      <c r="AC105" s="6" t="s">
        <v>4</v>
      </c>
      <c r="AD105" s="6" t="s">
        <v>4</v>
      </c>
      <c r="AE105" s="6" t="s">
        <v>4</v>
      </c>
      <c r="AF105" s="6" t="s">
        <v>4</v>
      </c>
      <c r="AG105" s="6" t="s">
        <v>4</v>
      </c>
      <c r="AH105" s="6" t="s">
        <v>4</v>
      </c>
      <c r="AI105" s="6" t="s">
        <v>4</v>
      </c>
      <c r="AJ105" s="6" t="s">
        <v>4</v>
      </c>
      <c r="AK105" s="6" t="s">
        <v>4</v>
      </c>
      <c r="AL105" s="6" t="s">
        <v>4</v>
      </c>
      <c r="AM105" s="6" t="s">
        <v>4</v>
      </c>
    </row>
    <row r="106" spans="1:39">
      <c r="A106" s="6">
        <f t="shared" si="1"/>
        <v>105</v>
      </c>
      <c r="B106" s="6" t="s">
        <v>278</v>
      </c>
      <c r="C106" s="52">
        <v>6</v>
      </c>
      <c r="D106" s="6" t="s">
        <v>5</v>
      </c>
      <c r="E106" s="6" t="s">
        <v>5</v>
      </c>
      <c r="F106" s="6" t="s">
        <v>3</v>
      </c>
      <c r="G106" s="6" t="s">
        <v>5</v>
      </c>
      <c r="H106" s="6" t="s">
        <v>5</v>
      </c>
      <c r="I106" s="6" t="s">
        <v>5</v>
      </c>
      <c r="J106" s="6" t="s">
        <v>5</v>
      </c>
      <c r="K106" s="6" t="s">
        <v>2</v>
      </c>
      <c r="L106" s="6" t="s">
        <v>2</v>
      </c>
      <c r="M106" s="6" t="s">
        <v>4</v>
      </c>
      <c r="N106" s="6" t="s">
        <v>4</v>
      </c>
      <c r="O106" s="6" t="s">
        <v>4</v>
      </c>
      <c r="P106" s="6" t="s">
        <v>5</v>
      </c>
      <c r="Q106" s="6" t="s">
        <v>4</v>
      </c>
      <c r="R106" s="6" t="s">
        <v>5</v>
      </c>
      <c r="S106" s="6" t="s">
        <v>5</v>
      </c>
      <c r="T106" s="6" t="s">
        <v>5</v>
      </c>
      <c r="U106" s="6" t="s">
        <v>5</v>
      </c>
      <c r="V106" s="6" t="s">
        <v>3</v>
      </c>
      <c r="W106" s="6" t="s">
        <v>5</v>
      </c>
      <c r="X106" s="6" t="s">
        <v>2</v>
      </c>
      <c r="Y106" s="6" t="s">
        <v>4</v>
      </c>
      <c r="Z106" s="6" t="s">
        <v>3</v>
      </c>
      <c r="AA106" s="6" t="s">
        <v>4</v>
      </c>
      <c r="AB106" s="6" t="s">
        <v>4</v>
      </c>
      <c r="AC106" s="6" t="s">
        <v>4</v>
      </c>
      <c r="AD106" s="6" t="s">
        <v>4</v>
      </c>
      <c r="AE106" s="6" t="s">
        <v>4</v>
      </c>
      <c r="AF106" s="6" t="s">
        <v>4</v>
      </c>
      <c r="AG106" s="6" t="s">
        <v>3</v>
      </c>
      <c r="AH106" s="6" t="s">
        <v>4</v>
      </c>
      <c r="AI106" s="6" t="s">
        <v>3</v>
      </c>
      <c r="AJ106" s="6" t="s">
        <v>3</v>
      </c>
      <c r="AK106" s="6" t="s">
        <v>4</v>
      </c>
      <c r="AL106" s="6" t="s">
        <v>4</v>
      </c>
      <c r="AM106" s="6" t="s">
        <v>3</v>
      </c>
    </row>
    <row r="107" spans="1:39">
      <c r="A107" s="6">
        <f t="shared" si="1"/>
        <v>106</v>
      </c>
      <c r="B107" s="6" t="s">
        <v>474</v>
      </c>
      <c r="C107" s="6">
        <v>6</v>
      </c>
      <c r="D107" s="6" t="s">
        <v>5</v>
      </c>
      <c r="E107" s="6" t="s">
        <v>5</v>
      </c>
      <c r="F107" s="6" t="s">
        <v>3</v>
      </c>
      <c r="G107" s="6" t="s">
        <v>5</v>
      </c>
      <c r="H107" s="6" t="s">
        <v>5</v>
      </c>
      <c r="I107" s="6" t="s">
        <v>5</v>
      </c>
      <c r="J107" s="6" t="s">
        <v>2</v>
      </c>
      <c r="K107" s="6" t="s">
        <v>2</v>
      </c>
      <c r="L107" s="6" t="s">
        <v>2</v>
      </c>
      <c r="M107" s="6" t="s">
        <v>2</v>
      </c>
      <c r="N107" s="6" t="s">
        <v>4</v>
      </c>
      <c r="O107" s="6" t="s">
        <v>5</v>
      </c>
      <c r="P107" s="6" t="s">
        <v>2</v>
      </c>
      <c r="Q107" s="6" t="s">
        <v>3</v>
      </c>
      <c r="R107" s="6" t="s">
        <v>3</v>
      </c>
      <c r="S107" s="6" t="s">
        <v>5</v>
      </c>
      <c r="T107" s="6" t="s">
        <v>3</v>
      </c>
      <c r="U107" s="6" t="s">
        <v>2</v>
      </c>
      <c r="V107" s="6" t="s">
        <v>3</v>
      </c>
      <c r="W107" s="6" t="s">
        <v>4</v>
      </c>
      <c r="X107" s="6" t="s">
        <v>4</v>
      </c>
      <c r="Y107" s="6" t="s">
        <v>4</v>
      </c>
      <c r="Z107" s="6" t="s">
        <v>3</v>
      </c>
      <c r="AA107" s="6" t="s">
        <v>4</v>
      </c>
      <c r="AB107" s="6" t="s">
        <v>4</v>
      </c>
      <c r="AC107" s="6" t="s">
        <v>4</v>
      </c>
      <c r="AD107" s="6" t="s">
        <v>4</v>
      </c>
      <c r="AE107" s="6" t="s">
        <v>4</v>
      </c>
      <c r="AF107" s="6" t="s">
        <v>4</v>
      </c>
      <c r="AG107" s="6" t="s">
        <v>3</v>
      </c>
      <c r="AH107" s="6" t="s">
        <v>4</v>
      </c>
      <c r="AI107" s="6" t="s">
        <v>3</v>
      </c>
      <c r="AJ107" s="6" t="s">
        <v>4</v>
      </c>
      <c r="AK107" s="6" t="s">
        <v>3</v>
      </c>
      <c r="AL107" s="6" t="s">
        <v>3</v>
      </c>
      <c r="AM107" s="6" t="s">
        <v>3</v>
      </c>
    </row>
    <row r="108" spans="1:39">
      <c r="A108" s="6">
        <f t="shared" si="1"/>
        <v>107</v>
      </c>
      <c r="B108" s="6" t="s">
        <v>476</v>
      </c>
      <c r="C108" s="6">
        <v>6</v>
      </c>
      <c r="D108" s="6" t="s">
        <v>5</v>
      </c>
      <c r="E108" s="6" t="s">
        <v>5</v>
      </c>
      <c r="F108" s="6" t="s">
        <v>5</v>
      </c>
      <c r="G108" s="6" t="s">
        <v>5</v>
      </c>
      <c r="H108" s="6" t="s">
        <v>5</v>
      </c>
      <c r="I108" s="6" t="s">
        <v>5</v>
      </c>
      <c r="J108" s="6" t="s">
        <v>5</v>
      </c>
      <c r="K108" s="6" t="s">
        <v>2</v>
      </c>
      <c r="L108" s="6" t="s">
        <v>3</v>
      </c>
      <c r="M108" s="6" t="s">
        <v>3</v>
      </c>
      <c r="N108" s="6" t="s">
        <v>4</v>
      </c>
      <c r="O108" s="6" t="s">
        <v>3</v>
      </c>
      <c r="P108" s="6" t="s">
        <v>5</v>
      </c>
      <c r="Q108" s="6" t="s">
        <v>3</v>
      </c>
      <c r="R108" s="6" t="s">
        <v>3</v>
      </c>
      <c r="S108" s="6" t="s">
        <v>5</v>
      </c>
      <c r="T108" s="6" t="s">
        <v>3</v>
      </c>
      <c r="U108" s="6" t="s">
        <v>5</v>
      </c>
      <c r="V108" s="6" t="s">
        <v>4</v>
      </c>
      <c r="W108" s="6" t="s">
        <v>2</v>
      </c>
      <c r="X108" s="6" t="s">
        <v>5</v>
      </c>
      <c r="Y108" s="6" t="s">
        <v>4</v>
      </c>
      <c r="Z108" s="6" t="s">
        <v>3</v>
      </c>
      <c r="AA108" s="6" t="s">
        <v>4</v>
      </c>
      <c r="AB108" s="6" t="s">
        <v>4</v>
      </c>
      <c r="AC108" s="6" t="s">
        <v>4</v>
      </c>
      <c r="AD108" s="6" t="s">
        <v>4</v>
      </c>
      <c r="AE108" s="6" t="s">
        <v>3</v>
      </c>
      <c r="AF108" s="6" t="s">
        <v>4</v>
      </c>
      <c r="AG108" s="6" t="s">
        <v>3</v>
      </c>
      <c r="AH108" s="6" t="s">
        <v>4</v>
      </c>
      <c r="AI108" s="6" t="s">
        <v>3</v>
      </c>
      <c r="AJ108" s="6" t="s">
        <v>4</v>
      </c>
      <c r="AK108" s="6" t="s">
        <v>3</v>
      </c>
      <c r="AL108" s="6" t="s">
        <v>3</v>
      </c>
      <c r="AM108" s="6" t="s">
        <v>3</v>
      </c>
    </row>
    <row r="109" spans="1:39">
      <c r="A109" s="6">
        <f t="shared" si="1"/>
        <v>108</v>
      </c>
      <c r="B109" s="6" t="s">
        <v>489</v>
      </c>
      <c r="C109" s="6">
        <v>6</v>
      </c>
      <c r="D109" s="6" t="s">
        <v>5</v>
      </c>
      <c r="E109" s="6" t="s">
        <v>5</v>
      </c>
      <c r="F109" s="6" t="s">
        <v>4</v>
      </c>
      <c r="G109" s="6" t="s">
        <v>5</v>
      </c>
      <c r="H109" s="6" t="s">
        <v>5</v>
      </c>
      <c r="I109" s="6" t="s">
        <v>3</v>
      </c>
      <c r="J109" s="6" t="s">
        <v>5</v>
      </c>
      <c r="K109" s="6" t="s">
        <v>2</v>
      </c>
      <c r="L109" s="6" t="s">
        <v>2</v>
      </c>
      <c r="M109" s="6" t="s">
        <v>4</v>
      </c>
      <c r="N109" s="6" t="s">
        <v>3</v>
      </c>
      <c r="O109" s="6" t="s">
        <v>5</v>
      </c>
      <c r="P109" s="6" t="s">
        <v>5</v>
      </c>
      <c r="Q109" s="6" t="s">
        <v>4</v>
      </c>
      <c r="R109" s="6" t="s">
        <v>5</v>
      </c>
      <c r="S109" s="6" t="s">
        <v>5</v>
      </c>
      <c r="T109" s="6" t="s">
        <v>5</v>
      </c>
      <c r="U109" s="6" t="s">
        <v>5</v>
      </c>
      <c r="V109" s="6" t="s">
        <v>2</v>
      </c>
      <c r="W109" s="6" t="s">
        <v>4</v>
      </c>
      <c r="X109" s="6" t="s">
        <v>5</v>
      </c>
      <c r="Y109" s="6" t="s">
        <v>2</v>
      </c>
      <c r="Z109" s="6" t="s">
        <v>3</v>
      </c>
      <c r="AA109" s="6" t="s">
        <v>4</v>
      </c>
      <c r="AB109" s="6" t="s">
        <v>4</v>
      </c>
      <c r="AC109" s="6" t="s">
        <v>4</v>
      </c>
      <c r="AD109" s="6" t="s">
        <v>4</v>
      </c>
      <c r="AE109" s="6" t="s">
        <v>4</v>
      </c>
      <c r="AF109" s="6" t="s">
        <v>4</v>
      </c>
      <c r="AG109" s="6" t="s">
        <v>3</v>
      </c>
      <c r="AH109" s="6" t="s">
        <v>4</v>
      </c>
      <c r="AI109" s="6" t="s">
        <v>4</v>
      </c>
      <c r="AJ109" s="6" t="s">
        <v>4</v>
      </c>
      <c r="AK109" s="6" t="s">
        <v>3</v>
      </c>
      <c r="AL109" s="6" t="s">
        <v>4</v>
      </c>
      <c r="AM109" s="6" t="s">
        <v>3</v>
      </c>
    </row>
    <row r="110" spans="1:39">
      <c r="A110" s="6">
        <f t="shared" si="1"/>
        <v>109</v>
      </c>
      <c r="B110" s="6" t="s">
        <v>430</v>
      </c>
      <c r="C110" s="6">
        <v>6</v>
      </c>
      <c r="D110" s="6" t="s">
        <v>5</v>
      </c>
      <c r="E110" s="6" t="s">
        <v>5</v>
      </c>
      <c r="F110" s="6" t="s">
        <v>3</v>
      </c>
      <c r="G110" s="6" t="s">
        <v>5</v>
      </c>
      <c r="H110" s="6" t="s">
        <v>5</v>
      </c>
      <c r="I110" s="6" t="s">
        <v>5</v>
      </c>
      <c r="J110" s="6" t="s">
        <v>5</v>
      </c>
      <c r="K110" s="6" t="s">
        <v>2</v>
      </c>
      <c r="L110" s="6" t="s">
        <v>2</v>
      </c>
      <c r="M110" s="6" t="s">
        <v>4</v>
      </c>
      <c r="N110" s="6" t="s">
        <v>4</v>
      </c>
      <c r="O110" s="6" t="s">
        <v>4</v>
      </c>
      <c r="P110" s="6" t="s">
        <v>5</v>
      </c>
      <c r="Q110" s="6" t="s">
        <v>4</v>
      </c>
      <c r="R110" s="6" t="s">
        <v>5</v>
      </c>
      <c r="S110" s="6" t="s">
        <v>5</v>
      </c>
      <c r="T110" s="6" t="s">
        <v>5</v>
      </c>
      <c r="U110" s="6" t="s">
        <v>5</v>
      </c>
      <c r="V110" s="6" t="s">
        <v>3</v>
      </c>
      <c r="W110" s="6" t="s">
        <v>5</v>
      </c>
      <c r="X110" s="6" t="s">
        <v>2</v>
      </c>
      <c r="Y110" s="6" t="s">
        <v>2</v>
      </c>
      <c r="Z110" s="6" t="s">
        <v>3</v>
      </c>
      <c r="AA110" s="6" t="s">
        <v>4</v>
      </c>
      <c r="AB110" s="6" t="s">
        <v>4</v>
      </c>
      <c r="AC110" s="6" t="s">
        <v>4</v>
      </c>
      <c r="AD110" s="6" t="s">
        <v>4</v>
      </c>
      <c r="AE110" s="6" t="s">
        <v>4</v>
      </c>
      <c r="AF110" s="6" t="s">
        <v>4</v>
      </c>
      <c r="AG110" s="6" t="s">
        <v>3</v>
      </c>
      <c r="AH110" s="6" t="s">
        <v>4</v>
      </c>
      <c r="AI110" s="6" t="s">
        <v>3</v>
      </c>
      <c r="AJ110" s="6" t="s">
        <v>3</v>
      </c>
      <c r="AK110" s="6" t="s">
        <v>4</v>
      </c>
      <c r="AL110" s="6" t="s">
        <v>3</v>
      </c>
      <c r="AM110" s="6" t="s">
        <v>3</v>
      </c>
    </row>
    <row r="111" spans="1:39">
      <c r="A111" s="6">
        <f t="shared" si="1"/>
        <v>110</v>
      </c>
      <c r="B111" s="6" t="s">
        <v>327</v>
      </c>
      <c r="C111" s="6">
        <v>6</v>
      </c>
      <c r="D111" s="6" t="s">
        <v>4</v>
      </c>
      <c r="E111" s="6" t="s">
        <v>5</v>
      </c>
      <c r="F111" s="6" t="s">
        <v>2</v>
      </c>
      <c r="G111" s="6" t="s">
        <v>5</v>
      </c>
      <c r="H111" s="6" t="s">
        <v>5</v>
      </c>
      <c r="I111" s="6" t="s">
        <v>5</v>
      </c>
      <c r="J111" s="6" t="s">
        <v>2</v>
      </c>
      <c r="K111" s="6" t="s">
        <v>2</v>
      </c>
      <c r="L111" s="6" t="s">
        <v>2</v>
      </c>
      <c r="M111" s="6" t="s">
        <v>4</v>
      </c>
      <c r="N111" s="6" t="s">
        <v>2</v>
      </c>
      <c r="O111" s="6" t="s">
        <v>5</v>
      </c>
      <c r="P111" s="6" t="s">
        <v>5</v>
      </c>
      <c r="Q111" s="6" t="s">
        <v>4</v>
      </c>
      <c r="R111" s="6" t="s">
        <v>5</v>
      </c>
      <c r="S111" s="6" t="s">
        <v>5</v>
      </c>
      <c r="T111" s="6" t="s">
        <v>5</v>
      </c>
      <c r="U111" s="6" t="s">
        <v>5</v>
      </c>
      <c r="V111" s="6" t="s">
        <v>5</v>
      </c>
      <c r="W111" s="6" t="s">
        <v>4</v>
      </c>
      <c r="X111" s="6" t="s">
        <v>3</v>
      </c>
      <c r="Y111" s="6" t="s">
        <v>2</v>
      </c>
      <c r="Z111" s="6" t="s">
        <v>3</v>
      </c>
      <c r="AA111" s="6" t="s">
        <v>4</v>
      </c>
      <c r="AB111" s="6" t="s">
        <v>4</v>
      </c>
      <c r="AC111" s="6" t="s">
        <v>4</v>
      </c>
      <c r="AD111" s="6" t="s">
        <v>3</v>
      </c>
      <c r="AE111" s="6" t="s">
        <v>4</v>
      </c>
      <c r="AF111" s="6" t="s">
        <v>3</v>
      </c>
      <c r="AG111" s="6" t="s">
        <v>3</v>
      </c>
      <c r="AH111" s="6" t="s">
        <v>3</v>
      </c>
      <c r="AI111" s="6" t="s">
        <v>3</v>
      </c>
      <c r="AJ111" s="6" t="s">
        <v>3</v>
      </c>
      <c r="AK111" s="6" t="s">
        <v>3</v>
      </c>
      <c r="AL111" s="6" t="s">
        <v>3</v>
      </c>
      <c r="AM111" s="6" t="s">
        <v>3</v>
      </c>
    </row>
    <row r="112" spans="1:39">
      <c r="A112" s="6">
        <f t="shared" si="1"/>
        <v>111</v>
      </c>
      <c r="B112" s="6" t="s">
        <v>328</v>
      </c>
      <c r="C112" s="6">
        <v>6</v>
      </c>
      <c r="D112" s="6" t="s">
        <v>5</v>
      </c>
      <c r="E112" s="6" t="s">
        <v>5</v>
      </c>
      <c r="F112" s="6" t="s">
        <v>3</v>
      </c>
      <c r="G112" s="6" t="s">
        <v>2</v>
      </c>
      <c r="H112" s="6" t="s">
        <v>5</v>
      </c>
      <c r="I112" s="6" t="s">
        <v>5</v>
      </c>
      <c r="J112" s="6" t="s">
        <v>5</v>
      </c>
      <c r="K112" s="6" t="s">
        <v>5</v>
      </c>
      <c r="L112" s="6" t="s">
        <v>2</v>
      </c>
      <c r="M112" s="6" t="s">
        <v>4</v>
      </c>
      <c r="N112" s="6" t="s">
        <v>4</v>
      </c>
      <c r="O112" s="6" t="s">
        <v>2</v>
      </c>
      <c r="P112" s="6" t="s">
        <v>5</v>
      </c>
      <c r="Q112" s="6" t="s">
        <v>2</v>
      </c>
      <c r="R112" s="6" t="s">
        <v>2</v>
      </c>
      <c r="S112" s="6" t="s">
        <v>5</v>
      </c>
      <c r="T112" s="6" t="s">
        <v>3</v>
      </c>
      <c r="U112" s="6" t="s">
        <v>5</v>
      </c>
      <c r="V112" s="6" t="s">
        <v>3</v>
      </c>
      <c r="W112" s="6" t="s">
        <v>2</v>
      </c>
      <c r="X112" s="6" t="s">
        <v>2</v>
      </c>
      <c r="Y112" s="6" t="s">
        <v>5</v>
      </c>
      <c r="Z112" s="6" t="s">
        <v>3</v>
      </c>
      <c r="AA112" s="6" t="s">
        <v>4</v>
      </c>
      <c r="AB112" s="6" t="s">
        <v>4</v>
      </c>
      <c r="AC112" s="6" t="s">
        <v>4</v>
      </c>
      <c r="AD112" s="6" t="s">
        <v>3</v>
      </c>
      <c r="AE112" s="6" t="s">
        <v>4</v>
      </c>
      <c r="AF112" s="6" t="s">
        <v>3</v>
      </c>
      <c r="AG112" s="6" t="s">
        <v>3</v>
      </c>
      <c r="AH112" s="6" t="s">
        <v>3</v>
      </c>
      <c r="AI112" s="6" t="s">
        <v>3</v>
      </c>
      <c r="AJ112" s="6" t="s">
        <v>3</v>
      </c>
      <c r="AK112" s="6" t="s">
        <v>3</v>
      </c>
      <c r="AL112" s="6" t="s">
        <v>3</v>
      </c>
      <c r="AM112" s="6" t="s">
        <v>3</v>
      </c>
    </row>
    <row r="113" spans="1:39">
      <c r="A113" s="6">
        <f t="shared" si="1"/>
        <v>112</v>
      </c>
      <c r="B113" s="6" t="s">
        <v>475</v>
      </c>
      <c r="C113" s="6">
        <v>6</v>
      </c>
      <c r="D113" s="6" t="s">
        <v>5</v>
      </c>
      <c r="E113" s="6" t="s">
        <v>5</v>
      </c>
      <c r="F113" s="6" t="s">
        <v>2</v>
      </c>
      <c r="G113" s="6" t="s">
        <v>5</v>
      </c>
      <c r="H113" s="6" t="s">
        <v>5</v>
      </c>
      <c r="I113" s="6" t="s">
        <v>5</v>
      </c>
      <c r="J113" s="6" t="s">
        <v>5</v>
      </c>
      <c r="K113" s="6" t="s">
        <v>5</v>
      </c>
      <c r="L113" s="6" t="s">
        <v>2</v>
      </c>
      <c r="M113" s="6" t="s">
        <v>4</v>
      </c>
      <c r="N113" s="6" t="s">
        <v>4</v>
      </c>
      <c r="O113" s="6" t="s">
        <v>5</v>
      </c>
      <c r="P113" s="6" t="s">
        <v>2</v>
      </c>
      <c r="Q113" s="6" t="s">
        <v>3</v>
      </c>
      <c r="R113" s="6" t="s">
        <v>5</v>
      </c>
      <c r="S113" s="6" t="s">
        <v>5</v>
      </c>
      <c r="T113" s="6" t="s">
        <v>3</v>
      </c>
      <c r="U113" s="6" t="s">
        <v>5</v>
      </c>
      <c r="V113" s="6" t="s">
        <v>5</v>
      </c>
      <c r="W113" s="6" t="s">
        <v>4</v>
      </c>
      <c r="X113" s="6" t="s">
        <v>3</v>
      </c>
      <c r="Y113" s="6" t="s">
        <v>2</v>
      </c>
      <c r="Z113" s="6" t="s">
        <v>3</v>
      </c>
      <c r="AA113" s="6" t="s">
        <v>4</v>
      </c>
      <c r="AB113" s="6" t="s">
        <v>4</v>
      </c>
      <c r="AC113" s="6" t="s">
        <v>3</v>
      </c>
      <c r="AD113" s="6" t="s">
        <v>4</v>
      </c>
      <c r="AE113" s="6" t="s">
        <v>4</v>
      </c>
      <c r="AF113" s="6" t="s">
        <v>4</v>
      </c>
      <c r="AG113" s="6" t="s">
        <v>3</v>
      </c>
      <c r="AH113" s="6" t="s">
        <v>4</v>
      </c>
      <c r="AI113" s="6" t="s">
        <v>3</v>
      </c>
      <c r="AJ113" s="6" t="s">
        <v>4</v>
      </c>
      <c r="AK113" s="6" t="s">
        <v>4</v>
      </c>
      <c r="AL113" s="6" t="s">
        <v>4</v>
      </c>
      <c r="AM113" s="6" t="s">
        <v>3</v>
      </c>
    </row>
    <row r="114" spans="1:39">
      <c r="A114" s="6">
        <f t="shared" si="1"/>
        <v>113</v>
      </c>
      <c r="B114" s="6" t="s">
        <v>477</v>
      </c>
      <c r="C114" s="6">
        <v>6</v>
      </c>
      <c r="D114" s="6" t="s">
        <v>5</v>
      </c>
      <c r="E114" s="6" t="s">
        <v>5</v>
      </c>
      <c r="F114" s="6" t="s">
        <v>3</v>
      </c>
      <c r="G114" s="6" t="s">
        <v>5</v>
      </c>
      <c r="H114" s="6" t="s">
        <v>5</v>
      </c>
      <c r="I114" s="6" t="s">
        <v>5</v>
      </c>
      <c r="J114" s="6" t="s">
        <v>5</v>
      </c>
      <c r="K114" s="6" t="s">
        <v>2</v>
      </c>
      <c r="L114" s="6" t="s">
        <v>2</v>
      </c>
      <c r="M114" s="6" t="s">
        <v>2</v>
      </c>
      <c r="N114" s="6" t="s">
        <v>2</v>
      </c>
      <c r="O114" s="6" t="s">
        <v>3</v>
      </c>
      <c r="P114" s="6" t="s">
        <v>5</v>
      </c>
      <c r="Q114" s="6" t="s">
        <v>3</v>
      </c>
      <c r="R114" s="6" t="s">
        <v>3</v>
      </c>
      <c r="S114" s="6" t="s">
        <v>5</v>
      </c>
      <c r="T114" s="6" t="s">
        <v>5</v>
      </c>
      <c r="U114" s="6" t="s">
        <v>5</v>
      </c>
      <c r="V114" s="6" t="s">
        <v>2</v>
      </c>
      <c r="W114" s="6" t="s">
        <v>3</v>
      </c>
      <c r="X114" s="6" t="s">
        <v>4</v>
      </c>
      <c r="Y114" s="6" t="s">
        <v>4</v>
      </c>
      <c r="Z114" s="6" t="s">
        <v>3</v>
      </c>
      <c r="AA114" s="6" t="s">
        <v>4</v>
      </c>
      <c r="AB114" s="6" t="s">
        <v>4</v>
      </c>
      <c r="AC114" s="6" t="s">
        <v>4</v>
      </c>
      <c r="AD114" s="6" t="s">
        <v>3</v>
      </c>
      <c r="AE114" s="6" t="s">
        <v>4</v>
      </c>
      <c r="AF114" s="6" t="s">
        <v>4</v>
      </c>
      <c r="AG114" s="6" t="s">
        <v>3</v>
      </c>
      <c r="AH114" s="6" t="s">
        <v>3</v>
      </c>
      <c r="AI114" s="6" t="s">
        <v>3</v>
      </c>
      <c r="AJ114" s="6" t="s">
        <v>3</v>
      </c>
      <c r="AK114" s="6" t="s">
        <v>3</v>
      </c>
      <c r="AL114" s="6" t="s">
        <v>3</v>
      </c>
      <c r="AM114" s="6" t="s">
        <v>3</v>
      </c>
    </row>
    <row r="115" spans="1:39">
      <c r="A115" s="6">
        <f t="shared" si="1"/>
        <v>114</v>
      </c>
      <c r="B115" s="6" t="s">
        <v>488</v>
      </c>
      <c r="C115" s="6">
        <v>6</v>
      </c>
      <c r="D115" s="6" t="s">
        <v>5</v>
      </c>
      <c r="E115" s="6" t="s">
        <v>5</v>
      </c>
      <c r="F115" s="6" t="s">
        <v>4</v>
      </c>
      <c r="G115" s="6" t="s">
        <v>5</v>
      </c>
      <c r="H115" s="6" t="s">
        <v>5</v>
      </c>
      <c r="I115" s="6" t="s">
        <v>5</v>
      </c>
      <c r="J115" s="6" t="s">
        <v>5</v>
      </c>
      <c r="K115" s="6" t="s">
        <v>2</v>
      </c>
      <c r="L115" s="6" t="s">
        <v>3</v>
      </c>
      <c r="M115" s="6" t="s">
        <v>4</v>
      </c>
      <c r="N115" s="6" t="s">
        <v>3</v>
      </c>
      <c r="O115" s="6" t="s">
        <v>5</v>
      </c>
      <c r="P115" s="6" t="s">
        <v>5</v>
      </c>
      <c r="Q115" s="6" t="s">
        <v>3</v>
      </c>
      <c r="R115" s="6" t="s">
        <v>5</v>
      </c>
      <c r="S115" s="6" t="s">
        <v>5</v>
      </c>
      <c r="T115" s="6" t="s">
        <v>3</v>
      </c>
      <c r="U115" s="6" t="s">
        <v>5</v>
      </c>
      <c r="V115" s="6" t="s">
        <v>3</v>
      </c>
      <c r="W115" s="6" t="s">
        <v>4</v>
      </c>
      <c r="X115" s="6" t="s">
        <v>2</v>
      </c>
      <c r="Y115" s="6" t="s">
        <v>2</v>
      </c>
      <c r="Z115" s="6" t="s">
        <v>3</v>
      </c>
      <c r="AA115" s="6" t="s">
        <v>4</v>
      </c>
      <c r="AB115" s="6" t="s">
        <v>4</v>
      </c>
      <c r="AC115" s="6" t="s">
        <v>4</v>
      </c>
      <c r="AD115" s="6" t="s">
        <v>4</v>
      </c>
      <c r="AE115" s="6" t="s">
        <v>4</v>
      </c>
      <c r="AF115" s="6" t="s">
        <v>4</v>
      </c>
      <c r="AG115" s="6" t="s">
        <v>3</v>
      </c>
      <c r="AH115" s="6" t="s">
        <v>4</v>
      </c>
      <c r="AI115" s="6" t="s">
        <v>3</v>
      </c>
      <c r="AJ115" s="6" t="s">
        <v>3</v>
      </c>
      <c r="AK115" s="6" t="s">
        <v>4</v>
      </c>
      <c r="AL115" s="6" t="s">
        <v>3</v>
      </c>
      <c r="AM115" s="6" t="s">
        <v>3</v>
      </c>
    </row>
  </sheetData>
  <autoFilter ref="A1:C113" xr:uid="{D95A1183-34E6-4AD3-8E41-D84E180E52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Training 1+Uji 1</vt:lpstr>
      <vt:lpstr>Data Training 1</vt:lpstr>
      <vt:lpstr>Data Uji 1</vt:lpstr>
      <vt:lpstr>Evaluasi 1</vt:lpstr>
      <vt:lpstr>Training2+Uji2</vt:lpstr>
      <vt:lpstr>Data Training 2</vt:lpstr>
      <vt:lpstr>Data Uji 2</vt:lpstr>
      <vt:lpstr>IM (Indikator miskin)</vt:lpstr>
      <vt:lpstr>Seleksi Atribut Tidak Terpakai</vt:lpstr>
      <vt:lpstr>Seluruh Data Warga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arina marankahar</dc:creator>
  <cp:lastModifiedBy>arina marankahar</cp:lastModifiedBy>
  <dcterms:created xsi:type="dcterms:W3CDTF">2026-04-08T14:42:51Z</dcterms:created>
  <dcterms:modified xsi:type="dcterms:W3CDTF">2026-06-24T14:34:51Z</dcterms:modified>
</cp:coreProperties>
</file>
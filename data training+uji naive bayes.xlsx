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SKRIPSII\HASIL SKRIPSI FIXX\BAB 1-5\"/>
    </mc:Choice>
  </mc:AlternateContent>
  <xr:revisionPtr revIDLastSave="0" documentId="13_ncr:1_{217A557F-E840-45F5-8C2D-D164BE0031BD}" xr6:coauthVersionLast="47" xr6:coauthVersionMax="47" xr10:uidLastSave="{00000000-0000-0000-0000-000000000000}"/>
  <bookViews>
    <workbookView xWindow="-108" yWindow="-108" windowWidth="23256" windowHeight="12456" tabRatio="599" firstSheet="1" activeTab="7" xr2:uid="{D064E9FF-8F79-4233-9656-810C23DD2569}"/>
  </bookViews>
  <sheets>
    <sheet name="Training 1+Uji 1" sheetId="11" r:id="rId1"/>
    <sheet name="Data Training 1" sheetId="1" r:id="rId2"/>
    <sheet name="Data Uji 1" sheetId="3" r:id="rId3"/>
    <sheet name="Evaluasi 1" sheetId="8" r:id="rId4"/>
    <sheet name="Training2+Uji2" sheetId="12" r:id="rId5"/>
    <sheet name="Data Training 2" sheetId="9" r:id="rId6"/>
    <sheet name="Data Uji 2" sheetId="10" r:id="rId7"/>
    <sheet name="Evaluasi 2" sheetId="13" r:id="rId8"/>
    <sheet name="IM (Indikator miskin)" sheetId="2" r:id="rId9"/>
    <sheet name="Seleksi Atribut Tidak Terpakai" sheetId="7" r:id="rId10"/>
    <sheet name="Seluruh Data Warga" sheetId="5" r:id="rId11"/>
  </sheets>
  <definedNames>
    <definedName name="_xlnm._FilterDatabase" localSheetId="1" hidden="1">'Data Training 1'!$C$1:$AM$79</definedName>
    <definedName name="_xlnm._FilterDatabase" localSheetId="5" hidden="1">'Data Training 2'!$B$1:$AL$79</definedName>
    <definedName name="_xlnm._FilterDatabase" localSheetId="2" hidden="1">'Data Uji 1'!$A$1:$AM$37</definedName>
    <definedName name="_xlnm._FilterDatabase" localSheetId="10" hidden="1">'Seluruh Data Warga'!$A$1:$C$113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8" i="13" l="1"/>
  <c r="O35" i="13"/>
  <c r="O34" i="13"/>
  <c r="Q34" i="13" s="1"/>
  <c r="S34" i="13" s="1"/>
  <c r="O33" i="13"/>
  <c r="Q33" i="13" s="1"/>
  <c r="S33" i="13" s="1"/>
  <c r="O32" i="13"/>
  <c r="Q32" i="13" s="1"/>
  <c r="S32" i="13" s="1"/>
  <c r="O31" i="13"/>
  <c r="Q31" i="13" s="1"/>
  <c r="S31" i="13" s="1"/>
  <c r="O30" i="13"/>
  <c r="O24" i="13"/>
  <c r="O23" i="13"/>
  <c r="Q23" i="13" s="1"/>
  <c r="S23" i="13" s="1"/>
  <c r="O22" i="13"/>
  <c r="O21" i="13"/>
  <c r="O20" i="13"/>
  <c r="O19" i="13"/>
  <c r="U11" i="13"/>
  <c r="G37" i="13"/>
  <c r="AQ359" i="10"/>
  <c r="E37" i="13"/>
  <c r="AQ357" i="10"/>
  <c r="G36" i="13"/>
  <c r="AQ349" i="10"/>
  <c r="G35" i="13"/>
  <c r="AQ339" i="10"/>
  <c r="G34" i="13"/>
  <c r="AQ329" i="10"/>
  <c r="G33" i="13"/>
  <c r="AQ319" i="10"/>
  <c r="G32" i="13"/>
  <c r="AQ309" i="10"/>
  <c r="F31" i="13"/>
  <c r="AQ298" i="10"/>
  <c r="F30" i="13"/>
  <c r="AQ288" i="10"/>
  <c r="F29" i="13"/>
  <c r="AQ278" i="10"/>
  <c r="E29" i="13"/>
  <c r="AQ277" i="10"/>
  <c r="G28" i="13"/>
  <c r="AQ269" i="10"/>
  <c r="F28" i="13"/>
  <c r="AQ268" i="10"/>
  <c r="F27" i="13"/>
  <c r="AQ258" i="10"/>
  <c r="G26" i="13"/>
  <c r="AQ249" i="10"/>
  <c r="F26" i="13"/>
  <c r="AQ248" i="10"/>
  <c r="E26" i="13"/>
  <c r="AQ247" i="10"/>
  <c r="E25" i="13"/>
  <c r="AQ237" i="10"/>
  <c r="E24" i="13"/>
  <c r="AQ227" i="10"/>
  <c r="G23" i="13"/>
  <c r="AQ219" i="10"/>
  <c r="G22" i="13"/>
  <c r="AQ209" i="10"/>
  <c r="E22" i="13"/>
  <c r="AQ207" i="10"/>
  <c r="G21" i="13"/>
  <c r="AQ199" i="10"/>
  <c r="F21" i="13"/>
  <c r="AQ198" i="10"/>
  <c r="E21" i="13"/>
  <c r="AQ197" i="10"/>
  <c r="E20" i="13"/>
  <c r="AQ187" i="10"/>
  <c r="B20" i="13"/>
  <c r="AQ184" i="10"/>
  <c r="D19" i="13"/>
  <c r="AQ176" i="10"/>
  <c r="D18" i="13"/>
  <c r="AQ166" i="10"/>
  <c r="D17" i="13"/>
  <c r="AQ156" i="10"/>
  <c r="F16" i="13"/>
  <c r="AQ148" i="10"/>
  <c r="D16" i="13"/>
  <c r="AQ146" i="10"/>
  <c r="B16" i="13"/>
  <c r="AQ144" i="10"/>
  <c r="D15" i="13"/>
  <c r="AQ136" i="10"/>
  <c r="E14" i="13"/>
  <c r="AQ127" i="10"/>
  <c r="D14" i="13"/>
  <c r="AQ126" i="10"/>
  <c r="C14" i="13"/>
  <c r="AQ125" i="10"/>
  <c r="C13" i="13"/>
  <c r="AQ115" i="10"/>
  <c r="F12" i="13"/>
  <c r="AQ108" i="10"/>
  <c r="C12" i="13"/>
  <c r="AQ105" i="10"/>
  <c r="F11" i="13"/>
  <c r="AQ98" i="10"/>
  <c r="C11" i="13"/>
  <c r="AQ95" i="10"/>
  <c r="B11" i="13"/>
  <c r="AQ94" i="10"/>
  <c r="G10" i="13"/>
  <c r="AQ89" i="10"/>
  <c r="D10" i="13"/>
  <c r="AQ86" i="10"/>
  <c r="C10" i="13"/>
  <c r="AQ85" i="10"/>
  <c r="B10" i="13"/>
  <c r="AQ84" i="10"/>
  <c r="C9" i="13"/>
  <c r="AQ75" i="10"/>
  <c r="C8" i="13"/>
  <c r="AQ65" i="10"/>
  <c r="B8" i="13"/>
  <c r="AQ64" i="10"/>
  <c r="G7" i="13"/>
  <c r="AQ59" i="10"/>
  <c r="E7" i="13"/>
  <c r="D6" i="13"/>
  <c r="AQ57" i="10"/>
  <c r="C7" i="13"/>
  <c r="AQ55" i="10"/>
  <c r="G6" i="13"/>
  <c r="AQ49" i="10"/>
  <c r="E6" i="13"/>
  <c r="AQ47" i="10"/>
  <c r="AQ46" i="10"/>
  <c r="B6" i="13"/>
  <c r="AQ44" i="10"/>
  <c r="B5" i="13"/>
  <c r="AQ34" i="10"/>
  <c r="B4" i="13"/>
  <c r="AQ24" i="10"/>
  <c r="C3" i="13"/>
  <c r="AQ15" i="10"/>
  <c r="B3" i="13"/>
  <c r="AQ14" i="10"/>
  <c r="E2" i="13"/>
  <c r="AQ7" i="10"/>
  <c r="C2" i="13"/>
  <c r="AQ5" i="10"/>
  <c r="B2" i="13"/>
  <c r="AQ4" i="10"/>
  <c r="J39" i="13"/>
  <c r="J38" i="13"/>
  <c r="J40" i="13" s="1"/>
  <c r="R13" i="13" s="1"/>
  <c r="A37" i="13"/>
  <c r="A36" i="13"/>
  <c r="Q35" i="13"/>
  <c r="S35" i="13" s="1"/>
  <c r="A35" i="13"/>
  <c r="A34" i="13"/>
  <c r="A33" i="13"/>
  <c r="A32" i="13"/>
  <c r="A31" i="13"/>
  <c r="A30" i="13"/>
  <c r="A29" i="13"/>
  <c r="A28" i="13"/>
  <c r="A27" i="13"/>
  <c r="A26" i="13"/>
  <c r="A25" i="13"/>
  <c r="Q24" i="13"/>
  <c r="S24" i="13" s="1"/>
  <c r="A24" i="13"/>
  <c r="A23" i="13"/>
  <c r="Q22" i="13"/>
  <c r="S22" i="13" s="1"/>
  <c r="A22" i="13"/>
  <c r="Q21" i="13"/>
  <c r="S21" i="13" s="1"/>
  <c r="A21" i="13"/>
  <c r="Q20" i="13"/>
  <c r="S20" i="13" s="1"/>
  <c r="A20" i="13"/>
  <c r="Q19" i="13"/>
  <c r="S19" i="13" s="1"/>
  <c r="A19" i="13"/>
  <c r="A18" i="13"/>
  <c r="A17" i="13"/>
  <c r="A16" i="13"/>
  <c r="A15" i="13"/>
  <c r="B14" i="13"/>
  <c r="A14" i="13"/>
  <c r="A13" i="13"/>
  <c r="A12" i="13"/>
  <c r="T11" i="13"/>
  <c r="S11" i="13"/>
  <c r="R11" i="13"/>
  <c r="Q11" i="13"/>
  <c r="P11" i="13"/>
  <c r="O11" i="13"/>
  <c r="A11" i="13"/>
  <c r="U10" i="13"/>
  <c r="A10" i="13"/>
  <c r="U9" i="13"/>
  <c r="A9" i="13"/>
  <c r="U8" i="13"/>
  <c r="A8" i="13"/>
  <c r="U7" i="13"/>
  <c r="A7" i="13"/>
  <c r="U6" i="13"/>
  <c r="A6" i="13"/>
  <c r="U5" i="13"/>
  <c r="A5" i="13"/>
  <c r="A4" i="13"/>
  <c r="A3" i="13"/>
  <c r="A2" i="13"/>
  <c r="A11" i="11"/>
  <c r="B16" i="8"/>
  <c r="AQ144" i="3"/>
  <c r="AQ119" i="10"/>
  <c r="AQ118" i="10"/>
  <c r="AQ117" i="10"/>
  <c r="AQ116" i="10"/>
  <c r="AQ114" i="10"/>
  <c r="AQ114" i="3"/>
  <c r="AQ79" i="10"/>
  <c r="AQ78" i="10"/>
  <c r="AQ77" i="10"/>
  <c r="AQ76" i="10"/>
  <c r="AQ74" i="10"/>
  <c r="AQ69" i="10"/>
  <c r="AQ68" i="10"/>
  <c r="AQ67" i="10"/>
  <c r="AQ66" i="10"/>
  <c r="AQ58" i="10"/>
  <c r="AQ56" i="10"/>
  <c r="AQ54" i="10"/>
  <c r="AQ48" i="10"/>
  <c r="AQ45" i="10"/>
  <c r="AQ39" i="10"/>
  <c r="AQ38" i="10"/>
  <c r="AQ37" i="10"/>
  <c r="AQ36" i="10"/>
  <c r="AQ35" i="10"/>
  <c r="AQ27" i="10"/>
  <c r="AQ29" i="10"/>
  <c r="AQ28" i="10"/>
  <c r="AQ26" i="10"/>
  <c r="AQ25" i="10"/>
  <c r="AT105" i="9"/>
  <c r="Q30" i="13" l="1"/>
  <c r="S30" i="13" s="1"/>
  <c r="S36" i="13" s="1"/>
  <c r="S25" i="13"/>
  <c r="AT31" i="1" l="1"/>
  <c r="S19" i="8"/>
  <c r="S30" i="8"/>
  <c r="R13" i="8"/>
  <c r="AT31" i="9" l="1"/>
  <c r="AY216" i="9"/>
  <c r="AX216" i="9"/>
  <c r="AW216" i="9"/>
  <c r="AV216" i="9"/>
  <c r="AU216" i="9"/>
  <c r="AT216" i="9"/>
  <c r="AY215" i="9"/>
  <c r="AX215" i="9"/>
  <c r="AW215" i="9"/>
  <c r="AV215" i="9"/>
  <c r="AU215" i="9"/>
  <c r="AT215" i="9"/>
  <c r="AY212" i="9"/>
  <c r="AX212" i="9"/>
  <c r="AW212" i="9"/>
  <c r="AV212" i="9"/>
  <c r="AU212" i="9"/>
  <c r="AT212" i="9"/>
  <c r="AY211" i="9"/>
  <c r="AX211" i="9"/>
  <c r="AW211" i="9"/>
  <c r="AV211" i="9"/>
  <c r="AU211" i="9"/>
  <c r="AT211" i="9"/>
  <c r="AY208" i="9"/>
  <c r="AX208" i="9"/>
  <c r="AW208" i="9"/>
  <c r="AV208" i="9"/>
  <c r="AU208" i="9"/>
  <c r="AT208" i="9"/>
  <c r="AY207" i="9"/>
  <c r="AX207" i="9"/>
  <c r="AW207" i="9"/>
  <c r="AV207" i="9"/>
  <c r="AU207" i="9"/>
  <c r="AT207" i="9"/>
  <c r="AY204" i="9"/>
  <c r="AX204" i="9"/>
  <c r="AW204" i="9"/>
  <c r="AV204" i="9"/>
  <c r="AU204" i="9"/>
  <c r="AT204" i="9"/>
  <c r="AY203" i="9"/>
  <c r="AX203" i="9"/>
  <c r="AW203" i="9"/>
  <c r="AV203" i="9"/>
  <c r="AU203" i="9"/>
  <c r="AT203" i="9"/>
  <c r="AY200" i="9"/>
  <c r="AX200" i="9"/>
  <c r="AW200" i="9"/>
  <c r="AV200" i="9"/>
  <c r="AU200" i="9"/>
  <c r="AT200" i="9"/>
  <c r="AY199" i="9"/>
  <c r="AX199" i="9"/>
  <c r="AW199" i="9"/>
  <c r="AV199" i="9"/>
  <c r="AU199" i="9"/>
  <c r="AT199" i="9"/>
  <c r="AY196" i="9"/>
  <c r="AX196" i="9"/>
  <c r="AW196" i="9"/>
  <c r="AV196" i="9"/>
  <c r="AU196" i="9"/>
  <c r="AT196" i="9"/>
  <c r="AY195" i="9"/>
  <c r="AX195" i="9"/>
  <c r="AW195" i="9"/>
  <c r="AV195" i="9"/>
  <c r="AU195" i="9"/>
  <c r="AT195" i="9"/>
  <c r="AY192" i="9"/>
  <c r="AX192" i="9"/>
  <c r="AW192" i="9"/>
  <c r="AV192" i="9"/>
  <c r="AU192" i="9"/>
  <c r="AT192" i="9"/>
  <c r="AY191" i="9"/>
  <c r="AX191" i="9"/>
  <c r="AW191" i="9"/>
  <c r="AV191" i="9"/>
  <c r="AU191" i="9"/>
  <c r="AT191" i="9"/>
  <c r="AY188" i="9"/>
  <c r="AX188" i="9"/>
  <c r="AW188" i="9"/>
  <c r="AV188" i="9"/>
  <c r="AU188" i="9"/>
  <c r="AT188" i="9"/>
  <c r="AY187" i="9"/>
  <c r="AX187" i="9"/>
  <c r="AW187" i="9"/>
  <c r="AV187" i="9"/>
  <c r="AU187" i="9"/>
  <c r="AT187" i="9"/>
  <c r="AY184" i="9"/>
  <c r="AX184" i="9"/>
  <c r="AW184" i="9"/>
  <c r="AV184" i="9"/>
  <c r="AU184" i="9"/>
  <c r="AT184" i="9"/>
  <c r="AY183" i="9"/>
  <c r="AX183" i="9"/>
  <c r="AW183" i="9"/>
  <c r="AV183" i="9"/>
  <c r="AU183" i="9"/>
  <c r="AT183" i="9"/>
  <c r="AY180" i="9"/>
  <c r="AX180" i="9"/>
  <c r="AW180" i="9"/>
  <c r="AV180" i="9"/>
  <c r="AU180" i="9"/>
  <c r="AT180" i="9"/>
  <c r="AY179" i="9"/>
  <c r="AX179" i="9"/>
  <c r="AW179" i="9"/>
  <c r="AV179" i="9"/>
  <c r="AU179" i="9"/>
  <c r="AT179" i="9"/>
  <c r="AY176" i="9"/>
  <c r="AX176" i="9"/>
  <c r="AW176" i="9"/>
  <c r="AV176" i="9"/>
  <c r="AU176" i="9"/>
  <c r="AT176" i="9"/>
  <c r="AY175" i="9"/>
  <c r="AX175" i="9"/>
  <c r="AW175" i="9"/>
  <c r="AV175" i="9"/>
  <c r="AU175" i="9"/>
  <c r="AT175" i="9"/>
  <c r="AY172" i="9"/>
  <c r="AX172" i="9"/>
  <c r="AW172" i="9"/>
  <c r="AV172" i="9"/>
  <c r="AU172" i="9"/>
  <c r="AT172" i="9"/>
  <c r="AY171" i="9"/>
  <c r="AX171" i="9"/>
  <c r="AW171" i="9"/>
  <c r="AV171" i="9"/>
  <c r="AU171" i="9"/>
  <c r="AT171" i="9"/>
  <c r="AY168" i="9"/>
  <c r="AX168" i="9"/>
  <c r="AW168" i="9"/>
  <c r="AV168" i="9"/>
  <c r="AU168" i="9"/>
  <c r="AT168" i="9"/>
  <c r="AY167" i="9"/>
  <c r="AX167" i="9"/>
  <c r="AW167" i="9"/>
  <c r="AV167" i="9"/>
  <c r="AU167" i="9"/>
  <c r="AT167" i="9"/>
  <c r="AY164" i="9"/>
  <c r="AX164" i="9"/>
  <c r="AW164" i="9"/>
  <c r="AV164" i="9"/>
  <c r="AU164" i="9"/>
  <c r="AT164" i="9"/>
  <c r="AY163" i="9"/>
  <c r="AX163" i="9"/>
  <c r="AW163" i="9"/>
  <c r="AV163" i="9"/>
  <c r="AU163" i="9"/>
  <c r="AT163" i="9"/>
  <c r="AY160" i="9"/>
  <c r="AX160" i="9"/>
  <c r="AW160" i="9"/>
  <c r="AV160" i="9"/>
  <c r="AU160" i="9"/>
  <c r="AT160" i="9"/>
  <c r="AY159" i="9"/>
  <c r="AX159" i="9"/>
  <c r="AW159" i="9"/>
  <c r="AV159" i="9"/>
  <c r="AU159" i="9"/>
  <c r="AT159" i="9"/>
  <c r="AY158" i="9"/>
  <c r="AX158" i="9"/>
  <c r="AW158" i="9"/>
  <c r="AV158" i="9"/>
  <c r="AU158" i="9"/>
  <c r="AT158" i="9"/>
  <c r="AY157" i="9"/>
  <c r="AX157" i="9"/>
  <c r="AW157" i="9"/>
  <c r="AV157" i="9"/>
  <c r="AU157" i="9"/>
  <c r="AT157" i="9"/>
  <c r="AY154" i="9"/>
  <c r="AX154" i="9"/>
  <c r="AW154" i="9"/>
  <c r="AV154" i="9"/>
  <c r="AU154" i="9"/>
  <c r="AT154" i="9"/>
  <c r="AY153" i="9"/>
  <c r="AX153" i="9"/>
  <c r="AW153" i="9"/>
  <c r="AV153" i="9"/>
  <c r="AU153" i="9"/>
  <c r="AT153" i="9"/>
  <c r="AY152" i="9"/>
  <c r="AX152" i="9"/>
  <c r="AW152" i="9"/>
  <c r="AV152" i="9"/>
  <c r="AU152" i="9"/>
  <c r="AT152" i="9"/>
  <c r="AY151" i="9"/>
  <c r="AX151" i="9"/>
  <c r="AW151" i="9"/>
  <c r="AV151" i="9"/>
  <c r="AU151" i="9"/>
  <c r="AT151" i="9"/>
  <c r="AY148" i="9"/>
  <c r="AX148" i="9"/>
  <c r="AW148" i="9"/>
  <c r="AV148" i="9"/>
  <c r="AU148" i="9"/>
  <c r="AT148" i="9"/>
  <c r="AY147" i="9"/>
  <c r="AX147" i="9"/>
  <c r="AW147" i="9"/>
  <c r="AV147" i="9"/>
  <c r="AU147" i="9"/>
  <c r="AT147" i="9"/>
  <c r="AY146" i="9"/>
  <c r="AX146" i="9"/>
  <c r="AW146" i="9"/>
  <c r="AV146" i="9"/>
  <c r="AU146" i="9"/>
  <c r="AT146" i="9"/>
  <c r="AY145" i="9"/>
  <c r="AX145" i="9"/>
  <c r="AW145" i="9"/>
  <c r="AV145" i="9"/>
  <c r="AU145" i="9"/>
  <c r="AT145" i="9"/>
  <c r="AY142" i="9"/>
  <c r="AX142" i="9"/>
  <c r="AW142" i="9"/>
  <c r="AV142" i="9"/>
  <c r="AU142" i="9"/>
  <c r="AT142" i="9"/>
  <c r="AY141" i="9"/>
  <c r="AX141" i="9"/>
  <c r="AW141" i="9"/>
  <c r="AV141" i="9"/>
  <c r="AU141" i="9"/>
  <c r="AT141" i="9"/>
  <c r="AY140" i="9"/>
  <c r="AX140" i="9"/>
  <c r="AW140" i="9"/>
  <c r="AV140" i="9"/>
  <c r="AU140" i="9"/>
  <c r="AT140" i="9"/>
  <c r="AY139" i="9"/>
  <c r="AX139" i="9"/>
  <c r="AW139" i="9"/>
  <c r="AV139" i="9"/>
  <c r="AU139" i="9"/>
  <c r="AT139" i="9"/>
  <c r="AY136" i="9"/>
  <c r="AX136" i="9"/>
  <c r="AW136" i="9"/>
  <c r="AV136" i="9"/>
  <c r="AU136" i="9"/>
  <c r="AT136" i="9"/>
  <c r="AY135" i="9"/>
  <c r="AX135" i="9"/>
  <c r="AW135" i="9"/>
  <c r="AV135" i="9"/>
  <c r="AU135" i="9"/>
  <c r="AT135" i="9"/>
  <c r="AY134" i="9"/>
  <c r="AX134" i="9"/>
  <c r="AW134" i="9"/>
  <c r="AV134" i="9"/>
  <c r="AU134" i="9"/>
  <c r="AT134" i="9"/>
  <c r="AY133" i="9"/>
  <c r="AX133" i="9"/>
  <c r="AW133" i="9"/>
  <c r="AV133" i="9"/>
  <c r="AU133" i="9"/>
  <c r="AT133" i="9"/>
  <c r="AY130" i="9"/>
  <c r="AX130" i="9"/>
  <c r="AW130" i="9"/>
  <c r="AV130" i="9"/>
  <c r="AU130" i="9"/>
  <c r="AT130" i="9"/>
  <c r="AY129" i="9"/>
  <c r="AX129" i="9"/>
  <c r="AW129" i="9"/>
  <c r="AV129" i="9"/>
  <c r="AU129" i="9"/>
  <c r="AT129" i="9"/>
  <c r="AY128" i="9"/>
  <c r="AX128" i="9"/>
  <c r="AW128" i="9"/>
  <c r="AV128" i="9"/>
  <c r="AU128" i="9"/>
  <c r="AT128" i="9"/>
  <c r="AY127" i="9"/>
  <c r="AX127" i="9"/>
  <c r="AW127" i="9"/>
  <c r="AV127" i="9"/>
  <c r="AU127" i="9"/>
  <c r="AT127" i="9"/>
  <c r="AY124" i="9"/>
  <c r="AX124" i="9"/>
  <c r="AW124" i="9"/>
  <c r="AV124" i="9"/>
  <c r="AU124" i="9"/>
  <c r="AT124" i="9"/>
  <c r="AY123" i="9"/>
  <c r="AX123" i="9"/>
  <c r="AW123" i="9"/>
  <c r="AV123" i="9"/>
  <c r="AU123" i="9"/>
  <c r="AT123" i="9"/>
  <c r="AY122" i="9"/>
  <c r="AX122" i="9"/>
  <c r="AW122" i="9"/>
  <c r="AV122" i="9"/>
  <c r="AU122" i="9"/>
  <c r="AT122" i="9"/>
  <c r="AY121" i="9"/>
  <c r="AX121" i="9"/>
  <c r="AW121" i="9"/>
  <c r="AV121" i="9"/>
  <c r="AU121" i="9"/>
  <c r="AT121" i="9"/>
  <c r="AY118" i="9"/>
  <c r="AX118" i="9"/>
  <c r="AW118" i="9"/>
  <c r="AV118" i="9"/>
  <c r="AU118" i="9"/>
  <c r="AT118" i="9"/>
  <c r="AY117" i="9"/>
  <c r="AX117" i="9"/>
  <c r="AW117" i="9"/>
  <c r="AV117" i="9"/>
  <c r="AU117" i="9"/>
  <c r="AT117" i="9"/>
  <c r="AY116" i="9"/>
  <c r="AX116" i="9"/>
  <c r="AW116" i="9"/>
  <c r="AV116" i="9"/>
  <c r="AU116" i="9"/>
  <c r="AT116" i="9"/>
  <c r="AY115" i="9"/>
  <c r="AX115" i="9"/>
  <c r="AW115" i="9"/>
  <c r="AV115" i="9"/>
  <c r="AU115" i="9"/>
  <c r="AT115" i="9"/>
  <c r="AY112" i="9"/>
  <c r="AX112" i="9"/>
  <c r="AW112" i="9"/>
  <c r="AV112" i="9"/>
  <c r="AU112" i="9"/>
  <c r="AT112" i="9"/>
  <c r="AY111" i="9"/>
  <c r="AX111" i="9"/>
  <c r="AW111" i="9"/>
  <c r="AV111" i="9"/>
  <c r="AU111" i="9"/>
  <c r="AT111" i="9"/>
  <c r="AY110" i="9"/>
  <c r="AX110" i="9"/>
  <c r="AW110" i="9"/>
  <c r="AV110" i="9"/>
  <c r="AU110" i="9"/>
  <c r="AT110" i="9"/>
  <c r="AY109" i="9"/>
  <c r="AX109" i="9"/>
  <c r="AW109" i="9"/>
  <c r="AV109" i="9"/>
  <c r="AU109" i="9"/>
  <c r="AT109" i="9"/>
  <c r="AY106" i="9"/>
  <c r="AX106" i="9"/>
  <c r="AW106" i="9"/>
  <c r="AV106" i="9"/>
  <c r="AU106" i="9"/>
  <c r="AT106" i="9"/>
  <c r="AY105" i="9"/>
  <c r="AX105" i="9"/>
  <c r="AW105" i="9"/>
  <c r="AV105" i="9"/>
  <c r="AU105" i="9"/>
  <c r="AY104" i="9"/>
  <c r="AX104" i="9"/>
  <c r="AW104" i="9"/>
  <c r="AV104" i="9"/>
  <c r="AU104" i="9"/>
  <c r="AT104" i="9"/>
  <c r="AY103" i="9"/>
  <c r="AX103" i="9"/>
  <c r="AW103" i="9"/>
  <c r="AV103" i="9"/>
  <c r="AU103" i="9"/>
  <c r="AT103" i="9"/>
  <c r="AY100" i="9"/>
  <c r="AX100" i="9"/>
  <c r="AW100" i="9"/>
  <c r="AV100" i="9"/>
  <c r="AU100" i="9"/>
  <c r="AT100" i="9"/>
  <c r="AY99" i="9"/>
  <c r="AX99" i="9"/>
  <c r="AW99" i="9"/>
  <c r="AV99" i="9"/>
  <c r="AU99" i="9"/>
  <c r="AT99" i="9"/>
  <c r="AY98" i="9"/>
  <c r="AX98" i="9"/>
  <c r="AW98" i="9"/>
  <c r="AV98" i="9"/>
  <c r="AU98" i="9"/>
  <c r="AT98" i="9"/>
  <c r="AY97" i="9"/>
  <c r="AX97" i="9"/>
  <c r="AW97" i="9"/>
  <c r="AV97" i="9"/>
  <c r="AU97" i="9"/>
  <c r="AT97" i="9"/>
  <c r="AY94" i="9"/>
  <c r="AX94" i="9"/>
  <c r="AW94" i="9"/>
  <c r="AV94" i="9"/>
  <c r="AU94" i="9"/>
  <c r="AT94" i="9"/>
  <c r="AY93" i="9"/>
  <c r="AX93" i="9"/>
  <c r="AW93" i="9"/>
  <c r="AV93" i="9"/>
  <c r="AU93" i="9"/>
  <c r="AT93" i="9"/>
  <c r="AY92" i="9"/>
  <c r="AX92" i="9"/>
  <c r="AW92" i="9"/>
  <c r="AV92" i="9"/>
  <c r="AU92" i="9"/>
  <c r="AT92" i="9"/>
  <c r="AY91" i="9"/>
  <c r="AX91" i="9"/>
  <c r="AW91" i="9"/>
  <c r="AV91" i="9"/>
  <c r="AU91" i="9"/>
  <c r="AT91" i="9"/>
  <c r="AY88" i="9"/>
  <c r="AX88" i="9"/>
  <c r="AW88" i="9"/>
  <c r="AV88" i="9"/>
  <c r="AU88" i="9"/>
  <c r="AT88" i="9"/>
  <c r="AY87" i="9"/>
  <c r="AX87" i="9"/>
  <c r="AW87" i="9"/>
  <c r="AV87" i="9"/>
  <c r="AU87" i="9"/>
  <c r="AT87" i="9"/>
  <c r="AY86" i="9"/>
  <c r="AX86" i="9"/>
  <c r="AW86" i="9"/>
  <c r="AV86" i="9"/>
  <c r="AU86" i="9"/>
  <c r="AT86" i="9"/>
  <c r="AY85" i="9"/>
  <c r="AX85" i="9"/>
  <c r="AW85" i="9"/>
  <c r="AV85" i="9"/>
  <c r="AU85" i="9"/>
  <c r="AT85" i="9"/>
  <c r="AY82" i="9"/>
  <c r="AX82" i="9"/>
  <c r="AW82" i="9"/>
  <c r="AV82" i="9"/>
  <c r="AU82" i="9"/>
  <c r="AT82" i="9"/>
  <c r="AY81" i="9"/>
  <c r="AX81" i="9"/>
  <c r="AW81" i="9"/>
  <c r="AV81" i="9"/>
  <c r="AU81" i="9"/>
  <c r="AT81" i="9"/>
  <c r="AY80" i="9"/>
  <c r="AX80" i="9"/>
  <c r="AW80" i="9"/>
  <c r="AV80" i="9"/>
  <c r="AU80" i="9"/>
  <c r="AT80" i="9"/>
  <c r="AY79" i="9"/>
  <c r="AX79" i="9"/>
  <c r="AW79" i="9"/>
  <c r="AV79" i="9"/>
  <c r="AU79" i="9"/>
  <c r="AT79" i="9"/>
  <c r="AY76" i="9"/>
  <c r="AX76" i="9"/>
  <c r="AW76" i="9"/>
  <c r="AV76" i="9"/>
  <c r="AU76" i="9"/>
  <c r="AT76" i="9"/>
  <c r="AY75" i="9"/>
  <c r="AX75" i="9"/>
  <c r="AW75" i="9"/>
  <c r="AV75" i="9"/>
  <c r="AU75" i="9"/>
  <c r="AT75" i="9"/>
  <c r="AY74" i="9"/>
  <c r="AX74" i="9"/>
  <c r="AW74" i="9"/>
  <c r="AV74" i="9"/>
  <c r="AU74" i="9"/>
  <c r="AT74" i="9"/>
  <c r="AY73" i="9"/>
  <c r="AX73" i="9"/>
  <c r="AW73" i="9"/>
  <c r="AV73" i="9"/>
  <c r="AU73" i="9"/>
  <c r="AT73" i="9"/>
  <c r="AY70" i="9"/>
  <c r="AX70" i="9"/>
  <c r="AW70" i="9"/>
  <c r="AV70" i="9"/>
  <c r="AU70" i="9"/>
  <c r="AT70" i="9"/>
  <c r="AY69" i="9"/>
  <c r="AX69" i="9"/>
  <c r="AW69" i="9"/>
  <c r="AV69" i="9"/>
  <c r="AU69" i="9"/>
  <c r="AT69" i="9"/>
  <c r="AY68" i="9"/>
  <c r="AX68" i="9"/>
  <c r="AW68" i="9"/>
  <c r="AV68" i="9"/>
  <c r="AU68" i="9"/>
  <c r="AT68" i="9"/>
  <c r="AY67" i="9"/>
  <c r="AX67" i="9"/>
  <c r="AW67" i="9"/>
  <c r="AV67" i="9"/>
  <c r="AU67" i="9"/>
  <c r="AT67" i="9"/>
  <c r="AY64" i="9"/>
  <c r="AX64" i="9"/>
  <c r="AW64" i="9"/>
  <c r="AV64" i="9"/>
  <c r="AU64" i="9"/>
  <c r="AT64" i="9"/>
  <c r="AY63" i="9"/>
  <c r="AX63" i="9"/>
  <c r="AW63" i="9"/>
  <c r="AV63" i="9"/>
  <c r="AU63" i="9"/>
  <c r="AT63" i="9"/>
  <c r="AY62" i="9"/>
  <c r="AX62" i="9"/>
  <c r="AW62" i="9"/>
  <c r="AV62" i="9"/>
  <c r="AU62" i="9"/>
  <c r="AT62" i="9"/>
  <c r="AY61" i="9"/>
  <c r="AX61" i="9"/>
  <c r="AW61" i="9"/>
  <c r="AV61" i="9"/>
  <c r="AU61" i="9"/>
  <c r="AT61" i="9"/>
  <c r="AY58" i="9"/>
  <c r="AX58" i="9"/>
  <c r="AW58" i="9"/>
  <c r="AV58" i="9"/>
  <c r="AU58" i="9"/>
  <c r="AT58" i="9"/>
  <c r="AY57" i="9"/>
  <c r="AX57" i="9"/>
  <c r="AW57" i="9"/>
  <c r="AV57" i="9"/>
  <c r="AU57" i="9"/>
  <c r="AT57" i="9"/>
  <c r="AY56" i="9"/>
  <c r="AX56" i="9"/>
  <c r="AW56" i="9"/>
  <c r="AV56" i="9"/>
  <c r="AU56" i="9"/>
  <c r="AT56" i="9"/>
  <c r="AY55" i="9"/>
  <c r="AX55" i="9"/>
  <c r="AW55" i="9"/>
  <c r="AV55" i="9"/>
  <c r="AU55" i="9"/>
  <c r="AT55" i="9"/>
  <c r="AY52" i="9"/>
  <c r="AX52" i="9"/>
  <c r="AW52" i="9"/>
  <c r="AV52" i="9"/>
  <c r="AU52" i="9"/>
  <c r="AT52" i="9"/>
  <c r="AY51" i="9"/>
  <c r="AX51" i="9"/>
  <c r="AW51" i="9"/>
  <c r="AV51" i="9"/>
  <c r="AU51" i="9"/>
  <c r="AT51" i="9"/>
  <c r="AY50" i="9"/>
  <c r="AX50" i="9"/>
  <c r="AW50" i="9"/>
  <c r="AV50" i="9"/>
  <c r="AU50" i="9"/>
  <c r="AT50" i="9"/>
  <c r="AY49" i="9"/>
  <c r="AX49" i="9"/>
  <c r="AW49" i="9"/>
  <c r="AV49" i="9"/>
  <c r="AU49" i="9"/>
  <c r="AT49" i="9"/>
  <c r="AY46" i="9"/>
  <c r="AX46" i="9"/>
  <c r="AW46" i="9"/>
  <c r="AV46" i="9"/>
  <c r="AU46" i="9"/>
  <c r="AT46" i="9"/>
  <c r="AY45" i="9"/>
  <c r="AX45" i="9"/>
  <c r="AW45" i="9"/>
  <c r="AV45" i="9"/>
  <c r="AU45" i="9"/>
  <c r="AT45" i="9"/>
  <c r="AY44" i="9"/>
  <c r="AX44" i="9"/>
  <c r="AW44" i="9"/>
  <c r="AV44" i="9"/>
  <c r="AU44" i="9"/>
  <c r="AT44" i="9"/>
  <c r="AY43" i="9"/>
  <c r="AX43" i="9"/>
  <c r="AW43" i="9"/>
  <c r="AV43" i="9"/>
  <c r="AU43" i="9"/>
  <c r="AT43" i="9"/>
  <c r="AY40" i="9"/>
  <c r="AX40" i="9"/>
  <c r="AW40" i="9"/>
  <c r="AV40" i="9"/>
  <c r="AU40" i="9"/>
  <c r="AT40" i="9"/>
  <c r="AY39" i="9"/>
  <c r="AX39" i="9"/>
  <c r="AW39" i="9"/>
  <c r="AV39" i="9"/>
  <c r="AU39" i="9"/>
  <c r="AT39" i="9"/>
  <c r="AY38" i="9"/>
  <c r="AX38" i="9"/>
  <c r="AW38" i="9"/>
  <c r="AV38" i="9"/>
  <c r="AU38" i="9"/>
  <c r="AT38" i="9"/>
  <c r="AY37" i="9"/>
  <c r="AX37" i="9"/>
  <c r="AW37" i="9"/>
  <c r="AV37" i="9"/>
  <c r="AU37" i="9"/>
  <c r="AT37" i="9"/>
  <c r="AY34" i="9"/>
  <c r="AX34" i="9"/>
  <c r="AW34" i="9"/>
  <c r="AV34" i="9"/>
  <c r="AU34" i="9"/>
  <c r="AT34" i="9"/>
  <c r="AY33" i="9"/>
  <c r="AX33" i="9"/>
  <c r="AW33" i="9"/>
  <c r="AV33" i="9"/>
  <c r="AU33" i="9"/>
  <c r="AT33" i="9"/>
  <c r="AY32" i="9"/>
  <c r="AX32" i="9"/>
  <c r="AW32" i="9"/>
  <c r="AV32" i="9"/>
  <c r="AU32" i="9"/>
  <c r="AT32" i="9"/>
  <c r="AY31" i="9"/>
  <c r="AX31" i="9"/>
  <c r="AW31" i="9"/>
  <c r="AV31" i="9"/>
  <c r="AU31"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S25" i="8"/>
  <c r="S38" i="8" s="1"/>
  <c r="AZ9" i="9"/>
  <c r="AY9" i="9"/>
  <c r="AX9" i="9"/>
  <c r="AW9" i="9"/>
  <c r="AV9" i="9"/>
  <c r="AV9" i="1"/>
  <c r="AU9" i="9"/>
  <c r="AU9" i="1"/>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A115"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0" i="11"/>
  <c r="A9" i="11"/>
  <c r="A8" i="11"/>
  <c r="A7" i="11"/>
  <c r="A6" i="11"/>
  <c r="A5" i="11"/>
  <c r="A4" i="11"/>
  <c r="A3" i="11"/>
  <c r="A2" i="11"/>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U11" i="8"/>
  <c r="J39" i="8"/>
  <c r="J38" i="8"/>
  <c r="A37" i="8"/>
  <c r="A36" i="8"/>
  <c r="Q35" i="8"/>
  <c r="S35" i="8" s="1"/>
  <c r="A35" i="8"/>
  <c r="Q34" i="8"/>
  <c r="S34" i="8" s="1"/>
  <c r="A34" i="8"/>
  <c r="Q33" i="8"/>
  <c r="S33" i="8" s="1"/>
  <c r="A33" i="8"/>
  <c r="Q32" i="8"/>
  <c r="S32" i="8" s="1"/>
  <c r="A32" i="8"/>
  <c r="Q31" i="8"/>
  <c r="S31" i="8" s="1"/>
  <c r="A31" i="8"/>
  <c r="Q30" i="8"/>
  <c r="A30" i="8"/>
  <c r="A29" i="8"/>
  <c r="A28" i="8"/>
  <c r="A27" i="8"/>
  <c r="A26" i="8"/>
  <c r="A25" i="8"/>
  <c r="Q24" i="8"/>
  <c r="S24" i="8" s="1"/>
  <c r="A24" i="8"/>
  <c r="Q23" i="8"/>
  <c r="S23" i="8" s="1"/>
  <c r="A23" i="8"/>
  <c r="Q22" i="8"/>
  <c r="S22" i="8" s="1"/>
  <c r="A22" i="8"/>
  <c r="Q21" i="8"/>
  <c r="S21" i="8" s="1"/>
  <c r="A21" i="8"/>
  <c r="Q20" i="8"/>
  <c r="S20" i="8" s="1"/>
  <c r="A20" i="8"/>
  <c r="Q19" i="8"/>
  <c r="A19" i="8"/>
  <c r="A18" i="8"/>
  <c r="A17" i="8"/>
  <c r="A16" i="8"/>
  <c r="A15" i="8"/>
  <c r="A14" i="8"/>
  <c r="A13" i="8"/>
  <c r="A12" i="8"/>
  <c r="T11" i="8"/>
  <c r="S11" i="8"/>
  <c r="R11" i="8"/>
  <c r="Q11" i="8"/>
  <c r="P11" i="8"/>
  <c r="O11" i="8"/>
  <c r="A11" i="8"/>
  <c r="U10" i="8"/>
  <c r="A10" i="8"/>
  <c r="U9" i="8"/>
  <c r="A9" i="8"/>
  <c r="U8" i="8"/>
  <c r="A8" i="8"/>
  <c r="U7" i="8"/>
  <c r="A7" i="8"/>
  <c r="U6" i="8"/>
  <c r="A6" i="8"/>
  <c r="U5" i="8"/>
  <c r="A5" i="8"/>
  <c r="A4" i="8"/>
  <c r="A3" i="8"/>
  <c r="A2" i="8"/>
  <c r="AU35" i="9" l="1"/>
  <c r="AV35" i="9"/>
  <c r="AT35" i="9"/>
  <c r="AT6" i="9"/>
  <c r="AW27" i="9" s="1"/>
  <c r="J40" i="8"/>
  <c r="S36" i="8"/>
  <c r="A5" i="3"/>
  <c r="AQ279" i="10" l="1"/>
  <c r="AQ159" i="10"/>
  <c r="AQ259" i="10"/>
  <c r="AQ139" i="10"/>
  <c r="AQ299" i="10"/>
  <c r="AQ239" i="10"/>
  <c r="AQ179" i="10"/>
  <c r="AQ99" i="10"/>
  <c r="AQ189" i="10"/>
  <c r="AQ109" i="10"/>
  <c r="AQ169" i="10"/>
  <c r="AQ229" i="10"/>
  <c r="AQ149" i="10"/>
  <c r="AQ289" i="10"/>
  <c r="AQ129" i="10"/>
  <c r="AQ19" i="10"/>
  <c r="AQ9" i="10"/>
  <c r="AW23" i="9"/>
  <c r="AW26" i="9"/>
  <c r="AW22" i="9"/>
  <c r="AW24" i="9"/>
  <c r="AW25" i="9"/>
  <c r="AU1235" i="9"/>
  <c r="AU1127" i="9"/>
  <c r="AU1042" i="9"/>
  <c r="AU1237" i="9"/>
  <c r="AU1174" i="9"/>
  <c r="AU998" i="9"/>
  <c r="AU979" i="9"/>
  <c r="AU1165" i="9"/>
  <c r="AU1129" i="9"/>
  <c r="AU1111" i="9"/>
  <c r="AU1093" i="9"/>
  <c r="AU1075" i="9"/>
  <c r="AU1025" i="9"/>
  <c r="AU1147" i="9"/>
  <c r="AU1016" i="9"/>
  <c r="AU1043" i="9"/>
  <c r="AU989" i="9"/>
  <c r="AU969" i="9"/>
  <c r="AU1120" i="9"/>
  <c r="AU1102" i="9"/>
  <c r="AU1084" i="9"/>
  <c r="AU1066" i="9"/>
  <c r="AU1138" i="9"/>
  <c r="A74" i="1"/>
  <c r="A75" i="1"/>
  <c r="A76" i="1"/>
  <c r="A77" i="1"/>
  <c r="A78" i="1"/>
  <c r="A79" i="1"/>
  <c r="A114" i="5"/>
  <c r="A115" i="5"/>
  <c r="A32" i="3"/>
  <c r="A33" i="3"/>
  <c r="A34" i="3"/>
  <c r="A35" i="3"/>
  <c r="A36" i="3"/>
  <c r="A37" i="3"/>
  <c r="A95" i="5"/>
  <c r="A96" i="5"/>
  <c r="A76" i="5"/>
  <c r="A77" i="5"/>
  <c r="A57" i="5"/>
  <c r="A58" i="5"/>
  <c r="A38" i="5"/>
  <c r="A39" i="5"/>
  <c r="A19" i="5"/>
  <c r="A20" i="5"/>
  <c r="A94" i="5"/>
  <c r="A97" i="5"/>
  <c r="A98" i="5"/>
  <c r="A99" i="5"/>
  <c r="A100" i="5"/>
  <c r="A101" i="5"/>
  <c r="A102" i="5"/>
  <c r="A103" i="5"/>
  <c r="A104" i="5"/>
  <c r="A105" i="5"/>
  <c r="A106" i="5"/>
  <c r="A107" i="5"/>
  <c r="A108" i="5"/>
  <c r="A109" i="5"/>
  <c r="A110" i="5"/>
  <c r="A111" i="5"/>
  <c r="A112" i="5"/>
  <c r="A113" i="5"/>
  <c r="A81" i="5"/>
  <c r="A82" i="5"/>
  <c r="A83" i="5"/>
  <c r="A84" i="5"/>
  <c r="A85" i="5"/>
  <c r="A86" i="5"/>
  <c r="A87" i="5"/>
  <c r="A88" i="5"/>
  <c r="A89" i="5"/>
  <c r="A90" i="5"/>
  <c r="A91" i="5"/>
  <c r="A92" i="5"/>
  <c r="A93" i="5"/>
  <c r="A72" i="5"/>
  <c r="A73" i="5"/>
  <c r="A74" i="5"/>
  <c r="A75" i="5"/>
  <c r="A78" i="5"/>
  <c r="A79" i="5"/>
  <c r="A80" i="5"/>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2" i="1"/>
  <c r="A3" i="3"/>
  <c r="A4" i="3"/>
  <c r="A6" i="3"/>
  <c r="A7" i="3"/>
  <c r="A8" i="3"/>
  <c r="A9" i="3"/>
  <c r="A10" i="3"/>
  <c r="A11" i="3"/>
  <c r="A12" i="3"/>
  <c r="A13" i="3"/>
  <c r="A14" i="3"/>
  <c r="A15" i="3"/>
  <c r="A16" i="3"/>
  <c r="A17" i="3"/>
  <c r="A18" i="3"/>
  <c r="A19" i="3"/>
  <c r="A20" i="3"/>
  <c r="A21" i="3"/>
  <c r="A22" i="3"/>
  <c r="A23" i="3"/>
  <c r="A24" i="3"/>
  <c r="A25" i="3"/>
  <c r="A26" i="3"/>
  <c r="A27" i="3"/>
  <c r="A28" i="3"/>
  <c r="A29" i="3"/>
  <c r="A30" i="3"/>
  <c r="A31" i="3"/>
  <c r="A2" i="3"/>
  <c r="A17" i="5"/>
  <c r="A18" i="5"/>
  <c r="A21" i="5"/>
  <c r="A22" i="5"/>
  <c r="A23" i="5"/>
  <c r="A24" i="5"/>
  <c r="A25" i="5"/>
  <c r="A26" i="5"/>
  <c r="A27" i="5"/>
  <c r="A28" i="5"/>
  <c r="A29" i="5"/>
  <c r="A30" i="5"/>
  <c r="A31" i="5"/>
  <c r="A32" i="5"/>
  <c r="A33" i="5"/>
  <c r="A34" i="5"/>
  <c r="A35" i="5"/>
  <c r="A36" i="5"/>
  <c r="A37" i="5"/>
  <c r="A40" i="5"/>
  <c r="A41" i="5"/>
  <c r="A42" i="5"/>
  <c r="A43" i="5"/>
  <c r="A44" i="5"/>
  <c r="A45" i="5"/>
  <c r="A46" i="5"/>
  <c r="A47" i="5"/>
  <c r="A48" i="5"/>
  <c r="A49" i="5"/>
  <c r="A50" i="5"/>
  <c r="A51" i="5"/>
  <c r="A52" i="5"/>
  <c r="A53" i="5"/>
  <c r="A54" i="5"/>
  <c r="A55" i="5"/>
  <c r="A56" i="5"/>
  <c r="A59" i="5"/>
  <c r="A60" i="5"/>
  <c r="A61" i="5"/>
  <c r="A62" i="5"/>
  <c r="A63" i="5"/>
  <c r="A64" i="5"/>
  <c r="A65" i="5"/>
  <c r="A66" i="5"/>
  <c r="A67" i="5"/>
  <c r="A68" i="5"/>
  <c r="A69" i="5"/>
  <c r="A70" i="5"/>
  <c r="A71" i="5"/>
  <c r="A3" i="5"/>
  <c r="A4" i="5"/>
  <c r="A5" i="5"/>
  <c r="A6" i="5"/>
  <c r="A7" i="5"/>
  <c r="A8" i="5"/>
  <c r="A9" i="5"/>
  <c r="A10" i="5"/>
  <c r="A11" i="5"/>
  <c r="A12" i="5"/>
  <c r="A13" i="5"/>
  <c r="A14" i="5"/>
  <c r="A15" i="5"/>
  <c r="A16" i="5"/>
  <c r="A2" i="5"/>
  <c r="AU1083" i="9" l="1"/>
  <c r="AU1146" i="9"/>
  <c r="AU1074" i="9"/>
  <c r="AQ147" i="10"/>
  <c r="AQ107" i="10"/>
  <c r="AQ87" i="10"/>
  <c r="AQ337" i="10"/>
  <c r="AQ297" i="10"/>
  <c r="AQ257" i="10"/>
  <c r="AQ217" i="10"/>
  <c r="AQ177" i="10"/>
  <c r="AQ157" i="10"/>
  <c r="AQ137" i="10"/>
  <c r="AQ317" i="10"/>
  <c r="AQ97" i="10"/>
  <c r="AQ287" i="10"/>
  <c r="AQ267" i="10"/>
  <c r="AQ347" i="10"/>
  <c r="AQ167" i="10"/>
  <c r="AQ327" i="10"/>
  <c r="AQ307" i="10"/>
  <c r="AQ346" i="10"/>
  <c r="AQ326" i="10"/>
  <c r="AQ306" i="10"/>
  <c r="AQ286" i="10"/>
  <c r="AQ266" i="10"/>
  <c r="AQ246" i="10"/>
  <c r="AQ226" i="10"/>
  <c r="AQ206" i="10"/>
  <c r="AQ336" i="10"/>
  <c r="AQ296" i="10"/>
  <c r="AQ256" i="10"/>
  <c r="AQ236" i="10"/>
  <c r="AQ196" i="10"/>
  <c r="AQ96" i="10"/>
  <c r="AQ186" i="10"/>
  <c r="AQ106" i="10"/>
  <c r="AQ356" i="10"/>
  <c r="AQ316" i="10"/>
  <c r="AQ276" i="10"/>
  <c r="AQ216" i="10"/>
  <c r="AQ344" i="10"/>
  <c r="AQ264" i="10"/>
  <c r="AQ244" i="10"/>
  <c r="AQ204" i="10"/>
  <c r="AQ164" i="10"/>
  <c r="AQ124" i="10"/>
  <c r="AQ354" i="10"/>
  <c r="AQ314" i="10"/>
  <c r="AQ294" i="10"/>
  <c r="AQ254" i="10"/>
  <c r="AQ234" i="10"/>
  <c r="AQ194" i="10"/>
  <c r="AQ174" i="10"/>
  <c r="AQ324" i="10"/>
  <c r="AQ304" i="10"/>
  <c r="AQ284" i="10"/>
  <c r="AQ224" i="10"/>
  <c r="AQ134" i="10"/>
  <c r="AQ104" i="10"/>
  <c r="AQ334" i="10"/>
  <c r="AQ274" i="10"/>
  <c r="AQ214" i="10"/>
  <c r="AQ154" i="10"/>
  <c r="AU964" i="9"/>
  <c r="AQ185" i="10"/>
  <c r="AQ335" i="10"/>
  <c r="AQ275" i="10"/>
  <c r="AQ255" i="10"/>
  <c r="AQ215" i="10"/>
  <c r="AQ155" i="10"/>
  <c r="AQ345" i="10"/>
  <c r="AQ325" i="10"/>
  <c r="AQ305" i="10"/>
  <c r="AQ285" i="10"/>
  <c r="AQ265" i="10"/>
  <c r="AQ245" i="10"/>
  <c r="AQ225" i="10"/>
  <c r="AQ205" i="10"/>
  <c r="AQ165" i="10"/>
  <c r="AQ145" i="10"/>
  <c r="AQ355" i="10"/>
  <c r="AQ315" i="10"/>
  <c r="AQ295" i="10"/>
  <c r="AQ235" i="10"/>
  <c r="AQ195" i="10"/>
  <c r="AQ175" i="10"/>
  <c r="AQ135" i="10"/>
  <c r="AU1128" i="9"/>
  <c r="AQ338" i="10"/>
  <c r="AQ238" i="10"/>
  <c r="AQ158" i="10"/>
  <c r="AQ138" i="10"/>
  <c r="AQ358" i="10"/>
  <c r="AQ318" i="10"/>
  <c r="AQ218" i="10"/>
  <c r="AQ178" i="10"/>
  <c r="AQ188" i="10"/>
  <c r="AQ348" i="10"/>
  <c r="AQ168" i="10"/>
  <c r="AQ328" i="10"/>
  <c r="AQ88" i="10"/>
  <c r="AQ308" i="10"/>
  <c r="AQ228" i="10"/>
  <c r="AQ208" i="10"/>
  <c r="AQ128" i="10"/>
  <c r="AU1101" i="9"/>
  <c r="AU1014" i="9"/>
  <c r="AQ17" i="10"/>
  <c r="AU1072" i="9"/>
  <c r="AQ16" i="10"/>
  <c r="AQ6" i="10"/>
  <c r="AU1110" i="9"/>
  <c r="AU1030" i="9"/>
  <c r="AU1057" i="9"/>
  <c r="AU1073" i="9"/>
  <c r="AU1092" i="9"/>
  <c r="AQ18" i="10"/>
  <c r="AQ8" i="10"/>
  <c r="AU997" i="9"/>
  <c r="AU1109" i="9"/>
  <c r="AU1107" i="9"/>
  <c r="AU1169" i="9"/>
  <c r="AU1071" i="9"/>
  <c r="AU1080" i="9"/>
  <c r="AU1160" i="9"/>
  <c r="AU1089" i="9"/>
  <c r="AU1178" i="9"/>
  <c r="AU1232" i="9"/>
  <c r="AU1143" i="9"/>
  <c r="AU978" i="9"/>
  <c r="AU1065" i="9"/>
  <c r="AU1091" i="9"/>
  <c r="AU1119" i="9"/>
  <c r="AU1236" i="9"/>
  <c r="AU968" i="9"/>
  <c r="AU1137" i="9"/>
  <c r="AU988" i="9"/>
  <c r="AU1015" i="9"/>
  <c r="AU995" i="9"/>
  <c r="AU1049" i="9"/>
  <c r="AU1055" i="9"/>
  <c r="AU1234" i="9"/>
  <c r="AU1063" i="9"/>
  <c r="AU1081" i="9"/>
  <c r="AU1099" i="9"/>
  <c r="AU1117" i="9"/>
  <c r="AU966" i="9"/>
  <c r="AU986" i="9"/>
  <c r="AU996" i="9"/>
  <c r="AU977" i="9"/>
  <c r="AU1064" i="9"/>
  <c r="AU1118" i="9"/>
  <c r="AU1082" i="9"/>
  <c r="AU1100" i="9"/>
  <c r="AU1145" i="9"/>
  <c r="AU1040" i="9"/>
  <c r="AU1013" i="9"/>
  <c r="AU1090" i="9"/>
  <c r="AU1108" i="9"/>
  <c r="AU1126" i="9"/>
  <c r="AU976" i="9"/>
  <c r="AU1062" i="9"/>
  <c r="AU1098" i="9"/>
  <c r="AU1116" i="9"/>
  <c r="AU1039" i="9"/>
  <c r="AU1012" i="9"/>
  <c r="AU1196" i="9"/>
  <c r="AU1187" i="9"/>
  <c r="AU1070" i="9"/>
  <c r="AU974" i="9"/>
  <c r="AU1047" i="9"/>
  <c r="AU984" i="9"/>
  <c r="AU1020" i="9"/>
  <c r="AU1002" i="9"/>
  <c r="AU1205" i="9"/>
  <c r="AU1151" i="9"/>
  <c r="AU1029" i="9"/>
  <c r="AU1106" i="9"/>
  <c r="AU1003" i="9"/>
  <c r="AU1124" i="9"/>
  <c r="AU1079" i="9"/>
  <c r="AU1088" i="9"/>
  <c r="AU1061" i="9"/>
  <c r="AU1038" i="9"/>
  <c r="AU1214" i="9"/>
  <c r="AU1097" i="9"/>
  <c r="AU1011" i="9"/>
  <c r="AU993" i="9"/>
  <c r="AU1133" i="9"/>
  <c r="AU1115" i="9"/>
  <c r="AU1142" i="9"/>
  <c r="AU1223" i="9"/>
  <c r="AU994" i="9"/>
  <c r="AU967" i="9"/>
  <c r="AU987" i="9"/>
  <c r="AU1144" i="9"/>
  <c r="AU965" i="9"/>
  <c r="AU1021" i="9"/>
  <c r="AU1041" i="9"/>
  <c r="AU1125" i="9"/>
  <c r="AU975" i="9"/>
  <c r="AU1233" i="9"/>
  <c r="AU985" i="9"/>
  <c r="AT6" i="1"/>
  <c r="AW22" i="1" s="1"/>
  <c r="AZ9" i="1"/>
  <c r="AY9" i="1"/>
  <c r="AX9" i="1"/>
  <c r="AW9" i="1"/>
  <c r="AU31" i="1"/>
  <c r="AV31" i="1"/>
  <c r="AW31" i="1"/>
  <c r="AX31" i="1"/>
  <c r="AY31" i="1"/>
  <c r="AT32" i="1"/>
  <c r="AU32" i="1"/>
  <c r="AV32" i="1"/>
  <c r="AW32" i="1"/>
  <c r="AX32" i="1"/>
  <c r="AY32" i="1"/>
  <c r="AT33" i="1"/>
  <c r="AU33" i="1"/>
  <c r="AV33" i="1"/>
  <c r="AW33" i="1"/>
  <c r="AX33" i="1"/>
  <c r="AY33" i="1"/>
  <c r="AT34" i="1"/>
  <c r="AU34" i="1"/>
  <c r="AV34" i="1"/>
  <c r="AW34" i="1"/>
  <c r="AX34" i="1"/>
  <c r="AY34" i="1"/>
  <c r="AT37" i="1"/>
  <c r="AU37" i="1"/>
  <c r="AV37" i="1"/>
  <c r="AW37" i="1"/>
  <c r="AX37" i="1"/>
  <c r="AY37" i="1"/>
  <c r="AT38" i="1"/>
  <c r="AU38" i="1"/>
  <c r="AV38" i="1"/>
  <c r="AW38" i="1"/>
  <c r="AX38" i="1"/>
  <c r="AY38" i="1"/>
  <c r="AT39" i="1"/>
  <c r="AU39" i="1"/>
  <c r="AV39" i="1"/>
  <c r="AW39" i="1"/>
  <c r="AX39" i="1"/>
  <c r="AY39" i="1"/>
  <c r="AT40" i="1"/>
  <c r="AU40" i="1"/>
  <c r="AV40" i="1"/>
  <c r="AW40" i="1"/>
  <c r="AX40" i="1"/>
  <c r="AY40" i="1"/>
  <c r="AT43" i="1"/>
  <c r="AU43" i="1"/>
  <c r="AV43" i="1"/>
  <c r="AW43" i="1"/>
  <c r="AX43" i="1"/>
  <c r="AY43" i="1"/>
  <c r="AT44" i="1"/>
  <c r="AU44" i="1"/>
  <c r="AV44" i="1"/>
  <c r="AW44" i="1"/>
  <c r="AX44" i="1"/>
  <c r="AY44" i="1"/>
  <c r="AT45" i="1"/>
  <c r="AU45" i="1"/>
  <c r="AV45" i="1"/>
  <c r="AW45" i="1"/>
  <c r="AX45" i="1"/>
  <c r="AY45" i="1"/>
  <c r="AT46" i="1"/>
  <c r="AU46" i="1"/>
  <c r="AV46" i="1"/>
  <c r="AW46" i="1"/>
  <c r="AX46" i="1"/>
  <c r="AY46" i="1"/>
  <c r="AT49" i="1"/>
  <c r="AU49" i="1"/>
  <c r="AV49" i="1"/>
  <c r="AW49" i="1"/>
  <c r="AX49" i="1"/>
  <c r="AY49" i="1"/>
  <c r="AT50" i="1"/>
  <c r="AU50" i="1"/>
  <c r="AV50" i="1"/>
  <c r="AW50" i="1"/>
  <c r="AX50" i="1"/>
  <c r="AY50" i="1"/>
  <c r="AT51" i="1"/>
  <c r="AU51" i="1"/>
  <c r="AV51" i="1"/>
  <c r="AW51" i="1"/>
  <c r="AX51" i="1"/>
  <c r="AY51" i="1"/>
  <c r="AT52" i="1"/>
  <c r="AU52" i="1"/>
  <c r="AV52" i="1"/>
  <c r="AW52" i="1"/>
  <c r="AX52" i="1"/>
  <c r="AY52" i="1"/>
  <c r="AT55" i="1"/>
  <c r="AU55" i="1"/>
  <c r="AV55" i="1"/>
  <c r="AW55" i="1"/>
  <c r="AX55" i="1"/>
  <c r="AY55" i="1"/>
  <c r="AT56" i="1"/>
  <c r="AU56" i="1"/>
  <c r="AV56" i="1"/>
  <c r="AW56" i="1"/>
  <c r="AX56" i="1"/>
  <c r="AY56" i="1"/>
  <c r="AT57" i="1"/>
  <c r="AU57" i="1"/>
  <c r="AV57" i="1"/>
  <c r="AW57" i="1"/>
  <c r="AX57" i="1"/>
  <c r="AY57" i="1"/>
  <c r="AT58" i="1"/>
  <c r="AU58" i="1"/>
  <c r="AV58" i="1"/>
  <c r="AW58" i="1"/>
  <c r="AX58" i="1"/>
  <c r="AY58" i="1"/>
  <c r="AT61" i="1"/>
  <c r="AU61" i="1"/>
  <c r="AV61" i="1"/>
  <c r="AW61" i="1"/>
  <c r="AX61" i="1"/>
  <c r="AY61" i="1"/>
  <c r="AT62" i="1"/>
  <c r="AU62" i="1"/>
  <c r="AV62" i="1"/>
  <c r="AW62" i="1"/>
  <c r="AX62" i="1"/>
  <c r="AY62" i="1"/>
  <c r="AT63" i="1"/>
  <c r="AU63" i="1"/>
  <c r="AV63" i="1"/>
  <c r="AW63" i="1"/>
  <c r="AX63" i="1"/>
  <c r="AY63" i="1"/>
  <c r="AT64" i="1"/>
  <c r="AU64" i="1"/>
  <c r="AV64" i="1"/>
  <c r="AW64" i="1"/>
  <c r="AX64" i="1"/>
  <c r="AY64" i="1"/>
  <c r="AT67" i="1"/>
  <c r="AU67" i="1"/>
  <c r="AV67" i="1"/>
  <c r="AW67" i="1"/>
  <c r="AX67" i="1"/>
  <c r="AY67" i="1"/>
  <c r="AT68" i="1"/>
  <c r="AU68" i="1"/>
  <c r="AV68" i="1"/>
  <c r="AW68" i="1"/>
  <c r="AX68" i="1"/>
  <c r="AY68" i="1"/>
  <c r="AT69" i="1"/>
  <c r="AU69" i="1"/>
  <c r="AV69" i="1"/>
  <c r="AW69" i="1"/>
  <c r="AX69" i="1"/>
  <c r="AY69" i="1"/>
  <c r="AT70" i="1"/>
  <c r="AU70" i="1"/>
  <c r="AV70" i="1"/>
  <c r="AW70" i="1"/>
  <c r="AX70" i="1"/>
  <c r="AY70" i="1"/>
  <c r="AT73" i="1"/>
  <c r="AU73" i="1"/>
  <c r="AV73" i="1"/>
  <c r="AW73" i="1"/>
  <c r="AX73" i="1"/>
  <c r="AY73" i="1"/>
  <c r="AT74" i="1"/>
  <c r="AU74" i="1"/>
  <c r="AV74" i="1"/>
  <c r="AW74" i="1"/>
  <c r="AX74" i="1"/>
  <c r="AY74" i="1"/>
  <c r="AT75" i="1"/>
  <c r="AU75" i="1"/>
  <c r="AV75" i="1"/>
  <c r="AW75" i="1"/>
  <c r="AX75" i="1"/>
  <c r="AY75" i="1"/>
  <c r="AT76" i="1"/>
  <c r="AU76" i="1"/>
  <c r="AV76" i="1"/>
  <c r="AW76" i="1"/>
  <c r="AX76" i="1"/>
  <c r="AY76" i="1"/>
  <c r="AT79" i="1"/>
  <c r="AU79" i="1"/>
  <c r="AV79" i="1"/>
  <c r="AW79" i="1"/>
  <c r="AX79" i="1"/>
  <c r="AY79" i="1"/>
  <c r="AT80" i="1"/>
  <c r="AU80" i="1"/>
  <c r="AV80" i="1"/>
  <c r="AW80" i="1"/>
  <c r="AX80" i="1"/>
  <c r="AY80" i="1"/>
  <c r="AT81" i="1"/>
  <c r="AU81" i="1"/>
  <c r="AV81" i="1"/>
  <c r="AW81" i="1"/>
  <c r="AX81" i="1"/>
  <c r="AY81" i="1"/>
  <c r="AT82" i="1"/>
  <c r="AU82" i="1"/>
  <c r="AV82" i="1"/>
  <c r="AW82" i="1"/>
  <c r="AX82" i="1"/>
  <c r="AY82" i="1"/>
  <c r="AT85" i="1"/>
  <c r="AU85" i="1"/>
  <c r="AV85" i="1"/>
  <c r="AW85" i="1"/>
  <c r="AX85" i="1"/>
  <c r="AY85" i="1"/>
  <c r="AT86" i="1"/>
  <c r="AU86" i="1"/>
  <c r="AV86" i="1"/>
  <c r="AW86" i="1"/>
  <c r="AX86" i="1"/>
  <c r="AY86" i="1"/>
  <c r="AT87" i="1"/>
  <c r="AU87" i="1"/>
  <c r="AV87" i="1"/>
  <c r="AW87" i="1"/>
  <c r="AX87" i="1"/>
  <c r="AY87" i="1"/>
  <c r="AT88" i="1"/>
  <c r="AU88" i="1"/>
  <c r="AV88" i="1"/>
  <c r="AW88" i="1"/>
  <c r="AX88" i="1"/>
  <c r="AY88" i="1"/>
  <c r="AT91" i="1"/>
  <c r="AU91" i="1"/>
  <c r="AV91" i="1"/>
  <c r="AW91" i="1"/>
  <c r="AX91" i="1"/>
  <c r="AY91" i="1"/>
  <c r="AT92" i="1"/>
  <c r="AU92" i="1"/>
  <c r="AV92" i="1"/>
  <c r="AW92" i="1"/>
  <c r="AX92" i="1"/>
  <c r="AY92" i="1"/>
  <c r="AT93" i="1"/>
  <c r="AU93" i="1"/>
  <c r="AV93" i="1"/>
  <c r="AW93" i="1"/>
  <c r="AX93" i="1"/>
  <c r="AY93" i="1"/>
  <c r="AT94" i="1"/>
  <c r="AU94" i="1"/>
  <c r="AV94" i="1"/>
  <c r="AW94" i="1"/>
  <c r="AX94" i="1"/>
  <c r="AY94" i="1"/>
  <c r="AT97" i="1"/>
  <c r="AU97" i="1"/>
  <c r="AV97" i="1"/>
  <c r="AW97" i="1"/>
  <c r="AX97" i="1"/>
  <c r="AY97" i="1"/>
  <c r="AT98" i="1"/>
  <c r="AU98" i="1"/>
  <c r="AV98" i="1"/>
  <c r="AW98" i="1"/>
  <c r="AX98" i="1"/>
  <c r="AY98" i="1"/>
  <c r="AT99" i="1"/>
  <c r="AU99" i="1"/>
  <c r="AV99" i="1"/>
  <c r="AW99" i="1"/>
  <c r="AX99" i="1"/>
  <c r="AY99" i="1"/>
  <c r="AT100" i="1"/>
  <c r="AU100" i="1"/>
  <c r="AV100" i="1"/>
  <c r="AW100" i="1"/>
  <c r="AX100" i="1"/>
  <c r="AY100" i="1"/>
  <c r="AT103" i="1"/>
  <c r="AU103" i="1"/>
  <c r="AV103" i="1"/>
  <c r="AW103" i="1"/>
  <c r="AX103" i="1"/>
  <c r="AY103" i="1"/>
  <c r="AT104" i="1"/>
  <c r="AU104" i="1"/>
  <c r="AV104" i="1"/>
  <c r="AW104" i="1"/>
  <c r="AX104" i="1"/>
  <c r="AY104" i="1"/>
  <c r="AT105" i="1"/>
  <c r="AU105" i="1"/>
  <c r="AV105" i="1"/>
  <c r="AW105" i="1"/>
  <c r="AX105" i="1"/>
  <c r="AY105" i="1"/>
  <c r="AT106" i="1"/>
  <c r="AU106" i="1"/>
  <c r="AV106" i="1"/>
  <c r="AW106" i="1"/>
  <c r="AX106" i="1"/>
  <c r="AY106" i="1"/>
  <c r="AT109" i="1"/>
  <c r="AU109" i="1"/>
  <c r="AV109" i="1"/>
  <c r="AW109" i="1"/>
  <c r="AX109" i="1"/>
  <c r="AY109" i="1"/>
  <c r="AT110" i="1"/>
  <c r="AU110" i="1"/>
  <c r="AV110" i="1"/>
  <c r="AW110" i="1"/>
  <c r="AX110" i="1"/>
  <c r="AY110" i="1"/>
  <c r="AT111" i="1"/>
  <c r="AU111" i="1"/>
  <c r="AV111" i="1"/>
  <c r="AW111" i="1"/>
  <c r="AX111" i="1"/>
  <c r="AY111" i="1"/>
  <c r="AT112" i="1"/>
  <c r="AU112" i="1"/>
  <c r="AV112" i="1"/>
  <c r="AW112" i="1"/>
  <c r="AX112" i="1"/>
  <c r="AY112" i="1"/>
  <c r="AT115" i="1"/>
  <c r="AU115" i="1"/>
  <c r="AV115" i="1"/>
  <c r="AW115" i="1"/>
  <c r="AX115" i="1"/>
  <c r="AY115" i="1"/>
  <c r="AT116" i="1"/>
  <c r="AU116" i="1"/>
  <c r="AV116" i="1"/>
  <c r="AW116" i="1"/>
  <c r="AX116" i="1"/>
  <c r="AY116" i="1"/>
  <c r="AT117" i="1"/>
  <c r="AU117" i="1"/>
  <c r="AV117" i="1"/>
  <c r="AW117" i="1"/>
  <c r="AX117" i="1"/>
  <c r="AY117" i="1"/>
  <c r="AT118" i="1"/>
  <c r="AU118" i="1"/>
  <c r="AV118" i="1"/>
  <c r="AW118" i="1"/>
  <c r="AX118" i="1"/>
  <c r="AY118" i="1"/>
  <c r="AT121" i="1"/>
  <c r="AU121" i="1"/>
  <c r="AV121" i="1"/>
  <c r="AW121" i="1"/>
  <c r="AX121" i="1"/>
  <c r="AY121" i="1"/>
  <c r="AT122" i="1"/>
  <c r="AU122" i="1"/>
  <c r="AV122" i="1"/>
  <c r="AW122" i="1"/>
  <c r="AX122" i="1"/>
  <c r="AY122" i="1"/>
  <c r="AT123" i="1"/>
  <c r="AU123" i="1"/>
  <c r="AV123" i="1"/>
  <c r="AW123" i="1"/>
  <c r="AX123" i="1"/>
  <c r="AY123" i="1"/>
  <c r="AT124" i="1"/>
  <c r="AU124" i="1"/>
  <c r="AV124" i="1"/>
  <c r="AW124" i="1"/>
  <c r="AX124" i="1"/>
  <c r="AY124" i="1"/>
  <c r="AT127" i="1"/>
  <c r="AU127" i="1"/>
  <c r="AV127" i="1"/>
  <c r="AW127" i="1"/>
  <c r="AX127" i="1"/>
  <c r="AY127" i="1"/>
  <c r="AT128" i="1"/>
  <c r="AU128" i="1"/>
  <c r="AV128" i="1"/>
  <c r="AW128" i="1"/>
  <c r="AX128" i="1"/>
  <c r="AY128" i="1"/>
  <c r="AT129" i="1"/>
  <c r="AU129" i="1"/>
  <c r="AV129" i="1"/>
  <c r="AW129" i="1"/>
  <c r="AX129" i="1"/>
  <c r="AY129" i="1"/>
  <c r="AT130" i="1"/>
  <c r="AU130" i="1"/>
  <c r="AV130" i="1"/>
  <c r="AW130" i="1"/>
  <c r="AX130" i="1"/>
  <c r="AY130" i="1"/>
  <c r="AT133" i="1"/>
  <c r="AU133" i="1"/>
  <c r="AV133" i="1"/>
  <c r="AW133" i="1"/>
  <c r="AX133" i="1"/>
  <c r="AY133" i="1"/>
  <c r="AT134" i="1"/>
  <c r="AU134" i="1"/>
  <c r="AV134" i="1"/>
  <c r="AW134" i="1"/>
  <c r="AX134" i="1"/>
  <c r="AY134" i="1"/>
  <c r="AT135" i="1"/>
  <c r="AU135" i="1"/>
  <c r="AV135" i="1"/>
  <c r="AW135" i="1"/>
  <c r="AX135" i="1"/>
  <c r="AY135" i="1"/>
  <c r="AT136" i="1"/>
  <c r="AU136" i="1"/>
  <c r="AV136" i="1"/>
  <c r="AW136" i="1"/>
  <c r="AX136" i="1"/>
  <c r="AY136" i="1"/>
  <c r="AT139" i="1"/>
  <c r="AU139" i="1"/>
  <c r="AV139" i="1"/>
  <c r="AW139" i="1"/>
  <c r="AX139" i="1"/>
  <c r="AY139" i="1"/>
  <c r="AT140" i="1"/>
  <c r="AU140" i="1"/>
  <c r="AV140" i="1"/>
  <c r="AW140" i="1"/>
  <c r="AX140" i="1"/>
  <c r="AY140" i="1"/>
  <c r="AT141" i="1"/>
  <c r="AU141" i="1"/>
  <c r="AV141" i="1"/>
  <c r="AW141" i="1"/>
  <c r="AX141" i="1"/>
  <c r="AY141" i="1"/>
  <c r="AT142" i="1"/>
  <c r="AU142" i="1"/>
  <c r="AV142" i="1"/>
  <c r="AW142" i="1"/>
  <c r="AX142" i="1"/>
  <c r="AY142" i="1"/>
  <c r="AT145" i="1"/>
  <c r="AU145" i="1"/>
  <c r="AV145" i="1"/>
  <c r="AW145" i="1"/>
  <c r="AX145" i="1"/>
  <c r="AY145" i="1"/>
  <c r="AT146" i="1"/>
  <c r="AU146" i="1"/>
  <c r="AV146" i="1"/>
  <c r="AW146" i="1"/>
  <c r="AX146" i="1"/>
  <c r="AY146" i="1"/>
  <c r="AT147" i="1"/>
  <c r="AU147" i="1"/>
  <c r="AV147" i="1"/>
  <c r="AW147" i="1"/>
  <c r="AX147" i="1"/>
  <c r="AY147" i="1"/>
  <c r="AT148" i="1"/>
  <c r="AU148" i="1"/>
  <c r="AV148" i="1"/>
  <c r="AW148" i="1"/>
  <c r="AX148" i="1"/>
  <c r="AY148" i="1"/>
  <c r="AT151" i="1"/>
  <c r="AU151" i="1"/>
  <c r="AV151" i="1"/>
  <c r="AW151" i="1"/>
  <c r="AX151" i="1"/>
  <c r="AY151" i="1"/>
  <c r="AT152" i="1"/>
  <c r="AU152" i="1"/>
  <c r="AV152" i="1"/>
  <c r="AW152" i="1"/>
  <c r="AX152" i="1"/>
  <c r="AY152" i="1"/>
  <c r="AT153" i="1"/>
  <c r="AU153" i="1"/>
  <c r="AV153" i="1"/>
  <c r="AW153" i="1"/>
  <c r="AX153" i="1"/>
  <c r="AY153" i="1"/>
  <c r="AT154" i="1"/>
  <c r="AU154" i="1"/>
  <c r="AV154" i="1"/>
  <c r="AW154" i="1"/>
  <c r="AX154" i="1"/>
  <c r="AY154" i="1"/>
  <c r="AT157" i="1"/>
  <c r="AU157" i="1"/>
  <c r="AV157" i="1"/>
  <c r="AW157" i="1"/>
  <c r="AX157" i="1"/>
  <c r="AY157" i="1"/>
  <c r="AT158" i="1"/>
  <c r="AU158" i="1"/>
  <c r="AV158" i="1"/>
  <c r="AW158" i="1"/>
  <c r="AX158" i="1"/>
  <c r="AY158" i="1"/>
  <c r="AT159" i="1"/>
  <c r="AU159" i="1"/>
  <c r="AV159" i="1"/>
  <c r="AW159" i="1"/>
  <c r="AX159" i="1"/>
  <c r="AY159" i="1"/>
  <c r="AT160" i="1"/>
  <c r="AU160" i="1"/>
  <c r="AV160" i="1"/>
  <c r="AW160" i="1"/>
  <c r="AX160" i="1"/>
  <c r="AY160" i="1"/>
  <c r="AT163" i="1"/>
  <c r="AU163" i="1"/>
  <c r="AV163" i="1"/>
  <c r="AW163" i="1"/>
  <c r="AX163" i="1"/>
  <c r="AY163" i="1"/>
  <c r="AT164" i="1"/>
  <c r="AU164" i="1"/>
  <c r="AV164" i="1"/>
  <c r="AW164" i="1"/>
  <c r="AX164" i="1"/>
  <c r="AY164" i="1"/>
  <c r="AT167" i="1"/>
  <c r="AU167" i="1"/>
  <c r="AV167" i="1"/>
  <c r="AW167" i="1"/>
  <c r="AX167" i="1"/>
  <c r="AY167" i="1"/>
  <c r="AT168" i="1"/>
  <c r="AU168" i="1"/>
  <c r="AV168" i="1"/>
  <c r="AW168" i="1"/>
  <c r="AX168" i="1"/>
  <c r="AY168" i="1"/>
  <c r="AT171" i="1"/>
  <c r="AU171" i="1"/>
  <c r="AV171" i="1"/>
  <c r="AW171" i="1"/>
  <c r="AX171" i="1"/>
  <c r="AY171" i="1"/>
  <c r="AT172" i="1"/>
  <c r="AU172" i="1"/>
  <c r="AV172" i="1"/>
  <c r="AW172" i="1"/>
  <c r="AX172" i="1"/>
  <c r="AY172" i="1"/>
  <c r="AT175" i="1"/>
  <c r="AU175" i="1"/>
  <c r="AV175" i="1"/>
  <c r="AW175" i="1"/>
  <c r="AX175" i="1"/>
  <c r="AY175" i="1"/>
  <c r="AT176" i="1"/>
  <c r="AU176" i="1"/>
  <c r="AV176" i="1"/>
  <c r="AW176" i="1"/>
  <c r="AX176" i="1"/>
  <c r="AY176" i="1"/>
  <c r="AT179" i="1"/>
  <c r="AU179" i="1"/>
  <c r="AV179" i="1"/>
  <c r="AW179" i="1"/>
  <c r="AX179" i="1"/>
  <c r="AY179" i="1"/>
  <c r="AT180" i="1"/>
  <c r="AU180" i="1"/>
  <c r="AV180" i="1"/>
  <c r="AW180" i="1"/>
  <c r="AX180" i="1"/>
  <c r="AY180" i="1"/>
  <c r="AT183" i="1"/>
  <c r="AU183" i="1"/>
  <c r="AV183" i="1"/>
  <c r="AW183" i="1"/>
  <c r="AX183" i="1"/>
  <c r="AY183" i="1"/>
  <c r="AT184" i="1"/>
  <c r="AU184" i="1"/>
  <c r="AV184" i="1"/>
  <c r="AW184" i="1"/>
  <c r="AX184" i="1"/>
  <c r="AY184" i="1"/>
  <c r="AT187" i="1"/>
  <c r="AU187" i="1"/>
  <c r="AV187" i="1"/>
  <c r="AW187" i="1"/>
  <c r="AX187" i="1"/>
  <c r="AY187" i="1"/>
  <c r="AT188" i="1"/>
  <c r="AU188" i="1"/>
  <c r="AV188" i="1"/>
  <c r="AW188" i="1"/>
  <c r="AX188" i="1"/>
  <c r="AY188" i="1"/>
  <c r="AT191" i="1"/>
  <c r="AU191" i="1"/>
  <c r="AV191" i="1"/>
  <c r="AW191" i="1"/>
  <c r="AX191" i="1"/>
  <c r="AY191" i="1"/>
  <c r="AT192" i="1"/>
  <c r="AU192" i="1"/>
  <c r="AV192" i="1"/>
  <c r="AW192" i="1"/>
  <c r="AX192" i="1"/>
  <c r="AY192" i="1"/>
  <c r="AT195" i="1"/>
  <c r="AU195" i="1"/>
  <c r="AV195" i="1"/>
  <c r="AW195" i="1"/>
  <c r="AX195" i="1"/>
  <c r="AY195" i="1"/>
  <c r="AT196" i="1"/>
  <c r="AU196" i="1"/>
  <c r="AV196" i="1"/>
  <c r="AW196" i="1"/>
  <c r="AX196" i="1"/>
  <c r="AY196" i="1"/>
  <c r="AT199" i="1"/>
  <c r="AU199" i="1"/>
  <c r="AV199" i="1"/>
  <c r="AW199" i="1"/>
  <c r="AX199" i="1"/>
  <c r="AY199" i="1"/>
  <c r="AT200" i="1"/>
  <c r="AU200" i="1"/>
  <c r="AV200" i="1"/>
  <c r="AW200" i="1"/>
  <c r="AX200" i="1"/>
  <c r="AY200" i="1"/>
  <c r="AT203" i="1"/>
  <c r="AU203" i="1"/>
  <c r="AV203" i="1"/>
  <c r="AW203" i="1"/>
  <c r="AX203" i="1"/>
  <c r="AY203" i="1"/>
  <c r="AT204" i="1"/>
  <c r="AU204" i="1"/>
  <c r="AV204" i="1"/>
  <c r="AW204" i="1"/>
  <c r="AX204" i="1"/>
  <c r="AY204" i="1"/>
  <c r="AT207" i="1"/>
  <c r="AU207" i="1"/>
  <c r="AV207" i="1"/>
  <c r="AW207" i="1"/>
  <c r="AX207" i="1"/>
  <c r="AY207" i="1"/>
  <c r="AT208" i="1"/>
  <c r="AU208" i="1"/>
  <c r="AV208" i="1"/>
  <c r="AW208" i="1"/>
  <c r="AX208" i="1"/>
  <c r="AY208" i="1"/>
  <c r="AT211" i="1"/>
  <c r="AU211" i="1"/>
  <c r="AV211" i="1"/>
  <c r="AW211" i="1"/>
  <c r="AX211" i="1"/>
  <c r="AY211" i="1"/>
  <c r="AT212" i="1"/>
  <c r="AU212" i="1"/>
  <c r="AV212" i="1"/>
  <c r="AW212" i="1"/>
  <c r="AX212" i="1"/>
  <c r="AY212" i="1"/>
  <c r="AT215" i="1"/>
  <c r="AU215" i="1"/>
  <c r="AV215" i="1"/>
  <c r="AW215" i="1"/>
  <c r="AX215" i="1"/>
  <c r="AY215" i="1"/>
  <c r="AT216" i="1"/>
  <c r="AU216" i="1"/>
  <c r="AV216" i="1"/>
  <c r="AW216" i="1"/>
  <c r="AX216" i="1"/>
  <c r="AY216" i="1"/>
  <c r="AQ14" i="3" l="1"/>
  <c r="AQ4" i="3"/>
  <c r="B2" i="8"/>
  <c r="B6" i="8"/>
  <c r="B14" i="8"/>
  <c r="B5" i="8"/>
  <c r="B11" i="8"/>
  <c r="B4" i="8"/>
  <c r="E20" i="8"/>
  <c r="B7" i="8"/>
  <c r="B20" i="8"/>
  <c r="B3" i="8"/>
  <c r="B10" i="8"/>
  <c r="AQ189" i="3"/>
  <c r="AQ188" i="3"/>
  <c r="AU993" i="1"/>
  <c r="AQ354" i="3"/>
  <c r="AU1106" i="1"/>
  <c r="AQ187" i="3"/>
  <c r="AQ124" i="3"/>
  <c r="AQ94" i="3"/>
  <c r="AQ24" i="3"/>
  <c r="AU1196" i="1"/>
  <c r="AU984" i="1"/>
  <c r="AQ344" i="3"/>
  <c r="AU1011" i="1"/>
  <c r="AU1214" i="1"/>
  <c r="AU1160" i="1"/>
  <c r="AQ294" i="3"/>
  <c r="AQ186" i="3"/>
  <c r="AQ224" i="3"/>
  <c r="AQ184" i="3"/>
  <c r="AQ54" i="3"/>
  <c r="AU1142" i="1"/>
  <c r="AU1133" i="1"/>
  <c r="AQ185" i="3"/>
  <c r="AU1187" i="1"/>
  <c r="AQ44" i="3"/>
  <c r="AU1088" i="1"/>
  <c r="AU1223" i="1"/>
  <c r="AU1205" i="1"/>
  <c r="AQ64" i="3"/>
  <c r="AU1169" i="1"/>
  <c r="AQ334" i="3"/>
  <c r="AQ274" i="3"/>
  <c r="AU1115" i="1"/>
  <c r="AQ234" i="3"/>
  <c r="AQ204" i="3"/>
  <c r="AU1003" i="1"/>
  <c r="AU1151" i="1"/>
  <c r="AU1124" i="1"/>
  <c r="AU1232" i="1"/>
  <c r="AQ34" i="3"/>
  <c r="AQ284" i="3"/>
  <c r="AU1002" i="1"/>
  <c r="AU1178" i="1"/>
  <c r="AQ84" i="3"/>
  <c r="AQ104" i="3"/>
  <c r="AU1097" i="1"/>
  <c r="AQ214" i="3"/>
  <c r="AU1079" i="1"/>
  <c r="AQ164" i="3"/>
  <c r="AQ154" i="3"/>
  <c r="AU1070" i="1"/>
  <c r="AQ174" i="3"/>
  <c r="AU1061" i="1"/>
  <c r="AU1029" i="1"/>
  <c r="AU1047" i="1"/>
  <c r="AQ134" i="3"/>
  <c r="AU1038" i="1"/>
  <c r="AU974" i="1"/>
  <c r="AU1020" i="1"/>
  <c r="AQ74" i="3"/>
  <c r="AU964" i="1"/>
  <c r="AQ304" i="3"/>
  <c r="AW23" i="1"/>
  <c r="AW24" i="1"/>
  <c r="AW26" i="1"/>
  <c r="AQ8" i="3" s="1"/>
  <c r="AW25" i="1"/>
  <c r="AQ7" i="3" s="1"/>
  <c r="AW27" i="1"/>
  <c r="AQ19" i="3" s="1"/>
  <c r="AQ264" i="3"/>
  <c r="AQ254" i="3"/>
  <c r="AQ314" i="3"/>
  <c r="AQ5" i="3" l="1"/>
  <c r="AQ65" i="3"/>
  <c r="AQ105" i="3"/>
  <c r="AQ17" i="3"/>
  <c r="AQ18" i="3"/>
  <c r="AQ6" i="3"/>
  <c r="AQ156" i="3"/>
  <c r="AQ15" i="3"/>
  <c r="AQ16" i="3"/>
  <c r="D2" i="8"/>
  <c r="AQ336" i="3"/>
  <c r="AQ9" i="3"/>
  <c r="G34" i="8"/>
  <c r="G22" i="8"/>
  <c r="G33" i="8"/>
  <c r="G37" i="8"/>
  <c r="G21" i="8"/>
  <c r="G28" i="8"/>
  <c r="G36" i="8"/>
  <c r="G32" i="8"/>
  <c r="G12" i="8"/>
  <c r="G35" i="8"/>
  <c r="G23" i="8"/>
  <c r="G10" i="8"/>
  <c r="G26" i="8"/>
  <c r="AU1093" i="1"/>
  <c r="AQ279" i="3"/>
  <c r="AU1120" i="1"/>
  <c r="AQ319" i="3"/>
  <c r="AQ69" i="3"/>
  <c r="AQ309" i="3"/>
  <c r="AQ109" i="3"/>
  <c r="AU1129" i="1"/>
  <c r="AQ129" i="3"/>
  <c r="AU1165" i="1"/>
  <c r="AQ269" i="3"/>
  <c r="AU1025" i="1"/>
  <c r="AU1147" i="1"/>
  <c r="AU1138" i="1"/>
  <c r="AQ329" i="3"/>
  <c r="AU1237" i="1"/>
  <c r="AQ229" i="3"/>
  <c r="AU1174" i="1"/>
  <c r="AQ219" i="3"/>
  <c r="AQ289" i="3"/>
  <c r="AU1111" i="1"/>
  <c r="AQ209" i="3"/>
  <c r="AQ359" i="3"/>
  <c r="AQ89" i="3"/>
  <c r="AQ99" i="3"/>
  <c r="AQ299" i="3"/>
  <c r="AQ349" i="3"/>
  <c r="AQ199" i="3"/>
  <c r="AQ239" i="3"/>
  <c r="AQ339" i="3"/>
  <c r="AQ249" i="3"/>
  <c r="AU1016" i="1"/>
  <c r="E26" i="8"/>
  <c r="E14" i="8"/>
  <c r="E22" i="8"/>
  <c r="E29" i="8"/>
  <c r="E25" i="8"/>
  <c r="E24" i="8"/>
  <c r="E21" i="8"/>
  <c r="AQ237" i="3"/>
  <c r="AQ347" i="3"/>
  <c r="AU1091" i="1"/>
  <c r="AU1118" i="1"/>
  <c r="AQ227" i="3"/>
  <c r="AQ197" i="3"/>
  <c r="AU1145" i="1"/>
  <c r="AQ67" i="3"/>
  <c r="AQ357" i="3"/>
  <c r="AU1014" i="1"/>
  <c r="AQ247" i="3"/>
  <c r="AU1235" i="1"/>
  <c r="AQ287" i="3"/>
  <c r="AQ337" i="3"/>
  <c r="AU1127" i="1"/>
  <c r="AQ107" i="3"/>
  <c r="AU1109" i="1"/>
  <c r="AQ277" i="3"/>
  <c r="AQ207" i="3"/>
  <c r="AQ127" i="3"/>
  <c r="AQ97" i="3"/>
  <c r="AQ297" i="3"/>
  <c r="F26" i="8"/>
  <c r="F30" i="8"/>
  <c r="F29" i="8"/>
  <c r="F11" i="8"/>
  <c r="F21" i="8"/>
  <c r="F28" i="8"/>
  <c r="F16" i="8"/>
  <c r="F27" i="8"/>
  <c r="F31" i="8"/>
  <c r="AQ348" i="3"/>
  <c r="AQ198" i="3"/>
  <c r="AU1119" i="1"/>
  <c r="AQ268" i="3"/>
  <c r="AQ68" i="3"/>
  <c r="AU1092" i="1"/>
  <c r="AQ208" i="3"/>
  <c r="AU1128" i="1"/>
  <c r="AU1015" i="1"/>
  <c r="AQ248" i="3"/>
  <c r="AU1137" i="1"/>
  <c r="AQ298" i="3"/>
  <c r="AU1236" i="1"/>
  <c r="AQ228" i="3"/>
  <c r="AQ98" i="3"/>
  <c r="AQ288" i="3"/>
  <c r="AQ338" i="3"/>
  <c r="AQ148" i="3"/>
  <c r="AQ278" i="3"/>
  <c r="AQ128" i="3"/>
  <c r="AQ108" i="3"/>
  <c r="AU1110" i="1"/>
  <c r="AQ258" i="3"/>
  <c r="AQ238" i="3"/>
  <c r="AQ358" i="3"/>
  <c r="AU1146" i="1"/>
  <c r="D19" i="8"/>
  <c r="D14" i="8"/>
  <c r="D18" i="8"/>
  <c r="D17" i="8"/>
  <c r="D16" i="8"/>
  <c r="D15" i="8"/>
  <c r="D10" i="8"/>
  <c r="AU1108" i="1"/>
  <c r="AQ146" i="3"/>
  <c r="AQ86" i="3"/>
  <c r="AQ346" i="3"/>
  <c r="AQ206" i="3"/>
  <c r="AU1117" i="1"/>
  <c r="AU1144" i="1"/>
  <c r="AQ276" i="3"/>
  <c r="AQ136" i="3"/>
  <c r="AU1090" i="1"/>
  <c r="AQ166" i="3"/>
  <c r="AQ356" i="3"/>
  <c r="AU1013" i="1"/>
  <c r="AQ286" i="3"/>
  <c r="AQ226" i="3"/>
  <c r="AU1234" i="1"/>
  <c r="AU1126" i="1"/>
  <c r="AQ106" i="3"/>
  <c r="AQ66" i="3"/>
  <c r="AQ126" i="3"/>
  <c r="AQ96" i="3"/>
  <c r="AQ296" i="3"/>
  <c r="AQ176" i="3"/>
  <c r="AQ236" i="3"/>
  <c r="C10" i="8"/>
  <c r="C6" i="8"/>
  <c r="C14" i="8"/>
  <c r="C9" i="8"/>
  <c r="C5" i="8"/>
  <c r="C13" i="8"/>
  <c r="C11" i="8"/>
  <c r="C8" i="8"/>
  <c r="C12" i="8"/>
  <c r="C7" i="8"/>
  <c r="C3" i="8"/>
  <c r="AU1012" i="1"/>
  <c r="AU1021" i="1"/>
  <c r="AQ295" i="3"/>
  <c r="AQ115" i="3"/>
  <c r="AQ35" i="3"/>
  <c r="AQ345" i="3"/>
  <c r="AQ205" i="3"/>
  <c r="AU1089" i="1"/>
  <c r="AU1143" i="1"/>
  <c r="AU1116" i="1"/>
  <c r="AU1107" i="1"/>
  <c r="AQ275" i="3"/>
  <c r="AQ85" i="3"/>
  <c r="AQ125" i="3"/>
  <c r="AQ55" i="3"/>
  <c r="AQ235" i="3"/>
  <c r="AQ45" i="3"/>
  <c r="AQ355" i="3"/>
  <c r="AQ285" i="3"/>
  <c r="AQ225" i="3"/>
  <c r="AQ95" i="3"/>
  <c r="AU1233" i="1"/>
  <c r="AQ335" i="3"/>
  <c r="AQ75" i="3"/>
  <c r="AU1125" i="1"/>
  <c r="AU994" i="1"/>
  <c r="AQ216" i="3"/>
  <c r="AU1099" i="1"/>
  <c r="AU1098" i="1"/>
  <c r="AQ215" i="3"/>
  <c r="AU1102" i="1"/>
  <c r="AQ177" i="3"/>
  <c r="AQ217" i="3"/>
  <c r="AU1100" i="1"/>
  <c r="AQ218" i="3"/>
  <c r="AU1101" i="1"/>
  <c r="AU1055" i="1"/>
  <c r="AU1081" i="1"/>
  <c r="AU1063" i="1"/>
  <c r="AU1072" i="1"/>
  <c r="AQ155" i="3"/>
  <c r="AU1080" i="1"/>
  <c r="AQ165" i="3"/>
  <c r="AQ175" i="3"/>
  <c r="AU1071" i="1"/>
  <c r="AU1062" i="1"/>
  <c r="AQ149" i="3"/>
  <c r="AQ159" i="3"/>
  <c r="AU1075" i="1"/>
  <c r="AU1066" i="1"/>
  <c r="AQ179" i="3"/>
  <c r="AQ169" i="3"/>
  <c r="AU1084" i="1"/>
  <c r="AQ167" i="3"/>
  <c r="AQ157" i="3"/>
  <c r="AU1082" i="1"/>
  <c r="AU1073" i="1"/>
  <c r="AU1064" i="1"/>
  <c r="AU1083" i="1"/>
  <c r="AU1074" i="1"/>
  <c r="AU1065" i="1"/>
  <c r="AQ158" i="3"/>
  <c r="AQ178" i="3"/>
  <c r="AQ168" i="3"/>
  <c r="AU1057" i="1"/>
  <c r="AQ145" i="3"/>
  <c r="AQ147" i="3"/>
  <c r="AQ118" i="3"/>
  <c r="AU1042" i="1"/>
  <c r="AQ119" i="3"/>
  <c r="AU1043" i="1"/>
  <c r="AU1041" i="1"/>
  <c r="AQ117" i="3"/>
  <c r="AU1040" i="1"/>
  <c r="AQ116" i="3"/>
  <c r="AU1049" i="1"/>
  <c r="AU975" i="1"/>
  <c r="AU1039" i="1"/>
  <c r="AU1030" i="1"/>
  <c r="AQ88" i="3"/>
  <c r="AQ87" i="3"/>
  <c r="AU985" i="1"/>
  <c r="AU996" i="1"/>
  <c r="AQ47" i="3"/>
  <c r="AQ57" i="3"/>
  <c r="AU987" i="1"/>
  <c r="AU997" i="1"/>
  <c r="AQ48" i="3"/>
  <c r="AQ58" i="3"/>
  <c r="AU988" i="1"/>
  <c r="AU995" i="1"/>
  <c r="AQ46" i="3"/>
  <c r="AQ56" i="3"/>
  <c r="AU986" i="1"/>
  <c r="AU998" i="1"/>
  <c r="AQ49" i="3"/>
  <c r="AU989" i="1"/>
  <c r="AQ59" i="3"/>
  <c r="AQ38" i="3"/>
  <c r="AU978" i="1"/>
  <c r="AU965" i="1"/>
  <c r="AQ39" i="3"/>
  <c r="AU979" i="1"/>
  <c r="AQ37" i="3"/>
  <c r="AU977" i="1"/>
  <c r="AQ36" i="3"/>
  <c r="AU976" i="1"/>
  <c r="AU968" i="1"/>
  <c r="AQ326" i="3"/>
  <c r="AU966" i="1"/>
  <c r="AU969" i="1"/>
  <c r="AU967" i="1"/>
  <c r="AQ305" i="3"/>
  <c r="AQ265" i="3"/>
  <c r="AQ135" i="3"/>
  <c r="AQ245" i="3"/>
  <c r="AQ315" i="3"/>
  <c r="AQ325" i="3"/>
  <c r="AQ27" i="3"/>
  <c r="AQ25" i="3"/>
  <c r="AQ78" i="3"/>
  <c r="AQ28" i="3"/>
  <c r="AQ76" i="3"/>
  <c r="AQ267" i="3"/>
  <c r="AQ196" i="3"/>
  <c r="AQ316" i="3"/>
  <c r="AQ195" i="3"/>
  <c r="AQ29" i="3"/>
  <c r="AQ317" i="3"/>
  <c r="AQ137" i="3"/>
  <c r="AQ327" i="3"/>
  <c r="AQ77" i="3"/>
  <c r="AQ257" i="3"/>
  <c r="AQ307" i="3"/>
  <c r="AQ318" i="3"/>
  <c r="AQ328" i="3"/>
  <c r="AQ138" i="3"/>
  <c r="AQ256" i="3"/>
  <c r="AQ246" i="3"/>
  <c r="AQ306" i="3"/>
  <c r="AQ255" i="3"/>
  <c r="AQ308" i="3"/>
  <c r="AQ26" i="3"/>
  <c r="AQ266" i="3"/>
  <c r="AQ194" i="3"/>
  <c r="AQ139" i="3"/>
  <c r="AQ324" i="3"/>
  <c r="AQ259" i="3"/>
  <c r="AQ244" i="3"/>
  <c r="AQ79" i="3"/>
</calcChain>
</file>

<file path=xl/sharedStrings.xml><?xml version="1.0" encoding="utf-8"?>
<sst xmlns="http://schemas.openxmlformats.org/spreadsheetml/2006/main" count="30554" uniqueCount="541">
  <si>
    <t>Kepala Rumah Tangga</t>
  </si>
  <si>
    <t>Nanang Fathoni</t>
  </si>
  <si>
    <t>C</t>
  </si>
  <si>
    <t>B</t>
  </si>
  <si>
    <t>A</t>
  </si>
  <si>
    <t>D</t>
  </si>
  <si>
    <t>Muhaimin</t>
  </si>
  <si>
    <t>Sujiati</t>
  </si>
  <si>
    <t>Supriadi</t>
  </si>
  <si>
    <t>Lilik Rohma</t>
  </si>
  <si>
    <t>Supaiji Susanto</t>
  </si>
  <si>
    <t>Sigit Pramono</t>
  </si>
  <si>
    <t>Choiri Zain</t>
  </si>
  <si>
    <t>Musana</t>
  </si>
  <si>
    <t>Edy Askandar</t>
  </si>
  <si>
    <t>Aslicha</t>
  </si>
  <si>
    <t>Mardia Ningsih</t>
  </si>
  <si>
    <t>Suwari</t>
  </si>
  <si>
    <t>Suratmi</t>
  </si>
  <si>
    <t>Komsatun</t>
  </si>
  <si>
    <t>Sri Astuti</t>
  </si>
  <si>
    <t>Suis</t>
  </si>
  <si>
    <t>Muhammad Harun</t>
  </si>
  <si>
    <t>Moh Subchan</t>
  </si>
  <si>
    <t>Indrati</t>
  </si>
  <si>
    <t>Dra. Zul Izatil Kasanah</t>
  </si>
  <si>
    <t>Riyanto</t>
  </si>
  <si>
    <t>Bambang Tri Haryanto</t>
  </si>
  <si>
    <t>Imam Safii</t>
  </si>
  <si>
    <t>Khamim Tohari</t>
  </si>
  <si>
    <t>Mulyono</t>
  </si>
  <si>
    <t>Cicik Puspitasari Santoso</t>
  </si>
  <si>
    <t xml:space="preserve">Asmaiyah </t>
  </si>
  <si>
    <t>Imam Wahyudi</t>
  </si>
  <si>
    <t>Khusnul Khotimah</t>
  </si>
  <si>
    <t>Hj. Sukarti</t>
  </si>
  <si>
    <t>Slamet Hariono</t>
  </si>
  <si>
    <t>Pujiati</t>
  </si>
  <si>
    <t>Soejatmi</t>
  </si>
  <si>
    <t>Rumus</t>
  </si>
  <si>
    <t>Keterangan</t>
  </si>
  <si>
    <t>X: Data dengan class yang belum diketahui</t>
  </si>
  <si>
    <t>H: Hipotesis data yang merupakan suatu class spesifik</t>
  </si>
  <si>
    <t>IM 1</t>
  </si>
  <si>
    <t>IM 2</t>
  </si>
  <si>
    <t>IM 3</t>
  </si>
  <si>
    <t>IM 4</t>
  </si>
  <si>
    <t>IM 5</t>
  </si>
  <si>
    <t>IM 6</t>
  </si>
  <si>
    <t>IM 7</t>
  </si>
  <si>
    <t>IM 8</t>
  </si>
  <si>
    <t>IM 9</t>
  </si>
  <si>
    <t>IM 10</t>
  </si>
  <si>
    <t>IM 11</t>
  </si>
  <si>
    <t>IM 12</t>
  </si>
  <si>
    <t>IM 13</t>
  </si>
  <si>
    <t>IM 14</t>
  </si>
  <si>
    <t>IM 15</t>
  </si>
  <si>
    <t>IM 16</t>
  </si>
  <si>
    <t>IM 17</t>
  </si>
  <si>
    <t>IM 18</t>
  </si>
  <si>
    <t>IM 19</t>
  </si>
  <si>
    <t>IM 20</t>
  </si>
  <si>
    <t>IM 21</t>
  </si>
  <si>
    <t>Kelas Kesejahteraan</t>
  </si>
  <si>
    <t>P(IM 1 A | Kelas Kesejahteraan)</t>
  </si>
  <si>
    <t>P(IM 1 B | Kelas Kesejahteraan)</t>
  </si>
  <si>
    <t>P(IM 1 C | Kelas Kesejahteraan)</t>
  </si>
  <si>
    <t>P(IM 1 D | Kelas Kesejahteraan)</t>
  </si>
  <si>
    <t>P(IM 2 A | Kelas Kesejahteraan)</t>
  </si>
  <si>
    <t>P(IM 2 B | Kelas Kesejahteraan)</t>
  </si>
  <si>
    <t>P(IM 2 C | Kelas Kesejahteraan)</t>
  </si>
  <si>
    <t>P(IM 2 D | Kelas Kesejahteraan)</t>
  </si>
  <si>
    <t>P(IM 3 A | Kelas Kesejahteraan)</t>
  </si>
  <si>
    <t>P(IM 3 B | Kelas Kesejahteraan)</t>
  </si>
  <si>
    <t>P(IM 3 C | Kelas Kesejahteraan)</t>
  </si>
  <si>
    <t>P(IM 3 D | Kelas Kesejahteraan)</t>
  </si>
  <si>
    <t>P(IM 4 A | Kelas Kesejahteraan)</t>
  </si>
  <si>
    <t>P(IM 4 B | Kelas Kesejahteraan)</t>
  </si>
  <si>
    <t>P(IM 4 C | Kelas Kesejahteraan)</t>
  </si>
  <si>
    <t>P(IM 4 D | Kelas Kesejahteraan)</t>
  </si>
  <si>
    <t>P(IM 5 A | Kelas Kesejahteraan)</t>
  </si>
  <si>
    <t>P(IM 5 B | Kelas Kesejahteraan)</t>
  </si>
  <si>
    <t>P(IM 5 C | Kelas Kesejahteraan)</t>
  </si>
  <si>
    <t>P(IM 5 D | Kelas Kesejahteraan)</t>
  </si>
  <si>
    <t xml:space="preserve">Keterangan </t>
  </si>
  <si>
    <t>Milik orang lain tanpa sewa</t>
  </si>
  <si>
    <t>Milik orang tua</t>
  </si>
  <si>
    <t>Menyewa</t>
  </si>
  <si>
    <t>Milik sendiri</t>
  </si>
  <si>
    <t xml:space="preserve">Berdinding bambu / kayu berkualitas </t>
  </si>
  <si>
    <t xml:space="preserve">Tembok tanpa plester </t>
  </si>
  <si>
    <t>Papan / kayu jati</t>
  </si>
  <si>
    <t>Tembok kualitas baik</t>
  </si>
  <si>
    <t>&lt; 5 m2/jiwa</t>
  </si>
  <si>
    <t>6 m2/jiwa</t>
  </si>
  <si>
    <t>7 m2/jiwa</t>
  </si>
  <si>
    <t>&gt; 8 m2/jiwa</t>
  </si>
  <si>
    <t>Tanah</t>
  </si>
  <si>
    <t xml:space="preserve">Plester semen / batu bata </t>
  </si>
  <si>
    <t>Tegel</t>
  </si>
  <si>
    <t xml:space="preserve">Keramik </t>
  </si>
  <si>
    <t>Tidak Punya</t>
  </si>
  <si>
    <t>Umum</t>
  </si>
  <si>
    <t>Jamban bersama</t>
  </si>
  <si>
    <t>Sungai / air hujan</t>
  </si>
  <si>
    <t xml:space="preserve">Sumur / mata air </t>
  </si>
  <si>
    <t>Ledeng eceran</t>
  </si>
  <si>
    <t>PDAM / membeli air kemasan</t>
  </si>
  <si>
    <t>Petromak / ublik</t>
  </si>
  <si>
    <t>Listrik numpang</t>
  </si>
  <si>
    <t>PLN 450 Watt</t>
  </si>
  <si>
    <t>PLN 900 Watt / Lebih</t>
  </si>
  <si>
    <t>Kayu Bakar</t>
  </si>
  <si>
    <t>Arang</t>
  </si>
  <si>
    <t>Gas LPG 3 Kg</t>
  </si>
  <si>
    <t xml:space="preserve">Gas LPG &gt; 3 Kg / Blue gas </t>
  </si>
  <si>
    <t>Tamat SD / SMP</t>
  </si>
  <si>
    <t>Tamat SMA</t>
  </si>
  <si>
    <t>Tamat Perguruan Tinggi</t>
  </si>
  <si>
    <t>Tidak punya pekerjaan</t>
  </si>
  <si>
    <t>Pekerjaan bebas</t>
  </si>
  <si>
    <t>Buruh / karyawan</t>
  </si>
  <si>
    <t>wirausaha / pedagang besar</t>
  </si>
  <si>
    <t>&lt; Rp. 608,828,-</t>
  </si>
  <si>
    <t>&gt; Rp. 608,828,- s.d Rp. 1,500,000,-</t>
  </si>
  <si>
    <t>&gt; Rp. 1,500,000,- s.d Rp. 2,500,000,-</t>
  </si>
  <si>
    <t>&gt; Rp 2,500,000,-</t>
  </si>
  <si>
    <t>&gt; 6 orang / 1 orang lanjut usia sebatang kara</t>
  </si>
  <si>
    <t>5 orang</t>
  </si>
  <si>
    <t>4 orang</t>
  </si>
  <si>
    <t>1-3 orang</t>
  </si>
  <si>
    <t>&gt; 3 KK</t>
  </si>
  <si>
    <t>3 KK</t>
  </si>
  <si>
    <t>2 KK</t>
  </si>
  <si>
    <t>1 KK</t>
  </si>
  <si>
    <t>0 orang</t>
  </si>
  <si>
    <t>1 orang</t>
  </si>
  <si>
    <t xml:space="preserve">2 orang </t>
  </si>
  <si>
    <t>&gt; 3 orang</t>
  </si>
  <si>
    <t>2-3 orang</t>
  </si>
  <si>
    <t>Penyandang disabilitas multi</t>
  </si>
  <si>
    <t>Penyandang disabilitas ganda</t>
  </si>
  <si>
    <t>Penyandang disabilitas tunggal</t>
  </si>
  <si>
    <t xml:space="preserve">Tidak ada </t>
  </si>
  <si>
    <t>Lanjut usia terlantar</t>
  </si>
  <si>
    <t>Lanjut usia tidak potensial</t>
  </si>
  <si>
    <t>Lanjut usia potensial</t>
  </si>
  <si>
    <t>Ada anggota keluarga yang menderita sakit kronis berat</t>
  </si>
  <si>
    <t>Ada anggota keluarga yang menderita sakit kronis sedang</t>
  </si>
  <si>
    <t>Ada anggota keluarga yang menderita sakit kronis ringan</t>
  </si>
  <si>
    <t>Tidak memiliki jaminan kesehatan</t>
  </si>
  <si>
    <t>Memiliki jaminan kesehatan namun tidak aktif</t>
  </si>
  <si>
    <t>Memiliki jaminan kesehatan namun ada tunggakan pembayaran</t>
  </si>
  <si>
    <t xml:space="preserve">Memiliki jaminan kesehatan aktif </t>
  </si>
  <si>
    <t>Rp. 0,- s.d Rp. 608,828,-</t>
  </si>
  <si>
    <t>Rp. 608,828, s.d Rp. 1,500,000,-</t>
  </si>
  <si>
    <t>Rp. 1,500,000,- s.d Rp. 5,000,000,-</t>
  </si>
  <si>
    <t>Rp. 5,000,000,-</t>
  </si>
  <si>
    <t xml:space="preserve">1 stel untuk setiap anggota keluarga </t>
  </si>
  <si>
    <t xml:space="preserve">2 stel untuk setiap anggota keluarga </t>
  </si>
  <si>
    <t>&gt; 2 stel untuk setiap anggota keluarga</t>
  </si>
  <si>
    <t>P(IM 6 A | Kelas Kesejahteraan)</t>
  </si>
  <si>
    <t>P(IM 6 B | Kelas Kesejahteraan)</t>
  </si>
  <si>
    <t>P(IM 6 C | Kelas Kesejahteraan)</t>
  </si>
  <si>
    <t>P(IM 6 D | Kelas Kesejahteraan)</t>
  </si>
  <si>
    <t>P(IM 7 A | Kelas Kesejahteraan)</t>
  </si>
  <si>
    <t>P(IM 7 B | Kelas Kesejahteraan)</t>
  </si>
  <si>
    <t>P(IM 7 C | Kelas Kesejahteraan)</t>
  </si>
  <si>
    <t>P(IM 7 D | Kelas Kesejahteraan)</t>
  </si>
  <si>
    <t>P(IM 8 A | Kelas Kesejahteraan)</t>
  </si>
  <si>
    <t>P(IM 8 B | Kelas Kesejahteraan)</t>
  </si>
  <si>
    <t>P(IM 8 C | Kelas Kesejahteraan)</t>
  </si>
  <si>
    <t>P(IM 8 D | Kelas Kesejahteraan)</t>
  </si>
  <si>
    <t>P(IM 9 A | Kelas Kesejahteraan)</t>
  </si>
  <si>
    <t>P(IM 9 B | Kelas Kesejahteraan)</t>
  </si>
  <si>
    <t>P(IM 9 C | Kelas Kesejahteraan)</t>
  </si>
  <si>
    <t>P(IM 9 D | Kelas Kesejahteraan)</t>
  </si>
  <si>
    <t>P(IM 10 A | Kelas Kesejahteraan)</t>
  </si>
  <si>
    <t>P(IM 10 B | Kelas Kesejahteraan)</t>
  </si>
  <si>
    <t>P(IM 10 C | Kelas Kesejahteraan)</t>
  </si>
  <si>
    <t>P(IM 10 D | Kelas Kesejahteraan)</t>
  </si>
  <si>
    <t>P(IM 11 A | Kelas Kesejahteraan)</t>
  </si>
  <si>
    <t>P(IM 11 B | Kelas Kesejahteraan)</t>
  </si>
  <si>
    <t>P(IM 11 C | Kelas Kesejahteraan)</t>
  </si>
  <si>
    <t>P(IM 11 D | Kelas Kesejahteraan)</t>
  </si>
  <si>
    <t>P(IM 12 A | Kelas Kesejahteraan)</t>
  </si>
  <si>
    <t>P(IM 13 B | Kelas Kesejahteraan)</t>
  </si>
  <si>
    <t>P(IM 12 B | Kelas Kesejahteraan)</t>
  </si>
  <si>
    <t>P(IM 12 C | Kelas Kesejahteraan)</t>
  </si>
  <si>
    <t>P(IM 12 D | Kelas Kesejahteraan)</t>
  </si>
  <si>
    <t>P(IM 13 A | Kelas Kesejahteraan)</t>
  </si>
  <si>
    <t>P(IM 13 C | Kelas Kesejahteraan)</t>
  </si>
  <si>
    <t>P(IM 13 D | Kelas Kesejahteraan)</t>
  </si>
  <si>
    <t>P(IM 14 A | Kelas Kesejahteraan)</t>
  </si>
  <si>
    <t>P(IM 14 B | Kelas Kesejahteraan)</t>
  </si>
  <si>
    <t>P(IM 14 C | Kelas Kesejahteraan)</t>
  </si>
  <si>
    <t>P(IM 14 D | Kelas Kesejahteraan)</t>
  </si>
  <si>
    <t>P(IM 15 A | Kelas Kesejahteraan)</t>
  </si>
  <si>
    <t>P(IM 15 B | Kelas Kesejahteraan)</t>
  </si>
  <si>
    <t>P(IM 15 C | Kelas Kesejahteraan)</t>
  </si>
  <si>
    <t>P(IM 15 D | Kelas Kesejahteraan)</t>
  </si>
  <si>
    <t>P(IM 16 A | Kelas Kesejahteraan)</t>
  </si>
  <si>
    <t>P(IM 16 B | Kelas Kesejahteraan)</t>
  </si>
  <si>
    <t>P(IM 16 C | Kelas Kesejahteraan)</t>
  </si>
  <si>
    <t>P(IM 16 D | Kelas Kesejahteraan)</t>
  </si>
  <si>
    <t>P(IM 17 A | Kelas Kesejahteraan)</t>
  </si>
  <si>
    <t>P(IM 17 B | Kelas Kesejahteraan)</t>
  </si>
  <si>
    <t>P(IM 17 C | Kelas Kesejahteraan)</t>
  </si>
  <si>
    <t>P(IM 17 D | Kelas Kesejahteraan)</t>
  </si>
  <si>
    <t>P(IM 18 A | Kelas Kesejahteraan)</t>
  </si>
  <si>
    <t>P(IM 18 B | Kelas Kesejahteraan)</t>
  </si>
  <si>
    <t>P(IM 18 C | Kelas Kesejahteraan)</t>
  </si>
  <si>
    <t>P(IM 18 D | Kelas Kesejahteraan)</t>
  </si>
  <si>
    <t>P(IM 19 A | Kelas Kesejahteraan)</t>
  </si>
  <si>
    <t>P(IM 19 B | Kelas Kesejahteraan)</t>
  </si>
  <si>
    <t>P(IM 19 C | Kelas Kesejahteraan)</t>
  </si>
  <si>
    <t>P(IM 19 D | Kelas Kesejahteraan)</t>
  </si>
  <si>
    <t>P(IM 20 A | Kelas Kesejahteraan)</t>
  </si>
  <si>
    <t>P(IM 20 B | Kelas Kesejahteraan)</t>
  </si>
  <si>
    <t>P(IM 20 C | Kelas Kesejahteraan)</t>
  </si>
  <si>
    <t>P(IM 20 D | Kelas Kesejahteraan)</t>
  </si>
  <si>
    <t>P(IM 21 A | Kelas Kesejahteraan)</t>
  </si>
  <si>
    <t>P(IM 21 B | Kelas Kesejahteraan)</t>
  </si>
  <si>
    <t>P(IM 21 C | Kelas Kesejahteraan)</t>
  </si>
  <si>
    <t>P(IM 21 D | Kelas Kesejahteraan)</t>
  </si>
  <si>
    <t>Asbes</t>
  </si>
  <si>
    <t>Seng</t>
  </si>
  <si>
    <t>Genteng</t>
  </si>
  <si>
    <t>Beton</t>
  </si>
  <si>
    <t>Ipal</t>
  </si>
  <si>
    <t>Tangki Septik</t>
  </si>
  <si>
    <t>P(IM 1 | Kelas Kesejahteraan)</t>
  </si>
  <si>
    <t>P(IM 2 | Kelas Kesejahteraan)</t>
  </si>
  <si>
    <t>P(IM 3 | Kelas Kesejahteraan)</t>
  </si>
  <si>
    <t>P(IM 4 | Kelas Kesejahteraan)</t>
  </si>
  <si>
    <t>P(IM 5 | Kelas Kesejahteraan)</t>
  </si>
  <si>
    <t>P(IM 6 | Kelas Kesejahteraan)</t>
  </si>
  <si>
    <t>P(IM 7 | Kelas Kesejahteraan)</t>
  </si>
  <si>
    <t>P(IM 8 | Kelas Kesejahteraan)</t>
  </si>
  <si>
    <t>P(IM 9 | Kelas Kesejahteraan)</t>
  </si>
  <si>
    <t>P(IM 10 | Kelas Kesejahteraan)</t>
  </si>
  <si>
    <t>P(IM 11 | Kelas Kesejahteraan)</t>
  </si>
  <si>
    <t>P(IM 12 | Kelas Kesejahteraan)</t>
  </si>
  <si>
    <t>P(IM 13 | Kelas Kesejahteraan)</t>
  </si>
  <si>
    <t>P(IM 14 | Kelas Kesejahteraan)</t>
  </si>
  <si>
    <t>P(IM 15 | Kelas Kesejahteraan)</t>
  </si>
  <si>
    <t>P(IM 16 | Kelas Kesejahteraan)</t>
  </si>
  <si>
    <t>P(IM 17 | Kelas Kesejahteraan)</t>
  </si>
  <si>
    <t>P(IM 18 | Kelas Kesejahteraan)</t>
  </si>
  <si>
    <t>P(IM 19 | Kelas Kesejahteraan)</t>
  </si>
  <si>
    <t>P(IM 20 | Kelas Kesejahteraan)</t>
  </si>
  <si>
    <t>P(IM 21 | Kelas Kesejahteraan)</t>
  </si>
  <si>
    <t>Amin Mashuri</t>
  </si>
  <si>
    <t>Soedarmijati</t>
  </si>
  <si>
    <t>Duparji</t>
  </si>
  <si>
    <t>Siti Juariyah</t>
  </si>
  <si>
    <t>Lilik Utami</t>
  </si>
  <si>
    <t>Sugito</t>
  </si>
  <si>
    <t>Palilo</t>
  </si>
  <si>
    <t>Harmanto</t>
  </si>
  <si>
    <t>Masprio</t>
  </si>
  <si>
    <t>Susito</t>
  </si>
  <si>
    <t>Nurul Wahyuni</t>
  </si>
  <si>
    <t>Maulana Supri</t>
  </si>
  <si>
    <t>Dadik Siji</t>
  </si>
  <si>
    <t>Ali Hari Wahyu</t>
  </si>
  <si>
    <t>Sofyan Hardi</t>
  </si>
  <si>
    <t>Slamet Sasmito</t>
  </si>
  <si>
    <t xml:space="preserve">Rudi Bambang </t>
  </si>
  <si>
    <t>Pratama Rino</t>
  </si>
  <si>
    <t>Chusnul Qotimah</t>
  </si>
  <si>
    <t>Isnain Putri</t>
  </si>
  <si>
    <t>Arman Dwi Jaya</t>
  </si>
  <si>
    <t>Jaya Agustian</t>
  </si>
  <si>
    <t>Wilis Setiyani</t>
  </si>
  <si>
    <t>Asria</t>
  </si>
  <si>
    <t>Trimunah</t>
  </si>
  <si>
    <t xml:space="preserve">Sunaryo </t>
  </si>
  <si>
    <t>Kelas Kesejahteraan 1</t>
  </si>
  <si>
    <t>Kelas Kesejahteraan 2</t>
  </si>
  <si>
    <t>Kelas Kesejahteraan 3</t>
  </si>
  <si>
    <t>Kelas Kesejahteraan 4</t>
  </si>
  <si>
    <t>Kelas Kesejahteraan 5</t>
  </si>
  <si>
    <t>Kelas Kesejahteraan 6</t>
  </si>
  <si>
    <t>Kelas kesejahteraan 1</t>
  </si>
  <si>
    <t>Sesuai</t>
  </si>
  <si>
    <t>Tidak sesuai</t>
  </si>
  <si>
    <t>No</t>
  </si>
  <si>
    <t>Sangat miskin</t>
  </si>
  <si>
    <t>Hampir Miskin</t>
  </si>
  <si>
    <t>Rentan Miskin</t>
  </si>
  <si>
    <t>Pas-Pasan</t>
  </si>
  <si>
    <t xml:space="preserve">Menengah Keatas </t>
  </si>
  <si>
    <t>Kelas kesejahteraan 3</t>
  </si>
  <si>
    <t xml:space="preserve"> </t>
  </si>
  <si>
    <t>Kelas kesejahteraan 4</t>
  </si>
  <si>
    <t>Kelas kesejahteraan 5</t>
  </si>
  <si>
    <t>Kelas kesejahteraan 6</t>
  </si>
  <si>
    <t>Prediksi</t>
  </si>
  <si>
    <t>Kelas kesejahteraan 2</t>
  </si>
  <si>
    <t>Aktual</t>
  </si>
  <si>
    <t>Jumlah</t>
  </si>
  <si>
    <t>KK1</t>
  </si>
  <si>
    <t>KK2</t>
  </si>
  <si>
    <t>KK3</t>
  </si>
  <si>
    <t>KK4</t>
  </si>
  <si>
    <t>KK5</t>
  </si>
  <si>
    <t>KK6</t>
  </si>
  <si>
    <t>Recall</t>
  </si>
  <si>
    <t>Akurasi jumlah benar / total data</t>
  </si>
  <si>
    <t>Precesion (perkelas)</t>
  </si>
  <si>
    <t>Total Kolom (TP+FP)</t>
  </si>
  <si>
    <t xml:space="preserve">Juariyah </t>
  </si>
  <si>
    <t xml:space="preserve">Ahmad Munir </t>
  </si>
  <si>
    <t>Yudi Irawan</t>
  </si>
  <si>
    <t>Khoirun Sasmito</t>
  </si>
  <si>
    <t xml:space="preserve">Nur Sakinah </t>
  </si>
  <si>
    <t>Bambang Rudianto</t>
  </si>
  <si>
    <t>Sugeng</t>
  </si>
  <si>
    <t>Galih Sujitno</t>
  </si>
  <si>
    <t>Agustian Juari</t>
  </si>
  <si>
    <t>Tri Bagusanto</t>
  </si>
  <si>
    <t>Muhammad Ali</t>
  </si>
  <si>
    <t>Muhammad Tegar</t>
  </si>
  <si>
    <t xml:space="preserve">Suhadi Jayadi </t>
  </si>
  <si>
    <t>Sarman</t>
  </si>
  <si>
    <t>Pratama Putra</t>
  </si>
  <si>
    <t>Eka Rafi Abadi</t>
  </si>
  <si>
    <t>Hasil</t>
  </si>
  <si>
    <t>IM 22</t>
  </si>
  <si>
    <t>IM 23</t>
  </si>
  <si>
    <t>IM 24</t>
  </si>
  <si>
    <t>IM 25</t>
  </si>
  <si>
    <t>IM 26</t>
  </si>
  <si>
    <t>IM 27</t>
  </si>
  <si>
    <t>IM 28</t>
  </si>
  <si>
    <t>IM 29</t>
  </si>
  <si>
    <t>IM 30</t>
  </si>
  <si>
    <t>IM 31</t>
  </si>
  <si>
    <t>IM 32</t>
  </si>
  <si>
    <t>IM 33</t>
  </si>
  <si>
    <t>IM 34</t>
  </si>
  <si>
    <t>IM 35</t>
  </si>
  <si>
    <t>P(IM 22 | Kelas Kesejahteraan)</t>
  </si>
  <si>
    <t>P(IM 22 A | Kelas Kesejahteraan)</t>
  </si>
  <si>
    <t>P(IM 22 B | Kelas Kesejahteraan)</t>
  </si>
  <si>
    <t>P(IM 22 C | Kelas Kesejahteraan)</t>
  </si>
  <si>
    <t>P(IM 22 D | Kelas Kesejahteraan)</t>
  </si>
  <si>
    <t>P(IM 23 | Kelas Kesejahteraan)</t>
  </si>
  <si>
    <t>P(IM 23 A | Kelas Kesejahteraan)</t>
  </si>
  <si>
    <t>P(IM 23 B | Kelas Kesejahteraan)</t>
  </si>
  <si>
    <t>P(IM 24 | Kelas Kesejahteraan)</t>
  </si>
  <si>
    <t>P(IM 24 A | Kelas Kesejahteraan)</t>
  </si>
  <si>
    <t>P(IM 24 B | Kelas Kesejahteraan)</t>
  </si>
  <si>
    <t>P(IM 25 | Kelas Kesejahteraan)</t>
  </si>
  <si>
    <t>P(IM 25 B | Kelas Kesejahteraan)</t>
  </si>
  <si>
    <t>P(IM 26 | Kelas Kesejahteraan)</t>
  </si>
  <si>
    <t>P(IM 26 A | Kelas Kesejahteraan)</t>
  </si>
  <si>
    <t>P(IM 26 B | Kelas Kesejahteraan)</t>
  </si>
  <si>
    <t>P(IM 32 | Kelas Kesejahteraan)</t>
  </si>
  <si>
    <t>P(IM 27 | Kelas Kesejahteraan)</t>
  </si>
  <si>
    <t>P(IM 27 A | Kelas Kesejahteraan)</t>
  </si>
  <si>
    <t>P(IM 27 B | Kelas Kesejahteraan)</t>
  </si>
  <si>
    <t>P(IM 28 | Kelas Kesejahteraan)</t>
  </si>
  <si>
    <t>P(IM 28 A | Kelas Kesejahteraan)</t>
  </si>
  <si>
    <t>P(IM 28 B | Kelas Kesejahteraan)</t>
  </si>
  <si>
    <t>P(IM 29 | Kelas Kesejahteraan)</t>
  </si>
  <si>
    <t>P(IM 29 A | Kelas Kesejahteraan)</t>
  </si>
  <si>
    <t>P(IM 29 B | Kelas Kesejahteraan)</t>
  </si>
  <si>
    <t>P(IM 30 | Kelas Kesejahteraan)</t>
  </si>
  <si>
    <t>P(IM 30 A | Kelas Kesejahteraan)</t>
  </si>
  <si>
    <t>P(IM 30 B | Kelas Kesejahteraan)</t>
  </si>
  <si>
    <t>P(IM 31 | Kelas Kesejahteraan)</t>
  </si>
  <si>
    <t>P(IM 31 A | Kelas Kesejahteraan)</t>
  </si>
  <si>
    <t>P(IM 31 B | Kelas Kesejahteraan)</t>
  </si>
  <si>
    <t>P(IM 32 B | Kelas Kesejahteraan)</t>
  </si>
  <si>
    <t>P(IM 32 A | Kelas Kesejahteraan)</t>
  </si>
  <si>
    <t>P(IM 33 | Kelas Kesejahteraan)</t>
  </si>
  <si>
    <t>P(IM 33 A | Kelas Kesejahteraan)</t>
  </si>
  <si>
    <t>P(IM 33 B | Kelas Kesejahteraan)</t>
  </si>
  <si>
    <t>P(IM 34 | Kelas Kesejahteraan)</t>
  </si>
  <si>
    <t>P(IM 34 A | Kelas Kesejahteraan)</t>
  </si>
  <si>
    <t>P(IM 34 B | Kelas Kesejahteraan)</t>
  </si>
  <si>
    <t>P(IM 35 | Kelas Kesejahteraan)</t>
  </si>
  <si>
    <t>P(IM 35 A | Kelas Kesejahteraan)</t>
  </si>
  <si>
    <t>P(IM 35 B | Kelas Kesejahteraan)</t>
  </si>
  <si>
    <t>P(IM 36 | Kelas Kesejahteraan)</t>
  </si>
  <si>
    <t>P(IM 36 A | Kelas Kesejahteraan)</t>
  </si>
  <si>
    <t>P(IM 36 B | Kelas Kesejahteraan)</t>
  </si>
  <si>
    <t>IM 36</t>
  </si>
  <si>
    <t>Status Kepemilikan Rumah (IM 1)</t>
  </si>
  <si>
    <t>Dinding Rumah Terluas (IM 2)</t>
  </si>
  <si>
    <t>Luas Lantai Bangunan (IM 3)</t>
  </si>
  <si>
    <t>Lantai Terluas (IM 4)</t>
  </si>
  <si>
    <t>Fasilitas BAB (IM 5)</t>
  </si>
  <si>
    <t>Sumber Air Minum (IM 6)</t>
  </si>
  <si>
    <t>Sumber Penerangan (IM 7)</t>
  </si>
  <si>
    <t>Baha Bakar Utama (IM 8)</t>
  </si>
  <si>
    <t>Pendidikan Kepala RT (IM 9)</t>
  </si>
  <si>
    <t>Pekerjaan Utama Kepala RT (IM 10)</t>
  </si>
  <si>
    <t>Penghasilan Kepala RT (1 Bulan) (IM 11)</t>
  </si>
  <si>
    <t>Jumlah anggota RT (IM 12)</t>
  </si>
  <si>
    <t>Jumlah KK dalam RT (IM 13)</t>
  </si>
  <si>
    <t>Jumlah Anggota RT yang Bekerja (IM 14)</t>
  </si>
  <si>
    <t>Jumlah Anggota Keluarga Masih Sekolah (IM 15)</t>
  </si>
  <si>
    <t>Anggota Keluarga Penyandang Disabilitas (IM 16)</t>
  </si>
  <si>
    <t>Anggota Keluarga yang Masuk Kategori Lanjut Usia (IM 17)</t>
  </si>
  <si>
    <t>Anggota Keluarga yang Menderita Penyakit Kronis (IM 18)</t>
  </si>
  <si>
    <t>Akses Terhadap Pelayanan Kesehatan (IM 19)</t>
  </si>
  <si>
    <t>Nilai Aset yang Dimiliki yang Mudah di Jual (IM 20)</t>
  </si>
  <si>
    <t>Pengeluaran Untuk Pakaian Dalam Setahun (IM 21)</t>
  </si>
  <si>
    <t>Jenis Atap Terluas (IM 22)</t>
  </si>
  <si>
    <t>Pembuangan Akhir Tinja (IM 23)</t>
  </si>
  <si>
    <t>Memiliki Bangunan Ditempat Lain (IM 24)</t>
  </si>
  <si>
    <t>Memiliki Lahan Lain (Selain yang Ditempati) (IM 25)</t>
  </si>
  <si>
    <t>Jumlah tabung gas 5,5 kg / lebih (IM 26)</t>
  </si>
  <si>
    <t>Jumlah AC (IM 27)</t>
  </si>
  <si>
    <t>Jumlah telepon rumah (PSTN) (IM 28)</t>
  </si>
  <si>
    <t>Jumlah Emas/Perhiasan (IM 29)</t>
  </si>
  <si>
    <t>Jumlah Sepeda Motor (IM 30)</t>
  </si>
  <si>
    <t>Jumlah Mobil (IM 31)</t>
  </si>
  <si>
    <t>Jumlah lemari es/kulkas (IM 32)</t>
  </si>
  <si>
    <t>Jumlah televisi layar datar (IM 33)</t>
  </si>
  <si>
    <t>Jumlah Komputer (IM 34)</t>
  </si>
  <si>
    <t>Jumlah Sepeda (IM 35)</t>
  </si>
  <si>
    <t>Tidak sekolah / tidak tamat SD</t>
  </si>
  <si>
    <t>Jumlah Smartphone (IM 36)</t>
  </si>
  <si>
    <t>Tidak Ada</t>
  </si>
  <si>
    <t>Ada</t>
  </si>
  <si>
    <t>Tribhuwana Tunggadewa</t>
  </si>
  <si>
    <t xml:space="preserve">Ada </t>
  </si>
  <si>
    <t xml:space="preserve">Tidak Ada </t>
  </si>
  <si>
    <t>Indikator Kemiskinan (IM)</t>
  </si>
  <si>
    <t>Akurasi = (TP+TN)/Total Data</t>
  </si>
  <si>
    <t>Precision = TP / (TP + FP)</t>
  </si>
  <si>
    <t>Menguji data uji dengan menggunakan model yang telah di training sebelumnya</t>
  </si>
  <si>
    <t xml:space="preserve">Hasil prediksi </t>
  </si>
  <si>
    <t>sesuai dengan data aktual</t>
  </si>
  <si>
    <t xml:space="preserve">Tidak sesuai dengan data aktual </t>
  </si>
  <si>
    <t>Data Aktual</t>
  </si>
  <si>
    <t>KK</t>
  </si>
  <si>
    <t>Recall = TP/(TP + FN)</t>
  </si>
  <si>
    <t xml:space="preserve">Recall Perkelas </t>
  </si>
  <si>
    <t>TP</t>
  </si>
  <si>
    <t>FN</t>
  </si>
  <si>
    <t>Totak Aktual (TP+FN)</t>
  </si>
  <si>
    <t>Rata-Rata Recall</t>
  </si>
  <si>
    <t>FP</t>
  </si>
  <si>
    <t>Rata-Rata Presisi</t>
  </si>
  <si>
    <t>1. Menentukan probabilitas kelas P(H) / Prior probability</t>
  </si>
  <si>
    <t>Jumlah data latih (n)</t>
  </si>
  <si>
    <t>Jumlah data uji (n)</t>
  </si>
  <si>
    <t>P(H|X) : Probabilitas data X terhadap kelas H (posterior probabilitas)</t>
  </si>
  <si>
    <t xml:space="preserve">P(H) : Probabilitas awal dari kelas H (prior probabilitas) </t>
  </si>
  <si>
    <t>P(X) : Probabilitas kemunculan data X (evidence)</t>
  </si>
  <si>
    <t>P(X|H) : Probabilitas munculnya data X pada kelas H (likelihood)</t>
  </si>
  <si>
    <t>Sumbri</t>
  </si>
  <si>
    <t xml:space="preserve">Agung Irianto </t>
  </si>
  <si>
    <t xml:space="preserve">Maftuqin </t>
  </si>
  <si>
    <t>Sumirah</t>
  </si>
  <si>
    <t>Achmad Toha</t>
  </si>
  <si>
    <t>Jumani</t>
  </si>
  <si>
    <t>Suwarno</t>
  </si>
  <si>
    <t>Sandik</t>
  </si>
  <si>
    <t>Abdul Salam</t>
  </si>
  <si>
    <t>Lisruchisi</t>
  </si>
  <si>
    <t xml:space="preserve">Achmad Sholik </t>
  </si>
  <si>
    <t>Suliani</t>
  </si>
  <si>
    <t>Supriyadi</t>
  </si>
  <si>
    <t>Arif Suhartono</t>
  </si>
  <si>
    <t>Suhadak</t>
  </si>
  <si>
    <t>Muchamad Basri</t>
  </si>
  <si>
    <t>Agus Mulyani</t>
  </si>
  <si>
    <t>Krista Windarti</t>
  </si>
  <si>
    <t xml:space="preserve">Umu Latifah </t>
  </si>
  <si>
    <t>Kasiyatun</t>
  </si>
  <si>
    <t>Agus Setiar</t>
  </si>
  <si>
    <t>Susi Pratama</t>
  </si>
  <si>
    <t>Fitri Ayu</t>
  </si>
  <si>
    <t>Mujiana</t>
  </si>
  <si>
    <t>Miskin</t>
  </si>
  <si>
    <t>2. Menentukan probabilitas atribut setiap kelasnya (P(X|H)) / Likelihood</t>
  </si>
  <si>
    <t xml:space="preserve">Titik Suharnik </t>
  </si>
  <si>
    <t xml:space="preserve">Abd. Rochim </t>
  </si>
  <si>
    <t>Tidak Sesuai</t>
  </si>
  <si>
    <t>Erwin Suryawardhani</t>
  </si>
  <si>
    <t>Asmawati</t>
  </si>
  <si>
    <t>Soim Qodari</t>
  </si>
  <si>
    <t>Sariningsih</t>
  </si>
  <si>
    <t>Trio Suparman</t>
  </si>
  <si>
    <t>Hariyadi</t>
  </si>
  <si>
    <t>Suti</t>
  </si>
  <si>
    <t>Titin</t>
  </si>
  <si>
    <t>Jaya</t>
  </si>
  <si>
    <t>Mahendra</t>
  </si>
  <si>
    <t xml:space="preserve">Mahendra </t>
  </si>
  <si>
    <t>Nur sakinah</t>
  </si>
  <si>
    <t>Juariyah</t>
  </si>
  <si>
    <t>Khoirun sasmito</t>
  </si>
  <si>
    <t>Achmad Munir</t>
  </si>
  <si>
    <t>Nova Putra</t>
  </si>
  <si>
    <t>/78</t>
  </si>
  <si>
    <t>Suhadi Jayadi</t>
  </si>
  <si>
    <t>P(Kesejahteraan|1) =</t>
  </si>
  <si>
    <t>P(Kesejahteraan|2) =</t>
  </si>
  <si>
    <t>P(Kesejahteraan|3) =</t>
  </si>
  <si>
    <t>P(Kesejahteraan|4) =</t>
  </si>
  <si>
    <t>P(Kesejahteraan|5) =</t>
  </si>
  <si>
    <t>P(Kesejahteraan|6) =</t>
  </si>
  <si>
    <t xml:space="preserve">P(Kesejahteraan|1) = </t>
  </si>
  <si>
    <t xml:space="preserve">P(Kesejahteraan|2) = </t>
  </si>
  <si>
    <t xml:space="preserve">P(Kesejahteraan|6) = </t>
  </si>
  <si>
    <t>Titik Suharnik</t>
  </si>
  <si>
    <t>Tidak sesuai dengan data aktual</t>
  </si>
  <si>
    <t>Achmad Sholik</t>
  </si>
  <si>
    <t>Muchmmad Basri</t>
  </si>
  <si>
    <t>Sunaryo</t>
  </si>
  <si>
    <t>Total Data</t>
  </si>
  <si>
    <t xml:space="preserve">Total Semua </t>
  </si>
  <si>
    <t>TABEL CONFUSION MATRIX MULTI CLASS</t>
  </si>
  <si>
    <t>Precesion</t>
  </si>
  <si>
    <t>F1-Score = 2 x (presisi * recall / presisi + recall)</t>
  </si>
  <si>
    <t>Jenis Kloset</t>
  </si>
  <si>
    <t xml:space="preserve">Jarak Sumber Air minum </t>
  </si>
  <si>
    <t>Luas Lahan Sawah/Kebun yang Diusahakan Milik Sendiri</t>
  </si>
  <si>
    <t>Jumlah Ternak Sapi</t>
  </si>
  <si>
    <t>Jumlah Ternak Kerbau</t>
  </si>
  <si>
    <t>Jumlah Ternak Kuda</t>
  </si>
  <si>
    <t>Jumlah Ternak Babi</t>
  </si>
  <si>
    <t xml:space="preserve">Jumlah Ternak Kambing </t>
  </si>
  <si>
    <t xml:space="preserve">Jumlah kapal / perahu motor </t>
  </si>
  <si>
    <t>Jumlah pemanas air</t>
  </si>
  <si>
    <t>Jumlah Perahu</t>
  </si>
  <si>
    <t>Indikator Kemiskinan Tidak Terpakai</t>
  </si>
  <si>
    <t>Kode Kategori</t>
  </si>
  <si>
    <t>Data</t>
  </si>
  <si>
    <t>Training</t>
  </si>
  <si>
    <t>Uji</t>
  </si>
  <si>
    <t>Agung Irianto</t>
  </si>
  <si>
    <t>Maftuqin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</si>
</sst>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4"/>
      <color theme="1"/>
      <name val="Calibri"/>
      <family val="2"/>
      <scheme val="minor"/>
    </font>
    <font>
      <sz val="8"/>
      <name val="Calibri"/>
      <family val="2"/>
      <scheme val="minor"/>
    </font>
    <font>
      <sz val="11"/>
      <name val="Calibri"/>
      <family val="2"/>
      <scheme val="minor"/>
    </font>
    <font>
      <sz val="11"/>
      <color rgb="FFFF0000"/>
      <name val="Calibri"/>
      <family val="2"/>
      <scheme val="minor"/>
    </font>
    <font>
      <sz val="10"/>
      <color theme="1"/>
      <name val="Arial Unicode MS"/>
    </font>
    <font>
      <b/>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0">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right"/>
    </xf>
    <xf numFmtId="0" fontId="2" fillId="0" borderId="0" xfId="0" applyFont="1"/>
    <xf numFmtId="0" fontId="1" fillId="0" borderId="0" xfId="0" applyFont="1"/>
    <xf numFmtId="0" fontId="0" fillId="0" borderId="1" xfId="0" applyBorder="1"/>
    <xf numFmtId="0" fontId="0" fillId="2" borderId="1" xfId="0"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4" fillId="0" borderId="3" xfId="0" applyFont="1" applyBorder="1"/>
    <xf numFmtId="0" fontId="4" fillId="0" borderId="4" xfId="0" applyFont="1" applyBorder="1"/>
    <xf numFmtId="0" fontId="4" fillId="0" borderId="8" xfId="0" applyFont="1" applyBorder="1"/>
    <xf numFmtId="0" fontId="4" fillId="0" borderId="9" xfId="0" applyFont="1" applyBorder="1"/>
    <xf numFmtId="2" fontId="0" fillId="0" borderId="0" xfId="0" applyNumberFormat="1"/>
    <xf numFmtId="0" fontId="0" fillId="2" borderId="0" xfId="0" applyFill="1"/>
    <xf numFmtId="0" fontId="0" fillId="3" borderId="0" xfId="0" applyFill="1"/>
    <xf numFmtId="0" fontId="0" fillId="4" borderId="0" xfId="0" applyFill="1"/>
    <xf numFmtId="2" fontId="0" fillId="0" borderId="0" xfId="0" applyNumberFormat="1" applyAlignment="1">
      <alignment horizontal="center"/>
    </xf>
    <xf numFmtId="0" fontId="0" fillId="3" borderId="1" xfId="0" applyFill="1" applyBorder="1"/>
    <xf numFmtId="10" fontId="0" fillId="0" borderId="0" xfId="0" applyNumberFormat="1"/>
    <xf numFmtId="10" fontId="0" fillId="0" borderId="1" xfId="0" applyNumberFormat="1" applyBorder="1"/>
    <xf numFmtId="0" fontId="0" fillId="2" borderId="1" xfId="0" applyFill="1" applyBorder="1" applyAlignment="1">
      <alignment horizontal="center"/>
    </xf>
    <xf numFmtId="0" fontId="0" fillId="0" borderId="10" xfId="0" applyBorder="1"/>
    <xf numFmtId="10" fontId="0" fillId="0" borderId="10" xfId="0" applyNumberFormat="1" applyBorder="1"/>
    <xf numFmtId="0" fontId="0" fillId="0" borderId="14" xfId="0" applyBorder="1"/>
    <xf numFmtId="0" fontId="4" fillId="0" borderId="0" xfId="0" applyFont="1"/>
    <xf numFmtId="0" fontId="0" fillId="0" borderId="12" xfId="0" applyBorder="1"/>
    <xf numFmtId="2" fontId="5" fillId="0" borderId="0" xfId="0" applyNumberFormat="1" applyFont="1"/>
    <xf numFmtId="2" fontId="4" fillId="0" borderId="0" xfId="0" applyNumberFormat="1" applyFont="1"/>
    <xf numFmtId="0" fontId="5" fillId="0" borderId="0" xfId="0" applyFont="1"/>
    <xf numFmtId="0" fontId="1" fillId="2" borderId="0" xfId="0" applyFont="1" applyFill="1" applyAlignment="1">
      <alignment horizontal="center"/>
    </xf>
    <xf numFmtId="0" fontId="1" fillId="2" borderId="6" xfId="0" applyFont="1" applyFill="1" applyBorder="1" applyAlignment="1">
      <alignment horizontal="center"/>
    </xf>
    <xf numFmtId="0" fontId="0" fillId="2" borderId="11" xfId="0" applyFill="1" applyBorder="1" applyAlignment="1">
      <alignment horizontal="center"/>
    </xf>
    <xf numFmtId="0" fontId="0" fillId="2" borderId="11" xfId="0" applyFill="1" applyBorder="1"/>
    <xf numFmtId="0" fontId="0" fillId="0" borderId="11" xfId="0" applyBorder="1"/>
    <xf numFmtId="0" fontId="0" fillId="0" borderId="0" xfId="0" applyAlignment="1">
      <alignment horizontal="center"/>
    </xf>
    <xf numFmtId="10" fontId="1" fillId="0" borderId="0" xfId="0" applyNumberFormat="1" applyFont="1"/>
    <xf numFmtId="0" fontId="6" fillId="0" borderId="0" xfId="0" applyFont="1" applyAlignment="1">
      <alignment vertical="center"/>
    </xf>
    <xf numFmtId="0" fontId="1" fillId="0" borderId="0" xfId="0" applyFont="1" applyAlignment="1">
      <alignment horizontal="center"/>
    </xf>
    <xf numFmtId="2" fontId="0" fillId="2" borderId="1" xfId="0" applyNumberFormat="1" applyFill="1" applyBorder="1" applyAlignment="1">
      <alignment horizontal="center"/>
    </xf>
    <xf numFmtId="0" fontId="0" fillId="4" borderId="1" xfId="0" applyFill="1" applyBorder="1"/>
    <xf numFmtId="0" fontId="0" fillId="0" borderId="15" xfId="0" applyBorder="1"/>
    <xf numFmtId="0" fontId="1" fillId="0" borderId="1" xfId="0" applyFont="1" applyBorder="1"/>
    <xf numFmtId="0" fontId="0" fillId="2" borderId="1" xfId="0" applyFill="1" applyBorder="1" applyAlignment="1">
      <alignment horizontal="center" vertical="center"/>
    </xf>
    <xf numFmtId="0" fontId="0" fillId="0" borderId="1" xfId="0" applyBorder="1" applyAlignment="1">
      <alignment horizontal="right"/>
    </xf>
    <xf numFmtId="0" fontId="0" fillId="0" borderId="0" xfId="0" applyAlignment="1">
      <alignment horizontal="left"/>
    </xf>
    <xf numFmtId="0" fontId="1" fillId="0" borderId="10" xfId="0" applyFont="1" applyBorder="1"/>
    <xf numFmtId="2" fontId="0" fillId="0" borderId="1" xfId="0" applyNumberFormat="1" applyBorder="1"/>
    <xf numFmtId="0" fontId="1" fillId="0" borderId="1" xfId="0" applyFont="1" applyBorder="1" applyAlignment="1">
      <alignment horizontal="center"/>
    </xf>
    <xf numFmtId="2"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0" borderId="10" xfId="0" applyBorder="1" applyAlignment="1">
      <alignment horizontal="right"/>
    </xf>
    <xf numFmtId="0" fontId="4" fillId="0" borderId="1" xfId="0" applyFont="1" applyBorder="1"/>
    <xf numFmtId="0" fontId="4" fillId="0" borderId="11" xfId="0" applyFont="1" applyBorder="1"/>
    <xf numFmtId="0" fontId="4" fillId="0" borderId="6" xfId="0" applyFont="1" applyBorder="1"/>
    <xf numFmtId="0" fontId="4" fillId="0" borderId="15" xfId="0" applyFont="1" applyBorder="1"/>
    <xf numFmtId="0" fontId="4" fillId="0" borderId="10" xfId="0" applyFont="1" applyBorder="1"/>
    <xf numFmtId="0" fontId="1" fillId="2" borderId="10" xfId="0" applyFont="1" applyFill="1" applyBorder="1" applyAlignment="1">
      <alignment horizontal="center"/>
    </xf>
    <xf numFmtId="0" fontId="4" fillId="3" borderId="1" xfId="0" applyFont="1" applyFill="1" applyBorder="1"/>
    <xf numFmtId="0" fontId="0" fillId="2"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0" xfId="0" applyAlignment="1">
      <alignment horizontal="left"/>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3" borderId="0" xfId="0" applyFill="1" applyAlignment="1">
      <alignment horizontal="center"/>
    </xf>
    <xf numFmtId="0" fontId="1" fillId="2" borderId="1" xfId="0" applyFont="1" applyFill="1" applyBorder="1" applyAlignment="1">
      <alignment horizontal="center" vertical="center"/>
    </xf>
    <xf numFmtId="0" fontId="0" fillId="2" borderId="0" xfId="0" applyFill="1" applyAlignment="1">
      <alignment horizontal="center"/>
    </xf>
    <xf numFmtId="0" fontId="1" fillId="4" borderId="0" xfId="0" applyFont="1" applyFill="1" applyAlignment="1">
      <alignment horizontal="center" vertical="center"/>
    </xf>
    <xf numFmtId="0" fontId="0" fillId="2" borderId="1"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center" vertical="center"/>
    </xf>
    <xf numFmtId="0" fontId="0" fillId="3" borderId="11" xfId="0" applyFill="1" applyBorder="1" applyAlignment="1">
      <alignment horizontal="center"/>
    </xf>
    <xf numFmtId="0" fontId="0" fillId="4" borderId="0" xfId="0" applyFill="1" applyAlignment="1">
      <alignment horizontal="center"/>
    </xf>
    <xf numFmtId="0" fontId="1" fillId="0" borderId="0" xfId="0" applyFont="1" applyAlignment="1">
      <alignment horizontal="center" vertic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1" fillId="3" borderId="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0" fillId="2" borderId="12" xfId="0" applyFill="1" applyBorder="1" applyAlignment="1">
      <alignment horizontal="center"/>
    </xf>
    <xf numFmtId="0" fontId="0" fillId="2" borderId="14" xfId="0" applyFill="1" applyBorder="1" applyAlignment="1">
      <alignment horizontal="center"/>
    </xf>
    <xf numFmtId="0" fontId="1" fillId="0" borderId="8" xfId="0" applyFont="1" applyBorder="1" applyAlignment="1">
      <alignment horizontal="center"/>
    </xf>
    <xf numFmtId="0" fontId="0" fillId="5" borderId="1"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10" fontId="1" fillId="2" borderId="10" xfId="0" applyNumberFormat="1" applyFont="1" applyFill="1" applyBorder="1" applyAlignment="1">
      <alignment horizontal="center" vertical="center"/>
    </xf>
    <xf numFmtId="10" fontId="1" fillId="2" borderId="11" xfId="0" applyNumberFormat="1" applyFont="1" applyFill="1" applyBorder="1" applyAlignment="1">
      <alignment horizontal="center" vertical="center"/>
    </xf>
    <xf numFmtId="0" fontId="1" fillId="2" borderId="1" xfId="0" applyFont="1" applyFill="1" applyBorder="1" applyAlignment="1">
      <alignment horizontal="center"/>
    </xf>
    <xf numFmtId="0" fontId="0" fillId="0" borderId="0" xfId="0" applyFill="1"/>
    <xf numFmtId="0" fontId="0" fillId="0" borderId="1" xfId="0" applyFill="1" applyBorder="1"/>
    <xf numFmtId="0" fontId="0" fillId="0" borderId="1" xfId="0" applyFill="1" applyBorder="1" applyAlignment="1">
      <alignment horizontal="right"/>
    </xf>
    <xf numFmtId="0" fontId="0" fillId="0" borderId="0" xfId="0" applyFill="1" applyAlignment="1">
      <alignment horizontal="center" vertical="center"/>
    </xf>
    <xf numFmtId="2" fontId="0" fillId="0" borderId="0" xfId="0" applyNumberFormat="1" applyFill="1" applyAlignment="1">
      <alignment horizontal="center" vertical="center"/>
    </xf>
    <xf numFmtId="2" fontId="0" fillId="0" borderId="0" xfId="0" applyNumberFormat="1" applyFill="1"/>
    <xf numFmtId="0" fontId="1" fillId="0" borderId="0" xfId="0" applyFont="1" applyFill="1"/>
    <xf numFmtId="0" fontId="0" fillId="0" borderId="0" xfId="0" applyFill="1" applyAlignment="1">
      <alignment horizontal="center" vertical="center"/>
    </xf>
    <xf numFmtId="0" fontId="2" fillId="0" borderId="0" xfId="0" applyFont="1" applyFill="1"/>
    <xf numFmtId="0" fontId="1" fillId="0" borderId="10" xfId="0" applyFont="1" applyFill="1" applyBorder="1"/>
    <xf numFmtId="0" fontId="0" fillId="0" borderId="11" xfId="0" applyFill="1" applyBorder="1"/>
    <xf numFmtId="2" fontId="0" fillId="0" borderId="5" xfId="0" applyNumberFormat="1" applyFill="1" applyBorder="1" applyAlignment="1">
      <alignment horizontal="right"/>
    </xf>
    <xf numFmtId="0" fontId="1" fillId="0" borderId="2" xfId="0" applyFont="1" applyFill="1" applyBorder="1" applyAlignment="1">
      <alignment horizontal="center" vertical="center"/>
    </xf>
    <xf numFmtId="0" fontId="1" fillId="0" borderId="1" xfId="0" applyFont="1" applyFill="1" applyBorder="1" applyAlignment="1">
      <alignment horizontal="center"/>
    </xf>
    <xf numFmtId="0" fontId="0" fillId="0" borderId="0" xfId="0" applyFill="1" applyAlignment="1">
      <alignment horizontal="right"/>
    </xf>
    <xf numFmtId="0" fontId="0" fillId="0" borderId="0" xfId="0" applyFill="1" applyAlignment="1">
      <alignment horizontal="center"/>
    </xf>
    <xf numFmtId="0" fontId="0" fillId="0" borderId="6" xfId="0" applyFill="1" applyBorder="1" applyAlignment="1">
      <alignment horizontal="center"/>
    </xf>
    <xf numFmtId="0" fontId="1" fillId="0" borderId="7" xfId="0" applyFont="1" applyFill="1" applyBorder="1" applyAlignment="1">
      <alignment horizontal="center" vertical="center"/>
    </xf>
    <xf numFmtId="2" fontId="0" fillId="0" borderId="1" xfId="0" applyNumberFormat="1" applyFill="1" applyBorder="1"/>
    <xf numFmtId="0" fontId="0" fillId="0" borderId="0" xfId="0" applyFill="1" applyAlignment="1">
      <alignment horizontal="left"/>
    </xf>
    <xf numFmtId="0" fontId="0" fillId="0" borderId="12" xfId="0" applyFill="1" applyBorder="1"/>
    <xf numFmtId="0" fontId="0" fillId="0" borderId="2" xfId="0" applyFill="1" applyBorder="1"/>
    <xf numFmtId="0" fontId="0" fillId="0" borderId="14" xfId="0" applyFill="1" applyBorder="1"/>
    <xf numFmtId="0" fontId="0" fillId="0" borderId="9" xfId="0" applyFill="1" applyBorder="1"/>
    <xf numFmtId="2" fontId="4" fillId="0" borderId="0" xfId="0" applyNumberFormat="1" applyFont="1" applyFill="1"/>
    <xf numFmtId="2" fontId="5" fillId="0" borderId="0" xfId="0" applyNumberFormat="1" applyFont="1" applyFill="1"/>
    <xf numFmtId="0" fontId="4" fillId="0" borderId="0" xfId="0" applyFont="1" applyFill="1"/>
    <xf numFmtId="16" fontId="4" fillId="0" borderId="0" xfId="0" applyNumberFormat="1" applyFont="1" applyFill="1"/>
    <xf numFmtId="0" fontId="5" fillId="0" borderId="0" xfId="0" applyFont="1" applyFill="1"/>
    <xf numFmtId="0" fontId="0" fillId="0" borderId="0" xfId="0" applyFill="1" applyAlignment="1">
      <alignment horizontal="center"/>
    </xf>
    <xf numFmtId="2" fontId="0" fillId="0" borderId="0" xfId="0" applyNumberFormat="1" applyFill="1" applyAlignment="1">
      <alignment horizontal="center"/>
    </xf>
    <xf numFmtId="10" fontId="1" fillId="0" borderId="0" xfId="0" applyNumberFormat="1" applyFont="1" applyFill="1"/>
    <xf numFmtId="0" fontId="1" fillId="0" borderId="0" xfId="0" applyFont="1" applyFill="1" applyAlignment="1">
      <alignment horizontal="center"/>
    </xf>
    <xf numFmtId="10" fontId="0" fillId="0" borderId="0" xfId="0" applyNumberFormat="1" applyFill="1"/>
    <xf numFmtId="0" fontId="0" fillId="0" borderId="0" xfId="0" applyFill="1" applyAlignment="1">
      <alignment horizontal="left"/>
    </xf>
    <xf numFmtId="0" fontId="6" fillId="0" borderId="0" xfId="0" applyFont="1" applyFill="1" applyAlignment="1">
      <alignment vertical="center"/>
    </xf>
    <xf numFmtId="2" fontId="0" fillId="0" borderId="0" xfId="0" applyNumberFormat="1" applyFill="1" applyBorder="1"/>
    <xf numFmtId="0" fontId="0" fillId="0" borderId="0" xfId="0" applyFill="1" applyBorder="1"/>
    <xf numFmtId="0" fontId="1" fillId="0" borderId="0" xfId="0" applyFont="1" applyFill="1" applyBorder="1"/>
    <xf numFmtId="0" fontId="1"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xf>
    <xf numFmtId="2" fontId="0" fillId="0" borderId="0" xfId="0" applyNumberFormat="1" applyFill="1" applyBorder="1" applyAlignment="1">
      <alignment horizontal="right"/>
    </xf>
    <xf numFmtId="0" fontId="0" fillId="0" borderId="0" xfId="0" applyFill="1" applyBorder="1" applyAlignment="1">
      <alignment horizontal="right"/>
    </xf>
    <xf numFmtId="0" fontId="0" fillId="0" borderId="0" xfId="0" applyFill="1" applyBorder="1" applyAlignment="1">
      <alignment horizontal="center" vertical="center"/>
    </xf>
    <xf numFmtId="2" fontId="4" fillId="0" borderId="0" xfId="0" applyNumberFormat="1" applyFont="1" applyFill="1" applyBorder="1"/>
    <xf numFmtId="2" fontId="5" fillId="0" borderId="0" xfId="0" applyNumberFormat="1" applyFont="1" applyFill="1" applyBorder="1"/>
    <xf numFmtId="0" fontId="4" fillId="0" borderId="0" xfId="0" applyFont="1" applyFill="1" applyBorder="1"/>
    <xf numFmtId="0" fontId="7" fillId="0" borderId="0" xfId="0" applyFont="1" applyFill="1" applyBorder="1"/>
    <xf numFmtId="0" fontId="0" fillId="0" borderId="0" xfId="0" applyFill="1" applyBorder="1" applyAlignment="1">
      <alignment vertical="center"/>
    </xf>
    <xf numFmtId="0" fontId="5" fillId="0" borderId="0" xfId="0" applyFont="1" applyFill="1" applyBorder="1"/>
    <xf numFmtId="2" fontId="0" fillId="0" borderId="0"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43</xdr:col>
      <xdr:colOff>26737</xdr:colOff>
      <xdr:row>4</xdr:row>
      <xdr:rowOff>53475</xdr:rowOff>
    </xdr:from>
    <xdr:to>
      <xdr:col>44</xdr:col>
      <xdr:colOff>1046479</xdr:colOff>
      <xdr:row>7</xdr:row>
      <xdr:rowOff>133685</xdr:rowOff>
    </xdr:to>
    <xdr:pic>
      <xdr:nvPicPr>
        <xdr:cNvPr id="3" name="Picture 2">
          <a:extLst>
            <a:ext uri="{FF2B5EF4-FFF2-40B4-BE49-F238E27FC236}">
              <a16:creationId xmlns:a16="http://schemas.microsoft.com/office/drawing/2014/main" id="{33EDC7E2-6E41-A18A-90F2-684B44D5A1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53322" y="1205768"/>
          <a:ext cx="3255474" cy="6377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43</xdr:col>
      <xdr:colOff>26737</xdr:colOff>
      <xdr:row>4</xdr:row>
      <xdr:rowOff>53475</xdr:rowOff>
    </xdr:from>
    <xdr:to>
      <xdr:col>44</xdr:col>
      <xdr:colOff>1046479</xdr:colOff>
      <xdr:row>7</xdr:row>
      <xdr:rowOff>133685</xdr:rowOff>
    </xdr:to>
    <xdr:pic>
      <xdr:nvPicPr>
        <xdr:cNvPr id="2" name="Picture 1">
          <a:extLst>
            <a:ext uri="{FF2B5EF4-FFF2-40B4-BE49-F238E27FC236}">
              <a16:creationId xmlns:a16="http://schemas.microsoft.com/office/drawing/2014/main" id="{DB07D645-5CA1-4456-B4CC-6B52F91FCB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59237" y="823095"/>
          <a:ext cx="3252402" cy="628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083F-A382-4AE8-85DD-F54C7ACB7AA2}">
  <dimension ref="A1:AN115"/>
  <sheetViews>
    <sheetView topLeftCell="A71" workbookViewId="0">
      <selection activeCell="B80" sqref="B80:C87"/>
    </sheetView>
  </sheetViews>
  <sheetFormatPr defaultRowHeight="14.4" x14ac:dyDescent="0.3"/>
  <cols>
    <col min="1" max="1" width="8.88671875" style="118"/>
    <col min="2" max="2" width="21.33203125" style="118" bestFit="1" customWidth="1"/>
    <col min="3" max="3" width="21.33203125" style="118" customWidth="1"/>
    <col min="4" max="4" width="18" style="118" bestFit="1" customWidth="1"/>
    <col min="5" max="16384" width="8.88671875" style="118"/>
  </cols>
  <sheetData>
    <row r="1" spans="1:40" x14ac:dyDescent="0.3">
      <c r="A1" s="56" t="s">
        <v>288</v>
      </c>
      <c r="B1" s="56" t="s">
        <v>0</v>
      </c>
      <c r="C1" s="56" t="s">
        <v>536</v>
      </c>
      <c r="D1" s="56" t="s">
        <v>64</v>
      </c>
      <c r="E1" s="56" t="s">
        <v>43</v>
      </c>
      <c r="F1" s="56" t="s">
        <v>44</v>
      </c>
      <c r="G1" s="56" t="s">
        <v>45</v>
      </c>
      <c r="H1" s="56" t="s">
        <v>46</v>
      </c>
      <c r="I1" s="56" t="s">
        <v>47</v>
      </c>
      <c r="J1" s="56" t="s">
        <v>48</v>
      </c>
      <c r="K1" s="56" t="s">
        <v>49</v>
      </c>
      <c r="L1" s="56" t="s">
        <v>50</v>
      </c>
      <c r="M1" s="56" t="s">
        <v>51</v>
      </c>
      <c r="N1" s="56" t="s">
        <v>52</v>
      </c>
      <c r="O1" s="56" t="s">
        <v>53</v>
      </c>
      <c r="P1" s="56" t="s">
        <v>54</v>
      </c>
      <c r="Q1" s="56" t="s">
        <v>55</v>
      </c>
      <c r="R1" s="56" t="s">
        <v>56</v>
      </c>
      <c r="S1" s="56" t="s">
        <v>57</v>
      </c>
      <c r="T1" s="56" t="s">
        <v>58</v>
      </c>
      <c r="U1" s="56" t="s">
        <v>59</v>
      </c>
      <c r="V1" s="56" t="s">
        <v>60</v>
      </c>
      <c r="W1" s="56" t="s">
        <v>61</v>
      </c>
      <c r="X1" s="56" t="s">
        <v>62</v>
      </c>
      <c r="Y1" s="56" t="s">
        <v>63</v>
      </c>
      <c r="Z1" s="56" t="s">
        <v>330</v>
      </c>
      <c r="AA1" s="56" t="s">
        <v>331</v>
      </c>
      <c r="AB1" s="56" t="s">
        <v>332</v>
      </c>
      <c r="AC1" s="56" t="s">
        <v>333</v>
      </c>
      <c r="AD1" s="56" t="s">
        <v>334</v>
      </c>
      <c r="AE1" s="56" t="s">
        <v>335</v>
      </c>
      <c r="AF1" s="56" t="s">
        <v>336</v>
      </c>
      <c r="AG1" s="56" t="s">
        <v>337</v>
      </c>
      <c r="AH1" s="56" t="s">
        <v>338</v>
      </c>
      <c r="AI1" s="56" t="s">
        <v>339</v>
      </c>
      <c r="AJ1" s="56" t="s">
        <v>340</v>
      </c>
      <c r="AK1" s="56" t="s">
        <v>341</v>
      </c>
      <c r="AL1" s="56" t="s">
        <v>342</v>
      </c>
      <c r="AM1" s="56" t="s">
        <v>343</v>
      </c>
      <c r="AN1" s="56" t="s">
        <v>390</v>
      </c>
    </row>
    <row r="2" spans="1:40" x14ac:dyDescent="0.3">
      <c r="A2" s="119">
        <f t="shared" ref="A2:A65" si="0">ROW()-1</f>
        <v>1</v>
      </c>
      <c r="B2" s="119" t="s">
        <v>1</v>
      </c>
      <c r="C2" s="119" t="s">
        <v>537</v>
      </c>
      <c r="D2" s="119">
        <v>1</v>
      </c>
      <c r="E2" s="119" t="s">
        <v>2</v>
      </c>
      <c r="F2" s="119" t="s">
        <v>3</v>
      </c>
      <c r="G2" s="119" t="s">
        <v>4</v>
      </c>
      <c r="H2" s="119" t="s">
        <v>5</v>
      </c>
      <c r="I2" s="119" t="s">
        <v>5</v>
      </c>
      <c r="J2" s="119" t="s">
        <v>5</v>
      </c>
      <c r="K2" s="119" t="s">
        <v>2</v>
      </c>
      <c r="L2" s="119" t="s">
        <v>2</v>
      </c>
      <c r="M2" s="119" t="s">
        <v>3</v>
      </c>
      <c r="N2" s="119" t="s">
        <v>2</v>
      </c>
      <c r="O2" s="119" t="s">
        <v>4</v>
      </c>
      <c r="P2" s="119" t="s">
        <v>2</v>
      </c>
      <c r="Q2" s="119" t="s">
        <v>5</v>
      </c>
      <c r="R2" s="119" t="s">
        <v>3</v>
      </c>
      <c r="S2" s="119" t="s">
        <v>3</v>
      </c>
      <c r="T2" s="119" t="s">
        <v>5</v>
      </c>
      <c r="U2" s="119" t="s">
        <v>5</v>
      </c>
      <c r="V2" s="119" t="s">
        <v>5</v>
      </c>
      <c r="W2" s="119" t="s">
        <v>2</v>
      </c>
      <c r="X2" s="119" t="s">
        <v>4</v>
      </c>
      <c r="Y2" s="119" t="s">
        <v>3</v>
      </c>
      <c r="Z2" s="119" t="s">
        <v>4</v>
      </c>
      <c r="AA2" s="119" t="s">
        <v>4</v>
      </c>
      <c r="AB2" s="119" t="s">
        <v>4</v>
      </c>
      <c r="AC2" s="119" t="s">
        <v>4</v>
      </c>
      <c r="AD2" s="119" t="s">
        <v>4</v>
      </c>
      <c r="AE2" s="119" t="s">
        <v>4</v>
      </c>
      <c r="AF2" s="119" t="s">
        <v>4</v>
      </c>
      <c r="AG2" s="119" t="s">
        <v>3</v>
      </c>
      <c r="AH2" s="119" t="s">
        <v>4</v>
      </c>
      <c r="AI2" s="119" t="s">
        <v>4</v>
      </c>
      <c r="AJ2" s="119" t="s">
        <v>3</v>
      </c>
      <c r="AK2" s="119" t="s">
        <v>4</v>
      </c>
      <c r="AL2" s="119" t="s">
        <v>4</v>
      </c>
      <c r="AM2" s="119" t="s">
        <v>4</v>
      </c>
      <c r="AN2" s="119" t="s">
        <v>3</v>
      </c>
    </row>
    <row r="3" spans="1:40" x14ac:dyDescent="0.3">
      <c r="A3" s="119">
        <f t="shared" si="0"/>
        <v>2</v>
      </c>
      <c r="B3" s="119" t="s">
        <v>6</v>
      </c>
      <c r="C3" s="119" t="s">
        <v>537</v>
      </c>
      <c r="D3" s="119">
        <v>1</v>
      </c>
      <c r="E3" s="119" t="s">
        <v>5</v>
      </c>
      <c r="F3" s="119" t="s">
        <v>3</v>
      </c>
      <c r="G3" s="119" t="s">
        <v>2</v>
      </c>
      <c r="H3" s="119" t="s">
        <v>3</v>
      </c>
      <c r="I3" s="119" t="s">
        <v>5</v>
      </c>
      <c r="J3" s="119" t="s">
        <v>3</v>
      </c>
      <c r="K3" s="119" t="s">
        <v>5</v>
      </c>
      <c r="L3" s="119" t="s">
        <v>2</v>
      </c>
      <c r="M3" s="119" t="s">
        <v>2</v>
      </c>
      <c r="N3" s="119" t="s">
        <v>3</v>
      </c>
      <c r="O3" s="119" t="s">
        <v>3</v>
      </c>
      <c r="P3" s="119" t="s">
        <v>4</v>
      </c>
      <c r="Q3" s="119" t="s">
        <v>2</v>
      </c>
      <c r="R3" s="119" t="s">
        <v>3</v>
      </c>
      <c r="S3" s="119" t="s">
        <v>4</v>
      </c>
      <c r="T3" s="119" t="s">
        <v>5</v>
      </c>
      <c r="U3" s="119" t="s">
        <v>5</v>
      </c>
      <c r="V3" s="119" t="s">
        <v>5</v>
      </c>
      <c r="W3" s="119" t="s">
        <v>4</v>
      </c>
      <c r="X3" s="119" t="s">
        <v>4</v>
      </c>
      <c r="Y3" s="119" t="s">
        <v>4</v>
      </c>
      <c r="Z3" s="119" t="s">
        <v>5</v>
      </c>
      <c r="AA3" s="119" t="s">
        <v>3</v>
      </c>
      <c r="AB3" s="119" t="s">
        <v>4</v>
      </c>
      <c r="AC3" s="119" t="s">
        <v>4</v>
      </c>
      <c r="AD3" s="119" t="s">
        <v>4</v>
      </c>
      <c r="AE3" s="119" t="s">
        <v>4</v>
      </c>
      <c r="AF3" s="119" t="s">
        <v>4</v>
      </c>
      <c r="AG3" s="119" t="s">
        <v>4</v>
      </c>
      <c r="AH3" s="119" t="s">
        <v>3</v>
      </c>
      <c r="AI3" s="119" t="s">
        <v>4</v>
      </c>
      <c r="AJ3" s="119" t="s">
        <v>3</v>
      </c>
      <c r="AK3" s="119" t="s">
        <v>4</v>
      </c>
      <c r="AL3" s="119" t="s">
        <v>4</v>
      </c>
      <c r="AM3" s="119" t="s">
        <v>4</v>
      </c>
      <c r="AN3" s="119" t="s">
        <v>3</v>
      </c>
    </row>
    <row r="4" spans="1:40" x14ac:dyDescent="0.3">
      <c r="A4" s="119">
        <f t="shared" si="0"/>
        <v>3</v>
      </c>
      <c r="B4" s="119" t="s">
        <v>7</v>
      </c>
      <c r="C4" s="119" t="s">
        <v>537</v>
      </c>
      <c r="D4" s="119">
        <v>1</v>
      </c>
      <c r="E4" s="119" t="s">
        <v>2</v>
      </c>
      <c r="F4" s="119" t="s">
        <v>3</v>
      </c>
      <c r="G4" s="119" t="s">
        <v>4</v>
      </c>
      <c r="H4" s="119" t="s">
        <v>5</v>
      </c>
      <c r="I4" s="119" t="s">
        <v>5</v>
      </c>
      <c r="J4" s="119" t="s">
        <v>5</v>
      </c>
      <c r="K4" s="119" t="s">
        <v>5</v>
      </c>
      <c r="L4" s="119" t="s">
        <v>2</v>
      </c>
      <c r="M4" s="119" t="s">
        <v>3</v>
      </c>
      <c r="N4" s="119" t="s">
        <v>3</v>
      </c>
      <c r="O4" s="119" t="s">
        <v>4</v>
      </c>
      <c r="P4" s="119" t="s">
        <v>3</v>
      </c>
      <c r="Q4" s="119" t="s">
        <v>5</v>
      </c>
      <c r="R4" s="119" t="s">
        <v>3</v>
      </c>
      <c r="S4" s="119" t="s">
        <v>3</v>
      </c>
      <c r="T4" s="119" t="s">
        <v>5</v>
      </c>
      <c r="U4" s="119" t="s">
        <v>5</v>
      </c>
      <c r="V4" s="119" t="s">
        <v>5</v>
      </c>
      <c r="W4" s="119" t="s">
        <v>2</v>
      </c>
      <c r="X4" s="119" t="s">
        <v>4</v>
      </c>
      <c r="Y4" s="119" t="s">
        <v>3</v>
      </c>
      <c r="Z4" s="119" t="s">
        <v>2</v>
      </c>
      <c r="AA4" s="119" t="s">
        <v>3</v>
      </c>
      <c r="AB4" s="119" t="s">
        <v>4</v>
      </c>
      <c r="AC4" s="119" t="s">
        <v>4</v>
      </c>
      <c r="AD4" s="119" t="s">
        <v>4</v>
      </c>
      <c r="AE4" s="119" t="s">
        <v>4</v>
      </c>
      <c r="AF4" s="119" t="s">
        <v>4</v>
      </c>
      <c r="AG4" s="119" t="s">
        <v>4</v>
      </c>
      <c r="AH4" s="119" t="s">
        <v>4</v>
      </c>
      <c r="AI4" s="119" t="s">
        <v>4</v>
      </c>
      <c r="AJ4" s="119" t="s">
        <v>4</v>
      </c>
      <c r="AK4" s="119" t="s">
        <v>4</v>
      </c>
      <c r="AL4" s="119" t="s">
        <v>4</v>
      </c>
      <c r="AM4" s="119" t="s">
        <v>3</v>
      </c>
      <c r="AN4" s="119" t="s">
        <v>3</v>
      </c>
    </row>
    <row r="5" spans="1:40" x14ac:dyDescent="0.3">
      <c r="A5" s="119">
        <f t="shared" si="0"/>
        <v>4</v>
      </c>
      <c r="B5" s="119" t="s">
        <v>8</v>
      </c>
      <c r="C5" s="119" t="s">
        <v>537</v>
      </c>
      <c r="D5" s="119">
        <v>1</v>
      </c>
      <c r="E5" s="119" t="s">
        <v>5</v>
      </c>
      <c r="F5" s="119" t="s">
        <v>2</v>
      </c>
      <c r="G5" s="119" t="s">
        <v>2</v>
      </c>
      <c r="H5" s="119" t="s">
        <v>3</v>
      </c>
      <c r="I5" s="119" t="s">
        <v>5</v>
      </c>
      <c r="J5" s="119" t="s">
        <v>5</v>
      </c>
      <c r="K5" s="119" t="s">
        <v>5</v>
      </c>
      <c r="L5" s="119" t="s">
        <v>2</v>
      </c>
      <c r="M5" s="119" t="s">
        <v>3</v>
      </c>
      <c r="N5" s="119" t="s">
        <v>3</v>
      </c>
      <c r="O5" s="119" t="s">
        <v>4</v>
      </c>
      <c r="P5" s="119" t="s">
        <v>2</v>
      </c>
      <c r="Q5" s="119" t="s">
        <v>5</v>
      </c>
      <c r="R5" s="119" t="s">
        <v>3</v>
      </c>
      <c r="S5" s="119" t="s">
        <v>2</v>
      </c>
      <c r="T5" s="119" t="s">
        <v>5</v>
      </c>
      <c r="U5" s="119" t="s">
        <v>2</v>
      </c>
      <c r="V5" s="119" t="s">
        <v>2</v>
      </c>
      <c r="W5" s="119" t="s">
        <v>3</v>
      </c>
      <c r="X5" s="119" t="s">
        <v>4</v>
      </c>
      <c r="Y5" s="119" t="s">
        <v>3</v>
      </c>
      <c r="Z5" s="119" t="s">
        <v>3</v>
      </c>
      <c r="AA5" s="119" t="s">
        <v>3</v>
      </c>
      <c r="AB5" s="119" t="s">
        <v>4</v>
      </c>
      <c r="AC5" s="119" t="s">
        <v>4</v>
      </c>
      <c r="AD5" s="119" t="s">
        <v>4</v>
      </c>
      <c r="AE5" s="119" t="s">
        <v>4</v>
      </c>
      <c r="AF5" s="119" t="s">
        <v>4</v>
      </c>
      <c r="AG5" s="119" t="s">
        <v>4</v>
      </c>
      <c r="AH5" s="119" t="s">
        <v>3</v>
      </c>
      <c r="AI5" s="119" t="s">
        <v>4</v>
      </c>
      <c r="AJ5" s="119" t="s">
        <v>3</v>
      </c>
      <c r="AK5" s="119" t="s">
        <v>4</v>
      </c>
      <c r="AL5" s="119" t="s">
        <v>4</v>
      </c>
      <c r="AM5" s="119" t="s">
        <v>4</v>
      </c>
      <c r="AN5" s="119" t="s">
        <v>3</v>
      </c>
    </row>
    <row r="6" spans="1:40" x14ac:dyDescent="0.3">
      <c r="A6" s="119">
        <f t="shared" si="0"/>
        <v>5</v>
      </c>
      <c r="B6" s="119" t="s">
        <v>9</v>
      </c>
      <c r="C6" s="119" t="s">
        <v>537</v>
      </c>
      <c r="D6" s="119">
        <v>1</v>
      </c>
      <c r="E6" s="119" t="s">
        <v>2</v>
      </c>
      <c r="F6" s="119" t="s">
        <v>3</v>
      </c>
      <c r="G6" s="119" t="s">
        <v>3</v>
      </c>
      <c r="H6" s="119" t="s">
        <v>5</v>
      </c>
      <c r="I6" s="119" t="s">
        <v>5</v>
      </c>
      <c r="J6" s="119" t="s">
        <v>3</v>
      </c>
      <c r="K6" s="119" t="s">
        <v>2</v>
      </c>
      <c r="L6" s="119" t="s">
        <v>2</v>
      </c>
      <c r="M6" s="119" t="s">
        <v>2</v>
      </c>
      <c r="N6" s="119" t="s">
        <v>3</v>
      </c>
      <c r="O6" s="119" t="s">
        <v>4</v>
      </c>
      <c r="P6" s="119" t="s">
        <v>5</v>
      </c>
      <c r="Q6" s="119" t="s">
        <v>5</v>
      </c>
      <c r="R6" s="119" t="s">
        <v>3</v>
      </c>
      <c r="S6" s="119" t="s">
        <v>3</v>
      </c>
      <c r="T6" s="119" t="s">
        <v>5</v>
      </c>
      <c r="U6" s="119" t="s">
        <v>5</v>
      </c>
      <c r="V6" s="119" t="s">
        <v>5</v>
      </c>
      <c r="W6" s="119" t="s">
        <v>5</v>
      </c>
      <c r="X6" s="119" t="s">
        <v>4</v>
      </c>
      <c r="Y6" s="119" t="s">
        <v>3</v>
      </c>
      <c r="Z6" s="119" t="s">
        <v>2</v>
      </c>
      <c r="AA6" s="119" t="s">
        <v>3</v>
      </c>
      <c r="AB6" s="119" t="s">
        <v>4</v>
      </c>
      <c r="AC6" s="119" t="s">
        <v>4</v>
      </c>
      <c r="AD6" s="119" t="s">
        <v>4</v>
      </c>
      <c r="AE6" s="119" t="s">
        <v>4</v>
      </c>
      <c r="AF6" s="119" t="s">
        <v>4</v>
      </c>
      <c r="AG6" s="119" t="s">
        <v>3</v>
      </c>
      <c r="AH6" s="119" t="s">
        <v>3</v>
      </c>
      <c r="AI6" s="119" t="s">
        <v>4</v>
      </c>
      <c r="AJ6" s="119" t="s">
        <v>4</v>
      </c>
      <c r="AK6" s="119" t="s">
        <v>4</v>
      </c>
      <c r="AL6" s="119" t="s">
        <v>4</v>
      </c>
      <c r="AM6" s="119" t="s">
        <v>4</v>
      </c>
      <c r="AN6" s="119" t="s">
        <v>3</v>
      </c>
    </row>
    <row r="7" spans="1:40" x14ac:dyDescent="0.3">
      <c r="A7" s="119">
        <f t="shared" si="0"/>
        <v>6</v>
      </c>
      <c r="B7" s="119" t="s">
        <v>10</v>
      </c>
      <c r="C7" s="119" t="s">
        <v>537</v>
      </c>
      <c r="D7" s="119">
        <v>1</v>
      </c>
      <c r="E7" s="119" t="s">
        <v>3</v>
      </c>
      <c r="F7" s="119" t="s">
        <v>3</v>
      </c>
      <c r="G7" s="119" t="s">
        <v>2</v>
      </c>
      <c r="H7" s="119" t="s">
        <v>5</v>
      </c>
      <c r="I7" s="119" t="s">
        <v>5</v>
      </c>
      <c r="J7" s="119" t="s">
        <v>3</v>
      </c>
      <c r="K7" s="119" t="s">
        <v>5</v>
      </c>
      <c r="L7" s="119" t="s">
        <v>2</v>
      </c>
      <c r="M7" s="119" t="s">
        <v>2</v>
      </c>
      <c r="N7" s="119" t="s">
        <v>2</v>
      </c>
      <c r="O7" s="119" t="s">
        <v>3</v>
      </c>
      <c r="P7" s="119" t="s">
        <v>3</v>
      </c>
      <c r="Q7" s="119" t="s">
        <v>5</v>
      </c>
      <c r="R7" s="119" t="s">
        <v>3</v>
      </c>
      <c r="S7" s="119" t="s">
        <v>3</v>
      </c>
      <c r="T7" s="119" t="s">
        <v>5</v>
      </c>
      <c r="U7" s="119" t="s">
        <v>5</v>
      </c>
      <c r="V7" s="119" t="s">
        <v>5</v>
      </c>
      <c r="W7" s="119" t="s">
        <v>5</v>
      </c>
      <c r="X7" s="119" t="s">
        <v>4</v>
      </c>
      <c r="Y7" s="119" t="s">
        <v>3</v>
      </c>
      <c r="Z7" s="119" t="s">
        <v>2</v>
      </c>
      <c r="AA7" s="119" t="s">
        <v>3</v>
      </c>
      <c r="AB7" s="119" t="s">
        <v>4</v>
      </c>
      <c r="AC7" s="119" t="s">
        <v>4</v>
      </c>
      <c r="AD7" s="119" t="s">
        <v>4</v>
      </c>
      <c r="AE7" s="119" t="s">
        <v>4</v>
      </c>
      <c r="AF7" s="119" t="s">
        <v>4</v>
      </c>
      <c r="AG7" s="119" t="s">
        <v>4</v>
      </c>
      <c r="AH7" s="119" t="s">
        <v>3</v>
      </c>
      <c r="AI7" s="119" t="s">
        <v>4</v>
      </c>
      <c r="AJ7" s="119" t="s">
        <v>3</v>
      </c>
      <c r="AK7" s="119" t="s">
        <v>4</v>
      </c>
      <c r="AL7" s="119" t="s">
        <v>4</v>
      </c>
      <c r="AM7" s="119" t="s">
        <v>4</v>
      </c>
      <c r="AN7" s="119" t="s">
        <v>3</v>
      </c>
    </row>
    <row r="8" spans="1:40" x14ac:dyDescent="0.3">
      <c r="A8" s="119">
        <f t="shared" si="0"/>
        <v>7</v>
      </c>
      <c r="B8" s="119" t="s">
        <v>255</v>
      </c>
      <c r="C8" s="119" t="s">
        <v>537</v>
      </c>
      <c r="D8" s="119">
        <v>1</v>
      </c>
      <c r="E8" s="119" t="s">
        <v>3</v>
      </c>
      <c r="F8" s="119" t="s">
        <v>3</v>
      </c>
      <c r="G8" s="119" t="s">
        <v>4</v>
      </c>
      <c r="H8" s="119" t="s">
        <v>3</v>
      </c>
      <c r="I8" s="119" t="s">
        <v>5</v>
      </c>
      <c r="J8" s="119" t="s">
        <v>5</v>
      </c>
      <c r="K8" s="119" t="s">
        <v>2</v>
      </c>
      <c r="L8" s="119" t="s">
        <v>2</v>
      </c>
      <c r="M8" s="119" t="s">
        <v>3</v>
      </c>
      <c r="N8" s="119" t="s">
        <v>3</v>
      </c>
      <c r="O8" s="119" t="s">
        <v>4</v>
      </c>
      <c r="P8" s="119" t="s">
        <v>5</v>
      </c>
      <c r="Q8" s="119" t="s">
        <v>5</v>
      </c>
      <c r="R8" s="119" t="s">
        <v>3</v>
      </c>
      <c r="S8" s="119" t="s">
        <v>2</v>
      </c>
      <c r="T8" s="119" t="s">
        <v>2</v>
      </c>
      <c r="U8" s="119" t="s">
        <v>2</v>
      </c>
      <c r="V8" s="119" t="s">
        <v>2</v>
      </c>
      <c r="W8" s="119" t="s">
        <v>5</v>
      </c>
      <c r="X8" s="119" t="s">
        <v>4</v>
      </c>
      <c r="Y8" s="119" t="s">
        <v>4</v>
      </c>
      <c r="Z8" s="119" t="s">
        <v>4</v>
      </c>
      <c r="AA8" s="119" t="s">
        <v>3</v>
      </c>
      <c r="AB8" s="119" t="s">
        <v>4</v>
      </c>
      <c r="AC8" s="119" t="s">
        <v>4</v>
      </c>
      <c r="AD8" s="119" t="s">
        <v>4</v>
      </c>
      <c r="AE8" s="119" t="s">
        <v>4</v>
      </c>
      <c r="AF8" s="119" t="s">
        <v>4</v>
      </c>
      <c r="AG8" s="119" t="s">
        <v>4</v>
      </c>
      <c r="AH8" s="119" t="s">
        <v>3</v>
      </c>
      <c r="AI8" s="119" t="s">
        <v>4</v>
      </c>
      <c r="AJ8" s="119" t="s">
        <v>3</v>
      </c>
      <c r="AK8" s="119" t="s">
        <v>4</v>
      </c>
      <c r="AL8" s="119" t="s">
        <v>4</v>
      </c>
      <c r="AM8" s="119" t="s">
        <v>3</v>
      </c>
      <c r="AN8" s="119" t="s">
        <v>3</v>
      </c>
    </row>
    <row r="9" spans="1:40" x14ac:dyDescent="0.3">
      <c r="A9" s="119">
        <f t="shared" si="0"/>
        <v>8</v>
      </c>
      <c r="B9" s="119" t="s">
        <v>256</v>
      </c>
      <c r="C9" s="119" t="s">
        <v>537</v>
      </c>
      <c r="D9" s="119">
        <v>1</v>
      </c>
      <c r="E9" s="119" t="s">
        <v>3</v>
      </c>
      <c r="F9" s="119" t="s">
        <v>5</v>
      </c>
      <c r="G9" s="119" t="s">
        <v>3</v>
      </c>
      <c r="H9" s="119" t="s">
        <v>5</v>
      </c>
      <c r="I9" s="119" t="s">
        <v>5</v>
      </c>
      <c r="J9" s="119" t="s">
        <v>5</v>
      </c>
      <c r="K9" s="119" t="s">
        <v>5</v>
      </c>
      <c r="L9" s="119" t="s">
        <v>2</v>
      </c>
      <c r="M9" s="119" t="s">
        <v>3</v>
      </c>
      <c r="N9" s="119" t="s">
        <v>3</v>
      </c>
      <c r="O9" s="119" t="s">
        <v>3</v>
      </c>
      <c r="P9" s="119" t="s">
        <v>4</v>
      </c>
      <c r="Q9" s="119" t="s">
        <v>5</v>
      </c>
      <c r="R9" s="119" t="s">
        <v>3</v>
      </c>
      <c r="S9" s="119" t="s">
        <v>4</v>
      </c>
      <c r="T9" s="119" t="s">
        <v>5</v>
      </c>
      <c r="U9" s="119" t="s">
        <v>5</v>
      </c>
      <c r="V9" s="119" t="s">
        <v>5</v>
      </c>
      <c r="W9" s="119" t="s">
        <v>3</v>
      </c>
      <c r="X9" s="119" t="s">
        <v>4</v>
      </c>
      <c r="Y9" s="119" t="s">
        <v>3</v>
      </c>
      <c r="Z9" s="119" t="s">
        <v>2</v>
      </c>
      <c r="AA9" s="119" t="s">
        <v>3</v>
      </c>
      <c r="AB9" s="119" t="s">
        <v>4</v>
      </c>
      <c r="AC9" s="119" t="s">
        <v>4</v>
      </c>
      <c r="AD9" s="119" t="s">
        <v>4</v>
      </c>
      <c r="AE9" s="119" t="s">
        <v>4</v>
      </c>
      <c r="AF9" s="119" t="s">
        <v>4</v>
      </c>
      <c r="AG9" s="119" t="s">
        <v>4</v>
      </c>
      <c r="AH9" s="119" t="s">
        <v>3</v>
      </c>
      <c r="AI9" s="119" t="s">
        <v>4</v>
      </c>
      <c r="AJ9" s="119" t="s">
        <v>3</v>
      </c>
      <c r="AK9" s="119" t="s">
        <v>4</v>
      </c>
      <c r="AL9" s="119" t="s">
        <v>4</v>
      </c>
      <c r="AM9" s="119" t="s">
        <v>4</v>
      </c>
      <c r="AN9" s="119" t="s">
        <v>3</v>
      </c>
    </row>
    <row r="10" spans="1:40" x14ac:dyDescent="0.3">
      <c r="A10" s="119">
        <f t="shared" si="0"/>
        <v>9</v>
      </c>
      <c r="B10" s="119" t="s">
        <v>257</v>
      </c>
      <c r="C10" s="119" t="s">
        <v>537</v>
      </c>
      <c r="D10" s="119">
        <v>1</v>
      </c>
      <c r="E10" s="119" t="s">
        <v>3</v>
      </c>
      <c r="F10" s="119" t="s">
        <v>3</v>
      </c>
      <c r="G10" s="119" t="s">
        <v>2</v>
      </c>
      <c r="H10" s="119" t="s">
        <v>3</v>
      </c>
      <c r="I10" s="119" t="s">
        <v>5</v>
      </c>
      <c r="J10" s="119" t="s">
        <v>5</v>
      </c>
      <c r="K10" s="119" t="s">
        <v>5</v>
      </c>
      <c r="L10" s="119" t="s">
        <v>2</v>
      </c>
      <c r="M10" s="119" t="s">
        <v>2</v>
      </c>
      <c r="N10" s="119" t="s">
        <v>2</v>
      </c>
      <c r="O10" s="119" t="s">
        <v>3</v>
      </c>
      <c r="P10" s="119" t="s">
        <v>2</v>
      </c>
      <c r="Q10" s="119" t="s">
        <v>5</v>
      </c>
      <c r="R10" s="119" t="s">
        <v>3</v>
      </c>
      <c r="S10" s="119" t="s">
        <v>3</v>
      </c>
      <c r="T10" s="119" t="s">
        <v>5</v>
      </c>
      <c r="U10" s="119" t="s">
        <v>5</v>
      </c>
      <c r="V10" s="119" t="s">
        <v>5</v>
      </c>
      <c r="W10" s="119" t="s">
        <v>2</v>
      </c>
      <c r="X10" s="119" t="s">
        <v>4</v>
      </c>
      <c r="Y10" s="119" t="s">
        <v>3</v>
      </c>
      <c r="Z10" s="119" t="s">
        <v>4</v>
      </c>
      <c r="AA10" s="119" t="s">
        <v>3</v>
      </c>
      <c r="AB10" s="119" t="s">
        <v>4</v>
      </c>
      <c r="AC10" s="119" t="s">
        <v>4</v>
      </c>
      <c r="AD10" s="119" t="s">
        <v>4</v>
      </c>
      <c r="AE10" s="119" t="s">
        <v>4</v>
      </c>
      <c r="AF10" s="119" t="s">
        <v>4</v>
      </c>
      <c r="AG10" s="119" t="s">
        <v>4</v>
      </c>
      <c r="AH10" s="119" t="s">
        <v>3</v>
      </c>
      <c r="AI10" s="119" t="s">
        <v>4</v>
      </c>
      <c r="AJ10" s="119" t="s">
        <v>3</v>
      </c>
      <c r="AK10" s="119" t="s">
        <v>4</v>
      </c>
      <c r="AL10" s="119" t="s">
        <v>4</v>
      </c>
      <c r="AM10" s="119" t="s">
        <v>4</v>
      </c>
      <c r="AN10" s="119" t="s">
        <v>3</v>
      </c>
    </row>
    <row r="11" spans="1:40" x14ac:dyDescent="0.3">
      <c r="A11" s="119">
        <f>ROW()-1</f>
        <v>10</v>
      </c>
      <c r="B11" s="119" t="s">
        <v>258</v>
      </c>
      <c r="C11" s="119" t="s">
        <v>537</v>
      </c>
      <c r="D11" s="119">
        <v>1</v>
      </c>
      <c r="E11" s="119" t="s">
        <v>3</v>
      </c>
      <c r="F11" s="119" t="s">
        <v>5</v>
      </c>
      <c r="G11" s="119" t="s">
        <v>2</v>
      </c>
      <c r="H11" s="119" t="s">
        <v>5</v>
      </c>
      <c r="I11" s="119" t="s">
        <v>5</v>
      </c>
      <c r="J11" s="119" t="s">
        <v>5</v>
      </c>
      <c r="K11" s="119" t="s">
        <v>5</v>
      </c>
      <c r="L11" s="119" t="s">
        <v>2</v>
      </c>
      <c r="M11" s="119" t="s">
        <v>3</v>
      </c>
      <c r="N11" s="119" t="s">
        <v>3</v>
      </c>
      <c r="O11" s="119" t="s">
        <v>2</v>
      </c>
      <c r="P11" s="119" t="s">
        <v>4</v>
      </c>
      <c r="Q11" s="119" t="s">
        <v>2</v>
      </c>
      <c r="R11" s="119" t="s">
        <v>3</v>
      </c>
      <c r="S11" s="119" t="s">
        <v>4</v>
      </c>
      <c r="T11" s="119" t="s">
        <v>2</v>
      </c>
      <c r="U11" s="119" t="s">
        <v>2</v>
      </c>
      <c r="V11" s="119" t="s">
        <v>2</v>
      </c>
      <c r="W11" s="119" t="s">
        <v>5</v>
      </c>
      <c r="X11" s="119" t="s">
        <v>4</v>
      </c>
      <c r="Y11" s="119" t="s">
        <v>4</v>
      </c>
      <c r="Z11" s="119" t="s">
        <v>2</v>
      </c>
      <c r="AA11" s="119" t="s">
        <v>3</v>
      </c>
      <c r="AB11" s="119" t="s">
        <v>4</v>
      </c>
      <c r="AC11" s="119" t="s">
        <v>4</v>
      </c>
      <c r="AD11" s="119" t="s">
        <v>4</v>
      </c>
      <c r="AE11" s="119" t="s">
        <v>4</v>
      </c>
      <c r="AF11" s="119" t="s">
        <v>4</v>
      </c>
      <c r="AG11" s="119" t="s">
        <v>4</v>
      </c>
      <c r="AH11" s="119" t="s">
        <v>3</v>
      </c>
      <c r="AI11" s="119" t="s">
        <v>4</v>
      </c>
      <c r="AJ11" s="119" t="s">
        <v>3</v>
      </c>
      <c r="AK11" s="119" t="s">
        <v>4</v>
      </c>
      <c r="AL11" s="119" t="s">
        <v>4</v>
      </c>
      <c r="AM11" s="119" t="s">
        <v>4</v>
      </c>
      <c r="AN11" s="119" t="s">
        <v>3</v>
      </c>
    </row>
    <row r="12" spans="1:40" x14ac:dyDescent="0.3">
      <c r="A12" s="119">
        <f t="shared" si="0"/>
        <v>11</v>
      </c>
      <c r="B12" s="119" t="s">
        <v>457</v>
      </c>
      <c r="C12" s="119" t="s">
        <v>537</v>
      </c>
      <c r="D12" s="119">
        <v>1</v>
      </c>
      <c r="E12" s="119" t="s">
        <v>4</v>
      </c>
      <c r="F12" s="119" t="s">
        <v>2</v>
      </c>
      <c r="G12" s="119" t="s">
        <v>3</v>
      </c>
      <c r="H12" s="119" t="s">
        <v>3</v>
      </c>
      <c r="I12" s="119" t="s">
        <v>5</v>
      </c>
      <c r="J12" s="119" t="s">
        <v>5</v>
      </c>
      <c r="K12" s="119" t="s">
        <v>5</v>
      </c>
      <c r="L12" s="119" t="s">
        <v>2</v>
      </c>
      <c r="M12" s="119" t="s">
        <v>3</v>
      </c>
      <c r="N12" s="119" t="s">
        <v>3</v>
      </c>
      <c r="O12" s="119" t="s">
        <v>4</v>
      </c>
      <c r="P12" s="119" t="s">
        <v>2</v>
      </c>
      <c r="Q12" s="119" t="s">
        <v>5</v>
      </c>
      <c r="R12" s="119" t="s">
        <v>3</v>
      </c>
      <c r="S12" s="119" t="s">
        <v>3</v>
      </c>
      <c r="T12" s="119" t="s">
        <v>5</v>
      </c>
      <c r="U12" s="119" t="s">
        <v>5</v>
      </c>
      <c r="V12" s="119" t="s">
        <v>5</v>
      </c>
      <c r="W12" s="119" t="s">
        <v>4</v>
      </c>
      <c r="X12" s="119" t="s">
        <v>4</v>
      </c>
      <c r="Y12" s="119" t="s">
        <v>4</v>
      </c>
      <c r="Z12" s="119" t="s">
        <v>4</v>
      </c>
      <c r="AA12" s="119" t="s">
        <v>3</v>
      </c>
      <c r="AB12" s="119" t="s">
        <v>3</v>
      </c>
      <c r="AC12" s="119" t="s">
        <v>3</v>
      </c>
      <c r="AD12" s="119" t="s">
        <v>4</v>
      </c>
      <c r="AE12" s="119" t="s">
        <v>4</v>
      </c>
      <c r="AF12" s="119" t="s">
        <v>4</v>
      </c>
      <c r="AG12" s="119" t="s">
        <v>4</v>
      </c>
      <c r="AH12" s="119" t="s">
        <v>3</v>
      </c>
      <c r="AI12" s="119" t="s">
        <v>4</v>
      </c>
      <c r="AJ12" s="119" t="s">
        <v>3</v>
      </c>
      <c r="AK12" s="119" t="s">
        <v>4</v>
      </c>
      <c r="AL12" s="119" t="s">
        <v>4</v>
      </c>
      <c r="AM12" s="119" t="s">
        <v>4</v>
      </c>
      <c r="AN12" s="119" t="s">
        <v>3</v>
      </c>
    </row>
    <row r="13" spans="1:40" x14ac:dyDescent="0.3">
      <c r="A13" s="119">
        <f t="shared" si="0"/>
        <v>12</v>
      </c>
      <c r="B13" s="119" t="s">
        <v>458</v>
      </c>
      <c r="C13" s="119" t="s">
        <v>537</v>
      </c>
      <c r="D13" s="119">
        <v>1</v>
      </c>
      <c r="E13" s="119" t="s">
        <v>5</v>
      </c>
      <c r="F13" s="119" t="s">
        <v>3</v>
      </c>
      <c r="G13" s="119" t="s">
        <v>4</v>
      </c>
      <c r="H13" s="119" t="s">
        <v>5</v>
      </c>
      <c r="I13" s="119" t="s">
        <v>5</v>
      </c>
      <c r="J13" s="119" t="s">
        <v>5</v>
      </c>
      <c r="K13" s="119" t="s">
        <v>5</v>
      </c>
      <c r="L13" s="119" t="s">
        <v>2</v>
      </c>
      <c r="M13" s="119" t="s">
        <v>2</v>
      </c>
      <c r="N13" s="119" t="s">
        <v>3</v>
      </c>
      <c r="O13" s="119" t="s">
        <v>3</v>
      </c>
      <c r="P13" s="119" t="s">
        <v>2</v>
      </c>
      <c r="Q13" s="119" t="s">
        <v>2</v>
      </c>
      <c r="R13" s="119" t="s">
        <v>3</v>
      </c>
      <c r="S13" s="119" t="s">
        <v>2</v>
      </c>
      <c r="T13" s="119" t="s">
        <v>5</v>
      </c>
      <c r="U13" s="119" t="s">
        <v>2</v>
      </c>
      <c r="V13" s="119" t="s">
        <v>5</v>
      </c>
      <c r="W13" s="119" t="s">
        <v>5</v>
      </c>
      <c r="X13" s="119" t="s">
        <v>4</v>
      </c>
      <c r="Y13" s="119" t="s">
        <v>4</v>
      </c>
      <c r="Z13" s="119" t="s">
        <v>2</v>
      </c>
      <c r="AA13" s="119" t="s">
        <v>3</v>
      </c>
      <c r="AB13" s="119" t="s">
        <v>3</v>
      </c>
      <c r="AC13" s="119" t="s">
        <v>3</v>
      </c>
      <c r="AD13" s="119" t="s">
        <v>4</v>
      </c>
      <c r="AE13" s="119" t="s">
        <v>4</v>
      </c>
      <c r="AF13" s="119" t="s">
        <v>4</v>
      </c>
      <c r="AG13" s="119" t="s">
        <v>4</v>
      </c>
      <c r="AH13" s="119" t="s">
        <v>3</v>
      </c>
      <c r="AI13" s="119" t="s">
        <v>4</v>
      </c>
      <c r="AJ13" s="119" t="s">
        <v>3</v>
      </c>
      <c r="AK13" s="119" t="s">
        <v>4</v>
      </c>
      <c r="AL13" s="119" t="s">
        <v>4</v>
      </c>
      <c r="AM13" s="119" t="s">
        <v>3</v>
      </c>
      <c r="AN13" s="119" t="s">
        <v>3</v>
      </c>
    </row>
    <row r="14" spans="1:40" x14ac:dyDescent="0.3">
      <c r="A14" s="119">
        <f t="shared" si="0"/>
        <v>13</v>
      </c>
      <c r="B14" s="119" t="s">
        <v>459</v>
      </c>
      <c r="C14" s="119" t="s">
        <v>537</v>
      </c>
      <c r="D14" s="119">
        <v>1</v>
      </c>
      <c r="E14" s="119" t="s">
        <v>5</v>
      </c>
      <c r="F14" s="119" t="s">
        <v>5</v>
      </c>
      <c r="G14" s="119" t="s">
        <v>4</v>
      </c>
      <c r="H14" s="119" t="s">
        <v>5</v>
      </c>
      <c r="I14" s="119" t="s">
        <v>5</v>
      </c>
      <c r="J14" s="119" t="s">
        <v>5</v>
      </c>
      <c r="K14" s="119" t="s">
        <v>5</v>
      </c>
      <c r="L14" s="119" t="s">
        <v>2</v>
      </c>
      <c r="M14" s="119" t="s">
        <v>3</v>
      </c>
      <c r="N14" s="119" t="s">
        <v>4</v>
      </c>
      <c r="O14" s="119" t="s">
        <v>3</v>
      </c>
      <c r="P14" s="119" t="s">
        <v>3</v>
      </c>
      <c r="Q14" s="119" t="s">
        <v>5</v>
      </c>
      <c r="R14" s="119" t="s">
        <v>3</v>
      </c>
      <c r="S14" s="119" t="s">
        <v>3</v>
      </c>
      <c r="T14" s="119" t="s">
        <v>5</v>
      </c>
      <c r="U14" s="119" t="s">
        <v>3</v>
      </c>
      <c r="V14" s="119" t="s">
        <v>2</v>
      </c>
      <c r="W14" s="119" t="s">
        <v>5</v>
      </c>
      <c r="X14" s="119" t="s">
        <v>4</v>
      </c>
      <c r="Y14" s="119" t="s">
        <v>3</v>
      </c>
      <c r="Z14" s="119" t="s">
        <v>2</v>
      </c>
      <c r="AA14" s="119" t="s">
        <v>3</v>
      </c>
      <c r="AB14" s="119" t="s">
        <v>3</v>
      </c>
      <c r="AC14" s="119" t="s">
        <v>3</v>
      </c>
      <c r="AD14" s="119" t="s">
        <v>4</v>
      </c>
      <c r="AE14" s="119" t="s">
        <v>4</v>
      </c>
      <c r="AF14" s="119" t="s">
        <v>4</v>
      </c>
      <c r="AG14" s="119" t="s">
        <v>4</v>
      </c>
      <c r="AH14" s="119" t="s">
        <v>3</v>
      </c>
      <c r="AI14" s="119" t="s">
        <v>4</v>
      </c>
      <c r="AJ14" s="119" t="s">
        <v>3</v>
      </c>
      <c r="AK14" s="119" t="s">
        <v>3</v>
      </c>
      <c r="AL14" s="119" t="s">
        <v>4</v>
      </c>
      <c r="AM14" s="119" t="s">
        <v>4</v>
      </c>
      <c r="AN14" s="119" t="s">
        <v>3</v>
      </c>
    </row>
    <row r="15" spans="1:40" x14ac:dyDescent="0.3">
      <c r="A15" s="119">
        <f t="shared" si="0"/>
        <v>14</v>
      </c>
      <c r="B15" s="119" t="s">
        <v>11</v>
      </c>
      <c r="C15" s="119" t="s">
        <v>537</v>
      </c>
      <c r="D15" s="119">
        <v>2</v>
      </c>
      <c r="E15" s="119" t="s">
        <v>4</v>
      </c>
      <c r="F15" s="119" t="s">
        <v>5</v>
      </c>
      <c r="G15" s="119" t="s">
        <v>3</v>
      </c>
      <c r="H15" s="119" t="s">
        <v>3</v>
      </c>
      <c r="I15" s="119" t="s">
        <v>5</v>
      </c>
      <c r="J15" s="119" t="s">
        <v>5</v>
      </c>
      <c r="K15" s="119" t="s">
        <v>5</v>
      </c>
      <c r="L15" s="119" t="s">
        <v>2</v>
      </c>
      <c r="M15" s="119" t="s">
        <v>2</v>
      </c>
      <c r="N15" s="119" t="s">
        <v>3</v>
      </c>
      <c r="O15" s="119" t="s">
        <v>4</v>
      </c>
      <c r="P15" s="119" t="s">
        <v>2</v>
      </c>
      <c r="Q15" s="119" t="s">
        <v>5</v>
      </c>
      <c r="R15" s="119" t="s">
        <v>3</v>
      </c>
      <c r="S15" s="119" t="s">
        <v>4</v>
      </c>
      <c r="T15" s="119" t="s">
        <v>5</v>
      </c>
      <c r="U15" s="119" t="s">
        <v>5</v>
      </c>
      <c r="V15" s="119" t="s">
        <v>5</v>
      </c>
      <c r="W15" s="119" t="s">
        <v>4</v>
      </c>
      <c r="X15" s="119" t="s">
        <v>4</v>
      </c>
      <c r="Y15" s="119" t="s">
        <v>4</v>
      </c>
      <c r="Z15" s="119" t="s">
        <v>4</v>
      </c>
      <c r="AA15" s="119" t="s">
        <v>3</v>
      </c>
      <c r="AB15" s="119" t="s">
        <v>4</v>
      </c>
      <c r="AC15" s="119" t="s">
        <v>4</v>
      </c>
      <c r="AD15" s="119" t="s">
        <v>4</v>
      </c>
      <c r="AE15" s="119" t="s">
        <v>4</v>
      </c>
      <c r="AF15" s="119" t="s">
        <v>4</v>
      </c>
      <c r="AG15" s="119" t="s">
        <v>4</v>
      </c>
      <c r="AH15" s="119" t="s">
        <v>3</v>
      </c>
      <c r="AI15" s="119" t="s">
        <v>4</v>
      </c>
      <c r="AJ15" s="119" t="s">
        <v>4</v>
      </c>
      <c r="AK15" s="119" t="s">
        <v>4</v>
      </c>
      <c r="AL15" s="119" t="s">
        <v>4</v>
      </c>
      <c r="AM15" s="119" t="s">
        <v>3</v>
      </c>
      <c r="AN15" s="119" t="s">
        <v>3</v>
      </c>
    </row>
    <row r="16" spans="1:40" x14ac:dyDescent="0.3">
      <c r="A16" s="119">
        <f t="shared" si="0"/>
        <v>15</v>
      </c>
      <c r="B16" s="119" t="s">
        <v>12</v>
      </c>
      <c r="C16" s="119" t="s">
        <v>537</v>
      </c>
      <c r="D16" s="119">
        <v>2</v>
      </c>
      <c r="E16" s="119" t="s">
        <v>5</v>
      </c>
      <c r="F16" s="119" t="s">
        <v>3</v>
      </c>
      <c r="G16" s="119" t="s">
        <v>4</v>
      </c>
      <c r="H16" s="119" t="s">
        <v>3</v>
      </c>
      <c r="I16" s="119" t="s">
        <v>5</v>
      </c>
      <c r="J16" s="119" t="s">
        <v>5</v>
      </c>
      <c r="K16" s="119" t="s">
        <v>3</v>
      </c>
      <c r="L16" s="119" t="s">
        <v>4</v>
      </c>
      <c r="M16" s="119" t="s">
        <v>3</v>
      </c>
      <c r="N16" s="119" t="s">
        <v>3</v>
      </c>
      <c r="O16" s="119" t="s">
        <v>4</v>
      </c>
      <c r="P16" s="119" t="s">
        <v>4</v>
      </c>
      <c r="Q16" s="119" t="s">
        <v>5</v>
      </c>
      <c r="R16" s="119" t="s">
        <v>3</v>
      </c>
      <c r="S16" s="119" t="s">
        <v>4</v>
      </c>
      <c r="T16" s="119" t="s">
        <v>5</v>
      </c>
      <c r="U16" s="119" t="s">
        <v>5</v>
      </c>
      <c r="V16" s="119" t="s">
        <v>5</v>
      </c>
      <c r="W16" s="119" t="s">
        <v>4</v>
      </c>
      <c r="X16" s="119" t="s">
        <v>4</v>
      </c>
      <c r="Y16" s="119" t="s">
        <v>4</v>
      </c>
      <c r="Z16" s="119" t="s">
        <v>4</v>
      </c>
      <c r="AA16" s="119" t="s">
        <v>3</v>
      </c>
      <c r="AB16" s="119" t="s">
        <v>4</v>
      </c>
      <c r="AC16" s="119" t="s">
        <v>4</v>
      </c>
      <c r="AD16" s="119" t="s">
        <v>4</v>
      </c>
      <c r="AE16" s="119" t="s">
        <v>4</v>
      </c>
      <c r="AF16" s="119" t="s">
        <v>4</v>
      </c>
      <c r="AG16" s="119" t="s">
        <v>4</v>
      </c>
      <c r="AH16" s="119" t="s">
        <v>3</v>
      </c>
      <c r="AI16" s="119" t="s">
        <v>4</v>
      </c>
      <c r="AJ16" s="119" t="s">
        <v>3</v>
      </c>
      <c r="AK16" s="119" t="s">
        <v>4</v>
      </c>
      <c r="AL16" s="119" t="s">
        <v>4</v>
      </c>
      <c r="AM16" s="119" t="s">
        <v>4</v>
      </c>
      <c r="AN16" s="119" t="s">
        <v>3</v>
      </c>
    </row>
    <row r="17" spans="1:40" x14ac:dyDescent="0.3">
      <c r="A17" s="119">
        <f t="shared" si="0"/>
        <v>16</v>
      </c>
      <c r="B17" s="119" t="s">
        <v>13</v>
      </c>
      <c r="C17" s="119" t="s">
        <v>537</v>
      </c>
      <c r="D17" s="119">
        <v>2</v>
      </c>
      <c r="E17" s="119" t="s">
        <v>5</v>
      </c>
      <c r="F17" s="119" t="s">
        <v>5</v>
      </c>
      <c r="G17" s="119" t="s">
        <v>2</v>
      </c>
      <c r="H17" s="119" t="s">
        <v>2</v>
      </c>
      <c r="I17" s="119" t="s">
        <v>5</v>
      </c>
      <c r="J17" s="119" t="s">
        <v>5</v>
      </c>
      <c r="K17" s="119" t="s">
        <v>2</v>
      </c>
      <c r="L17" s="119" t="s">
        <v>2</v>
      </c>
      <c r="M17" s="119" t="s">
        <v>2</v>
      </c>
      <c r="N17" s="119" t="s">
        <v>4</v>
      </c>
      <c r="O17" s="119" t="s">
        <v>4</v>
      </c>
      <c r="P17" s="119" t="s">
        <v>4</v>
      </c>
      <c r="Q17" s="119" t="s">
        <v>5</v>
      </c>
      <c r="R17" s="119" t="s">
        <v>4</v>
      </c>
      <c r="S17" s="119" t="s">
        <v>5</v>
      </c>
      <c r="T17" s="119" t="s">
        <v>5</v>
      </c>
      <c r="U17" s="119" t="s">
        <v>5</v>
      </c>
      <c r="V17" s="119" t="s">
        <v>5</v>
      </c>
      <c r="W17" s="119" t="s">
        <v>5</v>
      </c>
      <c r="X17" s="119" t="s">
        <v>4</v>
      </c>
      <c r="Y17" s="119" t="s">
        <v>3</v>
      </c>
      <c r="Z17" s="119" t="s">
        <v>2</v>
      </c>
      <c r="AA17" s="119" t="s">
        <v>3</v>
      </c>
      <c r="AB17" s="119" t="s">
        <v>4</v>
      </c>
      <c r="AC17" s="119" t="s">
        <v>4</v>
      </c>
      <c r="AD17" s="119" t="s">
        <v>4</v>
      </c>
      <c r="AE17" s="119" t="s">
        <v>4</v>
      </c>
      <c r="AF17" s="119" t="s">
        <v>4</v>
      </c>
      <c r="AG17" s="119" t="s">
        <v>4</v>
      </c>
      <c r="AH17" s="119" t="s">
        <v>4</v>
      </c>
      <c r="AI17" s="119" t="s">
        <v>4</v>
      </c>
      <c r="AJ17" s="119" t="s">
        <v>3</v>
      </c>
      <c r="AK17" s="119" t="s">
        <v>4</v>
      </c>
      <c r="AL17" s="119" t="s">
        <v>4</v>
      </c>
      <c r="AM17" s="119" t="s">
        <v>4</v>
      </c>
      <c r="AN17" s="119" t="s">
        <v>4</v>
      </c>
    </row>
    <row r="18" spans="1:40" x14ac:dyDescent="0.3">
      <c r="A18" s="119">
        <f t="shared" si="0"/>
        <v>17</v>
      </c>
      <c r="B18" s="119" t="s">
        <v>14</v>
      </c>
      <c r="C18" s="119" t="s">
        <v>537</v>
      </c>
      <c r="D18" s="119">
        <v>2</v>
      </c>
      <c r="E18" s="119" t="s">
        <v>5</v>
      </c>
      <c r="F18" s="119" t="s">
        <v>5</v>
      </c>
      <c r="G18" s="119" t="s">
        <v>3</v>
      </c>
      <c r="H18" s="119" t="s">
        <v>5</v>
      </c>
      <c r="I18" s="119" t="s">
        <v>5</v>
      </c>
      <c r="J18" s="119" t="s">
        <v>5</v>
      </c>
      <c r="K18" s="119" t="s">
        <v>5</v>
      </c>
      <c r="L18" s="119" t="s">
        <v>2</v>
      </c>
      <c r="M18" s="119" t="s">
        <v>2</v>
      </c>
      <c r="N18" s="119" t="s">
        <v>4</v>
      </c>
      <c r="O18" s="119" t="s">
        <v>4</v>
      </c>
      <c r="P18" s="119" t="s">
        <v>2</v>
      </c>
      <c r="Q18" s="119" t="s">
        <v>5</v>
      </c>
      <c r="R18" s="119" t="s">
        <v>4</v>
      </c>
      <c r="S18" s="119" t="s">
        <v>2</v>
      </c>
      <c r="T18" s="119" t="s">
        <v>5</v>
      </c>
      <c r="U18" s="119" t="s">
        <v>3</v>
      </c>
      <c r="V18" s="119" t="s">
        <v>4</v>
      </c>
      <c r="W18" s="119" t="s">
        <v>5</v>
      </c>
      <c r="X18" s="119" t="s">
        <v>2</v>
      </c>
      <c r="Y18" s="119" t="s">
        <v>4</v>
      </c>
      <c r="Z18" s="119" t="s">
        <v>4</v>
      </c>
      <c r="AA18" s="119" t="s">
        <v>3</v>
      </c>
      <c r="AB18" s="119" t="s">
        <v>4</v>
      </c>
      <c r="AC18" s="119" t="s">
        <v>4</v>
      </c>
      <c r="AD18" s="119" t="s">
        <v>4</v>
      </c>
      <c r="AE18" s="119" t="s">
        <v>4</v>
      </c>
      <c r="AF18" s="119" t="s">
        <v>4</v>
      </c>
      <c r="AG18" s="119" t="s">
        <v>4</v>
      </c>
      <c r="AH18" s="119" t="s">
        <v>3</v>
      </c>
      <c r="AI18" s="119" t="s">
        <v>4</v>
      </c>
      <c r="AJ18" s="119" t="s">
        <v>3</v>
      </c>
      <c r="AK18" s="119" t="s">
        <v>4</v>
      </c>
      <c r="AL18" s="119" t="s">
        <v>4</v>
      </c>
      <c r="AM18" s="119" t="s">
        <v>4</v>
      </c>
      <c r="AN18" s="119" t="s">
        <v>3</v>
      </c>
    </row>
    <row r="19" spans="1:40" x14ac:dyDescent="0.3">
      <c r="A19" s="119">
        <f t="shared" si="0"/>
        <v>18</v>
      </c>
      <c r="B19" s="119" t="s">
        <v>15</v>
      </c>
      <c r="C19" s="119" t="s">
        <v>537</v>
      </c>
      <c r="D19" s="119">
        <v>2</v>
      </c>
      <c r="E19" s="119" t="s">
        <v>2</v>
      </c>
      <c r="F19" s="119" t="s">
        <v>5</v>
      </c>
      <c r="G19" s="119" t="s">
        <v>4</v>
      </c>
      <c r="H19" s="119" t="s">
        <v>5</v>
      </c>
      <c r="I19" s="119" t="s">
        <v>5</v>
      </c>
      <c r="J19" s="119" t="s">
        <v>5</v>
      </c>
      <c r="K19" s="119" t="s">
        <v>2</v>
      </c>
      <c r="L19" s="119" t="s">
        <v>2</v>
      </c>
      <c r="M19" s="119" t="s">
        <v>3</v>
      </c>
      <c r="N19" s="119" t="s">
        <v>4</v>
      </c>
      <c r="O19" s="119" t="s">
        <v>4</v>
      </c>
      <c r="P19" s="119" t="s">
        <v>5</v>
      </c>
      <c r="Q19" s="119" t="s">
        <v>5</v>
      </c>
      <c r="R19" s="119" t="s">
        <v>4</v>
      </c>
      <c r="S19" s="119" t="s">
        <v>5</v>
      </c>
      <c r="T19" s="119" t="s">
        <v>5</v>
      </c>
      <c r="U19" s="119" t="s">
        <v>2</v>
      </c>
      <c r="V19" s="119" t="s">
        <v>5</v>
      </c>
      <c r="W19" s="119" t="s">
        <v>5</v>
      </c>
      <c r="X19" s="119" t="s">
        <v>4</v>
      </c>
      <c r="Y19" s="119" t="s">
        <v>4</v>
      </c>
      <c r="Z19" s="119" t="s">
        <v>4</v>
      </c>
      <c r="AA19" s="119" t="s">
        <v>3</v>
      </c>
      <c r="AB19" s="119" t="s">
        <v>4</v>
      </c>
      <c r="AC19" s="119" t="s">
        <v>4</v>
      </c>
      <c r="AD19" s="119" t="s">
        <v>4</v>
      </c>
      <c r="AE19" s="119" t="s">
        <v>4</v>
      </c>
      <c r="AF19" s="119" t="s">
        <v>4</v>
      </c>
      <c r="AG19" s="119" t="s">
        <v>4</v>
      </c>
      <c r="AH19" s="119" t="s">
        <v>3</v>
      </c>
      <c r="AI19" s="119" t="s">
        <v>4</v>
      </c>
      <c r="AJ19" s="119" t="s">
        <v>3</v>
      </c>
      <c r="AK19" s="119" t="s">
        <v>4</v>
      </c>
      <c r="AL19" s="119" t="s">
        <v>4</v>
      </c>
      <c r="AM19" s="119" t="s">
        <v>4</v>
      </c>
      <c r="AN19" s="119" t="s">
        <v>3</v>
      </c>
    </row>
    <row r="20" spans="1:40" x14ac:dyDescent="0.3">
      <c r="A20" s="119">
        <f t="shared" si="0"/>
        <v>19</v>
      </c>
      <c r="B20" s="119" t="s">
        <v>16</v>
      </c>
      <c r="C20" s="119" t="s">
        <v>537</v>
      </c>
      <c r="D20" s="119">
        <v>2</v>
      </c>
      <c r="E20" s="119" t="s">
        <v>5</v>
      </c>
      <c r="F20" s="119" t="s">
        <v>5</v>
      </c>
      <c r="G20" s="119" t="s">
        <v>3</v>
      </c>
      <c r="H20" s="119" t="s">
        <v>5</v>
      </c>
      <c r="I20" s="119" t="s">
        <v>5</v>
      </c>
      <c r="J20" s="119" t="s">
        <v>5</v>
      </c>
      <c r="K20" s="119" t="s">
        <v>2</v>
      </c>
      <c r="L20" s="119" t="s">
        <v>2</v>
      </c>
      <c r="M20" s="119" t="s">
        <v>3</v>
      </c>
      <c r="N20" s="119" t="s">
        <v>2</v>
      </c>
      <c r="O20" s="119" t="s">
        <v>2</v>
      </c>
      <c r="P20" s="119" t="s">
        <v>3</v>
      </c>
      <c r="Q20" s="119" t="s">
        <v>5</v>
      </c>
      <c r="R20" s="119" t="s">
        <v>3</v>
      </c>
      <c r="S20" s="119" t="s">
        <v>4</v>
      </c>
      <c r="T20" s="119" t="s">
        <v>5</v>
      </c>
      <c r="U20" s="119" t="s">
        <v>5</v>
      </c>
      <c r="V20" s="119" t="s">
        <v>5</v>
      </c>
      <c r="W20" s="119" t="s">
        <v>5</v>
      </c>
      <c r="X20" s="119" t="s">
        <v>4</v>
      </c>
      <c r="Y20" s="119" t="s">
        <v>4</v>
      </c>
      <c r="Z20" s="119" t="s">
        <v>2</v>
      </c>
      <c r="AA20" s="119" t="s">
        <v>3</v>
      </c>
      <c r="AB20" s="119" t="s">
        <v>4</v>
      </c>
      <c r="AC20" s="119" t="s">
        <v>4</v>
      </c>
      <c r="AD20" s="119" t="s">
        <v>4</v>
      </c>
      <c r="AE20" s="119" t="s">
        <v>4</v>
      </c>
      <c r="AF20" s="119" t="s">
        <v>4</v>
      </c>
      <c r="AG20" s="119" t="s">
        <v>4</v>
      </c>
      <c r="AH20" s="119" t="s">
        <v>3</v>
      </c>
      <c r="AI20" s="119" t="s">
        <v>4</v>
      </c>
      <c r="AJ20" s="119" t="s">
        <v>4</v>
      </c>
      <c r="AK20" s="119" t="s">
        <v>4</v>
      </c>
      <c r="AL20" s="119" t="s">
        <v>4</v>
      </c>
      <c r="AM20" s="119" t="s">
        <v>3</v>
      </c>
      <c r="AN20" s="119" t="s">
        <v>4</v>
      </c>
    </row>
    <row r="21" spans="1:40" x14ac:dyDescent="0.3">
      <c r="A21" s="119">
        <f t="shared" si="0"/>
        <v>20</v>
      </c>
      <c r="B21" s="119" t="s">
        <v>259</v>
      </c>
      <c r="C21" s="119" t="s">
        <v>537</v>
      </c>
      <c r="D21" s="119">
        <v>2</v>
      </c>
      <c r="E21" s="119" t="s">
        <v>4</v>
      </c>
      <c r="F21" s="119" t="s">
        <v>5</v>
      </c>
      <c r="G21" s="119" t="s">
        <v>2</v>
      </c>
      <c r="H21" s="119" t="s">
        <v>5</v>
      </c>
      <c r="I21" s="119" t="s">
        <v>5</v>
      </c>
      <c r="J21" s="119" t="s">
        <v>5</v>
      </c>
      <c r="K21" s="119" t="s">
        <v>5</v>
      </c>
      <c r="L21" s="119" t="s">
        <v>2</v>
      </c>
      <c r="M21" s="119" t="s">
        <v>3</v>
      </c>
      <c r="N21" s="119" t="s">
        <v>2</v>
      </c>
      <c r="O21" s="119" t="s">
        <v>3</v>
      </c>
      <c r="P21" s="119" t="s">
        <v>5</v>
      </c>
      <c r="Q21" s="119" t="s">
        <v>5</v>
      </c>
      <c r="R21" s="119" t="s">
        <v>3</v>
      </c>
      <c r="S21" s="119" t="s">
        <v>3</v>
      </c>
      <c r="T21" s="119" t="s">
        <v>5</v>
      </c>
      <c r="U21" s="119" t="s">
        <v>5</v>
      </c>
      <c r="V21" s="119" t="s">
        <v>5</v>
      </c>
      <c r="W21" s="119" t="s">
        <v>5</v>
      </c>
      <c r="X21" s="119" t="s">
        <v>4</v>
      </c>
      <c r="Y21" s="119" t="s">
        <v>3</v>
      </c>
      <c r="Z21" s="119" t="s">
        <v>2</v>
      </c>
      <c r="AA21" s="119" t="s">
        <v>3</v>
      </c>
      <c r="AB21" s="119" t="s">
        <v>4</v>
      </c>
      <c r="AC21" s="119" t="s">
        <v>4</v>
      </c>
      <c r="AD21" s="119" t="s">
        <v>4</v>
      </c>
      <c r="AE21" s="119" t="s">
        <v>4</v>
      </c>
      <c r="AF21" s="119" t="s">
        <v>4</v>
      </c>
      <c r="AG21" s="119" t="s">
        <v>4</v>
      </c>
      <c r="AH21" s="119" t="s">
        <v>3</v>
      </c>
      <c r="AI21" s="119" t="s">
        <v>4</v>
      </c>
      <c r="AJ21" s="119" t="s">
        <v>3</v>
      </c>
      <c r="AK21" s="119" t="s">
        <v>4</v>
      </c>
      <c r="AL21" s="119" t="s">
        <v>4</v>
      </c>
      <c r="AM21" s="119" t="s">
        <v>3</v>
      </c>
      <c r="AN21" s="119" t="s">
        <v>3</v>
      </c>
    </row>
    <row r="22" spans="1:40" x14ac:dyDescent="0.3">
      <c r="A22" s="119">
        <f t="shared" si="0"/>
        <v>21</v>
      </c>
      <c r="B22" s="119" t="s">
        <v>260</v>
      </c>
      <c r="C22" s="119" t="s">
        <v>537</v>
      </c>
      <c r="D22" s="119">
        <v>2</v>
      </c>
      <c r="E22" s="119" t="s">
        <v>3</v>
      </c>
      <c r="F22" s="119" t="s">
        <v>5</v>
      </c>
      <c r="G22" s="119" t="s">
        <v>3</v>
      </c>
      <c r="H22" s="119" t="s">
        <v>5</v>
      </c>
      <c r="I22" s="119" t="s">
        <v>5</v>
      </c>
      <c r="J22" s="119" t="s">
        <v>5</v>
      </c>
      <c r="K22" s="119" t="s">
        <v>2</v>
      </c>
      <c r="L22" s="119" t="s">
        <v>2</v>
      </c>
      <c r="M22" s="119" t="s">
        <v>2</v>
      </c>
      <c r="N22" s="119" t="s">
        <v>2</v>
      </c>
      <c r="O22" s="119" t="s">
        <v>2</v>
      </c>
      <c r="P22" s="119" t="s">
        <v>2</v>
      </c>
      <c r="Q22" s="119" t="s">
        <v>5</v>
      </c>
      <c r="R22" s="119" t="s">
        <v>3</v>
      </c>
      <c r="S22" s="119" t="s">
        <v>3</v>
      </c>
      <c r="T22" s="119" t="s">
        <v>5</v>
      </c>
      <c r="U22" s="119" t="s">
        <v>5</v>
      </c>
      <c r="V22" s="119" t="s">
        <v>5</v>
      </c>
      <c r="W22" s="119" t="s">
        <v>5</v>
      </c>
      <c r="X22" s="119" t="s">
        <v>4</v>
      </c>
      <c r="Y22" s="119" t="s">
        <v>4</v>
      </c>
      <c r="Z22" s="119" t="s">
        <v>4</v>
      </c>
      <c r="AA22" s="119" t="s">
        <v>3</v>
      </c>
      <c r="AB22" s="119" t="s">
        <v>4</v>
      </c>
      <c r="AC22" s="119" t="s">
        <v>4</v>
      </c>
      <c r="AD22" s="119" t="s">
        <v>4</v>
      </c>
      <c r="AE22" s="119" t="s">
        <v>4</v>
      </c>
      <c r="AF22" s="119" t="s">
        <v>4</v>
      </c>
      <c r="AG22" s="119" t="s">
        <v>4</v>
      </c>
      <c r="AH22" s="119" t="s">
        <v>3</v>
      </c>
      <c r="AI22" s="119" t="s">
        <v>4</v>
      </c>
      <c r="AJ22" s="119" t="s">
        <v>3</v>
      </c>
      <c r="AK22" s="119" t="s">
        <v>4</v>
      </c>
      <c r="AL22" s="119" t="s">
        <v>4</v>
      </c>
      <c r="AM22" s="119" t="s">
        <v>4</v>
      </c>
      <c r="AN22" s="119" t="s">
        <v>3</v>
      </c>
    </row>
    <row r="23" spans="1:40" x14ac:dyDescent="0.3">
      <c r="A23" s="119">
        <f t="shared" si="0"/>
        <v>22</v>
      </c>
      <c r="B23" s="119" t="s">
        <v>261</v>
      </c>
      <c r="C23" s="119" t="s">
        <v>537</v>
      </c>
      <c r="D23" s="119">
        <v>2</v>
      </c>
      <c r="E23" s="119" t="s">
        <v>5</v>
      </c>
      <c r="F23" s="119" t="s">
        <v>3</v>
      </c>
      <c r="G23" s="119" t="s">
        <v>2</v>
      </c>
      <c r="H23" s="119" t="s">
        <v>2</v>
      </c>
      <c r="I23" s="119" t="s">
        <v>5</v>
      </c>
      <c r="J23" s="119" t="s">
        <v>5</v>
      </c>
      <c r="K23" s="119" t="s">
        <v>5</v>
      </c>
      <c r="L23" s="119" t="s">
        <v>2</v>
      </c>
      <c r="M23" s="119" t="s">
        <v>2</v>
      </c>
      <c r="N23" s="119" t="s">
        <v>2</v>
      </c>
      <c r="O23" s="119" t="s">
        <v>3</v>
      </c>
      <c r="P23" s="119" t="s">
        <v>2</v>
      </c>
      <c r="Q23" s="119" t="s">
        <v>5</v>
      </c>
      <c r="R23" s="119" t="s">
        <v>3</v>
      </c>
      <c r="S23" s="119" t="s">
        <v>2</v>
      </c>
      <c r="T23" s="119" t="s">
        <v>5</v>
      </c>
      <c r="U23" s="119" t="s">
        <v>2</v>
      </c>
      <c r="V23" s="119" t="s">
        <v>2</v>
      </c>
      <c r="W23" s="119" t="s">
        <v>2</v>
      </c>
      <c r="X23" s="119" t="s">
        <v>4</v>
      </c>
      <c r="Y23" s="119" t="s">
        <v>4</v>
      </c>
      <c r="Z23" s="119" t="s">
        <v>4</v>
      </c>
      <c r="AA23" s="119" t="s">
        <v>3</v>
      </c>
      <c r="AB23" s="119" t="s">
        <v>4</v>
      </c>
      <c r="AC23" s="119" t="s">
        <v>4</v>
      </c>
      <c r="AD23" s="119" t="s">
        <v>4</v>
      </c>
      <c r="AE23" s="119" t="s">
        <v>4</v>
      </c>
      <c r="AF23" s="119" t="s">
        <v>4</v>
      </c>
      <c r="AG23" s="119" t="s">
        <v>4</v>
      </c>
      <c r="AH23" s="119" t="s">
        <v>3</v>
      </c>
      <c r="AI23" s="119" t="s">
        <v>4</v>
      </c>
      <c r="AJ23" s="119" t="s">
        <v>3</v>
      </c>
      <c r="AK23" s="119" t="s">
        <v>4</v>
      </c>
      <c r="AL23" s="119" t="s">
        <v>4</v>
      </c>
      <c r="AM23" s="119" t="s">
        <v>3</v>
      </c>
      <c r="AN23" s="119" t="s">
        <v>3</v>
      </c>
    </row>
    <row r="24" spans="1:40" x14ac:dyDescent="0.3">
      <c r="A24" s="119">
        <f t="shared" si="0"/>
        <v>23</v>
      </c>
      <c r="B24" s="119" t="s">
        <v>262</v>
      </c>
      <c r="C24" s="119" t="s">
        <v>537</v>
      </c>
      <c r="D24" s="119">
        <v>2</v>
      </c>
      <c r="E24" s="119" t="s">
        <v>4</v>
      </c>
      <c r="F24" s="119" t="s">
        <v>5</v>
      </c>
      <c r="G24" s="119" t="s">
        <v>3</v>
      </c>
      <c r="H24" s="119" t="s">
        <v>5</v>
      </c>
      <c r="I24" s="119" t="s">
        <v>5</v>
      </c>
      <c r="J24" s="119" t="s">
        <v>5</v>
      </c>
      <c r="K24" s="119" t="s">
        <v>5</v>
      </c>
      <c r="L24" s="119" t="s">
        <v>2</v>
      </c>
      <c r="M24" s="119" t="s">
        <v>3</v>
      </c>
      <c r="N24" s="119" t="s">
        <v>2</v>
      </c>
      <c r="O24" s="119" t="s">
        <v>3</v>
      </c>
      <c r="P24" s="119" t="s">
        <v>2</v>
      </c>
      <c r="Q24" s="119" t="s">
        <v>5</v>
      </c>
      <c r="R24" s="119" t="s">
        <v>3</v>
      </c>
      <c r="S24" s="119" t="s">
        <v>3</v>
      </c>
      <c r="T24" s="119" t="s">
        <v>5</v>
      </c>
      <c r="U24" s="119" t="s">
        <v>5</v>
      </c>
      <c r="V24" s="119" t="s">
        <v>5</v>
      </c>
      <c r="W24" s="119" t="s">
        <v>3</v>
      </c>
      <c r="X24" s="119" t="s">
        <v>4</v>
      </c>
      <c r="Y24" s="119" t="s">
        <v>4</v>
      </c>
      <c r="Z24" s="119" t="s">
        <v>2</v>
      </c>
      <c r="AA24" s="119" t="s">
        <v>3</v>
      </c>
      <c r="AB24" s="119" t="s">
        <v>4</v>
      </c>
      <c r="AC24" s="119" t="s">
        <v>4</v>
      </c>
      <c r="AD24" s="119" t="s">
        <v>4</v>
      </c>
      <c r="AE24" s="119" t="s">
        <v>4</v>
      </c>
      <c r="AF24" s="119" t="s">
        <v>4</v>
      </c>
      <c r="AG24" s="119" t="s">
        <v>4</v>
      </c>
      <c r="AH24" s="119" t="s">
        <v>3</v>
      </c>
      <c r="AI24" s="119" t="s">
        <v>4</v>
      </c>
      <c r="AJ24" s="119" t="s">
        <v>4</v>
      </c>
      <c r="AK24" s="119" t="s">
        <v>4</v>
      </c>
      <c r="AL24" s="119" t="s">
        <v>4</v>
      </c>
      <c r="AM24" s="119" t="s">
        <v>4</v>
      </c>
      <c r="AN24" s="119" t="s">
        <v>3</v>
      </c>
    </row>
    <row r="25" spans="1:40" x14ac:dyDescent="0.3">
      <c r="A25" s="119">
        <f t="shared" si="0"/>
        <v>24</v>
      </c>
      <c r="B25" s="119" t="s">
        <v>461</v>
      </c>
      <c r="C25" s="119" t="s">
        <v>537</v>
      </c>
      <c r="D25" s="119">
        <v>2</v>
      </c>
      <c r="E25" s="119" t="s">
        <v>5</v>
      </c>
      <c r="F25" s="119" t="s">
        <v>5</v>
      </c>
      <c r="G25" s="119" t="s">
        <v>2</v>
      </c>
      <c r="H25" s="119" t="s">
        <v>2</v>
      </c>
      <c r="I25" s="119" t="s">
        <v>5</v>
      </c>
      <c r="J25" s="119" t="s">
        <v>3</v>
      </c>
      <c r="K25" s="119" t="s">
        <v>2</v>
      </c>
      <c r="L25" s="119" t="s">
        <v>2</v>
      </c>
      <c r="M25" s="119" t="s">
        <v>3</v>
      </c>
      <c r="N25" s="119" t="s">
        <v>3</v>
      </c>
      <c r="O25" s="119" t="s">
        <v>4</v>
      </c>
      <c r="P25" s="119" t="s">
        <v>5</v>
      </c>
      <c r="Q25" s="119" t="s">
        <v>5</v>
      </c>
      <c r="R25" s="119" t="s">
        <v>4</v>
      </c>
      <c r="S25" s="119" t="s">
        <v>5</v>
      </c>
      <c r="T25" s="119" t="s">
        <v>5</v>
      </c>
      <c r="U25" s="119" t="s">
        <v>2</v>
      </c>
      <c r="V25" s="119" t="s">
        <v>5</v>
      </c>
      <c r="W25" s="119" t="s">
        <v>5</v>
      </c>
      <c r="X25" s="119" t="s">
        <v>3</v>
      </c>
      <c r="Y25" s="119" t="s">
        <v>4</v>
      </c>
      <c r="Z25" s="119" t="s">
        <v>2</v>
      </c>
      <c r="AA25" s="119" t="s">
        <v>3</v>
      </c>
      <c r="AB25" s="119" t="s">
        <v>3</v>
      </c>
      <c r="AC25" s="119" t="s">
        <v>4</v>
      </c>
      <c r="AD25" s="119" t="s">
        <v>4</v>
      </c>
      <c r="AE25" s="119" t="s">
        <v>4</v>
      </c>
      <c r="AF25" s="119" t="s">
        <v>4</v>
      </c>
      <c r="AG25" s="119" t="s">
        <v>4</v>
      </c>
      <c r="AH25" s="119" t="s">
        <v>3</v>
      </c>
      <c r="AI25" s="119" t="s">
        <v>4</v>
      </c>
      <c r="AJ25" s="119" t="s">
        <v>3</v>
      </c>
      <c r="AK25" s="119" t="s">
        <v>4</v>
      </c>
      <c r="AL25" s="119" t="s">
        <v>4</v>
      </c>
      <c r="AM25" s="119" t="s">
        <v>3</v>
      </c>
      <c r="AN25" s="119" t="s">
        <v>3</v>
      </c>
    </row>
    <row r="26" spans="1:40" x14ac:dyDescent="0.3">
      <c r="A26" s="119">
        <f t="shared" si="0"/>
        <v>25</v>
      </c>
      <c r="B26" s="119" t="s">
        <v>462</v>
      </c>
      <c r="C26" s="119" t="s">
        <v>537</v>
      </c>
      <c r="D26" s="119">
        <v>2</v>
      </c>
      <c r="E26" s="119" t="s">
        <v>5</v>
      </c>
      <c r="F26" s="119" t="s">
        <v>3</v>
      </c>
      <c r="G26" s="119" t="s">
        <v>5</v>
      </c>
      <c r="H26" s="119" t="s">
        <v>5</v>
      </c>
      <c r="I26" s="119" t="s">
        <v>5</v>
      </c>
      <c r="J26" s="119" t="s">
        <v>5</v>
      </c>
      <c r="K26" s="119" t="s">
        <v>5</v>
      </c>
      <c r="L26" s="119" t="s">
        <v>2</v>
      </c>
      <c r="M26" s="119" t="s">
        <v>3</v>
      </c>
      <c r="N26" s="119" t="s">
        <v>3</v>
      </c>
      <c r="O26" s="119" t="s">
        <v>3</v>
      </c>
      <c r="P26" s="119" t="s">
        <v>5</v>
      </c>
      <c r="Q26" s="119" t="s">
        <v>5</v>
      </c>
      <c r="R26" s="119" t="s">
        <v>3</v>
      </c>
      <c r="S26" s="119" t="s">
        <v>5</v>
      </c>
      <c r="T26" s="119" t="s">
        <v>5</v>
      </c>
      <c r="U26" s="119" t="s">
        <v>5</v>
      </c>
      <c r="V26" s="119" t="s">
        <v>5</v>
      </c>
      <c r="W26" s="119" t="s">
        <v>5</v>
      </c>
      <c r="X26" s="119" t="s">
        <v>3</v>
      </c>
      <c r="Y26" s="119" t="s">
        <v>4</v>
      </c>
      <c r="Z26" s="119" t="s">
        <v>4</v>
      </c>
      <c r="AA26" s="119" t="s">
        <v>3</v>
      </c>
      <c r="AB26" s="119" t="s">
        <v>3</v>
      </c>
      <c r="AC26" s="119" t="s">
        <v>3</v>
      </c>
      <c r="AD26" s="119" t="s">
        <v>4</v>
      </c>
      <c r="AE26" s="119" t="s">
        <v>4</v>
      </c>
      <c r="AF26" s="119" t="s">
        <v>4</v>
      </c>
      <c r="AG26" s="119" t="s">
        <v>4</v>
      </c>
      <c r="AH26" s="119" t="s">
        <v>3</v>
      </c>
      <c r="AI26" s="119" t="s">
        <v>4</v>
      </c>
      <c r="AJ26" s="119" t="s">
        <v>4</v>
      </c>
      <c r="AK26" s="119" t="s">
        <v>3</v>
      </c>
      <c r="AL26" s="119" t="s">
        <v>4</v>
      </c>
      <c r="AM26" s="119" t="s">
        <v>4</v>
      </c>
      <c r="AN26" s="119" t="s">
        <v>3</v>
      </c>
    </row>
    <row r="27" spans="1:40" x14ac:dyDescent="0.3">
      <c r="A27" s="119">
        <f t="shared" si="0"/>
        <v>26</v>
      </c>
      <c r="B27" s="119" t="s">
        <v>491</v>
      </c>
      <c r="C27" s="119" t="s">
        <v>537</v>
      </c>
      <c r="D27" s="119">
        <v>2</v>
      </c>
      <c r="E27" s="119" t="s">
        <v>3</v>
      </c>
      <c r="F27" s="119" t="s">
        <v>3</v>
      </c>
      <c r="G27" s="119" t="s">
        <v>3</v>
      </c>
      <c r="H27" s="119" t="s">
        <v>2</v>
      </c>
      <c r="I27" s="119" t="s">
        <v>5</v>
      </c>
      <c r="J27" s="119" t="s">
        <v>5</v>
      </c>
      <c r="K27" s="119" t="s">
        <v>2</v>
      </c>
      <c r="L27" s="119" t="s">
        <v>2</v>
      </c>
      <c r="M27" s="119" t="s">
        <v>2</v>
      </c>
      <c r="N27" s="119" t="s">
        <v>4</v>
      </c>
      <c r="O27" s="119" t="s">
        <v>4</v>
      </c>
      <c r="P27" s="119" t="s">
        <v>4</v>
      </c>
      <c r="Q27" s="119" t="s">
        <v>5</v>
      </c>
      <c r="R27" s="119" t="s">
        <v>4</v>
      </c>
      <c r="S27" s="119" t="s">
        <v>5</v>
      </c>
      <c r="T27" s="119" t="s">
        <v>5</v>
      </c>
      <c r="U27" s="119" t="s">
        <v>5</v>
      </c>
      <c r="V27" s="119" t="s">
        <v>5</v>
      </c>
      <c r="W27" s="119" t="s">
        <v>4</v>
      </c>
      <c r="X27" s="119" t="s">
        <v>4</v>
      </c>
      <c r="Y27" s="119" t="s">
        <v>3</v>
      </c>
      <c r="Z27" s="119" t="s">
        <v>2</v>
      </c>
      <c r="AA27" s="119" t="s">
        <v>3</v>
      </c>
      <c r="AB27" s="119" t="s">
        <v>4</v>
      </c>
      <c r="AC27" s="119" t="s">
        <v>4</v>
      </c>
      <c r="AD27" s="119" t="s">
        <v>4</v>
      </c>
      <c r="AE27" s="119" t="s">
        <v>4</v>
      </c>
      <c r="AF27" s="119" t="s">
        <v>4</v>
      </c>
      <c r="AG27" s="119" t="s">
        <v>4</v>
      </c>
      <c r="AH27" s="119" t="s">
        <v>4</v>
      </c>
      <c r="AI27" s="119" t="s">
        <v>4</v>
      </c>
      <c r="AJ27" s="119" t="s">
        <v>3</v>
      </c>
      <c r="AK27" s="119" t="s">
        <v>4</v>
      </c>
      <c r="AL27" s="119" t="s">
        <v>4</v>
      </c>
      <c r="AM27" s="119" t="s">
        <v>4</v>
      </c>
      <c r="AN27" s="119" t="s">
        <v>3</v>
      </c>
    </row>
    <row r="28" spans="1:40" x14ac:dyDescent="0.3">
      <c r="A28" s="119">
        <f t="shared" si="0"/>
        <v>27</v>
      </c>
      <c r="B28" s="119" t="s">
        <v>17</v>
      </c>
      <c r="C28" s="119" t="s">
        <v>537</v>
      </c>
      <c r="D28" s="119">
        <v>3</v>
      </c>
      <c r="E28" s="119" t="s">
        <v>5</v>
      </c>
      <c r="F28" s="119" t="s">
        <v>3</v>
      </c>
      <c r="G28" s="119" t="s">
        <v>3</v>
      </c>
      <c r="H28" s="119" t="s">
        <v>5</v>
      </c>
      <c r="I28" s="119" t="s">
        <v>5</v>
      </c>
      <c r="J28" s="119" t="s">
        <v>5</v>
      </c>
      <c r="K28" s="119" t="s">
        <v>2</v>
      </c>
      <c r="L28" s="119" t="s">
        <v>2</v>
      </c>
      <c r="M28" s="119" t="s">
        <v>3</v>
      </c>
      <c r="N28" s="119" t="s">
        <v>3</v>
      </c>
      <c r="O28" s="119" t="s">
        <v>4</v>
      </c>
      <c r="P28" s="119" t="s">
        <v>5</v>
      </c>
      <c r="Q28" s="119" t="s">
        <v>2</v>
      </c>
      <c r="R28" s="119" t="s">
        <v>3</v>
      </c>
      <c r="S28" s="119" t="s">
        <v>2</v>
      </c>
      <c r="T28" s="119" t="s">
        <v>5</v>
      </c>
      <c r="U28" s="119" t="s">
        <v>5</v>
      </c>
      <c r="V28" s="119" t="s">
        <v>5</v>
      </c>
      <c r="W28" s="119" t="s">
        <v>5</v>
      </c>
      <c r="X28" s="119" t="s">
        <v>4</v>
      </c>
      <c r="Y28" s="119" t="s">
        <v>3</v>
      </c>
      <c r="Z28" s="119" t="s">
        <v>3</v>
      </c>
      <c r="AA28" s="119" t="s">
        <v>3</v>
      </c>
      <c r="AB28" s="119" t="s">
        <v>4</v>
      </c>
      <c r="AC28" s="119" t="s">
        <v>4</v>
      </c>
      <c r="AD28" s="119" t="s">
        <v>4</v>
      </c>
      <c r="AE28" s="119" t="s">
        <v>4</v>
      </c>
      <c r="AF28" s="119" t="s">
        <v>4</v>
      </c>
      <c r="AG28" s="119" t="s">
        <v>4</v>
      </c>
      <c r="AH28" s="119" t="s">
        <v>3</v>
      </c>
      <c r="AI28" s="119" t="s">
        <v>4</v>
      </c>
      <c r="AJ28" s="119" t="s">
        <v>3</v>
      </c>
      <c r="AK28" s="119" t="s">
        <v>4</v>
      </c>
      <c r="AL28" s="119" t="s">
        <v>4</v>
      </c>
      <c r="AM28" s="119" t="s">
        <v>4</v>
      </c>
      <c r="AN28" s="119" t="s">
        <v>3</v>
      </c>
    </row>
    <row r="29" spans="1:40" x14ac:dyDescent="0.3">
      <c r="A29" s="119">
        <f t="shared" si="0"/>
        <v>28</v>
      </c>
      <c r="B29" s="119" t="s">
        <v>18</v>
      </c>
      <c r="C29" s="119" t="s">
        <v>537</v>
      </c>
      <c r="D29" s="119">
        <v>3</v>
      </c>
      <c r="E29" s="119" t="s">
        <v>5</v>
      </c>
      <c r="F29" s="119" t="s">
        <v>4</v>
      </c>
      <c r="G29" s="119" t="s">
        <v>4</v>
      </c>
      <c r="H29" s="119" t="s">
        <v>3</v>
      </c>
      <c r="I29" s="119" t="s">
        <v>5</v>
      </c>
      <c r="J29" s="119" t="s">
        <v>5</v>
      </c>
      <c r="K29" s="119" t="s">
        <v>5</v>
      </c>
      <c r="L29" s="119" t="s">
        <v>2</v>
      </c>
      <c r="M29" s="119" t="s">
        <v>2</v>
      </c>
      <c r="N29" s="119" t="s">
        <v>3</v>
      </c>
      <c r="O29" s="119" t="s">
        <v>4</v>
      </c>
      <c r="P29" s="119" t="s">
        <v>2</v>
      </c>
      <c r="Q29" s="119" t="s">
        <v>2</v>
      </c>
      <c r="R29" s="119" t="s">
        <v>2</v>
      </c>
      <c r="S29" s="119" t="s">
        <v>5</v>
      </c>
      <c r="T29" s="119" t="s">
        <v>5</v>
      </c>
      <c r="U29" s="119" t="s">
        <v>3</v>
      </c>
      <c r="V29" s="119" t="s">
        <v>3</v>
      </c>
      <c r="W29" s="119" t="s">
        <v>2</v>
      </c>
      <c r="X29" s="119" t="s">
        <v>4</v>
      </c>
      <c r="Y29" s="119" t="s">
        <v>5</v>
      </c>
      <c r="Z29" s="119" t="s">
        <v>3</v>
      </c>
      <c r="AA29" s="119" t="s">
        <v>3</v>
      </c>
      <c r="AB29" s="119" t="s">
        <v>3</v>
      </c>
      <c r="AC29" s="119" t="s">
        <v>3</v>
      </c>
      <c r="AD29" s="119" t="s">
        <v>4</v>
      </c>
      <c r="AE29" s="119" t="s">
        <v>4</v>
      </c>
      <c r="AF29" s="119" t="s">
        <v>4</v>
      </c>
      <c r="AG29" s="119" t="s">
        <v>4</v>
      </c>
      <c r="AH29" s="119" t="s">
        <v>3</v>
      </c>
      <c r="AI29" s="119" t="s">
        <v>4</v>
      </c>
      <c r="AJ29" s="119" t="s">
        <v>4</v>
      </c>
      <c r="AK29" s="119" t="s">
        <v>4</v>
      </c>
      <c r="AL29" s="119" t="s">
        <v>4</v>
      </c>
      <c r="AM29" s="119" t="s">
        <v>4</v>
      </c>
      <c r="AN29" s="119" t="s">
        <v>3</v>
      </c>
    </row>
    <row r="30" spans="1:40" x14ac:dyDescent="0.3">
      <c r="A30" s="119">
        <f t="shared" si="0"/>
        <v>29</v>
      </c>
      <c r="B30" s="119" t="s">
        <v>19</v>
      </c>
      <c r="C30" s="119" t="s">
        <v>537</v>
      </c>
      <c r="D30" s="119">
        <v>3</v>
      </c>
      <c r="E30" s="119" t="s">
        <v>5</v>
      </c>
      <c r="F30" s="119" t="s">
        <v>5</v>
      </c>
      <c r="G30" s="119" t="s">
        <v>4</v>
      </c>
      <c r="H30" s="119" t="s">
        <v>5</v>
      </c>
      <c r="I30" s="119" t="s">
        <v>5</v>
      </c>
      <c r="J30" s="119" t="s">
        <v>2</v>
      </c>
      <c r="K30" s="119" t="s">
        <v>5</v>
      </c>
      <c r="L30" s="119" t="s">
        <v>2</v>
      </c>
      <c r="M30" s="119" t="s">
        <v>3</v>
      </c>
      <c r="N30" s="119" t="s">
        <v>4</v>
      </c>
      <c r="O30" s="119" t="s">
        <v>4</v>
      </c>
      <c r="P30" s="119" t="s">
        <v>2</v>
      </c>
      <c r="Q30" s="119" t="s">
        <v>5</v>
      </c>
      <c r="R30" s="119" t="s">
        <v>5</v>
      </c>
      <c r="S30" s="119" t="s">
        <v>5</v>
      </c>
      <c r="T30" s="119" t="s">
        <v>5</v>
      </c>
      <c r="U30" s="119" t="s">
        <v>5</v>
      </c>
      <c r="V30" s="119" t="s">
        <v>5</v>
      </c>
      <c r="W30" s="119" t="s">
        <v>4</v>
      </c>
      <c r="X30" s="119" t="s">
        <v>4</v>
      </c>
      <c r="Y30" s="119" t="s">
        <v>4</v>
      </c>
      <c r="Z30" s="119" t="s">
        <v>5</v>
      </c>
      <c r="AA30" s="119" t="s">
        <v>3</v>
      </c>
      <c r="AB30" s="119" t="s">
        <v>4</v>
      </c>
      <c r="AC30" s="119" t="s">
        <v>4</v>
      </c>
      <c r="AD30" s="119" t="s">
        <v>4</v>
      </c>
      <c r="AE30" s="119" t="s">
        <v>4</v>
      </c>
      <c r="AF30" s="119" t="s">
        <v>4</v>
      </c>
      <c r="AG30" s="119" t="s">
        <v>4</v>
      </c>
      <c r="AH30" s="119" t="s">
        <v>3</v>
      </c>
      <c r="AI30" s="119" t="s">
        <v>4</v>
      </c>
      <c r="AJ30" s="119" t="s">
        <v>3</v>
      </c>
      <c r="AK30" s="119" t="s">
        <v>4</v>
      </c>
      <c r="AL30" s="119" t="s">
        <v>4</v>
      </c>
      <c r="AM30" s="119" t="s">
        <v>4</v>
      </c>
      <c r="AN30" s="119" t="s">
        <v>3</v>
      </c>
    </row>
    <row r="31" spans="1:40" x14ac:dyDescent="0.3">
      <c r="A31" s="119">
        <f t="shared" si="0"/>
        <v>30</v>
      </c>
      <c r="B31" s="119" t="s">
        <v>20</v>
      </c>
      <c r="C31" s="119" t="s">
        <v>537</v>
      </c>
      <c r="D31" s="119">
        <v>3</v>
      </c>
      <c r="E31" s="119" t="s">
        <v>2</v>
      </c>
      <c r="F31" s="119" t="s">
        <v>3</v>
      </c>
      <c r="G31" s="119" t="s">
        <v>3</v>
      </c>
      <c r="H31" s="119" t="s">
        <v>2</v>
      </c>
      <c r="I31" s="119" t="s">
        <v>5</v>
      </c>
      <c r="J31" s="119" t="s">
        <v>2</v>
      </c>
      <c r="K31" s="119" t="s">
        <v>5</v>
      </c>
      <c r="L31" s="119" t="s">
        <v>2</v>
      </c>
      <c r="M31" s="119" t="s">
        <v>3</v>
      </c>
      <c r="N31" s="119" t="s">
        <v>4</v>
      </c>
      <c r="O31" s="119" t="s">
        <v>4</v>
      </c>
      <c r="P31" s="119" t="s">
        <v>5</v>
      </c>
      <c r="Q31" s="119" t="s">
        <v>5</v>
      </c>
      <c r="R31" s="119" t="s">
        <v>4</v>
      </c>
      <c r="S31" s="119" t="s">
        <v>5</v>
      </c>
      <c r="T31" s="119" t="s">
        <v>5</v>
      </c>
      <c r="U31" s="119" t="s">
        <v>5</v>
      </c>
      <c r="V31" s="119" t="s">
        <v>5</v>
      </c>
      <c r="W31" s="119" t="s">
        <v>5</v>
      </c>
      <c r="X31" s="119" t="s">
        <v>4</v>
      </c>
      <c r="Y31" s="119" t="s">
        <v>4</v>
      </c>
      <c r="Z31" s="119" t="s">
        <v>4</v>
      </c>
      <c r="AA31" s="119" t="s">
        <v>4</v>
      </c>
      <c r="AB31" s="119" t="s">
        <v>4</v>
      </c>
      <c r="AC31" s="119" t="s">
        <v>4</v>
      </c>
      <c r="AD31" s="119" t="s">
        <v>4</v>
      </c>
      <c r="AE31" s="119" t="s">
        <v>4</v>
      </c>
      <c r="AF31" s="119" t="s">
        <v>4</v>
      </c>
      <c r="AG31" s="119" t="s">
        <v>4</v>
      </c>
      <c r="AH31" s="119" t="s">
        <v>4</v>
      </c>
      <c r="AI31" s="119" t="s">
        <v>4</v>
      </c>
      <c r="AJ31" s="119" t="s">
        <v>3</v>
      </c>
      <c r="AK31" s="119" t="s">
        <v>4</v>
      </c>
      <c r="AL31" s="119" t="s">
        <v>4</v>
      </c>
      <c r="AM31" s="119" t="s">
        <v>3</v>
      </c>
      <c r="AN31" s="119" t="s">
        <v>4</v>
      </c>
    </row>
    <row r="32" spans="1:40" x14ac:dyDescent="0.3">
      <c r="A32" s="119">
        <f t="shared" si="0"/>
        <v>31</v>
      </c>
      <c r="B32" s="119" t="s">
        <v>21</v>
      </c>
      <c r="C32" s="119" t="s">
        <v>537</v>
      </c>
      <c r="D32" s="119">
        <v>3</v>
      </c>
      <c r="E32" s="119" t="s">
        <v>2</v>
      </c>
      <c r="F32" s="119" t="s">
        <v>5</v>
      </c>
      <c r="G32" s="119" t="s">
        <v>3</v>
      </c>
      <c r="H32" s="119" t="s">
        <v>5</v>
      </c>
      <c r="I32" s="119" t="s">
        <v>5</v>
      </c>
      <c r="J32" s="119" t="s">
        <v>5</v>
      </c>
      <c r="K32" s="119" t="s">
        <v>5</v>
      </c>
      <c r="L32" s="119" t="s">
        <v>2</v>
      </c>
      <c r="M32" s="119" t="s">
        <v>2</v>
      </c>
      <c r="N32" s="119" t="s">
        <v>3</v>
      </c>
      <c r="O32" s="119" t="s">
        <v>4</v>
      </c>
      <c r="P32" s="119" t="s">
        <v>2</v>
      </c>
      <c r="Q32" s="119" t="s">
        <v>5</v>
      </c>
      <c r="R32" s="119" t="s">
        <v>3</v>
      </c>
      <c r="S32" s="119" t="s">
        <v>3</v>
      </c>
      <c r="T32" s="119" t="s">
        <v>5</v>
      </c>
      <c r="U32" s="119" t="s">
        <v>5</v>
      </c>
      <c r="V32" s="119" t="s">
        <v>5</v>
      </c>
      <c r="W32" s="119" t="s">
        <v>5</v>
      </c>
      <c r="X32" s="119" t="s">
        <v>4</v>
      </c>
      <c r="Y32" s="119" t="s">
        <v>2</v>
      </c>
      <c r="Z32" s="119" t="s">
        <v>2</v>
      </c>
      <c r="AA32" s="119" t="s">
        <v>3</v>
      </c>
      <c r="AB32" s="119" t="s">
        <v>4</v>
      </c>
      <c r="AC32" s="119" t="s">
        <v>4</v>
      </c>
      <c r="AD32" s="119" t="s">
        <v>4</v>
      </c>
      <c r="AE32" s="119" t="s">
        <v>4</v>
      </c>
      <c r="AF32" s="119" t="s">
        <v>4</v>
      </c>
      <c r="AG32" s="119" t="s">
        <v>4</v>
      </c>
      <c r="AH32" s="119" t="s">
        <v>3</v>
      </c>
      <c r="AI32" s="119" t="s">
        <v>4</v>
      </c>
      <c r="AJ32" s="119" t="s">
        <v>3</v>
      </c>
      <c r="AK32" s="119" t="s">
        <v>4</v>
      </c>
      <c r="AL32" s="119" t="s">
        <v>4</v>
      </c>
      <c r="AM32" s="119" t="s">
        <v>4</v>
      </c>
      <c r="AN32" s="119" t="s">
        <v>3</v>
      </c>
    </row>
    <row r="33" spans="1:40" x14ac:dyDescent="0.3">
      <c r="A33" s="119">
        <f t="shared" si="0"/>
        <v>32</v>
      </c>
      <c r="B33" s="119" t="s">
        <v>22</v>
      </c>
      <c r="C33" s="119" t="s">
        <v>537</v>
      </c>
      <c r="D33" s="119">
        <v>3</v>
      </c>
      <c r="E33" s="119" t="s">
        <v>4</v>
      </c>
      <c r="F33" s="119" t="s">
        <v>5</v>
      </c>
      <c r="G33" s="119" t="s">
        <v>3</v>
      </c>
      <c r="H33" s="119" t="s">
        <v>5</v>
      </c>
      <c r="I33" s="119" t="s">
        <v>5</v>
      </c>
      <c r="J33" s="119" t="s">
        <v>5</v>
      </c>
      <c r="K33" s="119" t="s">
        <v>5</v>
      </c>
      <c r="L33" s="119" t="s">
        <v>2</v>
      </c>
      <c r="M33" s="119" t="s">
        <v>3</v>
      </c>
      <c r="N33" s="119" t="s">
        <v>2</v>
      </c>
      <c r="O33" s="119" t="s">
        <v>2</v>
      </c>
      <c r="P33" s="119" t="s">
        <v>5</v>
      </c>
      <c r="Q33" s="119" t="s">
        <v>3</v>
      </c>
      <c r="R33" s="119" t="s">
        <v>3</v>
      </c>
      <c r="S33" s="119" t="s">
        <v>2</v>
      </c>
      <c r="T33" s="119" t="s">
        <v>5</v>
      </c>
      <c r="U33" s="119" t="s">
        <v>2</v>
      </c>
      <c r="V33" s="119" t="s">
        <v>2</v>
      </c>
      <c r="W33" s="119" t="s">
        <v>5</v>
      </c>
      <c r="X33" s="119" t="s">
        <v>4</v>
      </c>
      <c r="Y33" s="119" t="s">
        <v>3</v>
      </c>
      <c r="Z33" s="119" t="s">
        <v>2</v>
      </c>
      <c r="AA33" s="119" t="s">
        <v>3</v>
      </c>
      <c r="AB33" s="119" t="s">
        <v>4</v>
      </c>
      <c r="AC33" s="119" t="s">
        <v>4</v>
      </c>
      <c r="AD33" s="119" t="s">
        <v>4</v>
      </c>
      <c r="AE33" s="119" t="s">
        <v>4</v>
      </c>
      <c r="AF33" s="119" t="s">
        <v>4</v>
      </c>
      <c r="AG33" s="119" t="s">
        <v>4</v>
      </c>
      <c r="AH33" s="119" t="s">
        <v>3</v>
      </c>
      <c r="AI33" s="119" t="s">
        <v>4</v>
      </c>
      <c r="AJ33" s="119" t="s">
        <v>3</v>
      </c>
      <c r="AK33" s="119" t="s">
        <v>4</v>
      </c>
      <c r="AL33" s="119" t="s">
        <v>4</v>
      </c>
      <c r="AM33" s="119" t="s">
        <v>3</v>
      </c>
      <c r="AN33" s="119" t="s">
        <v>3</v>
      </c>
    </row>
    <row r="34" spans="1:40" x14ac:dyDescent="0.3">
      <c r="A34" s="119">
        <f t="shared" si="0"/>
        <v>33</v>
      </c>
      <c r="B34" s="119" t="s">
        <v>263</v>
      </c>
      <c r="C34" s="119" t="s">
        <v>537</v>
      </c>
      <c r="D34" s="119">
        <v>3</v>
      </c>
      <c r="E34" s="119" t="s">
        <v>2</v>
      </c>
      <c r="F34" s="119" t="s">
        <v>5</v>
      </c>
      <c r="G34" s="119" t="s">
        <v>3</v>
      </c>
      <c r="H34" s="119" t="s">
        <v>5</v>
      </c>
      <c r="I34" s="119" t="s">
        <v>5</v>
      </c>
      <c r="J34" s="119" t="s">
        <v>5</v>
      </c>
      <c r="K34" s="119" t="s">
        <v>5</v>
      </c>
      <c r="L34" s="119" t="s">
        <v>2</v>
      </c>
      <c r="M34" s="119" t="s">
        <v>2</v>
      </c>
      <c r="N34" s="119" t="s">
        <v>2</v>
      </c>
      <c r="O34" s="119" t="s">
        <v>3</v>
      </c>
      <c r="P34" s="119" t="s">
        <v>5</v>
      </c>
      <c r="Q34" s="119" t="s">
        <v>5</v>
      </c>
      <c r="R34" s="119" t="s">
        <v>3</v>
      </c>
      <c r="S34" s="119" t="s">
        <v>2</v>
      </c>
      <c r="T34" s="119" t="s">
        <v>2</v>
      </c>
      <c r="U34" s="119" t="s">
        <v>5</v>
      </c>
      <c r="V34" s="119" t="s">
        <v>5</v>
      </c>
      <c r="W34" s="119" t="s">
        <v>2</v>
      </c>
      <c r="X34" s="119" t="s">
        <v>4</v>
      </c>
      <c r="Y34" s="119" t="s">
        <v>2</v>
      </c>
      <c r="Z34" s="119" t="s">
        <v>2</v>
      </c>
      <c r="AA34" s="119" t="s">
        <v>3</v>
      </c>
      <c r="AB34" s="119" t="s">
        <v>4</v>
      </c>
      <c r="AC34" s="119" t="s">
        <v>4</v>
      </c>
      <c r="AD34" s="119" t="s">
        <v>4</v>
      </c>
      <c r="AE34" s="119" t="s">
        <v>4</v>
      </c>
      <c r="AF34" s="119" t="s">
        <v>4</v>
      </c>
      <c r="AG34" s="119" t="s">
        <v>4</v>
      </c>
      <c r="AH34" s="119" t="s">
        <v>3</v>
      </c>
      <c r="AI34" s="119" t="s">
        <v>4</v>
      </c>
      <c r="AJ34" s="119" t="s">
        <v>3</v>
      </c>
      <c r="AK34" s="119" t="s">
        <v>4</v>
      </c>
      <c r="AL34" s="119" t="s">
        <v>4</v>
      </c>
      <c r="AM34" s="119" t="s">
        <v>4</v>
      </c>
      <c r="AN34" s="119" t="s">
        <v>3</v>
      </c>
    </row>
    <row r="35" spans="1:40" x14ac:dyDescent="0.3">
      <c r="A35" s="119">
        <f t="shared" si="0"/>
        <v>34</v>
      </c>
      <c r="B35" s="119" t="s">
        <v>264</v>
      </c>
      <c r="C35" s="119" t="s">
        <v>537</v>
      </c>
      <c r="D35" s="119">
        <v>3</v>
      </c>
      <c r="E35" s="119" t="s">
        <v>5</v>
      </c>
      <c r="F35" s="119" t="s">
        <v>3</v>
      </c>
      <c r="G35" s="119" t="s">
        <v>3</v>
      </c>
      <c r="H35" s="119" t="s">
        <v>5</v>
      </c>
      <c r="I35" s="119" t="s">
        <v>5</v>
      </c>
      <c r="J35" s="119" t="s">
        <v>5</v>
      </c>
      <c r="K35" s="119" t="s">
        <v>5</v>
      </c>
      <c r="L35" s="119" t="s">
        <v>2</v>
      </c>
      <c r="M35" s="119" t="s">
        <v>2</v>
      </c>
      <c r="N35" s="119" t="s">
        <v>3</v>
      </c>
      <c r="O35" s="119" t="s">
        <v>3</v>
      </c>
      <c r="P35" s="119" t="s">
        <v>2</v>
      </c>
      <c r="Q35" s="119" t="s">
        <v>5</v>
      </c>
      <c r="R35" s="119" t="s">
        <v>3</v>
      </c>
      <c r="S35" s="119" t="s">
        <v>3</v>
      </c>
      <c r="T35" s="119" t="s">
        <v>2</v>
      </c>
      <c r="U35" s="119" t="s">
        <v>5</v>
      </c>
      <c r="V35" s="119" t="s">
        <v>5</v>
      </c>
      <c r="W35" s="119" t="s">
        <v>5</v>
      </c>
      <c r="X35" s="119" t="s">
        <v>4</v>
      </c>
      <c r="Y35" s="119" t="s">
        <v>3</v>
      </c>
      <c r="Z35" s="119" t="s">
        <v>2</v>
      </c>
      <c r="AA35" s="119" t="s">
        <v>3</v>
      </c>
      <c r="AB35" s="119" t="s">
        <v>4</v>
      </c>
      <c r="AC35" s="119" t="s">
        <v>4</v>
      </c>
      <c r="AD35" s="119" t="s">
        <v>4</v>
      </c>
      <c r="AE35" s="119" t="s">
        <v>4</v>
      </c>
      <c r="AF35" s="119" t="s">
        <v>4</v>
      </c>
      <c r="AG35" s="119" t="s">
        <v>4</v>
      </c>
      <c r="AH35" s="119" t="s">
        <v>3</v>
      </c>
      <c r="AI35" s="119" t="s">
        <v>4</v>
      </c>
      <c r="AJ35" s="119" t="s">
        <v>4</v>
      </c>
      <c r="AK35" s="119" t="s">
        <v>4</v>
      </c>
      <c r="AL35" s="119" t="s">
        <v>4</v>
      </c>
      <c r="AM35" s="119" t="s">
        <v>3</v>
      </c>
      <c r="AN35" s="119" t="s">
        <v>3</v>
      </c>
    </row>
    <row r="36" spans="1:40" x14ac:dyDescent="0.3">
      <c r="A36" s="119">
        <f t="shared" si="0"/>
        <v>35</v>
      </c>
      <c r="B36" s="119" t="s">
        <v>265</v>
      </c>
      <c r="C36" s="119" t="s">
        <v>537</v>
      </c>
      <c r="D36" s="119">
        <v>3</v>
      </c>
      <c r="E36" s="119" t="s">
        <v>5</v>
      </c>
      <c r="F36" s="119" t="s">
        <v>3</v>
      </c>
      <c r="G36" s="119" t="s">
        <v>3</v>
      </c>
      <c r="H36" s="119" t="s">
        <v>2</v>
      </c>
      <c r="I36" s="119" t="s">
        <v>5</v>
      </c>
      <c r="J36" s="119" t="s">
        <v>5</v>
      </c>
      <c r="K36" s="119" t="s">
        <v>5</v>
      </c>
      <c r="L36" s="119" t="s">
        <v>2</v>
      </c>
      <c r="M36" s="119" t="s">
        <v>3</v>
      </c>
      <c r="N36" s="119" t="s">
        <v>3</v>
      </c>
      <c r="O36" s="119" t="s">
        <v>3</v>
      </c>
      <c r="P36" s="119" t="s">
        <v>2</v>
      </c>
      <c r="Q36" s="119" t="s">
        <v>5</v>
      </c>
      <c r="R36" s="119" t="s">
        <v>3</v>
      </c>
      <c r="S36" s="119" t="s">
        <v>3</v>
      </c>
      <c r="T36" s="119" t="s">
        <v>5</v>
      </c>
      <c r="U36" s="119" t="s">
        <v>5</v>
      </c>
      <c r="V36" s="119" t="s">
        <v>5</v>
      </c>
      <c r="W36" s="119" t="s">
        <v>5</v>
      </c>
      <c r="X36" s="119" t="s">
        <v>4</v>
      </c>
      <c r="Y36" s="119" t="s">
        <v>3</v>
      </c>
      <c r="Z36" s="119" t="s">
        <v>2</v>
      </c>
      <c r="AA36" s="119" t="s">
        <v>3</v>
      </c>
      <c r="AB36" s="119" t="s">
        <v>4</v>
      </c>
      <c r="AC36" s="119" t="s">
        <v>4</v>
      </c>
      <c r="AD36" s="119" t="s">
        <v>4</v>
      </c>
      <c r="AE36" s="119" t="s">
        <v>4</v>
      </c>
      <c r="AF36" s="119" t="s">
        <v>4</v>
      </c>
      <c r="AG36" s="119" t="s">
        <v>4</v>
      </c>
      <c r="AH36" s="119" t="s">
        <v>3</v>
      </c>
      <c r="AI36" s="119" t="s">
        <v>4</v>
      </c>
      <c r="AJ36" s="119" t="s">
        <v>3</v>
      </c>
      <c r="AK36" s="119" t="s">
        <v>4</v>
      </c>
      <c r="AL36" s="119" t="s">
        <v>4</v>
      </c>
      <c r="AM36" s="119" t="s">
        <v>3</v>
      </c>
      <c r="AN36" s="119" t="s">
        <v>3</v>
      </c>
    </row>
    <row r="37" spans="1:40" x14ac:dyDescent="0.3">
      <c r="A37" s="119">
        <f t="shared" si="0"/>
        <v>36</v>
      </c>
      <c r="B37" s="119" t="s">
        <v>266</v>
      </c>
      <c r="C37" s="119" t="s">
        <v>537</v>
      </c>
      <c r="D37" s="119">
        <v>3</v>
      </c>
      <c r="E37" s="119" t="s">
        <v>5</v>
      </c>
      <c r="F37" s="119" t="s">
        <v>3</v>
      </c>
      <c r="G37" s="119" t="s">
        <v>3</v>
      </c>
      <c r="H37" s="119" t="s">
        <v>5</v>
      </c>
      <c r="I37" s="119" t="s">
        <v>5</v>
      </c>
      <c r="J37" s="119" t="s">
        <v>5</v>
      </c>
      <c r="K37" s="119" t="s">
        <v>2</v>
      </c>
      <c r="L37" s="119" t="s">
        <v>2</v>
      </c>
      <c r="M37" s="119" t="s">
        <v>3</v>
      </c>
      <c r="N37" s="119" t="s">
        <v>4</v>
      </c>
      <c r="O37" s="119" t="s">
        <v>4</v>
      </c>
      <c r="P37" s="119" t="s">
        <v>5</v>
      </c>
      <c r="Q37" s="119" t="s">
        <v>2</v>
      </c>
      <c r="R37" s="119" t="s">
        <v>3</v>
      </c>
      <c r="S37" s="119" t="s">
        <v>2</v>
      </c>
      <c r="T37" s="119" t="s">
        <v>5</v>
      </c>
      <c r="U37" s="119" t="s">
        <v>5</v>
      </c>
      <c r="V37" s="119" t="s">
        <v>5</v>
      </c>
      <c r="W37" s="119" t="s">
        <v>5</v>
      </c>
      <c r="X37" s="119" t="s">
        <v>4</v>
      </c>
      <c r="Y37" s="119" t="s">
        <v>3</v>
      </c>
      <c r="Z37" s="119" t="s">
        <v>3</v>
      </c>
      <c r="AA37" s="119" t="s">
        <v>3</v>
      </c>
      <c r="AB37" s="119" t="s">
        <v>4</v>
      </c>
      <c r="AC37" s="119" t="s">
        <v>4</v>
      </c>
      <c r="AD37" s="119" t="s">
        <v>4</v>
      </c>
      <c r="AE37" s="119" t="s">
        <v>4</v>
      </c>
      <c r="AF37" s="119" t="s">
        <v>4</v>
      </c>
      <c r="AG37" s="119" t="s">
        <v>4</v>
      </c>
      <c r="AH37" s="119" t="s">
        <v>3</v>
      </c>
      <c r="AI37" s="119" t="s">
        <v>4</v>
      </c>
      <c r="AJ37" s="119" t="s">
        <v>4</v>
      </c>
      <c r="AK37" s="119" t="s">
        <v>4</v>
      </c>
      <c r="AL37" s="119" t="s">
        <v>4</v>
      </c>
      <c r="AM37" s="119" t="s">
        <v>4</v>
      </c>
      <c r="AN37" s="119" t="s">
        <v>3</v>
      </c>
    </row>
    <row r="38" spans="1:40" x14ac:dyDescent="0.3">
      <c r="A38" s="119">
        <f t="shared" si="0"/>
        <v>37</v>
      </c>
      <c r="B38" s="119" t="s">
        <v>465</v>
      </c>
      <c r="C38" s="119" t="s">
        <v>537</v>
      </c>
      <c r="D38" s="119">
        <v>3</v>
      </c>
      <c r="E38" s="119" t="s">
        <v>5</v>
      </c>
      <c r="F38" s="119" t="s">
        <v>5</v>
      </c>
      <c r="G38" s="119" t="s">
        <v>5</v>
      </c>
      <c r="H38" s="119" t="s">
        <v>5</v>
      </c>
      <c r="I38" s="119" t="s">
        <v>5</v>
      </c>
      <c r="J38" s="119" t="s">
        <v>5</v>
      </c>
      <c r="K38" s="119" t="s">
        <v>5</v>
      </c>
      <c r="L38" s="119" t="s">
        <v>2</v>
      </c>
      <c r="M38" s="119" t="s">
        <v>2</v>
      </c>
      <c r="N38" s="119" t="s">
        <v>2</v>
      </c>
      <c r="O38" s="119" t="s">
        <v>5</v>
      </c>
      <c r="P38" s="119" t="s">
        <v>2</v>
      </c>
      <c r="Q38" s="119" t="s">
        <v>2</v>
      </c>
      <c r="R38" s="119" t="s">
        <v>2</v>
      </c>
      <c r="S38" s="119" t="s">
        <v>2</v>
      </c>
      <c r="T38" s="119" t="s">
        <v>5</v>
      </c>
      <c r="U38" s="119" t="s">
        <v>5</v>
      </c>
      <c r="V38" s="119" t="s">
        <v>5</v>
      </c>
      <c r="W38" s="119" t="s">
        <v>5</v>
      </c>
      <c r="X38" s="119" t="s">
        <v>3</v>
      </c>
      <c r="Y38" s="119" t="s">
        <v>4</v>
      </c>
      <c r="Z38" s="119" t="s">
        <v>4</v>
      </c>
      <c r="AA38" s="119" t="s">
        <v>3</v>
      </c>
      <c r="AB38" s="119" t="s">
        <v>4</v>
      </c>
      <c r="AC38" s="119" t="s">
        <v>3</v>
      </c>
      <c r="AD38" s="119" t="s">
        <v>4</v>
      </c>
      <c r="AE38" s="119" t="s">
        <v>4</v>
      </c>
      <c r="AF38" s="119" t="s">
        <v>4</v>
      </c>
      <c r="AG38" s="119" t="s">
        <v>4</v>
      </c>
      <c r="AH38" s="119" t="s">
        <v>4</v>
      </c>
      <c r="AI38" s="119" t="s">
        <v>4</v>
      </c>
      <c r="AJ38" s="119" t="s">
        <v>3</v>
      </c>
      <c r="AK38" s="119" t="s">
        <v>4</v>
      </c>
      <c r="AL38" s="119" t="s">
        <v>4</v>
      </c>
      <c r="AM38" s="119" t="s">
        <v>4</v>
      </c>
      <c r="AN38" s="119" t="s">
        <v>3</v>
      </c>
    </row>
    <row r="39" spans="1:40" x14ac:dyDescent="0.3">
      <c r="A39" s="119">
        <f t="shared" si="0"/>
        <v>38</v>
      </c>
      <c r="B39" s="119" t="s">
        <v>466</v>
      </c>
      <c r="C39" s="119" t="s">
        <v>537</v>
      </c>
      <c r="D39" s="119">
        <v>3</v>
      </c>
      <c r="E39" s="119" t="s">
        <v>5</v>
      </c>
      <c r="F39" s="119" t="s">
        <v>3</v>
      </c>
      <c r="G39" s="119" t="s">
        <v>3</v>
      </c>
      <c r="H39" s="119" t="s">
        <v>5</v>
      </c>
      <c r="I39" s="119" t="s">
        <v>5</v>
      </c>
      <c r="J39" s="119" t="s">
        <v>5</v>
      </c>
      <c r="K39" s="119" t="s">
        <v>5</v>
      </c>
      <c r="L39" s="119" t="s">
        <v>2</v>
      </c>
      <c r="M39" s="119" t="s">
        <v>3</v>
      </c>
      <c r="N39" s="119" t="s">
        <v>3</v>
      </c>
      <c r="O39" s="119" t="s">
        <v>4</v>
      </c>
      <c r="P39" s="119" t="s">
        <v>5</v>
      </c>
      <c r="Q39" s="119" t="s">
        <v>2</v>
      </c>
      <c r="R39" s="119" t="s">
        <v>3</v>
      </c>
      <c r="S39" s="119" t="s">
        <v>5</v>
      </c>
      <c r="T39" s="119" t="s">
        <v>5</v>
      </c>
      <c r="U39" s="119" t="s">
        <v>5</v>
      </c>
      <c r="V39" s="119" t="s">
        <v>5</v>
      </c>
      <c r="W39" s="119" t="s">
        <v>4</v>
      </c>
      <c r="X39" s="119" t="s">
        <v>4</v>
      </c>
      <c r="Y39" s="119" t="s">
        <v>4</v>
      </c>
      <c r="Z39" s="119" t="s">
        <v>2</v>
      </c>
      <c r="AA39" s="119" t="s">
        <v>3</v>
      </c>
      <c r="AB39" s="119" t="s">
        <v>4</v>
      </c>
      <c r="AC39" s="119" t="s">
        <v>4</v>
      </c>
      <c r="AD39" s="119" t="s">
        <v>4</v>
      </c>
      <c r="AE39" s="119" t="s">
        <v>4</v>
      </c>
      <c r="AF39" s="119" t="s">
        <v>4</v>
      </c>
      <c r="AG39" s="119" t="s">
        <v>4</v>
      </c>
      <c r="AH39" s="119" t="s">
        <v>3</v>
      </c>
      <c r="AI39" s="119" t="s">
        <v>4</v>
      </c>
      <c r="AJ39" s="119" t="s">
        <v>3</v>
      </c>
      <c r="AK39" s="119" t="s">
        <v>4</v>
      </c>
      <c r="AL39" s="119" t="s">
        <v>4</v>
      </c>
      <c r="AM39" s="119" t="s">
        <v>4</v>
      </c>
      <c r="AN39" s="119" t="s">
        <v>4</v>
      </c>
    </row>
    <row r="40" spans="1:40" x14ac:dyDescent="0.3">
      <c r="A40" s="119">
        <f t="shared" si="0"/>
        <v>39</v>
      </c>
      <c r="B40" s="119" t="s">
        <v>493</v>
      </c>
      <c r="C40" s="119" t="s">
        <v>537</v>
      </c>
      <c r="D40" s="119">
        <v>3</v>
      </c>
      <c r="E40" s="119" t="s">
        <v>2</v>
      </c>
      <c r="F40" s="119" t="s">
        <v>5</v>
      </c>
      <c r="G40" s="119" t="s">
        <v>3</v>
      </c>
      <c r="H40" s="119" t="s">
        <v>2</v>
      </c>
      <c r="I40" s="119" t="s">
        <v>5</v>
      </c>
      <c r="J40" s="119" t="s">
        <v>5</v>
      </c>
      <c r="K40" s="119" t="s">
        <v>5</v>
      </c>
      <c r="L40" s="119" t="s">
        <v>2</v>
      </c>
      <c r="M40" s="119" t="s">
        <v>3</v>
      </c>
      <c r="N40" s="119" t="s">
        <v>4</v>
      </c>
      <c r="O40" s="119" t="s">
        <v>4</v>
      </c>
      <c r="P40" s="119" t="s">
        <v>5</v>
      </c>
      <c r="Q40" s="119" t="s">
        <v>5</v>
      </c>
      <c r="R40" s="119" t="s">
        <v>4</v>
      </c>
      <c r="S40" s="119" t="s">
        <v>5</v>
      </c>
      <c r="T40" s="119" t="s">
        <v>5</v>
      </c>
      <c r="U40" s="119" t="s">
        <v>5</v>
      </c>
      <c r="V40" s="119" t="s">
        <v>5</v>
      </c>
      <c r="W40" s="119" t="s">
        <v>5</v>
      </c>
      <c r="X40" s="119" t="s">
        <v>4</v>
      </c>
      <c r="Y40" s="119" t="s">
        <v>4</v>
      </c>
      <c r="Z40" s="119" t="s">
        <v>4</v>
      </c>
      <c r="AA40" s="119" t="s">
        <v>4</v>
      </c>
      <c r="AB40" s="119" t="s">
        <v>4</v>
      </c>
      <c r="AC40" s="119" t="s">
        <v>4</v>
      </c>
      <c r="AD40" s="119" t="s">
        <v>4</v>
      </c>
      <c r="AE40" s="119" t="s">
        <v>4</v>
      </c>
      <c r="AF40" s="119" t="s">
        <v>4</v>
      </c>
      <c r="AG40" s="119" t="s">
        <v>4</v>
      </c>
      <c r="AH40" s="119" t="s">
        <v>4</v>
      </c>
      <c r="AI40" s="119" t="s">
        <v>4</v>
      </c>
      <c r="AJ40" s="119" t="s">
        <v>3</v>
      </c>
      <c r="AK40" s="119" t="s">
        <v>4</v>
      </c>
      <c r="AL40" s="119" t="s">
        <v>4</v>
      </c>
      <c r="AM40" s="119" t="s">
        <v>3</v>
      </c>
      <c r="AN40" s="119" t="s">
        <v>4</v>
      </c>
    </row>
    <row r="41" spans="1:40" x14ac:dyDescent="0.3">
      <c r="A41" s="119">
        <f t="shared" si="0"/>
        <v>40</v>
      </c>
      <c r="B41" s="119" t="s">
        <v>23</v>
      </c>
      <c r="C41" s="119" t="s">
        <v>537</v>
      </c>
      <c r="D41" s="119">
        <v>4</v>
      </c>
      <c r="E41" s="119" t="s">
        <v>3</v>
      </c>
      <c r="F41" s="119" t="s">
        <v>3</v>
      </c>
      <c r="G41" s="119" t="s">
        <v>4</v>
      </c>
      <c r="H41" s="119" t="s">
        <v>2</v>
      </c>
      <c r="I41" s="119" t="s">
        <v>5</v>
      </c>
      <c r="J41" s="119" t="s">
        <v>5</v>
      </c>
      <c r="K41" s="119" t="s">
        <v>5</v>
      </c>
      <c r="L41" s="119" t="s">
        <v>2</v>
      </c>
      <c r="M41" s="119" t="s">
        <v>2</v>
      </c>
      <c r="N41" s="119" t="s">
        <v>2</v>
      </c>
      <c r="O41" s="119" t="s">
        <v>5</v>
      </c>
      <c r="P41" s="119" t="s">
        <v>2</v>
      </c>
      <c r="Q41" s="119" t="s">
        <v>5</v>
      </c>
      <c r="R41" s="119" t="s">
        <v>3</v>
      </c>
      <c r="S41" s="119" t="s">
        <v>3</v>
      </c>
      <c r="T41" s="119" t="s">
        <v>5</v>
      </c>
      <c r="U41" s="119" t="s">
        <v>5</v>
      </c>
      <c r="V41" s="119" t="s">
        <v>5</v>
      </c>
      <c r="W41" s="119" t="s">
        <v>5</v>
      </c>
      <c r="X41" s="119" t="s">
        <v>4</v>
      </c>
      <c r="Y41" s="119" t="s">
        <v>4</v>
      </c>
      <c r="Z41" s="119" t="s">
        <v>2</v>
      </c>
      <c r="AA41" s="119" t="s">
        <v>3</v>
      </c>
      <c r="AB41" s="119" t="s">
        <v>4</v>
      </c>
      <c r="AC41" s="119" t="s">
        <v>4</v>
      </c>
      <c r="AD41" s="119" t="s">
        <v>4</v>
      </c>
      <c r="AE41" s="119" t="s">
        <v>4</v>
      </c>
      <c r="AF41" s="119" t="s">
        <v>4</v>
      </c>
      <c r="AG41" s="119" t="s">
        <v>4</v>
      </c>
      <c r="AH41" s="119" t="s">
        <v>3</v>
      </c>
      <c r="AI41" s="119" t="s">
        <v>4</v>
      </c>
      <c r="AJ41" s="119" t="s">
        <v>3</v>
      </c>
      <c r="AK41" s="119" t="s">
        <v>3</v>
      </c>
      <c r="AL41" s="119" t="s">
        <v>4</v>
      </c>
      <c r="AM41" s="119" t="s">
        <v>3</v>
      </c>
      <c r="AN41" s="119" t="s">
        <v>3</v>
      </c>
    </row>
    <row r="42" spans="1:40" x14ac:dyDescent="0.3">
      <c r="A42" s="119">
        <f t="shared" si="0"/>
        <v>41</v>
      </c>
      <c r="B42" s="119" t="s">
        <v>24</v>
      </c>
      <c r="C42" s="119" t="s">
        <v>537</v>
      </c>
      <c r="D42" s="119">
        <v>4</v>
      </c>
      <c r="E42" s="119" t="s">
        <v>5</v>
      </c>
      <c r="F42" s="119" t="s">
        <v>3</v>
      </c>
      <c r="G42" s="119" t="s">
        <v>3</v>
      </c>
      <c r="H42" s="119" t="s">
        <v>5</v>
      </c>
      <c r="I42" s="119" t="s">
        <v>5</v>
      </c>
      <c r="J42" s="119" t="s">
        <v>5</v>
      </c>
      <c r="K42" s="119" t="s">
        <v>5</v>
      </c>
      <c r="L42" s="119" t="s">
        <v>2</v>
      </c>
      <c r="M42" s="119" t="s">
        <v>2</v>
      </c>
      <c r="N42" s="119" t="s">
        <v>5</v>
      </c>
      <c r="O42" s="119" t="s">
        <v>3</v>
      </c>
      <c r="P42" s="119" t="s">
        <v>4</v>
      </c>
      <c r="Q42" s="119" t="s">
        <v>5</v>
      </c>
      <c r="R42" s="119" t="s">
        <v>3</v>
      </c>
      <c r="S42" s="119" t="s">
        <v>5</v>
      </c>
      <c r="T42" s="119" t="s">
        <v>5</v>
      </c>
      <c r="U42" s="119" t="s">
        <v>5</v>
      </c>
      <c r="V42" s="119" t="s">
        <v>5</v>
      </c>
      <c r="W42" s="119" t="s">
        <v>5</v>
      </c>
      <c r="X42" s="119" t="s">
        <v>4</v>
      </c>
      <c r="Y42" s="119" t="s">
        <v>4</v>
      </c>
      <c r="Z42" s="119" t="s">
        <v>4</v>
      </c>
      <c r="AA42" s="119" t="s">
        <v>3</v>
      </c>
      <c r="AB42" s="119" t="s">
        <v>4</v>
      </c>
      <c r="AC42" s="119" t="s">
        <v>4</v>
      </c>
      <c r="AD42" s="119" t="s">
        <v>4</v>
      </c>
      <c r="AE42" s="119" t="s">
        <v>4</v>
      </c>
      <c r="AF42" s="119" t="s">
        <v>4</v>
      </c>
      <c r="AG42" s="119" t="s">
        <v>4</v>
      </c>
      <c r="AH42" s="119" t="s">
        <v>3</v>
      </c>
      <c r="AI42" s="119" t="s">
        <v>4</v>
      </c>
      <c r="AJ42" s="119" t="s">
        <v>3</v>
      </c>
      <c r="AK42" s="119" t="s">
        <v>4</v>
      </c>
      <c r="AL42" s="119" t="s">
        <v>4</v>
      </c>
      <c r="AM42" s="119" t="s">
        <v>4</v>
      </c>
      <c r="AN42" s="119" t="s">
        <v>3</v>
      </c>
    </row>
    <row r="43" spans="1:40" x14ac:dyDescent="0.3">
      <c r="A43" s="119">
        <f t="shared" si="0"/>
        <v>42</v>
      </c>
      <c r="B43" s="119" t="s">
        <v>25</v>
      </c>
      <c r="C43" s="119" t="s">
        <v>537</v>
      </c>
      <c r="D43" s="119">
        <v>4</v>
      </c>
      <c r="E43" s="119" t="s">
        <v>5</v>
      </c>
      <c r="F43" s="119" t="s">
        <v>5</v>
      </c>
      <c r="G43" s="119" t="s">
        <v>5</v>
      </c>
      <c r="H43" s="119" t="s">
        <v>5</v>
      </c>
      <c r="I43" s="119" t="s">
        <v>5</v>
      </c>
      <c r="J43" s="119" t="s">
        <v>5</v>
      </c>
      <c r="K43" s="119" t="s">
        <v>5</v>
      </c>
      <c r="L43" s="119" t="s">
        <v>2</v>
      </c>
      <c r="M43" s="119" t="s">
        <v>5</v>
      </c>
      <c r="N43" s="119" t="s">
        <v>5</v>
      </c>
      <c r="O43" s="119" t="s">
        <v>3</v>
      </c>
      <c r="P43" s="119" t="s">
        <v>5</v>
      </c>
      <c r="Q43" s="119" t="s">
        <v>5</v>
      </c>
      <c r="R43" s="119" t="s">
        <v>2</v>
      </c>
      <c r="S43" s="119" t="s">
        <v>2</v>
      </c>
      <c r="T43" s="119" t="s">
        <v>5</v>
      </c>
      <c r="U43" s="119" t="s">
        <v>5</v>
      </c>
      <c r="V43" s="119" t="s">
        <v>5</v>
      </c>
      <c r="W43" s="119" t="s">
        <v>5</v>
      </c>
      <c r="X43" s="119" t="s">
        <v>4</v>
      </c>
      <c r="Y43" s="119" t="s">
        <v>3</v>
      </c>
      <c r="Z43" s="119" t="s">
        <v>2</v>
      </c>
      <c r="AA43" s="119" t="s">
        <v>3</v>
      </c>
      <c r="AB43" s="119" t="s">
        <v>4</v>
      </c>
      <c r="AC43" s="119" t="s">
        <v>4</v>
      </c>
      <c r="AD43" s="119" t="s">
        <v>4</v>
      </c>
      <c r="AE43" s="119" t="s">
        <v>4</v>
      </c>
      <c r="AF43" s="119" t="s">
        <v>4</v>
      </c>
      <c r="AG43" s="119" t="s">
        <v>4</v>
      </c>
      <c r="AH43" s="119" t="s">
        <v>3</v>
      </c>
      <c r="AI43" s="119" t="s">
        <v>4</v>
      </c>
      <c r="AJ43" s="119" t="s">
        <v>3</v>
      </c>
      <c r="AK43" s="119" t="s">
        <v>4</v>
      </c>
      <c r="AL43" s="119" t="s">
        <v>4</v>
      </c>
      <c r="AM43" s="119" t="s">
        <v>3</v>
      </c>
      <c r="AN43" s="119" t="s">
        <v>3</v>
      </c>
    </row>
    <row r="44" spans="1:40" x14ac:dyDescent="0.3">
      <c r="A44" s="119">
        <f t="shared" si="0"/>
        <v>43</v>
      </c>
      <c r="B44" s="119" t="s">
        <v>26</v>
      </c>
      <c r="C44" s="119" t="s">
        <v>537</v>
      </c>
      <c r="D44" s="119">
        <v>4</v>
      </c>
      <c r="E44" s="119" t="s">
        <v>3</v>
      </c>
      <c r="F44" s="119" t="s">
        <v>3</v>
      </c>
      <c r="G44" s="119" t="s">
        <v>3</v>
      </c>
      <c r="H44" s="119" t="s">
        <v>5</v>
      </c>
      <c r="I44" s="119" t="s">
        <v>5</v>
      </c>
      <c r="J44" s="119" t="s">
        <v>5</v>
      </c>
      <c r="K44" s="119" t="s">
        <v>5</v>
      </c>
      <c r="L44" s="119" t="s">
        <v>2</v>
      </c>
      <c r="M44" s="119" t="s">
        <v>2</v>
      </c>
      <c r="N44" s="119" t="s">
        <v>4</v>
      </c>
      <c r="O44" s="119" t="s">
        <v>4</v>
      </c>
      <c r="P44" s="119" t="s">
        <v>5</v>
      </c>
      <c r="Q44" s="119" t="s">
        <v>5</v>
      </c>
      <c r="R44" s="119" t="s">
        <v>3</v>
      </c>
      <c r="S44" s="119" t="s">
        <v>2</v>
      </c>
      <c r="T44" s="119" t="s">
        <v>5</v>
      </c>
      <c r="U44" s="119" t="s">
        <v>5</v>
      </c>
      <c r="V44" s="119" t="s">
        <v>5</v>
      </c>
      <c r="W44" s="119" t="s">
        <v>4</v>
      </c>
      <c r="X44" s="119" t="s">
        <v>4</v>
      </c>
      <c r="Y44" s="119" t="s">
        <v>3</v>
      </c>
      <c r="Z44" s="119" t="s">
        <v>4</v>
      </c>
      <c r="AA44" s="119" t="s">
        <v>3</v>
      </c>
      <c r="AB44" s="119" t="s">
        <v>4</v>
      </c>
      <c r="AC44" s="119" t="s">
        <v>4</v>
      </c>
      <c r="AD44" s="119" t="s">
        <v>4</v>
      </c>
      <c r="AE44" s="119" t="s">
        <v>4</v>
      </c>
      <c r="AF44" s="119" t="s">
        <v>4</v>
      </c>
      <c r="AG44" s="119" t="s">
        <v>3</v>
      </c>
      <c r="AH44" s="119" t="s">
        <v>3</v>
      </c>
      <c r="AI44" s="119" t="s">
        <v>4</v>
      </c>
      <c r="AJ44" s="119" t="s">
        <v>3</v>
      </c>
      <c r="AK44" s="119" t="s">
        <v>4</v>
      </c>
      <c r="AL44" s="119" t="s">
        <v>4</v>
      </c>
      <c r="AM44" s="119" t="s">
        <v>4</v>
      </c>
      <c r="AN44" s="119" t="s">
        <v>3</v>
      </c>
    </row>
    <row r="45" spans="1:40" x14ac:dyDescent="0.3">
      <c r="A45" s="119">
        <f t="shared" si="0"/>
        <v>44</v>
      </c>
      <c r="B45" s="119" t="s">
        <v>27</v>
      </c>
      <c r="C45" s="119" t="s">
        <v>537</v>
      </c>
      <c r="D45" s="119">
        <v>4</v>
      </c>
      <c r="E45" s="119" t="s">
        <v>5</v>
      </c>
      <c r="F45" s="119" t="s">
        <v>3</v>
      </c>
      <c r="G45" s="119" t="s">
        <v>4</v>
      </c>
      <c r="H45" s="119" t="s">
        <v>3</v>
      </c>
      <c r="I45" s="119" t="s">
        <v>5</v>
      </c>
      <c r="J45" s="119" t="s">
        <v>5</v>
      </c>
      <c r="K45" s="119" t="s">
        <v>5</v>
      </c>
      <c r="L45" s="119" t="s">
        <v>2</v>
      </c>
      <c r="M45" s="119" t="s">
        <v>3</v>
      </c>
      <c r="N45" s="119" t="s">
        <v>3</v>
      </c>
      <c r="O45" s="119" t="s">
        <v>4</v>
      </c>
      <c r="P45" s="119" t="s">
        <v>5</v>
      </c>
      <c r="Q45" s="119" t="s">
        <v>4</v>
      </c>
      <c r="R45" s="119" t="s">
        <v>2</v>
      </c>
      <c r="S45" s="119" t="s">
        <v>5</v>
      </c>
      <c r="T45" s="119" t="s">
        <v>5</v>
      </c>
      <c r="U45" s="119" t="s">
        <v>5</v>
      </c>
      <c r="V45" s="119" t="s">
        <v>5</v>
      </c>
      <c r="W45" s="119" t="s">
        <v>4</v>
      </c>
      <c r="X45" s="119" t="s">
        <v>4</v>
      </c>
      <c r="Y45" s="119" t="s">
        <v>4</v>
      </c>
      <c r="Z45" s="119" t="s">
        <v>2</v>
      </c>
      <c r="AA45" s="119" t="s">
        <v>3</v>
      </c>
      <c r="AB45" s="119" t="s">
        <v>4</v>
      </c>
      <c r="AC45" s="119" t="s">
        <v>4</v>
      </c>
      <c r="AD45" s="119" t="s">
        <v>4</v>
      </c>
      <c r="AE45" s="119" t="s">
        <v>4</v>
      </c>
      <c r="AF45" s="119" t="s">
        <v>4</v>
      </c>
      <c r="AG45" s="119" t="s">
        <v>4</v>
      </c>
      <c r="AH45" s="119" t="s">
        <v>4</v>
      </c>
      <c r="AI45" s="119" t="s">
        <v>4</v>
      </c>
      <c r="AJ45" s="119" t="s">
        <v>3</v>
      </c>
      <c r="AK45" s="119" t="s">
        <v>4</v>
      </c>
      <c r="AL45" s="119" t="s">
        <v>4</v>
      </c>
      <c r="AM45" s="119" t="s">
        <v>4</v>
      </c>
      <c r="AN45" s="119" t="s">
        <v>3</v>
      </c>
    </row>
    <row r="46" spans="1:40" x14ac:dyDescent="0.3">
      <c r="A46" s="119">
        <f t="shared" si="0"/>
        <v>45</v>
      </c>
      <c r="B46" s="119" t="s">
        <v>28</v>
      </c>
      <c r="C46" s="119" t="s">
        <v>537</v>
      </c>
      <c r="D46" s="119">
        <v>4</v>
      </c>
      <c r="E46" s="119" t="s">
        <v>5</v>
      </c>
      <c r="F46" s="119" t="s">
        <v>3</v>
      </c>
      <c r="G46" s="119" t="s">
        <v>2</v>
      </c>
      <c r="H46" s="119" t="s">
        <v>5</v>
      </c>
      <c r="I46" s="119" t="s">
        <v>5</v>
      </c>
      <c r="J46" s="119" t="s">
        <v>5</v>
      </c>
      <c r="K46" s="119" t="s">
        <v>2</v>
      </c>
      <c r="L46" s="119" t="s">
        <v>2</v>
      </c>
      <c r="M46" s="119" t="s">
        <v>3</v>
      </c>
      <c r="N46" s="119" t="s">
        <v>3</v>
      </c>
      <c r="O46" s="119" t="s">
        <v>3</v>
      </c>
      <c r="P46" s="119" t="s">
        <v>3</v>
      </c>
      <c r="Q46" s="119" t="s">
        <v>2</v>
      </c>
      <c r="R46" s="119" t="s">
        <v>2</v>
      </c>
      <c r="S46" s="119" t="s">
        <v>2</v>
      </c>
      <c r="T46" s="119" t="s">
        <v>5</v>
      </c>
      <c r="U46" s="119" t="s">
        <v>2</v>
      </c>
      <c r="V46" s="119" t="s">
        <v>2</v>
      </c>
      <c r="W46" s="119" t="s">
        <v>5</v>
      </c>
      <c r="X46" s="119" t="s">
        <v>3</v>
      </c>
      <c r="Y46" s="119" t="s">
        <v>2</v>
      </c>
      <c r="Z46" s="119" t="s">
        <v>2</v>
      </c>
      <c r="AA46" s="119" t="s">
        <v>3</v>
      </c>
      <c r="AB46" s="119" t="s">
        <v>4</v>
      </c>
      <c r="AC46" s="119" t="s">
        <v>4</v>
      </c>
      <c r="AD46" s="119" t="s">
        <v>4</v>
      </c>
      <c r="AE46" s="119" t="s">
        <v>4</v>
      </c>
      <c r="AF46" s="119" t="s">
        <v>4</v>
      </c>
      <c r="AG46" s="119" t="s">
        <v>4</v>
      </c>
      <c r="AH46" s="119" t="s">
        <v>3</v>
      </c>
      <c r="AI46" s="119" t="s">
        <v>4</v>
      </c>
      <c r="AJ46" s="119" t="s">
        <v>3</v>
      </c>
      <c r="AK46" s="119" t="s">
        <v>4</v>
      </c>
      <c r="AL46" s="119" t="s">
        <v>4</v>
      </c>
      <c r="AM46" s="119" t="s">
        <v>4</v>
      </c>
      <c r="AN46" s="119" t="s">
        <v>3</v>
      </c>
    </row>
    <row r="47" spans="1:40" x14ac:dyDescent="0.3">
      <c r="A47" s="119">
        <f t="shared" si="0"/>
        <v>46</v>
      </c>
      <c r="B47" s="119" t="s">
        <v>267</v>
      </c>
      <c r="C47" s="119" t="s">
        <v>537</v>
      </c>
      <c r="D47" s="119">
        <v>4</v>
      </c>
      <c r="E47" s="119" t="s">
        <v>5</v>
      </c>
      <c r="F47" s="119" t="s">
        <v>3</v>
      </c>
      <c r="G47" s="119" t="s">
        <v>3</v>
      </c>
      <c r="H47" s="119" t="s">
        <v>2</v>
      </c>
      <c r="I47" s="119" t="s">
        <v>5</v>
      </c>
      <c r="J47" s="119" t="s">
        <v>5</v>
      </c>
      <c r="K47" s="119" t="s">
        <v>5</v>
      </c>
      <c r="L47" s="119" t="s">
        <v>2</v>
      </c>
      <c r="M47" s="119" t="s">
        <v>2</v>
      </c>
      <c r="N47" s="119" t="s">
        <v>2</v>
      </c>
      <c r="O47" s="119" t="s">
        <v>3</v>
      </c>
      <c r="P47" s="119" t="s">
        <v>5</v>
      </c>
      <c r="Q47" s="119" t="s">
        <v>5</v>
      </c>
      <c r="R47" s="119" t="s">
        <v>2</v>
      </c>
      <c r="S47" s="119" t="s">
        <v>2</v>
      </c>
      <c r="T47" s="119" t="s">
        <v>5</v>
      </c>
      <c r="U47" s="119" t="s">
        <v>5</v>
      </c>
      <c r="V47" s="119" t="s">
        <v>5</v>
      </c>
      <c r="W47" s="119" t="s">
        <v>5</v>
      </c>
      <c r="X47" s="119" t="s">
        <v>3</v>
      </c>
      <c r="Y47" s="119" t="s">
        <v>3</v>
      </c>
      <c r="Z47" s="119" t="s">
        <v>2</v>
      </c>
      <c r="AA47" s="119" t="s">
        <v>3</v>
      </c>
      <c r="AB47" s="119" t="s">
        <v>4</v>
      </c>
      <c r="AC47" s="119" t="s">
        <v>4</v>
      </c>
      <c r="AD47" s="119" t="s">
        <v>4</v>
      </c>
      <c r="AE47" s="119" t="s">
        <v>4</v>
      </c>
      <c r="AF47" s="119" t="s">
        <v>4</v>
      </c>
      <c r="AG47" s="119" t="s">
        <v>3</v>
      </c>
      <c r="AH47" s="119" t="s">
        <v>3</v>
      </c>
      <c r="AI47" s="119" t="s">
        <v>4</v>
      </c>
      <c r="AJ47" s="119" t="s">
        <v>3</v>
      </c>
      <c r="AK47" s="119" t="s">
        <v>4</v>
      </c>
      <c r="AL47" s="119" t="s">
        <v>4</v>
      </c>
      <c r="AM47" s="119" t="s">
        <v>3</v>
      </c>
      <c r="AN47" s="119" t="s">
        <v>3</v>
      </c>
    </row>
    <row r="48" spans="1:40" x14ac:dyDescent="0.3">
      <c r="A48" s="119">
        <f t="shared" si="0"/>
        <v>47</v>
      </c>
      <c r="B48" s="119" t="s">
        <v>268</v>
      </c>
      <c r="C48" s="119" t="s">
        <v>537</v>
      </c>
      <c r="D48" s="119">
        <v>4</v>
      </c>
      <c r="E48" s="119" t="s">
        <v>2</v>
      </c>
      <c r="F48" s="119" t="s">
        <v>3</v>
      </c>
      <c r="G48" s="119" t="s">
        <v>3</v>
      </c>
      <c r="H48" s="119" t="s">
        <v>5</v>
      </c>
      <c r="I48" s="119" t="s">
        <v>5</v>
      </c>
      <c r="J48" s="119" t="s">
        <v>5</v>
      </c>
      <c r="K48" s="119" t="s">
        <v>5</v>
      </c>
      <c r="L48" s="119" t="s">
        <v>2</v>
      </c>
      <c r="M48" s="119" t="s">
        <v>2</v>
      </c>
      <c r="N48" s="119" t="s">
        <v>4</v>
      </c>
      <c r="O48" s="119" t="s">
        <v>4</v>
      </c>
      <c r="P48" s="119" t="s">
        <v>4</v>
      </c>
      <c r="Q48" s="119" t="s">
        <v>5</v>
      </c>
      <c r="R48" s="119" t="s">
        <v>3</v>
      </c>
      <c r="S48" s="119" t="s">
        <v>4</v>
      </c>
      <c r="T48" s="119" t="s">
        <v>5</v>
      </c>
      <c r="U48" s="119" t="s">
        <v>5</v>
      </c>
      <c r="V48" s="119" t="s">
        <v>5</v>
      </c>
      <c r="W48" s="119" t="s">
        <v>4</v>
      </c>
      <c r="X48" s="119" t="s">
        <v>4</v>
      </c>
      <c r="Y48" s="119" t="s">
        <v>3</v>
      </c>
      <c r="Z48" s="119" t="s">
        <v>2</v>
      </c>
      <c r="AA48" s="119" t="s">
        <v>3</v>
      </c>
      <c r="AB48" s="119" t="s">
        <v>4</v>
      </c>
      <c r="AC48" s="119" t="s">
        <v>4</v>
      </c>
      <c r="AD48" s="119" t="s">
        <v>4</v>
      </c>
      <c r="AE48" s="119" t="s">
        <v>3</v>
      </c>
      <c r="AF48" s="119" t="s">
        <v>4</v>
      </c>
      <c r="AG48" s="119" t="s">
        <v>4</v>
      </c>
      <c r="AH48" s="119" t="s">
        <v>3</v>
      </c>
      <c r="AI48" s="119" t="s">
        <v>4</v>
      </c>
      <c r="AJ48" s="119" t="s">
        <v>3</v>
      </c>
      <c r="AK48" s="119" t="s">
        <v>3</v>
      </c>
      <c r="AL48" s="119" t="s">
        <v>4</v>
      </c>
      <c r="AM48" s="119" t="s">
        <v>4</v>
      </c>
      <c r="AN48" s="119" t="s">
        <v>3</v>
      </c>
    </row>
    <row r="49" spans="1:40" x14ac:dyDescent="0.3">
      <c r="A49" s="119">
        <f t="shared" si="0"/>
        <v>48</v>
      </c>
      <c r="B49" s="119" t="s">
        <v>269</v>
      </c>
      <c r="C49" s="119" t="s">
        <v>537</v>
      </c>
      <c r="D49" s="119">
        <v>4</v>
      </c>
      <c r="E49" s="119" t="s">
        <v>3</v>
      </c>
      <c r="F49" s="119" t="s">
        <v>3</v>
      </c>
      <c r="G49" s="119" t="s">
        <v>4</v>
      </c>
      <c r="H49" s="119" t="s">
        <v>2</v>
      </c>
      <c r="I49" s="119" t="s">
        <v>5</v>
      </c>
      <c r="J49" s="119" t="s">
        <v>5</v>
      </c>
      <c r="K49" s="119" t="s">
        <v>5</v>
      </c>
      <c r="L49" s="119" t="s">
        <v>2</v>
      </c>
      <c r="M49" s="119" t="s">
        <v>2</v>
      </c>
      <c r="N49" s="119" t="s">
        <v>2</v>
      </c>
      <c r="O49" s="119" t="s">
        <v>5</v>
      </c>
      <c r="P49" s="119" t="s">
        <v>2</v>
      </c>
      <c r="Q49" s="119" t="s">
        <v>5</v>
      </c>
      <c r="R49" s="119" t="s">
        <v>3</v>
      </c>
      <c r="S49" s="119" t="s">
        <v>3</v>
      </c>
      <c r="T49" s="119" t="s">
        <v>5</v>
      </c>
      <c r="U49" s="119" t="s">
        <v>5</v>
      </c>
      <c r="V49" s="119" t="s">
        <v>5</v>
      </c>
      <c r="W49" s="119" t="s">
        <v>5</v>
      </c>
      <c r="X49" s="119" t="s">
        <v>4</v>
      </c>
      <c r="Y49" s="119" t="s">
        <v>4</v>
      </c>
      <c r="Z49" s="119" t="s">
        <v>2</v>
      </c>
      <c r="AA49" s="119" t="s">
        <v>3</v>
      </c>
      <c r="AB49" s="119" t="s">
        <v>4</v>
      </c>
      <c r="AC49" s="119" t="s">
        <v>4</v>
      </c>
      <c r="AD49" s="119" t="s">
        <v>4</v>
      </c>
      <c r="AE49" s="119" t="s">
        <v>3</v>
      </c>
      <c r="AF49" s="119" t="s">
        <v>4</v>
      </c>
      <c r="AG49" s="119" t="s">
        <v>4</v>
      </c>
      <c r="AH49" s="119" t="s">
        <v>3</v>
      </c>
      <c r="AI49" s="119" t="s">
        <v>4</v>
      </c>
      <c r="AJ49" s="119" t="s">
        <v>3</v>
      </c>
      <c r="AK49" s="119" t="s">
        <v>3</v>
      </c>
      <c r="AL49" s="119" t="s">
        <v>4</v>
      </c>
      <c r="AM49" s="119" t="s">
        <v>3</v>
      </c>
      <c r="AN49" s="119" t="s">
        <v>3</v>
      </c>
    </row>
    <row r="50" spans="1:40" x14ac:dyDescent="0.3">
      <c r="A50" s="119">
        <f t="shared" si="0"/>
        <v>49</v>
      </c>
      <c r="B50" s="119" t="s">
        <v>270</v>
      </c>
      <c r="C50" s="119" t="s">
        <v>537</v>
      </c>
      <c r="D50" s="119">
        <v>4</v>
      </c>
      <c r="E50" s="119" t="s">
        <v>5</v>
      </c>
      <c r="F50" s="119" t="s">
        <v>3</v>
      </c>
      <c r="G50" s="119" t="s">
        <v>2</v>
      </c>
      <c r="H50" s="119" t="s">
        <v>5</v>
      </c>
      <c r="I50" s="119" t="s">
        <v>5</v>
      </c>
      <c r="J50" s="119" t="s">
        <v>5</v>
      </c>
      <c r="K50" s="119" t="s">
        <v>5</v>
      </c>
      <c r="L50" s="119" t="s">
        <v>2</v>
      </c>
      <c r="M50" s="119" t="s">
        <v>2</v>
      </c>
      <c r="N50" s="119" t="s">
        <v>2</v>
      </c>
      <c r="O50" s="119" t="s">
        <v>3</v>
      </c>
      <c r="P50" s="119" t="s">
        <v>5</v>
      </c>
      <c r="Q50" s="119" t="s">
        <v>5</v>
      </c>
      <c r="R50" s="119" t="s">
        <v>2</v>
      </c>
      <c r="S50" s="119" t="s">
        <v>2</v>
      </c>
      <c r="T50" s="119" t="s">
        <v>5</v>
      </c>
      <c r="U50" s="119" t="s">
        <v>5</v>
      </c>
      <c r="V50" s="119" t="s">
        <v>5</v>
      </c>
      <c r="W50" s="119" t="s">
        <v>5</v>
      </c>
      <c r="X50" s="119" t="s">
        <v>3</v>
      </c>
      <c r="Y50" s="119" t="s">
        <v>3</v>
      </c>
      <c r="Z50" s="119" t="s">
        <v>2</v>
      </c>
      <c r="AA50" s="119" t="s">
        <v>3</v>
      </c>
      <c r="AB50" s="119" t="s">
        <v>4</v>
      </c>
      <c r="AC50" s="119" t="s">
        <v>4</v>
      </c>
      <c r="AD50" s="119" t="s">
        <v>4</v>
      </c>
      <c r="AE50" s="119" t="s">
        <v>4</v>
      </c>
      <c r="AF50" s="119" t="s">
        <v>4</v>
      </c>
      <c r="AG50" s="119" t="s">
        <v>3</v>
      </c>
      <c r="AH50" s="119" t="s">
        <v>3</v>
      </c>
      <c r="AI50" s="119" t="s">
        <v>4</v>
      </c>
      <c r="AJ50" s="119" t="s">
        <v>3</v>
      </c>
      <c r="AK50" s="119" t="s">
        <v>3</v>
      </c>
      <c r="AL50" s="119" t="s">
        <v>4</v>
      </c>
      <c r="AM50" s="119" t="s">
        <v>3</v>
      </c>
      <c r="AN50" s="119" t="s">
        <v>3</v>
      </c>
    </row>
    <row r="51" spans="1:40" x14ac:dyDescent="0.3">
      <c r="A51" s="119">
        <f t="shared" si="0"/>
        <v>50</v>
      </c>
      <c r="B51" s="119" t="s">
        <v>469</v>
      </c>
      <c r="C51" s="119" t="s">
        <v>537</v>
      </c>
      <c r="D51" s="119">
        <v>4</v>
      </c>
      <c r="E51" s="119" t="s">
        <v>5</v>
      </c>
      <c r="F51" s="119" t="s">
        <v>5</v>
      </c>
      <c r="G51" s="119" t="s">
        <v>2</v>
      </c>
      <c r="H51" s="119" t="s">
        <v>3</v>
      </c>
      <c r="I51" s="119" t="s">
        <v>5</v>
      </c>
      <c r="J51" s="119" t="s">
        <v>5</v>
      </c>
      <c r="K51" s="119" t="s">
        <v>5</v>
      </c>
      <c r="L51" s="119" t="s">
        <v>2</v>
      </c>
      <c r="M51" s="119" t="s">
        <v>3</v>
      </c>
      <c r="N51" s="119" t="s">
        <v>3</v>
      </c>
      <c r="O51" s="119" t="s">
        <v>5</v>
      </c>
      <c r="P51" s="119" t="s">
        <v>2</v>
      </c>
      <c r="Q51" s="119" t="s">
        <v>5</v>
      </c>
      <c r="R51" s="119" t="s">
        <v>3</v>
      </c>
      <c r="S51" s="119" t="s">
        <v>2</v>
      </c>
      <c r="T51" s="119" t="s">
        <v>5</v>
      </c>
      <c r="U51" s="119" t="s">
        <v>5</v>
      </c>
      <c r="V51" s="119" t="s">
        <v>5</v>
      </c>
      <c r="W51" s="119" t="s">
        <v>5</v>
      </c>
      <c r="X51" s="119" t="s">
        <v>3</v>
      </c>
      <c r="Y51" s="119" t="s">
        <v>4</v>
      </c>
      <c r="Z51" s="119" t="s">
        <v>4</v>
      </c>
      <c r="AA51" s="119" t="s">
        <v>3</v>
      </c>
      <c r="AB51" s="119" t="s">
        <v>4</v>
      </c>
      <c r="AC51" s="119" t="s">
        <v>4</v>
      </c>
      <c r="AD51" s="119" t="s">
        <v>4</v>
      </c>
      <c r="AE51" s="119" t="s">
        <v>4</v>
      </c>
      <c r="AF51" s="119" t="s">
        <v>4</v>
      </c>
      <c r="AG51" s="119" t="s">
        <v>4</v>
      </c>
      <c r="AH51" s="119" t="s">
        <v>3</v>
      </c>
      <c r="AI51" s="119" t="s">
        <v>4</v>
      </c>
      <c r="AJ51" s="119" t="s">
        <v>3</v>
      </c>
      <c r="AK51" s="119" t="s">
        <v>4</v>
      </c>
      <c r="AL51" s="119" t="s">
        <v>4</v>
      </c>
      <c r="AM51" s="119" t="s">
        <v>3</v>
      </c>
      <c r="AN51" s="119" t="s">
        <v>3</v>
      </c>
    </row>
    <row r="52" spans="1:40" x14ac:dyDescent="0.3">
      <c r="A52" s="119">
        <f t="shared" si="0"/>
        <v>51</v>
      </c>
      <c r="B52" s="119" t="s">
        <v>470</v>
      </c>
      <c r="C52" s="119" t="s">
        <v>537</v>
      </c>
      <c r="D52" s="119">
        <v>4</v>
      </c>
      <c r="E52" s="119" t="s">
        <v>5</v>
      </c>
      <c r="F52" s="119" t="s">
        <v>5</v>
      </c>
      <c r="G52" s="119" t="s">
        <v>5</v>
      </c>
      <c r="H52" s="119" t="s">
        <v>5</v>
      </c>
      <c r="I52" s="119" t="s">
        <v>5</v>
      </c>
      <c r="J52" s="119" t="s">
        <v>5</v>
      </c>
      <c r="K52" s="119" t="s">
        <v>5</v>
      </c>
      <c r="L52" s="119" t="s">
        <v>2</v>
      </c>
      <c r="M52" s="119" t="s">
        <v>2</v>
      </c>
      <c r="N52" s="119" t="s">
        <v>2</v>
      </c>
      <c r="O52" s="119" t="s">
        <v>3</v>
      </c>
      <c r="P52" s="119" t="s">
        <v>3</v>
      </c>
      <c r="Q52" s="119" t="s">
        <v>5</v>
      </c>
      <c r="R52" s="119" t="s">
        <v>3</v>
      </c>
      <c r="S52" s="119" t="s">
        <v>3</v>
      </c>
      <c r="T52" s="119" t="s">
        <v>5</v>
      </c>
      <c r="U52" s="119" t="s">
        <v>5</v>
      </c>
      <c r="V52" s="119" t="s">
        <v>5</v>
      </c>
      <c r="W52" s="119" t="s">
        <v>5</v>
      </c>
      <c r="X52" s="119" t="s">
        <v>4</v>
      </c>
      <c r="Y52" s="119" t="s">
        <v>4</v>
      </c>
      <c r="Z52" s="119" t="s">
        <v>2</v>
      </c>
      <c r="AA52" s="119" t="s">
        <v>3</v>
      </c>
      <c r="AB52" s="119" t="s">
        <v>3</v>
      </c>
      <c r="AC52" s="119" t="s">
        <v>3</v>
      </c>
      <c r="AD52" s="119" t="s">
        <v>4</v>
      </c>
      <c r="AE52" s="119" t="s">
        <v>4</v>
      </c>
      <c r="AF52" s="119" t="s">
        <v>4</v>
      </c>
      <c r="AG52" s="119" t="s">
        <v>4</v>
      </c>
      <c r="AH52" s="119" t="s">
        <v>3</v>
      </c>
      <c r="AI52" s="119" t="s">
        <v>4</v>
      </c>
      <c r="AJ52" s="119" t="s">
        <v>3</v>
      </c>
      <c r="AK52" s="119" t="s">
        <v>3</v>
      </c>
      <c r="AL52" s="119" t="s">
        <v>4</v>
      </c>
      <c r="AM52" s="119" t="s">
        <v>4</v>
      </c>
      <c r="AN52" s="119" t="s">
        <v>3</v>
      </c>
    </row>
    <row r="53" spans="1:40" x14ac:dyDescent="0.3">
      <c r="A53" s="119">
        <f t="shared" si="0"/>
        <v>52</v>
      </c>
      <c r="B53" s="119" t="s">
        <v>487</v>
      </c>
      <c r="C53" s="119" t="s">
        <v>537</v>
      </c>
      <c r="D53" s="119">
        <v>4</v>
      </c>
      <c r="E53" s="119" t="s">
        <v>5</v>
      </c>
      <c r="F53" s="119" t="s">
        <v>5</v>
      </c>
      <c r="G53" s="119" t="s">
        <v>4</v>
      </c>
      <c r="H53" s="119" t="s">
        <v>5</v>
      </c>
      <c r="I53" s="119" t="s">
        <v>5</v>
      </c>
      <c r="J53" s="119" t="s">
        <v>5</v>
      </c>
      <c r="K53" s="119" t="s">
        <v>5</v>
      </c>
      <c r="L53" s="119" t="s">
        <v>2</v>
      </c>
      <c r="M53" s="119" t="s">
        <v>2</v>
      </c>
      <c r="N53" s="119" t="s">
        <v>4</v>
      </c>
      <c r="O53" s="119" t="s">
        <v>4</v>
      </c>
      <c r="P53" s="119" t="s">
        <v>4</v>
      </c>
      <c r="Q53" s="119" t="s">
        <v>5</v>
      </c>
      <c r="R53" s="119" t="s">
        <v>4</v>
      </c>
      <c r="S53" s="119" t="s">
        <v>5</v>
      </c>
      <c r="T53" s="119" t="s">
        <v>5</v>
      </c>
      <c r="U53" s="119" t="s">
        <v>3</v>
      </c>
      <c r="V53" s="119" t="s">
        <v>5</v>
      </c>
      <c r="W53" s="119" t="s">
        <v>3</v>
      </c>
      <c r="X53" s="119" t="s">
        <v>4</v>
      </c>
      <c r="Y53" s="119" t="s">
        <v>4</v>
      </c>
      <c r="Z53" s="119" t="s">
        <v>2</v>
      </c>
      <c r="AA53" s="119" t="s">
        <v>3</v>
      </c>
      <c r="AB53" s="119" t="s">
        <v>4</v>
      </c>
      <c r="AC53" s="119" t="s">
        <v>4</v>
      </c>
      <c r="AD53" s="119" t="s">
        <v>4</v>
      </c>
      <c r="AE53" s="119" t="s">
        <v>4</v>
      </c>
      <c r="AF53" s="119" t="s">
        <v>4</v>
      </c>
      <c r="AG53" s="119" t="s">
        <v>3</v>
      </c>
      <c r="AH53" s="119" t="s">
        <v>3</v>
      </c>
      <c r="AI53" s="119" t="s">
        <v>4</v>
      </c>
      <c r="AJ53" s="119" t="s">
        <v>3</v>
      </c>
      <c r="AK53" s="119" t="s">
        <v>4</v>
      </c>
      <c r="AL53" s="119" t="s">
        <v>4</v>
      </c>
      <c r="AM53" s="119" t="s">
        <v>4</v>
      </c>
      <c r="AN53" s="119" t="s">
        <v>3</v>
      </c>
    </row>
    <row r="54" spans="1:40" x14ac:dyDescent="0.3">
      <c r="A54" s="119">
        <f t="shared" si="0"/>
        <v>53</v>
      </c>
      <c r="B54" s="119" t="s">
        <v>29</v>
      </c>
      <c r="C54" s="119" t="s">
        <v>537</v>
      </c>
      <c r="D54" s="119">
        <v>5</v>
      </c>
      <c r="E54" s="119" t="s">
        <v>5</v>
      </c>
      <c r="F54" s="119" t="s">
        <v>3</v>
      </c>
      <c r="G54" s="119" t="s">
        <v>5</v>
      </c>
      <c r="H54" s="119" t="s">
        <v>5</v>
      </c>
      <c r="I54" s="119" t="s">
        <v>5</v>
      </c>
      <c r="J54" s="119" t="s">
        <v>5</v>
      </c>
      <c r="K54" s="119" t="s">
        <v>5</v>
      </c>
      <c r="L54" s="119" t="s">
        <v>2</v>
      </c>
      <c r="M54" s="119" t="s">
        <v>2</v>
      </c>
      <c r="N54" s="119" t="s">
        <v>4</v>
      </c>
      <c r="O54" s="119" t="s">
        <v>4</v>
      </c>
      <c r="P54" s="119" t="s">
        <v>3</v>
      </c>
      <c r="Q54" s="119" t="s">
        <v>5</v>
      </c>
      <c r="R54" s="119" t="s">
        <v>2</v>
      </c>
      <c r="S54" s="119" t="s">
        <v>5</v>
      </c>
      <c r="T54" s="119" t="s">
        <v>2</v>
      </c>
      <c r="U54" s="119" t="s">
        <v>2</v>
      </c>
      <c r="V54" s="119" t="s">
        <v>5</v>
      </c>
      <c r="W54" s="119" t="s">
        <v>4</v>
      </c>
      <c r="X54" s="119" t="s">
        <v>3</v>
      </c>
      <c r="Y54" s="119" t="s">
        <v>3</v>
      </c>
      <c r="Z54" s="119" t="s">
        <v>4</v>
      </c>
      <c r="AA54" s="119" t="s">
        <v>3</v>
      </c>
      <c r="AB54" s="119" t="s">
        <v>4</v>
      </c>
      <c r="AC54" s="119" t="s">
        <v>4</v>
      </c>
      <c r="AD54" s="119" t="s">
        <v>4</v>
      </c>
      <c r="AE54" s="119" t="s">
        <v>4</v>
      </c>
      <c r="AF54" s="119" t="s">
        <v>4</v>
      </c>
      <c r="AG54" s="119" t="s">
        <v>4</v>
      </c>
      <c r="AH54" s="119" t="s">
        <v>3</v>
      </c>
      <c r="AI54" s="119" t="s">
        <v>4</v>
      </c>
      <c r="AJ54" s="119" t="s">
        <v>3</v>
      </c>
      <c r="AK54" s="119" t="s">
        <v>4</v>
      </c>
      <c r="AL54" s="119" t="s">
        <v>4</v>
      </c>
      <c r="AM54" s="119" t="s">
        <v>4</v>
      </c>
      <c r="AN54" s="119" t="s">
        <v>3</v>
      </c>
    </row>
    <row r="55" spans="1:40" x14ac:dyDescent="0.3">
      <c r="A55" s="119">
        <f t="shared" si="0"/>
        <v>54</v>
      </c>
      <c r="B55" s="119" t="s">
        <v>30</v>
      </c>
      <c r="C55" s="119" t="s">
        <v>537</v>
      </c>
      <c r="D55" s="119">
        <v>5</v>
      </c>
      <c r="E55" s="119" t="s">
        <v>2</v>
      </c>
      <c r="F55" s="119" t="s">
        <v>5</v>
      </c>
      <c r="G55" s="119" t="s">
        <v>3</v>
      </c>
      <c r="H55" s="119" t="s">
        <v>5</v>
      </c>
      <c r="I55" s="119" t="s">
        <v>5</v>
      </c>
      <c r="J55" s="119" t="s">
        <v>3</v>
      </c>
      <c r="K55" s="119" t="s">
        <v>5</v>
      </c>
      <c r="L55" s="119" t="s">
        <v>2</v>
      </c>
      <c r="M55" s="119" t="s">
        <v>2</v>
      </c>
      <c r="N55" s="119" t="s">
        <v>5</v>
      </c>
      <c r="O55" s="119" t="s">
        <v>2</v>
      </c>
      <c r="P55" s="119" t="s">
        <v>2</v>
      </c>
      <c r="Q55" s="119" t="s">
        <v>4</v>
      </c>
      <c r="R55" s="119" t="s">
        <v>3</v>
      </c>
      <c r="S55" s="119" t="s">
        <v>2</v>
      </c>
      <c r="T55" s="119" t="s">
        <v>5</v>
      </c>
      <c r="U55" s="119" t="s">
        <v>5</v>
      </c>
      <c r="V55" s="119" t="s">
        <v>5</v>
      </c>
      <c r="W55" s="119" t="s">
        <v>3</v>
      </c>
      <c r="X55" s="119" t="s">
        <v>3</v>
      </c>
      <c r="Y55" s="119" t="s">
        <v>3</v>
      </c>
      <c r="Z55" s="119" t="s">
        <v>4</v>
      </c>
      <c r="AA55" s="119" t="s">
        <v>3</v>
      </c>
      <c r="AB55" s="119" t="s">
        <v>4</v>
      </c>
      <c r="AC55" s="119" t="s">
        <v>4</v>
      </c>
      <c r="AD55" s="119" t="s">
        <v>4</v>
      </c>
      <c r="AE55" s="119" t="s">
        <v>4</v>
      </c>
      <c r="AF55" s="119" t="s">
        <v>4</v>
      </c>
      <c r="AG55" s="119" t="s">
        <v>3</v>
      </c>
      <c r="AH55" s="119" t="s">
        <v>4</v>
      </c>
      <c r="AI55" s="119" t="s">
        <v>4</v>
      </c>
      <c r="AJ55" s="119" t="s">
        <v>3</v>
      </c>
      <c r="AK55" s="119" t="s">
        <v>4</v>
      </c>
      <c r="AL55" s="119" t="s">
        <v>4</v>
      </c>
      <c r="AM55" s="119" t="s">
        <v>4</v>
      </c>
      <c r="AN55" s="119" t="s">
        <v>3</v>
      </c>
    </row>
    <row r="56" spans="1:40" x14ac:dyDescent="0.3">
      <c r="A56" s="119">
        <f t="shared" si="0"/>
        <v>55</v>
      </c>
      <c r="B56" s="119" t="s">
        <v>31</v>
      </c>
      <c r="C56" s="119" t="s">
        <v>537</v>
      </c>
      <c r="D56" s="119">
        <v>5</v>
      </c>
      <c r="E56" s="119" t="s">
        <v>4</v>
      </c>
      <c r="F56" s="119" t="s">
        <v>5</v>
      </c>
      <c r="G56" s="119" t="s">
        <v>2</v>
      </c>
      <c r="H56" s="119" t="s">
        <v>5</v>
      </c>
      <c r="I56" s="119" t="s">
        <v>5</v>
      </c>
      <c r="J56" s="119" t="s">
        <v>5</v>
      </c>
      <c r="K56" s="119" t="s">
        <v>2</v>
      </c>
      <c r="L56" s="119" t="s">
        <v>2</v>
      </c>
      <c r="M56" s="119" t="s">
        <v>2</v>
      </c>
      <c r="N56" s="119" t="s">
        <v>4</v>
      </c>
      <c r="O56" s="119" t="s">
        <v>4</v>
      </c>
      <c r="P56" s="119" t="s">
        <v>4</v>
      </c>
      <c r="Q56" s="119" t="s">
        <v>5</v>
      </c>
      <c r="R56" s="119" t="s">
        <v>4</v>
      </c>
      <c r="S56" s="119" t="s">
        <v>5</v>
      </c>
      <c r="T56" s="119" t="s">
        <v>5</v>
      </c>
      <c r="U56" s="119" t="s">
        <v>5</v>
      </c>
      <c r="V56" s="119" t="s">
        <v>5</v>
      </c>
      <c r="W56" s="119" t="s">
        <v>5</v>
      </c>
      <c r="X56" s="119" t="s">
        <v>4</v>
      </c>
      <c r="Y56" s="119" t="s">
        <v>3</v>
      </c>
      <c r="Z56" s="119" t="s">
        <v>3</v>
      </c>
      <c r="AA56" s="119" t="s">
        <v>3</v>
      </c>
      <c r="AB56" s="119" t="s">
        <v>4</v>
      </c>
      <c r="AC56" s="119" t="s">
        <v>4</v>
      </c>
      <c r="AD56" s="119" t="s">
        <v>4</v>
      </c>
      <c r="AE56" s="119" t="s">
        <v>4</v>
      </c>
      <c r="AF56" s="119" t="s">
        <v>4</v>
      </c>
      <c r="AG56" s="119" t="s">
        <v>4</v>
      </c>
      <c r="AH56" s="119" t="s">
        <v>3</v>
      </c>
      <c r="AI56" s="119" t="s">
        <v>4</v>
      </c>
      <c r="AJ56" s="119" t="s">
        <v>3</v>
      </c>
      <c r="AK56" s="119" t="s">
        <v>4</v>
      </c>
      <c r="AL56" s="119" t="s">
        <v>4</v>
      </c>
      <c r="AM56" s="119" t="s">
        <v>4</v>
      </c>
      <c r="AN56" s="119" t="s">
        <v>3</v>
      </c>
    </row>
    <row r="57" spans="1:40" x14ac:dyDescent="0.3">
      <c r="A57" s="119">
        <f t="shared" si="0"/>
        <v>56</v>
      </c>
      <c r="B57" s="119" t="s">
        <v>32</v>
      </c>
      <c r="C57" s="119" t="s">
        <v>537</v>
      </c>
      <c r="D57" s="119">
        <v>5</v>
      </c>
      <c r="E57" s="119" t="s">
        <v>5</v>
      </c>
      <c r="F57" s="119" t="s">
        <v>3</v>
      </c>
      <c r="G57" s="119" t="s">
        <v>3</v>
      </c>
      <c r="H57" s="119" t="s">
        <v>5</v>
      </c>
      <c r="I57" s="119" t="s">
        <v>5</v>
      </c>
      <c r="J57" s="119" t="s">
        <v>5</v>
      </c>
      <c r="K57" s="119" t="s">
        <v>5</v>
      </c>
      <c r="L57" s="119" t="s">
        <v>2</v>
      </c>
      <c r="M57" s="119" t="s">
        <v>4</v>
      </c>
      <c r="N57" s="119" t="s">
        <v>4</v>
      </c>
      <c r="O57" s="119" t="s">
        <v>4</v>
      </c>
      <c r="P57" s="119" t="s">
        <v>5</v>
      </c>
      <c r="Q57" s="119" t="s">
        <v>2</v>
      </c>
      <c r="R57" s="119" t="s">
        <v>4</v>
      </c>
      <c r="S57" s="119" t="s">
        <v>5</v>
      </c>
      <c r="T57" s="119" t="s">
        <v>5</v>
      </c>
      <c r="U57" s="119" t="s">
        <v>3</v>
      </c>
      <c r="V57" s="119" t="s">
        <v>3</v>
      </c>
      <c r="W57" s="119" t="s">
        <v>3</v>
      </c>
      <c r="X57" s="119" t="s">
        <v>4</v>
      </c>
      <c r="Y57" s="119" t="s">
        <v>3</v>
      </c>
      <c r="Z57" s="119" t="s">
        <v>2</v>
      </c>
      <c r="AA57" s="119" t="s">
        <v>3</v>
      </c>
      <c r="AB57" s="119" t="s">
        <v>4</v>
      </c>
      <c r="AC57" s="119" t="s">
        <v>4</v>
      </c>
      <c r="AD57" s="119" t="s">
        <v>4</v>
      </c>
      <c r="AE57" s="119" t="s">
        <v>4</v>
      </c>
      <c r="AF57" s="119" t="s">
        <v>4</v>
      </c>
      <c r="AG57" s="119" t="s">
        <v>4</v>
      </c>
      <c r="AH57" s="119" t="s">
        <v>3</v>
      </c>
      <c r="AI57" s="119" t="s">
        <v>4</v>
      </c>
      <c r="AJ57" s="119" t="s">
        <v>3</v>
      </c>
      <c r="AK57" s="119" t="s">
        <v>4</v>
      </c>
      <c r="AL57" s="119" t="s">
        <v>4</v>
      </c>
      <c r="AM57" s="119" t="s">
        <v>4</v>
      </c>
      <c r="AN57" s="119" t="s">
        <v>3</v>
      </c>
    </row>
    <row r="58" spans="1:40" x14ac:dyDescent="0.3">
      <c r="A58" s="119">
        <f t="shared" si="0"/>
        <v>57</v>
      </c>
      <c r="B58" s="119" t="s">
        <v>33</v>
      </c>
      <c r="C58" s="119" t="s">
        <v>537</v>
      </c>
      <c r="D58" s="119">
        <v>5</v>
      </c>
      <c r="E58" s="119" t="s">
        <v>5</v>
      </c>
      <c r="F58" s="119" t="s">
        <v>3</v>
      </c>
      <c r="G58" s="119" t="s">
        <v>4</v>
      </c>
      <c r="H58" s="119" t="s">
        <v>5</v>
      </c>
      <c r="I58" s="119" t="s">
        <v>5</v>
      </c>
      <c r="J58" s="119" t="s">
        <v>3</v>
      </c>
      <c r="K58" s="119" t="s">
        <v>5</v>
      </c>
      <c r="L58" s="119" t="s">
        <v>2</v>
      </c>
      <c r="M58" s="119" t="s">
        <v>3</v>
      </c>
      <c r="N58" s="119" t="s">
        <v>2</v>
      </c>
      <c r="O58" s="119" t="s">
        <v>2</v>
      </c>
      <c r="P58" s="119" t="s">
        <v>5</v>
      </c>
      <c r="Q58" s="119" t="s">
        <v>5</v>
      </c>
      <c r="R58" s="119" t="s">
        <v>2</v>
      </c>
      <c r="S58" s="119" t="s">
        <v>5</v>
      </c>
      <c r="T58" s="119" t="s">
        <v>5</v>
      </c>
      <c r="U58" s="119" t="s">
        <v>3</v>
      </c>
      <c r="V58" s="119" t="s">
        <v>5</v>
      </c>
      <c r="W58" s="119" t="s">
        <v>2</v>
      </c>
      <c r="X58" s="119" t="s">
        <v>4</v>
      </c>
      <c r="Y58" s="119" t="s">
        <v>4</v>
      </c>
      <c r="Z58" s="119" t="s">
        <v>2</v>
      </c>
      <c r="AA58" s="119" t="s">
        <v>3</v>
      </c>
      <c r="AB58" s="119" t="s">
        <v>4</v>
      </c>
      <c r="AC58" s="119" t="s">
        <v>4</v>
      </c>
      <c r="AD58" s="119" t="s">
        <v>4</v>
      </c>
      <c r="AE58" s="119" t="s">
        <v>4</v>
      </c>
      <c r="AF58" s="119" t="s">
        <v>4</v>
      </c>
      <c r="AG58" s="119" t="s">
        <v>4</v>
      </c>
      <c r="AH58" s="119" t="s">
        <v>3</v>
      </c>
      <c r="AI58" s="119" t="s">
        <v>4</v>
      </c>
      <c r="AJ58" s="119" t="s">
        <v>3</v>
      </c>
      <c r="AK58" s="119" t="s">
        <v>4</v>
      </c>
      <c r="AL58" s="119" t="s">
        <v>4</v>
      </c>
      <c r="AM58" s="119" t="s">
        <v>3</v>
      </c>
      <c r="AN58" s="119" t="s">
        <v>3</v>
      </c>
    </row>
    <row r="59" spans="1:40" x14ac:dyDescent="0.3">
      <c r="A59" s="119">
        <f t="shared" si="0"/>
        <v>58</v>
      </c>
      <c r="B59" s="119" t="s">
        <v>34</v>
      </c>
      <c r="C59" s="119" t="s">
        <v>537</v>
      </c>
      <c r="D59" s="119">
        <v>5</v>
      </c>
      <c r="E59" s="119" t="s">
        <v>5</v>
      </c>
      <c r="F59" s="119" t="s">
        <v>5</v>
      </c>
      <c r="G59" s="119" t="s">
        <v>3</v>
      </c>
      <c r="H59" s="119" t="s">
        <v>5</v>
      </c>
      <c r="I59" s="119" t="s">
        <v>5</v>
      </c>
      <c r="J59" s="119" t="s">
        <v>3</v>
      </c>
      <c r="K59" s="119" t="s">
        <v>5</v>
      </c>
      <c r="L59" s="119" t="s">
        <v>2</v>
      </c>
      <c r="M59" s="119" t="s">
        <v>4</v>
      </c>
      <c r="N59" s="119" t="s">
        <v>4</v>
      </c>
      <c r="O59" s="119" t="s">
        <v>4</v>
      </c>
      <c r="P59" s="119" t="s">
        <v>5</v>
      </c>
      <c r="Q59" s="119" t="s">
        <v>2</v>
      </c>
      <c r="R59" s="119" t="s">
        <v>4</v>
      </c>
      <c r="S59" s="119" t="s">
        <v>5</v>
      </c>
      <c r="T59" s="119" t="s">
        <v>5</v>
      </c>
      <c r="U59" s="119" t="s">
        <v>2</v>
      </c>
      <c r="V59" s="119" t="s">
        <v>5</v>
      </c>
      <c r="W59" s="119" t="s">
        <v>5</v>
      </c>
      <c r="X59" s="119" t="s">
        <v>3</v>
      </c>
      <c r="Y59" s="119" t="s">
        <v>3</v>
      </c>
      <c r="Z59" s="119" t="s">
        <v>4</v>
      </c>
      <c r="AA59" s="119" t="s">
        <v>3</v>
      </c>
      <c r="AB59" s="119" t="s">
        <v>4</v>
      </c>
      <c r="AC59" s="119" t="s">
        <v>4</v>
      </c>
      <c r="AD59" s="119" t="s">
        <v>4</v>
      </c>
      <c r="AE59" s="119" t="s">
        <v>4</v>
      </c>
      <c r="AF59" s="119" t="s">
        <v>4</v>
      </c>
      <c r="AG59" s="119" t="s">
        <v>4</v>
      </c>
      <c r="AH59" s="119" t="s">
        <v>4</v>
      </c>
      <c r="AI59" s="119" t="s">
        <v>4</v>
      </c>
      <c r="AJ59" s="119" t="s">
        <v>3</v>
      </c>
      <c r="AK59" s="119" t="s">
        <v>4</v>
      </c>
      <c r="AL59" s="119" t="s">
        <v>4</v>
      </c>
      <c r="AM59" s="119" t="s">
        <v>3</v>
      </c>
      <c r="AN59" s="119" t="s">
        <v>3</v>
      </c>
    </row>
    <row r="60" spans="1:40" x14ac:dyDescent="0.3">
      <c r="A60" s="119">
        <f t="shared" si="0"/>
        <v>59</v>
      </c>
      <c r="B60" s="119" t="s">
        <v>271</v>
      </c>
      <c r="C60" s="119" t="s">
        <v>537</v>
      </c>
      <c r="D60" s="119">
        <v>5</v>
      </c>
      <c r="E60" s="119" t="s">
        <v>5</v>
      </c>
      <c r="F60" s="119" t="s">
        <v>3</v>
      </c>
      <c r="G60" s="119" t="s">
        <v>2</v>
      </c>
      <c r="H60" s="119" t="s">
        <v>5</v>
      </c>
      <c r="I60" s="119" t="s">
        <v>5</v>
      </c>
      <c r="J60" s="119" t="s">
        <v>5</v>
      </c>
      <c r="K60" s="119" t="s">
        <v>5</v>
      </c>
      <c r="L60" s="119" t="s">
        <v>2</v>
      </c>
      <c r="M60" s="119" t="s">
        <v>2</v>
      </c>
      <c r="N60" s="119" t="s">
        <v>2</v>
      </c>
      <c r="O60" s="119" t="s">
        <v>3</v>
      </c>
      <c r="P60" s="119" t="s">
        <v>2</v>
      </c>
      <c r="Q60" s="119" t="s">
        <v>5</v>
      </c>
      <c r="R60" s="119" t="s">
        <v>2</v>
      </c>
      <c r="S60" s="119" t="s">
        <v>2</v>
      </c>
      <c r="T60" s="119" t="s">
        <v>5</v>
      </c>
      <c r="U60" s="119" t="s">
        <v>5</v>
      </c>
      <c r="V60" s="119" t="s">
        <v>5</v>
      </c>
      <c r="W60" s="119" t="s">
        <v>5</v>
      </c>
      <c r="X60" s="119" t="s">
        <v>3</v>
      </c>
      <c r="Y60" s="119" t="s">
        <v>3</v>
      </c>
      <c r="Z60" s="119" t="s">
        <v>2</v>
      </c>
      <c r="AA60" s="119" t="s">
        <v>3</v>
      </c>
      <c r="AB60" s="119" t="s">
        <v>4</v>
      </c>
      <c r="AC60" s="119" t="s">
        <v>4</v>
      </c>
      <c r="AD60" s="119" t="s">
        <v>4</v>
      </c>
      <c r="AE60" s="119" t="s">
        <v>4</v>
      </c>
      <c r="AF60" s="119" t="s">
        <v>4</v>
      </c>
      <c r="AG60" s="119" t="s">
        <v>3</v>
      </c>
      <c r="AH60" s="119" t="s">
        <v>3</v>
      </c>
      <c r="AI60" s="119" t="s">
        <v>4</v>
      </c>
      <c r="AJ60" s="119" t="s">
        <v>3</v>
      </c>
      <c r="AK60" s="119" t="s">
        <v>4</v>
      </c>
      <c r="AL60" s="119" t="s">
        <v>4</v>
      </c>
      <c r="AM60" s="119" t="s">
        <v>3</v>
      </c>
      <c r="AN60" s="119" t="s">
        <v>3</v>
      </c>
    </row>
    <row r="61" spans="1:40" x14ac:dyDescent="0.3">
      <c r="A61" s="119">
        <f t="shared" si="0"/>
        <v>60</v>
      </c>
      <c r="B61" s="119" t="s">
        <v>272</v>
      </c>
      <c r="C61" s="119" t="s">
        <v>537</v>
      </c>
      <c r="D61" s="119">
        <v>5</v>
      </c>
      <c r="E61" s="119" t="s">
        <v>5</v>
      </c>
      <c r="F61" s="119" t="s">
        <v>5</v>
      </c>
      <c r="G61" s="119" t="s">
        <v>2</v>
      </c>
      <c r="H61" s="119" t="s">
        <v>5</v>
      </c>
      <c r="I61" s="119" t="s">
        <v>5</v>
      </c>
      <c r="J61" s="119" t="s">
        <v>3</v>
      </c>
      <c r="K61" s="119" t="s">
        <v>5</v>
      </c>
      <c r="L61" s="119" t="s">
        <v>2</v>
      </c>
      <c r="M61" s="119" t="s">
        <v>2</v>
      </c>
      <c r="N61" s="119" t="s">
        <v>2</v>
      </c>
      <c r="O61" s="119" t="s">
        <v>2</v>
      </c>
      <c r="P61" s="119" t="s">
        <v>2</v>
      </c>
      <c r="Q61" s="119" t="s">
        <v>2</v>
      </c>
      <c r="R61" s="119" t="s">
        <v>3</v>
      </c>
      <c r="S61" s="119" t="s">
        <v>3</v>
      </c>
      <c r="T61" s="119" t="s">
        <v>5</v>
      </c>
      <c r="U61" s="119" t="s">
        <v>5</v>
      </c>
      <c r="V61" s="119" t="s">
        <v>5</v>
      </c>
      <c r="W61" s="119" t="s">
        <v>5</v>
      </c>
      <c r="X61" s="119" t="s">
        <v>3</v>
      </c>
      <c r="Y61" s="119" t="s">
        <v>3</v>
      </c>
      <c r="Z61" s="119" t="s">
        <v>2</v>
      </c>
      <c r="AA61" s="119" t="s">
        <v>3</v>
      </c>
      <c r="AB61" s="119" t="s">
        <v>4</v>
      </c>
      <c r="AC61" s="119" t="s">
        <v>4</v>
      </c>
      <c r="AD61" s="119" t="s">
        <v>4</v>
      </c>
      <c r="AE61" s="119" t="s">
        <v>4</v>
      </c>
      <c r="AF61" s="119" t="s">
        <v>4</v>
      </c>
      <c r="AG61" s="119" t="s">
        <v>3</v>
      </c>
      <c r="AH61" s="119" t="s">
        <v>3</v>
      </c>
      <c r="AI61" s="119" t="s">
        <v>4</v>
      </c>
      <c r="AJ61" s="119" t="s">
        <v>3</v>
      </c>
      <c r="AK61" s="119" t="s">
        <v>3</v>
      </c>
      <c r="AL61" s="119" t="s">
        <v>4</v>
      </c>
      <c r="AM61" s="119" t="s">
        <v>3</v>
      </c>
      <c r="AN61" s="119" t="s">
        <v>3</v>
      </c>
    </row>
    <row r="62" spans="1:40" x14ac:dyDescent="0.3">
      <c r="A62" s="119">
        <f t="shared" si="0"/>
        <v>61</v>
      </c>
      <c r="B62" s="119" t="s">
        <v>273</v>
      </c>
      <c r="C62" s="119" t="s">
        <v>537</v>
      </c>
      <c r="D62" s="119">
        <v>5</v>
      </c>
      <c r="E62" s="119" t="s">
        <v>5</v>
      </c>
      <c r="F62" s="119" t="s">
        <v>5</v>
      </c>
      <c r="G62" s="119" t="s">
        <v>2</v>
      </c>
      <c r="H62" s="119" t="s">
        <v>5</v>
      </c>
      <c r="I62" s="119" t="s">
        <v>5</v>
      </c>
      <c r="J62" s="119" t="s">
        <v>3</v>
      </c>
      <c r="K62" s="119" t="s">
        <v>5</v>
      </c>
      <c r="L62" s="119" t="s">
        <v>2</v>
      </c>
      <c r="M62" s="119" t="s">
        <v>3</v>
      </c>
      <c r="N62" s="119" t="s">
        <v>5</v>
      </c>
      <c r="O62" s="119" t="s">
        <v>2</v>
      </c>
      <c r="P62" s="119" t="s">
        <v>5</v>
      </c>
      <c r="Q62" s="119" t="s">
        <v>5</v>
      </c>
      <c r="R62" s="119" t="s">
        <v>2</v>
      </c>
      <c r="S62" s="119" t="s">
        <v>2</v>
      </c>
      <c r="T62" s="119" t="s">
        <v>5</v>
      </c>
      <c r="U62" s="119" t="s">
        <v>5</v>
      </c>
      <c r="V62" s="119" t="s">
        <v>5</v>
      </c>
      <c r="W62" s="119" t="s">
        <v>5</v>
      </c>
      <c r="X62" s="119" t="s">
        <v>3</v>
      </c>
      <c r="Y62" s="119" t="s">
        <v>3</v>
      </c>
      <c r="Z62" s="119" t="s">
        <v>2</v>
      </c>
      <c r="AA62" s="119" t="s">
        <v>3</v>
      </c>
      <c r="AB62" s="119" t="s">
        <v>4</v>
      </c>
      <c r="AC62" s="119" t="s">
        <v>4</v>
      </c>
      <c r="AD62" s="119" t="s">
        <v>4</v>
      </c>
      <c r="AE62" s="119" t="s">
        <v>4</v>
      </c>
      <c r="AF62" s="119" t="s">
        <v>4</v>
      </c>
      <c r="AG62" s="119" t="s">
        <v>4</v>
      </c>
      <c r="AH62" s="119" t="s">
        <v>3</v>
      </c>
      <c r="AI62" s="119" t="s">
        <v>4</v>
      </c>
      <c r="AJ62" s="119" t="s">
        <v>3</v>
      </c>
      <c r="AK62" s="119" t="s">
        <v>3</v>
      </c>
      <c r="AL62" s="119" t="s">
        <v>4</v>
      </c>
      <c r="AM62" s="119" t="s">
        <v>4</v>
      </c>
      <c r="AN62" s="119" t="s">
        <v>3</v>
      </c>
    </row>
    <row r="63" spans="1:40" x14ac:dyDescent="0.3">
      <c r="A63" s="119">
        <f t="shared" si="0"/>
        <v>62</v>
      </c>
      <c r="B63" s="119" t="s">
        <v>274</v>
      </c>
      <c r="C63" s="119" t="s">
        <v>537</v>
      </c>
      <c r="D63" s="119">
        <v>5</v>
      </c>
      <c r="E63" s="119" t="s">
        <v>5</v>
      </c>
      <c r="F63" s="119" t="s">
        <v>3</v>
      </c>
      <c r="G63" s="119" t="s">
        <v>3</v>
      </c>
      <c r="H63" s="119" t="s">
        <v>5</v>
      </c>
      <c r="I63" s="119" t="s">
        <v>5</v>
      </c>
      <c r="J63" s="119" t="s">
        <v>5</v>
      </c>
      <c r="K63" s="119" t="s">
        <v>5</v>
      </c>
      <c r="L63" s="119" t="s">
        <v>2</v>
      </c>
      <c r="M63" s="119" t="s">
        <v>2</v>
      </c>
      <c r="N63" s="119" t="s">
        <v>5</v>
      </c>
      <c r="O63" s="119" t="s">
        <v>3</v>
      </c>
      <c r="P63" s="119" t="s">
        <v>2</v>
      </c>
      <c r="Q63" s="119" t="s">
        <v>5</v>
      </c>
      <c r="R63" s="119" t="s">
        <v>2</v>
      </c>
      <c r="S63" s="119" t="s">
        <v>3</v>
      </c>
      <c r="T63" s="119" t="s">
        <v>5</v>
      </c>
      <c r="U63" s="119" t="s">
        <v>5</v>
      </c>
      <c r="V63" s="119" t="s">
        <v>5</v>
      </c>
      <c r="W63" s="119" t="s">
        <v>5</v>
      </c>
      <c r="X63" s="119" t="s">
        <v>3</v>
      </c>
      <c r="Y63" s="119" t="s">
        <v>3</v>
      </c>
      <c r="Z63" s="119" t="s">
        <v>2</v>
      </c>
      <c r="AA63" s="119" t="s">
        <v>3</v>
      </c>
      <c r="AB63" s="119" t="s">
        <v>4</v>
      </c>
      <c r="AC63" s="119" t="s">
        <v>4</v>
      </c>
      <c r="AD63" s="119" t="s">
        <v>4</v>
      </c>
      <c r="AE63" s="119" t="s">
        <v>4</v>
      </c>
      <c r="AF63" s="119" t="s">
        <v>4</v>
      </c>
      <c r="AG63" s="119" t="s">
        <v>4</v>
      </c>
      <c r="AH63" s="119" t="s">
        <v>3</v>
      </c>
      <c r="AI63" s="119" t="s">
        <v>4</v>
      </c>
      <c r="AJ63" s="119" t="s">
        <v>3</v>
      </c>
      <c r="AK63" s="119" t="s">
        <v>4</v>
      </c>
      <c r="AL63" s="119" t="s">
        <v>4</v>
      </c>
      <c r="AM63" s="119" t="s">
        <v>4</v>
      </c>
      <c r="AN63" s="119" t="s">
        <v>3</v>
      </c>
    </row>
    <row r="64" spans="1:40" x14ac:dyDescent="0.3">
      <c r="A64" s="119">
        <f t="shared" si="0"/>
        <v>63</v>
      </c>
      <c r="B64" s="119" t="s">
        <v>473</v>
      </c>
      <c r="C64" s="119" t="s">
        <v>537</v>
      </c>
      <c r="D64" s="119">
        <v>5</v>
      </c>
      <c r="E64" s="119" t="s">
        <v>5</v>
      </c>
      <c r="F64" s="119" t="s">
        <v>3</v>
      </c>
      <c r="G64" s="119" t="s">
        <v>5</v>
      </c>
      <c r="H64" s="119" t="s">
        <v>5</v>
      </c>
      <c r="I64" s="119" t="s">
        <v>5</v>
      </c>
      <c r="J64" s="119" t="s">
        <v>5</v>
      </c>
      <c r="K64" s="119" t="s">
        <v>5</v>
      </c>
      <c r="L64" s="119" t="s">
        <v>2</v>
      </c>
      <c r="M64" s="119" t="s">
        <v>3</v>
      </c>
      <c r="N64" s="119" t="s">
        <v>3</v>
      </c>
      <c r="O64" s="119" t="s">
        <v>5</v>
      </c>
      <c r="P64" s="119" t="s">
        <v>2</v>
      </c>
      <c r="Q64" s="119" t="s">
        <v>5</v>
      </c>
      <c r="R64" s="119" t="s">
        <v>2</v>
      </c>
      <c r="S64" s="119" t="s">
        <v>2</v>
      </c>
      <c r="T64" s="119" t="s">
        <v>5</v>
      </c>
      <c r="U64" s="119" t="s">
        <v>5</v>
      </c>
      <c r="V64" s="119" t="s">
        <v>5</v>
      </c>
      <c r="W64" s="119" t="s">
        <v>3</v>
      </c>
      <c r="X64" s="119" t="s">
        <v>3</v>
      </c>
      <c r="Y64" s="119" t="s">
        <v>4</v>
      </c>
      <c r="Z64" s="119" t="s">
        <v>4</v>
      </c>
      <c r="AA64" s="119" t="s">
        <v>3</v>
      </c>
      <c r="AB64" s="119" t="s">
        <v>4</v>
      </c>
      <c r="AC64" s="119" t="s">
        <v>4</v>
      </c>
      <c r="AD64" s="119" t="s">
        <v>4</v>
      </c>
      <c r="AE64" s="119" t="s">
        <v>4</v>
      </c>
      <c r="AF64" s="119" t="s">
        <v>4</v>
      </c>
      <c r="AG64" s="119" t="s">
        <v>3</v>
      </c>
      <c r="AH64" s="119" t="s">
        <v>3</v>
      </c>
      <c r="AI64" s="119" t="s">
        <v>4</v>
      </c>
      <c r="AJ64" s="119" t="s">
        <v>3</v>
      </c>
      <c r="AK64" s="119" t="s">
        <v>4</v>
      </c>
      <c r="AL64" s="119" t="s">
        <v>4</v>
      </c>
      <c r="AM64" s="119" t="s">
        <v>3</v>
      </c>
      <c r="AN64" s="119" t="s">
        <v>3</v>
      </c>
    </row>
    <row r="65" spans="1:40" x14ac:dyDescent="0.3">
      <c r="A65" s="119">
        <f t="shared" si="0"/>
        <v>64</v>
      </c>
      <c r="B65" s="119" t="s">
        <v>478</v>
      </c>
      <c r="C65" s="119" t="s">
        <v>537</v>
      </c>
      <c r="D65" s="119">
        <v>5</v>
      </c>
      <c r="E65" s="119" t="s">
        <v>5</v>
      </c>
      <c r="F65" s="119" t="s">
        <v>5</v>
      </c>
      <c r="G65" s="119" t="s">
        <v>2</v>
      </c>
      <c r="H65" s="119" t="s">
        <v>5</v>
      </c>
      <c r="I65" s="119" t="s">
        <v>5</v>
      </c>
      <c r="J65" s="119" t="s">
        <v>3</v>
      </c>
      <c r="K65" s="119" t="s">
        <v>5</v>
      </c>
      <c r="L65" s="119" t="s">
        <v>2</v>
      </c>
      <c r="M65" s="119" t="s">
        <v>3</v>
      </c>
      <c r="N65" s="119" t="s">
        <v>5</v>
      </c>
      <c r="O65" s="119" t="s">
        <v>2</v>
      </c>
      <c r="P65" s="119" t="s">
        <v>5</v>
      </c>
      <c r="Q65" s="119" t="s">
        <v>5</v>
      </c>
      <c r="R65" s="119" t="s">
        <v>2</v>
      </c>
      <c r="S65" s="119" t="s">
        <v>2</v>
      </c>
      <c r="T65" s="119" t="s">
        <v>5</v>
      </c>
      <c r="U65" s="119" t="s">
        <v>5</v>
      </c>
      <c r="V65" s="119" t="s">
        <v>5</v>
      </c>
      <c r="W65" s="119" t="s">
        <v>5</v>
      </c>
      <c r="X65" s="119" t="s">
        <v>3</v>
      </c>
      <c r="Y65" s="119" t="s">
        <v>3</v>
      </c>
      <c r="Z65" s="119" t="s">
        <v>2</v>
      </c>
      <c r="AA65" s="119" t="s">
        <v>3</v>
      </c>
      <c r="AB65" s="119" t="s">
        <v>4</v>
      </c>
      <c r="AC65" s="119" t="s">
        <v>4</v>
      </c>
      <c r="AD65" s="119" t="s">
        <v>4</v>
      </c>
      <c r="AE65" s="119" t="s">
        <v>4</v>
      </c>
      <c r="AF65" s="119" t="s">
        <v>4</v>
      </c>
      <c r="AG65" s="119" t="s">
        <v>4</v>
      </c>
      <c r="AH65" s="119" t="s">
        <v>3</v>
      </c>
      <c r="AI65" s="119" t="s">
        <v>4</v>
      </c>
      <c r="AJ65" s="119" t="s">
        <v>3</v>
      </c>
      <c r="AK65" s="119" t="s">
        <v>4</v>
      </c>
      <c r="AL65" s="119" t="s">
        <v>4</v>
      </c>
      <c r="AM65" s="119" t="s">
        <v>3</v>
      </c>
      <c r="AN65" s="119" t="s">
        <v>3</v>
      </c>
    </row>
    <row r="66" spans="1:40" x14ac:dyDescent="0.3">
      <c r="A66" s="119">
        <f t="shared" ref="A66:A115" si="1">ROW()-1</f>
        <v>65</v>
      </c>
      <c r="B66" s="119" t="s">
        <v>494</v>
      </c>
      <c r="C66" s="119" t="s">
        <v>537</v>
      </c>
      <c r="D66" s="119">
        <v>5</v>
      </c>
      <c r="E66" s="119" t="s">
        <v>2</v>
      </c>
      <c r="F66" s="119" t="s">
        <v>5</v>
      </c>
      <c r="G66" s="119" t="s">
        <v>2</v>
      </c>
      <c r="H66" s="119" t="s">
        <v>5</v>
      </c>
      <c r="I66" s="119" t="s">
        <v>5</v>
      </c>
      <c r="J66" s="119" t="s">
        <v>5</v>
      </c>
      <c r="K66" s="119" t="s">
        <v>2</v>
      </c>
      <c r="L66" s="119" t="s">
        <v>2</v>
      </c>
      <c r="M66" s="119" t="s">
        <v>2</v>
      </c>
      <c r="N66" s="119" t="s">
        <v>4</v>
      </c>
      <c r="O66" s="119" t="s">
        <v>4</v>
      </c>
      <c r="P66" s="119" t="s">
        <v>4</v>
      </c>
      <c r="Q66" s="119" t="s">
        <v>5</v>
      </c>
      <c r="R66" s="119" t="s">
        <v>4</v>
      </c>
      <c r="S66" s="119" t="s">
        <v>5</v>
      </c>
      <c r="T66" s="119" t="s">
        <v>5</v>
      </c>
      <c r="U66" s="119" t="s">
        <v>5</v>
      </c>
      <c r="V66" s="119" t="s">
        <v>5</v>
      </c>
      <c r="W66" s="119" t="s">
        <v>5</v>
      </c>
      <c r="X66" s="119" t="s">
        <v>4</v>
      </c>
      <c r="Y66" s="119" t="s">
        <v>3</v>
      </c>
      <c r="Z66" s="119" t="s">
        <v>3</v>
      </c>
      <c r="AA66" s="119" t="s">
        <v>3</v>
      </c>
      <c r="AB66" s="119" t="s">
        <v>4</v>
      </c>
      <c r="AC66" s="119" t="s">
        <v>4</v>
      </c>
      <c r="AD66" s="119" t="s">
        <v>4</v>
      </c>
      <c r="AE66" s="119" t="s">
        <v>4</v>
      </c>
      <c r="AF66" s="119" t="s">
        <v>3</v>
      </c>
      <c r="AG66" s="119" t="s">
        <v>3</v>
      </c>
      <c r="AH66" s="119" t="s">
        <v>3</v>
      </c>
      <c r="AI66" s="119" t="s">
        <v>4</v>
      </c>
      <c r="AJ66" s="119" t="s">
        <v>3</v>
      </c>
      <c r="AK66" s="119" t="s">
        <v>4</v>
      </c>
      <c r="AL66" s="119" t="s">
        <v>4</v>
      </c>
      <c r="AM66" s="119" t="s">
        <v>4</v>
      </c>
      <c r="AN66" s="119" t="s">
        <v>3</v>
      </c>
    </row>
    <row r="67" spans="1:40" x14ac:dyDescent="0.3">
      <c r="A67" s="119">
        <f t="shared" si="1"/>
        <v>66</v>
      </c>
      <c r="B67" s="119" t="s">
        <v>35</v>
      </c>
      <c r="C67" s="119" t="s">
        <v>537</v>
      </c>
      <c r="D67" s="120">
        <v>6</v>
      </c>
      <c r="E67" s="119" t="s">
        <v>5</v>
      </c>
      <c r="F67" s="119" t="s">
        <v>3</v>
      </c>
      <c r="G67" s="119" t="s">
        <v>3</v>
      </c>
      <c r="H67" s="119" t="s">
        <v>5</v>
      </c>
      <c r="I67" s="119" t="s">
        <v>5</v>
      </c>
      <c r="J67" s="119" t="s">
        <v>5</v>
      </c>
      <c r="K67" s="119" t="s">
        <v>5</v>
      </c>
      <c r="L67" s="119" t="s">
        <v>5</v>
      </c>
      <c r="M67" s="119" t="s">
        <v>2</v>
      </c>
      <c r="N67" s="119" t="s">
        <v>3</v>
      </c>
      <c r="O67" s="119" t="s">
        <v>2</v>
      </c>
      <c r="P67" s="119" t="s">
        <v>3</v>
      </c>
      <c r="Q67" s="119" t="s">
        <v>2</v>
      </c>
      <c r="R67" s="119" t="s">
        <v>2</v>
      </c>
      <c r="S67" s="119" t="s">
        <v>3</v>
      </c>
      <c r="T67" s="119" t="s">
        <v>5</v>
      </c>
      <c r="U67" s="119" t="s">
        <v>2</v>
      </c>
      <c r="V67" s="119" t="s">
        <v>5</v>
      </c>
      <c r="W67" s="119" t="s">
        <v>3</v>
      </c>
      <c r="X67" s="119" t="s">
        <v>3</v>
      </c>
      <c r="Y67" s="119" t="s">
        <v>3</v>
      </c>
      <c r="Z67" s="119" t="s">
        <v>2</v>
      </c>
      <c r="AA67" s="119" t="s">
        <v>3</v>
      </c>
      <c r="AB67" s="119" t="s">
        <v>4</v>
      </c>
      <c r="AC67" s="119" t="s">
        <v>4</v>
      </c>
      <c r="AD67" s="119" t="s">
        <v>3</v>
      </c>
      <c r="AE67" s="119" t="s">
        <v>4</v>
      </c>
      <c r="AF67" s="119" t="s">
        <v>4</v>
      </c>
      <c r="AG67" s="119" t="s">
        <v>3</v>
      </c>
      <c r="AH67" s="119" t="s">
        <v>3</v>
      </c>
      <c r="AI67" s="119" t="s">
        <v>4</v>
      </c>
      <c r="AJ67" s="119" t="s">
        <v>3</v>
      </c>
      <c r="AK67" s="119" t="s">
        <v>4</v>
      </c>
      <c r="AL67" s="119" t="s">
        <v>4</v>
      </c>
      <c r="AM67" s="119" t="s">
        <v>3</v>
      </c>
      <c r="AN67" s="119" t="s">
        <v>3</v>
      </c>
    </row>
    <row r="68" spans="1:40" x14ac:dyDescent="0.3">
      <c r="A68" s="119">
        <f t="shared" si="1"/>
        <v>67</v>
      </c>
      <c r="B68" s="119" t="s">
        <v>36</v>
      </c>
      <c r="C68" s="119" t="s">
        <v>537</v>
      </c>
      <c r="D68" s="120">
        <v>6</v>
      </c>
      <c r="E68" s="119" t="s">
        <v>5</v>
      </c>
      <c r="F68" s="119" t="s">
        <v>5</v>
      </c>
      <c r="G68" s="119" t="s">
        <v>5</v>
      </c>
      <c r="H68" s="119" t="s">
        <v>5</v>
      </c>
      <c r="I68" s="119" t="s">
        <v>5</v>
      </c>
      <c r="J68" s="119" t="s">
        <v>5</v>
      </c>
      <c r="K68" s="119" t="s">
        <v>5</v>
      </c>
      <c r="L68" s="119" t="s">
        <v>2</v>
      </c>
      <c r="M68" s="119" t="s">
        <v>4</v>
      </c>
      <c r="N68" s="119" t="s">
        <v>4</v>
      </c>
      <c r="O68" s="119" t="s">
        <v>4</v>
      </c>
      <c r="P68" s="119" t="s">
        <v>5</v>
      </c>
      <c r="Q68" s="119" t="s">
        <v>5</v>
      </c>
      <c r="R68" s="119" t="s">
        <v>3</v>
      </c>
      <c r="S68" s="119" t="s">
        <v>5</v>
      </c>
      <c r="T68" s="119" t="s">
        <v>5</v>
      </c>
      <c r="U68" s="119" t="s">
        <v>2</v>
      </c>
      <c r="V68" s="119" t="s">
        <v>5</v>
      </c>
      <c r="W68" s="119" t="s">
        <v>3</v>
      </c>
      <c r="X68" s="119" t="s">
        <v>3</v>
      </c>
      <c r="Y68" s="119" t="s">
        <v>3</v>
      </c>
      <c r="Z68" s="119" t="s">
        <v>2</v>
      </c>
      <c r="AA68" s="119" t="s">
        <v>3</v>
      </c>
      <c r="AB68" s="119" t="s">
        <v>4</v>
      </c>
      <c r="AC68" s="119" t="s">
        <v>4</v>
      </c>
      <c r="AD68" s="119" t="s">
        <v>4</v>
      </c>
      <c r="AE68" s="119" t="s">
        <v>4</v>
      </c>
      <c r="AF68" s="119" t="s">
        <v>3</v>
      </c>
      <c r="AG68" s="119" t="s">
        <v>3</v>
      </c>
      <c r="AH68" s="119" t="s">
        <v>3</v>
      </c>
      <c r="AI68" s="119" t="s">
        <v>4</v>
      </c>
      <c r="AJ68" s="119" t="s">
        <v>3</v>
      </c>
      <c r="AK68" s="119" t="s">
        <v>3</v>
      </c>
      <c r="AL68" s="119" t="s">
        <v>3</v>
      </c>
      <c r="AM68" s="119" t="s">
        <v>3</v>
      </c>
      <c r="AN68" s="119" t="s">
        <v>3</v>
      </c>
    </row>
    <row r="69" spans="1:40" x14ac:dyDescent="0.3">
      <c r="A69" s="119">
        <f t="shared" si="1"/>
        <v>68</v>
      </c>
      <c r="B69" s="119" t="s">
        <v>37</v>
      </c>
      <c r="C69" s="119" t="s">
        <v>537</v>
      </c>
      <c r="D69" s="120">
        <v>6</v>
      </c>
      <c r="E69" s="119" t="s">
        <v>5</v>
      </c>
      <c r="F69" s="119" t="s">
        <v>3</v>
      </c>
      <c r="G69" s="119" t="s">
        <v>2</v>
      </c>
      <c r="H69" s="119" t="s">
        <v>5</v>
      </c>
      <c r="I69" s="119" t="s">
        <v>5</v>
      </c>
      <c r="J69" s="119" t="s">
        <v>5</v>
      </c>
      <c r="K69" s="119" t="s">
        <v>5</v>
      </c>
      <c r="L69" s="119" t="s">
        <v>2</v>
      </c>
      <c r="M69" s="119" t="s">
        <v>2</v>
      </c>
      <c r="N69" s="119" t="s">
        <v>4</v>
      </c>
      <c r="O69" s="119" t="s">
        <v>4</v>
      </c>
      <c r="P69" s="119" t="s">
        <v>5</v>
      </c>
      <c r="Q69" s="119" t="s">
        <v>5</v>
      </c>
      <c r="R69" s="119" t="s">
        <v>4</v>
      </c>
      <c r="S69" s="119" t="s">
        <v>5</v>
      </c>
      <c r="T69" s="119" t="s">
        <v>5</v>
      </c>
      <c r="U69" s="119" t="s">
        <v>2</v>
      </c>
      <c r="V69" s="119" t="s">
        <v>5</v>
      </c>
      <c r="W69" s="119" t="s">
        <v>5</v>
      </c>
      <c r="X69" s="119" t="s">
        <v>4</v>
      </c>
      <c r="Y69" s="119" t="s">
        <v>3</v>
      </c>
      <c r="Z69" s="119" t="s">
        <v>2</v>
      </c>
      <c r="AA69" s="119" t="s">
        <v>3</v>
      </c>
      <c r="AB69" s="119" t="s">
        <v>3</v>
      </c>
      <c r="AC69" s="119" t="s">
        <v>4</v>
      </c>
      <c r="AD69" s="119" t="s">
        <v>4</v>
      </c>
      <c r="AE69" s="119" t="s">
        <v>4</v>
      </c>
      <c r="AF69" s="119" t="s">
        <v>4</v>
      </c>
      <c r="AG69" s="119" t="s">
        <v>4</v>
      </c>
      <c r="AH69" s="119" t="s">
        <v>3</v>
      </c>
      <c r="AI69" s="119" t="s">
        <v>4</v>
      </c>
      <c r="AJ69" s="119" t="s">
        <v>3</v>
      </c>
      <c r="AK69" s="119" t="s">
        <v>4</v>
      </c>
      <c r="AL69" s="119" t="s">
        <v>4</v>
      </c>
      <c r="AM69" s="119" t="s">
        <v>4</v>
      </c>
      <c r="AN69" s="119" t="s">
        <v>3</v>
      </c>
    </row>
    <row r="70" spans="1:40" x14ac:dyDescent="0.3">
      <c r="A70" s="119">
        <f t="shared" si="1"/>
        <v>69</v>
      </c>
      <c r="B70" s="119" t="s">
        <v>38</v>
      </c>
      <c r="C70" s="119" t="s">
        <v>537</v>
      </c>
      <c r="D70" s="120">
        <v>6</v>
      </c>
      <c r="E70" s="119" t="s">
        <v>5</v>
      </c>
      <c r="F70" s="119" t="s">
        <v>3</v>
      </c>
      <c r="G70" s="119" t="s">
        <v>5</v>
      </c>
      <c r="H70" s="119" t="s">
        <v>5</v>
      </c>
      <c r="I70" s="119" t="s">
        <v>5</v>
      </c>
      <c r="J70" s="119" t="s">
        <v>5</v>
      </c>
      <c r="K70" s="119" t="s">
        <v>5</v>
      </c>
      <c r="L70" s="119" t="s">
        <v>2</v>
      </c>
      <c r="M70" s="119" t="s">
        <v>2</v>
      </c>
      <c r="N70" s="119" t="s">
        <v>4</v>
      </c>
      <c r="O70" s="119" t="s">
        <v>3</v>
      </c>
      <c r="P70" s="119" t="s">
        <v>5</v>
      </c>
      <c r="Q70" s="119" t="s">
        <v>2</v>
      </c>
      <c r="R70" s="119" t="s">
        <v>3</v>
      </c>
      <c r="S70" s="119" t="s">
        <v>2</v>
      </c>
      <c r="T70" s="119" t="s">
        <v>5</v>
      </c>
      <c r="U70" s="119" t="s">
        <v>5</v>
      </c>
      <c r="V70" s="119" t="s">
        <v>5</v>
      </c>
      <c r="W70" s="119" t="s">
        <v>5</v>
      </c>
      <c r="X70" s="119" t="s">
        <v>2</v>
      </c>
      <c r="Y70" s="119" t="s">
        <v>2</v>
      </c>
      <c r="Z70" s="119" t="s">
        <v>2</v>
      </c>
      <c r="AA70" s="119" t="s">
        <v>3</v>
      </c>
      <c r="AB70" s="119" t="s">
        <v>4</v>
      </c>
      <c r="AC70" s="119" t="s">
        <v>4</v>
      </c>
      <c r="AD70" s="119" t="s">
        <v>4</v>
      </c>
      <c r="AE70" s="119" t="s">
        <v>4</v>
      </c>
      <c r="AF70" s="119" t="s">
        <v>4</v>
      </c>
      <c r="AG70" s="119" t="s">
        <v>3</v>
      </c>
      <c r="AH70" s="119" t="s">
        <v>4</v>
      </c>
      <c r="AI70" s="119" t="s">
        <v>4</v>
      </c>
      <c r="AJ70" s="119" t="s">
        <v>4</v>
      </c>
      <c r="AK70" s="119" t="s">
        <v>4</v>
      </c>
      <c r="AL70" s="119" t="s">
        <v>4</v>
      </c>
      <c r="AM70" s="119" t="s">
        <v>4</v>
      </c>
      <c r="AN70" s="119" t="s">
        <v>3</v>
      </c>
    </row>
    <row r="71" spans="1:40" x14ac:dyDescent="0.3">
      <c r="A71" s="119">
        <f t="shared" si="1"/>
        <v>70</v>
      </c>
      <c r="B71" s="119" t="s">
        <v>254</v>
      </c>
      <c r="C71" s="119" t="s">
        <v>537</v>
      </c>
      <c r="D71" s="120">
        <v>6</v>
      </c>
      <c r="E71" s="119" t="s">
        <v>4</v>
      </c>
      <c r="F71" s="119" t="s">
        <v>5</v>
      </c>
      <c r="G71" s="119" t="s">
        <v>2</v>
      </c>
      <c r="H71" s="119" t="s">
        <v>5</v>
      </c>
      <c r="I71" s="119" t="s">
        <v>5</v>
      </c>
      <c r="J71" s="119" t="s">
        <v>5</v>
      </c>
      <c r="K71" s="119" t="s">
        <v>2</v>
      </c>
      <c r="L71" s="119" t="s">
        <v>2</v>
      </c>
      <c r="M71" s="119" t="s">
        <v>2</v>
      </c>
      <c r="N71" s="119" t="s">
        <v>4</v>
      </c>
      <c r="O71" s="119" t="s">
        <v>3</v>
      </c>
      <c r="P71" s="119" t="s">
        <v>5</v>
      </c>
      <c r="Q71" s="119" t="s">
        <v>5</v>
      </c>
      <c r="R71" s="119" t="s">
        <v>4</v>
      </c>
      <c r="S71" s="119" t="s">
        <v>5</v>
      </c>
      <c r="T71" s="119" t="s">
        <v>5</v>
      </c>
      <c r="U71" s="119" t="s">
        <v>5</v>
      </c>
      <c r="V71" s="119" t="s">
        <v>5</v>
      </c>
      <c r="W71" s="119" t="s">
        <v>5</v>
      </c>
      <c r="X71" s="119" t="s">
        <v>4</v>
      </c>
      <c r="Y71" s="119" t="s">
        <v>3</v>
      </c>
      <c r="Z71" s="119" t="s">
        <v>2</v>
      </c>
      <c r="AA71" s="119" t="s">
        <v>3</v>
      </c>
      <c r="AB71" s="119" t="s">
        <v>4</v>
      </c>
      <c r="AC71" s="119" t="s">
        <v>4</v>
      </c>
      <c r="AD71" s="119" t="s">
        <v>4</v>
      </c>
      <c r="AE71" s="119" t="s">
        <v>3</v>
      </c>
      <c r="AF71" s="119" t="s">
        <v>4</v>
      </c>
      <c r="AG71" s="119" t="s">
        <v>3</v>
      </c>
      <c r="AH71" s="119" t="s">
        <v>3</v>
      </c>
      <c r="AI71" s="119" t="s">
        <v>3</v>
      </c>
      <c r="AJ71" s="119" t="s">
        <v>3</v>
      </c>
      <c r="AK71" s="119" t="s">
        <v>3</v>
      </c>
      <c r="AL71" s="119" t="s">
        <v>3</v>
      </c>
      <c r="AM71" s="119" t="s">
        <v>3</v>
      </c>
      <c r="AN71" s="119" t="s">
        <v>3</v>
      </c>
    </row>
    <row r="72" spans="1:40" x14ac:dyDescent="0.3">
      <c r="A72" s="119">
        <f t="shared" si="1"/>
        <v>71</v>
      </c>
      <c r="B72" s="119" t="s">
        <v>253</v>
      </c>
      <c r="C72" s="119" t="s">
        <v>537</v>
      </c>
      <c r="D72" s="120">
        <v>6</v>
      </c>
      <c r="E72" s="119" t="s">
        <v>5</v>
      </c>
      <c r="F72" s="119" t="s">
        <v>5</v>
      </c>
      <c r="G72" s="119" t="s">
        <v>3</v>
      </c>
      <c r="H72" s="119" t="s">
        <v>2</v>
      </c>
      <c r="I72" s="119" t="s">
        <v>5</v>
      </c>
      <c r="J72" s="119" t="s">
        <v>5</v>
      </c>
      <c r="K72" s="119" t="s">
        <v>5</v>
      </c>
      <c r="L72" s="119" t="s">
        <v>5</v>
      </c>
      <c r="M72" s="119" t="s">
        <v>2</v>
      </c>
      <c r="N72" s="119" t="s">
        <v>4</v>
      </c>
      <c r="O72" s="119" t="s">
        <v>4</v>
      </c>
      <c r="P72" s="119" t="s">
        <v>2</v>
      </c>
      <c r="Q72" s="119" t="s">
        <v>5</v>
      </c>
      <c r="R72" s="119" t="s">
        <v>2</v>
      </c>
      <c r="S72" s="119" t="s">
        <v>2</v>
      </c>
      <c r="T72" s="119" t="s">
        <v>5</v>
      </c>
      <c r="U72" s="119" t="s">
        <v>3</v>
      </c>
      <c r="V72" s="119" t="s">
        <v>5</v>
      </c>
      <c r="W72" s="119" t="s">
        <v>3</v>
      </c>
      <c r="X72" s="119" t="s">
        <v>2</v>
      </c>
      <c r="Y72" s="119" t="s">
        <v>2</v>
      </c>
      <c r="Z72" s="119" t="s">
        <v>5</v>
      </c>
      <c r="AA72" s="119" t="s">
        <v>3</v>
      </c>
      <c r="AB72" s="119" t="s">
        <v>4</v>
      </c>
      <c r="AC72" s="119" t="s">
        <v>4</v>
      </c>
      <c r="AD72" s="119" t="s">
        <v>4</v>
      </c>
      <c r="AE72" s="119" t="s">
        <v>3</v>
      </c>
      <c r="AF72" s="119" t="s">
        <v>4</v>
      </c>
      <c r="AG72" s="119" t="s">
        <v>3</v>
      </c>
      <c r="AH72" s="119" t="s">
        <v>3</v>
      </c>
      <c r="AI72" s="119" t="s">
        <v>3</v>
      </c>
      <c r="AJ72" s="119" t="s">
        <v>3</v>
      </c>
      <c r="AK72" s="119" t="s">
        <v>3</v>
      </c>
      <c r="AL72" s="119" t="s">
        <v>3</v>
      </c>
      <c r="AM72" s="119" t="s">
        <v>4</v>
      </c>
      <c r="AN72" s="119" t="s">
        <v>3</v>
      </c>
    </row>
    <row r="73" spans="1:40" x14ac:dyDescent="0.3">
      <c r="A73" s="119">
        <f t="shared" si="1"/>
        <v>72</v>
      </c>
      <c r="B73" s="119" t="s">
        <v>275</v>
      </c>
      <c r="C73" s="119" t="s">
        <v>537</v>
      </c>
      <c r="D73" s="120">
        <v>6</v>
      </c>
      <c r="E73" s="119" t="s">
        <v>5</v>
      </c>
      <c r="F73" s="119" t="s">
        <v>3</v>
      </c>
      <c r="G73" s="119" t="s">
        <v>3</v>
      </c>
      <c r="H73" s="119" t="s">
        <v>5</v>
      </c>
      <c r="I73" s="119" t="s">
        <v>5</v>
      </c>
      <c r="J73" s="119" t="s">
        <v>5</v>
      </c>
      <c r="K73" s="119" t="s">
        <v>5</v>
      </c>
      <c r="L73" s="119" t="s">
        <v>2</v>
      </c>
      <c r="M73" s="119" t="s">
        <v>2</v>
      </c>
      <c r="N73" s="119" t="s">
        <v>5</v>
      </c>
      <c r="O73" s="119" t="s">
        <v>3</v>
      </c>
      <c r="P73" s="119" t="s">
        <v>5</v>
      </c>
      <c r="Q73" s="119" t="s">
        <v>5</v>
      </c>
      <c r="R73" s="119" t="s">
        <v>3</v>
      </c>
      <c r="S73" s="119" t="s">
        <v>2</v>
      </c>
      <c r="T73" s="119" t="s">
        <v>5</v>
      </c>
      <c r="U73" s="119" t="s">
        <v>5</v>
      </c>
      <c r="V73" s="119" t="s">
        <v>5</v>
      </c>
      <c r="W73" s="119" t="s">
        <v>5</v>
      </c>
      <c r="X73" s="119" t="s">
        <v>4</v>
      </c>
      <c r="Y73" s="119" t="s">
        <v>4</v>
      </c>
      <c r="Z73" s="119" t="s">
        <v>4</v>
      </c>
      <c r="AA73" s="119" t="s">
        <v>3</v>
      </c>
      <c r="AB73" s="119" t="s">
        <v>4</v>
      </c>
      <c r="AC73" s="119" t="s">
        <v>4</v>
      </c>
      <c r="AD73" s="119" t="s">
        <v>4</v>
      </c>
      <c r="AE73" s="119" t="s">
        <v>4</v>
      </c>
      <c r="AF73" s="119" t="s">
        <v>4</v>
      </c>
      <c r="AG73" s="119" t="s">
        <v>4</v>
      </c>
      <c r="AH73" s="119" t="s">
        <v>3</v>
      </c>
      <c r="AI73" s="119" t="s">
        <v>4</v>
      </c>
      <c r="AJ73" s="119" t="s">
        <v>3</v>
      </c>
      <c r="AK73" s="119" t="s">
        <v>3</v>
      </c>
      <c r="AL73" s="119" t="s">
        <v>3</v>
      </c>
      <c r="AM73" s="119" t="s">
        <v>4</v>
      </c>
      <c r="AN73" s="119" t="s">
        <v>3</v>
      </c>
    </row>
    <row r="74" spans="1:40" x14ac:dyDescent="0.3">
      <c r="A74" s="119">
        <f t="shared" si="1"/>
        <v>73</v>
      </c>
      <c r="B74" s="119" t="s">
        <v>276</v>
      </c>
      <c r="C74" s="119" t="s">
        <v>537</v>
      </c>
      <c r="D74" s="120">
        <v>6</v>
      </c>
      <c r="E74" s="119" t="s">
        <v>5</v>
      </c>
      <c r="F74" s="119" t="s">
        <v>5</v>
      </c>
      <c r="G74" s="119" t="s">
        <v>5</v>
      </c>
      <c r="H74" s="119" t="s">
        <v>5</v>
      </c>
      <c r="I74" s="119" t="s">
        <v>5</v>
      </c>
      <c r="J74" s="119" t="s">
        <v>5</v>
      </c>
      <c r="K74" s="119" t="s">
        <v>5</v>
      </c>
      <c r="L74" s="119" t="s">
        <v>2</v>
      </c>
      <c r="M74" s="119" t="s">
        <v>3</v>
      </c>
      <c r="N74" s="119" t="s">
        <v>5</v>
      </c>
      <c r="O74" s="119" t="s">
        <v>4</v>
      </c>
      <c r="P74" s="119" t="s">
        <v>5</v>
      </c>
      <c r="Q74" s="119" t="s">
        <v>2</v>
      </c>
      <c r="R74" s="119" t="s">
        <v>2</v>
      </c>
      <c r="S74" s="119" t="s">
        <v>2</v>
      </c>
      <c r="T74" s="119" t="s">
        <v>5</v>
      </c>
      <c r="U74" s="119" t="s">
        <v>3</v>
      </c>
      <c r="V74" s="119" t="s">
        <v>5</v>
      </c>
      <c r="W74" s="119" t="s">
        <v>5</v>
      </c>
      <c r="X74" s="119" t="s">
        <v>3</v>
      </c>
      <c r="Y74" s="119" t="s">
        <v>2</v>
      </c>
      <c r="Z74" s="119" t="s">
        <v>2</v>
      </c>
      <c r="AA74" s="119" t="s">
        <v>3</v>
      </c>
      <c r="AB74" s="119" t="s">
        <v>4</v>
      </c>
      <c r="AC74" s="119" t="s">
        <v>4</v>
      </c>
      <c r="AD74" s="119" t="s">
        <v>4</v>
      </c>
      <c r="AE74" s="119" t="s">
        <v>4</v>
      </c>
      <c r="AF74" s="119" t="s">
        <v>4</v>
      </c>
      <c r="AG74" s="119" t="s">
        <v>4</v>
      </c>
      <c r="AH74" s="119" t="s">
        <v>4</v>
      </c>
      <c r="AI74" s="119" t="s">
        <v>4</v>
      </c>
      <c r="AJ74" s="119" t="s">
        <v>3</v>
      </c>
      <c r="AK74" s="119" t="s">
        <v>3</v>
      </c>
      <c r="AL74" s="119" t="s">
        <v>4</v>
      </c>
      <c r="AM74" s="119" t="s">
        <v>4</v>
      </c>
      <c r="AN74" s="119" t="s">
        <v>3</v>
      </c>
    </row>
    <row r="75" spans="1:40" x14ac:dyDescent="0.3">
      <c r="A75" s="119">
        <f t="shared" si="1"/>
        <v>74</v>
      </c>
      <c r="B75" s="119" t="s">
        <v>277</v>
      </c>
      <c r="C75" s="119" t="s">
        <v>537</v>
      </c>
      <c r="D75" s="120">
        <v>6</v>
      </c>
      <c r="E75" s="119" t="s">
        <v>5</v>
      </c>
      <c r="F75" s="119" t="s">
        <v>3</v>
      </c>
      <c r="G75" s="119" t="s">
        <v>4</v>
      </c>
      <c r="H75" s="119" t="s">
        <v>5</v>
      </c>
      <c r="I75" s="119" t="s">
        <v>5</v>
      </c>
      <c r="J75" s="119" t="s">
        <v>3</v>
      </c>
      <c r="K75" s="119" t="s">
        <v>2</v>
      </c>
      <c r="L75" s="119" t="s">
        <v>2</v>
      </c>
      <c r="M75" s="119" t="s">
        <v>3</v>
      </c>
      <c r="N75" s="119" t="s">
        <v>3</v>
      </c>
      <c r="O75" s="119" t="s">
        <v>4</v>
      </c>
      <c r="P75" s="119" t="s">
        <v>5</v>
      </c>
      <c r="Q75" s="119" t="s">
        <v>5</v>
      </c>
      <c r="R75" s="119" t="s">
        <v>3</v>
      </c>
      <c r="S75" s="119" t="s">
        <v>5</v>
      </c>
      <c r="T75" s="119" t="s">
        <v>5</v>
      </c>
      <c r="U75" s="119" t="s">
        <v>5</v>
      </c>
      <c r="V75" s="119" t="s">
        <v>5</v>
      </c>
      <c r="W75" s="119" t="s">
        <v>4</v>
      </c>
      <c r="X75" s="119" t="s">
        <v>4</v>
      </c>
      <c r="Y75" s="119" t="s">
        <v>3</v>
      </c>
      <c r="Z75" s="119" t="s">
        <v>4</v>
      </c>
      <c r="AA75" s="119" t="s">
        <v>3</v>
      </c>
      <c r="AB75" s="119" t="s">
        <v>3</v>
      </c>
      <c r="AC75" s="119" t="s">
        <v>3</v>
      </c>
      <c r="AD75" s="119" t="s">
        <v>4</v>
      </c>
      <c r="AE75" s="119" t="s">
        <v>4</v>
      </c>
      <c r="AF75" s="119" t="s">
        <v>4</v>
      </c>
      <c r="AG75" s="119" t="s">
        <v>4</v>
      </c>
      <c r="AH75" s="119" t="s">
        <v>4</v>
      </c>
      <c r="AI75" s="119" t="s">
        <v>4</v>
      </c>
      <c r="AJ75" s="119" t="s">
        <v>4</v>
      </c>
      <c r="AK75" s="119" t="s">
        <v>4</v>
      </c>
      <c r="AL75" s="119" t="s">
        <v>4</v>
      </c>
      <c r="AM75" s="119" t="s">
        <v>4</v>
      </c>
      <c r="AN75" s="119" t="s">
        <v>4</v>
      </c>
    </row>
    <row r="76" spans="1:40" x14ac:dyDescent="0.3">
      <c r="A76" s="119">
        <f t="shared" si="1"/>
        <v>75</v>
      </c>
      <c r="B76" s="119" t="s">
        <v>278</v>
      </c>
      <c r="C76" s="119" t="s">
        <v>537</v>
      </c>
      <c r="D76" s="120">
        <v>6</v>
      </c>
      <c r="E76" s="119" t="s">
        <v>5</v>
      </c>
      <c r="F76" s="119" t="s">
        <v>5</v>
      </c>
      <c r="G76" s="119" t="s">
        <v>3</v>
      </c>
      <c r="H76" s="119" t="s">
        <v>5</v>
      </c>
      <c r="I76" s="119" t="s">
        <v>5</v>
      </c>
      <c r="J76" s="119" t="s">
        <v>5</v>
      </c>
      <c r="K76" s="119" t="s">
        <v>5</v>
      </c>
      <c r="L76" s="119" t="s">
        <v>2</v>
      </c>
      <c r="M76" s="119" t="s">
        <v>2</v>
      </c>
      <c r="N76" s="119" t="s">
        <v>4</v>
      </c>
      <c r="O76" s="119" t="s">
        <v>4</v>
      </c>
      <c r="P76" s="119" t="s">
        <v>4</v>
      </c>
      <c r="Q76" s="119" t="s">
        <v>5</v>
      </c>
      <c r="R76" s="119" t="s">
        <v>4</v>
      </c>
      <c r="S76" s="119" t="s">
        <v>5</v>
      </c>
      <c r="T76" s="119" t="s">
        <v>5</v>
      </c>
      <c r="U76" s="119" t="s">
        <v>5</v>
      </c>
      <c r="V76" s="119" t="s">
        <v>5</v>
      </c>
      <c r="W76" s="119" t="s">
        <v>3</v>
      </c>
      <c r="X76" s="119" t="s">
        <v>5</v>
      </c>
      <c r="Y76" s="119" t="s">
        <v>2</v>
      </c>
      <c r="Z76" s="119" t="s">
        <v>4</v>
      </c>
      <c r="AA76" s="119" t="s">
        <v>3</v>
      </c>
      <c r="AB76" s="119" t="s">
        <v>4</v>
      </c>
      <c r="AC76" s="119" t="s">
        <v>4</v>
      </c>
      <c r="AD76" s="119" t="s">
        <v>4</v>
      </c>
      <c r="AE76" s="119" t="s">
        <v>4</v>
      </c>
      <c r="AF76" s="119" t="s">
        <v>4</v>
      </c>
      <c r="AG76" s="119" t="s">
        <v>4</v>
      </c>
      <c r="AH76" s="119" t="s">
        <v>3</v>
      </c>
      <c r="AI76" s="119" t="s">
        <v>4</v>
      </c>
      <c r="AJ76" s="119" t="s">
        <v>3</v>
      </c>
      <c r="AK76" s="119" t="s">
        <v>3</v>
      </c>
      <c r="AL76" s="119" t="s">
        <v>4</v>
      </c>
      <c r="AM76" s="119" t="s">
        <v>4</v>
      </c>
      <c r="AN76" s="119" t="s">
        <v>3</v>
      </c>
    </row>
    <row r="77" spans="1:40" x14ac:dyDescent="0.3">
      <c r="A77" s="119">
        <f t="shared" si="1"/>
        <v>76</v>
      </c>
      <c r="B77" s="119" t="s">
        <v>474</v>
      </c>
      <c r="C77" s="119" t="s">
        <v>537</v>
      </c>
      <c r="D77" s="119">
        <v>6</v>
      </c>
      <c r="E77" s="119" t="s">
        <v>5</v>
      </c>
      <c r="F77" s="119" t="s">
        <v>5</v>
      </c>
      <c r="G77" s="119" t="s">
        <v>3</v>
      </c>
      <c r="H77" s="119" t="s">
        <v>5</v>
      </c>
      <c r="I77" s="119" t="s">
        <v>5</v>
      </c>
      <c r="J77" s="119" t="s">
        <v>5</v>
      </c>
      <c r="K77" s="119" t="s">
        <v>2</v>
      </c>
      <c r="L77" s="119" t="s">
        <v>2</v>
      </c>
      <c r="M77" s="119" t="s">
        <v>2</v>
      </c>
      <c r="N77" s="119" t="s">
        <v>2</v>
      </c>
      <c r="O77" s="119" t="s">
        <v>4</v>
      </c>
      <c r="P77" s="119" t="s">
        <v>5</v>
      </c>
      <c r="Q77" s="119" t="s">
        <v>2</v>
      </c>
      <c r="R77" s="119" t="s">
        <v>3</v>
      </c>
      <c r="S77" s="119" t="s">
        <v>3</v>
      </c>
      <c r="T77" s="119" t="s">
        <v>5</v>
      </c>
      <c r="U77" s="119" t="s">
        <v>3</v>
      </c>
      <c r="V77" s="119" t="s">
        <v>2</v>
      </c>
      <c r="W77" s="119" t="s">
        <v>3</v>
      </c>
      <c r="X77" s="119" t="s">
        <v>4</v>
      </c>
      <c r="Y77" s="119" t="s">
        <v>4</v>
      </c>
      <c r="Z77" s="119" t="s">
        <v>4</v>
      </c>
      <c r="AA77" s="119" t="s">
        <v>3</v>
      </c>
      <c r="AB77" s="119" t="s">
        <v>4</v>
      </c>
      <c r="AC77" s="119" t="s">
        <v>4</v>
      </c>
      <c r="AD77" s="119" t="s">
        <v>4</v>
      </c>
      <c r="AE77" s="119" t="s">
        <v>4</v>
      </c>
      <c r="AF77" s="119" t="s">
        <v>4</v>
      </c>
      <c r="AG77" s="119" t="s">
        <v>4</v>
      </c>
      <c r="AH77" s="119" t="s">
        <v>3</v>
      </c>
      <c r="AI77" s="119" t="s">
        <v>4</v>
      </c>
      <c r="AJ77" s="119" t="s">
        <v>3</v>
      </c>
      <c r="AK77" s="119" t="s">
        <v>4</v>
      </c>
      <c r="AL77" s="119" t="s">
        <v>3</v>
      </c>
      <c r="AM77" s="119" t="s">
        <v>3</v>
      </c>
      <c r="AN77" s="119" t="s">
        <v>3</v>
      </c>
    </row>
    <row r="78" spans="1:40" x14ac:dyDescent="0.3">
      <c r="A78" s="119">
        <f t="shared" si="1"/>
        <v>77</v>
      </c>
      <c r="B78" s="119" t="s">
        <v>476</v>
      </c>
      <c r="C78" s="119" t="s">
        <v>537</v>
      </c>
      <c r="D78" s="119">
        <v>6</v>
      </c>
      <c r="E78" s="119" t="s">
        <v>5</v>
      </c>
      <c r="F78" s="119" t="s">
        <v>5</v>
      </c>
      <c r="G78" s="119" t="s">
        <v>5</v>
      </c>
      <c r="H78" s="119" t="s">
        <v>5</v>
      </c>
      <c r="I78" s="119" t="s">
        <v>5</v>
      </c>
      <c r="J78" s="119" t="s">
        <v>5</v>
      </c>
      <c r="K78" s="119" t="s">
        <v>5</v>
      </c>
      <c r="L78" s="119" t="s">
        <v>2</v>
      </c>
      <c r="M78" s="119" t="s">
        <v>3</v>
      </c>
      <c r="N78" s="119" t="s">
        <v>3</v>
      </c>
      <c r="O78" s="119" t="s">
        <v>4</v>
      </c>
      <c r="P78" s="119" t="s">
        <v>3</v>
      </c>
      <c r="Q78" s="119" t="s">
        <v>5</v>
      </c>
      <c r="R78" s="119" t="s">
        <v>3</v>
      </c>
      <c r="S78" s="119" t="s">
        <v>3</v>
      </c>
      <c r="T78" s="119" t="s">
        <v>5</v>
      </c>
      <c r="U78" s="119" t="s">
        <v>3</v>
      </c>
      <c r="V78" s="119" t="s">
        <v>5</v>
      </c>
      <c r="W78" s="119" t="s">
        <v>4</v>
      </c>
      <c r="X78" s="119" t="s">
        <v>2</v>
      </c>
      <c r="Y78" s="119" t="s">
        <v>5</v>
      </c>
      <c r="Z78" s="119" t="s">
        <v>4</v>
      </c>
      <c r="AA78" s="119" t="s">
        <v>3</v>
      </c>
      <c r="AB78" s="119" t="s">
        <v>4</v>
      </c>
      <c r="AC78" s="119" t="s">
        <v>4</v>
      </c>
      <c r="AD78" s="119" t="s">
        <v>4</v>
      </c>
      <c r="AE78" s="119" t="s">
        <v>4</v>
      </c>
      <c r="AF78" s="119" t="s">
        <v>3</v>
      </c>
      <c r="AG78" s="119" t="s">
        <v>4</v>
      </c>
      <c r="AH78" s="119" t="s">
        <v>3</v>
      </c>
      <c r="AI78" s="119" t="s">
        <v>4</v>
      </c>
      <c r="AJ78" s="119" t="s">
        <v>3</v>
      </c>
      <c r="AK78" s="119" t="s">
        <v>4</v>
      </c>
      <c r="AL78" s="119" t="s">
        <v>3</v>
      </c>
      <c r="AM78" s="119" t="s">
        <v>3</v>
      </c>
      <c r="AN78" s="119" t="s">
        <v>3</v>
      </c>
    </row>
    <row r="79" spans="1:40" x14ac:dyDescent="0.3">
      <c r="A79" s="119">
        <f t="shared" si="1"/>
        <v>78</v>
      </c>
      <c r="B79" s="119" t="s">
        <v>489</v>
      </c>
      <c r="C79" s="119" t="s">
        <v>537</v>
      </c>
      <c r="D79" s="119">
        <v>6</v>
      </c>
      <c r="E79" s="119" t="s">
        <v>5</v>
      </c>
      <c r="F79" s="119" t="s">
        <v>5</v>
      </c>
      <c r="G79" s="119" t="s">
        <v>4</v>
      </c>
      <c r="H79" s="119" t="s">
        <v>5</v>
      </c>
      <c r="I79" s="119" t="s">
        <v>5</v>
      </c>
      <c r="J79" s="119" t="s">
        <v>3</v>
      </c>
      <c r="K79" s="119" t="s">
        <v>5</v>
      </c>
      <c r="L79" s="119" t="s">
        <v>2</v>
      </c>
      <c r="M79" s="119" t="s">
        <v>2</v>
      </c>
      <c r="N79" s="119" t="s">
        <v>4</v>
      </c>
      <c r="O79" s="119" t="s">
        <v>3</v>
      </c>
      <c r="P79" s="119" t="s">
        <v>5</v>
      </c>
      <c r="Q79" s="119" t="s">
        <v>5</v>
      </c>
      <c r="R79" s="119" t="s">
        <v>4</v>
      </c>
      <c r="S79" s="119" t="s">
        <v>5</v>
      </c>
      <c r="T79" s="119" t="s">
        <v>5</v>
      </c>
      <c r="U79" s="119" t="s">
        <v>5</v>
      </c>
      <c r="V79" s="119" t="s">
        <v>5</v>
      </c>
      <c r="W79" s="119" t="s">
        <v>2</v>
      </c>
      <c r="X79" s="119" t="s">
        <v>4</v>
      </c>
      <c r="Y79" s="119" t="s">
        <v>5</v>
      </c>
      <c r="Z79" s="119" t="s">
        <v>2</v>
      </c>
      <c r="AA79" s="119" t="s">
        <v>3</v>
      </c>
      <c r="AB79" s="119" t="s">
        <v>4</v>
      </c>
      <c r="AC79" s="119" t="s">
        <v>4</v>
      </c>
      <c r="AD79" s="119" t="s">
        <v>4</v>
      </c>
      <c r="AE79" s="119" t="s">
        <v>4</v>
      </c>
      <c r="AF79" s="119" t="s">
        <v>4</v>
      </c>
      <c r="AG79" s="119" t="s">
        <v>4</v>
      </c>
      <c r="AH79" s="119" t="s">
        <v>3</v>
      </c>
      <c r="AI79" s="119" t="s">
        <v>4</v>
      </c>
      <c r="AJ79" s="119" t="s">
        <v>4</v>
      </c>
      <c r="AK79" s="119" t="s">
        <v>4</v>
      </c>
      <c r="AL79" s="119" t="s">
        <v>3</v>
      </c>
      <c r="AM79" s="119" t="s">
        <v>4</v>
      </c>
      <c r="AN79" s="119" t="s">
        <v>3</v>
      </c>
    </row>
    <row r="80" spans="1:40" x14ac:dyDescent="0.3">
      <c r="A80" s="119">
        <f t="shared" si="1"/>
        <v>79</v>
      </c>
      <c r="B80" s="119" t="s">
        <v>317</v>
      </c>
      <c r="C80" s="119" t="s">
        <v>538</v>
      </c>
      <c r="D80" s="119">
        <v>1</v>
      </c>
      <c r="E80" s="119" t="s">
        <v>4</v>
      </c>
      <c r="F80" s="119" t="s">
        <v>5</v>
      </c>
      <c r="G80" s="119" t="s">
        <v>3</v>
      </c>
      <c r="H80" s="119" t="s">
        <v>5</v>
      </c>
      <c r="I80" s="119" t="s">
        <v>5</v>
      </c>
      <c r="J80" s="119" t="s">
        <v>5</v>
      </c>
      <c r="K80" s="119" t="s">
        <v>2</v>
      </c>
      <c r="L80" s="119" t="s">
        <v>2</v>
      </c>
      <c r="M80" s="119" t="s">
        <v>2</v>
      </c>
      <c r="N80" s="119" t="s">
        <v>2</v>
      </c>
      <c r="O80" s="119" t="s">
        <v>3</v>
      </c>
      <c r="P80" s="119" t="s">
        <v>5</v>
      </c>
      <c r="Q80" s="119" t="s">
        <v>5</v>
      </c>
      <c r="R80" s="119" t="s">
        <v>3</v>
      </c>
      <c r="S80" s="119" t="s">
        <v>3</v>
      </c>
      <c r="T80" s="119" t="s">
        <v>5</v>
      </c>
      <c r="U80" s="119" t="s">
        <v>5</v>
      </c>
      <c r="V80" s="119" t="s">
        <v>5</v>
      </c>
      <c r="W80" s="119" t="s">
        <v>2</v>
      </c>
      <c r="X80" s="119" t="s">
        <v>4</v>
      </c>
      <c r="Y80" s="119" t="s">
        <v>4</v>
      </c>
      <c r="Z80" s="119" t="s">
        <v>2</v>
      </c>
      <c r="AA80" s="119" t="s">
        <v>4</v>
      </c>
      <c r="AB80" s="119" t="s">
        <v>4</v>
      </c>
      <c r="AC80" s="119" t="s">
        <v>4</v>
      </c>
      <c r="AD80" s="119" t="s">
        <v>4</v>
      </c>
      <c r="AE80" s="119" t="s">
        <v>4</v>
      </c>
      <c r="AF80" s="119" t="s">
        <v>4</v>
      </c>
      <c r="AG80" s="119" t="s">
        <v>4</v>
      </c>
      <c r="AH80" s="119" t="s">
        <v>3</v>
      </c>
      <c r="AI80" s="119" t="s">
        <v>4</v>
      </c>
      <c r="AJ80" s="119" t="s">
        <v>3</v>
      </c>
      <c r="AK80" s="119" t="s">
        <v>4</v>
      </c>
      <c r="AL80" s="119" t="s">
        <v>4</v>
      </c>
      <c r="AM80" s="119" t="s">
        <v>4</v>
      </c>
      <c r="AN80" s="119" t="s">
        <v>3</v>
      </c>
    </row>
    <row r="81" spans="1:40" x14ac:dyDescent="0.3">
      <c r="A81" s="119">
        <f t="shared" si="1"/>
        <v>80</v>
      </c>
      <c r="B81" s="119" t="s">
        <v>313</v>
      </c>
      <c r="C81" s="119" t="s">
        <v>538</v>
      </c>
      <c r="D81" s="119">
        <v>1</v>
      </c>
      <c r="E81" s="119" t="s">
        <v>2</v>
      </c>
      <c r="F81" s="119" t="s">
        <v>3</v>
      </c>
      <c r="G81" s="119" t="s">
        <v>4</v>
      </c>
      <c r="H81" s="119" t="s">
        <v>5</v>
      </c>
      <c r="I81" s="119" t="s">
        <v>5</v>
      </c>
      <c r="J81" s="119" t="s">
        <v>5</v>
      </c>
      <c r="K81" s="119" t="s">
        <v>5</v>
      </c>
      <c r="L81" s="119" t="s">
        <v>2</v>
      </c>
      <c r="M81" s="119" t="s">
        <v>3</v>
      </c>
      <c r="N81" s="119" t="s">
        <v>3</v>
      </c>
      <c r="O81" s="119" t="s">
        <v>4</v>
      </c>
      <c r="P81" s="119" t="s">
        <v>3</v>
      </c>
      <c r="Q81" s="119" t="s">
        <v>5</v>
      </c>
      <c r="R81" s="119" t="s">
        <v>3</v>
      </c>
      <c r="S81" s="119" t="s">
        <v>3</v>
      </c>
      <c r="T81" s="119" t="s">
        <v>5</v>
      </c>
      <c r="U81" s="119" t="s">
        <v>5</v>
      </c>
      <c r="V81" s="119" t="s">
        <v>5</v>
      </c>
      <c r="W81" s="119" t="s">
        <v>2</v>
      </c>
      <c r="X81" s="119" t="s">
        <v>4</v>
      </c>
      <c r="Y81" s="119" t="s">
        <v>3</v>
      </c>
      <c r="Z81" s="119" t="s">
        <v>2</v>
      </c>
      <c r="AA81" s="119" t="s">
        <v>3</v>
      </c>
      <c r="AB81" s="119" t="s">
        <v>4</v>
      </c>
      <c r="AC81" s="119" t="s">
        <v>4</v>
      </c>
      <c r="AD81" s="119" t="s">
        <v>4</v>
      </c>
      <c r="AE81" s="119" t="s">
        <v>4</v>
      </c>
      <c r="AF81" s="119" t="s">
        <v>4</v>
      </c>
      <c r="AG81" s="119" t="s">
        <v>4</v>
      </c>
      <c r="AH81" s="119" t="s">
        <v>4</v>
      </c>
      <c r="AI81" s="119" t="s">
        <v>4</v>
      </c>
      <c r="AJ81" s="119" t="s">
        <v>4</v>
      </c>
      <c r="AK81" s="119" t="s">
        <v>4</v>
      </c>
      <c r="AL81" s="119" t="s">
        <v>4</v>
      </c>
      <c r="AM81" s="119" t="s">
        <v>3</v>
      </c>
      <c r="AN81" s="119" t="s">
        <v>3</v>
      </c>
    </row>
    <row r="82" spans="1:40" x14ac:dyDescent="0.3">
      <c r="A82" s="119">
        <f t="shared" si="1"/>
        <v>81</v>
      </c>
      <c r="B82" s="119" t="s">
        <v>316</v>
      </c>
      <c r="C82" s="119" t="s">
        <v>538</v>
      </c>
      <c r="D82" s="119">
        <v>1</v>
      </c>
      <c r="E82" s="119" t="s">
        <v>2</v>
      </c>
      <c r="F82" s="119" t="s">
        <v>5</v>
      </c>
      <c r="G82" s="119" t="s">
        <v>3</v>
      </c>
      <c r="H82" s="119" t="s">
        <v>5</v>
      </c>
      <c r="I82" s="119" t="s">
        <v>5</v>
      </c>
      <c r="J82" s="119" t="s">
        <v>3</v>
      </c>
      <c r="K82" s="119" t="s">
        <v>2</v>
      </c>
      <c r="L82" s="119" t="s">
        <v>2</v>
      </c>
      <c r="M82" s="119" t="s">
        <v>2</v>
      </c>
      <c r="N82" s="119" t="s">
        <v>3</v>
      </c>
      <c r="O82" s="119" t="s">
        <v>4</v>
      </c>
      <c r="P82" s="119" t="s">
        <v>5</v>
      </c>
      <c r="Q82" s="119" t="s">
        <v>5</v>
      </c>
      <c r="R82" s="119" t="s">
        <v>3</v>
      </c>
      <c r="S82" s="119" t="s">
        <v>3</v>
      </c>
      <c r="T82" s="119" t="s">
        <v>5</v>
      </c>
      <c r="U82" s="119" t="s">
        <v>5</v>
      </c>
      <c r="V82" s="119" t="s">
        <v>5</v>
      </c>
      <c r="W82" s="119" t="s">
        <v>5</v>
      </c>
      <c r="X82" s="119" t="s">
        <v>4</v>
      </c>
      <c r="Y82" s="119" t="s">
        <v>3</v>
      </c>
      <c r="Z82" s="119" t="s">
        <v>2</v>
      </c>
      <c r="AA82" s="119" t="s">
        <v>3</v>
      </c>
      <c r="AB82" s="119" t="s">
        <v>4</v>
      </c>
      <c r="AC82" s="119" t="s">
        <v>4</v>
      </c>
      <c r="AD82" s="119" t="s">
        <v>4</v>
      </c>
      <c r="AE82" s="119" t="s">
        <v>4</v>
      </c>
      <c r="AF82" s="119" t="s">
        <v>4</v>
      </c>
      <c r="AG82" s="119" t="s">
        <v>3</v>
      </c>
      <c r="AH82" s="119" t="s">
        <v>3</v>
      </c>
      <c r="AI82" s="119" t="s">
        <v>4</v>
      </c>
      <c r="AJ82" s="119" t="s">
        <v>4</v>
      </c>
      <c r="AK82" s="119" t="s">
        <v>4</v>
      </c>
      <c r="AL82" s="119" t="s">
        <v>4</v>
      </c>
      <c r="AM82" s="119" t="s">
        <v>4</v>
      </c>
      <c r="AN82" s="119" t="s">
        <v>3</v>
      </c>
    </row>
    <row r="83" spans="1:40" x14ac:dyDescent="0.3">
      <c r="A83" s="119">
        <f t="shared" si="1"/>
        <v>82</v>
      </c>
      <c r="B83" s="119" t="s">
        <v>484</v>
      </c>
      <c r="C83" s="119" t="s">
        <v>538</v>
      </c>
      <c r="D83" s="119">
        <v>1</v>
      </c>
      <c r="E83" s="119" t="s">
        <v>5</v>
      </c>
      <c r="F83" s="119" t="s">
        <v>3</v>
      </c>
      <c r="G83" s="119" t="s">
        <v>2</v>
      </c>
      <c r="H83" s="119" t="s">
        <v>3</v>
      </c>
      <c r="I83" s="119" t="s">
        <v>5</v>
      </c>
      <c r="J83" s="119" t="s">
        <v>5</v>
      </c>
      <c r="K83" s="119" t="s">
        <v>5</v>
      </c>
      <c r="L83" s="119" t="s">
        <v>2</v>
      </c>
      <c r="M83" s="119" t="s">
        <v>2</v>
      </c>
      <c r="N83" s="119" t="s">
        <v>2</v>
      </c>
      <c r="O83" s="119" t="s">
        <v>2</v>
      </c>
      <c r="P83" s="119" t="s">
        <v>5</v>
      </c>
      <c r="Q83" s="119" t="s">
        <v>5</v>
      </c>
      <c r="R83" s="119" t="s">
        <v>3</v>
      </c>
      <c r="S83" s="119" t="s">
        <v>3</v>
      </c>
      <c r="T83" s="119" t="s">
        <v>5</v>
      </c>
      <c r="U83" s="119" t="s">
        <v>5</v>
      </c>
      <c r="V83" s="119" t="s">
        <v>5</v>
      </c>
      <c r="W83" s="119" t="s">
        <v>5</v>
      </c>
      <c r="X83" s="119" t="s">
        <v>4</v>
      </c>
      <c r="Y83" s="119" t="s">
        <v>4</v>
      </c>
      <c r="Z83" s="119" t="s">
        <v>4</v>
      </c>
      <c r="AA83" s="119" t="s">
        <v>3</v>
      </c>
      <c r="AB83" s="119" t="s">
        <v>3</v>
      </c>
      <c r="AC83" s="119" t="s">
        <v>3</v>
      </c>
      <c r="AD83" s="119" t="s">
        <v>4</v>
      </c>
      <c r="AE83" s="119" t="s">
        <v>4</v>
      </c>
      <c r="AF83" s="119" t="s">
        <v>4</v>
      </c>
      <c r="AG83" s="119" t="s">
        <v>4</v>
      </c>
      <c r="AH83" s="119" t="s">
        <v>3</v>
      </c>
      <c r="AI83" s="119" t="s">
        <v>4</v>
      </c>
      <c r="AJ83" s="119" t="s">
        <v>3</v>
      </c>
      <c r="AK83" s="119" t="s">
        <v>3</v>
      </c>
      <c r="AL83" s="119" t="s">
        <v>4</v>
      </c>
      <c r="AM83" s="119" t="s">
        <v>4</v>
      </c>
      <c r="AN83" s="119" t="s">
        <v>3</v>
      </c>
    </row>
    <row r="84" spans="1:40" x14ac:dyDescent="0.3">
      <c r="A84" s="119">
        <f t="shared" si="1"/>
        <v>83</v>
      </c>
      <c r="B84" s="119" t="s">
        <v>460</v>
      </c>
      <c r="C84" s="119" t="s">
        <v>538</v>
      </c>
      <c r="D84" s="119">
        <v>1</v>
      </c>
      <c r="E84" s="119" t="s">
        <v>5</v>
      </c>
      <c r="F84" s="119" t="s">
        <v>3</v>
      </c>
      <c r="G84" s="119" t="s">
        <v>4</v>
      </c>
      <c r="H84" s="119" t="s">
        <v>3</v>
      </c>
      <c r="I84" s="119" t="s">
        <v>5</v>
      </c>
      <c r="J84" s="119" t="s">
        <v>5</v>
      </c>
      <c r="K84" s="119" t="s">
        <v>5</v>
      </c>
      <c r="L84" s="119" t="s">
        <v>2</v>
      </c>
      <c r="M84" s="119" t="s">
        <v>3</v>
      </c>
      <c r="N84" s="119" t="s">
        <v>3</v>
      </c>
      <c r="O84" s="119" t="s">
        <v>2</v>
      </c>
      <c r="P84" s="119" t="s">
        <v>4</v>
      </c>
      <c r="Q84" s="119" t="s">
        <v>5</v>
      </c>
      <c r="R84" s="119" t="s">
        <v>3</v>
      </c>
      <c r="S84" s="119" t="s">
        <v>2</v>
      </c>
      <c r="T84" s="119" t="s">
        <v>5</v>
      </c>
      <c r="U84" s="119" t="s">
        <v>5</v>
      </c>
      <c r="V84" s="119" t="s">
        <v>5</v>
      </c>
      <c r="W84" s="119" t="s">
        <v>5</v>
      </c>
      <c r="X84" s="119" t="s">
        <v>4</v>
      </c>
      <c r="Y84" s="119" t="s">
        <v>4</v>
      </c>
      <c r="Z84" s="119" t="s">
        <v>4</v>
      </c>
      <c r="AA84" s="119" t="s">
        <v>3</v>
      </c>
      <c r="AB84" s="119" t="s">
        <v>3</v>
      </c>
      <c r="AC84" s="119" t="s">
        <v>3</v>
      </c>
      <c r="AD84" s="119" t="s">
        <v>4</v>
      </c>
      <c r="AE84" s="119" t="s">
        <v>4</v>
      </c>
      <c r="AF84" s="119" t="s">
        <v>4</v>
      </c>
      <c r="AG84" s="119" t="s">
        <v>4</v>
      </c>
      <c r="AH84" s="119" t="s">
        <v>4</v>
      </c>
      <c r="AI84" s="119" t="s">
        <v>4</v>
      </c>
      <c r="AJ84" s="119" t="s">
        <v>4</v>
      </c>
      <c r="AK84" s="119" t="s">
        <v>4</v>
      </c>
      <c r="AL84" s="119" t="s">
        <v>4</v>
      </c>
      <c r="AM84" s="119" t="s">
        <v>4</v>
      </c>
      <c r="AN84" s="119" t="s">
        <v>3</v>
      </c>
    </row>
    <row r="85" spans="1:40" x14ac:dyDescent="0.3">
      <c r="A85" s="119">
        <f t="shared" si="1"/>
        <v>84</v>
      </c>
      <c r="B85" s="119" t="s">
        <v>483</v>
      </c>
      <c r="C85" s="119" t="s">
        <v>538</v>
      </c>
      <c r="D85" s="119">
        <v>1</v>
      </c>
      <c r="E85" s="119" t="s">
        <v>5</v>
      </c>
      <c r="F85" s="119" t="s">
        <v>3</v>
      </c>
      <c r="G85" s="119" t="s">
        <v>2</v>
      </c>
      <c r="H85" s="119" t="s">
        <v>3</v>
      </c>
      <c r="I85" s="119" t="s">
        <v>5</v>
      </c>
      <c r="J85" s="119" t="s">
        <v>5</v>
      </c>
      <c r="K85" s="119" t="s">
        <v>5</v>
      </c>
      <c r="L85" s="119" t="s">
        <v>2</v>
      </c>
      <c r="M85" s="119" t="s">
        <v>3</v>
      </c>
      <c r="N85" s="119" t="s">
        <v>3</v>
      </c>
      <c r="O85" s="119" t="s">
        <v>2</v>
      </c>
      <c r="P85" s="119" t="s">
        <v>5</v>
      </c>
      <c r="Q85" s="119" t="s">
        <v>5</v>
      </c>
      <c r="R85" s="119" t="s">
        <v>3</v>
      </c>
      <c r="S85" s="119" t="s">
        <v>2</v>
      </c>
      <c r="T85" s="119" t="s">
        <v>5</v>
      </c>
      <c r="U85" s="119" t="s">
        <v>5</v>
      </c>
      <c r="V85" s="119" t="s">
        <v>5</v>
      </c>
      <c r="W85" s="119" t="s">
        <v>4</v>
      </c>
      <c r="X85" s="119" t="s">
        <v>4</v>
      </c>
      <c r="Y85" s="119" t="s">
        <v>4</v>
      </c>
      <c r="Z85" s="119" t="s">
        <v>4</v>
      </c>
      <c r="AA85" s="119" t="s">
        <v>3</v>
      </c>
      <c r="AB85" s="119" t="s">
        <v>3</v>
      </c>
      <c r="AC85" s="119" t="s">
        <v>3</v>
      </c>
      <c r="AD85" s="119" t="s">
        <v>4</v>
      </c>
      <c r="AE85" s="119" t="s">
        <v>4</v>
      </c>
      <c r="AF85" s="119" t="s">
        <v>4</v>
      </c>
      <c r="AG85" s="119" t="s">
        <v>4</v>
      </c>
      <c r="AH85" s="119" t="s">
        <v>3</v>
      </c>
      <c r="AI85" s="119" t="s">
        <v>4</v>
      </c>
      <c r="AJ85" s="119" t="s">
        <v>3</v>
      </c>
      <c r="AK85" s="119" t="s">
        <v>4</v>
      </c>
      <c r="AL85" s="119" t="s">
        <v>4</v>
      </c>
      <c r="AM85" s="119" t="s">
        <v>3</v>
      </c>
      <c r="AN85" s="119" t="s">
        <v>3</v>
      </c>
    </row>
    <row r="86" spans="1:40" x14ac:dyDescent="0.3">
      <c r="A86" s="119">
        <f t="shared" si="1"/>
        <v>85</v>
      </c>
      <c r="B86" s="119" t="s">
        <v>314</v>
      </c>
      <c r="C86" s="119" t="s">
        <v>538</v>
      </c>
      <c r="D86" s="119">
        <v>2</v>
      </c>
      <c r="E86" s="119" t="s">
        <v>5</v>
      </c>
      <c r="F86" s="119" t="s">
        <v>3</v>
      </c>
      <c r="G86" s="119" t="s">
        <v>4</v>
      </c>
      <c r="H86" s="119" t="s">
        <v>3</v>
      </c>
      <c r="I86" s="119" t="s">
        <v>5</v>
      </c>
      <c r="J86" s="119" t="s">
        <v>5</v>
      </c>
      <c r="K86" s="119" t="s">
        <v>3</v>
      </c>
      <c r="L86" s="119" t="s">
        <v>4</v>
      </c>
      <c r="M86" s="119" t="s">
        <v>3</v>
      </c>
      <c r="N86" s="119" t="s">
        <v>3</v>
      </c>
      <c r="O86" s="119" t="s">
        <v>4</v>
      </c>
      <c r="P86" s="119" t="s">
        <v>4</v>
      </c>
      <c r="Q86" s="119" t="s">
        <v>5</v>
      </c>
      <c r="R86" s="119" t="s">
        <v>3</v>
      </c>
      <c r="S86" s="119" t="s">
        <v>4</v>
      </c>
      <c r="T86" s="119" t="s">
        <v>5</v>
      </c>
      <c r="U86" s="119" t="s">
        <v>5</v>
      </c>
      <c r="V86" s="119" t="s">
        <v>5</v>
      </c>
      <c r="W86" s="119" t="s">
        <v>3</v>
      </c>
      <c r="X86" s="119" t="s">
        <v>4</v>
      </c>
      <c r="Y86" s="119" t="s">
        <v>4</v>
      </c>
      <c r="Z86" s="119" t="s">
        <v>4</v>
      </c>
      <c r="AA86" s="119" t="s">
        <v>3</v>
      </c>
      <c r="AB86" s="119" t="s">
        <v>4</v>
      </c>
      <c r="AC86" s="119" t="s">
        <v>4</v>
      </c>
      <c r="AD86" s="119" t="s">
        <v>4</v>
      </c>
      <c r="AE86" s="119" t="s">
        <v>4</v>
      </c>
      <c r="AF86" s="119" t="s">
        <v>4</v>
      </c>
      <c r="AG86" s="119" t="s">
        <v>4</v>
      </c>
      <c r="AH86" s="119" t="s">
        <v>3</v>
      </c>
      <c r="AI86" s="119" t="s">
        <v>4</v>
      </c>
      <c r="AJ86" s="119" t="s">
        <v>3</v>
      </c>
      <c r="AK86" s="119" t="s">
        <v>4</v>
      </c>
      <c r="AL86" s="119" t="s">
        <v>4</v>
      </c>
      <c r="AM86" s="119" t="s">
        <v>4</v>
      </c>
      <c r="AN86" s="119" t="s">
        <v>3</v>
      </c>
    </row>
    <row r="87" spans="1:40" x14ac:dyDescent="0.3">
      <c r="A87" s="119">
        <f t="shared" si="1"/>
        <v>86</v>
      </c>
      <c r="B87" s="119" t="s">
        <v>315</v>
      </c>
      <c r="C87" s="119" t="s">
        <v>538</v>
      </c>
      <c r="D87" s="119">
        <v>2</v>
      </c>
      <c r="E87" s="119" t="s">
        <v>5</v>
      </c>
      <c r="F87" s="119" t="s">
        <v>5</v>
      </c>
      <c r="G87" s="119" t="s">
        <v>3</v>
      </c>
      <c r="H87" s="119" t="s">
        <v>5</v>
      </c>
      <c r="I87" s="119" t="s">
        <v>5</v>
      </c>
      <c r="J87" s="119" t="s">
        <v>5</v>
      </c>
      <c r="K87" s="119" t="s">
        <v>2</v>
      </c>
      <c r="L87" s="119" t="s">
        <v>2</v>
      </c>
      <c r="M87" s="119" t="s">
        <v>3</v>
      </c>
      <c r="N87" s="119" t="s">
        <v>2</v>
      </c>
      <c r="O87" s="119" t="s">
        <v>2</v>
      </c>
      <c r="P87" s="119" t="s">
        <v>3</v>
      </c>
      <c r="Q87" s="119" t="s">
        <v>5</v>
      </c>
      <c r="R87" s="119" t="s">
        <v>3</v>
      </c>
      <c r="S87" s="119" t="s">
        <v>4</v>
      </c>
      <c r="T87" s="119" t="s">
        <v>5</v>
      </c>
      <c r="U87" s="119" t="s">
        <v>5</v>
      </c>
      <c r="V87" s="119" t="s">
        <v>5</v>
      </c>
      <c r="W87" s="119" t="s">
        <v>5</v>
      </c>
      <c r="X87" s="119" t="s">
        <v>4</v>
      </c>
      <c r="Y87" s="119" t="s">
        <v>3</v>
      </c>
      <c r="Z87" s="119" t="s">
        <v>2</v>
      </c>
      <c r="AA87" s="119" t="s">
        <v>3</v>
      </c>
      <c r="AB87" s="119" t="s">
        <v>4</v>
      </c>
      <c r="AC87" s="119" t="s">
        <v>4</v>
      </c>
      <c r="AD87" s="119" t="s">
        <v>4</v>
      </c>
      <c r="AE87" s="119" t="s">
        <v>4</v>
      </c>
      <c r="AF87" s="119" t="s">
        <v>4</v>
      </c>
      <c r="AG87" s="119" t="s">
        <v>4</v>
      </c>
      <c r="AH87" s="119" t="s">
        <v>3</v>
      </c>
      <c r="AI87" s="119" t="s">
        <v>4</v>
      </c>
      <c r="AJ87" s="119" t="s">
        <v>4</v>
      </c>
      <c r="AK87" s="119" t="s">
        <v>4</v>
      </c>
      <c r="AL87" s="119" t="s">
        <v>4</v>
      </c>
      <c r="AM87" s="119" t="s">
        <v>3</v>
      </c>
      <c r="AN87" s="119" t="s">
        <v>4</v>
      </c>
    </row>
    <row r="88" spans="1:40" x14ac:dyDescent="0.3">
      <c r="A88" s="119">
        <f t="shared" si="1"/>
        <v>87</v>
      </c>
      <c r="B88" s="119" t="s">
        <v>318</v>
      </c>
      <c r="C88" s="119" t="s">
        <v>538</v>
      </c>
      <c r="D88" s="119">
        <v>2</v>
      </c>
      <c r="E88" s="119" t="s">
        <v>4</v>
      </c>
      <c r="F88" s="119" t="s">
        <v>5</v>
      </c>
      <c r="G88" s="119" t="s">
        <v>3</v>
      </c>
      <c r="H88" s="119" t="s">
        <v>5</v>
      </c>
      <c r="I88" s="119" t="s">
        <v>5</v>
      </c>
      <c r="J88" s="119" t="s">
        <v>5</v>
      </c>
      <c r="K88" s="119" t="s">
        <v>5</v>
      </c>
      <c r="L88" s="119" t="s">
        <v>2</v>
      </c>
      <c r="M88" s="119" t="s">
        <v>3</v>
      </c>
      <c r="N88" s="119" t="s">
        <v>2</v>
      </c>
      <c r="O88" s="119" t="s">
        <v>3</v>
      </c>
      <c r="P88" s="119" t="s">
        <v>2</v>
      </c>
      <c r="Q88" s="119" t="s">
        <v>5</v>
      </c>
      <c r="R88" s="119" t="s">
        <v>3</v>
      </c>
      <c r="S88" s="119" t="s">
        <v>3</v>
      </c>
      <c r="T88" s="119" t="s">
        <v>5</v>
      </c>
      <c r="U88" s="119" t="s">
        <v>5</v>
      </c>
      <c r="V88" s="119" t="s">
        <v>5</v>
      </c>
      <c r="W88" s="119" t="s">
        <v>4</v>
      </c>
      <c r="X88" s="119" t="s">
        <v>4</v>
      </c>
      <c r="Y88" s="119" t="s">
        <v>3</v>
      </c>
      <c r="Z88" s="119" t="s">
        <v>2</v>
      </c>
      <c r="AA88" s="119" t="s">
        <v>3</v>
      </c>
      <c r="AB88" s="119" t="s">
        <v>4</v>
      </c>
      <c r="AC88" s="119" t="s">
        <v>4</v>
      </c>
      <c r="AD88" s="119" t="s">
        <v>4</v>
      </c>
      <c r="AE88" s="119" t="s">
        <v>4</v>
      </c>
      <c r="AF88" s="119" t="s">
        <v>4</v>
      </c>
      <c r="AG88" s="119" t="s">
        <v>4</v>
      </c>
      <c r="AH88" s="119" t="s">
        <v>3</v>
      </c>
      <c r="AI88" s="119" t="s">
        <v>4</v>
      </c>
      <c r="AJ88" s="119" t="s">
        <v>4</v>
      </c>
      <c r="AK88" s="119" t="s">
        <v>4</v>
      </c>
      <c r="AL88" s="119" t="s">
        <v>4</v>
      </c>
      <c r="AM88" s="119" t="s">
        <v>4</v>
      </c>
      <c r="AN88" s="119" t="s">
        <v>3</v>
      </c>
    </row>
    <row r="89" spans="1:40" x14ac:dyDescent="0.3">
      <c r="A89" s="119">
        <f t="shared" si="1"/>
        <v>88</v>
      </c>
      <c r="B89" s="119" t="s">
        <v>463</v>
      </c>
      <c r="C89" s="119" t="s">
        <v>538</v>
      </c>
      <c r="D89" s="119">
        <v>2</v>
      </c>
      <c r="E89" s="119" t="s">
        <v>2</v>
      </c>
      <c r="F89" s="119" t="s">
        <v>3</v>
      </c>
      <c r="G89" s="119" t="s">
        <v>2</v>
      </c>
      <c r="H89" s="119" t="s">
        <v>5</v>
      </c>
      <c r="I89" s="119" t="s">
        <v>5</v>
      </c>
      <c r="J89" s="119" t="s">
        <v>5</v>
      </c>
      <c r="K89" s="119" t="s">
        <v>5</v>
      </c>
      <c r="L89" s="119" t="s">
        <v>2</v>
      </c>
      <c r="M89" s="119" t="s">
        <v>3</v>
      </c>
      <c r="N89" s="119" t="s">
        <v>3</v>
      </c>
      <c r="O89" s="119" t="s">
        <v>2</v>
      </c>
      <c r="P89" s="119" t="s">
        <v>5</v>
      </c>
      <c r="Q89" s="119" t="s">
        <v>5</v>
      </c>
      <c r="R89" s="119" t="s">
        <v>3</v>
      </c>
      <c r="S89" s="119" t="s">
        <v>2</v>
      </c>
      <c r="T89" s="119" t="s">
        <v>5</v>
      </c>
      <c r="U89" s="119" t="s">
        <v>5</v>
      </c>
      <c r="V89" s="119" t="s">
        <v>5</v>
      </c>
      <c r="W89" s="119" t="s">
        <v>5</v>
      </c>
      <c r="X89" s="119" t="s">
        <v>4</v>
      </c>
      <c r="Y89" s="119" t="s">
        <v>4</v>
      </c>
      <c r="Z89" s="119" t="s">
        <v>4</v>
      </c>
      <c r="AA89" s="119" t="s">
        <v>3</v>
      </c>
      <c r="AB89" s="119" t="s">
        <v>4</v>
      </c>
      <c r="AC89" s="119" t="s">
        <v>4</v>
      </c>
      <c r="AD89" s="119" t="s">
        <v>4</v>
      </c>
      <c r="AE89" s="119" t="s">
        <v>4</v>
      </c>
      <c r="AF89" s="119" t="s">
        <v>4</v>
      </c>
      <c r="AG89" s="119" t="s">
        <v>4</v>
      </c>
      <c r="AH89" s="119" t="s">
        <v>3</v>
      </c>
      <c r="AI89" s="119" t="s">
        <v>4</v>
      </c>
      <c r="AJ89" s="119" t="s">
        <v>3</v>
      </c>
      <c r="AK89" s="119" t="s">
        <v>4</v>
      </c>
      <c r="AL89" s="119" t="s">
        <v>4</v>
      </c>
      <c r="AM89" s="119" t="s">
        <v>4</v>
      </c>
      <c r="AN89" s="119" t="s">
        <v>3</v>
      </c>
    </row>
    <row r="90" spans="1:40" x14ac:dyDescent="0.3">
      <c r="A90" s="119">
        <f t="shared" si="1"/>
        <v>89</v>
      </c>
      <c r="B90" s="119" t="s">
        <v>464</v>
      </c>
      <c r="C90" s="119" t="s">
        <v>538</v>
      </c>
      <c r="D90" s="119">
        <v>2</v>
      </c>
      <c r="E90" s="119" t="s">
        <v>4</v>
      </c>
      <c r="F90" s="119" t="s">
        <v>5</v>
      </c>
      <c r="G90" s="119" t="s">
        <v>5</v>
      </c>
      <c r="H90" s="119" t="s">
        <v>5</v>
      </c>
      <c r="I90" s="119" t="s">
        <v>5</v>
      </c>
      <c r="J90" s="119" t="s">
        <v>5</v>
      </c>
      <c r="K90" s="119" t="s">
        <v>5</v>
      </c>
      <c r="L90" s="119" t="s">
        <v>2</v>
      </c>
      <c r="M90" s="119" t="s">
        <v>3</v>
      </c>
      <c r="N90" s="119" t="s">
        <v>4</v>
      </c>
      <c r="O90" s="119" t="s">
        <v>4</v>
      </c>
      <c r="P90" s="119" t="s">
        <v>2</v>
      </c>
      <c r="Q90" s="119" t="s">
        <v>5</v>
      </c>
      <c r="R90" s="119" t="s">
        <v>4</v>
      </c>
      <c r="S90" s="119" t="s">
        <v>2</v>
      </c>
      <c r="T90" s="119" t="s">
        <v>5</v>
      </c>
      <c r="U90" s="119" t="s">
        <v>2</v>
      </c>
      <c r="V90" s="119" t="s">
        <v>5</v>
      </c>
      <c r="W90" s="119" t="s">
        <v>5</v>
      </c>
      <c r="X90" s="119" t="s">
        <v>2</v>
      </c>
      <c r="Y90" s="119" t="s">
        <v>4</v>
      </c>
      <c r="Z90" s="119" t="s">
        <v>4</v>
      </c>
      <c r="AA90" s="119" t="s">
        <v>3</v>
      </c>
      <c r="AB90" s="119" t="s">
        <v>4</v>
      </c>
      <c r="AC90" s="119" t="s">
        <v>4</v>
      </c>
      <c r="AD90" s="119" t="s">
        <v>4</v>
      </c>
      <c r="AE90" s="119" t="s">
        <v>4</v>
      </c>
      <c r="AF90" s="119" t="s">
        <v>4</v>
      </c>
      <c r="AG90" s="119" t="s">
        <v>4</v>
      </c>
      <c r="AH90" s="119" t="s">
        <v>4</v>
      </c>
      <c r="AI90" s="119" t="s">
        <v>4</v>
      </c>
      <c r="AJ90" s="119" t="s">
        <v>4</v>
      </c>
      <c r="AK90" s="119" t="s">
        <v>4</v>
      </c>
      <c r="AL90" s="119" t="s">
        <v>4</v>
      </c>
      <c r="AM90" s="119" t="s">
        <v>4</v>
      </c>
      <c r="AN90" s="119" t="s">
        <v>3</v>
      </c>
    </row>
    <row r="91" spans="1:40" x14ac:dyDescent="0.3">
      <c r="A91" s="119">
        <f t="shared" si="1"/>
        <v>90</v>
      </c>
      <c r="B91" s="119" t="s">
        <v>490</v>
      </c>
      <c r="C91" s="119" t="s">
        <v>538</v>
      </c>
      <c r="D91" s="119">
        <v>2</v>
      </c>
      <c r="E91" s="119" t="s">
        <v>4</v>
      </c>
      <c r="F91" s="119" t="s">
        <v>5</v>
      </c>
      <c r="G91" s="119" t="s">
        <v>3</v>
      </c>
      <c r="H91" s="119" t="s">
        <v>2</v>
      </c>
      <c r="I91" s="119" t="s">
        <v>5</v>
      </c>
      <c r="J91" s="119" t="s">
        <v>5</v>
      </c>
      <c r="K91" s="119" t="s">
        <v>5</v>
      </c>
      <c r="L91" s="119" t="s">
        <v>2</v>
      </c>
      <c r="M91" s="119" t="s">
        <v>2</v>
      </c>
      <c r="N91" s="119" t="s">
        <v>3</v>
      </c>
      <c r="O91" s="119" t="s">
        <v>4</v>
      </c>
      <c r="P91" s="119" t="s">
        <v>2</v>
      </c>
      <c r="Q91" s="119" t="s">
        <v>5</v>
      </c>
      <c r="R91" s="119" t="s">
        <v>3</v>
      </c>
      <c r="S91" s="119" t="s">
        <v>4</v>
      </c>
      <c r="T91" s="119" t="s">
        <v>5</v>
      </c>
      <c r="U91" s="119" t="s">
        <v>5</v>
      </c>
      <c r="V91" s="119" t="s">
        <v>5</v>
      </c>
      <c r="W91" s="119" t="s">
        <v>4</v>
      </c>
      <c r="X91" s="119" t="s">
        <v>4</v>
      </c>
      <c r="Y91" s="119" t="s">
        <v>3</v>
      </c>
      <c r="Z91" s="119" t="s">
        <v>4</v>
      </c>
      <c r="AA91" s="119" t="s">
        <v>3</v>
      </c>
      <c r="AB91" s="119" t="s">
        <v>4</v>
      </c>
      <c r="AC91" s="119" t="s">
        <v>4</v>
      </c>
      <c r="AD91" s="119" t="s">
        <v>4</v>
      </c>
      <c r="AE91" s="119" t="s">
        <v>4</v>
      </c>
      <c r="AF91" s="119" t="s">
        <v>4</v>
      </c>
      <c r="AG91" s="119" t="s">
        <v>4</v>
      </c>
      <c r="AH91" s="119" t="s">
        <v>3</v>
      </c>
      <c r="AI91" s="119" t="s">
        <v>4</v>
      </c>
      <c r="AJ91" s="119" t="s">
        <v>3</v>
      </c>
      <c r="AK91" s="119" t="s">
        <v>4</v>
      </c>
      <c r="AL91" s="119" t="s">
        <v>4</v>
      </c>
      <c r="AM91" s="119" t="s">
        <v>4</v>
      </c>
      <c r="AN91" s="119" t="s">
        <v>4</v>
      </c>
    </row>
    <row r="92" spans="1:40" x14ac:dyDescent="0.3">
      <c r="A92" s="119">
        <f t="shared" si="1"/>
        <v>91</v>
      </c>
      <c r="B92" s="119" t="s">
        <v>319</v>
      </c>
      <c r="C92" s="119" t="s">
        <v>538</v>
      </c>
      <c r="D92" s="119">
        <v>3</v>
      </c>
      <c r="E92" s="119" t="s">
        <v>2</v>
      </c>
      <c r="F92" s="119" t="s">
        <v>3</v>
      </c>
      <c r="G92" s="119" t="s">
        <v>3</v>
      </c>
      <c r="H92" s="119" t="s">
        <v>2</v>
      </c>
      <c r="I92" s="119" t="s">
        <v>5</v>
      </c>
      <c r="J92" s="119" t="s">
        <v>5</v>
      </c>
      <c r="K92" s="119" t="s">
        <v>5</v>
      </c>
      <c r="L92" s="119" t="s">
        <v>2</v>
      </c>
      <c r="M92" s="119" t="s">
        <v>3</v>
      </c>
      <c r="N92" s="119" t="s">
        <v>3</v>
      </c>
      <c r="O92" s="119" t="s">
        <v>3</v>
      </c>
      <c r="P92" s="119" t="s">
        <v>2</v>
      </c>
      <c r="Q92" s="119" t="s">
        <v>5</v>
      </c>
      <c r="R92" s="119" t="s">
        <v>3</v>
      </c>
      <c r="S92" s="119" t="s">
        <v>3</v>
      </c>
      <c r="T92" s="119" t="s">
        <v>5</v>
      </c>
      <c r="U92" s="119" t="s">
        <v>5</v>
      </c>
      <c r="V92" s="119" t="s">
        <v>5</v>
      </c>
      <c r="W92" s="119" t="s">
        <v>5</v>
      </c>
      <c r="X92" s="119" t="s">
        <v>4</v>
      </c>
      <c r="Y92" s="119" t="s">
        <v>3</v>
      </c>
      <c r="Z92" s="119" t="s">
        <v>2</v>
      </c>
      <c r="AA92" s="119" t="s">
        <v>3</v>
      </c>
      <c r="AB92" s="119" t="s">
        <v>4</v>
      </c>
      <c r="AC92" s="119" t="s">
        <v>4</v>
      </c>
      <c r="AD92" s="119" t="s">
        <v>4</v>
      </c>
      <c r="AE92" s="119" t="s">
        <v>4</v>
      </c>
      <c r="AF92" s="119" t="s">
        <v>4</v>
      </c>
      <c r="AG92" s="119" t="s">
        <v>4</v>
      </c>
      <c r="AH92" s="119" t="s">
        <v>3</v>
      </c>
      <c r="AI92" s="119" t="s">
        <v>4</v>
      </c>
      <c r="AJ92" s="119" t="s">
        <v>3</v>
      </c>
      <c r="AK92" s="119" t="s">
        <v>4</v>
      </c>
      <c r="AL92" s="119" t="s">
        <v>4</v>
      </c>
      <c r="AM92" s="119" t="s">
        <v>3</v>
      </c>
      <c r="AN92" s="119" t="s">
        <v>3</v>
      </c>
    </row>
    <row r="93" spans="1:40" x14ac:dyDescent="0.3">
      <c r="A93" s="119">
        <f t="shared" si="1"/>
        <v>92</v>
      </c>
      <c r="B93" s="119" t="s">
        <v>501</v>
      </c>
      <c r="C93" s="119" t="s">
        <v>538</v>
      </c>
      <c r="D93" s="119">
        <v>3</v>
      </c>
      <c r="E93" s="119" t="s">
        <v>2</v>
      </c>
      <c r="F93" s="119" t="s">
        <v>3</v>
      </c>
      <c r="G93" s="119" t="s">
        <v>3</v>
      </c>
      <c r="H93" s="119" t="s">
        <v>2</v>
      </c>
      <c r="I93" s="119" t="s">
        <v>5</v>
      </c>
      <c r="J93" s="119" t="s">
        <v>2</v>
      </c>
      <c r="K93" s="119" t="s">
        <v>5</v>
      </c>
      <c r="L93" s="119" t="s">
        <v>2</v>
      </c>
      <c r="M93" s="119" t="s">
        <v>3</v>
      </c>
      <c r="N93" s="119" t="s">
        <v>4</v>
      </c>
      <c r="O93" s="119" t="s">
        <v>4</v>
      </c>
      <c r="P93" s="119" t="s">
        <v>5</v>
      </c>
      <c r="Q93" s="119" t="s">
        <v>5</v>
      </c>
      <c r="R93" s="119" t="s">
        <v>4</v>
      </c>
      <c r="S93" s="119" t="s">
        <v>5</v>
      </c>
      <c r="T93" s="119" t="s">
        <v>5</v>
      </c>
      <c r="U93" s="119" t="s">
        <v>5</v>
      </c>
      <c r="V93" s="119" t="s">
        <v>5</v>
      </c>
      <c r="W93" s="119" t="s">
        <v>5</v>
      </c>
      <c r="X93" s="119" t="s">
        <v>4</v>
      </c>
      <c r="Y93" s="119" t="s">
        <v>3</v>
      </c>
      <c r="Z93" s="119" t="s">
        <v>4</v>
      </c>
      <c r="AA93" s="119" t="s">
        <v>4</v>
      </c>
      <c r="AB93" s="119" t="s">
        <v>4</v>
      </c>
      <c r="AC93" s="119" t="s">
        <v>4</v>
      </c>
      <c r="AD93" s="119" t="s">
        <v>4</v>
      </c>
      <c r="AE93" s="119" t="s">
        <v>4</v>
      </c>
      <c r="AF93" s="119" t="s">
        <v>4</v>
      </c>
      <c r="AG93" s="119" t="s">
        <v>4</v>
      </c>
      <c r="AH93" s="119" t="s">
        <v>4</v>
      </c>
      <c r="AI93" s="119" t="s">
        <v>4</v>
      </c>
      <c r="AJ93" s="119" t="s">
        <v>3</v>
      </c>
      <c r="AK93" s="119" t="s">
        <v>4</v>
      </c>
      <c r="AL93" s="119" t="s">
        <v>4</v>
      </c>
      <c r="AM93" s="119" t="s">
        <v>3</v>
      </c>
      <c r="AN93" s="119" t="s">
        <v>4</v>
      </c>
    </row>
    <row r="94" spans="1:40" x14ac:dyDescent="0.3">
      <c r="A94" s="119">
        <f t="shared" si="1"/>
        <v>93</v>
      </c>
      <c r="B94" s="119" t="s">
        <v>320</v>
      </c>
      <c r="C94" s="119" t="s">
        <v>538</v>
      </c>
      <c r="D94" s="119">
        <v>3</v>
      </c>
      <c r="E94" s="119" t="s">
        <v>2</v>
      </c>
      <c r="F94" s="119" t="s">
        <v>3</v>
      </c>
      <c r="G94" s="119" t="s">
        <v>3</v>
      </c>
      <c r="H94" s="119" t="s">
        <v>5</v>
      </c>
      <c r="I94" s="119" t="s">
        <v>5</v>
      </c>
      <c r="J94" s="119" t="s">
        <v>5</v>
      </c>
      <c r="K94" s="119" t="s">
        <v>2</v>
      </c>
      <c r="L94" s="119" t="s">
        <v>2</v>
      </c>
      <c r="M94" s="119" t="s">
        <v>3</v>
      </c>
      <c r="N94" s="119" t="s">
        <v>3</v>
      </c>
      <c r="O94" s="119" t="s">
        <v>4</v>
      </c>
      <c r="P94" s="119" t="s">
        <v>5</v>
      </c>
      <c r="Q94" s="119" t="s">
        <v>2</v>
      </c>
      <c r="R94" s="119" t="s">
        <v>3</v>
      </c>
      <c r="S94" s="119" t="s">
        <v>2</v>
      </c>
      <c r="T94" s="119" t="s">
        <v>5</v>
      </c>
      <c r="U94" s="119" t="s">
        <v>5</v>
      </c>
      <c r="V94" s="119" t="s">
        <v>5</v>
      </c>
      <c r="W94" s="119" t="s">
        <v>5</v>
      </c>
      <c r="X94" s="119" t="s">
        <v>4</v>
      </c>
      <c r="Y94" s="119" t="s">
        <v>3</v>
      </c>
      <c r="Z94" s="119" t="s">
        <v>3</v>
      </c>
      <c r="AA94" s="119" t="s">
        <v>3</v>
      </c>
      <c r="AB94" s="119" t="s">
        <v>4</v>
      </c>
      <c r="AC94" s="119" t="s">
        <v>4</v>
      </c>
      <c r="AD94" s="119" t="s">
        <v>4</v>
      </c>
      <c r="AE94" s="119" t="s">
        <v>4</v>
      </c>
      <c r="AF94" s="119" t="s">
        <v>4</v>
      </c>
      <c r="AG94" s="119" t="s">
        <v>4</v>
      </c>
      <c r="AH94" s="119" t="s">
        <v>3</v>
      </c>
      <c r="AI94" s="119" t="s">
        <v>4</v>
      </c>
      <c r="AJ94" s="119" t="s">
        <v>3</v>
      </c>
      <c r="AK94" s="119" t="s">
        <v>4</v>
      </c>
      <c r="AL94" s="119" t="s">
        <v>4</v>
      </c>
      <c r="AM94" s="119" t="s">
        <v>3</v>
      </c>
      <c r="AN94" s="119" t="s">
        <v>3</v>
      </c>
    </row>
    <row r="95" spans="1:40" x14ac:dyDescent="0.3">
      <c r="A95" s="119">
        <f t="shared" si="1"/>
        <v>94</v>
      </c>
      <c r="B95" s="119" t="s">
        <v>467</v>
      </c>
      <c r="C95" s="119" t="s">
        <v>538</v>
      </c>
      <c r="D95" s="119">
        <v>3</v>
      </c>
      <c r="E95" s="119" t="s">
        <v>2</v>
      </c>
      <c r="F95" s="119" t="s">
        <v>5</v>
      </c>
      <c r="G95" s="119" t="s">
        <v>3</v>
      </c>
      <c r="H95" s="119" t="s">
        <v>3</v>
      </c>
      <c r="I95" s="119" t="s">
        <v>5</v>
      </c>
      <c r="J95" s="119" t="s">
        <v>5</v>
      </c>
      <c r="K95" s="119" t="s">
        <v>2</v>
      </c>
      <c r="L95" s="119" t="s">
        <v>2</v>
      </c>
      <c r="M95" s="119" t="s">
        <v>3</v>
      </c>
      <c r="N95" s="119" t="s">
        <v>4</v>
      </c>
      <c r="O95" s="119" t="s">
        <v>4</v>
      </c>
      <c r="P95" s="119" t="s">
        <v>5</v>
      </c>
      <c r="Q95" s="119" t="s">
        <v>3</v>
      </c>
      <c r="R95" s="119" t="s">
        <v>3</v>
      </c>
      <c r="S95" s="119" t="s">
        <v>2</v>
      </c>
      <c r="T95" s="119" t="s">
        <v>5</v>
      </c>
      <c r="U95" s="119" t="s">
        <v>3</v>
      </c>
      <c r="V95" s="119" t="s">
        <v>2</v>
      </c>
      <c r="W95" s="119" t="s">
        <v>5</v>
      </c>
      <c r="X95" s="119" t="s">
        <v>4</v>
      </c>
      <c r="Y95" s="119" t="s">
        <v>3</v>
      </c>
      <c r="Z95" s="119" t="s">
        <v>2</v>
      </c>
      <c r="AA95" s="119" t="s">
        <v>3</v>
      </c>
      <c r="AB95" s="119" t="s">
        <v>4</v>
      </c>
      <c r="AC95" s="119" t="s">
        <v>4</v>
      </c>
      <c r="AD95" s="119" t="s">
        <v>4</v>
      </c>
      <c r="AE95" s="119" t="s">
        <v>4</v>
      </c>
      <c r="AF95" s="119" t="s">
        <v>4</v>
      </c>
      <c r="AG95" s="119" t="s">
        <v>4</v>
      </c>
      <c r="AH95" s="119" t="s">
        <v>3</v>
      </c>
      <c r="AI95" s="119" t="s">
        <v>4</v>
      </c>
      <c r="AJ95" s="119" t="s">
        <v>3</v>
      </c>
      <c r="AK95" s="119" t="s">
        <v>4</v>
      </c>
      <c r="AL95" s="119" t="s">
        <v>4</v>
      </c>
      <c r="AM95" s="119" t="s">
        <v>4</v>
      </c>
      <c r="AN95" s="119" t="s">
        <v>3</v>
      </c>
    </row>
    <row r="96" spans="1:40" x14ac:dyDescent="0.3">
      <c r="A96" s="119">
        <f t="shared" si="1"/>
        <v>95</v>
      </c>
      <c r="B96" s="119" t="s">
        <v>468</v>
      </c>
      <c r="C96" s="119" t="s">
        <v>538</v>
      </c>
      <c r="D96" s="119">
        <v>3</v>
      </c>
      <c r="E96" s="119" t="s">
        <v>4</v>
      </c>
      <c r="F96" s="119" t="s">
        <v>3</v>
      </c>
      <c r="G96" s="119" t="s">
        <v>5</v>
      </c>
      <c r="H96" s="119" t="s">
        <v>5</v>
      </c>
      <c r="I96" s="119" t="s">
        <v>5</v>
      </c>
      <c r="J96" s="119" t="s">
        <v>5</v>
      </c>
      <c r="K96" s="119" t="s">
        <v>5</v>
      </c>
      <c r="L96" s="119" t="s">
        <v>2</v>
      </c>
      <c r="M96" s="119" t="s">
        <v>3</v>
      </c>
      <c r="N96" s="119" t="s">
        <v>3</v>
      </c>
      <c r="O96" s="119" t="s">
        <v>2</v>
      </c>
      <c r="P96" s="119" t="s">
        <v>2</v>
      </c>
      <c r="Q96" s="119" t="s">
        <v>5</v>
      </c>
      <c r="R96" s="119" t="s">
        <v>3</v>
      </c>
      <c r="S96" s="119" t="s">
        <v>2</v>
      </c>
      <c r="T96" s="119" t="s">
        <v>2</v>
      </c>
      <c r="U96" s="119" t="s">
        <v>5</v>
      </c>
      <c r="V96" s="119" t="s">
        <v>5</v>
      </c>
      <c r="W96" s="119" t="s">
        <v>5</v>
      </c>
      <c r="X96" s="119" t="s">
        <v>3</v>
      </c>
      <c r="Y96" s="119" t="s">
        <v>5</v>
      </c>
      <c r="Z96" s="119" t="s">
        <v>5</v>
      </c>
      <c r="AA96" s="119" t="s">
        <v>4</v>
      </c>
      <c r="AB96" s="119" t="s">
        <v>4</v>
      </c>
      <c r="AC96" s="119" t="s">
        <v>4</v>
      </c>
      <c r="AD96" s="119" t="s">
        <v>4</v>
      </c>
      <c r="AE96" s="119" t="s">
        <v>4</v>
      </c>
      <c r="AF96" s="119" t="s">
        <v>4</v>
      </c>
      <c r="AG96" s="119" t="s">
        <v>4</v>
      </c>
      <c r="AH96" s="119" t="s">
        <v>3</v>
      </c>
      <c r="AI96" s="119" t="s">
        <v>4</v>
      </c>
      <c r="AJ96" s="119" t="s">
        <v>3</v>
      </c>
      <c r="AK96" s="119" t="s">
        <v>4</v>
      </c>
      <c r="AL96" s="119" t="s">
        <v>4</v>
      </c>
      <c r="AM96" s="119" t="s">
        <v>3</v>
      </c>
      <c r="AN96" s="119" t="s">
        <v>3</v>
      </c>
    </row>
    <row r="97" spans="1:40" x14ac:dyDescent="0.3">
      <c r="A97" s="119">
        <f t="shared" si="1"/>
        <v>96</v>
      </c>
      <c r="B97" s="119" t="s">
        <v>492</v>
      </c>
      <c r="C97" s="119" t="s">
        <v>538</v>
      </c>
      <c r="D97" s="119">
        <v>3</v>
      </c>
      <c r="E97" s="119" t="s">
        <v>5</v>
      </c>
      <c r="F97" s="119" t="s">
        <v>4</v>
      </c>
      <c r="G97" s="119" t="s">
        <v>4</v>
      </c>
      <c r="H97" s="119" t="s">
        <v>5</v>
      </c>
      <c r="I97" s="119" t="s">
        <v>5</v>
      </c>
      <c r="J97" s="119" t="s">
        <v>5</v>
      </c>
      <c r="K97" s="119" t="s">
        <v>5</v>
      </c>
      <c r="L97" s="119" t="s">
        <v>2</v>
      </c>
      <c r="M97" s="119" t="s">
        <v>2</v>
      </c>
      <c r="N97" s="119" t="s">
        <v>3</v>
      </c>
      <c r="O97" s="119" t="s">
        <v>4</v>
      </c>
      <c r="P97" s="119" t="s">
        <v>2</v>
      </c>
      <c r="Q97" s="119" t="s">
        <v>2</v>
      </c>
      <c r="R97" s="119" t="s">
        <v>2</v>
      </c>
      <c r="S97" s="119" t="s">
        <v>5</v>
      </c>
      <c r="T97" s="119" t="s">
        <v>5</v>
      </c>
      <c r="U97" s="119" t="s">
        <v>3</v>
      </c>
      <c r="V97" s="119" t="s">
        <v>3</v>
      </c>
      <c r="W97" s="119" t="s">
        <v>2</v>
      </c>
      <c r="X97" s="119" t="s">
        <v>4</v>
      </c>
      <c r="Y97" s="119" t="s">
        <v>5</v>
      </c>
      <c r="Z97" s="119" t="s">
        <v>3</v>
      </c>
      <c r="AA97" s="119" t="s">
        <v>3</v>
      </c>
      <c r="AB97" s="119" t="s">
        <v>3</v>
      </c>
      <c r="AC97" s="119" t="s">
        <v>3</v>
      </c>
      <c r="AD97" s="119" t="s">
        <v>4</v>
      </c>
      <c r="AE97" s="119" t="s">
        <v>4</v>
      </c>
      <c r="AF97" s="119" t="s">
        <v>4</v>
      </c>
      <c r="AG97" s="119" t="s">
        <v>4</v>
      </c>
      <c r="AH97" s="119" t="s">
        <v>3</v>
      </c>
      <c r="AI97" s="119" t="s">
        <v>4</v>
      </c>
      <c r="AJ97" s="119" t="s">
        <v>4</v>
      </c>
      <c r="AK97" s="119" t="s">
        <v>4</v>
      </c>
      <c r="AL97" s="119" t="s">
        <v>4</v>
      </c>
      <c r="AM97" s="119" t="s">
        <v>4</v>
      </c>
      <c r="AN97" s="119" t="s">
        <v>3</v>
      </c>
    </row>
    <row r="98" spans="1:40" x14ac:dyDescent="0.3">
      <c r="A98" s="119">
        <f t="shared" si="1"/>
        <v>97</v>
      </c>
      <c r="B98" s="119" t="s">
        <v>321</v>
      </c>
      <c r="C98" s="119" t="s">
        <v>538</v>
      </c>
      <c r="D98" s="119">
        <v>4</v>
      </c>
      <c r="E98" s="119" t="s">
        <v>3</v>
      </c>
      <c r="F98" s="119" t="s">
        <v>3</v>
      </c>
      <c r="G98" s="119" t="s">
        <v>3</v>
      </c>
      <c r="H98" s="119" t="s">
        <v>5</v>
      </c>
      <c r="I98" s="119" t="s">
        <v>5</v>
      </c>
      <c r="J98" s="119" t="s">
        <v>5</v>
      </c>
      <c r="K98" s="119" t="s">
        <v>5</v>
      </c>
      <c r="L98" s="119" t="s">
        <v>2</v>
      </c>
      <c r="M98" s="119" t="s">
        <v>2</v>
      </c>
      <c r="N98" s="119" t="s">
        <v>3</v>
      </c>
      <c r="O98" s="119" t="s">
        <v>4</v>
      </c>
      <c r="P98" s="119" t="s">
        <v>5</v>
      </c>
      <c r="Q98" s="119" t="s">
        <v>5</v>
      </c>
      <c r="R98" s="119" t="s">
        <v>3</v>
      </c>
      <c r="S98" s="119" t="s">
        <v>2</v>
      </c>
      <c r="T98" s="119" t="s">
        <v>5</v>
      </c>
      <c r="U98" s="119" t="s">
        <v>5</v>
      </c>
      <c r="V98" s="119" t="s">
        <v>5</v>
      </c>
      <c r="W98" s="119" t="s">
        <v>4</v>
      </c>
      <c r="X98" s="119" t="s">
        <v>4</v>
      </c>
      <c r="Y98" s="119" t="s">
        <v>4</v>
      </c>
      <c r="Z98" s="119" t="s">
        <v>2</v>
      </c>
      <c r="AA98" s="119" t="s">
        <v>3</v>
      </c>
      <c r="AB98" s="119" t="s">
        <v>4</v>
      </c>
      <c r="AC98" s="119" t="s">
        <v>4</v>
      </c>
      <c r="AD98" s="119" t="s">
        <v>4</v>
      </c>
      <c r="AE98" s="119" t="s">
        <v>4</v>
      </c>
      <c r="AF98" s="119" t="s">
        <v>4</v>
      </c>
      <c r="AG98" s="119" t="s">
        <v>3</v>
      </c>
      <c r="AH98" s="119" t="s">
        <v>3</v>
      </c>
      <c r="AI98" s="119" t="s">
        <v>4</v>
      </c>
      <c r="AJ98" s="119" t="s">
        <v>3</v>
      </c>
      <c r="AK98" s="119" t="s">
        <v>3</v>
      </c>
      <c r="AL98" s="119" t="s">
        <v>4</v>
      </c>
      <c r="AM98" s="119" t="s">
        <v>4</v>
      </c>
      <c r="AN98" s="119" t="s">
        <v>3</v>
      </c>
    </row>
    <row r="99" spans="1:40" x14ac:dyDescent="0.3">
      <c r="A99" s="119">
        <f t="shared" si="1"/>
        <v>98</v>
      </c>
      <c r="B99" s="119" t="s">
        <v>322</v>
      </c>
      <c r="C99" s="119" t="s">
        <v>538</v>
      </c>
      <c r="D99" s="119">
        <v>4</v>
      </c>
      <c r="E99" s="119" t="s">
        <v>5</v>
      </c>
      <c r="F99" s="119" t="s">
        <v>5</v>
      </c>
      <c r="G99" s="119" t="s">
        <v>2</v>
      </c>
      <c r="H99" s="119" t="s">
        <v>5</v>
      </c>
      <c r="I99" s="119" t="s">
        <v>5</v>
      </c>
      <c r="J99" s="119" t="s">
        <v>5</v>
      </c>
      <c r="K99" s="119" t="s">
        <v>5</v>
      </c>
      <c r="L99" s="119" t="s">
        <v>2</v>
      </c>
      <c r="M99" s="119" t="s">
        <v>2</v>
      </c>
      <c r="N99" s="119" t="s">
        <v>2</v>
      </c>
      <c r="O99" s="119" t="s">
        <v>3</v>
      </c>
      <c r="P99" s="119" t="s">
        <v>5</v>
      </c>
      <c r="Q99" s="119" t="s">
        <v>5</v>
      </c>
      <c r="R99" s="119" t="s">
        <v>2</v>
      </c>
      <c r="S99" s="119" t="s">
        <v>2</v>
      </c>
      <c r="T99" s="119" t="s">
        <v>5</v>
      </c>
      <c r="U99" s="119" t="s">
        <v>5</v>
      </c>
      <c r="V99" s="119" t="s">
        <v>5</v>
      </c>
      <c r="W99" s="119" t="s">
        <v>5</v>
      </c>
      <c r="X99" s="119" t="s">
        <v>3</v>
      </c>
      <c r="Y99" s="119" t="s">
        <v>3</v>
      </c>
      <c r="Z99" s="119" t="s">
        <v>2</v>
      </c>
      <c r="AA99" s="119" t="s">
        <v>3</v>
      </c>
      <c r="AB99" s="119" t="s">
        <v>4</v>
      </c>
      <c r="AC99" s="119" t="s">
        <v>4</v>
      </c>
      <c r="AD99" s="119" t="s">
        <v>4</v>
      </c>
      <c r="AE99" s="119" t="s">
        <v>4</v>
      </c>
      <c r="AF99" s="119" t="s">
        <v>4</v>
      </c>
      <c r="AG99" s="119" t="s">
        <v>3</v>
      </c>
      <c r="AH99" s="119" t="s">
        <v>3</v>
      </c>
      <c r="AI99" s="119" t="s">
        <v>4</v>
      </c>
      <c r="AJ99" s="119" t="s">
        <v>3</v>
      </c>
      <c r="AK99" s="119" t="s">
        <v>3</v>
      </c>
      <c r="AL99" s="119" t="s">
        <v>4</v>
      </c>
      <c r="AM99" s="119" t="s">
        <v>3</v>
      </c>
      <c r="AN99" s="119" t="s">
        <v>3</v>
      </c>
    </row>
    <row r="100" spans="1:40" x14ac:dyDescent="0.3">
      <c r="A100" s="119">
        <f t="shared" si="1"/>
        <v>99</v>
      </c>
      <c r="B100" s="119" t="s">
        <v>323</v>
      </c>
      <c r="C100" s="119" t="s">
        <v>538</v>
      </c>
      <c r="D100" s="119">
        <v>4</v>
      </c>
      <c r="E100" s="119" t="s">
        <v>5</v>
      </c>
      <c r="F100" s="119" t="s">
        <v>3</v>
      </c>
      <c r="G100" s="119" t="s">
        <v>2</v>
      </c>
      <c r="H100" s="119" t="s">
        <v>5</v>
      </c>
      <c r="I100" s="119" t="s">
        <v>5</v>
      </c>
      <c r="J100" s="119" t="s">
        <v>5</v>
      </c>
      <c r="K100" s="119" t="s">
        <v>2</v>
      </c>
      <c r="L100" s="119" t="s">
        <v>2</v>
      </c>
      <c r="M100" s="119" t="s">
        <v>3</v>
      </c>
      <c r="N100" s="119" t="s">
        <v>3</v>
      </c>
      <c r="O100" s="119" t="s">
        <v>3</v>
      </c>
      <c r="P100" s="119" t="s">
        <v>3</v>
      </c>
      <c r="Q100" s="119" t="s">
        <v>2</v>
      </c>
      <c r="R100" s="119" t="s">
        <v>2</v>
      </c>
      <c r="S100" s="119" t="s">
        <v>2</v>
      </c>
      <c r="T100" s="119" t="s">
        <v>5</v>
      </c>
      <c r="U100" s="119" t="s">
        <v>2</v>
      </c>
      <c r="V100" s="119" t="s">
        <v>2</v>
      </c>
      <c r="W100" s="119" t="s">
        <v>5</v>
      </c>
      <c r="X100" s="119" t="s">
        <v>3</v>
      </c>
      <c r="Y100" s="119" t="s">
        <v>2</v>
      </c>
      <c r="Z100" s="119" t="s">
        <v>2</v>
      </c>
      <c r="AA100" s="119" t="s">
        <v>3</v>
      </c>
      <c r="AB100" s="119" t="s">
        <v>4</v>
      </c>
      <c r="AC100" s="119" t="s">
        <v>4</v>
      </c>
      <c r="AD100" s="119" t="s">
        <v>4</v>
      </c>
      <c r="AE100" s="119" t="s">
        <v>4</v>
      </c>
      <c r="AF100" s="119" t="s">
        <v>4</v>
      </c>
      <c r="AG100" s="119" t="s">
        <v>3</v>
      </c>
      <c r="AH100" s="119" t="s">
        <v>3</v>
      </c>
      <c r="AI100" s="119" t="s">
        <v>4</v>
      </c>
      <c r="AJ100" s="119" t="s">
        <v>3</v>
      </c>
      <c r="AK100" s="119" t="s">
        <v>4</v>
      </c>
      <c r="AL100" s="119" t="s">
        <v>4</v>
      </c>
      <c r="AM100" s="119" t="s">
        <v>4</v>
      </c>
      <c r="AN100" s="119" t="s">
        <v>3</v>
      </c>
    </row>
    <row r="101" spans="1:40" x14ac:dyDescent="0.3">
      <c r="A101" s="119">
        <f t="shared" si="1"/>
        <v>100</v>
      </c>
      <c r="B101" s="119" t="s">
        <v>471</v>
      </c>
      <c r="C101" s="119" t="s">
        <v>538</v>
      </c>
      <c r="D101" s="119">
        <v>4</v>
      </c>
      <c r="E101" s="119" t="s">
        <v>5</v>
      </c>
      <c r="F101" s="119" t="s">
        <v>5</v>
      </c>
      <c r="G101" s="119" t="s">
        <v>2</v>
      </c>
      <c r="H101" s="119" t="s">
        <v>5</v>
      </c>
      <c r="I101" s="119" t="s">
        <v>5</v>
      </c>
      <c r="J101" s="119" t="s">
        <v>5</v>
      </c>
      <c r="K101" s="119" t="s">
        <v>5</v>
      </c>
      <c r="L101" s="119" t="s">
        <v>2</v>
      </c>
      <c r="M101" s="119" t="s">
        <v>3</v>
      </c>
      <c r="N101" s="119" t="s">
        <v>4</v>
      </c>
      <c r="O101" s="119" t="s">
        <v>4</v>
      </c>
      <c r="P101" s="119" t="s">
        <v>3</v>
      </c>
      <c r="Q101" s="119" t="s">
        <v>2</v>
      </c>
      <c r="R101" s="119" t="s">
        <v>2</v>
      </c>
      <c r="S101" s="119" t="s">
        <v>3</v>
      </c>
      <c r="T101" s="119" t="s">
        <v>5</v>
      </c>
      <c r="U101" s="119" t="s">
        <v>3</v>
      </c>
      <c r="V101" s="119" t="s">
        <v>2</v>
      </c>
      <c r="W101" s="119" t="s">
        <v>5</v>
      </c>
      <c r="X101" s="119" t="s">
        <v>3</v>
      </c>
      <c r="Y101" s="119" t="s">
        <v>4</v>
      </c>
      <c r="Z101" s="119" t="s">
        <v>4</v>
      </c>
      <c r="AA101" s="119" t="s">
        <v>3</v>
      </c>
      <c r="AB101" s="119" t="s">
        <v>4</v>
      </c>
      <c r="AC101" s="119" t="s">
        <v>4</v>
      </c>
      <c r="AD101" s="119" t="s">
        <v>4</v>
      </c>
      <c r="AE101" s="119" t="s">
        <v>4</v>
      </c>
      <c r="AF101" s="119" t="s">
        <v>4</v>
      </c>
      <c r="AG101" s="119" t="s">
        <v>4</v>
      </c>
      <c r="AH101" s="119" t="s">
        <v>3</v>
      </c>
      <c r="AI101" s="119" t="s">
        <v>3</v>
      </c>
      <c r="AJ101" s="119" t="s">
        <v>3</v>
      </c>
      <c r="AK101" s="119" t="s">
        <v>4</v>
      </c>
      <c r="AL101" s="119" t="s">
        <v>4</v>
      </c>
      <c r="AM101" s="119" t="s">
        <v>3</v>
      </c>
      <c r="AN101" s="119" t="s">
        <v>3</v>
      </c>
    </row>
    <row r="102" spans="1:40" x14ac:dyDescent="0.3">
      <c r="A102" s="119">
        <f t="shared" si="1"/>
        <v>101</v>
      </c>
      <c r="B102" s="119" t="s">
        <v>472</v>
      </c>
      <c r="C102" s="119" t="s">
        <v>538</v>
      </c>
      <c r="D102" s="119">
        <v>4</v>
      </c>
      <c r="E102" s="119" t="s">
        <v>2</v>
      </c>
      <c r="F102" s="119" t="s">
        <v>5</v>
      </c>
      <c r="G102" s="119" t="s">
        <v>2</v>
      </c>
      <c r="H102" s="119" t="s">
        <v>5</v>
      </c>
      <c r="I102" s="119" t="s">
        <v>5</v>
      </c>
      <c r="J102" s="119" t="s">
        <v>5</v>
      </c>
      <c r="K102" s="119" t="s">
        <v>5</v>
      </c>
      <c r="L102" s="119" t="s">
        <v>2</v>
      </c>
      <c r="M102" s="119" t="s">
        <v>2</v>
      </c>
      <c r="N102" s="119" t="s">
        <v>2</v>
      </c>
      <c r="O102" s="119" t="s">
        <v>5</v>
      </c>
      <c r="P102" s="119" t="s">
        <v>4</v>
      </c>
      <c r="Q102" s="119" t="s">
        <v>5</v>
      </c>
      <c r="R102" s="119" t="s">
        <v>2</v>
      </c>
      <c r="S102" s="119" t="s">
        <v>4</v>
      </c>
      <c r="T102" s="119" t="s">
        <v>5</v>
      </c>
      <c r="U102" s="119" t="s">
        <v>5</v>
      </c>
      <c r="V102" s="119" t="s">
        <v>5</v>
      </c>
      <c r="W102" s="119" t="s">
        <v>4</v>
      </c>
      <c r="X102" s="119" t="s">
        <v>3</v>
      </c>
      <c r="Y102" s="119" t="s">
        <v>4</v>
      </c>
      <c r="Z102" s="119" t="s">
        <v>4</v>
      </c>
      <c r="AA102" s="119" t="s">
        <v>3</v>
      </c>
      <c r="AB102" s="119" t="s">
        <v>4</v>
      </c>
      <c r="AC102" s="119" t="s">
        <v>4</v>
      </c>
      <c r="AD102" s="119" t="s">
        <v>4</v>
      </c>
      <c r="AE102" s="119" t="s">
        <v>4</v>
      </c>
      <c r="AF102" s="119" t="s">
        <v>4</v>
      </c>
      <c r="AG102" s="119" t="s">
        <v>4</v>
      </c>
      <c r="AH102" s="119" t="s">
        <v>3</v>
      </c>
      <c r="AI102" s="119" t="s">
        <v>4</v>
      </c>
      <c r="AJ102" s="119" t="s">
        <v>3</v>
      </c>
      <c r="AK102" s="119" t="s">
        <v>4</v>
      </c>
      <c r="AL102" s="119" t="s">
        <v>4</v>
      </c>
      <c r="AM102" s="119" t="s">
        <v>3</v>
      </c>
      <c r="AN102" s="119" t="s">
        <v>3</v>
      </c>
    </row>
    <row r="103" spans="1:40" x14ac:dyDescent="0.3">
      <c r="A103" s="119">
        <f t="shared" si="1"/>
        <v>102</v>
      </c>
      <c r="B103" s="119" t="s">
        <v>486</v>
      </c>
      <c r="C103" s="119" t="s">
        <v>538</v>
      </c>
      <c r="D103" s="119">
        <v>4</v>
      </c>
      <c r="E103" s="119" t="s">
        <v>3</v>
      </c>
      <c r="F103" s="119" t="s">
        <v>5</v>
      </c>
      <c r="G103" s="119" t="s">
        <v>4</v>
      </c>
      <c r="H103" s="119" t="s">
        <v>5</v>
      </c>
      <c r="I103" s="119" t="s">
        <v>5</v>
      </c>
      <c r="J103" s="119" t="s">
        <v>5</v>
      </c>
      <c r="K103" s="119" t="s">
        <v>5</v>
      </c>
      <c r="L103" s="119" t="s">
        <v>2</v>
      </c>
      <c r="M103" s="119" t="s">
        <v>2</v>
      </c>
      <c r="N103" s="119" t="s">
        <v>4</v>
      </c>
      <c r="O103" s="119" t="s">
        <v>4</v>
      </c>
      <c r="P103" s="119" t="s">
        <v>5</v>
      </c>
      <c r="Q103" s="119" t="s">
        <v>2</v>
      </c>
      <c r="R103" s="119" t="s">
        <v>3</v>
      </c>
      <c r="S103" s="119" t="s">
        <v>5</v>
      </c>
      <c r="T103" s="119" t="s">
        <v>5</v>
      </c>
      <c r="U103" s="119" t="s">
        <v>2</v>
      </c>
      <c r="V103" s="119" t="s">
        <v>5</v>
      </c>
      <c r="W103" s="119" t="s">
        <v>5</v>
      </c>
      <c r="X103" s="119" t="s">
        <v>4</v>
      </c>
      <c r="Y103" s="119" t="s">
        <v>4</v>
      </c>
      <c r="Z103" s="119" t="s">
        <v>2</v>
      </c>
      <c r="AA103" s="119" t="s">
        <v>3</v>
      </c>
      <c r="AB103" s="119" t="s">
        <v>4</v>
      </c>
      <c r="AC103" s="119" t="s">
        <v>4</v>
      </c>
      <c r="AD103" s="119" t="s">
        <v>4</v>
      </c>
      <c r="AE103" s="119" t="s">
        <v>4</v>
      </c>
      <c r="AF103" s="119" t="s">
        <v>4</v>
      </c>
      <c r="AG103" s="119" t="s">
        <v>4</v>
      </c>
      <c r="AH103" s="119" t="s">
        <v>3</v>
      </c>
      <c r="AI103" s="119" t="s">
        <v>4</v>
      </c>
      <c r="AJ103" s="119" t="s">
        <v>3</v>
      </c>
      <c r="AK103" s="119" t="s">
        <v>4</v>
      </c>
      <c r="AL103" s="119" t="s">
        <v>4</v>
      </c>
      <c r="AM103" s="119" t="s">
        <v>4</v>
      </c>
      <c r="AN103" s="119" t="s">
        <v>3</v>
      </c>
    </row>
    <row r="104" spans="1:40" x14ac:dyDescent="0.3">
      <c r="A104" s="119">
        <f t="shared" si="1"/>
        <v>103</v>
      </c>
      <c r="B104" s="119" t="s">
        <v>324</v>
      </c>
      <c r="C104" s="119" t="s">
        <v>538</v>
      </c>
      <c r="D104" s="119">
        <v>5</v>
      </c>
      <c r="E104" s="119" t="s">
        <v>5</v>
      </c>
      <c r="F104" s="119" t="s">
        <v>3</v>
      </c>
      <c r="G104" s="119" t="s">
        <v>3</v>
      </c>
      <c r="H104" s="119" t="s">
        <v>5</v>
      </c>
      <c r="I104" s="119" t="s">
        <v>5</v>
      </c>
      <c r="J104" s="119" t="s">
        <v>5</v>
      </c>
      <c r="K104" s="119" t="s">
        <v>5</v>
      </c>
      <c r="L104" s="119" t="s">
        <v>2</v>
      </c>
      <c r="M104" s="119" t="s">
        <v>2</v>
      </c>
      <c r="N104" s="119" t="s">
        <v>5</v>
      </c>
      <c r="O104" s="119" t="s">
        <v>3</v>
      </c>
      <c r="P104" s="119" t="s">
        <v>2</v>
      </c>
      <c r="Q104" s="119" t="s">
        <v>5</v>
      </c>
      <c r="R104" s="119" t="s">
        <v>2</v>
      </c>
      <c r="S104" s="119" t="s">
        <v>3</v>
      </c>
      <c r="T104" s="119" t="s">
        <v>5</v>
      </c>
      <c r="U104" s="119" t="s">
        <v>5</v>
      </c>
      <c r="V104" s="119" t="s">
        <v>5</v>
      </c>
      <c r="W104" s="119" t="s">
        <v>5</v>
      </c>
      <c r="X104" s="119" t="s">
        <v>3</v>
      </c>
      <c r="Y104" s="119" t="s">
        <v>4</v>
      </c>
      <c r="Z104" s="119" t="s">
        <v>2</v>
      </c>
      <c r="AA104" s="119" t="s">
        <v>3</v>
      </c>
      <c r="AB104" s="119" t="s">
        <v>4</v>
      </c>
      <c r="AC104" s="119" t="s">
        <v>4</v>
      </c>
      <c r="AD104" s="119" t="s">
        <v>4</v>
      </c>
      <c r="AE104" s="119" t="s">
        <v>4</v>
      </c>
      <c r="AF104" s="119" t="s">
        <v>4</v>
      </c>
      <c r="AG104" s="119" t="s">
        <v>4</v>
      </c>
      <c r="AH104" s="119" t="s">
        <v>3</v>
      </c>
      <c r="AI104" s="119" t="s">
        <v>4</v>
      </c>
      <c r="AJ104" s="119" t="s">
        <v>3</v>
      </c>
      <c r="AK104" s="119" t="s">
        <v>4</v>
      </c>
      <c r="AL104" s="119" t="s">
        <v>4</v>
      </c>
      <c r="AM104" s="119" t="s">
        <v>4</v>
      </c>
      <c r="AN104" s="119" t="s">
        <v>3</v>
      </c>
    </row>
    <row r="105" spans="1:40" x14ac:dyDescent="0.3">
      <c r="A105" s="119">
        <f t="shared" si="1"/>
        <v>104</v>
      </c>
      <c r="B105" s="119" t="s">
        <v>325</v>
      </c>
      <c r="C105" s="119" t="s">
        <v>538</v>
      </c>
      <c r="D105" s="119">
        <v>5</v>
      </c>
      <c r="E105" s="119" t="s">
        <v>5</v>
      </c>
      <c r="F105" s="119" t="s">
        <v>3</v>
      </c>
      <c r="G105" s="119" t="s">
        <v>5</v>
      </c>
      <c r="H105" s="119" t="s">
        <v>5</v>
      </c>
      <c r="I105" s="119" t="s">
        <v>5</v>
      </c>
      <c r="J105" s="119" t="s">
        <v>5</v>
      </c>
      <c r="K105" s="119" t="s">
        <v>5</v>
      </c>
      <c r="L105" s="119" t="s">
        <v>2</v>
      </c>
      <c r="M105" s="119" t="s">
        <v>2</v>
      </c>
      <c r="N105" s="119" t="s">
        <v>4</v>
      </c>
      <c r="O105" s="119" t="s">
        <v>4</v>
      </c>
      <c r="P105" s="119" t="s">
        <v>3</v>
      </c>
      <c r="Q105" s="119" t="s">
        <v>5</v>
      </c>
      <c r="R105" s="119" t="s">
        <v>2</v>
      </c>
      <c r="S105" s="119" t="s">
        <v>5</v>
      </c>
      <c r="T105" s="119" t="s">
        <v>2</v>
      </c>
      <c r="U105" s="119" t="s">
        <v>2</v>
      </c>
      <c r="V105" s="119" t="s">
        <v>5</v>
      </c>
      <c r="W105" s="119" t="s">
        <v>4</v>
      </c>
      <c r="X105" s="119" t="s">
        <v>3</v>
      </c>
      <c r="Y105" s="119" t="s">
        <v>3</v>
      </c>
      <c r="Z105" s="119" t="s">
        <v>4</v>
      </c>
      <c r="AA105" s="119" t="s">
        <v>3</v>
      </c>
      <c r="AB105" s="119" t="s">
        <v>4</v>
      </c>
      <c r="AC105" s="119" t="s">
        <v>4</v>
      </c>
      <c r="AD105" s="119" t="s">
        <v>4</v>
      </c>
      <c r="AE105" s="119" t="s">
        <v>4</v>
      </c>
      <c r="AF105" s="119" t="s">
        <v>4</v>
      </c>
      <c r="AG105" s="119" t="s">
        <v>3</v>
      </c>
      <c r="AH105" s="119" t="s">
        <v>3</v>
      </c>
      <c r="AI105" s="119" t="s">
        <v>4</v>
      </c>
      <c r="AJ105" s="119" t="s">
        <v>3</v>
      </c>
      <c r="AK105" s="119" t="s">
        <v>4</v>
      </c>
      <c r="AL105" s="119" t="s">
        <v>4</v>
      </c>
      <c r="AM105" s="119" t="s">
        <v>4</v>
      </c>
      <c r="AN105" s="119" t="s">
        <v>3</v>
      </c>
    </row>
    <row r="106" spans="1:40" x14ac:dyDescent="0.3">
      <c r="A106" s="119">
        <f t="shared" si="1"/>
        <v>105</v>
      </c>
      <c r="B106" s="119" t="s">
        <v>326</v>
      </c>
      <c r="C106" s="119" t="s">
        <v>538</v>
      </c>
      <c r="D106" s="119">
        <v>5</v>
      </c>
      <c r="E106" s="119" t="s">
        <v>5</v>
      </c>
      <c r="F106" s="119" t="s">
        <v>5</v>
      </c>
      <c r="G106" s="119" t="s">
        <v>2</v>
      </c>
      <c r="H106" s="119" t="s">
        <v>5</v>
      </c>
      <c r="I106" s="119" t="s">
        <v>5</v>
      </c>
      <c r="J106" s="119" t="s">
        <v>3</v>
      </c>
      <c r="K106" s="119" t="s">
        <v>5</v>
      </c>
      <c r="L106" s="119" t="s">
        <v>2</v>
      </c>
      <c r="M106" s="119" t="s">
        <v>2</v>
      </c>
      <c r="N106" s="119" t="s">
        <v>2</v>
      </c>
      <c r="O106" s="119" t="s">
        <v>2</v>
      </c>
      <c r="P106" s="119" t="s">
        <v>2</v>
      </c>
      <c r="Q106" s="119" t="s">
        <v>2</v>
      </c>
      <c r="R106" s="119" t="s">
        <v>3</v>
      </c>
      <c r="S106" s="119" t="s">
        <v>3</v>
      </c>
      <c r="T106" s="119" t="s">
        <v>5</v>
      </c>
      <c r="U106" s="119" t="s">
        <v>5</v>
      </c>
      <c r="V106" s="119" t="s">
        <v>5</v>
      </c>
      <c r="W106" s="119" t="s">
        <v>5</v>
      </c>
      <c r="X106" s="119" t="s">
        <v>3</v>
      </c>
      <c r="Y106" s="119" t="s">
        <v>3</v>
      </c>
      <c r="Z106" s="119" t="s">
        <v>2</v>
      </c>
      <c r="AA106" s="119" t="s">
        <v>3</v>
      </c>
      <c r="AB106" s="119" t="s">
        <v>4</v>
      </c>
      <c r="AC106" s="119" t="s">
        <v>4</v>
      </c>
      <c r="AD106" s="119" t="s">
        <v>4</v>
      </c>
      <c r="AE106" s="119" t="s">
        <v>4</v>
      </c>
      <c r="AF106" s="119" t="s">
        <v>4</v>
      </c>
      <c r="AG106" s="119" t="s">
        <v>3</v>
      </c>
      <c r="AH106" s="119" t="s">
        <v>3</v>
      </c>
      <c r="AI106" s="119" t="s">
        <v>4</v>
      </c>
      <c r="AJ106" s="119" t="s">
        <v>3</v>
      </c>
      <c r="AK106" s="119" t="s">
        <v>3</v>
      </c>
      <c r="AL106" s="119" t="s">
        <v>4</v>
      </c>
      <c r="AM106" s="119" t="s">
        <v>3</v>
      </c>
      <c r="AN106" s="119" t="s">
        <v>3</v>
      </c>
    </row>
    <row r="107" spans="1:40" x14ac:dyDescent="0.3">
      <c r="A107" s="119">
        <f t="shared" si="1"/>
        <v>106</v>
      </c>
      <c r="B107" s="119" t="s">
        <v>479</v>
      </c>
      <c r="C107" s="119" t="s">
        <v>538</v>
      </c>
      <c r="D107" s="119">
        <v>5</v>
      </c>
      <c r="E107" s="119" t="s">
        <v>2</v>
      </c>
      <c r="F107" s="119" t="s">
        <v>3</v>
      </c>
      <c r="G107" s="119" t="s">
        <v>5</v>
      </c>
      <c r="H107" s="119" t="s">
        <v>5</v>
      </c>
      <c r="I107" s="119" t="s">
        <v>5</v>
      </c>
      <c r="J107" s="119" t="s">
        <v>5</v>
      </c>
      <c r="K107" s="119" t="s">
        <v>5</v>
      </c>
      <c r="L107" s="119" t="s">
        <v>2</v>
      </c>
      <c r="M107" s="119" t="s">
        <v>3</v>
      </c>
      <c r="N107" s="119" t="s">
        <v>3</v>
      </c>
      <c r="O107" s="119" t="s">
        <v>5</v>
      </c>
      <c r="P107" s="119" t="s">
        <v>2</v>
      </c>
      <c r="Q107" s="119" t="s">
        <v>5</v>
      </c>
      <c r="R107" s="119" t="s">
        <v>2</v>
      </c>
      <c r="S107" s="119" t="s">
        <v>2</v>
      </c>
      <c r="T107" s="119" t="s">
        <v>5</v>
      </c>
      <c r="U107" s="119" t="s">
        <v>5</v>
      </c>
      <c r="V107" s="119" t="s">
        <v>5</v>
      </c>
      <c r="W107" s="119" t="s">
        <v>3</v>
      </c>
      <c r="X107" s="119" t="s">
        <v>3</v>
      </c>
      <c r="Y107" s="119" t="s">
        <v>4</v>
      </c>
      <c r="Z107" s="119" t="s">
        <v>2</v>
      </c>
      <c r="AA107" s="119" t="s">
        <v>3</v>
      </c>
      <c r="AB107" s="119" t="s">
        <v>4</v>
      </c>
      <c r="AC107" s="119" t="s">
        <v>4</v>
      </c>
      <c r="AD107" s="119" t="s">
        <v>4</v>
      </c>
      <c r="AE107" s="119" t="s">
        <v>4</v>
      </c>
      <c r="AF107" s="119" t="s">
        <v>4</v>
      </c>
      <c r="AG107" s="119" t="s">
        <v>3</v>
      </c>
      <c r="AH107" s="119" t="s">
        <v>3</v>
      </c>
      <c r="AI107" s="119" t="s">
        <v>4</v>
      </c>
      <c r="AJ107" s="119" t="s">
        <v>3</v>
      </c>
      <c r="AK107" s="119" t="s">
        <v>4</v>
      </c>
      <c r="AL107" s="119" t="s">
        <v>4</v>
      </c>
      <c r="AM107" s="119" t="s">
        <v>4</v>
      </c>
      <c r="AN107" s="119" t="s">
        <v>3</v>
      </c>
    </row>
    <row r="108" spans="1:40" x14ac:dyDescent="0.3">
      <c r="A108" s="119">
        <f t="shared" si="1"/>
        <v>107</v>
      </c>
      <c r="B108" s="119" t="s">
        <v>480</v>
      </c>
      <c r="C108" s="119" t="s">
        <v>538</v>
      </c>
      <c r="D108" s="119">
        <v>5</v>
      </c>
      <c r="E108" s="119" t="s">
        <v>2</v>
      </c>
      <c r="F108" s="119" t="s">
        <v>3</v>
      </c>
      <c r="G108" s="119" t="s">
        <v>4</v>
      </c>
      <c r="H108" s="119" t="s">
        <v>5</v>
      </c>
      <c r="I108" s="119" t="s">
        <v>5</v>
      </c>
      <c r="J108" s="119" t="s">
        <v>3</v>
      </c>
      <c r="K108" s="119" t="s">
        <v>5</v>
      </c>
      <c r="L108" s="119" t="s">
        <v>2</v>
      </c>
      <c r="M108" s="119" t="s">
        <v>3</v>
      </c>
      <c r="N108" s="119" t="s">
        <v>2</v>
      </c>
      <c r="O108" s="119" t="s">
        <v>2</v>
      </c>
      <c r="P108" s="119" t="s">
        <v>5</v>
      </c>
      <c r="Q108" s="119" t="s">
        <v>5</v>
      </c>
      <c r="R108" s="119" t="s">
        <v>2</v>
      </c>
      <c r="S108" s="119" t="s">
        <v>5</v>
      </c>
      <c r="T108" s="119" t="s">
        <v>5</v>
      </c>
      <c r="U108" s="119" t="s">
        <v>3</v>
      </c>
      <c r="V108" s="119" t="s">
        <v>5</v>
      </c>
      <c r="W108" s="119" t="s">
        <v>2</v>
      </c>
      <c r="X108" s="119" t="s">
        <v>4</v>
      </c>
      <c r="Y108" s="119" t="s">
        <v>4</v>
      </c>
      <c r="Z108" s="119" t="s">
        <v>2</v>
      </c>
      <c r="AA108" s="119" t="s">
        <v>3</v>
      </c>
      <c r="AB108" s="119" t="s">
        <v>4</v>
      </c>
      <c r="AC108" s="119" t="s">
        <v>4</v>
      </c>
      <c r="AD108" s="119" t="s">
        <v>4</v>
      </c>
      <c r="AE108" s="119" t="s">
        <v>4</v>
      </c>
      <c r="AF108" s="119" t="s">
        <v>4</v>
      </c>
      <c r="AG108" s="119" t="s">
        <v>4</v>
      </c>
      <c r="AH108" s="119" t="s">
        <v>3</v>
      </c>
      <c r="AI108" s="119" t="s">
        <v>4</v>
      </c>
      <c r="AJ108" s="119" t="s">
        <v>3</v>
      </c>
      <c r="AK108" s="119" t="s">
        <v>4</v>
      </c>
      <c r="AL108" s="119" t="s">
        <v>4</v>
      </c>
      <c r="AM108" s="119" t="s">
        <v>3</v>
      </c>
      <c r="AN108" s="119" t="s">
        <v>3</v>
      </c>
    </row>
    <row r="109" spans="1:40" x14ac:dyDescent="0.3">
      <c r="A109" s="119">
        <f t="shared" si="1"/>
        <v>108</v>
      </c>
      <c r="B109" s="119" t="s">
        <v>496</v>
      </c>
      <c r="C109" s="119" t="s">
        <v>538</v>
      </c>
      <c r="D109" s="119">
        <v>5</v>
      </c>
      <c r="E109" s="119" t="s">
        <v>5</v>
      </c>
      <c r="F109" s="119" t="s">
        <v>5</v>
      </c>
      <c r="G109" s="119" t="s">
        <v>3</v>
      </c>
      <c r="H109" s="119" t="s">
        <v>5</v>
      </c>
      <c r="I109" s="119" t="s">
        <v>5</v>
      </c>
      <c r="J109" s="119" t="s">
        <v>5</v>
      </c>
      <c r="K109" s="119" t="s">
        <v>5</v>
      </c>
      <c r="L109" s="119" t="s">
        <v>2</v>
      </c>
      <c r="M109" s="119" t="s">
        <v>2</v>
      </c>
      <c r="N109" s="119" t="s">
        <v>5</v>
      </c>
      <c r="O109" s="119" t="s">
        <v>2</v>
      </c>
      <c r="P109" s="119" t="s">
        <v>2</v>
      </c>
      <c r="Q109" s="119" t="s">
        <v>4</v>
      </c>
      <c r="R109" s="119" t="s">
        <v>3</v>
      </c>
      <c r="S109" s="119" t="s">
        <v>2</v>
      </c>
      <c r="T109" s="119" t="s">
        <v>5</v>
      </c>
      <c r="U109" s="119" t="s">
        <v>5</v>
      </c>
      <c r="V109" s="119" t="s">
        <v>5</v>
      </c>
      <c r="W109" s="119" t="s">
        <v>3</v>
      </c>
      <c r="X109" s="119" t="s">
        <v>3</v>
      </c>
      <c r="Y109" s="119" t="s">
        <v>3</v>
      </c>
      <c r="Z109" s="119" t="s">
        <v>4</v>
      </c>
      <c r="AA109" s="119" t="s">
        <v>3</v>
      </c>
      <c r="AB109" s="119" t="s">
        <v>4</v>
      </c>
      <c r="AC109" s="119" t="s">
        <v>4</v>
      </c>
      <c r="AD109" s="119" t="s">
        <v>4</v>
      </c>
      <c r="AE109" s="119" t="s">
        <v>4</v>
      </c>
      <c r="AF109" s="119" t="s">
        <v>4</v>
      </c>
      <c r="AG109" s="119" t="s">
        <v>3</v>
      </c>
      <c r="AH109" s="119" t="s">
        <v>3</v>
      </c>
      <c r="AI109" s="119" t="s">
        <v>4</v>
      </c>
      <c r="AJ109" s="119" t="s">
        <v>3</v>
      </c>
      <c r="AK109" s="119" t="s">
        <v>4</v>
      </c>
      <c r="AL109" s="119" t="s">
        <v>4</v>
      </c>
      <c r="AM109" s="119" t="s">
        <v>3</v>
      </c>
      <c r="AN109" s="119" t="s">
        <v>3</v>
      </c>
    </row>
    <row r="110" spans="1:40" x14ac:dyDescent="0.3">
      <c r="A110" s="119">
        <f t="shared" si="1"/>
        <v>109</v>
      </c>
      <c r="B110" s="119" t="s">
        <v>430</v>
      </c>
      <c r="C110" s="119" t="s">
        <v>538</v>
      </c>
      <c r="D110" s="119">
        <v>6</v>
      </c>
      <c r="E110" s="119" t="s">
        <v>5</v>
      </c>
      <c r="F110" s="119" t="s">
        <v>5</v>
      </c>
      <c r="G110" s="119" t="s">
        <v>3</v>
      </c>
      <c r="H110" s="119" t="s">
        <v>5</v>
      </c>
      <c r="I110" s="119" t="s">
        <v>5</v>
      </c>
      <c r="J110" s="119" t="s">
        <v>5</v>
      </c>
      <c r="K110" s="119" t="s">
        <v>5</v>
      </c>
      <c r="L110" s="119" t="s">
        <v>2</v>
      </c>
      <c r="M110" s="119" t="s">
        <v>2</v>
      </c>
      <c r="N110" s="119" t="s">
        <v>4</v>
      </c>
      <c r="O110" s="119" t="s">
        <v>4</v>
      </c>
      <c r="P110" s="119" t="s">
        <v>4</v>
      </c>
      <c r="Q110" s="119" t="s">
        <v>5</v>
      </c>
      <c r="R110" s="119" t="s">
        <v>4</v>
      </c>
      <c r="S110" s="119" t="s">
        <v>5</v>
      </c>
      <c r="T110" s="119" t="s">
        <v>5</v>
      </c>
      <c r="U110" s="119" t="s">
        <v>5</v>
      </c>
      <c r="V110" s="119" t="s">
        <v>5</v>
      </c>
      <c r="W110" s="119" t="s">
        <v>3</v>
      </c>
      <c r="X110" s="119" t="s">
        <v>5</v>
      </c>
      <c r="Y110" s="119" t="s">
        <v>2</v>
      </c>
      <c r="Z110" s="119" t="s">
        <v>2</v>
      </c>
      <c r="AA110" s="119" t="s">
        <v>3</v>
      </c>
      <c r="AB110" s="119" t="s">
        <v>4</v>
      </c>
      <c r="AC110" s="119" t="s">
        <v>4</v>
      </c>
      <c r="AD110" s="119" t="s">
        <v>4</v>
      </c>
      <c r="AE110" s="119" t="s">
        <v>4</v>
      </c>
      <c r="AF110" s="119" t="s">
        <v>4</v>
      </c>
      <c r="AG110" s="119" t="s">
        <v>4</v>
      </c>
      <c r="AH110" s="119" t="s">
        <v>3</v>
      </c>
      <c r="AI110" s="119" t="s">
        <v>4</v>
      </c>
      <c r="AJ110" s="119" t="s">
        <v>3</v>
      </c>
      <c r="AK110" s="119" t="s">
        <v>3</v>
      </c>
      <c r="AL110" s="119" t="s">
        <v>4</v>
      </c>
      <c r="AM110" s="119" t="s">
        <v>3</v>
      </c>
      <c r="AN110" s="119" t="s">
        <v>3</v>
      </c>
    </row>
    <row r="111" spans="1:40" x14ac:dyDescent="0.3">
      <c r="A111" s="119">
        <f t="shared" si="1"/>
        <v>110</v>
      </c>
      <c r="B111" s="119" t="s">
        <v>327</v>
      </c>
      <c r="C111" s="119" t="s">
        <v>538</v>
      </c>
      <c r="D111" s="119">
        <v>6</v>
      </c>
      <c r="E111" s="119" t="s">
        <v>4</v>
      </c>
      <c r="F111" s="119" t="s">
        <v>5</v>
      </c>
      <c r="G111" s="119" t="s">
        <v>2</v>
      </c>
      <c r="H111" s="119" t="s">
        <v>5</v>
      </c>
      <c r="I111" s="119" t="s">
        <v>5</v>
      </c>
      <c r="J111" s="119" t="s">
        <v>5</v>
      </c>
      <c r="K111" s="119" t="s">
        <v>2</v>
      </c>
      <c r="L111" s="119" t="s">
        <v>2</v>
      </c>
      <c r="M111" s="119" t="s">
        <v>2</v>
      </c>
      <c r="N111" s="119" t="s">
        <v>4</v>
      </c>
      <c r="O111" s="119" t="s">
        <v>2</v>
      </c>
      <c r="P111" s="119" t="s">
        <v>5</v>
      </c>
      <c r="Q111" s="119" t="s">
        <v>5</v>
      </c>
      <c r="R111" s="119" t="s">
        <v>4</v>
      </c>
      <c r="S111" s="119" t="s">
        <v>5</v>
      </c>
      <c r="T111" s="119" t="s">
        <v>5</v>
      </c>
      <c r="U111" s="119" t="s">
        <v>5</v>
      </c>
      <c r="V111" s="119" t="s">
        <v>5</v>
      </c>
      <c r="W111" s="119" t="s">
        <v>5</v>
      </c>
      <c r="X111" s="119" t="s">
        <v>4</v>
      </c>
      <c r="Y111" s="119" t="s">
        <v>3</v>
      </c>
      <c r="Z111" s="119" t="s">
        <v>2</v>
      </c>
      <c r="AA111" s="119" t="s">
        <v>3</v>
      </c>
      <c r="AB111" s="119" t="s">
        <v>4</v>
      </c>
      <c r="AC111" s="119" t="s">
        <v>4</v>
      </c>
      <c r="AD111" s="119" t="s">
        <v>4</v>
      </c>
      <c r="AE111" s="119" t="s">
        <v>3</v>
      </c>
      <c r="AF111" s="119" t="s">
        <v>4</v>
      </c>
      <c r="AG111" s="119" t="s">
        <v>3</v>
      </c>
      <c r="AH111" s="119" t="s">
        <v>3</v>
      </c>
      <c r="AI111" s="119" t="s">
        <v>3</v>
      </c>
      <c r="AJ111" s="119" t="s">
        <v>3</v>
      </c>
      <c r="AK111" s="119" t="s">
        <v>3</v>
      </c>
      <c r="AL111" s="119" t="s">
        <v>3</v>
      </c>
      <c r="AM111" s="119" t="s">
        <v>3</v>
      </c>
      <c r="AN111" s="119" t="s">
        <v>3</v>
      </c>
    </row>
    <row r="112" spans="1:40" x14ac:dyDescent="0.3">
      <c r="A112" s="119">
        <f t="shared" si="1"/>
        <v>111</v>
      </c>
      <c r="B112" s="119" t="s">
        <v>328</v>
      </c>
      <c r="C112" s="119" t="s">
        <v>538</v>
      </c>
      <c r="D112" s="119">
        <v>6</v>
      </c>
      <c r="E112" s="119" t="s">
        <v>5</v>
      </c>
      <c r="F112" s="119" t="s">
        <v>5</v>
      </c>
      <c r="G112" s="119" t="s">
        <v>3</v>
      </c>
      <c r="H112" s="119" t="s">
        <v>2</v>
      </c>
      <c r="I112" s="119" t="s">
        <v>5</v>
      </c>
      <c r="J112" s="119" t="s">
        <v>5</v>
      </c>
      <c r="K112" s="119" t="s">
        <v>5</v>
      </c>
      <c r="L112" s="119" t="s">
        <v>5</v>
      </c>
      <c r="M112" s="119" t="s">
        <v>2</v>
      </c>
      <c r="N112" s="119" t="s">
        <v>4</v>
      </c>
      <c r="O112" s="119" t="s">
        <v>4</v>
      </c>
      <c r="P112" s="119" t="s">
        <v>2</v>
      </c>
      <c r="Q112" s="119" t="s">
        <v>5</v>
      </c>
      <c r="R112" s="119" t="s">
        <v>2</v>
      </c>
      <c r="S112" s="119" t="s">
        <v>2</v>
      </c>
      <c r="T112" s="119" t="s">
        <v>5</v>
      </c>
      <c r="U112" s="119" t="s">
        <v>3</v>
      </c>
      <c r="V112" s="119" t="s">
        <v>5</v>
      </c>
      <c r="W112" s="119" t="s">
        <v>3</v>
      </c>
      <c r="X112" s="119" t="s">
        <v>2</v>
      </c>
      <c r="Y112" s="119" t="s">
        <v>2</v>
      </c>
      <c r="Z112" s="119" t="s">
        <v>5</v>
      </c>
      <c r="AA112" s="119" t="s">
        <v>3</v>
      </c>
      <c r="AB112" s="119" t="s">
        <v>4</v>
      </c>
      <c r="AC112" s="119" t="s">
        <v>4</v>
      </c>
      <c r="AD112" s="119" t="s">
        <v>4</v>
      </c>
      <c r="AE112" s="119" t="s">
        <v>3</v>
      </c>
      <c r="AF112" s="119" t="s">
        <v>4</v>
      </c>
      <c r="AG112" s="119" t="s">
        <v>3</v>
      </c>
      <c r="AH112" s="119" t="s">
        <v>3</v>
      </c>
      <c r="AI112" s="119" t="s">
        <v>3</v>
      </c>
      <c r="AJ112" s="119" t="s">
        <v>3</v>
      </c>
      <c r="AK112" s="119" t="s">
        <v>3</v>
      </c>
      <c r="AL112" s="119" t="s">
        <v>3</v>
      </c>
      <c r="AM112" s="119" t="s">
        <v>3</v>
      </c>
      <c r="AN112" s="119" t="s">
        <v>3</v>
      </c>
    </row>
    <row r="113" spans="1:40" x14ac:dyDescent="0.3">
      <c r="A113" s="119">
        <f t="shared" si="1"/>
        <v>112</v>
      </c>
      <c r="B113" s="119" t="s">
        <v>475</v>
      </c>
      <c r="C113" s="119" t="s">
        <v>538</v>
      </c>
      <c r="D113" s="119">
        <v>6</v>
      </c>
      <c r="E113" s="119" t="s">
        <v>5</v>
      </c>
      <c r="F113" s="119" t="s">
        <v>5</v>
      </c>
      <c r="G113" s="119" t="s">
        <v>2</v>
      </c>
      <c r="H113" s="119" t="s">
        <v>5</v>
      </c>
      <c r="I113" s="119" t="s">
        <v>5</v>
      </c>
      <c r="J113" s="119" t="s">
        <v>5</v>
      </c>
      <c r="K113" s="119" t="s">
        <v>5</v>
      </c>
      <c r="L113" s="119" t="s">
        <v>5</v>
      </c>
      <c r="M113" s="119" t="s">
        <v>2</v>
      </c>
      <c r="N113" s="119" t="s">
        <v>4</v>
      </c>
      <c r="O113" s="119" t="s">
        <v>4</v>
      </c>
      <c r="P113" s="119" t="s">
        <v>5</v>
      </c>
      <c r="Q113" s="119" t="s">
        <v>2</v>
      </c>
      <c r="R113" s="119" t="s">
        <v>3</v>
      </c>
      <c r="S113" s="119" t="s">
        <v>5</v>
      </c>
      <c r="T113" s="119" t="s">
        <v>5</v>
      </c>
      <c r="U113" s="119" t="s">
        <v>3</v>
      </c>
      <c r="V113" s="119" t="s">
        <v>5</v>
      </c>
      <c r="W113" s="119" t="s">
        <v>5</v>
      </c>
      <c r="X113" s="119" t="s">
        <v>4</v>
      </c>
      <c r="Y113" s="119" t="s">
        <v>3</v>
      </c>
      <c r="Z113" s="119" t="s">
        <v>2</v>
      </c>
      <c r="AA113" s="119" t="s">
        <v>3</v>
      </c>
      <c r="AB113" s="119" t="s">
        <v>4</v>
      </c>
      <c r="AC113" s="119" t="s">
        <v>4</v>
      </c>
      <c r="AD113" s="119" t="s">
        <v>3</v>
      </c>
      <c r="AE113" s="119" t="s">
        <v>4</v>
      </c>
      <c r="AF113" s="119" t="s">
        <v>4</v>
      </c>
      <c r="AG113" s="119" t="s">
        <v>4</v>
      </c>
      <c r="AH113" s="119" t="s">
        <v>3</v>
      </c>
      <c r="AI113" s="119" t="s">
        <v>4</v>
      </c>
      <c r="AJ113" s="119" t="s">
        <v>3</v>
      </c>
      <c r="AK113" s="119" t="s">
        <v>4</v>
      </c>
      <c r="AL113" s="119" t="s">
        <v>4</v>
      </c>
      <c r="AM113" s="119" t="s">
        <v>4</v>
      </c>
      <c r="AN113" s="119" t="s">
        <v>3</v>
      </c>
    </row>
    <row r="114" spans="1:40" x14ac:dyDescent="0.3">
      <c r="A114" s="119">
        <f t="shared" si="1"/>
        <v>113</v>
      </c>
      <c r="B114" s="119" t="s">
        <v>477</v>
      </c>
      <c r="C114" s="119" t="s">
        <v>538</v>
      </c>
      <c r="D114" s="119">
        <v>6</v>
      </c>
      <c r="E114" s="119" t="s">
        <v>5</v>
      </c>
      <c r="F114" s="119" t="s">
        <v>5</v>
      </c>
      <c r="G114" s="119" t="s">
        <v>3</v>
      </c>
      <c r="H114" s="119" t="s">
        <v>5</v>
      </c>
      <c r="I114" s="119" t="s">
        <v>5</v>
      </c>
      <c r="J114" s="119" t="s">
        <v>5</v>
      </c>
      <c r="K114" s="119" t="s">
        <v>5</v>
      </c>
      <c r="L114" s="119" t="s">
        <v>2</v>
      </c>
      <c r="M114" s="119" t="s">
        <v>2</v>
      </c>
      <c r="N114" s="119" t="s">
        <v>2</v>
      </c>
      <c r="O114" s="119" t="s">
        <v>2</v>
      </c>
      <c r="P114" s="119" t="s">
        <v>3</v>
      </c>
      <c r="Q114" s="119" t="s">
        <v>5</v>
      </c>
      <c r="R114" s="119" t="s">
        <v>3</v>
      </c>
      <c r="S114" s="119" t="s">
        <v>3</v>
      </c>
      <c r="T114" s="119" t="s">
        <v>5</v>
      </c>
      <c r="U114" s="119" t="s">
        <v>5</v>
      </c>
      <c r="V114" s="119" t="s">
        <v>5</v>
      </c>
      <c r="W114" s="119" t="s">
        <v>2</v>
      </c>
      <c r="X114" s="119" t="s">
        <v>3</v>
      </c>
      <c r="Y114" s="119" t="s">
        <v>4</v>
      </c>
      <c r="Z114" s="119" t="s">
        <v>4</v>
      </c>
      <c r="AA114" s="119" t="s">
        <v>3</v>
      </c>
      <c r="AB114" s="119" t="s">
        <v>4</v>
      </c>
      <c r="AC114" s="119" t="s">
        <v>4</v>
      </c>
      <c r="AD114" s="119" t="s">
        <v>4</v>
      </c>
      <c r="AE114" s="119" t="s">
        <v>3</v>
      </c>
      <c r="AF114" s="119" t="s">
        <v>4</v>
      </c>
      <c r="AG114" s="119" t="s">
        <v>4</v>
      </c>
      <c r="AH114" s="119" t="s">
        <v>3</v>
      </c>
      <c r="AI114" s="119" t="s">
        <v>3</v>
      </c>
      <c r="AJ114" s="119" t="s">
        <v>3</v>
      </c>
      <c r="AK114" s="119" t="s">
        <v>3</v>
      </c>
      <c r="AL114" s="119" t="s">
        <v>3</v>
      </c>
      <c r="AM114" s="119" t="s">
        <v>3</v>
      </c>
      <c r="AN114" s="119" t="s">
        <v>3</v>
      </c>
    </row>
    <row r="115" spans="1:40" x14ac:dyDescent="0.3">
      <c r="A115" s="119">
        <f t="shared" si="1"/>
        <v>114</v>
      </c>
      <c r="B115" s="119" t="s">
        <v>488</v>
      </c>
      <c r="C115" s="119" t="s">
        <v>538</v>
      </c>
      <c r="D115" s="119">
        <v>6</v>
      </c>
      <c r="E115" s="119" t="s">
        <v>5</v>
      </c>
      <c r="F115" s="119" t="s">
        <v>5</v>
      </c>
      <c r="G115" s="119" t="s">
        <v>4</v>
      </c>
      <c r="H115" s="119" t="s">
        <v>5</v>
      </c>
      <c r="I115" s="119" t="s">
        <v>5</v>
      </c>
      <c r="J115" s="119" t="s">
        <v>5</v>
      </c>
      <c r="K115" s="119" t="s">
        <v>5</v>
      </c>
      <c r="L115" s="119" t="s">
        <v>2</v>
      </c>
      <c r="M115" s="119" t="s">
        <v>3</v>
      </c>
      <c r="N115" s="119" t="s">
        <v>4</v>
      </c>
      <c r="O115" s="119" t="s">
        <v>3</v>
      </c>
      <c r="P115" s="119" t="s">
        <v>5</v>
      </c>
      <c r="Q115" s="119" t="s">
        <v>5</v>
      </c>
      <c r="R115" s="119" t="s">
        <v>3</v>
      </c>
      <c r="S115" s="119" t="s">
        <v>5</v>
      </c>
      <c r="T115" s="119" t="s">
        <v>5</v>
      </c>
      <c r="U115" s="119" t="s">
        <v>3</v>
      </c>
      <c r="V115" s="119" t="s">
        <v>5</v>
      </c>
      <c r="W115" s="119" t="s">
        <v>3</v>
      </c>
      <c r="X115" s="119" t="s">
        <v>4</v>
      </c>
      <c r="Y115" s="119" t="s">
        <v>2</v>
      </c>
      <c r="Z115" s="119" t="s">
        <v>2</v>
      </c>
      <c r="AA115" s="119" t="s">
        <v>3</v>
      </c>
      <c r="AB115" s="119" t="s">
        <v>4</v>
      </c>
      <c r="AC115" s="119" t="s">
        <v>4</v>
      </c>
      <c r="AD115" s="119" t="s">
        <v>4</v>
      </c>
      <c r="AE115" s="119" t="s">
        <v>4</v>
      </c>
      <c r="AF115" s="119" t="s">
        <v>4</v>
      </c>
      <c r="AG115" s="119" t="s">
        <v>4</v>
      </c>
      <c r="AH115" s="119" t="s">
        <v>3</v>
      </c>
      <c r="AI115" s="119" t="s">
        <v>4</v>
      </c>
      <c r="AJ115" s="119" t="s">
        <v>3</v>
      </c>
      <c r="AK115" s="119" t="s">
        <v>3</v>
      </c>
      <c r="AL115" s="119" t="s">
        <v>4</v>
      </c>
      <c r="AM115" s="119" t="s">
        <v>3</v>
      </c>
      <c r="AN115" s="119"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CBA-F168-49C9-A683-1C341679A7D5}">
  <dimension ref="A1:CT1338"/>
  <sheetViews>
    <sheetView zoomScale="97" zoomScaleNormal="77" workbookViewId="0">
      <pane ySplit="1" topLeftCell="A63" activePane="bottomLeft" state="frozen"/>
      <selection pane="bottomLeft" activeCell="C16" sqref="C16"/>
    </sheetView>
  </sheetViews>
  <sheetFormatPr defaultRowHeight="14.4" x14ac:dyDescent="0.3"/>
  <cols>
    <col min="1" max="1" width="8.88671875" style="118"/>
    <col min="2" max="2" width="30.5546875" style="118" bestFit="1" customWidth="1"/>
    <col min="3" max="3" width="19.109375" style="118" bestFit="1" customWidth="1"/>
    <col min="4" max="39" width="8.88671875" style="118" customWidth="1"/>
    <col min="40" max="40" width="8.88671875" style="118"/>
    <col min="41" max="41" width="21.5546875" style="118" bestFit="1" customWidth="1"/>
    <col min="42" max="42" width="17.88671875" style="118" bestFit="1" customWidth="1"/>
    <col min="43" max="43" width="31.44140625" style="118" bestFit="1" customWidth="1"/>
    <col min="44" max="44" width="32.5546875" style="118" bestFit="1" customWidth="1"/>
    <col min="45" max="45" width="29" style="118" bestFit="1" customWidth="1"/>
    <col min="46" max="50" width="19.5546875" style="118" bestFit="1" customWidth="1"/>
    <col min="51" max="51" width="25.109375" style="118" bestFit="1" customWidth="1"/>
    <col min="52" max="52" width="22.88671875" style="123" bestFit="1" customWidth="1"/>
    <col min="53" max="53" width="5.21875" style="123" bestFit="1" customWidth="1"/>
    <col min="54" max="54" width="7.5546875" style="123" bestFit="1" customWidth="1"/>
    <col min="55" max="55" width="9.33203125" style="123" bestFit="1" customWidth="1"/>
    <col min="56" max="58" width="8.88671875" style="123"/>
    <col min="59" max="60" width="8.88671875" style="118"/>
    <col min="61" max="61" width="18" style="118" bestFit="1" customWidth="1"/>
    <col min="62" max="62" width="19.33203125" style="118" bestFit="1" customWidth="1"/>
    <col min="63" max="63" width="19.5546875" style="118" bestFit="1" customWidth="1"/>
    <col min="64" max="64" width="10.88671875" style="118" bestFit="1" customWidth="1"/>
    <col min="65" max="16384" width="8.88671875" style="118"/>
  </cols>
  <sheetData>
    <row r="1" spans="1:98" s="121" customFormat="1" x14ac:dyDescent="0.3">
      <c r="A1" s="56" t="s">
        <v>288</v>
      </c>
      <c r="B1" s="56" t="s">
        <v>0</v>
      </c>
      <c r="C1" s="56" t="s">
        <v>64</v>
      </c>
      <c r="D1" s="56" t="s">
        <v>43</v>
      </c>
      <c r="E1" s="56" t="s">
        <v>44</v>
      </c>
      <c r="F1" s="56" t="s">
        <v>45</v>
      </c>
      <c r="G1" s="56" t="s">
        <v>46</v>
      </c>
      <c r="H1" s="56" t="s">
        <v>47</v>
      </c>
      <c r="I1" s="56" t="s">
        <v>48</v>
      </c>
      <c r="J1" s="56" t="s">
        <v>49</v>
      </c>
      <c r="K1" s="56" t="s">
        <v>50</v>
      </c>
      <c r="L1" s="56" t="s">
        <v>51</v>
      </c>
      <c r="M1" s="56" t="s">
        <v>52</v>
      </c>
      <c r="N1" s="56" t="s">
        <v>53</v>
      </c>
      <c r="O1" s="56" t="s">
        <v>54</v>
      </c>
      <c r="P1" s="56" t="s">
        <v>55</v>
      </c>
      <c r="Q1" s="56" t="s">
        <v>56</v>
      </c>
      <c r="R1" s="56" t="s">
        <v>57</v>
      </c>
      <c r="S1" s="56" t="s">
        <v>58</v>
      </c>
      <c r="T1" s="56" t="s">
        <v>59</v>
      </c>
      <c r="U1" s="56" t="s">
        <v>60</v>
      </c>
      <c r="V1" s="56" t="s">
        <v>61</v>
      </c>
      <c r="W1" s="56" t="s">
        <v>62</v>
      </c>
      <c r="X1" s="56" t="s">
        <v>63</v>
      </c>
      <c r="Y1" s="56" t="s">
        <v>330</v>
      </c>
      <c r="Z1" s="56" t="s">
        <v>331</v>
      </c>
      <c r="AA1" s="56" t="s">
        <v>332</v>
      </c>
      <c r="AB1" s="56" t="s">
        <v>333</v>
      </c>
      <c r="AC1" s="56" t="s">
        <v>334</v>
      </c>
      <c r="AD1" s="56" t="s">
        <v>335</v>
      </c>
      <c r="AE1" s="56" t="s">
        <v>336</v>
      </c>
      <c r="AF1" s="56" t="s">
        <v>337</v>
      </c>
      <c r="AG1" s="56" t="s">
        <v>338</v>
      </c>
      <c r="AH1" s="56" t="s">
        <v>339</v>
      </c>
      <c r="AI1" s="56" t="s">
        <v>340</v>
      </c>
      <c r="AJ1" s="56" t="s">
        <v>341</v>
      </c>
      <c r="AK1" s="56" t="s">
        <v>342</v>
      </c>
      <c r="AL1" s="56" t="s">
        <v>343</v>
      </c>
      <c r="AM1" s="56" t="s">
        <v>390</v>
      </c>
      <c r="AZ1" s="122"/>
      <c r="BA1" s="122"/>
      <c r="BB1" s="122"/>
      <c r="BC1" s="122"/>
      <c r="BD1" s="122"/>
      <c r="BE1" s="122"/>
      <c r="BF1" s="122"/>
    </row>
    <row r="2" spans="1:98" x14ac:dyDescent="0.3">
      <c r="A2" s="119">
        <f t="shared" ref="A2:A33" si="0">ROW()-1</f>
        <v>1</v>
      </c>
      <c r="B2" s="119" t="s">
        <v>1</v>
      </c>
      <c r="C2" s="119">
        <v>1</v>
      </c>
      <c r="D2" s="119" t="s">
        <v>2</v>
      </c>
      <c r="E2" s="119" t="s">
        <v>3</v>
      </c>
      <c r="F2" s="119" t="s">
        <v>4</v>
      </c>
      <c r="G2" s="119" t="s">
        <v>5</v>
      </c>
      <c r="H2" s="119" t="s">
        <v>5</v>
      </c>
      <c r="I2" s="119" t="s">
        <v>5</v>
      </c>
      <c r="J2" s="119" t="s">
        <v>2</v>
      </c>
      <c r="K2" s="119" t="s">
        <v>2</v>
      </c>
      <c r="L2" s="119" t="s">
        <v>3</v>
      </c>
      <c r="M2" s="119" t="s">
        <v>2</v>
      </c>
      <c r="N2" s="119" t="s">
        <v>4</v>
      </c>
      <c r="O2" s="119" t="s">
        <v>2</v>
      </c>
      <c r="P2" s="119" t="s">
        <v>5</v>
      </c>
      <c r="Q2" s="119" t="s">
        <v>3</v>
      </c>
      <c r="R2" s="119" t="s">
        <v>3</v>
      </c>
      <c r="S2" s="119" t="s">
        <v>5</v>
      </c>
      <c r="T2" s="119" t="s">
        <v>5</v>
      </c>
      <c r="U2" s="119" t="s">
        <v>5</v>
      </c>
      <c r="V2" s="119" t="s">
        <v>2</v>
      </c>
      <c r="W2" s="119" t="s">
        <v>4</v>
      </c>
      <c r="X2" s="119" t="s">
        <v>3</v>
      </c>
      <c r="Y2" s="119" t="s">
        <v>4</v>
      </c>
      <c r="Z2" s="119" t="s">
        <v>4</v>
      </c>
      <c r="AA2" s="119" t="s">
        <v>4</v>
      </c>
      <c r="AB2" s="119" t="s">
        <v>4</v>
      </c>
      <c r="AC2" s="119" t="s">
        <v>4</v>
      </c>
      <c r="AD2" s="119" t="s">
        <v>4</v>
      </c>
      <c r="AE2" s="119" t="s">
        <v>4</v>
      </c>
      <c r="AF2" s="119" t="s">
        <v>3</v>
      </c>
      <c r="AG2" s="119" t="s">
        <v>4</v>
      </c>
      <c r="AH2" s="119" t="s">
        <v>4</v>
      </c>
      <c r="AI2" s="119" t="s">
        <v>3</v>
      </c>
      <c r="AJ2" s="119" t="s">
        <v>4</v>
      </c>
      <c r="AK2" s="119" t="s">
        <v>4</v>
      </c>
      <c r="AL2" s="119" t="s">
        <v>4</v>
      </c>
      <c r="AM2" s="119" t="s">
        <v>3</v>
      </c>
      <c r="BI2" s="124"/>
    </row>
    <row r="3" spans="1:98" x14ac:dyDescent="0.3">
      <c r="A3" s="119">
        <f t="shared" si="0"/>
        <v>2</v>
      </c>
      <c r="B3" s="119" t="s">
        <v>6</v>
      </c>
      <c r="C3" s="119">
        <v>1</v>
      </c>
      <c r="D3" s="119" t="s">
        <v>5</v>
      </c>
      <c r="E3" s="119" t="s">
        <v>3</v>
      </c>
      <c r="F3" s="119" t="s">
        <v>2</v>
      </c>
      <c r="G3" s="119" t="s">
        <v>3</v>
      </c>
      <c r="H3" s="119" t="s">
        <v>5</v>
      </c>
      <c r="I3" s="119" t="s">
        <v>3</v>
      </c>
      <c r="J3" s="119" t="s">
        <v>5</v>
      </c>
      <c r="K3" s="119" t="s">
        <v>2</v>
      </c>
      <c r="L3" s="119" t="s">
        <v>2</v>
      </c>
      <c r="M3" s="119" t="s">
        <v>3</v>
      </c>
      <c r="N3" s="119" t="s">
        <v>3</v>
      </c>
      <c r="O3" s="119" t="s">
        <v>4</v>
      </c>
      <c r="P3" s="119" t="s">
        <v>2</v>
      </c>
      <c r="Q3" s="119" t="s">
        <v>3</v>
      </c>
      <c r="R3" s="119" t="s">
        <v>4</v>
      </c>
      <c r="S3" s="119" t="s">
        <v>5</v>
      </c>
      <c r="T3" s="119" t="s">
        <v>5</v>
      </c>
      <c r="U3" s="119" t="s">
        <v>5</v>
      </c>
      <c r="V3" s="119" t="s">
        <v>4</v>
      </c>
      <c r="W3" s="119" t="s">
        <v>4</v>
      </c>
      <c r="X3" s="119" t="s">
        <v>4</v>
      </c>
      <c r="Y3" s="119" t="s">
        <v>5</v>
      </c>
      <c r="Z3" s="119" t="s">
        <v>3</v>
      </c>
      <c r="AA3" s="119" t="s">
        <v>4</v>
      </c>
      <c r="AB3" s="119" t="s">
        <v>4</v>
      </c>
      <c r="AC3" s="119" t="s">
        <v>4</v>
      </c>
      <c r="AD3" s="119" t="s">
        <v>4</v>
      </c>
      <c r="AE3" s="119" t="s">
        <v>4</v>
      </c>
      <c r="AF3" s="119" t="s">
        <v>4</v>
      </c>
      <c r="AG3" s="119" t="s">
        <v>3</v>
      </c>
      <c r="AH3" s="119" t="s">
        <v>4</v>
      </c>
      <c r="AI3" s="119" t="s">
        <v>3</v>
      </c>
      <c r="AJ3" s="119" t="s">
        <v>4</v>
      </c>
      <c r="AK3" s="119" t="s">
        <v>4</v>
      </c>
      <c r="AL3" s="119" t="s">
        <v>4</v>
      </c>
      <c r="AM3" s="119" t="s">
        <v>3</v>
      </c>
      <c r="AZ3" s="118"/>
      <c r="BG3" s="123"/>
      <c r="BI3" s="125"/>
      <c r="BK3" s="121"/>
      <c r="BL3" s="121"/>
      <c r="BM3" s="121"/>
      <c r="BN3" s="121"/>
      <c r="BO3" s="121"/>
      <c r="BP3" s="121"/>
      <c r="BQ3" s="121"/>
      <c r="BR3" s="121"/>
      <c r="BS3" s="121"/>
      <c r="BT3" s="121"/>
      <c r="BU3" s="121"/>
      <c r="BV3" s="121"/>
      <c r="BW3" s="121"/>
      <c r="BX3" s="121"/>
      <c r="BY3" s="121"/>
      <c r="BZ3" s="121"/>
      <c r="CA3" s="121"/>
      <c r="CB3" s="121"/>
      <c r="CC3" s="121"/>
      <c r="CD3" s="121"/>
      <c r="CE3" s="121"/>
      <c r="CF3" s="121"/>
      <c r="CG3" s="121"/>
      <c r="CH3" s="121"/>
      <c r="CI3" s="121"/>
      <c r="CJ3" s="121"/>
      <c r="CK3" s="121"/>
      <c r="CL3" s="121"/>
      <c r="CM3" s="121"/>
      <c r="CN3" s="121"/>
      <c r="CO3" s="121"/>
      <c r="CP3" s="121"/>
      <c r="CQ3" s="121"/>
      <c r="CR3" s="121"/>
      <c r="CS3" s="121"/>
      <c r="CT3" s="121"/>
    </row>
    <row r="4" spans="1:98" ht="17.399999999999999" customHeight="1" x14ac:dyDescent="0.35">
      <c r="A4" s="119">
        <f t="shared" si="0"/>
        <v>3</v>
      </c>
      <c r="B4" s="119" t="s">
        <v>7</v>
      </c>
      <c r="C4" s="119">
        <v>1</v>
      </c>
      <c r="D4" s="119" t="s">
        <v>2</v>
      </c>
      <c r="E4" s="119" t="s">
        <v>3</v>
      </c>
      <c r="F4" s="119" t="s">
        <v>4</v>
      </c>
      <c r="G4" s="119" t="s">
        <v>5</v>
      </c>
      <c r="H4" s="119" t="s">
        <v>5</v>
      </c>
      <c r="I4" s="119" t="s">
        <v>5</v>
      </c>
      <c r="J4" s="119" t="s">
        <v>5</v>
      </c>
      <c r="K4" s="119" t="s">
        <v>2</v>
      </c>
      <c r="L4" s="119" t="s">
        <v>3</v>
      </c>
      <c r="M4" s="119" t="s">
        <v>3</v>
      </c>
      <c r="N4" s="119" t="s">
        <v>4</v>
      </c>
      <c r="O4" s="119" t="s">
        <v>3</v>
      </c>
      <c r="P4" s="119" t="s">
        <v>5</v>
      </c>
      <c r="Q4" s="119" t="s">
        <v>3</v>
      </c>
      <c r="R4" s="119" t="s">
        <v>3</v>
      </c>
      <c r="S4" s="119" t="s">
        <v>5</v>
      </c>
      <c r="T4" s="119" t="s">
        <v>5</v>
      </c>
      <c r="U4" s="119" t="s">
        <v>5</v>
      </c>
      <c r="V4" s="119" t="s">
        <v>2</v>
      </c>
      <c r="W4" s="119" t="s">
        <v>4</v>
      </c>
      <c r="X4" s="119" t="s">
        <v>3</v>
      </c>
      <c r="Y4" s="119" t="s">
        <v>2</v>
      </c>
      <c r="Z4" s="119" t="s">
        <v>3</v>
      </c>
      <c r="AA4" s="119" t="s">
        <v>4</v>
      </c>
      <c r="AB4" s="119" t="s">
        <v>4</v>
      </c>
      <c r="AC4" s="119" t="s">
        <v>4</v>
      </c>
      <c r="AD4" s="119" t="s">
        <v>4</v>
      </c>
      <c r="AE4" s="119" t="s">
        <v>4</v>
      </c>
      <c r="AF4" s="119" t="s">
        <v>4</v>
      </c>
      <c r="AG4" s="119" t="s">
        <v>4</v>
      </c>
      <c r="AH4" s="119" t="s">
        <v>4</v>
      </c>
      <c r="AI4" s="119" t="s">
        <v>4</v>
      </c>
      <c r="AJ4" s="119" t="s">
        <v>4</v>
      </c>
      <c r="AK4" s="119" t="s">
        <v>4</v>
      </c>
      <c r="AL4" s="119" t="s">
        <v>3</v>
      </c>
      <c r="AM4" s="119" t="s">
        <v>3</v>
      </c>
      <c r="AR4" s="126" t="s">
        <v>39</v>
      </c>
      <c r="AS4" s="126"/>
      <c r="BG4" s="123"/>
      <c r="BI4" s="125"/>
    </row>
    <row r="5" spans="1:98" x14ac:dyDescent="0.3">
      <c r="A5" s="119">
        <f t="shared" si="0"/>
        <v>4</v>
      </c>
      <c r="B5" s="119" t="s">
        <v>8</v>
      </c>
      <c r="C5" s="119">
        <v>1</v>
      </c>
      <c r="D5" s="119" t="s">
        <v>5</v>
      </c>
      <c r="E5" s="119" t="s">
        <v>2</v>
      </c>
      <c r="F5" s="119" t="s">
        <v>2</v>
      </c>
      <c r="G5" s="119" t="s">
        <v>3</v>
      </c>
      <c r="H5" s="119" t="s">
        <v>5</v>
      </c>
      <c r="I5" s="119" t="s">
        <v>5</v>
      </c>
      <c r="J5" s="119" t="s">
        <v>5</v>
      </c>
      <c r="K5" s="119" t="s">
        <v>2</v>
      </c>
      <c r="L5" s="119" t="s">
        <v>3</v>
      </c>
      <c r="M5" s="119" t="s">
        <v>3</v>
      </c>
      <c r="N5" s="119" t="s">
        <v>4</v>
      </c>
      <c r="O5" s="119" t="s">
        <v>2</v>
      </c>
      <c r="P5" s="119" t="s">
        <v>5</v>
      </c>
      <c r="Q5" s="119" t="s">
        <v>3</v>
      </c>
      <c r="R5" s="119" t="s">
        <v>2</v>
      </c>
      <c r="S5" s="119" t="s">
        <v>5</v>
      </c>
      <c r="T5" s="119" t="s">
        <v>2</v>
      </c>
      <c r="U5" s="119" t="s">
        <v>2</v>
      </c>
      <c r="V5" s="119" t="s">
        <v>3</v>
      </c>
      <c r="W5" s="119" t="s">
        <v>4</v>
      </c>
      <c r="X5" s="119" t="s">
        <v>3</v>
      </c>
      <c r="Y5" s="119" t="s">
        <v>3</v>
      </c>
      <c r="Z5" s="119" t="s">
        <v>3</v>
      </c>
      <c r="AA5" s="119" t="s">
        <v>4</v>
      </c>
      <c r="AB5" s="119" t="s">
        <v>4</v>
      </c>
      <c r="AC5" s="119" t="s">
        <v>4</v>
      </c>
      <c r="AD5" s="119" t="s">
        <v>4</v>
      </c>
      <c r="AE5" s="119" t="s">
        <v>4</v>
      </c>
      <c r="AF5" s="119" t="s">
        <v>4</v>
      </c>
      <c r="AG5" s="119" t="s">
        <v>3</v>
      </c>
      <c r="AH5" s="119" t="s">
        <v>4</v>
      </c>
      <c r="AI5" s="119" t="s">
        <v>3</v>
      </c>
      <c r="AJ5" s="119" t="s">
        <v>4</v>
      </c>
      <c r="AK5" s="119" t="s">
        <v>4</v>
      </c>
      <c r="AL5" s="119" t="s">
        <v>4</v>
      </c>
      <c r="AM5" s="119" t="s">
        <v>3</v>
      </c>
      <c r="AT5" s="127" t="s">
        <v>451</v>
      </c>
      <c r="AU5" s="127" t="s">
        <v>452</v>
      </c>
      <c r="AV5" s="123"/>
      <c r="AW5" s="123"/>
      <c r="AX5" s="123"/>
      <c r="AY5" s="123"/>
      <c r="BG5" s="123"/>
    </row>
    <row r="6" spans="1:98" x14ac:dyDescent="0.3">
      <c r="A6" s="119">
        <f t="shared" si="0"/>
        <v>5</v>
      </c>
      <c r="B6" s="119" t="s">
        <v>9</v>
      </c>
      <c r="C6" s="119">
        <v>1</v>
      </c>
      <c r="D6" s="119" t="s">
        <v>2</v>
      </c>
      <c r="E6" s="119" t="s">
        <v>3</v>
      </c>
      <c r="F6" s="119" t="s">
        <v>3</v>
      </c>
      <c r="G6" s="119" t="s">
        <v>5</v>
      </c>
      <c r="H6" s="119" t="s">
        <v>5</v>
      </c>
      <c r="I6" s="119" t="s">
        <v>3</v>
      </c>
      <c r="J6" s="119" t="s">
        <v>2</v>
      </c>
      <c r="K6" s="119" t="s">
        <v>2</v>
      </c>
      <c r="L6" s="119" t="s">
        <v>2</v>
      </c>
      <c r="M6" s="119" t="s">
        <v>3</v>
      </c>
      <c r="N6" s="119" t="s">
        <v>4</v>
      </c>
      <c r="O6" s="119" t="s">
        <v>5</v>
      </c>
      <c r="P6" s="119" t="s">
        <v>5</v>
      </c>
      <c r="Q6" s="119" t="s">
        <v>3</v>
      </c>
      <c r="R6" s="119" t="s">
        <v>3</v>
      </c>
      <c r="S6" s="119" t="s">
        <v>5</v>
      </c>
      <c r="T6" s="119" t="s">
        <v>5</v>
      </c>
      <c r="U6" s="119" t="s">
        <v>5</v>
      </c>
      <c r="V6" s="119" t="s">
        <v>5</v>
      </c>
      <c r="W6" s="119" t="s">
        <v>4</v>
      </c>
      <c r="X6" s="119" t="s">
        <v>3</v>
      </c>
      <c r="Y6" s="119" t="s">
        <v>2</v>
      </c>
      <c r="Z6" s="119" t="s">
        <v>3</v>
      </c>
      <c r="AA6" s="119" t="s">
        <v>4</v>
      </c>
      <c r="AB6" s="119" t="s">
        <v>4</v>
      </c>
      <c r="AC6" s="119" t="s">
        <v>4</v>
      </c>
      <c r="AD6" s="119" t="s">
        <v>4</v>
      </c>
      <c r="AE6" s="119" t="s">
        <v>4</v>
      </c>
      <c r="AF6" s="119" t="s">
        <v>3</v>
      </c>
      <c r="AG6" s="119" t="s">
        <v>3</v>
      </c>
      <c r="AH6" s="119" t="s">
        <v>4</v>
      </c>
      <c r="AI6" s="119" t="s">
        <v>4</v>
      </c>
      <c r="AJ6" s="119" t="s">
        <v>4</v>
      </c>
      <c r="AK6" s="119" t="s">
        <v>4</v>
      </c>
      <c r="AL6" s="119" t="s">
        <v>4</v>
      </c>
      <c r="AM6" s="119" t="s">
        <v>3</v>
      </c>
      <c r="AT6" s="128">
        <f>COUNT(A2:A79)</f>
        <v>78</v>
      </c>
      <c r="AU6" s="128"/>
      <c r="AV6" s="123"/>
      <c r="AW6" s="123"/>
      <c r="AX6" s="123"/>
      <c r="AY6" s="123"/>
      <c r="BG6" s="123"/>
      <c r="BI6" s="129"/>
    </row>
    <row r="7" spans="1:98" x14ac:dyDescent="0.3">
      <c r="A7" s="119">
        <f t="shared" si="0"/>
        <v>6</v>
      </c>
      <c r="B7" s="119" t="s">
        <v>10</v>
      </c>
      <c r="C7" s="119">
        <v>1</v>
      </c>
      <c r="D7" s="119" t="s">
        <v>3</v>
      </c>
      <c r="E7" s="119" t="s">
        <v>3</v>
      </c>
      <c r="F7" s="119" t="s">
        <v>2</v>
      </c>
      <c r="G7" s="119" t="s">
        <v>5</v>
      </c>
      <c r="H7" s="119" t="s">
        <v>5</v>
      </c>
      <c r="I7" s="119" t="s">
        <v>3</v>
      </c>
      <c r="J7" s="119" t="s">
        <v>5</v>
      </c>
      <c r="K7" s="119" t="s">
        <v>2</v>
      </c>
      <c r="L7" s="119" t="s">
        <v>2</v>
      </c>
      <c r="M7" s="119" t="s">
        <v>2</v>
      </c>
      <c r="N7" s="119" t="s">
        <v>3</v>
      </c>
      <c r="O7" s="119" t="s">
        <v>3</v>
      </c>
      <c r="P7" s="119" t="s">
        <v>5</v>
      </c>
      <c r="Q7" s="119" t="s">
        <v>3</v>
      </c>
      <c r="R7" s="119" t="s">
        <v>3</v>
      </c>
      <c r="S7" s="119" t="s">
        <v>5</v>
      </c>
      <c r="T7" s="119" t="s">
        <v>5</v>
      </c>
      <c r="U7" s="119" t="s">
        <v>5</v>
      </c>
      <c r="V7" s="119" t="s">
        <v>5</v>
      </c>
      <c r="W7" s="119" t="s">
        <v>4</v>
      </c>
      <c r="X7" s="119" t="s">
        <v>3</v>
      </c>
      <c r="Y7" s="119" t="s">
        <v>2</v>
      </c>
      <c r="Z7" s="119" t="s">
        <v>3</v>
      </c>
      <c r="AA7" s="119" t="s">
        <v>4</v>
      </c>
      <c r="AB7" s="119" t="s">
        <v>4</v>
      </c>
      <c r="AC7" s="119" t="s">
        <v>4</v>
      </c>
      <c r="AD7" s="119" t="s">
        <v>4</v>
      </c>
      <c r="AE7" s="119" t="s">
        <v>4</v>
      </c>
      <c r="AF7" s="119" t="s">
        <v>4</v>
      </c>
      <c r="AG7" s="119" t="s">
        <v>3</v>
      </c>
      <c r="AH7" s="119" t="s">
        <v>4</v>
      </c>
      <c r="AI7" s="119" t="s">
        <v>3</v>
      </c>
      <c r="AJ7" s="119" t="s">
        <v>4</v>
      </c>
      <c r="AK7" s="119" t="s">
        <v>4</v>
      </c>
      <c r="AL7" s="119" t="s">
        <v>4</v>
      </c>
      <c r="AM7" s="119" t="s">
        <v>3</v>
      </c>
      <c r="AV7" s="123"/>
      <c r="AW7" s="123"/>
      <c r="AX7" s="123"/>
      <c r="AY7" s="123"/>
      <c r="BG7" s="123"/>
    </row>
    <row r="8" spans="1:98" x14ac:dyDescent="0.3">
      <c r="A8" s="119">
        <f t="shared" si="0"/>
        <v>7</v>
      </c>
      <c r="B8" s="119" t="s">
        <v>255</v>
      </c>
      <c r="C8" s="119">
        <v>1</v>
      </c>
      <c r="D8" s="119" t="s">
        <v>3</v>
      </c>
      <c r="E8" s="119" t="s">
        <v>3</v>
      </c>
      <c r="F8" s="119" t="s">
        <v>4</v>
      </c>
      <c r="G8" s="119" t="s">
        <v>3</v>
      </c>
      <c r="H8" s="119" t="s">
        <v>5</v>
      </c>
      <c r="I8" s="119" t="s">
        <v>5</v>
      </c>
      <c r="J8" s="119" t="s">
        <v>2</v>
      </c>
      <c r="K8" s="119" t="s">
        <v>2</v>
      </c>
      <c r="L8" s="119" t="s">
        <v>3</v>
      </c>
      <c r="M8" s="119" t="s">
        <v>3</v>
      </c>
      <c r="N8" s="119" t="s">
        <v>4</v>
      </c>
      <c r="O8" s="119" t="s">
        <v>5</v>
      </c>
      <c r="P8" s="119" t="s">
        <v>5</v>
      </c>
      <c r="Q8" s="119" t="s">
        <v>3</v>
      </c>
      <c r="R8" s="119" t="s">
        <v>2</v>
      </c>
      <c r="S8" s="119" t="s">
        <v>2</v>
      </c>
      <c r="T8" s="119" t="s">
        <v>2</v>
      </c>
      <c r="U8" s="119" t="s">
        <v>2</v>
      </c>
      <c r="V8" s="119" t="s">
        <v>5</v>
      </c>
      <c r="W8" s="119" t="s">
        <v>4</v>
      </c>
      <c r="X8" s="119" t="s">
        <v>4</v>
      </c>
      <c r="Y8" s="119" t="s">
        <v>4</v>
      </c>
      <c r="Z8" s="119" t="s">
        <v>3</v>
      </c>
      <c r="AA8" s="119" t="s">
        <v>4</v>
      </c>
      <c r="AB8" s="119" t="s">
        <v>4</v>
      </c>
      <c r="AC8" s="119" t="s">
        <v>4</v>
      </c>
      <c r="AD8" s="119" t="s">
        <v>4</v>
      </c>
      <c r="AE8" s="119" t="s">
        <v>4</v>
      </c>
      <c r="AF8" s="119" t="s">
        <v>4</v>
      </c>
      <c r="AG8" s="119" t="s">
        <v>3</v>
      </c>
      <c r="AH8" s="119" t="s">
        <v>4</v>
      </c>
      <c r="AI8" s="119" t="s">
        <v>3</v>
      </c>
      <c r="AJ8" s="119" t="s">
        <v>4</v>
      </c>
      <c r="AK8" s="119" t="s">
        <v>4</v>
      </c>
      <c r="AL8" s="119" t="s">
        <v>3</v>
      </c>
      <c r="AM8" s="119" t="s">
        <v>3</v>
      </c>
      <c r="AT8" s="130" t="s">
        <v>64</v>
      </c>
      <c r="AU8" s="131" t="s">
        <v>303</v>
      </c>
      <c r="AV8" s="131" t="s">
        <v>304</v>
      </c>
      <c r="AW8" s="131" t="s">
        <v>305</v>
      </c>
      <c r="AX8" s="131" t="s">
        <v>306</v>
      </c>
      <c r="AY8" s="131" t="s">
        <v>307</v>
      </c>
      <c r="AZ8" s="131" t="s">
        <v>308</v>
      </c>
      <c r="BG8" s="123"/>
      <c r="BI8" s="132"/>
    </row>
    <row r="9" spans="1:98" x14ac:dyDescent="0.3">
      <c r="A9" s="119">
        <f t="shared" si="0"/>
        <v>8</v>
      </c>
      <c r="B9" s="119" t="s">
        <v>256</v>
      </c>
      <c r="C9" s="119">
        <v>1</v>
      </c>
      <c r="D9" s="119" t="s">
        <v>3</v>
      </c>
      <c r="E9" s="119" t="s">
        <v>5</v>
      </c>
      <c r="F9" s="119" t="s">
        <v>3</v>
      </c>
      <c r="G9" s="119" t="s">
        <v>5</v>
      </c>
      <c r="H9" s="119" t="s">
        <v>5</v>
      </c>
      <c r="I9" s="119" t="s">
        <v>5</v>
      </c>
      <c r="J9" s="119" t="s">
        <v>5</v>
      </c>
      <c r="K9" s="119" t="s">
        <v>2</v>
      </c>
      <c r="L9" s="119" t="s">
        <v>3</v>
      </c>
      <c r="M9" s="119" t="s">
        <v>3</v>
      </c>
      <c r="N9" s="119" t="s">
        <v>3</v>
      </c>
      <c r="O9" s="119" t="s">
        <v>4</v>
      </c>
      <c r="P9" s="119" t="s">
        <v>5</v>
      </c>
      <c r="Q9" s="119" t="s">
        <v>3</v>
      </c>
      <c r="R9" s="119" t="s">
        <v>4</v>
      </c>
      <c r="S9" s="119" t="s">
        <v>5</v>
      </c>
      <c r="T9" s="119" t="s">
        <v>5</v>
      </c>
      <c r="U9" s="119" t="s">
        <v>5</v>
      </c>
      <c r="V9" s="119" t="s">
        <v>3</v>
      </c>
      <c r="W9" s="119" t="s">
        <v>4</v>
      </c>
      <c r="X9" s="119" t="s">
        <v>3</v>
      </c>
      <c r="Y9" s="119" t="s">
        <v>2</v>
      </c>
      <c r="Z9" s="119" t="s">
        <v>3</v>
      </c>
      <c r="AA9" s="119" t="s">
        <v>4</v>
      </c>
      <c r="AB9" s="119" t="s">
        <v>4</v>
      </c>
      <c r="AC9" s="119" t="s">
        <v>4</v>
      </c>
      <c r="AD9" s="119" t="s">
        <v>4</v>
      </c>
      <c r="AE9" s="119" t="s">
        <v>4</v>
      </c>
      <c r="AF9" s="119" t="s">
        <v>4</v>
      </c>
      <c r="AG9" s="119" t="s">
        <v>3</v>
      </c>
      <c r="AH9" s="119" t="s">
        <v>4</v>
      </c>
      <c r="AI9" s="119" t="s">
        <v>3</v>
      </c>
      <c r="AJ9" s="119" t="s">
        <v>4</v>
      </c>
      <c r="AK9" s="119" t="s">
        <v>4</v>
      </c>
      <c r="AL9" s="119" t="s">
        <v>4</v>
      </c>
      <c r="AM9" s="119" t="s">
        <v>3</v>
      </c>
      <c r="AR9" s="133" t="s">
        <v>40</v>
      </c>
      <c r="AS9" s="134"/>
      <c r="AT9" s="135"/>
      <c r="AU9" s="136">
        <f>COUNTIF(C:C,1)</f>
        <v>13</v>
      </c>
      <c r="AV9" s="136">
        <f>COUNTIF(C:C,2)</f>
        <v>13</v>
      </c>
      <c r="AW9" s="136">
        <f>COUNTIF(C:C,3)</f>
        <v>13</v>
      </c>
      <c r="AX9" s="136">
        <f>COUNTIF(C:C,4)</f>
        <v>13</v>
      </c>
      <c r="AY9" s="136">
        <f>COUNTIF(C:C,5)</f>
        <v>13</v>
      </c>
      <c r="AZ9" s="136">
        <f>COUNTIF(C:C,6)</f>
        <v>13</v>
      </c>
      <c r="BG9" s="123"/>
    </row>
    <row r="10" spans="1:98" x14ac:dyDescent="0.3">
      <c r="A10" s="119">
        <f t="shared" si="0"/>
        <v>9</v>
      </c>
      <c r="B10" s="119" t="s">
        <v>257</v>
      </c>
      <c r="C10" s="119">
        <v>1</v>
      </c>
      <c r="D10" s="119" t="s">
        <v>3</v>
      </c>
      <c r="E10" s="119" t="s">
        <v>3</v>
      </c>
      <c r="F10" s="119" t="s">
        <v>2</v>
      </c>
      <c r="G10" s="119" t="s">
        <v>3</v>
      </c>
      <c r="H10" s="119" t="s">
        <v>5</v>
      </c>
      <c r="I10" s="119" t="s">
        <v>5</v>
      </c>
      <c r="J10" s="119" t="s">
        <v>5</v>
      </c>
      <c r="K10" s="119" t="s">
        <v>2</v>
      </c>
      <c r="L10" s="119" t="s">
        <v>2</v>
      </c>
      <c r="M10" s="119" t="s">
        <v>2</v>
      </c>
      <c r="N10" s="119" t="s">
        <v>3</v>
      </c>
      <c r="O10" s="119" t="s">
        <v>2</v>
      </c>
      <c r="P10" s="119" t="s">
        <v>5</v>
      </c>
      <c r="Q10" s="119" t="s">
        <v>3</v>
      </c>
      <c r="R10" s="119" t="s">
        <v>3</v>
      </c>
      <c r="S10" s="119" t="s">
        <v>5</v>
      </c>
      <c r="T10" s="119" t="s">
        <v>5</v>
      </c>
      <c r="U10" s="119" t="s">
        <v>5</v>
      </c>
      <c r="V10" s="119" t="s">
        <v>2</v>
      </c>
      <c r="W10" s="119" t="s">
        <v>4</v>
      </c>
      <c r="X10" s="119" t="s">
        <v>3</v>
      </c>
      <c r="Y10" s="119" t="s">
        <v>4</v>
      </c>
      <c r="Z10" s="119" t="s">
        <v>3</v>
      </c>
      <c r="AA10" s="119" t="s">
        <v>4</v>
      </c>
      <c r="AB10" s="119" t="s">
        <v>4</v>
      </c>
      <c r="AC10" s="119" t="s">
        <v>4</v>
      </c>
      <c r="AD10" s="119" t="s">
        <v>4</v>
      </c>
      <c r="AE10" s="119" t="s">
        <v>4</v>
      </c>
      <c r="AF10" s="119" t="s">
        <v>4</v>
      </c>
      <c r="AG10" s="119" t="s">
        <v>3</v>
      </c>
      <c r="AH10" s="119" t="s">
        <v>4</v>
      </c>
      <c r="AI10" s="119" t="s">
        <v>3</v>
      </c>
      <c r="AJ10" s="119" t="s">
        <v>4</v>
      </c>
      <c r="AK10" s="119" t="s">
        <v>4</v>
      </c>
      <c r="AL10" s="119" t="s">
        <v>4</v>
      </c>
      <c r="AM10" s="119" t="s">
        <v>3</v>
      </c>
      <c r="AR10" s="137" t="s">
        <v>41</v>
      </c>
      <c r="AS10" s="137"/>
      <c r="AZ10" s="118"/>
      <c r="BG10" s="123"/>
      <c r="BI10" s="132"/>
    </row>
    <row r="11" spans="1:98" x14ac:dyDescent="0.3">
      <c r="A11" s="119">
        <f t="shared" si="0"/>
        <v>10</v>
      </c>
      <c r="B11" s="119" t="s">
        <v>258</v>
      </c>
      <c r="C11" s="119">
        <v>1</v>
      </c>
      <c r="D11" s="119" t="s">
        <v>3</v>
      </c>
      <c r="E11" s="119" t="s">
        <v>5</v>
      </c>
      <c r="F11" s="119" t="s">
        <v>2</v>
      </c>
      <c r="G11" s="119" t="s">
        <v>5</v>
      </c>
      <c r="H11" s="119" t="s">
        <v>5</v>
      </c>
      <c r="I11" s="119" t="s">
        <v>5</v>
      </c>
      <c r="J11" s="119" t="s">
        <v>5</v>
      </c>
      <c r="K11" s="119" t="s">
        <v>2</v>
      </c>
      <c r="L11" s="119" t="s">
        <v>3</v>
      </c>
      <c r="M11" s="119" t="s">
        <v>3</v>
      </c>
      <c r="N11" s="119" t="s">
        <v>2</v>
      </c>
      <c r="O11" s="119" t="s">
        <v>4</v>
      </c>
      <c r="P11" s="119" t="s">
        <v>2</v>
      </c>
      <c r="Q11" s="119" t="s">
        <v>3</v>
      </c>
      <c r="R11" s="119" t="s">
        <v>4</v>
      </c>
      <c r="S11" s="119" t="s">
        <v>2</v>
      </c>
      <c r="T11" s="119" t="s">
        <v>2</v>
      </c>
      <c r="U11" s="119" t="s">
        <v>2</v>
      </c>
      <c r="V11" s="119" t="s">
        <v>5</v>
      </c>
      <c r="W11" s="119" t="s">
        <v>4</v>
      </c>
      <c r="X11" s="119" t="s">
        <v>4</v>
      </c>
      <c r="Y11" s="119" t="s">
        <v>2</v>
      </c>
      <c r="Z11" s="119" t="s">
        <v>3</v>
      </c>
      <c r="AA11" s="119" t="s">
        <v>4</v>
      </c>
      <c r="AB11" s="119" t="s">
        <v>4</v>
      </c>
      <c r="AC11" s="119" t="s">
        <v>4</v>
      </c>
      <c r="AD11" s="119" t="s">
        <v>4</v>
      </c>
      <c r="AE11" s="119" t="s">
        <v>4</v>
      </c>
      <c r="AF11" s="119" t="s">
        <v>4</v>
      </c>
      <c r="AG11" s="119" t="s">
        <v>3</v>
      </c>
      <c r="AH11" s="119" t="s">
        <v>4</v>
      </c>
      <c r="AI11" s="119" t="s">
        <v>3</v>
      </c>
      <c r="AJ11" s="119" t="s">
        <v>4</v>
      </c>
      <c r="AK11" s="119" t="s">
        <v>4</v>
      </c>
      <c r="AL11" s="119" t="s">
        <v>4</v>
      </c>
      <c r="AM11" s="119" t="s">
        <v>3</v>
      </c>
      <c r="AR11" s="137" t="s">
        <v>42</v>
      </c>
      <c r="AS11" s="137"/>
      <c r="AZ11" s="118"/>
      <c r="BG11" s="123"/>
    </row>
    <row r="12" spans="1:98" x14ac:dyDescent="0.3">
      <c r="A12" s="119">
        <f t="shared" si="0"/>
        <v>11</v>
      </c>
      <c r="B12" s="119" t="s">
        <v>457</v>
      </c>
      <c r="C12" s="119">
        <v>1</v>
      </c>
      <c r="D12" s="119" t="s">
        <v>4</v>
      </c>
      <c r="E12" s="119" t="s">
        <v>2</v>
      </c>
      <c r="F12" s="119" t="s">
        <v>3</v>
      </c>
      <c r="G12" s="119" t="s">
        <v>3</v>
      </c>
      <c r="H12" s="119" t="s">
        <v>5</v>
      </c>
      <c r="I12" s="119" t="s">
        <v>5</v>
      </c>
      <c r="J12" s="119" t="s">
        <v>5</v>
      </c>
      <c r="K12" s="119" t="s">
        <v>2</v>
      </c>
      <c r="L12" s="119" t="s">
        <v>3</v>
      </c>
      <c r="M12" s="119" t="s">
        <v>3</v>
      </c>
      <c r="N12" s="119" t="s">
        <v>4</v>
      </c>
      <c r="O12" s="119" t="s">
        <v>2</v>
      </c>
      <c r="P12" s="119" t="s">
        <v>5</v>
      </c>
      <c r="Q12" s="119" t="s">
        <v>3</v>
      </c>
      <c r="R12" s="119" t="s">
        <v>3</v>
      </c>
      <c r="S12" s="119" t="s">
        <v>5</v>
      </c>
      <c r="T12" s="119" t="s">
        <v>5</v>
      </c>
      <c r="U12" s="119" t="s">
        <v>5</v>
      </c>
      <c r="V12" s="119" t="s">
        <v>4</v>
      </c>
      <c r="W12" s="119" t="s">
        <v>4</v>
      </c>
      <c r="X12" s="119" t="s">
        <v>4</v>
      </c>
      <c r="Y12" s="119" t="s">
        <v>4</v>
      </c>
      <c r="Z12" s="119" t="s">
        <v>3</v>
      </c>
      <c r="AA12" s="119" t="s">
        <v>3</v>
      </c>
      <c r="AB12" s="119" t="s">
        <v>3</v>
      </c>
      <c r="AC12" s="119" t="s">
        <v>4</v>
      </c>
      <c r="AD12" s="119" t="s">
        <v>4</v>
      </c>
      <c r="AE12" s="119" t="s">
        <v>4</v>
      </c>
      <c r="AF12" s="119" t="s">
        <v>4</v>
      </c>
      <c r="AG12" s="119" t="s">
        <v>3</v>
      </c>
      <c r="AH12" s="119" t="s">
        <v>4</v>
      </c>
      <c r="AI12" s="119" t="s">
        <v>3</v>
      </c>
      <c r="AJ12" s="119" t="s">
        <v>4</v>
      </c>
      <c r="AK12" s="119" t="s">
        <v>4</v>
      </c>
      <c r="AL12" s="119" t="s">
        <v>4</v>
      </c>
      <c r="AM12" s="119" t="s">
        <v>3</v>
      </c>
      <c r="AR12" s="137" t="s">
        <v>453</v>
      </c>
      <c r="AS12" s="137"/>
      <c r="AZ12" s="118"/>
      <c r="BG12" s="123"/>
      <c r="BI12" s="132"/>
    </row>
    <row r="13" spans="1:98" x14ac:dyDescent="0.3">
      <c r="A13" s="119">
        <f t="shared" si="0"/>
        <v>12</v>
      </c>
      <c r="B13" s="119" t="s">
        <v>458</v>
      </c>
      <c r="C13" s="119">
        <v>1</v>
      </c>
      <c r="D13" s="119" t="s">
        <v>5</v>
      </c>
      <c r="E13" s="119" t="s">
        <v>3</v>
      </c>
      <c r="F13" s="119" t="s">
        <v>4</v>
      </c>
      <c r="G13" s="119" t="s">
        <v>5</v>
      </c>
      <c r="H13" s="119" t="s">
        <v>5</v>
      </c>
      <c r="I13" s="119" t="s">
        <v>5</v>
      </c>
      <c r="J13" s="119" t="s">
        <v>5</v>
      </c>
      <c r="K13" s="119" t="s">
        <v>2</v>
      </c>
      <c r="L13" s="119" t="s">
        <v>2</v>
      </c>
      <c r="M13" s="119" t="s">
        <v>3</v>
      </c>
      <c r="N13" s="119" t="s">
        <v>3</v>
      </c>
      <c r="O13" s="119" t="s">
        <v>2</v>
      </c>
      <c r="P13" s="119" t="s">
        <v>2</v>
      </c>
      <c r="Q13" s="119" t="s">
        <v>3</v>
      </c>
      <c r="R13" s="119" t="s">
        <v>2</v>
      </c>
      <c r="S13" s="119" t="s">
        <v>5</v>
      </c>
      <c r="T13" s="119" t="s">
        <v>2</v>
      </c>
      <c r="U13" s="119" t="s">
        <v>5</v>
      </c>
      <c r="V13" s="119" t="s">
        <v>5</v>
      </c>
      <c r="W13" s="119" t="s">
        <v>4</v>
      </c>
      <c r="X13" s="119" t="s">
        <v>4</v>
      </c>
      <c r="Y13" s="119" t="s">
        <v>2</v>
      </c>
      <c r="Z13" s="119" t="s">
        <v>3</v>
      </c>
      <c r="AA13" s="119" t="s">
        <v>3</v>
      </c>
      <c r="AB13" s="119" t="s">
        <v>3</v>
      </c>
      <c r="AC13" s="119" t="s">
        <v>4</v>
      </c>
      <c r="AD13" s="119" t="s">
        <v>4</v>
      </c>
      <c r="AE13" s="119" t="s">
        <v>4</v>
      </c>
      <c r="AF13" s="119" t="s">
        <v>4</v>
      </c>
      <c r="AG13" s="119" t="s">
        <v>3</v>
      </c>
      <c r="AH13" s="119" t="s">
        <v>4</v>
      </c>
      <c r="AI13" s="119" t="s">
        <v>3</v>
      </c>
      <c r="AJ13" s="119" t="s">
        <v>4</v>
      </c>
      <c r="AK13" s="119" t="s">
        <v>4</v>
      </c>
      <c r="AL13" s="119" t="s">
        <v>3</v>
      </c>
      <c r="AM13" s="119" t="s">
        <v>3</v>
      </c>
      <c r="AR13" s="137" t="s">
        <v>454</v>
      </c>
      <c r="AS13" s="137"/>
      <c r="AZ13" s="118"/>
      <c r="BG13" s="123"/>
    </row>
    <row r="14" spans="1:98" x14ac:dyDescent="0.3">
      <c r="A14" s="119">
        <f t="shared" si="0"/>
        <v>13</v>
      </c>
      <c r="B14" s="119" t="s">
        <v>459</v>
      </c>
      <c r="C14" s="119">
        <v>1</v>
      </c>
      <c r="D14" s="119" t="s">
        <v>5</v>
      </c>
      <c r="E14" s="119" t="s">
        <v>5</v>
      </c>
      <c r="F14" s="119" t="s">
        <v>4</v>
      </c>
      <c r="G14" s="119" t="s">
        <v>5</v>
      </c>
      <c r="H14" s="119" t="s">
        <v>5</v>
      </c>
      <c r="I14" s="119" t="s">
        <v>5</v>
      </c>
      <c r="J14" s="119" t="s">
        <v>5</v>
      </c>
      <c r="K14" s="119" t="s">
        <v>2</v>
      </c>
      <c r="L14" s="119" t="s">
        <v>3</v>
      </c>
      <c r="M14" s="119" t="s">
        <v>4</v>
      </c>
      <c r="N14" s="119" t="s">
        <v>3</v>
      </c>
      <c r="O14" s="119" t="s">
        <v>3</v>
      </c>
      <c r="P14" s="119" t="s">
        <v>5</v>
      </c>
      <c r="Q14" s="119" t="s">
        <v>3</v>
      </c>
      <c r="R14" s="119" t="s">
        <v>3</v>
      </c>
      <c r="S14" s="119" t="s">
        <v>5</v>
      </c>
      <c r="T14" s="119" t="s">
        <v>3</v>
      </c>
      <c r="U14" s="119" t="s">
        <v>2</v>
      </c>
      <c r="V14" s="119" t="s">
        <v>5</v>
      </c>
      <c r="W14" s="119" t="s">
        <v>4</v>
      </c>
      <c r="X14" s="119" t="s">
        <v>3</v>
      </c>
      <c r="Y14" s="119" t="s">
        <v>2</v>
      </c>
      <c r="Z14" s="119" t="s">
        <v>3</v>
      </c>
      <c r="AA14" s="119" t="s">
        <v>3</v>
      </c>
      <c r="AB14" s="119" t="s">
        <v>3</v>
      </c>
      <c r="AC14" s="119" t="s">
        <v>4</v>
      </c>
      <c r="AD14" s="119" t="s">
        <v>4</v>
      </c>
      <c r="AE14" s="119" t="s">
        <v>4</v>
      </c>
      <c r="AF14" s="119" t="s">
        <v>4</v>
      </c>
      <c r="AG14" s="119" t="s">
        <v>3</v>
      </c>
      <c r="AH14" s="119" t="s">
        <v>4</v>
      </c>
      <c r="AI14" s="119" t="s">
        <v>3</v>
      </c>
      <c r="AJ14" s="119" t="s">
        <v>3</v>
      </c>
      <c r="AK14" s="119" t="s">
        <v>4</v>
      </c>
      <c r="AL14" s="119" t="s">
        <v>4</v>
      </c>
      <c r="AM14" s="119" t="s">
        <v>3</v>
      </c>
      <c r="AR14" s="137" t="s">
        <v>456</v>
      </c>
      <c r="AS14" s="137"/>
      <c r="AZ14" s="118"/>
      <c r="BG14" s="123"/>
      <c r="BI14" s="132"/>
    </row>
    <row r="15" spans="1:98" x14ac:dyDescent="0.3">
      <c r="A15" s="119">
        <f t="shared" si="0"/>
        <v>14</v>
      </c>
      <c r="B15" s="119" t="s">
        <v>11</v>
      </c>
      <c r="C15" s="119">
        <v>2</v>
      </c>
      <c r="D15" s="119" t="s">
        <v>4</v>
      </c>
      <c r="E15" s="119" t="s">
        <v>5</v>
      </c>
      <c r="F15" s="119" t="s">
        <v>3</v>
      </c>
      <c r="G15" s="119" t="s">
        <v>3</v>
      </c>
      <c r="H15" s="119" t="s">
        <v>5</v>
      </c>
      <c r="I15" s="119" t="s">
        <v>5</v>
      </c>
      <c r="J15" s="119" t="s">
        <v>5</v>
      </c>
      <c r="K15" s="119" t="s">
        <v>2</v>
      </c>
      <c r="L15" s="119" t="s">
        <v>2</v>
      </c>
      <c r="M15" s="119" t="s">
        <v>3</v>
      </c>
      <c r="N15" s="119" t="s">
        <v>4</v>
      </c>
      <c r="O15" s="119" t="s">
        <v>2</v>
      </c>
      <c r="P15" s="119" t="s">
        <v>5</v>
      </c>
      <c r="Q15" s="119" t="s">
        <v>3</v>
      </c>
      <c r="R15" s="119" t="s">
        <v>4</v>
      </c>
      <c r="S15" s="119" t="s">
        <v>5</v>
      </c>
      <c r="T15" s="119" t="s">
        <v>5</v>
      </c>
      <c r="U15" s="119" t="s">
        <v>5</v>
      </c>
      <c r="V15" s="119" t="s">
        <v>4</v>
      </c>
      <c r="W15" s="119" t="s">
        <v>4</v>
      </c>
      <c r="X15" s="119" t="s">
        <v>4</v>
      </c>
      <c r="Y15" s="119" t="s">
        <v>4</v>
      </c>
      <c r="Z15" s="119" t="s">
        <v>3</v>
      </c>
      <c r="AA15" s="119" t="s">
        <v>4</v>
      </c>
      <c r="AB15" s="119" t="s">
        <v>4</v>
      </c>
      <c r="AC15" s="119" t="s">
        <v>4</v>
      </c>
      <c r="AD15" s="119" t="s">
        <v>4</v>
      </c>
      <c r="AE15" s="119" t="s">
        <v>4</v>
      </c>
      <c r="AF15" s="119" t="s">
        <v>4</v>
      </c>
      <c r="AG15" s="119" t="s">
        <v>3</v>
      </c>
      <c r="AH15" s="119" t="s">
        <v>4</v>
      </c>
      <c r="AI15" s="119" t="s">
        <v>4</v>
      </c>
      <c r="AJ15" s="119" t="s">
        <v>4</v>
      </c>
      <c r="AK15" s="119" t="s">
        <v>4</v>
      </c>
      <c r="AL15" s="119" t="s">
        <v>3</v>
      </c>
      <c r="AM15" s="119" t="s">
        <v>3</v>
      </c>
      <c r="AR15" s="137" t="s">
        <v>455</v>
      </c>
      <c r="AS15" s="137"/>
      <c r="AZ15" s="118"/>
      <c r="BG15" s="123"/>
    </row>
    <row r="16" spans="1:98" x14ac:dyDescent="0.3">
      <c r="A16" s="119">
        <f t="shared" si="0"/>
        <v>15</v>
      </c>
      <c r="B16" s="119" t="s">
        <v>12</v>
      </c>
      <c r="C16" s="119">
        <v>2</v>
      </c>
      <c r="D16" s="119" t="s">
        <v>5</v>
      </c>
      <c r="E16" s="119" t="s">
        <v>3</v>
      </c>
      <c r="F16" s="119" t="s">
        <v>4</v>
      </c>
      <c r="G16" s="119" t="s">
        <v>3</v>
      </c>
      <c r="H16" s="119" t="s">
        <v>5</v>
      </c>
      <c r="I16" s="119" t="s">
        <v>5</v>
      </c>
      <c r="J16" s="119" t="s">
        <v>3</v>
      </c>
      <c r="K16" s="119" t="s">
        <v>4</v>
      </c>
      <c r="L16" s="119" t="s">
        <v>3</v>
      </c>
      <c r="M16" s="119" t="s">
        <v>3</v>
      </c>
      <c r="N16" s="119" t="s">
        <v>4</v>
      </c>
      <c r="O16" s="119" t="s">
        <v>4</v>
      </c>
      <c r="P16" s="119" t="s">
        <v>5</v>
      </c>
      <c r="Q16" s="119" t="s">
        <v>3</v>
      </c>
      <c r="R16" s="119" t="s">
        <v>4</v>
      </c>
      <c r="S16" s="119" t="s">
        <v>5</v>
      </c>
      <c r="T16" s="119" t="s">
        <v>5</v>
      </c>
      <c r="U16" s="119" t="s">
        <v>5</v>
      </c>
      <c r="V16" s="119" t="s">
        <v>4</v>
      </c>
      <c r="W16" s="119" t="s">
        <v>4</v>
      </c>
      <c r="X16" s="119" t="s">
        <v>4</v>
      </c>
      <c r="Y16" s="119" t="s">
        <v>4</v>
      </c>
      <c r="Z16" s="119" t="s">
        <v>3</v>
      </c>
      <c r="AA16" s="119" t="s">
        <v>4</v>
      </c>
      <c r="AB16" s="119" t="s">
        <v>4</v>
      </c>
      <c r="AC16" s="119" t="s">
        <v>4</v>
      </c>
      <c r="AD16" s="119" t="s">
        <v>4</v>
      </c>
      <c r="AE16" s="119" t="s">
        <v>4</v>
      </c>
      <c r="AF16" s="119" t="s">
        <v>4</v>
      </c>
      <c r="AG16" s="119" t="s">
        <v>3</v>
      </c>
      <c r="AH16" s="119" t="s">
        <v>4</v>
      </c>
      <c r="AI16" s="119" t="s">
        <v>3</v>
      </c>
      <c r="AJ16" s="119" t="s">
        <v>4</v>
      </c>
      <c r="AK16" s="119" t="s">
        <v>4</v>
      </c>
      <c r="AL16" s="119" t="s">
        <v>4</v>
      </c>
      <c r="AM16" s="119" t="s">
        <v>3</v>
      </c>
      <c r="AZ16" s="118"/>
      <c r="BG16" s="123"/>
      <c r="BI16" s="132"/>
    </row>
    <row r="17" spans="1:98" x14ac:dyDescent="0.3">
      <c r="A17" s="119">
        <f t="shared" si="0"/>
        <v>16</v>
      </c>
      <c r="B17" s="119" t="s">
        <v>13</v>
      </c>
      <c r="C17" s="119">
        <v>2</v>
      </c>
      <c r="D17" s="119" t="s">
        <v>5</v>
      </c>
      <c r="E17" s="119" t="s">
        <v>5</v>
      </c>
      <c r="F17" s="119" t="s">
        <v>2</v>
      </c>
      <c r="G17" s="119" t="s">
        <v>2</v>
      </c>
      <c r="H17" s="119" t="s">
        <v>5</v>
      </c>
      <c r="I17" s="119" t="s">
        <v>5</v>
      </c>
      <c r="J17" s="119" t="s">
        <v>2</v>
      </c>
      <c r="K17" s="119" t="s">
        <v>2</v>
      </c>
      <c r="L17" s="119" t="s">
        <v>2</v>
      </c>
      <c r="M17" s="119" t="s">
        <v>4</v>
      </c>
      <c r="N17" s="119" t="s">
        <v>4</v>
      </c>
      <c r="O17" s="119" t="s">
        <v>4</v>
      </c>
      <c r="P17" s="119" t="s">
        <v>5</v>
      </c>
      <c r="Q17" s="119" t="s">
        <v>4</v>
      </c>
      <c r="R17" s="119" t="s">
        <v>5</v>
      </c>
      <c r="S17" s="119" t="s">
        <v>5</v>
      </c>
      <c r="T17" s="119" t="s">
        <v>5</v>
      </c>
      <c r="U17" s="119" t="s">
        <v>5</v>
      </c>
      <c r="V17" s="119" t="s">
        <v>5</v>
      </c>
      <c r="W17" s="119" t="s">
        <v>4</v>
      </c>
      <c r="X17" s="119" t="s">
        <v>3</v>
      </c>
      <c r="Y17" s="119" t="s">
        <v>2</v>
      </c>
      <c r="Z17" s="119" t="s">
        <v>3</v>
      </c>
      <c r="AA17" s="119" t="s">
        <v>4</v>
      </c>
      <c r="AB17" s="119" t="s">
        <v>4</v>
      </c>
      <c r="AC17" s="119" t="s">
        <v>4</v>
      </c>
      <c r="AD17" s="119" t="s">
        <v>4</v>
      </c>
      <c r="AE17" s="119" t="s">
        <v>4</v>
      </c>
      <c r="AF17" s="119" t="s">
        <v>4</v>
      </c>
      <c r="AG17" s="119" t="s">
        <v>4</v>
      </c>
      <c r="AH17" s="119" t="s">
        <v>4</v>
      </c>
      <c r="AI17" s="119" t="s">
        <v>3</v>
      </c>
      <c r="AJ17" s="119" t="s">
        <v>4</v>
      </c>
      <c r="AK17" s="119" t="s">
        <v>4</v>
      </c>
      <c r="AL17" s="119" t="s">
        <v>4</v>
      </c>
      <c r="AM17" s="119" t="s">
        <v>4</v>
      </c>
      <c r="BG17" s="123"/>
    </row>
    <row r="18" spans="1:98" x14ac:dyDescent="0.3">
      <c r="A18" s="119">
        <f t="shared" si="0"/>
        <v>17</v>
      </c>
      <c r="B18" s="119" t="s">
        <v>14</v>
      </c>
      <c r="C18" s="119">
        <v>2</v>
      </c>
      <c r="D18" s="119" t="s">
        <v>5</v>
      </c>
      <c r="E18" s="119" t="s">
        <v>5</v>
      </c>
      <c r="F18" s="119" t="s">
        <v>3</v>
      </c>
      <c r="G18" s="119" t="s">
        <v>5</v>
      </c>
      <c r="H18" s="119" t="s">
        <v>5</v>
      </c>
      <c r="I18" s="119" t="s">
        <v>5</v>
      </c>
      <c r="J18" s="119" t="s">
        <v>5</v>
      </c>
      <c r="K18" s="119" t="s">
        <v>2</v>
      </c>
      <c r="L18" s="119" t="s">
        <v>2</v>
      </c>
      <c r="M18" s="119" t="s">
        <v>4</v>
      </c>
      <c r="N18" s="119" t="s">
        <v>4</v>
      </c>
      <c r="O18" s="119" t="s">
        <v>2</v>
      </c>
      <c r="P18" s="119" t="s">
        <v>5</v>
      </c>
      <c r="Q18" s="119" t="s">
        <v>4</v>
      </c>
      <c r="R18" s="119" t="s">
        <v>2</v>
      </c>
      <c r="S18" s="119" t="s">
        <v>5</v>
      </c>
      <c r="T18" s="119" t="s">
        <v>3</v>
      </c>
      <c r="U18" s="119" t="s">
        <v>4</v>
      </c>
      <c r="V18" s="119" t="s">
        <v>5</v>
      </c>
      <c r="W18" s="119" t="s">
        <v>2</v>
      </c>
      <c r="X18" s="119" t="s">
        <v>4</v>
      </c>
      <c r="Y18" s="119" t="s">
        <v>4</v>
      </c>
      <c r="Z18" s="119" t="s">
        <v>3</v>
      </c>
      <c r="AA18" s="119" t="s">
        <v>4</v>
      </c>
      <c r="AB18" s="119" t="s">
        <v>4</v>
      </c>
      <c r="AC18" s="119" t="s">
        <v>4</v>
      </c>
      <c r="AD18" s="119" t="s">
        <v>4</v>
      </c>
      <c r="AE18" s="119" t="s">
        <v>4</v>
      </c>
      <c r="AF18" s="119" t="s">
        <v>4</v>
      </c>
      <c r="AG18" s="119" t="s">
        <v>3</v>
      </c>
      <c r="AH18" s="119" t="s">
        <v>4</v>
      </c>
      <c r="AI18" s="119" t="s">
        <v>3</v>
      </c>
      <c r="AJ18" s="119" t="s">
        <v>4</v>
      </c>
      <c r="AK18" s="119" t="s">
        <v>4</v>
      </c>
      <c r="AL18" s="119" t="s">
        <v>4</v>
      </c>
      <c r="AM18" s="119" t="s">
        <v>3</v>
      </c>
      <c r="AZ18" s="118"/>
      <c r="BG18" s="123"/>
    </row>
    <row r="19" spans="1:98" x14ac:dyDescent="0.3">
      <c r="A19" s="119">
        <f t="shared" si="0"/>
        <v>18</v>
      </c>
      <c r="B19" s="119" t="s">
        <v>15</v>
      </c>
      <c r="C19" s="119">
        <v>2</v>
      </c>
      <c r="D19" s="119" t="s">
        <v>2</v>
      </c>
      <c r="E19" s="119" t="s">
        <v>5</v>
      </c>
      <c r="F19" s="119" t="s">
        <v>4</v>
      </c>
      <c r="G19" s="119" t="s">
        <v>5</v>
      </c>
      <c r="H19" s="119" t="s">
        <v>5</v>
      </c>
      <c r="I19" s="119" t="s">
        <v>5</v>
      </c>
      <c r="J19" s="119" t="s">
        <v>2</v>
      </c>
      <c r="K19" s="119" t="s">
        <v>2</v>
      </c>
      <c r="L19" s="119" t="s">
        <v>3</v>
      </c>
      <c r="M19" s="119" t="s">
        <v>4</v>
      </c>
      <c r="N19" s="119" t="s">
        <v>4</v>
      </c>
      <c r="O19" s="119" t="s">
        <v>5</v>
      </c>
      <c r="P19" s="119" t="s">
        <v>5</v>
      </c>
      <c r="Q19" s="119" t="s">
        <v>4</v>
      </c>
      <c r="R19" s="119" t="s">
        <v>5</v>
      </c>
      <c r="S19" s="119" t="s">
        <v>5</v>
      </c>
      <c r="T19" s="119" t="s">
        <v>2</v>
      </c>
      <c r="U19" s="119" t="s">
        <v>5</v>
      </c>
      <c r="V19" s="119" t="s">
        <v>5</v>
      </c>
      <c r="W19" s="119" t="s">
        <v>4</v>
      </c>
      <c r="X19" s="119" t="s">
        <v>4</v>
      </c>
      <c r="Y19" s="119" t="s">
        <v>4</v>
      </c>
      <c r="Z19" s="119" t="s">
        <v>3</v>
      </c>
      <c r="AA19" s="119" t="s">
        <v>4</v>
      </c>
      <c r="AB19" s="119" t="s">
        <v>4</v>
      </c>
      <c r="AC19" s="119" t="s">
        <v>4</v>
      </c>
      <c r="AD19" s="119" t="s">
        <v>4</v>
      </c>
      <c r="AE19" s="119" t="s">
        <v>4</v>
      </c>
      <c r="AF19" s="119" t="s">
        <v>4</v>
      </c>
      <c r="AG19" s="119" t="s">
        <v>3</v>
      </c>
      <c r="AH19" s="119" t="s">
        <v>4</v>
      </c>
      <c r="AI19" s="119" t="s">
        <v>3</v>
      </c>
      <c r="AJ19" s="119" t="s">
        <v>4</v>
      </c>
      <c r="AK19" s="119" t="s">
        <v>4</v>
      </c>
      <c r="AL19" s="119" t="s">
        <v>4</v>
      </c>
      <c r="AM19" s="119" t="s">
        <v>3</v>
      </c>
      <c r="AZ19" s="118"/>
      <c r="BG19" s="123"/>
      <c r="BI19" s="125"/>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121"/>
      <c r="CT19" s="121"/>
    </row>
    <row r="20" spans="1:98" x14ac:dyDescent="0.3">
      <c r="A20" s="119">
        <f t="shared" si="0"/>
        <v>19</v>
      </c>
      <c r="B20" s="119" t="s">
        <v>16</v>
      </c>
      <c r="C20" s="119">
        <v>2</v>
      </c>
      <c r="D20" s="119" t="s">
        <v>5</v>
      </c>
      <c r="E20" s="119" t="s">
        <v>5</v>
      </c>
      <c r="F20" s="119" t="s">
        <v>3</v>
      </c>
      <c r="G20" s="119" t="s">
        <v>5</v>
      </c>
      <c r="H20" s="119" t="s">
        <v>5</v>
      </c>
      <c r="I20" s="119" t="s">
        <v>5</v>
      </c>
      <c r="J20" s="119" t="s">
        <v>2</v>
      </c>
      <c r="K20" s="119" t="s">
        <v>2</v>
      </c>
      <c r="L20" s="119" t="s">
        <v>3</v>
      </c>
      <c r="M20" s="119" t="s">
        <v>2</v>
      </c>
      <c r="N20" s="119" t="s">
        <v>2</v>
      </c>
      <c r="O20" s="119" t="s">
        <v>3</v>
      </c>
      <c r="P20" s="119" t="s">
        <v>5</v>
      </c>
      <c r="Q20" s="119" t="s">
        <v>3</v>
      </c>
      <c r="R20" s="119" t="s">
        <v>4</v>
      </c>
      <c r="S20" s="119" t="s">
        <v>5</v>
      </c>
      <c r="T20" s="119" t="s">
        <v>5</v>
      </c>
      <c r="U20" s="119" t="s">
        <v>5</v>
      </c>
      <c r="V20" s="119" t="s">
        <v>5</v>
      </c>
      <c r="W20" s="119" t="s">
        <v>4</v>
      </c>
      <c r="X20" s="119" t="s">
        <v>4</v>
      </c>
      <c r="Y20" s="119" t="s">
        <v>2</v>
      </c>
      <c r="Z20" s="119" t="s">
        <v>3</v>
      </c>
      <c r="AA20" s="119" t="s">
        <v>4</v>
      </c>
      <c r="AB20" s="119" t="s">
        <v>4</v>
      </c>
      <c r="AC20" s="119" t="s">
        <v>4</v>
      </c>
      <c r="AD20" s="119" t="s">
        <v>4</v>
      </c>
      <c r="AE20" s="119" t="s">
        <v>4</v>
      </c>
      <c r="AF20" s="119" t="s">
        <v>4</v>
      </c>
      <c r="AG20" s="119" t="s">
        <v>3</v>
      </c>
      <c r="AH20" s="119" t="s">
        <v>4</v>
      </c>
      <c r="AI20" s="119" t="s">
        <v>4</v>
      </c>
      <c r="AJ20" s="119" t="s">
        <v>4</v>
      </c>
      <c r="AK20" s="119" t="s">
        <v>4</v>
      </c>
      <c r="AL20" s="119" t="s">
        <v>3</v>
      </c>
      <c r="AM20" s="119" t="s">
        <v>4</v>
      </c>
      <c r="AZ20" s="118"/>
      <c r="BG20" s="123"/>
      <c r="BI20" s="125"/>
    </row>
    <row r="21" spans="1:98" x14ac:dyDescent="0.3">
      <c r="A21" s="119">
        <f t="shared" si="0"/>
        <v>20</v>
      </c>
      <c r="B21" s="119" t="s">
        <v>259</v>
      </c>
      <c r="C21" s="119">
        <v>2</v>
      </c>
      <c r="D21" s="119" t="s">
        <v>4</v>
      </c>
      <c r="E21" s="119" t="s">
        <v>5</v>
      </c>
      <c r="F21" s="119" t="s">
        <v>2</v>
      </c>
      <c r="G21" s="119" t="s">
        <v>5</v>
      </c>
      <c r="H21" s="119" t="s">
        <v>5</v>
      </c>
      <c r="I21" s="119" t="s">
        <v>5</v>
      </c>
      <c r="J21" s="119" t="s">
        <v>5</v>
      </c>
      <c r="K21" s="119" t="s">
        <v>2</v>
      </c>
      <c r="L21" s="119" t="s">
        <v>3</v>
      </c>
      <c r="M21" s="119" t="s">
        <v>2</v>
      </c>
      <c r="N21" s="119" t="s">
        <v>3</v>
      </c>
      <c r="O21" s="119" t="s">
        <v>5</v>
      </c>
      <c r="P21" s="119" t="s">
        <v>5</v>
      </c>
      <c r="Q21" s="119" t="s">
        <v>3</v>
      </c>
      <c r="R21" s="119" t="s">
        <v>3</v>
      </c>
      <c r="S21" s="119" t="s">
        <v>5</v>
      </c>
      <c r="T21" s="119" t="s">
        <v>5</v>
      </c>
      <c r="U21" s="119" t="s">
        <v>5</v>
      </c>
      <c r="V21" s="119" t="s">
        <v>5</v>
      </c>
      <c r="W21" s="119" t="s">
        <v>4</v>
      </c>
      <c r="X21" s="119" t="s">
        <v>3</v>
      </c>
      <c r="Y21" s="119" t="s">
        <v>2</v>
      </c>
      <c r="Z21" s="119" t="s">
        <v>3</v>
      </c>
      <c r="AA21" s="119" t="s">
        <v>4</v>
      </c>
      <c r="AB21" s="119" t="s">
        <v>4</v>
      </c>
      <c r="AC21" s="119" t="s">
        <v>4</v>
      </c>
      <c r="AD21" s="119" t="s">
        <v>4</v>
      </c>
      <c r="AE21" s="119" t="s">
        <v>4</v>
      </c>
      <c r="AF21" s="119" t="s">
        <v>4</v>
      </c>
      <c r="AG21" s="119" t="s">
        <v>3</v>
      </c>
      <c r="AH21" s="119" t="s">
        <v>4</v>
      </c>
      <c r="AI21" s="119" t="s">
        <v>3</v>
      </c>
      <c r="AJ21" s="119" t="s">
        <v>4</v>
      </c>
      <c r="AK21" s="119" t="s">
        <v>4</v>
      </c>
      <c r="AL21" s="119" t="s">
        <v>3</v>
      </c>
      <c r="AM21" s="119" t="s">
        <v>3</v>
      </c>
      <c r="AR21" s="124" t="s">
        <v>450</v>
      </c>
      <c r="AS21" s="124"/>
      <c r="AZ21" s="118"/>
      <c r="BG21" s="123"/>
    </row>
    <row r="22" spans="1:98" x14ac:dyDescent="0.3">
      <c r="A22" s="119">
        <f t="shared" si="0"/>
        <v>21</v>
      </c>
      <c r="B22" s="119" t="s">
        <v>260</v>
      </c>
      <c r="C22" s="119">
        <v>2</v>
      </c>
      <c r="D22" s="119" t="s">
        <v>3</v>
      </c>
      <c r="E22" s="119" t="s">
        <v>5</v>
      </c>
      <c r="F22" s="119" t="s">
        <v>3</v>
      </c>
      <c r="G22" s="119" t="s">
        <v>5</v>
      </c>
      <c r="H22" s="119" t="s">
        <v>5</v>
      </c>
      <c r="I22" s="119" t="s">
        <v>5</v>
      </c>
      <c r="J22" s="119" t="s">
        <v>2</v>
      </c>
      <c r="K22" s="119" t="s">
        <v>2</v>
      </c>
      <c r="L22" s="119" t="s">
        <v>2</v>
      </c>
      <c r="M22" s="119" t="s">
        <v>2</v>
      </c>
      <c r="N22" s="119" t="s">
        <v>2</v>
      </c>
      <c r="O22" s="119" t="s">
        <v>2</v>
      </c>
      <c r="P22" s="119" t="s">
        <v>5</v>
      </c>
      <c r="Q22" s="119" t="s">
        <v>3</v>
      </c>
      <c r="R22" s="119" t="s">
        <v>3</v>
      </c>
      <c r="S22" s="119" t="s">
        <v>5</v>
      </c>
      <c r="T22" s="119" t="s">
        <v>5</v>
      </c>
      <c r="U22" s="119" t="s">
        <v>5</v>
      </c>
      <c r="V22" s="119" t="s">
        <v>5</v>
      </c>
      <c r="W22" s="119" t="s">
        <v>4</v>
      </c>
      <c r="X22" s="119" t="s">
        <v>4</v>
      </c>
      <c r="Y22" s="119" t="s">
        <v>4</v>
      </c>
      <c r="Z22" s="119" t="s">
        <v>3</v>
      </c>
      <c r="AA22" s="119" t="s">
        <v>4</v>
      </c>
      <c r="AB22" s="119" t="s">
        <v>4</v>
      </c>
      <c r="AC22" s="119" t="s">
        <v>4</v>
      </c>
      <c r="AD22" s="119" t="s">
        <v>4</v>
      </c>
      <c r="AE22" s="119" t="s">
        <v>4</v>
      </c>
      <c r="AF22" s="119" t="s">
        <v>4</v>
      </c>
      <c r="AG22" s="119" t="s">
        <v>3</v>
      </c>
      <c r="AH22" s="119" t="s">
        <v>4</v>
      </c>
      <c r="AI22" s="119" t="s">
        <v>3</v>
      </c>
      <c r="AJ22" s="119" t="s">
        <v>4</v>
      </c>
      <c r="AK22" s="119" t="s">
        <v>4</v>
      </c>
      <c r="AL22" s="119" t="s">
        <v>4</v>
      </c>
      <c r="AM22" s="119" t="s">
        <v>3</v>
      </c>
      <c r="AS22" s="138" t="s">
        <v>279</v>
      </c>
      <c r="AT22" s="119" t="s">
        <v>289</v>
      </c>
      <c r="AU22" s="139">
        <v>13</v>
      </c>
      <c r="AV22" s="140" t="s">
        <v>502</v>
      </c>
      <c r="AW22" s="140">
        <f>AU9/AT6</f>
        <v>0.16666666666666666</v>
      </c>
      <c r="BG22" s="123"/>
      <c r="BI22" s="132"/>
    </row>
    <row r="23" spans="1:98" x14ac:dyDescent="0.3">
      <c r="A23" s="119">
        <f t="shared" si="0"/>
        <v>22</v>
      </c>
      <c r="B23" s="119" t="s">
        <v>261</v>
      </c>
      <c r="C23" s="119">
        <v>2</v>
      </c>
      <c r="D23" s="119" t="s">
        <v>5</v>
      </c>
      <c r="E23" s="119" t="s">
        <v>3</v>
      </c>
      <c r="F23" s="119" t="s">
        <v>2</v>
      </c>
      <c r="G23" s="119" t="s">
        <v>2</v>
      </c>
      <c r="H23" s="119" t="s">
        <v>5</v>
      </c>
      <c r="I23" s="119" t="s">
        <v>5</v>
      </c>
      <c r="J23" s="119" t="s">
        <v>5</v>
      </c>
      <c r="K23" s="119" t="s">
        <v>2</v>
      </c>
      <c r="L23" s="119" t="s">
        <v>2</v>
      </c>
      <c r="M23" s="119" t="s">
        <v>2</v>
      </c>
      <c r="N23" s="119" t="s">
        <v>3</v>
      </c>
      <c r="O23" s="119" t="s">
        <v>2</v>
      </c>
      <c r="P23" s="119" t="s">
        <v>5</v>
      </c>
      <c r="Q23" s="119" t="s">
        <v>3</v>
      </c>
      <c r="R23" s="119" t="s">
        <v>2</v>
      </c>
      <c r="S23" s="119" t="s">
        <v>5</v>
      </c>
      <c r="T23" s="119" t="s">
        <v>2</v>
      </c>
      <c r="U23" s="119" t="s">
        <v>2</v>
      </c>
      <c r="V23" s="119" t="s">
        <v>2</v>
      </c>
      <c r="W23" s="119" t="s">
        <v>4</v>
      </c>
      <c r="X23" s="119" t="s">
        <v>4</v>
      </c>
      <c r="Y23" s="119" t="s">
        <v>4</v>
      </c>
      <c r="Z23" s="119" t="s">
        <v>3</v>
      </c>
      <c r="AA23" s="119" t="s">
        <v>4</v>
      </c>
      <c r="AB23" s="119" t="s">
        <v>4</v>
      </c>
      <c r="AC23" s="119" t="s">
        <v>4</v>
      </c>
      <c r="AD23" s="119" t="s">
        <v>4</v>
      </c>
      <c r="AE23" s="119" t="s">
        <v>4</v>
      </c>
      <c r="AF23" s="119" t="s">
        <v>4</v>
      </c>
      <c r="AG23" s="119" t="s">
        <v>3</v>
      </c>
      <c r="AH23" s="119" t="s">
        <v>4</v>
      </c>
      <c r="AI23" s="119" t="s">
        <v>3</v>
      </c>
      <c r="AJ23" s="119" t="s">
        <v>4</v>
      </c>
      <c r="AK23" s="119" t="s">
        <v>4</v>
      </c>
      <c r="AL23" s="119" t="s">
        <v>3</v>
      </c>
      <c r="AM23" s="119" t="s">
        <v>3</v>
      </c>
      <c r="AS23" s="138" t="s">
        <v>280</v>
      </c>
      <c r="AT23" s="119" t="s">
        <v>481</v>
      </c>
      <c r="AU23" s="139">
        <v>13</v>
      </c>
      <c r="AV23" s="141" t="s">
        <v>502</v>
      </c>
      <c r="AW23" s="140">
        <f>AV9/AT6</f>
        <v>0.16666666666666666</v>
      </c>
      <c r="BG23" s="123"/>
    </row>
    <row r="24" spans="1:98" x14ac:dyDescent="0.3">
      <c r="A24" s="119">
        <f t="shared" si="0"/>
        <v>23</v>
      </c>
      <c r="B24" s="119" t="s">
        <v>262</v>
      </c>
      <c r="C24" s="119">
        <v>2</v>
      </c>
      <c r="D24" s="119" t="s">
        <v>4</v>
      </c>
      <c r="E24" s="119" t="s">
        <v>5</v>
      </c>
      <c r="F24" s="119" t="s">
        <v>3</v>
      </c>
      <c r="G24" s="119" t="s">
        <v>5</v>
      </c>
      <c r="H24" s="119" t="s">
        <v>5</v>
      </c>
      <c r="I24" s="119" t="s">
        <v>5</v>
      </c>
      <c r="J24" s="119" t="s">
        <v>5</v>
      </c>
      <c r="K24" s="119" t="s">
        <v>2</v>
      </c>
      <c r="L24" s="119" t="s">
        <v>3</v>
      </c>
      <c r="M24" s="119" t="s">
        <v>2</v>
      </c>
      <c r="N24" s="119" t="s">
        <v>3</v>
      </c>
      <c r="O24" s="119" t="s">
        <v>2</v>
      </c>
      <c r="P24" s="119" t="s">
        <v>5</v>
      </c>
      <c r="Q24" s="119" t="s">
        <v>3</v>
      </c>
      <c r="R24" s="119" t="s">
        <v>3</v>
      </c>
      <c r="S24" s="119" t="s">
        <v>5</v>
      </c>
      <c r="T24" s="119" t="s">
        <v>5</v>
      </c>
      <c r="U24" s="119" t="s">
        <v>5</v>
      </c>
      <c r="V24" s="119" t="s">
        <v>3</v>
      </c>
      <c r="W24" s="119" t="s">
        <v>4</v>
      </c>
      <c r="X24" s="119" t="s">
        <v>4</v>
      </c>
      <c r="Y24" s="119" t="s">
        <v>2</v>
      </c>
      <c r="Z24" s="119" t="s">
        <v>3</v>
      </c>
      <c r="AA24" s="119" t="s">
        <v>4</v>
      </c>
      <c r="AB24" s="119" t="s">
        <v>4</v>
      </c>
      <c r="AC24" s="119" t="s">
        <v>4</v>
      </c>
      <c r="AD24" s="119" t="s">
        <v>4</v>
      </c>
      <c r="AE24" s="119" t="s">
        <v>4</v>
      </c>
      <c r="AF24" s="119" t="s">
        <v>4</v>
      </c>
      <c r="AG24" s="119" t="s">
        <v>3</v>
      </c>
      <c r="AH24" s="119" t="s">
        <v>4</v>
      </c>
      <c r="AI24" s="119" t="s">
        <v>4</v>
      </c>
      <c r="AJ24" s="119" t="s">
        <v>4</v>
      </c>
      <c r="AK24" s="119" t="s">
        <v>4</v>
      </c>
      <c r="AL24" s="119" t="s">
        <v>4</v>
      </c>
      <c r="AM24" s="119" t="s">
        <v>3</v>
      </c>
      <c r="AS24" s="138" t="s">
        <v>281</v>
      </c>
      <c r="AT24" s="119" t="s">
        <v>290</v>
      </c>
      <c r="AU24" s="139">
        <v>13</v>
      </c>
      <c r="AV24" s="141" t="s">
        <v>502</v>
      </c>
      <c r="AW24" s="140">
        <f>AW9/AT6</f>
        <v>0.16666666666666666</v>
      </c>
      <c r="BG24" s="123"/>
      <c r="BI24" s="132"/>
    </row>
    <row r="25" spans="1:98" x14ac:dyDescent="0.3">
      <c r="A25" s="119">
        <f t="shared" si="0"/>
        <v>24</v>
      </c>
      <c r="B25" s="119" t="s">
        <v>461</v>
      </c>
      <c r="C25" s="119">
        <v>2</v>
      </c>
      <c r="D25" s="119" t="s">
        <v>5</v>
      </c>
      <c r="E25" s="119" t="s">
        <v>5</v>
      </c>
      <c r="F25" s="119" t="s">
        <v>2</v>
      </c>
      <c r="G25" s="119" t="s">
        <v>2</v>
      </c>
      <c r="H25" s="119" t="s">
        <v>5</v>
      </c>
      <c r="I25" s="119" t="s">
        <v>3</v>
      </c>
      <c r="J25" s="119" t="s">
        <v>2</v>
      </c>
      <c r="K25" s="119" t="s">
        <v>2</v>
      </c>
      <c r="L25" s="119" t="s">
        <v>3</v>
      </c>
      <c r="M25" s="119" t="s">
        <v>3</v>
      </c>
      <c r="N25" s="119" t="s">
        <v>4</v>
      </c>
      <c r="O25" s="119" t="s">
        <v>5</v>
      </c>
      <c r="P25" s="119" t="s">
        <v>5</v>
      </c>
      <c r="Q25" s="119" t="s">
        <v>4</v>
      </c>
      <c r="R25" s="119" t="s">
        <v>5</v>
      </c>
      <c r="S25" s="119" t="s">
        <v>5</v>
      </c>
      <c r="T25" s="119" t="s">
        <v>2</v>
      </c>
      <c r="U25" s="119" t="s">
        <v>5</v>
      </c>
      <c r="V25" s="119" t="s">
        <v>5</v>
      </c>
      <c r="W25" s="119" t="s">
        <v>3</v>
      </c>
      <c r="X25" s="119" t="s">
        <v>4</v>
      </c>
      <c r="Y25" s="119" t="s">
        <v>2</v>
      </c>
      <c r="Z25" s="119" t="s">
        <v>3</v>
      </c>
      <c r="AA25" s="119" t="s">
        <v>3</v>
      </c>
      <c r="AB25" s="119" t="s">
        <v>4</v>
      </c>
      <c r="AC25" s="119" t="s">
        <v>4</v>
      </c>
      <c r="AD25" s="119" t="s">
        <v>4</v>
      </c>
      <c r="AE25" s="119" t="s">
        <v>4</v>
      </c>
      <c r="AF25" s="119" t="s">
        <v>4</v>
      </c>
      <c r="AG25" s="119" t="s">
        <v>3</v>
      </c>
      <c r="AH25" s="119" t="s">
        <v>4</v>
      </c>
      <c r="AI25" s="119" t="s">
        <v>3</v>
      </c>
      <c r="AJ25" s="119" t="s">
        <v>4</v>
      </c>
      <c r="AK25" s="119" t="s">
        <v>4</v>
      </c>
      <c r="AL25" s="119" t="s">
        <v>3</v>
      </c>
      <c r="AM25" s="119" t="s">
        <v>3</v>
      </c>
      <c r="AS25" s="138" t="s">
        <v>282</v>
      </c>
      <c r="AT25" s="119" t="s">
        <v>291</v>
      </c>
      <c r="AU25" s="139">
        <v>13</v>
      </c>
      <c r="AV25" s="141" t="s">
        <v>502</v>
      </c>
      <c r="AW25" s="140">
        <f>AX9/AT6</f>
        <v>0.16666666666666666</v>
      </c>
      <c r="BG25" s="123"/>
    </row>
    <row r="26" spans="1:98" x14ac:dyDescent="0.3">
      <c r="A26" s="119">
        <f t="shared" si="0"/>
        <v>25</v>
      </c>
      <c r="B26" s="119" t="s">
        <v>462</v>
      </c>
      <c r="C26" s="119">
        <v>2</v>
      </c>
      <c r="D26" s="119" t="s">
        <v>5</v>
      </c>
      <c r="E26" s="119" t="s">
        <v>3</v>
      </c>
      <c r="F26" s="119" t="s">
        <v>5</v>
      </c>
      <c r="G26" s="119" t="s">
        <v>5</v>
      </c>
      <c r="H26" s="119" t="s">
        <v>5</v>
      </c>
      <c r="I26" s="119" t="s">
        <v>5</v>
      </c>
      <c r="J26" s="119" t="s">
        <v>5</v>
      </c>
      <c r="K26" s="119" t="s">
        <v>2</v>
      </c>
      <c r="L26" s="119" t="s">
        <v>3</v>
      </c>
      <c r="M26" s="119" t="s">
        <v>3</v>
      </c>
      <c r="N26" s="119" t="s">
        <v>3</v>
      </c>
      <c r="O26" s="119" t="s">
        <v>5</v>
      </c>
      <c r="P26" s="119" t="s">
        <v>5</v>
      </c>
      <c r="Q26" s="119" t="s">
        <v>3</v>
      </c>
      <c r="R26" s="119" t="s">
        <v>5</v>
      </c>
      <c r="S26" s="119" t="s">
        <v>5</v>
      </c>
      <c r="T26" s="119" t="s">
        <v>5</v>
      </c>
      <c r="U26" s="119" t="s">
        <v>5</v>
      </c>
      <c r="V26" s="119" t="s">
        <v>5</v>
      </c>
      <c r="W26" s="119" t="s">
        <v>3</v>
      </c>
      <c r="X26" s="119" t="s">
        <v>4</v>
      </c>
      <c r="Y26" s="119" t="s">
        <v>4</v>
      </c>
      <c r="Z26" s="119" t="s">
        <v>3</v>
      </c>
      <c r="AA26" s="119" t="s">
        <v>3</v>
      </c>
      <c r="AB26" s="119" t="s">
        <v>3</v>
      </c>
      <c r="AC26" s="119" t="s">
        <v>4</v>
      </c>
      <c r="AD26" s="119" t="s">
        <v>4</v>
      </c>
      <c r="AE26" s="119" t="s">
        <v>4</v>
      </c>
      <c r="AF26" s="119" t="s">
        <v>4</v>
      </c>
      <c r="AG26" s="119" t="s">
        <v>3</v>
      </c>
      <c r="AH26" s="119" t="s">
        <v>4</v>
      </c>
      <c r="AI26" s="119" t="s">
        <v>4</v>
      </c>
      <c r="AJ26" s="119" t="s">
        <v>3</v>
      </c>
      <c r="AK26" s="119" t="s">
        <v>4</v>
      </c>
      <c r="AL26" s="119" t="s">
        <v>4</v>
      </c>
      <c r="AM26" s="119" t="s">
        <v>3</v>
      </c>
      <c r="AS26" s="138" t="s">
        <v>283</v>
      </c>
      <c r="AT26" s="119" t="s">
        <v>292</v>
      </c>
      <c r="AU26" s="139">
        <v>13</v>
      </c>
      <c r="AV26" s="141" t="s">
        <v>502</v>
      </c>
      <c r="AW26" s="140">
        <f>AY9/AT6</f>
        <v>0.16666666666666666</v>
      </c>
      <c r="BG26" s="123"/>
      <c r="BI26" s="132"/>
    </row>
    <row r="27" spans="1:98" x14ac:dyDescent="0.3">
      <c r="A27" s="119">
        <f t="shared" si="0"/>
        <v>26</v>
      </c>
      <c r="B27" s="119" t="s">
        <v>491</v>
      </c>
      <c r="C27" s="119">
        <v>2</v>
      </c>
      <c r="D27" s="119" t="s">
        <v>3</v>
      </c>
      <c r="E27" s="119" t="s">
        <v>3</v>
      </c>
      <c r="F27" s="119" t="s">
        <v>3</v>
      </c>
      <c r="G27" s="119" t="s">
        <v>2</v>
      </c>
      <c r="H27" s="119" t="s">
        <v>5</v>
      </c>
      <c r="I27" s="119" t="s">
        <v>5</v>
      </c>
      <c r="J27" s="119" t="s">
        <v>2</v>
      </c>
      <c r="K27" s="119" t="s">
        <v>2</v>
      </c>
      <c r="L27" s="119" t="s">
        <v>2</v>
      </c>
      <c r="M27" s="119" t="s">
        <v>4</v>
      </c>
      <c r="N27" s="119" t="s">
        <v>4</v>
      </c>
      <c r="O27" s="119" t="s">
        <v>4</v>
      </c>
      <c r="P27" s="119" t="s">
        <v>5</v>
      </c>
      <c r="Q27" s="119" t="s">
        <v>4</v>
      </c>
      <c r="R27" s="119" t="s">
        <v>5</v>
      </c>
      <c r="S27" s="119" t="s">
        <v>5</v>
      </c>
      <c r="T27" s="119" t="s">
        <v>5</v>
      </c>
      <c r="U27" s="119" t="s">
        <v>5</v>
      </c>
      <c r="V27" s="119" t="s">
        <v>4</v>
      </c>
      <c r="W27" s="119" t="s">
        <v>4</v>
      </c>
      <c r="X27" s="119" t="s">
        <v>3</v>
      </c>
      <c r="Y27" s="119" t="s">
        <v>2</v>
      </c>
      <c r="Z27" s="119" t="s">
        <v>3</v>
      </c>
      <c r="AA27" s="119" t="s">
        <v>4</v>
      </c>
      <c r="AB27" s="119" t="s">
        <v>4</v>
      </c>
      <c r="AC27" s="119" t="s">
        <v>4</v>
      </c>
      <c r="AD27" s="119" t="s">
        <v>4</v>
      </c>
      <c r="AE27" s="119" t="s">
        <v>4</v>
      </c>
      <c r="AF27" s="119" t="s">
        <v>4</v>
      </c>
      <c r="AG27" s="119" t="s">
        <v>4</v>
      </c>
      <c r="AH27" s="119" t="s">
        <v>4</v>
      </c>
      <c r="AI27" s="119" t="s">
        <v>3</v>
      </c>
      <c r="AJ27" s="119" t="s">
        <v>4</v>
      </c>
      <c r="AK27" s="119" t="s">
        <v>4</v>
      </c>
      <c r="AL27" s="119" t="s">
        <v>4</v>
      </c>
      <c r="AM27" s="119" t="s">
        <v>3</v>
      </c>
      <c r="AS27" s="138" t="s">
        <v>284</v>
      </c>
      <c r="AT27" s="119" t="s">
        <v>293</v>
      </c>
      <c r="AU27" s="138">
        <v>13</v>
      </c>
      <c r="AV27" s="141" t="s">
        <v>502</v>
      </c>
      <c r="AW27" s="140">
        <f>AZ9/AT6</f>
        <v>0.16666666666666666</v>
      </c>
      <c r="BG27" s="123"/>
    </row>
    <row r="28" spans="1:98" x14ac:dyDescent="0.3">
      <c r="A28" s="119">
        <f t="shared" si="0"/>
        <v>27</v>
      </c>
      <c r="B28" s="119" t="s">
        <v>17</v>
      </c>
      <c r="C28" s="119">
        <v>3</v>
      </c>
      <c r="D28" s="119" t="s">
        <v>5</v>
      </c>
      <c r="E28" s="119" t="s">
        <v>3</v>
      </c>
      <c r="F28" s="119" t="s">
        <v>3</v>
      </c>
      <c r="G28" s="119" t="s">
        <v>5</v>
      </c>
      <c r="H28" s="119" t="s">
        <v>5</v>
      </c>
      <c r="I28" s="119" t="s">
        <v>5</v>
      </c>
      <c r="J28" s="119" t="s">
        <v>2</v>
      </c>
      <c r="K28" s="119" t="s">
        <v>2</v>
      </c>
      <c r="L28" s="119" t="s">
        <v>3</v>
      </c>
      <c r="M28" s="119" t="s">
        <v>3</v>
      </c>
      <c r="N28" s="119" t="s">
        <v>4</v>
      </c>
      <c r="O28" s="119" t="s">
        <v>5</v>
      </c>
      <c r="P28" s="119" t="s">
        <v>2</v>
      </c>
      <c r="Q28" s="119" t="s">
        <v>3</v>
      </c>
      <c r="R28" s="119" t="s">
        <v>2</v>
      </c>
      <c r="S28" s="119" t="s">
        <v>5</v>
      </c>
      <c r="T28" s="119" t="s">
        <v>5</v>
      </c>
      <c r="U28" s="119" t="s">
        <v>5</v>
      </c>
      <c r="V28" s="119" t="s">
        <v>5</v>
      </c>
      <c r="W28" s="119" t="s">
        <v>4</v>
      </c>
      <c r="X28" s="119" t="s">
        <v>3</v>
      </c>
      <c r="Y28" s="119" t="s">
        <v>3</v>
      </c>
      <c r="Z28" s="119" t="s">
        <v>3</v>
      </c>
      <c r="AA28" s="119" t="s">
        <v>4</v>
      </c>
      <c r="AB28" s="119" t="s">
        <v>4</v>
      </c>
      <c r="AC28" s="119" t="s">
        <v>4</v>
      </c>
      <c r="AD28" s="119" t="s">
        <v>4</v>
      </c>
      <c r="AE28" s="119" t="s">
        <v>4</v>
      </c>
      <c r="AF28" s="119" t="s">
        <v>4</v>
      </c>
      <c r="AG28" s="119" t="s">
        <v>3</v>
      </c>
      <c r="AH28" s="119" t="s">
        <v>4</v>
      </c>
      <c r="AI28" s="119" t="s">
        <v>3</v>
      </c>
      <c r="AJ28" s="119" t="s">
        <v>4</v>
      </c>
      <c r="AK28" s="119" t="s">
        <v>4</v>
      </c>
      <c r="AL28" s="119" t="s">
        <v>4</v>
      </c>
      <c r="AM28" s="119" t="s">
        <v>3</v>
      </c>
      <c r="AZ28" s="118"/>
      <c r="BG28" s="123"/>
      <c r="BI28" s="132"/>
    </row>
    <row r="29" spans="1:98" x14ac:dyDescent="0.3">
      <c r="A29" s="119">
        <f t="shared" si="0"/>
        <v>28</v>
      </c>
      <c r="B29" s="119" t="s">
        <v>18</v>
      </c>
      <c r="C29" s="119">
        <v>3</v>
      </c>
      <c r="D29" s="119" t="s">
        <v>5</v>
      </c>
      <c r="E29" s="119" t="s">
        <v>4</v>
      </c>
      <c r="F29" s="119" t="s">
        <v>4</v>
      </c>
      <c r="G29" s="119" t="s">
        <v>3</v>
      </c>
      <c r="H29" s="119" t="s">
        <v>5</v>
      </c>
      <c r="I29" s="119" t="s">
        <v>5</v>
      </c>
      <c r="J29" s="119" t="s">
        <v>5</v>
      </c>
      <c r="K29" s="119" t="s">
        <v>2</v>
      </c>
      <c r="L29" s="119" t="s">
        <v>2</v>
      </c>
      <c r="M29" s="119" t="s">
        <v>3</v>
      </c>
      <c r="N29" s="119" t="s">
        <v>4</v>
      </c>
      <c r="O29" s="119" t="s">
        <v>2</v>
      </c>
      <c r="P29" s="119" t="s">
        <v>2</v>
      </c>
      <c r="Q29" s="119" t="s">
        <v>2</v>
      </c>
      <c r="R29" s="119" t="s">
        <v>5</v>
      </c>
      <c r="S29" s="119" t="s">
        <v>5</v>
      </c>
      <c r="T29" s="119" t="s">
        <v>3</v>
      </c>
      <c r="U29" s="119" t="s">
        <v>3</v>
      </c>
      <c r="V29" s="119" t="s">
        <v>2</v>
      </c>
      <c r="W29" s="119" t="s">
        <v>4</v>
      </c>
      <c r="X29" s="119" t="s">
        <v>5</v>
      </c>
      <c r="Y29" s="119" t="s">
        <v>3</v>
      </c>
      <c r="Z29" s="119" t="s">
        <v>3</v>
      </c>
      <c r="AA29" s="119" t="s">
        <v>3</v>
      </c>
      <c r="AB29" s="119" t="s">
        <v>3</v>
      </c>
      <c r="AC29" s="119" t="s">
        <v>4</v>
      </c>
      <c r="AD29" s="119" t="s">
        <v>4</v>
      </c>
      <c r="AE29" s="119" t="s">
        <v>4</v>
      </c>
      <c r="AF29" s="119" t="s">
        <v>4</v>
      </c>
      <c r="AG29" s="119" t="s">
        <v>3</v>
      </c>
      <c r="AH29" s="119" t="s">
        <v>4</v>
      </c>
      <c r="AI29" s="119" t="s">
        <v>4</v>
      </c>
      <c r="AJ29" s="119" t="s">
        <v>4</v>
      </c>
      <c r="AK29" s="119" t="s">
        <v>4</v>
      </c>
      <c r="AL29" s="119" t="s">
        <v>4</v>
      </c>
      <c r="AM29" s="119" t="s">
        <v>3</v>
      </c>
      <c r="AR29" s="124" t="s">
        <v>482</v>
      </c>
      <c r="AZ29" s="118"/>
      <c r="BG29" s="123"/>
    </row>
    <row r="30" spans="1:98" x14ac:dyDescent="0.3">
      <c r="A30" s="119">
        <f t="shared" si="0"/>
        <v>29</v>
      </c>
      <c r="B30" s="119" t="s">
        <v>19</v>
      </c>
      <c r="C30" s="119">
        <v>3</v>
      </c>
      <c r="D30" s="119" t="s">
        <v>5</v>
      </c>
      <c r="E30" s="119" t="s">
        <v>5</v>
      </c>
      <c r="F30" s="119" t="s">
        <v>4</v>
      </c>
      <c r="G30" s="119" t="s">
        <v>5</v>
      </c>
      <c r="H30" s="119" t="s">
        <v>5</v>
      </c>
      <c r="I30" s="119" t="s">
        <v>2</v>
      </c>
      <c r="J30" s="119" t="s">
        <v>5</v>
      </c>
      <c r="K30" s="119" t="s">
        <v>2</v>
      </c>
      <c r="L30" s="119" t="s">
        <v>3</v>
      </c>
      <c r="M30" s="119" t="s">
        <v>4</v>
      </c>
      <c r="N30" s="119" t="s">
        <v>4</v>
      </c>
      <c r="O30" s="119" t="s">
        <v>2</v>
      </c>
      <c r="P30" s="119" t="s">
        <v>5</v>
      </c>
      <c r="Q30" s="119" t="s">
        <v>5</v>
      </c>
      <c r="R30" s="119" t="s">
        <v>5</v>
      </c>
      <c r="S30" s="119" t="s">
        <v>5</v>
      </c>
      <c r="T30" s="119" t="s">
        <v>5</v>
      </c>
      <c r="U30" s="119" t="s">
        <v>5</v>
      </c>
      <c r="V30" s="119" t="s">
        <v>4</v>
      </c>
      <c r="W30" s="119" t="s">
        <v>4</v>
      </c>
      <c r="X30" s="119" t="s">
        <v>4</v>
      </c>
      <c r="Y30" s="119" t="s">
        <v>5</v>
      </c>
      <c r="Z30" s="119" t="s">
        <v>3</v>
      </c>
      <c r="AA30" s="119" t="s">
        <v>4</v>
      </c>
      <c r="AB30" s="119" t="s">
        <v>4</v>
      </c>
      <c r="AC30" s="119" t="s">
        <v>4</v>
      </c>
      <c r="AD30" s="119" t="s">
        <v>4</v>
      </c>
      <c r="AE30" s="119" t="s">
        <v>4</v>
      </c>
      <c r="AF30" s="119" t="s">
        <v>4</v>
      </c>
      <c r="AG30" s="119" t="s">
        <v>3</v>
      </c>
      <c r="AH30" s="119" t="s">
        <v>4</v>
      </c>
      <c r="AI30" s="119" t="s">
        <v>3</v>
      </c>
      <c r="AJ30" s="119" t="s">
        <v>4</v>
      </c>
      <c r="AK30" s="119" t="s">
        <v>4</v>
      </c>
      <c r="AL30" s="119" t="s">
        <v>4</v>
      </c>
      <c r="AM30" s="119" t="s">
        <v>3</v>
      </c>
      <c r="AS30" s="119" t="s">
        <v>232</v>
      </c>
      <c r="AT30" s="119">
        <v>1</v>
      </c>
      <c r="AU30" s="119">
        <v>2</v>
      </c>
      <c r="AV30" s="119">
        <v>3</v>
      </c>
      <c r="AW30" s="119">
        <v>4</v>
      </c>
      <c r="AX30" s="119">
        <v>5</v>
      </c>
      <c r="AY30" s="119">
        <v>6</v>
      </c>
      <c r="AZ30" s="118"/>
      <c r="BA30" s="118"/>
      <c r="BB30" s="118"/>
      <c r="BC30" s="118"/>
      <c r="BD30" s="118"/>
      <c r="BE30" s="118"/>
      <c r="BF30" s="118"/>
    </row>
    <row r="31" spans="1:98" x14ac:dyDescent="0.3">
      <c r="A31" s="119">
        <f t="shared" si="0"/>
        <v>30</v>
      </c>
      <c r="B31" s="119" t="s">
        <v>20</v>
      </c>
      <c r="C31" s="119">
        <v>3</v>
      </c>
      <c r="D31" s="119" t="s">
        <v>2</v>
      </c>
      <c r="E31" s="119" t="s">
        <v>3</v>
      </c>
      <c r="F31" s="119" t="s">
        <v>3</v>
      </c>
      <c r="G31" s="119" t="s">
        <v>2</v>
      </c>
      <c r="H31" s="119" t="s">
        <v>5</v>
      </c>
      <c r="I31" s="119" t="s">
        <v>2</v>
      </c>
      <c r="J31" s="119" t="s">
        <v>5</v>
      </c>
      <c r="K31" s="119" t="s">
        <v>2</v>
      </c>
      <c r="L31" s="119" t="s">
        <v>3</v>
      </c>
      <c r="M31" s="119" t="s">
        <v>4</v>
      </c>
      <c r="N31" s="119" t="s">
        <v>4</v>
      </c>
      <c r="O31" s="119" t="s">
        <v>5</v>
      </c>
      <c r="P31" s="119" t="s">
        <v>5</v>
      </c>
      <c r="Q31" s="119" t="s">
        <v>4</v>
      </c>
      <c r="R31" s="119" t="s">
        <v>5</v>
      </c>
      <c r="S31" s="119" t="s">
        <v>5</v>
      </c>
      <c r="T31" s="119" t="s">
        <v>5</v>
      </c>
      <c r="U31" s="119" t="s">
        <v>5</v>
      </c>
      <c r="V31" s="119" t="s">
        <v>5</v>
      </c>
      <c r="W31" s="119" t="s">
        <v>4</v>
      </c>
      <c r="X31" s="119" t="s">
        <v>4</v>
      </c>
      <c r="Y31" s="119" t="s">
        <v>4</v>
      </c>
      <c r="Z31" s="119" t="s">
        <v>4</v>
      </c>
      <c r="AA31" s="119" t="s">
        <v>4</v>
      </c>
      <c r="AB31" s="119" t="s">
        <v>4</v>
      </c>
      <c r="AC31" s="119" t="s">
        <v>4</v>
      </c>
      <c r="AD31" s="119" t="s">
        <v>4</v>
      </c>
      <c r="AE31" s="119" t="s">
        <v>4</v>
      </c>
      <c r="AF31" s="119" t="s">
        <v>4</v>
      </c>
      <c r="AG31" s="119" t="s">
        <v>4</v>
      </c>
      <c r="AH31" s="119" t="s">
        <v>4</v>
      </c>
      <c r="AI31" s="119" t="s">
        <v>3</v>
      </c>
      <c r="AJ31" s="119" t="s">
        <v>4</v>
      </c>
      <c r="AK31" s="119" t="s">
        <v>4</v>
      </c>
      <c r="AL31" s="119" t="s">
        <v>3</v>
      </c>
      <c r="AM31" s="119" t="s">
        <v>4</v>
      </c>
      <c r="AS31" s="119" t="s">
        <v>65</v>
      </c>
      <c r="AT31" s="119">
        <f>COUNTIFS(D:D,"A",C:C,1)/COUNTIF(C:C,1)</f>
        <v>7.6923076923076927E-2</v>
      </c>
      <c r="AU31" s="119">
        <f>COUNTIFS(D:D,"A",C:C,2)/COUNTIF(C:C,2)</f>
        <v>0.23076923076923078</v>
      </c>
      <c r="AV31" s="119">
        <f>COUNTIFS(D:D,"A",C:C,3)/COUNTIF(C:C,3)</f>
        <v>7.6923076923076927E-2</v>
      </c>
      <c r="AW31" s="119">
        <f>COUNTIFS(D:D,"A",C:C,4)/COUNTIF(C:C,4)</f>
        <v>0</v>
      </c>
      <c r="AX31" s="119">
        <f>COUNTIFS(D:D,"A",C:C,5)/COUNTIF(C:C,5)</f>
        <v>7.6923076923076927E-2</v>
      </c>
      <c r="AY31" s="119">
        <f>COUNTIFS(D:D,"A",C:C,6)/COUNTIF(C:C,6)</f>
        <v>7.6923076923076927E-2</v>
      </c>
      <c r="AZ31" s="118"/>
      <c r="BA31" s="118"/>
      <c r="BB31" s="118"/>
      <c r="BC31" s="118"/>
      <c r="BD31" s="118"/>
      <c r="BE31" s="118"/>
      <c r="BF31" s="118"/>
    </row>
    <row r="32" spans="1:98" x14ac:dyDescent="0.3">
      <c r="A32" s="119">
        <f t="shared" si="0"/>
        <v>31</v>
      </c>
      <c r="B32" s="119" t="s">
        <v>21</v>
      </c>
      <c r="C32" s="119">
        <v>3</v>
      </c>
      <c r="D32" s="119" t="s">
        <v>2</v>
      </c>
      <c r="E32" s="119" t="s">
        <v>5</v>
      </c>
      <c r="F32" s="119" t="s">
        <v>3</v>
      </c>
      <c r="G32" s="119" t="s">
        <v>5</v>
      </c>
      <c r="H32" s="119" t="s">
        <v>5</v>
      </c>
      <c r="I32" s="119" t="s">
        <v>5</v>
      </c>
      <c r="J32" s="119" t="s">
        <v>5</v>
      </c>
      <c r="K32" s="119" t="s">
        <v>2</v>
      </c>
      <c r="L32" s="119" t="s">
        <v>2</v>
      </c>
      <c r="M32" s="119" t="s">
        <v>3</v>
      </c>
      <c r="N32" s="119" t="s">
        <v>4</v>
      </c>
      <c r="O32" s="119" t="s">
        <v>2</v>
      </c>
      <c r="P32" s="119" t="s">
        <v>5</v>
      </c>
      <c r="Q32" s="119" t="s">
        <v>3</v>
      </c>
      <c r="R32" s="119" t="s">
        <v>3</v>
      </c>
      <c r="S32" s="119" t="s">
        <v>5</v>
      </c>
      <c r="T32" s="119" t="s">
        <v>5</v>
      </c>
      <c r="U32" s="119" t="s">
        <v>5</v>
      </c>
      <c r="V32" s="119" t="s">
        <v>5</v>
      </c>
      <c r="W32" s="119" t="s">
        <v>4</v>
      </c>
      <c r="X32" s="119" t="s">
        <v>2</v>
      </c>
      <c r="Y32" s="119" t="s">
        <v>2</v>
      </c>
      <c r="Z32" s="119" t="s">
        <v>3</v>
      </c>
      <c r="AA32" s="119" t="s">
        <v>4</v>
      </c>
      <c r="AB32" s="119" t="s">
        <v>4</v>
      </c>
      <c r="AC32" s="119" t="s">
        <v>4</v>
      </c>
      <c r="AD32" s="119" t="s">
        <v>4</v>
      </c>
      <c r="AE32" s="119" t="s">
        <v>4</v>
      </c>
      <c r="AF32" s="119" t="s">
        <v>4</v>
      </c>
      <c r="AG32" s="119" t="s">
        <v>3</v>
      </c>
      <c r="AH32" s="119" t="s">
        <v>4</v>
      </c>
      <c r="AI32" s="119" t="s">
        <v>3</v>
      </c>
      <c r="AJ32" s="119" t="s">
        <v>4</v>
      </c>
      <c r="AK32" s="119" t="s">
        <v>4</v>
      </c>
      <c r="AL32" s="119" t="s">
        <v>4</v>
      </c>
      <c r="AM32" s="119" t="s">
        <v>3</v>
      </c>
      <c r="AS32" s="119" t="s">
        <v>66</v>
      </c>
      <c r="AT32" s="119">
        <f>COUNTIFS(D:D,"B",C:C,1)/COUNTIF(C:C,1)</f>
        <v>0.38461538461538464</v>
      </c>
      <c r="AU32" s="119">
        <f>COUNTIFS(D:D,"B",C:C,2)/COUNTIF(C:C,2)</f>
        <v>0.15384615384615385</v>
      </c>
      <c r="AV32" s="119">
        <f>COUNTIFS(D:D,"B",C:C,3)/COUNTIF(C:C,3)</f>
        <v>0</v>
      </c>
      <c r="AW32" s="119">
        <f>COUNTIFS(D:D,"B",C:C,4)/COUNTIF(C:C,4)</f>
        <v>0.23076923076923078</v>
      </c>
      <c r="AX32" s="119">
        <f>COUNTIFS(D:D,"B",C:C,5)/COUNTIF(C:C,5)</f>
        <v>0</v>
      </c>
      <c r="AY32" s="119">
        <f>COUNTIFS(D:D,"B",C:C,6)/COUNTIF(C:C,6)</f>
        <v>0</v>
      </c>
      <c r="AZ32" s="118"/>
      <c r="BA32" s="118"/>
      <c r="BB32" s="118"/>
      <c r="BC32" s="118"/>
      <c r="BD32" s="118"/>
      <c r="BE32" s="118"/>
      <c r="BF32" s="118"/>
    </row>
    <row r="33" spans="1:98" x14ac:dyDescent="0.3">
      <c r="A33" s="119">
        <f t="shared" si="0"/>
        <v>32</v>
      </c>
      <c r="B33" s="119" t="s">
        <v>22</v>
      </c>
      <c r="C33" s="119">
        <v>3</v>
      </c>
      <c r="D33" s="119" t="s">
        <v>4</v>
      </c>
      <c r="E33" s="119" t="s">
        <v>5</v>
      </c>
      <c r="F33" s="119" t="s">
        <v>3</v>
      </c>
      <c r="G33" s="119" t="s">
        <v>5</v>
      </c>
      <c r="H33" s="119" t="s">
        <v>5</v>
      </c>
      <c r="I33" s="119" t="s">
        <v>5</v>
      </c>
      <c r="J33" s="119" t="s">
        <v>5</v>
      </c>
      <c r="K33" s="119" t="s">
        <v>2</v>
      </c>
      <c r="L33" s="119" t="s">
        <v>3</v>
      </c>
      <c r="M33" s="119" t="s">
        <v>2</v>
      </c>
      <c r="N33" s="119" t="s">
        <v>2</v>
      </c>
      <c r="O33" s="119" t="s">
        <v>5</v>
      </c>
      <c r="P33" s="119" t="s">
        <v>3</v>
      </c>
      <c r="Q33" s="119" t="s">
        <v>3</v>
      </c>
      <c r="R33" s="119" t="s">
        <v>2</v>
      </c>
      <c r="S33" s="119" t="s">
        <v>5</v>
      </c>
      <c r="T33" s="119" t="s">
        <v>2</v>
      </c>
      <c r="U33" s="119" t="s">
        <v>2</v>
      </c>
      <c r="V33" s="119" t="s">
        <v>5</v>
      </c>
      <c r="W33" s="119" t="s">
        <v>4</v>
      </c>
      <c r="X33" s="119" t="s">
        <v>3</v>
      </c>
      <c r="Y33" s="119" t="s">
        <v>2</v>
      </c>
      <c r="Z33" s="119" t="s">
        <v>3</v>
      </c>
      <c r="AA33" s="119" t="s">
        <v>4</v>
      </c>
      <c r="AB33" s="119" t="s">
        <v>4</v>
      </c>
      <c r="AC33" s="119" t="s">
        <v>4</v>
      </c>
      <c r="AD33" s="119" t="s">
        <v>4</v>
      </c>
      <c r="AE33" s="119" t="s">
        <v>4</v>
      </c>
      <c r="AF33" s="119" t="s">
        <v>4</v>
      </c>
      <c r="AG33" s="119" t="s">
        <v>3</v>
      </c>
      <c r="AH33" s="119" t="s">
        <v>4</v>
      </c>
      <c r="AI33" s="119" t="s">
        <v>3</v>
      </c>
      <c r="AJ33" s="119" t="s">
        <v>4</v>
      </c>
      <c r="AK33" s="119" t="s">
        <v>4</v>
      </c>
      <c r="AL33" s="119" t="s">
        <v>3</v>
      </c>
      <c r="AM33" s="119" t="s">
        <v>3</v>
      </c>
      <c r="AS33" s="119" t="s">
        <v>67</v>
      </c>
      <c r="AT33" s="119">
        <f>COUNTIFS(D:D,"C",C:C,1)/COUNTIF(C:C,1)</f>
        <v>0.23076923076923078</v>
      </c>
      <c r="AU33" s="119">
        <f>COUNTIFS(D:D,"C",C:C,2)/COUNTIF(C:C,2)</f>
        <v>7.6923076923076927E-2</v>
      </c>
      <c r="AV33" s="119">
        <f>COUNTIFS(D:D,"C",C:C,3)/COUNTIF(C:C,3)</f>
        <v>0.30769230769230771</v>
      </c>
      <c r="AW33" s="119">
        <f>COUNTIFS(D:D,"C",C:C,4)/COUNTIF(C:C,4)</f>
        <v>7.6923076923076927E-2</v>
      </c>
      <c r="AX33" s="119">
        <f>COUNTIFS(D:D,"C",C:C,5)/COUNTIF(C:C,5)</f>
        <v>0.15384615384615385</v>
      </c>
      <c r="AY33" s="119">
        <f>COUNTIFS(D:D,"C",C:C,6)/COUNTIF(C:C,6)</f>
        <v>0</v>
      </c>
      <c r="AZ33" s="118"/>
      <c r="BA33" s="118"/>
      <c r="BB33" s="118"/>
      <c r="BC33" s="118"/>
      <c r="BD33" s="118"/>
      <c r="BE33" s="118"/>
      <c r="BF33" s="118"/>
      <c r="BI33" s="125"/>
      <c r="BK33" s="121"/>
      <c r="BL33" s="121"/>
      <c r="BM33" s="121"/>
      <c r="BN33" s="121"/>
      <c r="BO33" s="121"/>
      <c r="BP33" s="121"/>
      <c r="BQ33" s="121"/>
      <c r="BR33" s="121"/>
      <c r="BS33" s="121"/>
      <c r="BT33" s="121"/>
      <c r="BU33" s="121"/>
      <c r="BV33" s="121"/>
      <c r="BW33" s="121"/>
      <c r="BX33" s="121"/>
      <c r="BY33" s="121"/>
      <c r="BZ33" s="121"/>
      <c r="CA33" s="121"/>
      <c r="CB33" s="121"/>
      <c r="CC33" s="121"/>
      <c r="CD33" s="121"/>
      <c r="CE33" s="121"/>
      <c r="CF33" s="121"/>
      <c r="CG33" s="121"/>
      <c r="CH33" s="121"/>
      <c r="CI33" s="121"/>
      <c r="CJ33" s="121"/>
      <c r="CK33" s="121"/>
      <c r="CL33" s="121"/>
      <c r="CM33" s="121"/>
      <c r="CN33" s="121"/>
      <c r="CO33" s="121"/>
      <c r="CP33" s="121"/>
      <c r="CQ33" s="121"/>
      <c r="CR33" s="121"/>
      <c r="CS33" s="121"/>
      <c r="CT33" s="121"/>
    </row>
    <row r="34" spans="1:98" x14ac:dyDescent="0.3">
      <c r="A34" s="119">
        <f t="shared" ref="A34:A65" si="1">ROW()-1</f>
        <v>33</v>
      </c>
      <c r="B34" s="119" t="s">
        <v>263</v>
      </c>
      <c r="C34" s="119">
        <v>3</v>
      </c>
      <c r="D34" s="119" t="s">
        <v>2</v>
      </c>
      <c r="E34" s="119" t="s">
        <v>5</v>
      </c>
      <c r="F34" s="119" t="s">
        <v>3</v>
      </c>
      <c r="G34" s="119" t="s">
        <v>5</v>
      </c>
      <c r="H34" s="119" t="s">
        <v>5</v>
      </c>
      <c r="I34" s="119" t="s">
        <v>5</v>
      </c>
      <c r="J34" s="119" t="s">
        <v>5</v>
      </c>
      <c r="K34" s="119" t="s">
        <v>2</v>
      </c>
      <c r="L34" s="119" t="s">
        <v>2</v>
      </c>
      <c r="M34" s="119" t="s">
        <v>2</v>
      </c>
      <c r="N34" s="119" t="s">
        <v>3</v>
      </c>
      <c r="O34" s="119" t="s">
        <v>5</v>
      </c>
      <c r="P34" s="119" t="s">
        <v>5</v>
      </c>
      <c r="Q34" s="119" t="s">
        <v>3</v>
      </c>
      <c r="R34" s="119" t="s">
        <v>2</v>
      </c>
      <c r="S34" s="119" t="s">
        <v>2</v>
      </c>
      <c r="T34" s="119" t="s">
        <v>5</v>
      </c>
      <c r="U34" s="119" t="s">
        <v>5</v>
      </c>
      <c r="V34" s="119" t="s">
        <v>2</v>
      </c>
      <c r="W34" s="119" t="s">
        <v>4</v>
      </c>
      <c r="X34" s="119" t="s">
        <v>2</v>
      </c>
      <c r="Y34" s="119" t="s">
        <v>2</v>
      </c>
      <c r="Z34" s="119" t="s">
        <v>3</v>
      </c>
      <c r="AA34" s="119" t="s">
        <v>4</v>
      </c>
      <c r="AB34" s="119" t="s">
        <v>4</v>
      </c>
      <c r="AC34" s="119" t="s">
        <v>4</v>
      </c>
      <c r="AD34" s="119" t="s">
        <v>4</v>
      </c>
      <c r="AE34" s="119" t="s">
        <v>4</v>
      </c>
      <c r="AF34" s="119" t="s">
        <v>4</v>
      </c>
      <c r="AG34" s="119" t="s">
        <v>3</v>
      </c>
      <c r="AH34" s="119" t="s">
        <v>4</v>
      </c>
      <c r="AI34" s="119" t="s">
        <v>3</v>
      </c>
      <c r="AJ34" s="119" t="s">
        <v>4</v>
      </c>
      <c r="AK34" s="119" t="s">
        <v>4</v>
      </c>
      <c r="AL34" s="119" t="s">
        <v>4</v>
      </c>
      <c r="AM34" s="119" t="s">
        <v>3</v>
      </c>
      <c r="AS34" s="119" t="s">
        <v>68</v>
      </c>
      <c r="AT34" s="119">
        <f>COUNTIFS(D:D,"D",C:C,1)/COUNTIF(C:C,1)</f>
        <v>0.30769230769230771</v>
      </c>
      <c r="AU34" s="119">
        <f>COUNTIFS(D:D,"D",C:C,2)/COUNTIF(C:C,2)</f>
        <v>0.53846153846153844</v>
      </c>
      <c r="AV34" s="119">
        <f>COUNTIFS(D:D,"D",C:C,3)/COUNTIF(C:C,3)</f>
        <v>0.61538461538461542</v>
      </c>
      <c r="AW34" s="119">
        <f>COUNTIFS(D:D,"D",C:C,4)/COUNTIF(C:C,4)</f>
        <v>0.69230769230769229</v>
      </c>
      <c r="AX34" s="119">
        <f>COUNTIFS(D:D,"D",C:C,5)/COUNTIF(C:C,5)</f>
        <v>0.76923076923076927</v>
      </c>
      <c r="AY34" s="119">
        <f>COUNTIFS(D:D,"D",C:C,6)/COUNTIF(C:C,6)</f>
        <v>0.92307692307692313</v>
      </c>
      <c r="AZ34" s="118"/>
      <c r="BA34" s="118"/>
      <c r="BB34" s="118"/>
      <c r="BC34" s="118"/>
      <c r="BD34" s="118"/>
      <c r="BE34" s="118"/>
      <c r="BF34" s="118"/>
      <c r="BI34" s="125"/>
    </row>
    <row r="35" spans="1:98" x14ac:dyDescent="0.3">
      <c r="A35" s="119">
        <f t="shared" si="1"/>
        <v>34</v>
      </c>
      <c r="B35" s="119" t="s">
        <v>264</v>
      </c>
      <c r="C35" s="119">
        <v>3</v>
      </c>
      <c r="D35" s="119" t="s">
        <v>5</v>
      </c>
      <c r="E35" s="119" t="s">
        <v>3</v>
      </c>
      <c r="F35" s="119" t="s">
        <v>3</v>
      </c>
      <c r="G35" s="119" t="s">
        <v>5</v>
      </c>
      <c r="H35" s="119" t="s">
        <v>5</v>
      </c>
      <c r="I35" s="119" t="s">
        <v>5</v>
      </c>
      <c r="J35" s="119" t="s">
        <v>5</v>
      </c>
      <c r="K35" s="119" t="s">
        <v>2</v>
      </c>
      <c r="L35" s="119" t="s">
        <v>2</v>
      </c>
      <c r="M35" s="119" t="s">
        <v>3</v>
      </c>
      <c r="N35" s="119" t="s">
        <v>3</v>
      </c>
      <c r="O35" s="119" t="s">
        <v>2</v>
      </c>
      <c r="P35" s="119" t="s">
        <v>5</v>
      </c>
      <c r="Q35" s="119" t="s">
        <v>3</v>
      </c>
      <c r="R35" s="119" t="s">
        <v>3</v>
      </c>
      <c r="S35" s="119" t="s">
        <v>2</v>
      </c>
      <c r="T35" s="119" t="s">
        <v>5</v>
      </c>
      <c r="U35" s="119" t="s">
        <v>5</v>
      </c>
      <c r="V35" s="119" t="s">
        <v>5</v>
      </c>
      <c r="W35" s="119" t="s">
        <v>4</v>
      </c>
      <c r="X35" s="119" t="s">
        <v>3</v>
      </c>
      <c r="Y35" s="119" t="s">
        <v>2</v>
      </c>
      <c r="Z35" s="119" t="s">
        <v>3</v>
      </c>
      <c r="AA35" s="119" t="s">
        <v>4</v>
      </c>
      <c r="AB35" s="119" t="s">
        <v>4</v>
      </c>
      <c r="AC35" s="119" t="s">
        <v>4</v>
      </c>
      <c r="AD35" s="119" t="s">
        <v>4</v>
      </c>
      <c r="AE35" s="119" t="s">
        <v>4</v>
      </c>
      <c r="AF35" s="119" t="s">
        <v>4</v>
      </c>
      <c r="AG35" s="119" t="s">
        <v>3</v>
      </c>
      <c r="AH35" s="119" t="s">
        <v>4</v>
      </c>
      <c r="AI35" s="119" t="s">
        <v>4</v>
      </c>
      <c r="AJ35" s="119" t="s">
        <v>4</v>
      </c>
      <c r="AK35" s="119" t="s">
        <v>4</v>
      </c>
      <c r="AL35" s="119" t="s">
        <v>3</v>
      </c>
      <c r="AM35" s="119" t="s">
        <v>3</v>
      </c>
      <c r="AZ35" s="118"/>
      <c r="BA35" s="142"/>
      <c r="BB35" s="142"/>
      <c r="BC35" s="142"/>
      <c r="BD35" s="142"/>
      <c r="BE35" s="142"/>
      <c r="BF35" s="142"/>
      <c r="BG35" s="142"/>
    </row>
    <row r="36" spans="1:98" x14ac:dyDescent="0.3">
      <c r="A36" s="119">
        <f t="shared" si="1"/>
        <v>35</v>
      </c>
      <c r="B36" s="119" t="s">
        <v>265</v>
      </c>
      <c r="C36" s="119">
        <v>3</v>
      </c>
      <c r="D36" s="119" t="s">
        <v>5</v>
      </c>
      <c r="E36" s="119" t="s">
        <v>3</v>
      </c>
      <c r="F36" s="119" t="s">
        <v>3</v>
      </c>
      <c r="G36" s="119" t="s">
        <v>2</v>
      </c>
      <c r="H36" s="119" t="s">
        <v>5</v>
      </c>
      <c r="I36" s="119" t="s">
        <v>5</v>
      </c>
      <c r="J36" s="119" t="s">
        <v>5</v>
      </c>
      <c r="K36" s="119" t="s">
        <v>2</v>
      </c>
      <c r="L36" s="119" t="s">
        <v>3</v>
      </c>
      <c r="M36" s="119" t="s">
        <v>3</v>
      </c>
      <c r="N36" s="119" t="s">
        <v>3</v>
      </c>
      <c r="O36" s="119" t="s">
        <v>2</v>
      </c>
      <c r="P36" s="119" t="s">
        <v>5</v>
      </c>
      <c r="Q36" s="119" t="s">
        <v>3</v>
      </c>
      <c r="R36" s="119" t="s">
        <v>3</v>
      </c>
      <c r="S36" s="119" t="s">
        <v>5</v>
      </c>
      <c r="T36" s="119" t="s">
        <v>5</v>
      </c>
      <c r="U36" s="119" t="s">
        <v>5</v>
      </c>
      <c r="V36" s="119" t="s">
        <v>5</v>
      </c>
      <c r="W36" s="119" t="s">
        <v>4</v>
      </c>
      <c r="X36" s="119" t="s">
        <v>3</v>
      </c>
      <c r="Y36" s="119" t="s">
        <v>2</v>
      </c>
      <c r="Z36" s="119" t="s">
        <v>3</v>
      </c>
      <c r="AA36" s="119" t="s">
        <v>4</v>
      </c>
      <c r="AB36" s="119" t="s">
        <v>4</v>
      </c>
      <c r="AC36" s="119" t="s">
        <v>4</v>
      </c>
      <c r="AD36" s="119" t="s">
        <v>4</v>
      </c>
      <c r="AE36" s="119" t="s">
        <v>4</v>
      </c>
      <c r="AF36" s="119" t="s">
        <v>4</v>
      </c>
      <c r="AG36" s="119" t="s">
        <v>3</v>
      </c>
      <c r="AH36" s="119" t="s">
        <v>4</v>
      </c>
      <c r="AI36" s="119" t="s">
        <v>3</v>
      </c>
      <c r="AJ36" s="119" t="s">
        <v>4</v>
      </c>
      <c r="AK36" s="119" t="s">
        <v>4</v>
      </c>
      <c r="AL36" s="119" t="s">
        <v>3</v>
      </c>
      <c r="AM36" s="119" t="s">
        <v>3</v>
      </c>
      <c r="AS36" s="119" t="s">
        <v>233</v>
      </c>
      <c r="AT36" s="119">
        <v>1</v>
      </c>
      <c r="AU36" s="119">
        <v>2</v>
      </c>
      <c r="AV36" s="119">
        <v>3</v>
      </c>
      <c r="AW36" s="119">
        <v>4</v>
      </c>
      <c r="AX36" s="119">
        <v>5</v>
      </c>
      <c r="AY36" s="119">
        <v>6</v>
      </c>
      <c r="AZ36" s="118"/>
      <c r="BA36" s="142"/>
      <c r="BB36" s="142"/>
      <c r="BC36" s="142"/>
      <c r="BD36" s="142"/>
      <c r="BE36" s="142"/>
      <c r="BF36" s="142"/>
      <c r="BG36" s="142"/>
      <c r="BI36" s="132"/>
    </row>
    <row r="37" spans="1:98" x14ac:dyDescent="0.3">
      <c r="A37" s="119">
        <f t="shared" si="1"/>
        <v>36</v>
      </c>
      <c r="B37" s="119" t="s">
        <v>266</v>
      </c>
      <c r="C37" s="119">
        <v>3</v>
      </c>
      <c r="D37" s="119" t="s">
        <v>5</v>
      </c>
      <c r="E37" s="119" t="s">
        <v>3</v>
      </c>
      <c r="F37" s="119" t="s">
        <v>3</v>
      </c>
      <c r="G37" s="119" t="s">
        <v>5</v>
      </c>
      <c r="H37" s="119" t="s">
        <v>5</v>
      </c>
      <c r="I37" s="119" t="s">
        <v>5</v>
      </c>
      <c r="J37" s="119" t="s">
        <v>2</v>
      </c>
      <c r="K37" s="119" t="s">
        <v>2</v>
      </c>
      <c r="L37" s="119" t="s">
        <v>3</v>
      </c>
      <c r="M37" s="119" t="s">
        <v>4</v>
      </c>
      <c r="N37" s="119" t="s">
        <v>4</v>
      </c>
      <c r="O37" s="119" t="s">
        <v>5</v>
      </c>
      <c r="P37" s="119" t="s">
        <v>2</v>
      </c>
      <c r="Q37" s="119" t="s">
        <v>3</v>
      </c>
      <c r="R37" s="119" t="s">
        <v>2</v>
      </c>
      <c r="S37" s="119" t="s">
        <v>5</v>
      </c>
      <c r="T37" s="119" t="s">
        <v>5</v>
      </c>
      <c r="U37" s="119" t="s">
        <v>5</v>
      </c>
      <c r="V37" s="119" t="s">
        <v>5</v>
      </c>
      <c r="W37" s="119" t="s">
        <v>4</v>
      </c>
      <c r="X37" s="119" t="s">
        <v>3</v>
      </c>
      <c r="Y37" s="119" t="s">
        <v>3</v>
      </c>
      <c r="Z37" s="119" t="s">
        <v>3</v>
      </c>
      <c r="AA37" s="119" t="s">
        <v>4</v>
      </c>
      <c r="AB37" s="119" t="s">
        <v>4</v>
      </c>
      <c r="AC37" s="119" t="s">
        <v>4</v>
      </c>
      <c r="AD37" s="119" t="s">
        <v>4</v>
      </c>
      <c r="AE37" s="119" t="s">
        <v>4</v>
      </c>
      <c r="AF37" s="119" t="s">
        <v>4</v>
      </c>
      <c r="AG37" s="119" t="s">
        <v>3</v>
      </c>
      <c r="AH37" s="119" t="s">
        <v>4</v>
      </c>
      <c r="AI37" s="119" t="s">
        <v>4</v>
      </c>
      <c r="AJ37" s="119" t="s">
        <v>4</v>
      </c>
      <c r="AK37" s="119" t="s">
        <v>4</v>
      </c>
      <c r="AL37" s="119" t="s">
        <v>4</v>
      </c>
      <c r="AM37" s="119" t="s">
        <v>3</v>
      </c>
      <c r="AS37" s="119" t="s">
        <v>69</v>
      </c>
      <c r="AT37" s="119">
        <f>COUNTIFS(E:E,"A",C:C,1)/COUNTIF(C:C,1)</f>
        <v>0</v>
      </c>
      <c r="AU37" s="119">
        <f>COUNTIFS(E:E,"A",C:C,2)/COUNTIF(C:C,2)</f>
        <v>0</v>
      </c>
      <c r="AV37" s="119">
        <f>COUNTIFS(E:E,"A",C:C,3)/COUNTIF(C:C,3)</f>
        <v>7.6923076923076927E-2</v>
      </c>
      <c r="AW37" s="119">
        <f>COUNTIFS(E:E,"A",C:C,4)/COUNTIF(C:C,4)</f>
        <v>0</v>
      </c>
      <c r="AX37" s="119">
        <f>COUNTIFS(E:E,"A",C:C,5)/COUNTIF(C:C,5)</f>
        <v>0</v>
      </c>
      <c r="AY37" s="119">
        <f>COUNTIFS(E:E,"A",C:C,6)/COUNTIF(C:C,6)</f>
        <v>0</v>
      </c>
      <c r="AZ37" s="118"/>
      <c r="BA37" s="143"/>
      <c r="BB37" s="143"/>
      <c r="BC37" s="143"/>
      <c r="BD37" s="143"/>
      <c r="BE37" s="143"/>
      <c r="BF37" s="143"/>
      <c r="BG37" s="143"/>
    </row>
    <row r="38" spans="1:98" x14ac:dyDescent="0.3">
      <c r="A38" s="119">
        <f t="shared" si="1"/>
        <v>37</v>
      </c>
      <c r="B38" s="119" t="s">
        <v>465</v>
      </c>
      <c r="C38" s="119">
        <v>3</v>
      </c>
      <c r="D38" s="119" t="s">
        <v>5</v>
      </c>
      <c r="E38" s="119" t="s">
        <v>5</v>
      </c>
      <c r="F38" s="119" t="s">
        <v>5</v>
      </c>
      <c r="G38" s="119" t="s">
        <v>5</v>
      </c>
      <c r="H38" s="119" t="s">
        <v>5</v>
      </c>
      <c r="I38" s="119" t="s">
        <v>5</v>
      </c>
      <c r="J38" s="119" t="s">
        <v>5</v>
      </c>
      <c r="K38" s="119" t="s">
        <v>2</v>
      </c>
      <c r="L38" s="119" t="s">
        <v>2</v>
      </c>
      <c r="M38" s="119" t="s">
        <v>2</v>
      </c>
      <c r="N38" s="119" t="s">
        <v>5</v>
      </c>
      <c r="O38" s="119" t="s">
        <v>2</v>
      </c>
      <c r="P38" s="119" t="s">
        <v>2</v>
      </c>
      <c r="Q38" s="119" t="s">
        <v>2</v>
      </c>
      <c r="R38" s="119" t="s">
        <v>2</v>
      </c>
      <c r="S38" s="119" t="s">
        <v>5</v>
      </c>
      <c r="T38" s="119" t="s">
        <v>5</v>
      </c>
      <c r="U38" s="119" t="s">
        <v>5</v>
      </c>
      <c r="V38" s="119" t="s">
        <v>5</v>
      </c>
      <c r="W38" s="119" t="s">
        <v>3</v>
      </c>
      <c r="X38" s="119" t="s">
        <v>4</v>
      </c>
      <c r="Y38" s="119" t="s">
        <v>4</v>
      </c>
      <c r="Z38" s="119" t="s">
        <v>3</v>
      </c>
      <c r="AA38" s="119" t="s">
        <v>4</v>
      </c>
      <c r="AB38" s="119" t="s">
        <v>3</v>
      </c>
      <c r="AC38" s="119" t="s">
        <v>4</v>
      </c>
      <c r="AD38" s="119" t="s">
        <v>4</v>
      </c>
      <c r="AE38" s="119" t="s">
        <v>4</v>
      </c>
      <c r="AF38" s="119" t="s">
        <v>4</v>
      </c>
      <c r="AG38" s="119" t="s">
        <v>4</v>
      </c>
      <c r="AH38" s="119" t="s">
        <v>4</v>
      </c>
      <c r="AI38" s="119" t="s">
        <v>3</v>
      </c>
      <c r="AJ38" s="119" t="s">
        <v>4</v>
      </c>
      <c r="AK38" s="119" t="s">
        <v>4</v>
      </c>
      <c r="AL38" s="119" t="s">
        <v>4</v>
      </c>
      <c r="AM38" s="119" t="s">
        <v>3</v>
      </c>
      <c r="AS38" s="119" t="s">
        <v>70</v>
      </c>
      <c r="AT38" s="119">
        <f>COUNTIFS(E:E,"B",C:C,1)/COUNTIF(C:C,1)</f>
        <v>0.61538461538461542</v>
      </c>
      <c r="AU38" s="119">
        <f>COUNTIFS(E:E,"B",C:C,2)/COUNTIF(C:C,2)</f>
        <v>0.30769230769230771</v>
      </c>
      <c r="AV38" s="119">
        <f>COUNTIFS(E:E,"B",C:C,3)/COUNTIF(C:C,3)</f>
        <v>0.46153846153846156</v>
      </c>
      <c r="AW38" s="119">
        <f>COUNTIFS(E:E,"B",C:C,4)/COUNTIF(C:C,4)</f>
        <v>0.69230769230769229</v>
      </c>
      <c r="AX38" s="119">
        <f>COUNTIFS(E:E,"B",C:C,5)/COUNTIF(C:C,5)</f>
        <v>0.46153846153846156</v>
      </c>
      <c r="AY38" s="119">
        <f>COUNTIFS(E:E,"B",C:C,6)/COUNTIF(C:C,6)</f>
        <v>0.38461538461538464</v>
      </c>
      <c r="AZ38" s="118"/>
      <c r="BA38" s="144"/>
      <c r="BB38" s="144"/>
      <c r="BC38" s="144"/>
      <c r="BD38" s="144"/>
      <c r="BE38" s="144"/>
      <c r="BF38" s="144"/>
      <c r="BG38" s="144"/>
      <c r="BI38" s="132"/>
    </row>
    <row r="39" spans="1:98" x14ac:dyDescent="0.3">
      <c r="A39" s="119">
        <f t="shared" si="1"/>
        <v>38</v>
      </c>
      <c r="B39" s="119" t="s">
        <v>466</v>
      </c>
      <c r="C39" s="119">
        <v>3</v>
      </c>
      <c r="D39" s="119" t="s">
        <v>5</v>
      </c>
      <c r="E39" s="119" t="s">
        <v>3</v>
      </c>
      <c r="F39" s="119" t="s">
        <v>3</v>
      </c>
      <c r="G39" s="119" t="s">
        <v>5</v>
      </c>
      <c r="H39" s="119" t="s">
        <v>5</v>
      </c>
      <c r="I39" s="119" t="s">
        <v>5</v>
      </c>
      <c r="J39" s="119" t="s">
        <v>5</v>
      </c>
      <c r="K39" s="119" t="s">
        <v>2</v>
      </c>
      <c r="L39" s="119" t="s">
        <v>3</v>
      </c>
      <c r="M39" s="119" t="s">
        <v>3</v>
      </c>
      <c r="N39" s="119" t="s">
        <v>4</v>
      </c>
      <c r="O39" s="119" t="s">
        <v>5</v>
      </c>
      <c r="P39" s="119" t="s">
        <v>2</v>
      </c>
      <c r="Q39" s="119" t="s">
        <v>3</v>
      </c>
      <c r="R39" s="119" t="s">
        <v>5</v>
      </c>
      <c r="S39" s="119" t="s">
        <v>5</v>
      </c>
      <c r="T39" s="119" t="s">
        <v>5</v>
      </c>
      <c r="U39" s="119" t="s">
        <v>5</v>
      </c>
      <c r="V39" s="119" t="s">
        <v>4</v>
      </c>
      <c r="W39" s="119" t="s">
        <v>4</v>
      </c>
      <c r="X39" s="119" t="s">
        <v>4</v>
      </c>
      <c r="Y39" s="119" t="s">
        <v>2</v>
      </c>
      <c r="Z39" s="119" t="s">
        <v>3</v>
      </c>
      <c r="AA39" s="119" t="s">
        <v>4</v>
      </c>
      <c r="AB39" s="119" t="s">
        <v>4</v>
      </c>
      <c r="AC39" s="119" t="s">
        <v>4</v>
      </c>
      <c r="AD39" s="119" t="s">
        <v>4</v>
      </c>
      <c r="AE39" s="119" t="s">
        <v>4</v>
      </c>
      <c r="AF39" s="119" t="s">
        <v>4</v>
      </c>
      <c r="AG39" s="119" t="s">
        <v>3</v>
      </c>
      <c r="AH39" s="119" t="s">
        <v>4</v>
      </c>
      <c r="AI39" s="119" t="s">
        <v>3</v>
      </c>
      <c r="AJ39" s="119" t="s">
        <v>4</v>
      </c>
      <c r="AK39" s="119" t="s">
        <v>4</v>
      </c>
      <c r="AL39" s="119" t="s">
        <v>4</v>
      </c>
      <c r="AM39" s="119" t="s">
        <v>4</v>
      </c>
      <c r="AS39" s="119" t="s">
        <v>71</v>
      </c>
      <c r="AT39" s="119">
        <f>COUNTIFS(E:E,"C",C:C,1)/COUNTIF(C:C,1)</f>
        <v>0.15384615384615385</v>
      </c>
      <c r="AU39" s="119">
        <f>COUNTIFS(E:E,"C",C:C,2)/COUNTIF(C:C,2)</f>
        <v>0</v>
      </c>
      <c r="AV39" s="119">
        <f>COUNTIFS(E:E,"C",C:C,3)/COUNTIF(C:C,3)</f>
        <v>0</v>
      </c>
      <c r="AW39" s="119">
        <f>COUNTIFS(E:E,"C",C:C,4)/COUNTIF(C:C,4)</f>
        <v>0</v>
      </c>
      <c r="AX39" s="119">
        <f>COUNTIFS(E:E,"C",C:C,5)/COUNTIF(C:C,5)</f>
        <v>0</v>
      </c>
      <c r="AY39" s="119">
        <f>COUNTIFS(E:E,"C",C:C,6)/COUNTIF(C:C,6)</f>
        <v>0</v>
      </c>
      <c r="AZ39" s="118"/>
      <c r="BA39" s="144"/>
      <c r="BB39" s="142"/>
      <c r="BC39" s="144"/>
      <c r="BD39" s="144"/>
      <c r="BE39" s="144"/>
      <c r="BF39" s="144"/>
      <c r="BG39" s="144"/>
    </row>
    <row r="40" spans="1:98" x14ac:dyDescent="0.3">
      <c r="A40" s="119">
        <f t="shared" si="1"/>
        <v>39</v>
      </c>
      <c r="B40" s="119" t="s">
        <v>493</v>
      </c>
      <c r="C40" s="119">
        <v>3</v>
      </c>
      <c r="D40" s="119" t="s">
        <v>2</v>
      </c>
      <c r="E40" s="119" t="s">
        <v>5</v>
      </c>
      <c r="F40" s="119" t="s">
        <v>3</v>
      </c>
      <c r="G40" s="119" t="s">
        <v>2</v>
      </c>
      <c r="H40" s="119" t="s">
        <v>5</v>
      </c>
      <c r="I40" s="119" t="s">
        <v>5</v>
      </c>
      <c r="J40" s="119" t="s">
        <v>5</v>
      </c>
      <c r="K40" s="119" t="s">
        <v>2</v>
      </c>
      <c r="L40" s="119" t="s">
        <v>3</v>
      </c>
      <c r="M40" s="119" t="s">
        <v>4</v>
      </c>
      <c r="N40" s="119" t="s">
        <v>4</v>
      </c>
      <c r="O40" s="119" t="s">
        <v>5</v>
      </c>
      <c r="P40" s="119" t="s">
        <v>5</v>
      </c>
      <c r="Q40" s="119" t="s">
        <v>4</v>
      </c>
      <c r="R40" s="119" t="s">
        <v>5</v>
      </c>
      <c r="S40" s="119" t="s">
        <v>5</v>
      </c>
      <c r="T40" s="119" t="s">
        <v>5</v>
      </c>
      <c r="U40" s="119" t="s">
        <v>5</v>
      </c>
      <c r="V40" s="119" t="s">
        <v>5</v>
      </c>
      <c r="W40" s="119" t="s">
        <v>4</v>
      </c>
      <c r="X40" s="119" t="s">
        <v>4</v>
      </c>
      <c r="Y40" s="119" t="s">
        <v>4</v>
      </c>
      <c r="Z40" s="119" t="s">
        <v>4</v>
      </c>
      <c r="AA40" s="119" t="s">
        <v>4</v>
      </c>
      <c r="AB40" s="119" t="s">
        <v>4</v>
      </c>
      <c r="AC40" s="119" t="s">
        <v>4</v>
      </c>
      <c r="AD40" s="119" t="s">
        <v>4</v>
      </c>
      <c r="AE40" s="119" t="s">
        <v>4</v>
      </c>
      <c r="AF40" s="119" t="s">
        <v>4</v>
      </c>
      <c r="AG40" s="119" t="s">
        <v>4</v>
      </c>
      <c r="AH40" s="119" t="s">
        <v>4</v>
      </c>
      <c r="AI40" s="119" t="s">
        <v>3</v>
      </c>
      <c r="AJ40" s="119" t="s">
        <v>4</v>
      </c>
      <c r="AK40" s="119" t="s">
        <v>4</v>
      </c>
      <c r="AL40" s="119" t="s">
        <v>3</v>
      </c>
      <c r="AM40" s="119" t="s">
        <v>4</v>
      </c>
      <c r="AS40" s="119" t="s">
        <v>72</v>
      </c>
      <c r="AT40" s="119">
        <f>COUNTIFS(E:E,"D",C:C,1)/COUNTIF(C:C,1)</f>
        <v>0.23076923076923078</v>
      </c>
      <c r="AU40" s="119">
        <f>COUNTIFS(E:E,"D",C:C,2)/COUNTIF(C:C,2)</f>
        <v>0.69230769230769229</v>
      </c>
      <c r="AV40" s="119">
        <f>COUNTIFS(E:E,"D",C:C,3)/COUNTIF(C:C,3)</f>
        <v>0.46153846153846156</v>
      </c>
      <c r="AW40" s="119">
        <f>COUNTIFS(E:E,"D",C:C,4)/COUNTIF(C:C,4)</f>
        <v>0.30769230769230771</v>
      </c>
      <c r="AX40" s="119">
        <f>COUNTIFS(E:E,"D",C:C,5)/COUNTIF(C:C,5)</f>
        <v>0.53846153846153844</v>
      </c>
      <c r="AY40" s="119">
        <f>COUNTIFS(E:E,"D",C:C,6)/COUNTIF(C:C,6)</f>
        <v>0.61538461538461542</v>
      </c>
      <c r="AZ40" s="118"/>
      <c r="BA40" s="144"/>
      <c r="BB40" s="144"/>
      <c r="BC40" s="144"/>
      <c r="BD40" s="144"/>
      <c r="BE40" s="144"/>
      <c r="BF40" s="144"/>
      <c r="BG40" s="144"/>
      <c r="BI40" s="132"/>
    </row>
    <row r="41" spans="1:98" x14ac:dyDescent="0.3">
      <c r="A41" s="119">
        <f t="shared" si="1"/>
        <v>40</v>
      </c>
      <c r="B41" s="119" t="s">
        <v>23</v>
      </c>
      <c r="C41" s="119">
        <v>4</v>
      </c>
      <c r="D41" s="119" t="s">
        <v>3</v>
      </c>
      <c r="E41" s="119" t="s">
        <v>3</v>
      </c>
      <c r="F41" s="119" t="s">
        <v>4</v>
      </c>
      <c r="G41" s="119" t="s">
        <v>2</v>
      </c>
      <c r="H41" s="119" t="s">
        <v>5</v>
      </c>
      <c r="I41" s="119" t="s">
        <v>5</v>
      </c>
      <c r="J41" s="119" t="s">
        <v>5</v>
      </c>
      <c r="K41" s="119" t="s">
        <v>2</v>
      </c>
      <c r="L41" s="119" t="s">
        <v>2</v>
      </c>
      <c r="M41" s="119" t="s">
        <v>2</v>
      </c>
      <c r="N41" s="119" t="s">
        <v>5</v>
      </c>
      <c r="O41" s="119" t="s">
        <v>2</v>
      </c>
      <c r="P41" s="119" t="s">
        <v>5</v>
      </c>
      <c r="Q41" s="119" t="s">
        <v>3</v>
      </c>
      <c r="R41" s="119" t="s">
        <v>3</v>
      </c>
      <c r="S41" s="119" t="s">
        <v>5</v>
      </c>
      <c r="T41" s="119" t="s">
        <v>5</v>
      </c>
      <c r="U41" s="119" t="s">
        <v>5</v>
      </c>
      <c r="V41" s="119" t="s">
        <v>5</v>
      </c>
      <c r="W41" s="119" t="s">
        <v>4</v>
      </c>
      <c r="X41" s="119" t="s">
        <v>4</v>
      </c>
      <c r="Y41" s="119" t="s">
        <v>2</v>
      </c>
      <c r="Z41" s="119" t="s">
        <v>3</v>
      </c>
      <c r="AA41" s="119" t="s">
        <v>4</v>
      </c>
      <c r="AB41" s="119" t="s">
        <v>4</v>
      </c>
      <c r="AC41" s="119" t="s">
        <v>4</v>
      </c>
      <c r="AD41" s="119" t="s">
        <v>4</v>
      </c>
      <c r="AE41" s="119" t="s">
        <v>4</v>
      </c>
      <c r="AF41" s="119" t="s">
        <v>4</v>
      </c>
      <c r="AG41" s="119" t="s">
        <v>3</v>
      </c>
      <c r="AH41" s="119" t="s">
        <v>4</v>
      </c>
      <c r="AI41" s="119" t="s">
        <v>3</v>
      </c>
      <c r="AJ41" s="119" t="s">
        <v>3</v>
      </c>
      <c r="AK41" s="119" t="s">
        <v>4</v>
      </c>
      <c r="AL41" s="119" t="s">
        <v>3</v>
      </c>
      <c r="AM41" s="119" t="s">
        <v>3</v>
      </c>
      <c r="AZ41" s="118"/>
      <c r="BA41" s="144"/>
      <c r="BB41" s="144"/>
      <c r="BC41" s="144"/>
      <c r="BD41" s="144"/>
      <c r="BE41" s="144"/>
      <c r="BF41" s="144"/>
      <c r="BG41" s="144"/>
    </row>
    <row r="42" spans="1:98" x14ac:dyDescent="0.3">
      <c r="A42" s="119">
        <f t="shared" si="1"/>
        <v>41</v>
      </c>
      <c r="B42" s="119" t="s">
        <v>24</v>
      </c>
      <c r="C42" s="119">
        <v>4</v>
      </c>
      <c r="D42" s="119" t="s">
        <v>5</v>
      </c>
      <c r="E42" s="119" t="s">
        <v>3</v>
      </c>
      <c r="F42" s="119" t="s">
        <v>3</v>
      </c>
      <c r="G42" s="119" t="s">
        <v>5</v>
      </c>
      <c r="H42" s="119" t="s">
        <v>5</v>
      </c>
      <c r="I42" s="119" t="s">
        <v>5</v>
      </c>
      <c r="J42" s="119" t="s">
        <v>5</v>
      </c>
      <c r="K42" s="119" t="s">
        <v>2</v>
      </c>
      <c r="L42" s="119" t="s">
        <v>2</v>
      </c>
      <c r="M42" s="119" t="s">
        <v>5</v>
      </c>
      <c r="N42" s="119" t="s">
        <v>3</v>
      </c>
      <c r="O42" s="119" t="s">
        <v>4</v>
      </c>
      <c r="P42" s="119" t="s">
        <v>5</v>
      </c>
      <c r="Q42" s="119" t="s">
        <v>3</v>
      </c>
      <c r="R42" s="119" t="s">
        <v>5</v>
      </c>
      <c r="S42" s="119" t="s">
        <v>5</v>
      </c>
      <c r="T42" s="119" t="s">
        <v>5</v>
      </c>
      <c r="U42" s="119" t="s">
        <v>5</v>
      </c>
      <c r="V42" s="119" t="s">
        <v>5</v>
      </c>
      <c r="W42" s="119" t="s">
        <v>4</v>
      </c>
      <c r="X42" s="119" t="s">
        <v>4</v>
      </c>
      <c r="Y42" s="119" t="s">
        <v>4</v>
      </c>
      <c r="Z42" s="119" t="s">
        <v>3</v>
      </c>
      <c r="AA42" s="119" t="s">
        <v>4</v>
      </c>
      <c r="AB42" s="119" t="s">
        <v>4</v>
      </c>
      <c r="AC42" s="119" t="s">
        <v>4</v>
      </c>
      <c r="AD42" s="119" t="s">
        <v>4</v>
      </c>
      <c r="AE42" s="119" t="s">
        <v>4</v>
      </c>
      <c r="AF42" s="119" t="s">
        <v>4</v>
      </c>
      <c r="AG42" s="119" t="s">
        <v>3</v>
      </c>
      <c r="AH42" s="119" t="s">
        <v>4</v>
      </c>
      <c r="AI42" s="119" t="s">
        <v>3</v>
      </c>
      <c r="AJ42" s="119" t="s">
        <v>4</v>
      </c>
      <c r="AK42" s="119" t="s">
        <v>4</v>
      </c>
      <c r="AL42" s="119" t="s">
        <v>4</v>
      </c>
      <c r="AM42" s="119" t="s">
        <v>3</v>
      </c>
      <c r="AS42" s="119" t="s">
        <v>234</v>
      </c>
      <c r="AT42" s="119">
        <v>1</v>
      </c>
      <c r="AU42" s="119">
        <v>2</v>
      </c>
      <c r="AV42" s="119">
        <v>3</v>
      </c>
      <c r="AW42" s="119">
        <v>4</v>
      </c>
      <c r="AX42" s="119">
        <v>5</v>
      </c>
      <c r="AY42" s="119">
        <v>6</v>
      </c>
      <c r="AZ42" s="118"/>
      <c r="BA42" s="144"/>
      <c r="BB42" s="144"/>
      <c r="BC42" s="144"/>
      <c r="BD42" s="144"/>
      <c r="BE42" s="144"/>
      <c r="BF42" s="144"/>
      <c r="BG42" s="144"/>
      <c r="BI42" s="132"/>
    </row>
    <row r="43" spans="1:98" x14ac:dyDescent="0.3">
      <c r="A43" s="119">
        <f t="shared" si="1"/>
        <v>42</v>
      </c>
      <c r="B43" s="119" t="s">
        <v>25</v>
      </c>
      <c r="C43" s="119">
        <v>4</v>
      </c>
      <c r="D43" s="119" t="s">
        <v>5</v>
      </c>
      <c r="E43" s="119" t="s">
        <v>5</v>
      </c>
      <c r="F43" s="119" t="s">
        <v>5</v>
      </c>
      <c r="G43" s="119" t="s">
        <v>5</v>
      </c>
      <c r="H43" s="119" t="s">
        <v>5</v>
      </c>
      <c r="I43" s="119" t="s">
        <v>5</v>
      </c>
      <c r="J43" s="119" t="s">
        <v>5</v>
      </c>
      <c r="K43" s="119" t="s">
        <v>2</v>
      </c>
      <c r="L43" s="119" t="s">
        <v>5</v>
      </c>
      <c r="M43" s="119" t="s">
        <v>5</v>
      </c>
      <c r="N43" s="119" t="s">
        <v>3</v>
      </c>
      <c r="O43" s="119" t="s">
        <v>5</v>
      </c>
      <c r="P43" s="119" t="s">
        <v>5</v>
      </c>
      <c r="Q43" s="119" t="s">
        <v>2</v>
      </c>
      <c r="R43" s="119" t="s">
        <v>2</v>
      </c>
      <c r="S43" s="119" t="s">
        <v>5</v>
      </c>
      <c r="T43" s="119" t="s">
        <v>5</v>
      </c>
      <c r="U43" s="119" t="s">
        <v>5</v>
      </c>
      <c r="V43" s="119" t="s">
        <v>5</v>
      </c>
      <c r="W43" s="119" t="s">
        <v>4</v>
      </c>
      <c r="X43" s="119" t="s">
        <v>3</v>
      </c>
      <c r="Y43" s="119" t="s">
        <v>2</v>
      </c>
      <c r="Z43" s="119" t="s">
        <v>3</v>
      </c>
      <c r="AA43" s="119" t="s">
        <v>4</v>
      </c>
      <c r="AB43" s="119" t="s">
        <v>4</v>
      </c>
      <c r="AC43" s="119" t="s">
        <v>4</v>
      </c>
      <c r="AD43" s="119" t="s">
        <v>4</v>
      </c>
      <c r="AE43" s="119" t="s">
        <v>4</v>
      </c>
      <c r="AF43" s="119" t="s">
        <v>4</v>
      </c>
      <c r="AG43" s="119" t="s">
        <v>3</v>
      </c>
      <c r="AH43" s="119" t="s">
        <v>4</v>
      </c>
      <c r="AI43" s="119" t="s">
        <v>3</v>
      </c>
      <c r="AJ43" s="119" t="s">
        <v>4</v>
      </c>
      <c r="AK43" s="119" t="s">
        <v>4</v>
      </c>
      <c r="AL43" s="119" t="s">
        <v>3</v>
      </c>
      <c r="AM43" s="119" t="s">
        <v>3</v>
      </c>
      <c r="AS43" s="119" t="s">
        <v>73</v>
      </c>
      <c r="AT43" s="119">
        <f>COUNTIFS(F:F,"A",C:C,1)/COUNTIF(C:C,1)</f>
        <v>0.38461538461538464</v>
      </c>
      <c r="AU43" s="119">
        <f>COUNTIFS(F:F,"A",C:C,2)/COUNTIF(C:C,2)</f>
        <v>0.15384615384615385</v>
      </c>
      <c r="AV43" s="119">
        <f>COUNTIFS(F:F,"A",C:C,3)/COUNTIF(C:C,3)</f>
        <v>0.15384615384615385</v>
      </c>
      <c r="AW43" s="119">
        <f>COUNTIFS(F:F,"A",C:C,4)/COUNTIF(C:C,4)</f>
        <v>0.30769230769230771</v>
      </c>
      <c r="AX43" s="119">
        <f>COUNTIFS(F:F,"A",C:C,5)/COUNTIF(C:C,5)</f>
        <v>7.6923076923076927E-2</v>
      </c>
      <c r="AY43" s="119">
        <f>COUNTIFS(F:F,"A",C:C,6)/COUNTIF(C:C,6)</f>
        <v>0.15384615384615385</v>
      </c>
      <c r="AZ43" s="118"/>
      <c r="BA43" s="143"/>
      <c r="BB43" s="143"/>
      <c r="BC43" s="143"/>
      <c r="BD43" s="143"/>
      <c r="BE43" s="143"/>
      <c r="BF43" s="143"/>
      <c r="BG43" s="143"/>
    </row>
    <row r="44" spans="1:98" x14ac:dyDescent="0.3">
      <c r="A44" s="119">
        <f t="shared" si="1"/>
        <v>43</v>
      </c>
      <c r="B44" s="119" t="s">
        <v>26</v>
      </c>
      <c r="C44" s="119">
        <v>4</v>
      </c>
      <c r="D44" s="119" t="s">
        <v>3</v>
      </c>
      <c r="E44" s="119" t="s">
        <v>3</v>
      </c>
      <c r="F44" s="119" t="s">
        <v>3</v>
      </c>
      <c r="G44" s="119" t="s">
        <v>5</v>
      </c>
      <c r="H44" s="119" t="s">
        <v>5</v>
      </c>
      <c r="I44" s="119" t="s">
        <v>5</v>
      </c>
      <c r="J44" s="119" t="s">
        <v>5</v>
      </c>
      <c r="K44" s="119" t="s">
        <v>2</v>
      </c>
      <c r="L44" s="119" t="s">
        <v>2</v>
      </c>
      <c r="M44" s="119" t="s">
        <v>4</v>
      </c>
      <c r="N44" s="119" t="s">
        <v>4</v>
      </c>
      <c r="O44" s="119" t="s">
        <v>5</v>
      </c>
      <c r="P44" s="119" t="s">
        <v>5</v>
      </c>
      <c r="Q44" s="119" t="s">
        <v>3</v>
      </c>
      <c r="R44" s="119" t="s">
        <v>2</v>
      </c>
      <c r="S44" s="119" t="s">
        <v>5</v>
      </c>
      <c r="T44" s="119" t="s">
        <v>5</v>
      </c>
      <c r="U44" s="119" t="s">
        <v>5</v>
      </c>
      <c r="V44" s="119" t="s">
        <v>4</v>
      </c>
      <c r="W44" s="119" t="s">
        <v>4</v>
      </c>
      <c r="X44" s="119" t="s">
        <v>3</v>
      </c>
      <c r="Y44" s="119" t="s">
        <v>4</v>
      </c>
      <c r="Z44" s="119" t="s">
        <v>3</v>
      </c>
      <c r="AA44" s="119" t="s">
        <v>4</v>
      </c>
      <c r="AB44" s="119" t="s">
        <v>4</v>
      </c>
      <c r="AC44" s="119" t="s">
        <v>4</v>
      </c>
      <c r="AD44" s="119" t="s">
        <v>4</v>
      </c>
      <c r="AE44" s="119" t="s">
        <v>4</v>
      </c>
      <c r="AF44" s="119" t="s">
        <v>3</v>
      </c>
      <c r="AG44" s="119" t="s">
        <v>3</v>
      </c>
      <c r="AH44" s="119" t="s">
        <v>4</v>
      </c>
      <c r="AI44" s="119" t="s">
        <v>3</v>
      </c>
      <c r="AJ44" s="119" t="s">
        <v>4</v>
      </c>
      <c r="AK44" s="119" t="s">
        <v>4</v>
      </c>
      <c r="AL44" s="119" t="s">
        <v>4</v>
      </c>
      <c r="AM44" s="119" t="s">
        <v>3</v>
      </c>
      <c r="AS44" s="119" t="s">
        <v>74</v>
      </c>
      <c r="AT44" s="119">
        <f>COUNTIFS(F:F,"B",C:C,1)/COUNTIF(C:C,1)</f>
        <v>0.23076923076923078</v>
      </c>
      <c r="AU44" s="119">
        <f>COUNTIFS(F:F,"B",C:C,2)/COUNTIF(C:C,2)</f>
        <v>0.46153846153846156</v>
      </c>
      <c r="AV44" s="119">
        <f>COUNTIFS(F:F,"B",C:C,3)/COUNTIF(C:C,3)</f>
        <v>0.76923076923076927</v>
      </c>
      <c r="AW44" s="119">
        <f>COUNTIFS(F:F,"B",C:C,4)/COUNTIF(C:C,4)</f>
        <v>0.30769230769230771</v>
      </c>
      <c r="AX44" s="119">
        <f>COUNTIFS(F:F,"B",C:C,5)/COUNTIF(C:C,5)</f>
        <v>0.30769230769230771</v>
      </c>
      <c r="AY44" s="119">
        <f>COUNTIFS(F:F,"B",C:C,6)/COUNTIF(C:C,6)</f>
        <v>0.38461538461538464</v>
      </c>
      <c r="AZ44" s="118"/>
      <c r="BA44" s="144"/>
      <c r="BB44" s="144"/>
      <c r="BC44" s="144"/>
      <c r="BD44" s="144"/>
      <c r="BE44" s="144"/>
      <c r="BF44" s="144"/>
      <c r="BG44" s="144"/>
      <c r="BH44" s="144"/>
      <c r="BI44" s="132"/>
    </row>
    <row r="45" spans="1:98" x14ac:dyDescent="0.3">
      <c r="A45" s="119">
        <f t="shared" si="1"/>
        <v>44</v>
      </c>
      <c r="B45" s="119" t="s">
        <v>27</v>
      </c>
      <c r="C45" s="119">
        <v>4</v>
      </c>
      <c r="D45" s="119" t="s">
        <v>5</v>
      </c>
      <c r="E45" s="119" t="s">
        <v>3</v>
      </c>
      <c r="F45" s="119" t="s">
        <v>4</v>
      </c>
      <c r="G45" s="119" t="s">
        <v>3</v>
      </c>
      <c r="H45" s="119" t="s">
        <v>5</v>
      </c>
      <c r="I45" s="119" t="s">
        <v>5</v>
      </c>
      <c r="J45" s="119" t="s">
        <v>5</v>
      </c>
      <c r="K45" s="119" t="s">
        <v>2</v>
      </c>
      <c r="L45" s="119" t="s">
        <v>3</v>
      </c>
      <c r="M45" s="119" t="s">
        <v>3</v>
      </c>
      <c r="N45" s="119" t="s">
        <v>4</v>
      </c>
      <c r="O45" s="119" t="s">
        <v>5</v>
      </c>
      <c r="P45" s="119" t="s">
        <v>4</v>
      </c>
      <c r="Q45" s="119" t="s">
        <v>2</v>
      </c>
      <c r="R45" s="119" t="s">
        <v>5</v>
      </c>
      <c r="S45" s="119" t="s">
        <v>5</v>
      </c>
      <c r="T45" s="119" t="s">
        <v>5</v>
      </c>
      <c r="U45" s="119" t="s">
        <v>5</v>
      </c>
      <c r="V45" s="119" t="s">
        <v>4</v>
      </c>
      <c r="W45" s="119" t="s">
        <v>4</v>
      </c>
      <c r="X45" s="119" t="s">
        <v>4</v>
      </c>
      <c r="Y45" s="119" t="s">
        <v>2</v>
      </c>
      <c r="Z45" s="119" t="s">
        <v>3</v>
      </c>
      <c r="AA45" s="119" t="s">
        <v>4</v>
      </c>
      <c r="AB45" s="119" t="s">
        <v>4</v>
      </c>
      <c r="AC45" s="119" t="s">
        <v>4</v>
      </c>
      <c r="AD45" s="119" t="s">
        <v>4</v>
      </c>
      <c r="AE45" s="119" t="s">
        <v>4</v>
      </c>
      <c r="AF45" s="119" t="s">
        <v>4</v>
      </c>
      <c r="AG45" s="119" t="s">
        <v>4</v>
      </c>
      <c r="AH45" s="119" t="s">
        <v>4</v>
      </c>
      <c r="AI45" s="119" t="s">
        <v>3</v>
      </c>
      <c r="AJ45" s="119" t="s">
        <v>4</v>
      </c>
      <c r="AK45" s="119" t="s">
        <v>4</v>
      </c>
      <c r="AL45" s="119" t="s">
        <v>4</v>
      </c>
      <c r="AM45" s="119" t="s">
        <v>3</v>
      </c>
      <c r="AS45" s="119" t="s">
        <v>75</v>
      </c>
      <c r="AT45" s="119">
        <f>COUNTIFS(F:F,"C",C:C,1)/COUNTIF(C:C,1)</f>
        <v>0.38461538461538464</v>
      </c>
      <c r="AU45" s="119">
        <f>COUNTIFS(F:F,"C",C:C,2)/COUNTIF(C:C,2)</f>
        <v>0.30769230769230771</v>
      </c>
      <c r="AV45" s="119">
        <f>COUNTIFS(F:F,"C",C:C,3)/COUNTIF(C:C,3)</f>
        <v>0</v>
      </c>
      <c r="AW45" s="119">
        <f>COUNTIFS(F:F,"C",C:C,4)/COUNTIF(C:C,4)</f>
        <v>0.23076923076923078</v>
      </c>
      <c r="AX45" s="119">
        <f>COUNTIFS(F:F,"C",C:C,5)/COUNTIF(C:C,5)</f>
        <v>0.46153846153846156</v>
      </c>
      <c r="AY45" s="119">
        <f>COUNTIFS(F:F,"C",C:C,6)/COUNTIF(C:C,6)</f>
        <v>0.15384615384615385</v>
      </c>
      <c r="AZ45" s="118"/>
      <c r="BA45" s="144"/>
      <c r="BB45" s="144"/>
      <c r="BC45" s="144"/>
      <c r="BD45" s="144"/>
      <c r="BE45" s="144"/>
      <c r="BF45" s="144"/>
      <c r="BG45" s="144"/>
    </row>
    <row r="46" spans="1:98" x14ac:dyDescent="0.3">
      <c r="A46" s="119">
        <f t="shared" si="1"/>
        <v>45</v>
      </c>
      <c r="B46" s="119" t="s">
        <v>28</v>
      </c>
      <c r="C46" s="119">
        <v>4</v>
      </c>
      <c r="D46" s="119" t="s">
        <v>5</v>
      </c>
      <c r="E46" s="119" t="s">
        <v>3</v>
      </c>
      <c r="F46" s="119" t="s">
        <v>2</v>
      </c>
      <c r="G46" s="119" t="s">
        <v>5</v>
      </c>
      <c r="H46" s="119" t="s">
        <v>5</v>
      </c>
      <c r="I46" s="119" t="s">
        <v>5</v>
      </c>
      <c r="J46" s="119" t="s">
        <v>2</v>
      </c>
      <c r="K46" s="119" t="s">
        <v>2</v>
      </c>
      <c r="L46" s="119" t="s">
        <v>3</v>
      </c>
      <c r="M46" s="119" t="s">
        <v>3</v>
      </c>
      <c r="N46" s="119" t="s">
        <v>3</v>
      </c>
      <c r="O46" s="119" t="s">
        <v>3</v>
      </c>
      <c r="P46" s="119" t="s">
        <v>2</v>
      </c>
      <c r="Q46" s="119" t="s">
        <v>2</v>
      </c>
      <c r="R46" s="119" t="s">
        <v>2</v>
      </c>
      <c r="S46" s="119" t="s">
        <v>5</v>
      </c>
      <c r="T46" s="119" t="s">
        <v>2</v>
      </c>
      <c r="U46" s="119" t="s">
        <v>2</v>
      </c>
      <c r="V46" s="119" t="s">
        <v>5</v>
      </c>
      <c r="W46" s="119" t="s">
        <v>3</v>
      </c>
      <c r="X46" s="119" t="s">
        <v>2</v>
      </c>
      <c r="Y46" s="119" t="s">
        <v>2</v>
      </c>
      <c r="Z46" s="119" t="s">
        <v>3</v>
      </c>
      <c r="AA46" s="119" t="s">
        <v>4</v>
      </c>
      <c r="AB46" s="119" t="s">
        <v>4</v>
      </c>
      <c r="AC46" s="119" t="s">
        <v>4</v>
      </c>
      <c r="AD46" s="119" t="s">
        <v>4</v>
      </c>
      <c r="AE46" s="119" t="s">
        <v>4</v>
      </c>
      <c r="AF46" s="119" t="s">
        <v>4</v>
      </c>
      <c r="AG46" s="119" t="s">
        <v>3</v>
      </c>
      <c r="AH46" s="119" t="s">
        <v>4</v>
      </c>
      <c r="AI46" s="119" t="s">
        <v>3</v>
      </c>
      <c r="AJ46" s="119" t="s">
        <v>4</v>
      </c>
      <c r="AK46" s="119" t="s">
        <v>4</v>
      </c>
      <c r="AL46" s="119" t="s">
        <v>4</v>
      </c>
      <c r="AM46" s="119" t="s">
        <v>3</v>
      </c>
      <c r="AS46" s="119" t="s">
        <v>76</v>
      </c>
      <c r="AT46" s="119">
        <f>COUNTIFS(F:F,"D",C:C,1)/COUNTIF(C:C,1)</f>
        <v>0</v>
      </c>
      <c r="AU46" s="119">
        <f>COUNTIFS(F:F,"D",C:C,2)/COUNTIF(C:C,2)</f>
        <v>7.6923076923076927E-2</v>
      </c>
      <c r="AV46" s="119">
        <f>COUNTIFS(F:F,"D",C:C,3)/COUNTIF(C:C,3)</f>
        <v>7.6923076923076927E-2</v>
      </c>
      <c r="AW46" s="119">
        <f>COUNTIFS(F:F,"D",C:C,4)/COUNTIF(C:C,4)</f>
        <v>0.15384615384615385</v>
      </c>
      <c r="AX46" s="119">
        <f>COUNTIFS(F:F,"D",C:C,5)/COUNTIF(C:C,5)</f>
        <v>0.15384615384615385</v>
      </c>
      <c r="AY46" s="119">
        <f>COUNTIFS(F:F,"D",C:C,6)/COUNTIF(C:C,6)</f>
        <v>0.30769230769230771</v>
      </c>
      <c r="AZ46" s="118"/>
      <c r="BA46" s="144"/>
      <c r="BB46" s="144"/>
      <c r="BC46" s="144"/>
      <c r="BD46" s="144"/>
      <c r="BE46" s="144"/>
      <c r="BF46" s="144"/>
      <c r="BG46" s="144"/>
      <c r="BI46" s="132"/>
    </row>
    <row r="47" spans="1:98" x14ac:dyDescent="0.3">
      <c r="A47" s="119">
        <f t="shared" si="1"/>
        <v>46</v>
      </c>
      <c r="B47" s="119" t="s">
        <v>267</v>
      </c>
      <c r="C47" s="119">
        <v>4</v>
      </c>
      <c r="D47" s="119" t="s">
        <v>5</v>
      </c>
      <c r="E47" s="119" t="s">
        <v>3</v>
      </c>
      <c r="F47" s="119" t="s">
        <v>3</v>
      </c>
      <c r="G47" s="119" t="s">
        <v>2</v>
      </c>
      <c r="H47" s="119" t="s">
        <v>5</v>
      </c>
      <c r="I47" s="119" t="s">
        <v>5</v>
      </c>
      <c r="J47" s="119" t="s">
        <v>5</v>
      </c>
      <c r="K47" s="119" t="s">
        <v>2</v>
      </c>
      <c r="L47" s="119" t="s">
        <v>2</v>
      </c>
      <c r="M47" s="119" t="s">
        <v>2</v>
      </c>
      <c r="N47" s="119" t="s">
        <v>3</v>
      </c>
      <c r="O47" s="119" t="s">
        <v>5</v>
      </c>
      <c r="P47" s="119" t="s">
        <v>5</v>
      </c>
      <c r="Q47" s="119" t="s">
        <v>2</v>
      </c>
      <c r="R47" s="119" t="s">
        <v>2</v>
      </c>
      <c r="S47" s="119" t="s">
        <v>5</v>
      </c>
      <c r="T47" s="119" t="s">
        <v>5</v>
      </c>
      <c r="U47" s="119" t="s">
        <v>5</v>
      </c>
      <c r="V47" s="119" t="s">
        <v>5</v>
      </c>
      <c r="W47" s="119" t="s">
        <v>3</v>
      </c>
      <c r="X47" s="119" t="s">
        <v>3</v>
      </c>
      <c r="Y47" s="119" t="s">
        <v>2</v>
      </c>
      <c r="Z47" s="119" t="s">
        <v>3</v>
      </c>
      <c r="AA47" s="119" t="s">
        <v>4</v>
      </c>
      <c r="AB47" s="119" t="s">
        <v>4</v>
      </c>
      <c r="AC47" s="119" t="s">
        <v>4</v>
      </c>
      <c r="AD47" s="119" t="s">
        <v>4</v>
      </c>
      <c r="AE47" s="119" t="s">
        <v>4</v>
      </c>
      <c r="AF47" s="119" t="s">
        <v>3</v>
      </c>
      <c r="AG47" s="119" t="s">
        <v>3</v>
      </c>
      <c r="AH47" s="119" t="s">
        <v>4</v>
      </c>
      <c r="AI47" s="119" t="s">
        <v>3</v>
      </c>
      <c r="AJ47" s="119" t="s">
        <v>4</v>
      </c>
      <c r="AK47" s="119" t="s">
        <v>4</v>
      </c>
      <c r="AL47" s="119" t="s">
        <v>3</v>
      </c>
      <c r="AM47" s="119" t="s">
        <v>3</v>
      </c>
      <c r="AZ47" s="118"/>
      <c r="BA47" s="144"/>
      <c r="BB47" s="144"/>
      <c r="BC47" s="144"/>
      <c r="BD47" s="144"/>
      <c r="BE47" s="144"/>
      <c r="BF47" s="144"/>
      <c r="BG47" s="144"/>
    </row>
    <row r="48" spans="1:98" x14ac:dyDescent="0.3">
      <c r="A48" s="119">
        <f t="shared" si="1"/>
        <v>47</v>
      </c>
      <c r="B48" s="119" t="s">
        <v>268</v>
      </c>
      <c r="C48" s="119">
        <v>4</v>
      </c>
      <c r="D48" s="119" t="s">
        <v>2</v>
      </c>
      <c r="E48" s="119" t="s">
        <v>3</v>
      </c>
      <c r="F48" s="119" t="s">
        <v>3</v>
      </c>
      <c r="G48" s="119" t="s">
        <v>5</v>
      </c>
      <c r="H48" s="119" t="s">
        <v>5</v>
      </c>
      <c r="I48" s="119" t="s">
        <v>5</v>
      </c>
      <c r="J48" s="119" t="s">
        <v>5</v>
      </c>
      <c r="K48" s="119" t="s">
        <v>2</v>
      </c>
      <c r="L48" s="119" t="s">
        <v>2</v>
      </c>
      <c r="M48" s="119" t="s">
        <v>4</v>
      </c>
      <c r="N48" s="119" t="s">
        <v>4</v>
      </c>
      <c r="O48" s="119" t="s">
        <v>4</v>
      </c>
      <c r="P48" s="119" t="s">
        <v>5</v>
      </c>
      <c r="Q48" s="119" t="s">
        <v>3</v>
      </c>
      <c r="R48" s="119" t="s">
        <v>4</v>
      </c>
      <c r="S48" s="119" t="s">
        <v>5</v>
      </c>
      <c r="T48" s="119" t="s">
        <v>5</v>
      </c>
      <c r="U48" s="119" t="s">
        <v>5</v>
      </c>
      <c r="V48" s="119" t="s">
        <v>4</v>
      </c>
      <c r="W48" s="119" t="s">
        <v>4</v>
      </c>
      <c r="X48" s="119" t="s">
        <v>3</v>
      </c>
      <c r="Y48" s="119" t="s">
        <v>2</v>
      </c>
      <c r="Z48" s="119" t="s">
        <v>3</v>
      </c>
      <c r="AA48" s="119" t="s">
        <v>4</v>
      </c>
      <c r="AB48" s="119" t="s">
        <v>4</v>
      </c>
      <c r="AC48" s="119" t="s">
        <v>4</v>
      </c>
      <c r="AD48" s="119" t="s">
        <v>3</v>
      </c>
      <c r="AE48" s="119" t="s">
        <v>4</v>
      </c>
      <c r="AF48" s="119" t="s">
        <v>4</v>
      </c>
      <c r="AG48" s="119" t="s">
        <v>3</v>
      </c>
      <c r="AH48" s="119" t="s">
        <v>4</v>
      </c>
      <c r="AI48" s="119" t="s">
        <v>3</v>
      </c>
      <c r="AJ48" s="119" t="s">
        <v>3</v>
      </c>
      <c r="AK48" s="119" t="s">
        <v>4</v>
      </c>
      <c r="AL48" s="119" t="s">
        <v>4</v>
      </c>
      <c r="AM48" s="119" t="s">
        <v>3</v>
      </c>
      <c r="AS48" s="119" t="s">
        <v>235</v>
      </c>
      <c r="AT48" s="119">
        <v>1</v>
      </c>
      <c r="AU48" s="119">
        <v>2</v>
      </c>
      <c r="AV48" s="119">
        <v>3</v>
      </c>
      <c r="AW48" s="119">
        <v>4</v>
      </c>
      <c r="AX48" s="119">
        <v>5</v>
      </c>
      <c r="AY48" s="119">
        <v>6</v>
      </c>
      <c r="AZ48" s="118"/>
      <c r="BA48" s="144"/>
      <c r="BB48" s="144"/>
      <c r="BC48" s="144"/>
      <c r="BD48" s="144"/>
      <c r="BE48" s="144"/>
      <c r="BF48" s="144"/>
      <c r="BG48" s="144"/>
    </row>
    <row r="49" spans="1:98" x14ac:dyDescent="0.3">
      <c r="A49" s="119">
        <f t="shared" si="1"/>
        <v>48</v>
      </c>
      <c r="B49" s="119" t="s">
        <v>269</v>
      </c>
      <c r="C49" s="119">
        <v>4</v>
      </c>
      <c r="D49" s="119" t="s">
        <v>3</v>
      </c>
      <c r="E49" s="119" t="s">
        <v>3</v>
      </c>
      <c r="F49" s="119" t="s">
        <v>4</v>
      </c>
      <c r="G49" s="119" t="s">
        <v>2</v>
      </c>
      <c r="H49" s="119" t="s">
        <v>5</v>
      </c>
      <c r="I49" s="119" t="s">
        <v>5</v>
      </c>
      <c r="J49" s="119" t="s">
        <v>5</v>
      </c>
      <c r="K49" s="119" t="s">
        <v>2</v>
      </c>
      <c r="L49" s="119" t="s">
        <v>2</v>
      </c>
      <c r="M49" s="119" t="s">
        <v>2</v>
      </c>
      <c r="N49" s="119" t="s">
        <v>5</v>
      </c>
      <c r="O49" s="119" t="s">
        <v>2</v>
      </c>
      <c r="P49" s="119" t="s">
        <v>5</v>
      </c>
      <c r="Q49" s="119" t="s">
        <v>3</v>
      </c>
      <c r="R49" s="119" t="s">
        <v>3</v>
      </c>
      <c r="S49" s="119" t="s">
        <v>5</v>
      </c>
      <c r="T49" s="119" t="s">
        <v>5</v>
      </c>
      <c r="U49" s="119" t="s">
        <v>5</v>
      </c>
      <c r="V49" s="119" t="s">
        <v>5</v>
      </c>
      <c r="W49" s="119" t="s">
        <v>4</v>
      </c>
      <c r="X49" s="119" t="s">
        <v>4</v>
      </c>
      <c r="Y49" s="119" t="s">
        <v>2</v>
      </c>
      <c r="Z49" s="119" t="s">
        <v>3</v>
      </c>
      <c r="AA49" s="119" t="s">
        <v>4</v>
      </c>
      <c r="AB49" s="119" t="s">
        <v>4</v>
      </c>
      <c r="AC49" s="119" t="s">
        <v>4</v>
      </c>
      <c r="AD49" s="119" t="s">
        <v>3</v>
      </c>
      <c r="AE49" s="119" t="s">
        <v>4</v>
      </c>
      <c r="AF49" s="119" t="s">
        <v>4</v>
      </c>
      <c r="AG49" s="119" t="s">
        <v>3</v>
      </c>
      <c r="AH49" s="119" t="s">
        <v>4</v>
      </c>
      <c r="AI49" s="119" t="s">
        <v>3</v>
      </c>
      <c r="AJ49" s="119" t="s">
        <v>3</v>
      </c>
      <c r="AK49" s="119" t="s">
        <v>4</v>
      </c>
      <c r="AL49" s="119" t="s">
        <v>3</v>
      </c>
      <c r="AM49" s="119" t="s">
        <v>3</v>
      </c>
      <c r="AS49" s="119" t="s">
        <v>77</v>
      </c>
      <c r="AT49" s="119">
        <f>COUNTIFS(G:G,"A",C:C,1)/COUNTIF(C:C,1)</f>
        <v>0</v>
      </c>
      <c r="AU49" s="119">
        <f>COUNTIFS(G:G,"A",C:C,2)/COUNTIF(C:C,2)</f>
        <v>0</v>
      </c>
      <c r="AV49" s="119">
        <f>COUNTIFS(G:G,"A",C:C,3)/COUNTIF(C:C,3)</f>
        <v>0</v>
      </c>
      <c r="AW49" s="119">
        <f>COUNTIFS(G:G,"A",C:C,4)/COUNTIF(C:C,4)</f>
        <v>0</v>
      </c>
      <c r="AX49" s="119">
        <f>COUNTIFS(G:G,"A",C:C,5)/COUNTIF(C:C,5)</f>
        <v>0</v>
      </c>
      <c r="AY49" s="119">
        <f>COUNTIFS(G:G,"A",C:C,6)/COUNTIF(C:C,6)</f>
        <v>0</v>
      </c>
      <c r="AZ49" s="118"/>
      <c r="BA49" s="144"/>
      <c r="BB49" s="144"/>
      <c r="BC49" s="144"/>
      <c r="BD49" s="144"/>
      <c r="BE49" s="144"/>
      <c r="BF49" s="144"/>
      <c r="BG49" s="144"/>
      <c r="BI49" s="125"/>
      <c r="BK49" s="121"/>
      <c r="BL49" s="121"/>
      <c r="BM49" s="121"/>
      <c r="BN49" s="121"/>
      <c r="BO49" s="121"/>
      <c r="BP49" s="121"/>
      <c r="BQ49" s="121"/>
      <c r="BR49" s="121"/>
      <c r="BS49" s="121"/>
      <c r="BT49" s="121"/>
      <c r="BU49" s="121"/>
      <c r="BV49" s="121"/>
      <c r="BW49" s="121"/>
      <c r="BX49" s="121"/>
      <c r="BY49" s="121"/>
      <c r="BZ49" s="121"/>
      <c r="CA49" s="121"/>
      <c r="CB49" s="121"/>
      <c r="CC49" s="121"/>
      <c r="CD49" s="121"/>
      <c r="CE49" s="121"/>
      <c r="CF49" s="121"/>
      <c r="CG49" s="121"/>
      <c r="CH49" s="121"/>
      <c r="CI49" s="121"/>
      <c r="CJ49" s="121"/>
      <c r="CK49" s="121"/>
      <c r="CL49" s="121"/>
      <c r="CM49" s="121"/>
      <c r="CN49" s="121"/>
      <c r="CO49" s="121"/>
      <c r="CP49" s="121"/>
      <c r="CQ49" s="121"/>
      <c r="CR49" s="121"/>
      <c r="CS49" s="121"/>
      <c r="CT49" s="121"/>
    </row>
    <row r="50" spans="1:98" x14ac:dyDescent="0.3">
      <c r="A50" s="119">
        <f t="shared" si="1"/>
        <v>49</v>
      </c>
      <c r="B50" s="119" t="s">
        <v>270</v>
      </c>
      <c r="C50" s="119">
        <v>4</v>
      </c>
      <c r="D50" s="119" t="s">
        <v>5</v>
      </c>
      <c r="E50" s="119" t="s">
        <v>3</v>
      </c>
      <c r="F50" s="119" t="s">
        <v>2</v>
      </c>
      <c r="G50" s="119" t="s">
        <v>5</v>
      </c>
      <c r="H50" s="119" t="s">
        <v>5</v>
      </c>
      <c r="I50" s="119" t="s">
        <v>5</v>
      </c>
      <c r="J50" s="119" t="s">
        <v>5</v>
      </c>
      <c r="K50" s="119" t="s">
        <v>2</v>
      </c>
      <c r="L50" s="119" t="s">
        <v>2</v>
      </c>
      <c r="M50" s="119" t="s">
        <v>2</v>
      </c>
      <c r="N50" s="119" t="s">
        <v>3</v>
      </c>
      <c r="O50" s="119" t="s">
        <v>5</v>
      </c>
      <c r="P50" s="119" t="s">
        <v>5</v>
      </c>
      <c r="Q50" s="119" t="s">
        <v>2</v>
      </c>
      <c r="R50" s="119" t="s">
        <v>2</v>
      </c>
      <c r="S50" s="119" t="s">
        <v>5</v>
      </c>
      <c r="T50" s="119" t="s">
        <v>5</v>
      </c>
      <c r="U50" s="119" t="s">
        <v>5</v>
      </c>
      <c r="V50" s="119" t="s">
        <v>5</v>
      </c>
      <c r="W50" s="119" t="s">
        <v>3</v>
      </c>
      <c r="X50" s="119" t="s">
        <v>3</v>
      </c>
      <c r="Y50" s="119" t="s">
        <v>2</v>
      </c>
      <c r="Z50" s="119" t="s">
        <v>3</v>
      </c>
      <c r="AA50" s="119" t="s">
        <v>4</v>
      </c>
      <c r="AB50" s="119" t="s">
        <v>4</v>
      </c>
      <c r="AC50" s="119" t="s">
        <v>4</v>
      </c>
      <c r="AD50" s="119" t="s">
        <v>4</v>
      </c>
      <c r="AE50" s="119" t="s">
        <v>4</v>
      </c>
      <c r="AF50" s="119" t="s">
        <v>3</v>
      </c>
      <c r="AG50" s="119" t="s">
        <v>3</v>
      </c>
      <c r="AH50" s="119" t="s">
        <v>4</v>
      </c>
      <c r="AI50" s="119" t="s">
        <v>3</v>
      </c>
      <c r="AJ50" s="119" t="s">
        <v>3</v>
      </c>
      <c r="AK50" s="119" t="s">
        <v>4</v>
      </c>
      <c r="AL50" s="119" t="s">
        <v>3</v>
      </c>
      <c r="AM50" s="119" t="s">
        <v>3</v>
      </c>
      <c r="AS50" s="119" t="s">
        <v>78</v>
      </c>
      <c r="AT50" s="119">
        <f>COUNTIFS(G:G,"B",C:C,1)/COUNTIF(C:C,1)</f>
        <v>0.38461538461538464</v>
      </c>
      <c r="AU50" s="119">
        <f>COUNTIFS(G:G,"B",C:C,2)/COUNTIF(C:C,2)</f>
        <v>0.15384615384615385</v>
      </c>
      <c r="AV50" s="119">
        <f>COUNTIFS(G:G,"B",C:C,3)/COUNTIF(C:C,3)</f>
        <v>7.6923076923076927E-2</v>
      </c>
      <c r="AW50" s="119">
        <f>COUNTIFS(G:G,"B",C:C,4)/COUNTIF(C:C,4)</f>
        <v>0.15384615384615385</v>
      </c>
      <c r="AX50" s="119">
        <f>COUNTIFS(G:G,"B",C:C,5)/COUNTIF(C:C,5)</f>
        <v>0</v>
      </c>
      <c r="AY50" s="119">
        <f>COUNTIFS(G:G,"B",C:C,6)/COUNTIF(C:C,6)</f>
        <v>0</v>
      </c>
      <c r="AZ50" s="118"/>
      <c r="BA50" s="144"/>
      <c r="BB50" s="144"/>
      <c r="BC50" s="144"/>
      <c r="BD50" s="144"/>
      <c r="BE50" s="144"/>
      <c r="BF50" s="144"/>
      <c r="BG50" s="144"/>
      <c r="BI50" s="125"/>
    </row>
    <row r="51" spans="1:98" x14ac:dyDescent="0.3">
      <c r="A51" s="119">
        <f t="shared" si="1"/>
        <v>50</v>
      </c>
      <c r="B51" s="119" t="s">
        <v>469</v>
      </c>
      <c r="C51" s="119">
        <v>4</v>
      </c>
      <c r="D51" s="119" t="s">
        <v>5</v>
      </c>
      <c r="E51" s="119" t="s">
        <v>5</v>
      </c>
      <c r="F51" s="119" t="s">
        <v>2</v>
      </c>
      <c r="G51" s="119" t="s">
        <v>3</v>
      </c>
      <c r="H51" s="119" t="s">
        <v>5</v>
      </c>
      <c r="I51" s="119" t="s">
        <v>5</v>
      </c>
      <c r="J51" s="119" t="s">
        <v>5</v>
      </c>
      <c r="K51" s="119" t="s">
        <v>2</v>
      </c>
      <c r="L51" s="119" t="s">
        <v>3</v>
      </c>
      <c r="M51" s="119" t="s">
        <v>3</v>
      </c>
      <c r="N51" s="119" t="s">
        <v>5</v>
      </c>
      <c r="O51" s="119" t="s">
        <v>2</v>
      </c>
      <c r="P51" s="119" t="s">
        <v>5</v>
      </c>
      <c r="Q51" s="119" t="s">
        <v>3</v>
      </c>
      <c r="R51" s="119" t="s">
        <v>2</v>
      </c>
      <c r="S51" s="119" t="s">
        <v>5</v>
      </c>
      <c r="T51" s="119" t="s">
        <v>5</v>
      </c>
      <c r="U51" s="119" t="s">
        <v>5</v>
      </c>
      <c r="V51" s="119" t="s">
        <v>5</v>
      </c>
      <c r="W51" s="119" t="s">
        <v>3</v>
      </c>
      <c r="X51" s="119" t="s">
        <v>4</v>
      </c>
      <c r="Y51" s="119" t="s">
        <v>4</v>
      </c>
      <c r="Z51" s="119" t="s">
        <v>3</v>
      </c>
      <c r="AA51" s="119" t="s">
        <v>4</v>
      </c>
      <c r="AB51" s="119" t="s">
        <v>4</v>
      </c>
      <c r="AC51" s="119" t="s">
        <v>4</v>
      </c>
      <c r="AD51" s="119" t="s">
        <v>4</v>
      </c>
      <c r="AE51" s="119" t="s">
        <v>4</v>
      </c>
      <c r="AF51" s="119" t="s">
        <v>4</v>
      </c>
      <c r="AG51" s="119" t="s">
        <v>3</v>
      </c>
      <c r="AH51" s="119" t="s">
        <v>4</v>
      </c>
      <c r="AI51" s="119" t="s">
        <v>3</v>
      </c>
      <c r="AJ51" s="119" t="s">
        <v>4</v>
      </c>
      <c r="AK51" s="119" t="s">
        <v>4</v>
      </c>
      <c r="AL51" s="119" t="s">
        <v>3</v>
      </c>
      <c r="AM51" s="119" t="s">
        <v>3</v>
      </c>
      <c r="AS51" s="119" t="s">
        <v>79</v>
      </c>
      <c r="AT51" s="119">
        <f>COUNTIFS(G:G,"C",C:C,1)/COUNTIF(C:C,1)</f>
        <v>0</v>
      </c>
      <c r="AU51" s="119">
        <f>COUNTIFS(G:G,"C",C:C,2)/COUNTIF(C:C,2)</f>
        <v>0.30769230769230771</v>
      </c>
      <c r="AV51" s="119">
        <f>COUNTIFS(G:G,"C",C:C,3)/COUNTIF(C:C,3)</f>
        <v>0.23076923076923078</v>
      </c>
      <c r="AW51" s="119">
        <f>COUNTIFS(G:G,"C",C:C,4)/COUNTIF(C:C,4)</f>
        <v>0.23076923076923078</v>
      </c>
      <c r="AX51" s="119">
        <f>COUNTIFS(G:G,"C",C:C,5)/COUNTIF(C:C,5)</f>
        <v>0</v>
      </c>
      <c r="AY51" s="119">
        <f>COUNTIFS(G:G,"C",C:C,6)/COUNTIF(C:C,6)</f>
        <v>7.6923076923076927E-2</v>
      </c>
      <c r="AZ51" s="118"/>
      <c r="BA51" s="143"/>
      <c r="BB51" s="143"/>
      <c r="BC51" s="143"/>
      <c r="BD51" s="142"/>
      <c r="BE51" s="143"/>
      <c r="BF51" s="143"/>
      <c r="BG51" s="143"/>
    </row>
    <row r="52" spans="1:98" x14ac:dyDescent="0.3">
      <c r="A52" s="119">
        <f t="shared" si="1"/>
        <v>51</v>
      </c>
      <c r="B52" s="119" t="s">
        <v>470</v>
      </c>
      <c r="C52" s="119">
        <v>4</v>
      </c>
      <c r="D52" s="119" t="s">
        <v>5</v>
      </c>
      <c r="E52" s="119" t="s">
        <v>5</v>
      </c>
      <c r="F52" s="119" t="s">
        <v>5</v>
      </c>
      <c r="G52" s="119" t="s">
        <v>5</v>
      </c>
      <c r="H52" s="119" t="s">
        <v>5</v>
      </c>
      <c r="I52" s="119" t="s">
        <v>5</v>
      </c>
      <c r="J52" s="119" t="s">
        <v>5</v>
      </c>
      <c r="K52" s="119" t="s">
        <v>2</v>
      </c>
      <c r="L52" s="119" t="s">
        <v>2</v>
      </c>
      <c r="M52" s="119" t="s">
        <v>2</v>
      </c>
      <c r="N52" s="119" t="s">
        <v>3</v>
      </c>
      <c r="O52" s="119" t="s">
        <v>3</v>
      </c>
      <c r="P52" s="119" t="s">
        <v>5</v>
      </c>
      <c r="Q52" s="119" t="s">
        <v>3</v>
      </c>
      <c r="R52" s="119" t="s">
        <v>3</v>
      </c>
      <c r="S52" s="119" t="s">
        <v>5</v>
      </c>
      <c r="T52" s="119" t="s">
        <v>5</v>
      </c>
      <c r="U52" s="119" t="s">
        <v>5</v>
      </c>
      <c r="V52" s="119" t="s">
        <v>5</v>
      </c>
      <c r="W52" s="119" t="s">
        <v>4</v>
      </c>
      <c r="X52" s="119" t="s">
        <v>4</v>
      </c>
      <c r="Y52" s="119" t="s">
        <v>2</v>
      </c>
      <c r="Z52" s="119" t="s">
        <v>3</v>
      </c>
      <c r="AA52" s="119" t="s">
        <v>3</v>
      </c>
      <c r="AB52" s="119" t="s">
        <v>3</v>
      </c>
      <c r="AC52" s="119" t="s">
        <v>4</v>
      </c>
      <c r="AD52" s="119" t="s">
        <v>4</v>
      </c>
      <c r="AE52" s="119" t="s">
        <v>4</v>
      </c>
      <c r="AF52" s="119" t="s">
        <v>4</v>
      </c>
      <c r="AG52" s="119" t="s">
        <v>3</v>
      </c>
      <c r="AH52" s="119" t="s">
        <v>4</v>
      </c>
      <c r="AI52" s="119" t="s">
        <v>3</v>
      </c>
      <c r="AJ52" s="119" t="s">
        <v>3</v>
      </c>
      <c r="AK52" s="119" t="s">
        <v>4</v>
      </c>
      <c r="AL52" s="119" t="s">
        <v>4</v>
      </c>
      <c r="AM52" s="119" t="s">
        <v>3</v>
      </c>
      <c r="AS52" s="119" t="s">
        <v>80</v>
      </c>
      <c r="AT52" s="119">
        <f>COUNTIFS(G:G,"D",C:C,1)/COUNTIF(C:C,1)</f>
        <v>0.61538461538461542</v>
      </c>
      <c r="AU52" s="119">
        <f>COUNTIFS(G:G,"D",C:C,2)/COUNTIF(C:C,2)</f>
        <v>0.53846153846153844</v>
      </c>
      <c r="AV52" s="119">
        <f>COUNTIFS(G:G,"D",C:C,3)/COUNTIF(C:C,3)</f>
        <v>0.69230769230769229</v>
      </c>
      <c r="AW52" s="119">
        <f>COUNTIFS(G:G,"D",C:C,4)/COUNTIF(C:C,4)</f>
        <v>0.61538461538461542</v>
      </c>
      <c r="AX52" s="119">
        <f>COUNTIFS(G:G,"D",C:C,5)/COUNTIF(C:C,5)</f>
        <v>1</v>
      </c>
      <c r="AY52" s="119">
        <f>COUNTIFS(G:G,"D",C:C,6)/COUNTIF(C:C,6)</f>
        <v>0.92307692307692313</v>
      </c>
      <c r="AZ52" s="118"/>
      <c r="BA52" s="144"/>
      <c r="BB52" s="144"/>
      <c r="BC52" s="144"/>
      <c r="BD52" s="144"/>
      <c r="BE52" s="144"/>
      <c r="BF52" s="144"/>
      <c r="BG52" s="144"/>
      <c r="BI52" s="132"/>
    </row>
    <row r="53" spans="1:98" x14ac:dyDescent="0.3">
      <c r="A53" s="119">
        <f t="shared" si="1"/>
        <v>52</v>
      </c>
      <c r="B53" s="119" t="s">
        <v>487</v>
      </c>
      <c r="C53" s="119">
        <v>4</v>
      </c>
      <c r="D53" s="119" t="s">
        <v>5</v>
      </c>
      <c r="E53" s="119" t="s">
        <v>5</v>
      </c>
      <c r="F53" s="119" t="s">
        <v>4</v>
      </c>
      <c r="G53" s="119" t="s">
        <v>5</v>
      </c>
      <c r="H53" s="119" t="s">
        <v>5</v>
      </c>
      <c r="I53" s="119" t="s">
        <v>5</v>
      </c>
      <c r="J53" s="119" t="s">
        <v>5</v>
      </c>
      <c r="K53" s="119" t="s">
        <v>2</v>
      </c>
      <c r="L53" s="119" t="s">
        <v>2</v>
      </c>
      <c r="M53" s="119" t="s">
        <v>4</v>
      </c>
      <c r="N53" s="119" t="s">
        <v>4</v>
      </c>
      <c r="O53" s="119" t="s">
        <v>4</v>
      </c>
      <c r="P53" s="119" t="s">
        <v>5</v>
      </c>
      <c r="Q53" s="119" t="s">
        <v>4</v>
      </c>
      <c r="R53" s="119" t="s">
        <v>5</v>
      </c>
      <c r="S53" s="119" t="s">
        <v>5</v>
      </c>
      <c r="T53" s="119" t="s">
        <v>3</v>
      </c>
      <c r="U53" s="119" t="s">
        <v>5</v>
      </c>
      <c r="V53" s="119" t="s">
        <v>3</v>
      </c>
      <c r="W53" s="119" t="s">
        <v>4</v>
      </c>
      <c r="X53" s="119" t="s">
        <v>4</v>
      </c>
      <c r="Y53" s="119" t="s">
        <v>2</v>
      </c>
      <c r="Z53" s="119" t="s">
        <v>3</v>
      </c>
      <c r="AA53" s="119" t="s">
        <v>4</v>
      </c>
      <c r="AB53" s="119" t="s">
        <v>4</v>
      </c>
      <c r="AC53" s="119" t="s">
        <v>4</v>
      </c>
      <c r="AD53" s="119" t="s">
        <v>4</v>
      </c>
      <c r="AE53" s="119" t="s">
        <v>4</v>
      </c>
      <c r="AF53" s="119" t="s">
        <v>3</v>
      </c>
      <c r="AG53" s="119" t="s">
        <v>3</v>
      </c>
      <c r="AH53" s="119" t="s">
        <v>4</v>
      </c>
      <c r="AI53" s="119" t="s">
        <v>3</v>
      </c>
      <c r="AJ53" s="119" t="s">
        <v>4</v>
      </c>
      <c r="AK53" s="119" t="s">
        <v>4</v>
      </c>
      <c r="AL53" s="119" t="s">
        <v>4</v>
      </c>
      <c r="AM53" s="119" t="s">
        <v>3</v>
      </c>
      <c r="AZ53" s="118"/>
      <c r="BA53" s="144"/>
      <c r="BB53" s="144"/>
      <c r="BC53" s="144"/>
      <c r="BD53" s="144"/>
      <c r="BE53" s="144"/>
      <c r="BF53" s="144"/>
      <c r="BG53" s="144"/>
    </row>
    <row r="54" spans="1:98" x14ac:dyDescent="0.3">
      <c r="A54" s="119">
        <f t="shared" si="1"/>
        <v>53</v>
      </c>
      <c r="B54" s="119" t="s">
        <v>29</v>
      </c>
      <c r="C54" s="119">
        <v>5</v>
      </c>
      <c r="D54" s="119" t="s">
        <v>5</v>
      </c>
      <c r="E54" s="119" t="s">
        <v>3</v>
      </c>
      <c r="F54" s="119" t="s">
        <v>5</v>
      </c>
      <c r="G54" s="119" t="s">
        <v>5</v>
      </c>
      <c r="H54" s="119" t="s">
        <v>5</v>
      </c>
      <c r="I54" s="119" t="s">
        <v>5</v>
      </c>
      <c r="J54" s="119" t="s">
        <v>5</v>
      </c>
      <c r="K54" s="119" t="s">
        <v>2</v>
      </c>
      <c r="L54" s="119" t="s">
        <v>2</v>
      </c>
      <c r="M54" s="119" t="s">
        <v>4</v>
      </c>
      <c r="N54" s="119" t="s">
        <v>4</v>
      </c>
      <c r="O54" s="119" t="s">
        <v>3</v>
      </c>
      <c r="P54" s="119" t="s">
        <v>5</v>
      </c>
      <c r="Q54" s="119" t="s">
        <v>2</v>
      </c>
      <c r="R54" s="119" t="s">
        <v>5</v>
      </c>
      <c r="S54" s="119" t="s">
        <v>2</v>
      </c>
      <c r="T54" s="119" t="s">
        <v>2</v>
      </c>
      <c r="U54" s="119" t="s">
        <v>5</v>
      </c>
      <c r="V54" s="119" t="s">
        <v>4</v>
      </c>
      <c r="W54" s="119" t="s">
        <v>3</v>
      </c>
      <c r="X54" s="119" t="s">
        <v>3</v>
      </c>
      <c r="Y54" s="119" t="s">
        <v>4</v>
      </c>
      <c r="Z54" s="119" t="s">
        <v>3</v>
      </c>
      <c r="AA54" s="119" t="s">
        <v>4</v>
      </c>
      <c r="AB54" s="119" t="s">
        <v>4</v>
      </c>
      <c r="AC54" s="119" t="s">
        <v>4</v>
      </c>
      <c r="AD54" s="119" t="s">
        <v>4</v>
      </c>
      <c r="AE54" s="119" t="s">
        <v>4</v>
      </c>
      <c r="AF54" s="119" t="s">
        <v>4</v>
      </c>
      <c r="AG54" s="119" t="s">
        <v>3</v>
      </c>
      <c r="AH54" s="119" t="s">
        <v>4</v>
      </c>
      <c r="AI54" s="119" t="s">
        <v>3</v>
      </c>
      <c r="AJ54" s="119" t="s">
        <v>4</v>
      </c>
      <c r="AK54" s="119" t="s">
        <v>4</v>
      </c>
      <c r="AL54" s="119" t="s">
        <v>4</v>
      </c>
      <c r="AM54" s="119" t="s">
        <v>3</v>
      </c>
      <c r="AS54" s="119" t="s">
        <v>236</v>
      </c>
      <c r="AT54" s="119">
        <v>1</v>
      </c>
      <c r="AU54" s="119">
        <v>2</v>
      </c>
      <c r="AV54" s="119">
        <v>3</v>
      </c>
      <c r="AW54" s="119">
        <v>4</v>
      </c>
      <c r="AX54" s="119">
        <v>5</v>
      </c>
      <c r="AY54" s="119">
        <v>6</v>
      </c>
      <c r="AZ54" s="118"/>
      <c r="BA54" s="144"/>
      <c r="BB54" s="144"/>
      <c r="BC54" s="144"/>
      <c r="BD54" s="144"/>
      <c r="BE54" s="144"/>
      <c r="BF54" s="144"/>
      <c r="BG54" s="144"/>
      <c r="BI54" s="132"/>
    </row>
    <row r="55" spans="1:98" x14ac:dyDescent="0.3">
      <c r="A55" s="119">
        <f t="shared" si="1"/>
        <v>54</v>
      </c>
      <c r="B55" s="119" t="s">
        <v>30</v>
      </c>
      <c r="C55" s="119">
        <v>5</v>
      </c>
      <c r="D55" s="119" t="s">
        <v>2</v>
      </c>
      <c r="E55" s="119" t="s">
        <v>5</v>
      </c>
      <c r="F55" s="119" t="s">
        <v>3</v>
      </c>
      <c r="G55" s="119" t="s">
        <v>5</v>
      </c>
      <c r="H55" s="119" t="s">
        <v>5</v>
      </c>
      <c r="I55" s="119" t="s">
        <v>3</v>
      </c>
      <c r="J55" s="119" t="s">
        <v>5</v>
      </c>
      <c r="K55" s="119" t="s">
        <v>2</v>
      </c>
      <c r="L55" s="119" t="s">
        <v>2</v>
      </c>
      <c r="M55" s="119" t="s">
        <v>5</v>
      </c>
      <c r="N55" s="119" t="s">
        <v>2</v>
      </c>
      <c r="O55" s="119" t="s">
        <v>2</v>
      </c>
      <c r="P55" s="119" t="s">
        <v>4</v>
      </c>
      <c r="Q55" s="119" t="s">
        <v>3</v>
      </c>
      <c r="R55" s="119" t="s">
        <v>2</v>
      </c>
      <c r="S55" s="119" t="s">
        <v>5</v>
      </c>
      <c r="T55" s="119" t="s">
        <v>5</v>
      </c>
      <c r="U55" s="119" t="s">
        <v>5</v>
      </c>
      <c r="V55" s="119" t="s">
        <v>3</v>
      </c>
      <c r="W55" s="119" t="s">
        <v>3</v>
      </c>
      <c r="X55" s="119" t="s">
        <v>3</v>
      </c>
      <c r="Y55" s="119" t="s">
        <v>4</v>
      </c>
      <c r="Z55" s="119" t="s">
        <v>3</v>
      </c>
      <c r="AA55" s="119" t="s">
        <v>4</v>
      </c>
      <c r="AB55" s="119" t="s">
        <v>4</v>
      </c>
      <c r="AC55" s="119" t="s">
        <v>4</v>
      </c>
      <c r="AD55" s="119" t="s">
        <v>4</v>
      </c>
      <c r="AE55" s="119" t="s">
        <v>4</v>
      </c>
      <c r="AF55" s="119" t="s">
        <v>3</v>
      </c>
      <c r="AG55" s="119" t="s">
        <v>4</v>
      </c>
      <c r="AH55" s="119" t="s">
        <v>4</v>
      </c>
      <c r="AI55" s="119" t="s">
        <v>3</v>
      </c>
      <c r="AJ55" s="119" t="s">
        <v>4</v>
      </c>
      <c r="AK55" s="119" t="s">
        <v>4</v>
      </c>
      <c r="AL55" s="119" t="s">
        <v>4</v>
      </c>
      <c r="AM55" s="119" t="s">
        <v>3</v>
      </c>
      <c r="AS55" s="119" t="s">
        <v>81</v>
      </c>
      <c r="AT55" s="119">
        <f>COUNTIFS(H:H,"A",C:C,1)/COUNTIF(C:C,1)</f>
        <v>0</v>
      </c>
      <c r="AU55" s="119">
        <f>COUNTIFS(H:H,"A",C:C,2)/COUNTIF(C:C,2)</f>
        <v>0</v>
      </c>
      <c r="AV55" s="119">
        <f>COUNTIFS(H:H,"A",C:C,3)/COUNTIF(C:C,3)</f>
        <v>0</v>
      </c>
      <c r="AW55" s="119">
        <f>COUNTIFS(H:H,"A",C:C,4)/COUNTIF(C:C,4)</f>
        <v>0</v>
      </c>
      <c r="AX55" s="119">
        <f>COUNTIFS(H:H,"A",C:C,5)/COUNTIF(C:C,5)</f>
        <v>0</v>
      </c>
      <c r="AY55" s="119">
        <f>COUNTIFS(H:H,"A",C:C,6)/COUNTIF(C:C,6)</f>
        <v>0</v>
      </c>
      <c r="AZ55" s="118"/>
      <c r="BA55" s="144"/>
      <c r="BB55" s="144"/>
      <c r="BC55" s="144"/>
      <c r="BD55" s="144"/>
      <c r="BE55" s="144"/>
      <c r="BF55" s="144"/>
      <c r="BG55" s="144"/>
    </row>
    <row r="56" spans="1:98" x14ac:dyDescent="0.3">
      <c r="A56" s="119">
        <f t="shared" si="1"/>
        <v>55</v>
      </c>
      <c r="B56" s="119" t="s">
        <v>31</v>
      </c>
      <c r="C56" s="119">
        <v>5</v>
      </c>
      <c r="D56" s="119" t="s">
        <v>4</v>
      </c>
      <c r="E56" s="119" t="s">
        <v>5</v>
      </c>
      <c r="F56" s="119" t="s">
        <v>2</v>
      </c>
      <c r="G56" s="119" t="s">
        <v>5</v>
      </c>
      <c r="H56" s="119" t="s">
        <v>5</v>
      </c>
      <c r="I56" s="119" t="s">
        <v>5</v>
      </c>
      <c r="J56" s="119" t="s">
        <v>2</v>
      </c>
      <c r="K56" s="119" t="s">
        <v>2</v>
      </c>
      <c r="L56" s="119" t="s">
        <v>2</v>
      </c>
      <c r="M56" s="119" t="s">
        <v>4</v>
      </c>
      <c r="N56" s="119" t="s">
        <v>4</v>
      </c>
      <c r="O56" s="119" t="s">
        <v>4</v>
      </c>
      <c r="P56" s="119" t="s">
        <v>5</v>
      </c>
      <c r="Q56" s="119" t="s">
        <v>4</v>
      </c>
      <c r="R56" s="119" t="s">
        <v>5</v>
      </c>
      <c r="S56" s="119" t="s">
        <v>5</v>
      </c>
      <c r="T56" s="119" t="s">
        <v>5</v>
      </c>
      <c r="U56" s="119" t="s">
        <v>5</v>
      </c>
      <c r="V56" s="119" t="s">
        <v>5</v>
      </c>
      <c r="W56" s="119" t="s">
        <v>4</v>
      </c>
      <c r="X56" s="119" t="s">
        <v>3</v>
      </c>
      <c r="Y56" s="119" t="s">
        <v>3</v>
      </c>
      <c r="Z56" s="119" t="s">
        <v>3</v>
      </c>
      <c r="AA56" s="119" t="s">
        <v>4</v>
      </c>
      <c r="AB56" s="119" t="s">
        <v>4</v>
      </c>
      <c r="AC56" s="119" t="s">
        <v>4</v>
      </c>
      <c r="AD56" s="119" t="s">
        <v>4</v>
      </c>
      <c r="AE56" s="119" t="s">
        <v>4</v>
      </c>
      <c r="AF56" s="119" t="s">
        <v>4</v>
      </c>
      <c r="AG56" s="119" t="s">
        <v>3</v>
      </c>
      <c r="AH56" s="119" t="s">
        <v>4</v>
      </c>
      <c r="AI56" s="119" t="s">
        <v>3</v>
      </c>
      <c r="AJ56" s="119" t="s">
        <v>4</v>
      </c>
      <c r="AK56" s="119" t="s">
        <v>4</v>
      </c>
      <c r="AL56" s="119" t="s">
        <v>4</v>
      </c>
      <c r="AM56" s="119" t="s">
        <v>3</v>
      </c>
      <c r="AS56" s="119" t="s">
        <v>82</v>
      </c>
      <c r="AT56" s="119">
        <f>COUNTIFS(H:H,"B",C:C,1)/COUNTIF(C:C,1)</f>
        <v>0</v>
      </c>
      <c r="AU56" s="119">
        <f>COUNTIFS(H:H,"B",C:C,2)/COUNTIF(C:C,2)</f>
        <v>0</v>
      </c>
      <c r="AV56" s="119">
        <f>COUNTIFS(H:H,"B",C:C,3)/COUNTIF(C:C,3)</f>
        <v>0</v>
      </c>
      <c r="AW56" s="119">
        <f>COUNTIFS(H:H,"B",C:C,4)/COUNTIF(C:C,4)</f>
        <v>0</v>
      </c>
      <c r="AX56" s="119">
        <f>COUNTIFS(H:H,"B",C:C,5)/COUNTIF(C:C,5)</f>
        <v>0</v>
      </c>
      <c r="AY56" s="119">
        <f>COUNTIFS(H:H,"B",C:C,6)/COUNTIF(C:C,6)</f>
        <v>0</v>
      </c>
      <c r="AZ56" s="118"/>
      <c r="BA56" s="144"/>
      <c r="BB56" s="144"/>
      <c r="BC56" s="144"/>
      <c r="BD56" s="144"/>
      <c r="BE56" s="144"/>
      <c r="BF56" s="145"/>
      <c r="BG56" s="144"/>
      <c r="BI56" s="132"/>
    </row>
    <row r="57" spans="1:98" x14ac:dyDescent="0.3">
      <c r="A57" s="119">
        <f t="shared" si="1"/>
        <v>56</v>
      </c>
      <c r="B57" s="119" t="s">
        <v>32</v>
      </c>
      <c r="C57" s="119">
        <v>5</v>
      </c>
      <c r="D57" s="119" t="s">
        <v>5</v>
      </c>
      <c r="E57" s="119" t="s">
        <v>3</v>
      </c>
      <c r="F57" s="119" t="s">
        <v>3</v>
      </c>
      <c r="G57" s="119" t="s">
        <v>5</v>
      </c>
      <c r="H57" s="119" t="s">
        <v>5</v>
      </c>
      <c r="I57" s="119" t="s">
        <v>5</v>
      </c>
      <c r="J57" s="119" t="s">
        <v>5</v>
      </c>
      <c r="K57" s="119" t="s">
        <v>2</v>
      </c>
      <c r="L57" s="119" t="s">
        <v>4</v>
      </c>
      <c r="M57" s="119" t="s">
        <v>4</v>
      </c>
      <c r="N57" s="119" t="s">
        <v>4</v>
      </c>
      <c r="O57" s="119" t="s">
        <v>5</v>
      </c>
      <c r="P57" s="119" t="s">
        <v>2</v>
      </c>
      <c r="Q57" s="119" t="s">
        <v>4</v>
      </c>
      <c r="R57" s="119" t="s">
        <v>5</v>
      </c>
      <c r="S57" s="119" t="s">
        <v>5</v>
      </c>
      <c r="T57" s="119" t="s">
        <v>3</v>
      </c>
      <c r="U57" s="119" t="s">
        <v>3</v>
      </c>
      <c r="V57" s="119" t="s">
        <v>3</v>
      </c>
      <c r="W57" s="119" t="s">
        <v>4</v>
      </c>
      <c r="X57" s="119" t="s">
        <v>3</v>
      </c>
      <c r="Y57" s="119" t="s">
        <v>2</v>
      </c>
      <c r="Z57" s="119" t="s">
        <v>3</v>
      </c>
      <c r="AA57" s="119" t="s">
        <v>4</v>
      </c>
      <c r="AB57" s="119" t="s">
        <v>4</v>
      </c>
      <c r="AC57" s="119" t="s">
        <v>4</v>
      </c>
      <c r="AD57" s="119" t="s">
        <v>4</v>
      </c>
      <c r="AE57" s="119" t="s">
        <v>4</v>
      </c>
      <c r="AF57" s="119" t="s">
        <v>4</v>
      </c>
      <c r="AG57" s="119" t="s">
        <v>3</v>
      </c>
      <c r="AH57" s="119" t="s">
        <v>4</v>
      </c>
      <c r="AI57" s="119" t="s">
        <v>3</v>
      </c>
      <c r="AJ57" s="119" t="s">
        <v>4</v>
      </c>
      <c r="AK57" s="119" t="s">
        <v>4</v>
      </c>
      <c r="AL57" s="119" t="s">
        <v>4</v>
      </c>
      <c r="AM57" s="119" t="s">
        <v>3</v>
      </c>
      <c r="AS57" s="119" t="s">
        <v>83</v>
      </c>
      <c r="AT57" s="119">
        <f>COUNTIFS(H:H,"C",C:C,1)/COUNTIF(C:C,1)</f>
        <v>0</v>
      </c>
      <c r="AU57" s="119">
        <f>COUNTIFS(H:H,"C",C:C,2)/COUNTIF(C:C,2)</f>
        <v>0</v>
      </c>
      <c r="AV57" s="119">
        <f>COUNTIFS(H:H,"C",C:C,3)/COUNTIF(C:C,3)</f>
        <v>0</v>
      </c>
      <c r="AW57" s="119">
        <f>COUNTIFS(H:H,"C",C:C,4)/COUNTIF(C:C,4)</f>
        <v>0</v>
      </c>
      <c r="AX57" s="119">
        <f>COUNTIFS(H:H,"C",C:C,5)/COUNTIF(C:C,5)</f>
        <v>0</v>
      </c>
      <c r="AY57" s="119">
        <f>COUNTIFS(H:H,"C",C:C,6)/COUNTIF(C:C,6)</f>
        <v>0</v>
      </c>
      <c r="AZ57" s="118"/>
      <c r="BA57" s="143"/>
      <c r="BB57" s="143"/>
      <c r="BC57" s="143"/>
      <c r="BD57" s="143"/>
      <c r="BE57" s="143"/>
      <c r="BF57" s="143"/>
      <c r="BG57" s="143"/>
    </row>
    <row r="58" spans="1:98" x14ac:dyDescent="0.3">
      <c r="A58" s="119">
        <f t="shared" si="1"/>
        <v>57</v>
      </c>
      <c r="B58" s="119" t="s">
        <v>33</v>
      </c>
      <c r="C58" s="119">
        <v>5</v>
      </c>
      <c r="D58" s="119" t="s">
        <v>5</v>
      </c>
      <c r="E58" s="119" t="s">
        <v>3</v>
      </c>
      <c r="F58" s="119" t="s">
        <v>4</v>
      </c>
      <c r="G58" s="119" t="s">
        <v>5</v>
      </c>
      <c r="H58" s="119" t="s">
        <v>5</v>
      </c>
      <c r="I58" s="119" t="s">
        <v>3</v>
      </c>
      <c r="J58" s="119" t="s">
        <v>5</v>
      </c>
      <c r="K58" s="119" t="s">
        <v>2</v>
      </c>
      <c r="L58" s="119" t="s">
        <v>3</v>
      </c>
      <c r="M58" s="119" t="s">
        <v>2</v>
      </c>
      <c r="N58" s="119" t="s">
        <v>2</v>
      </c>
      <c r="O58" s="119" t="s">
        <v>5</v>
      </c>
      <c r="P58" s="119" t="s">
        <v>5</v>
      </c>
      <c r="Q58" s="119" t="s">
        <v>2</v>
      </c>
      <c r="R58" s="119" t="s">
        <v>5</v>
      </c>
      <c r="S58" s="119" t="s">
        <v>5</v>
      </c>
      <c r="T58" s="119" t="s">
        <v>3</v>
      </c>
      <c r="U58" s="119" t="s">
        <v>5</v>
      </c>
      <c r="V58" s="119" t="s">
        <v>2</v>
      </c>
      <c r="W58" s="119" t="s">
        <v>4</v>
      </c>
      <c r="X58" s="119" t="s">
        <v>4</v>
      </c>
      <c r="Y58" s="119" t="s">
        <v>2</v>
      </c>
      <c r="Z58" s="119" t="s">
        <v>3</v>
      </c>
      <c r="AA58" s="119" t="s">
        <v>4</v>
      </c>
      <c r="AB58" s="119" t="s">
        <v>4</v>
      </c>
      <c r="AC58" s="119" t="s">
        <v>4</v>
      </c>
      <c r="AD58" s="119" t="s">
        <v>4</v>
      </c>
      <c r="AE58" s="119" t="s">
        <v>4</v>
      </c>
      <c r="AF58" s="119" t="s">
        <v>4</v>
      </c>
      <c r="AG58" s="119" t="s">
        <v>3</v>
      </c>
      <c r="AH58" s="119" t="s">
        <v>4</v>
      </c>
      <c r="AI58" s="119" t="s">
        <v>3</v>
      </c>
      <c r="AJ58" s="119" t="s">
        <v>4</v>
      </c>
      <c r="AK58" s="119" t="s">
        <v>4</v>
      </c>
      <c r="AL58" s="119" t="s">
        <v>3</v>
      </c>
      <c r="AM58" s="119" t="s">
        <v>3</v>
      </c>
      <c r="AS58" s="119" t="s">
        <v>84</v>
      </c>
      <c r="AT58" s="119">
        <f>COUNTIFS(H:H,"D",C:C,1)/COUNTIF(C:C,1)</f>
        <v>1</v>
      </c>
      <c r="AU58" s="119">
        <f>COUNTIFS(H:H,"D",C:C,2)/COUNTIF(C:C,2)</f>
        <v>1</v>
      </c>
      <c r="AV58" s="119">
        <f>COUNTIFS(H:H,"D",C:C,3)/COUNTIF(C:C,3)</f>
        <v>1</v>
      </c>
      <c r="AW58" s="119">
        <f>COUNTIFS(H:H,"D",C:C,4)/COUNTIF(C:C,4)</f>
        <v>1</v>
      </c>
      <c r="AX58" s="119">
        <f>COUNTIFS(H:H,"D",C:C,5)/COUNTIF(C:C,5)</f>
        <v>1</v>
      </c>
      <c r="AY58" s="119">
        <f>COUNTIFS(H:H,"D",C:C,6)/COUNTIF(C:C,6)</f>
        <v>1</v>
      </c>
      <c r="AZ58" s="118"/>
      <c r="BA58" s="143"/>
      <c r="BB58" s="143"/>
      <c r="BC58" s="143"/>
      <c r="BD58" s="143"/>
      <c r="BE58" s="143"/>
      <c r="BF58" s="143"/>
      <c r="BG58" s="143"/>
      <c r="BI58" s="132"/>
    </row>
    <row r="59" spans="1:98" x14ac:dyDescent="0.3">
      <c r="A59" s="119">
        <f t="shared" si="1"/>
        <v>58</v>
      </c>
      <c r="B59" s="119" t="s">
        <v>34</v>
      </c>
      <c r="C59" s="119">
        <v>5</v>
      </c>
      <c r="D59" s="119" t="s">
        <v>5</v>
      </c>
      <c r="E59" s="119" t="s">
        <v>5</v>
      </c>
      <c r="F59" s="119" t="s">
        <v>3</v>
      </c>
      <c r="G59" s="119" t="s">
        <v>5</v>
      </c>
      <c r="H59" s="119" t="s">
        <v>5</v>
      </c>
      <c r="I59" s="119" t="s">
        <v>3</v>
      </c>
      <c r="J59" s="119" t="s">
        <v>5</v>
      </c>
      <c r="K59" s="119" t="s">
        <v>2</v>
      </c>
      <c r="L59" s="119" t="s">
        <v>4</v>
      </c>
      <c r="M59" s="119" t="s">
        <v>4</v>
      </c>
      <c r="N59" s="119" t="s">
        <v>4</v>
      </c>
      <c r="O59" s="119" t="s">
        <v>5</v>
      </c>
      <c r="P59" s="119" t="s">
        <v>2</v>
      </c>
      <c r="Q59" s="119" t="s">
        <v>4</v>
      </c>
      <c r="R59" s="119" t="s">
        <v>5</v>
      </c>
      <c r="S59" s="119" t="s">
        <v>5</v>
      </c>
      <c r="T59" s="119" t="s">
        <v>2</v>
      </c>
      <c r="U59" s="119" t="s">
        <v>5</v>
      </c>
      <c r="V59" s="119" t="s">
        <v>5</v>
      </c>
      <c r="W59" s="119" t="s">
        <v>3</v>
      </c>
      <c r="X59" s="119" t="s">
        <v>3</v>
      </c>
      <c r="Y59" s="119" t="s">
        <v>4</v>
      </c>
      <c r="Z59" s="119" t="s">
        <v>3</v>
      </c>
      <c r="AA59" s="119" t="s">
        <v>4</v>
      </c>
      <c r="AB59" s="119" t="s">
        <v>4</v>
      </c>
      <c r="AC59" s="119" t="s">
        <v>4</v>
      </c>
      <c r="AD59" s="119" t="s">
        <v>4</v>
      </c>
      <c r="AE59" s="119" t="s">
        <v>4</v>
      </c>
      <c r="AF59" s="119" t="s">
        <v>4</v>
      </c>
      <c r="AG59" s="119" t="s">
        <v>4</v>
      </c>
      <c r="AH59" s="119" t="s">
        <v>4</v>
      </c>
      <c r="AI59" s="119" t="s">
        <v>3</v>
      </c>
      <c r="AJ59" s="119" t="s">
        <v>4</v>
      </c>
      <c r="AK59" s="119" t="s">
        <v>4</v>
      </c>
      <c r="AL59" s="119" t="s">
        <v>3</v>
      </c>
      <c r="AM59" s="119" t="s">
        <v>3</v>
      </c>
      <c r="AZ59" s="118"/>
      <c r="BA59" s="143"/>
      <c r="BB59" s="143"/>
      <c r="BC59" s="143"/>
      <c r="BD59" s="143"/>
      <c r="BE59" s="143"/>
      <c r="BF59" s="143"/>
      <c r="BG59" s="143"/>
    </row>
    <row r="60" spans="1:98" x14ac:dyDescent="0.3">
      <c r="A60" s="119">
        <f t="shared" si="1"/>
        <v>59</v>
      </c>
      <c r="B60" s="119" t="s">
        <v>271</v>
      </c>
      <c r="C60" s="119">
        <v>5</v>
      </c>
      <c r="D60" s="119" t="s">
        <v>5</v>
      </c>
      <c r="E60" s="119" t="s">
        <v>3</v>
      </c>
      <c r="F60" s="119" t="s">
        <v>2</v>
      </c>
      <c r="G60" s="119" t="s">
        <v>5</v>
      </c>
      <c r="H60" s="119" t="s">
        <v>5</v>
      </c>
      <c r="I60" s="119" t="s">
        <v>5</v>
      </c>
      <c r="J60" s="119" t="s">
        <v>5</v>
      </c>
      <c r="K60" s="119" t="s">
        <v>2</v>
      </c>
      <c r="L60" s="119" t="s">
        <v>2</v>
      </c>
      <c r="M60" s="119" t="s">
        <v>2</v>
      </c>
      <c r="N60" s="119" t="s">
        <v>3</v>
      </c>
      <c r="O60" s="119" t="s">
        <v>2</v>
      </c>
      <c r="P60" s="119" t="s">
        <v>5</v>
      </c>
      <c r="Q60" s="119" t="s">
        <v>2</v>
      </c>
      <c r="R60" s="119" t="s">
        <v>2</v>
      </c>
      <c r="S60" s="119" t="s">
        <v>5</v>
      </c>
      <c r="T60" s="119" t="s">
        <v>5</v>
      </c>
      <c r="U60" s="119" t="s">
        <v>5</v>
      </c>
      <c r="V60" s="119" t="s">
        <v>5</v>
      </c>
      <c r="W60" s="119" t="s">
        <v>3</v>
      </c>
      <c r="X60" s="119" t="s">
        <v>3</v>
      </c>
      <c r="Y60" s="119" t="s">
        <v>2</v>
      </c>
      <c r="Z60" s="119" t="s">
        <v>3</v>
      </c>
      <c r="AA60" s="119" t="s">
        <v>4</v>
      </c>
      <c r="AB60" s="119" t="s">
        <v>4</v>
      </c>
      <c r="AC60" s="119" t="s">
        <v>4</v>
      </c>
      <c r="AD60" s="119" t="s">
        <v>4</v>
      </c>
      <c r="AE60" s="119" t="s">
        <v>4</v>
      </c>
      <c r="AF60" s="119" t="s">
        <v>3</v>
      </c>
      <c r="AG60" s="119" t="s">
        <v>3</v>
      </c>
      <c r="AH60" s="119" t="s">
        <v>4</v>
      </c>
      <c r="AI60" s="119" t="s">
        <v>3</v>
      </c>
      <c r="AJ60" s="119" t="s">
        <v>4</v>
      </c>
      <c r="AK60" s="119" t="s">
        <v>4</v>
      </c>
      <c r="AL60" s="119" t="s">
        <v>3</v>
      </c>
      <c r="AM60" s="119" t="s">
        <v>3</v>
      </c>
      <c r="AS60" s="119" t="s">
        <v>237</v>
      </c>
      <c r="AT60" s="119">
        <v>1</v>
      </c>
      <c r="AU60" s="119">
        <v>2</v>
      </c>
      <c r="AV60" s="119">
        <v>3</v>
      </c>
      <c r="AW60" s="119">
        <v>4</v>
      </c>
      <c r="AX60" s="119">
        <v>5</v>
      </c>
      <c r="AY60" s="119">
        <v>6</v>
      </c>
      <c r="AZ60" s="118"/>
      <c r="BA60" s="144"/>
      <c r="BB60" s="144"/>
      <c r="BC60" s="144"/>
      <c r="BD60" s="144"/>
      <c r="BE60" s="144"/>
      <c r="BF60" s="144"/>
      <c r="BG60" s="144"/>
      <c r="BI60" s="132"/>
    </row>
    <row r="61" spans="1:98" x14ac:dyDescent="0.3">
      <c r="A61" s="119">
        <f t="shared" si="1"/>
        <v>60</v>
      </c>
      <c r="B61" s="119" t="s">
        <v>272</v>
      </c>
      <c r="C61" s="119">
        <v>5</v>
      </c>
      <c r="D61" s="119" t="s">
        <v>5</v>
      </c>
      <c r="E61" s="119" t="s">
        <v>5</v>
      </c>
      <c r="F61" s="119" t="s">
        <v>2</v>
      </c>
      <c r="G61" s="119" t="s">
        <v>5</v>
      </c>
      <c r="H61" s="119" t="s">
        <v>5</v>
      </c>
      <c r="I61" s="119" t="s">
        <v>3</v>
      </c>
      <c r="J61" s="119" t="s">
        <v>5</v>
      </c>
      <c r="K61" s="119" t="s">
        <v>2</v>
      </c>
      <c r="L61" s="119" t="s">
        <v>2</v>
      </c>
      <c r="M61" s="119" t="s">
        <v>2</v>
      </c>
      <c r="N61" s="119" t="s">
        <v>2</v>
      </c>
      <c r="O61" s="119" t="s">
        <v>2</v>
      </c>
      <c r="P61" s="119" t="s">
        <v>2</v>
      </c>
      <c r="Q61" s="119" t="s">
        <v>3</v>
      </c>
      <c r="R61" s="119" t="s">
        <v>3</v>
      </c>
      <c r="S61" s="119" t="s">
        <v>5</v>
      </c>
      <c r="T61" s="119" t="s">
        <v>5</v>
      </c>
      <c r="U61" s="119" t="s">
        <v>5</v>
      </c>
      <c r="V61" s="119" t="s">
        <v>5</v>
      </c>
      <c r="W61" s="119" t="s">
        <v>3</v>
      </c>
      <c r="X61" s="119" t="s">
        <v>3</v>
      </c>
      <c r="Y61" s="119" t="s">
        <v>2</v>
      </c>
      <c r="Z61" s="119" t="s">
        <v>3</v>
      </c>
      <c r="AA61" s="119" t="s">
        <v>4</v>
      </c>
      <c r="AB61" s="119" t="s">
        <v>4</v>
      </c>
      <c r="AC61" s="119" t="s">
        <v>4</v>
      </c>
      <c r="AD61" s="119" t="s">
        <v>4</v>
      </c>
      <c r="AE61" s="119" t="s">
        <v>4</v>
      </c>
      <c r="AF61" s="119" t="s">
        <v>3</v>
      </c>
      <c r="AG61" s="119" t="s">
        <v>3</v>
      </c>
      <c r="AH61" s="119" t="s">
        <v>4</v>
      </c>
      <c r="AI61" s="119" t="s">
        <v>3</v>
      </c>
      <c r="AJ61" s="119" t="s">
        <v>3</v>
      </c>
      <c r="AK61" s="119" t="s">
        <v>4</v>
      </c>
      <c r="AL61" s="119" t="s">
        <v>3</v>
      </c>
      <c r="AM61" s="119" t="s">
        <v>3</v>
      </c>
      <c r="AS61" s="119" t="s">
        <v>162</v>
      </c>
      <c r="AT61" s="119">
        <f>COUNTIFS(I:I,"A",C:C,1)/COUNTIF(C:C,1)</f>
        <v>0</v>
      </c>
      <c r="AU61" s="119">
        <f>COUNTIFS(I:I,"A",C:C,2)/COUNTIF(C:C,2)</f>
        <v>0</v>
      </c>
      <c r="AV61" s="119">
        <f>COUNTIFS(I:I,"A",C:C,3)/COUNTIF(C:C,3)</f>
        <v>0</v>
      </c>
      <c r="AW61" s="119">
        <f>COUNTIFS(I:I,"A",C:C,4)/COUNTIF(C:C,4)</f>
        <v>0</v>
      </c>
      <c r="AX61" s="119">
        <f>COUNTIFS(I:I,"A",C:C,5)/COUNTIF(C:C,5)</f>
        <v>0</v>
      </c>
      <c r="AY61" s="119">
        <f>COUNTIFS(I:I,"A",C:C,6)/COUNTIF(C:C,6)</f>
        <v>0</v>
      </c>
      <c r="AZ61" s="118"/>
      <c r="BA61" s="144"/>
      <c r="BB61" s="144"/>
      <c r="BC61" s="144"/>
      <c r="BD61" s="144"/>
      <c r="BE61" s="144"/>
      <c r="BF61" s="144"/>
      <c r="BG61" s="144"/>
    </row>
    <row r="62" spans="1:98" x14ac:dyDescent="0.3">
      <c r="A62" s="119">
        <f t="shared" si="1"/>
        <v>61</v>
      </c>
      <c r="B62" s="119" t="s">
        <v>273</v>
      </c>
      <c r="C62" s="119">
        <v>5</v>
      </c>
      <c r="D62" s="119" t="s">
        <v>5</v>
      </c>
      <c r="E62" s="119" t="s">
        <v>5</v>
      </c>
      <c r="F62" s="119" t="s">
        <v>2</v>
      </c>
      <c r="G62" s="119" t="s">
        <v>5</v>
      </c>
      <c r="H62" s="119" t="s">
        <v>5</v>
      </c>
      <c r="I62" s="119" t="s">
        <v>3</v>
      </c>
      <c r="J62" s="119" t="s">
        <v>5</v>
      </c>
      <c r="K62" s="119" t="s">
        <v>2</v>
      </c>
      <c r="L62" s="119" t="s">
        <v>3</v>
      </c>
      <c r="M62" s="119" t="s">
        <v>5</v>
      </c>
      <c r="N62" s="119" t="s">
        <v>2</v>
      </c>
      <c r="O62" s="119" t="s">
        <v>5</v>
      </c>
      <c r="P62" s="119" t="s">
        <v>5</v>
      </c>
      <c r="Q62" s="119" t="s">
        <v>2</v>
      </c>
      <c r="R62" s="119" t="s">
        <v>2</v>
      </c>
      <c r="S62" s="119" t="s">
        <v>5</v>
      </c>
      <c r="T62" s="119" t="s">
        <v>5</v>
      </c>
      <c r="U62" s="119" t="s">
        <v>5</v>
      </c>
      <c r="V62" s="119" t="s">
        <v>5</v>
      </c>
      <c r="W62" s="119" t="s">
        <v>3</v>
      </c>
      <c r="X62" s="119" t="s">
        <v>3</v>
      </c>
      <c r="Y62" s="119" t="s">
        <v>2</v>
      </c>
      <c r="Z62" s="119" t="s">
        <v>3</v>
      </c>
      <c r="AA62" s="119" t="s">
        <v>4</v>
      </c>
      <c r="AB62" s="119" t="s">
        <v>4</v>
      </c>
      <c r="AC62" s="119" t="s">
        <v>4</v>
      </c>
      <c r="AD62" s="119" t="s">
        <v>4</v>
      </c>
      <c r="AE62" s="119" t="s">
        <v>4</v>
      </c>
      <c r="AF62" s="119" t="s">
        <v>4</v>
      </c>
      <c r="AG62" s="119" t="s">
        <v>3</v>
      </c>
      <c r="AH62" s="119" t="s">
        <v>4</v>
      </c>
      <c r="AI62" s="119" t="s">
        <v>3</v>
      </c>
      <c r="AJ62" s="119" t="s">
        <v>3</v>
      </c>
      <c r="AK62" s="119" t="s">
        <v>4</v>
      </c>
      <c r="AL62" s="119" t="s">
        <v>4</v>
      </c>
      <c r="AM62" s="119" t="s">
        <v>3</v>
      </c>
      <c r="AS62" s="119" t="s">
        <v>163</v>
      </c>
      <c r="AT62" s="119">
        <f>COUNTIFS(I:I,"B",C:C,1)/COUNTIF(C:C,1)</f>
        <v>0.23076923076923078</v>
      </c>
      <c r="AU62" s="119">
        <f>COUNTIFS(I:I,"B",C:C,2)/COUNTIF(C:C,2)</f>
        <v>7.6923076923076927E-2</v>
      </c>
      <c r="AV62" s="119">
        <f>COUNTIFS(I:I,"B",C:C,3)/COUNTIF(C:C,3)</f>
        <v>0</v>
      </c>
      <c r="AW62" s="119">
        <f>COUNTIFS(I:I,"B",C:C,4)/COUNTIF(C:C,4)</f>
        <v>0</v>
      </c>
      <c r="AX62" s="119">
        <f>COUNTIFS(I:I,"B",C:C,5)/COUNTIF(C:C,5)</f>
        <v>0.46153846153846156</v>
      </c>
      <c r="AY62" s="119">
        <f>COUNTIFS(I:I,"B",C:C,6)/COUNTIF(C:C,6)</f>
        <v>0.15384615384615385</v>
      </c>
      <c r="AZ62" s="118"/>
      <c r="BA62" s="144"/>
      <c r="BB62" s="144"/>
      <c r="BC62" s="144"/>
      <c r="BD62" s="144"/>
      <c r="BE62" s="144"/>
      <c r="BF62" s="144"/>
      <c r="BG62" s="144"/>
      <c r="BI62" s="132"/>
    </row>
    <row r="63" spans="1:98" x14ac:dyDescent="0.3">
      <c r="A63" s="119">
        <f t="shared" si="1"/>
        <v>62</v>
      </c>
      <c r="B63" s="119" t="s">
        <v>274</v>
      </c>
      <c r="C63" s="119">
        <v>5</v>
      </c>
      <c r="D63" s="119" t="s">
        <v>5</v>
      </c>
      <c r="E63" s="119" t="s">
        <v>3</v>
      </c>
      <c r="F63" s="119" t="s">
        <v>3</v>
      </c>
      <c r="G63" s="119" t="s">
        <v>5</v>
      </c>
      <c r="H63" s="119" t="s">
        <v>5</v>
      </c>
      <c r="I63" s="119" t="s">
        <v>5</v>
      </c>
      <c r="J63" s="119" t="s">
        <v>5</v>
      </c>
      <c r="K63" s="119" t="s">
        <v>2</v>
      </c>
      <c r="L63" s="119" t="s">
        <v>2</v>
      </c>
      <c r="M63" s="119" t="s">
        <v>5</v>
      </c>
      <c r="N63" s="119" t="s">
        <v>3</v>
      </c>
      <c r="O63" s="119" t="s">
        <v>2</v>
      </c>
      <c r="P63" s="119" t="s">
        <v>5</v>
      </c>
      <c r="Q63" s="119" t="s">
        <v>2</v>
      </c>
      <c r="R63" s="119" t="s">
        <v>3</v>
      </c>
      <c r="S63" s="119" t="s">
        <v>5</v>
      </c>
      <c r="T63" s="119" t="s">
        <v>5</v>
      </c>
      <c r="U63" s="119" t="s">
        <v>5</v>
      </c>
      <c r="V63" s="119" t="s">
        <v>5</v>
      </c>
      <c r="W63" s="119" t="s">
        <v>3</v>
      </c>
      <c r="X63" s="119" t="s">
        <v>3</v>
      </c>
      <c r="Y63" s="119" t="s">
        <v>2</v>
      </c>
      <c r="Z63" s="119" t="s">
        <v>3</v>
      </c>
      <c r="AA63" s="119" t="s">
        <v>4</v>
      </c>
      <c r="AB63" s="119" t="s">
        <v>4</v>
      </c>
      <c r="AC63" s="119" t="s">
        <v>4</v>
      </c>
      <c r="AD63" s="119" t="s">
        <v>4</v>
      </c>
      <c r="AE63" s="119" t="s">
        <v>4</v>
      </c>
      <c r="AF63" s="119" t="s">
        <v>4</v>
      </c>
      <c r="AG63" s="119" t="s">
        <v>3</v>
      </c>
      <c r="AH63" s="119" t="s">
        <v>4</v>
      </c>
      <c r="AI63" s="119" t="s">
        <v>3</v>
      </c>
      <c r="AJ63" s="119" t="s">
        <v>4</v>
      </c>
      <c r="AK63" s="119" t="s">
        <v>4</v>
      </c>
      <c r="AL63" s="119" t="s">
        <v>4</v>
      </c>
      <c r="AM63" s="119" t="s">
        <v>3</v>
      </c>
      <c r="AS63" s="119" t="s">
        <v>164</v>
      </c>
      <c r="AT63" s="119">
        <f>COUNTIFS(I:I,"C",C:C,1)/COUNTIF(C:C,1)</f>
        <v>0</v>
      </c>
      <c r="AU63" s="119">
        <f>COUNTIFS(I:I,"C",C:C,2)/COUNTIF(C:C,2)</f>
        <v>0</v>
      </c>
      <c r="AV63" s="119">
        <f>COUNTIFS(I:I,"C",C:C,3)/COUNTIF(C:C,3)</f>
        <v>0.15384615384615385</v>
      </c>
      <c r="AW63" s="119">
        <f>COUNTIFS(I:I,"C",C:C,4)/COUNTIF(C:C,4)</f>
        <v>0</v>
      </c>
      <c r="AX63" s="119">
        <f>COUNTIFS(I:I,"C",C:C,5)/COUNTIF(C:C,5)</f>
        <v>0</v>
      </c>
      <c r="AY63" s="119">
        <f>COUNTIFS(I:I,"C",C:C,6)/COUNTIF(C:C,6)</f>
        <v>0</v>
      </c>
      <c r="AZ63" s="118"/>
      <c r="BA63" s="144"/>
      <c r="BB63" s="144"/>
      <c r="BC63" s="144"/>
      <c r="BD63" s="144"/>
      <c r="BE63" s="144"/>
      <c r="BF63" s="144"/>
      <c r="BG63" s="144"/>
    </row>
    <row r="64" spans="1:98" x14ac:dyDescent="0.3">
      <c r="A64" s="119">
        <f t="shared" si="1"/>
        <v>63</v>
      </c>
      <c r="B64" s="119" t="s">
        <v>473</v>
      </c>
      <c r="C64" s="119">
        <v>5</v>
      </c>
      <c r="D64" s="119" t="s">
        <v>5</v>
      </c>
      <c r="E64" s="119" t="s">
        <v>3</v>
      </c>
      <c r="F64" s="119" t="s">
        <v>5</v>
      </c>
      <c r="G64" s="119" t="s">
        <v>5</v>
      </c>
      <c r="H64" s="119" t="s">
        <v>5</v>
      </c>
      <c r="I64" s="119" t="s">
        <v>5</v>
      </c>
      <c r="J64" s="119" t="s">
        <v>5</v>
      </c>
      <c r="K64" s="119" t="s">
        <v>2</v>
      </c>
      <c r="L64" s="119" t="s">
        <v>3</v>
      </c>
      <c r="M64" s="119" t="s">
        <v>3</v>
      </c>
      <c r="N64" s="119" t="s">
        <v>5</v>
      </c>
      <c r="O64" s="119" t="s">
        <v>2</v>
      </c>
      <c r="P64" s="119" t="s">
        <v>5</v>
      </c>
      <c r="Q64" s="119" t="s">
        <v>2</v>
      </c>
      <c r="R64" s="119" t="s">
        <v>2</v>
      </c>
      <c r="S64" s="119" t="s">
        <v>5</v>
      </c>
      <c r="T64" s="119" t="s">
        <v>5</v>
      </c>
      <c r="U64" s="119" t="s">
        <v>5</v>
      </c>
      <c r="V64" s="119" t="s">
        <v>3</v>
      </c>
      <c r="W64" s="119" t="s">
        <v>3</v>
      </c>
      <c r="X64" s="119" t="s">
        <v>4</v>
      </c>
      <c r="Y64" s="119" t="s">
        <v>4</v>
      </c>
      <c r="Z64" s="119" t="s">
        <v>3</v>
      </c>
      <c r="AA64" s="119" t="s">
        <v>4</v>
      </c>
      <c r="AB64" s="119" t="s">
        <v>4</v>
      </c>
      <c r="AC64" s="119" t="s">
        <v>4</v>
      </c>
      <c r="AD64" s="119" t="s">
        <v>4</v>
      </c>
      <c r="AE64" s="119" t="s">
        <v>4</v>
      </c>
      <c r="AF64" s="119" t="s">
        <v>3</v>
      </c>
      <c r="AG64" s="119" t="s">
        <v>3</v>
      </c>
      <c r="AH64" s="119" t="s">
        <v>4</v>
      </c>
      <c r="AI64" s="119" t="s">
        <v>3</v>
      </c>
      <c r="AJ64" s="119" t="s">
        <v>4</v>
      </c>
      <c r="AK64" s="119" t="s">
        <v>4</v>
      </c>
      <c r="AL64" s="119" t="s">
        <v>3</v>
      </c>
      <c r="AM64" s="119" t="s">
        <v>3</v>
      </c>
      <c r="AS64" s="119" t="s">
        <v>165</v>
      </c>
      <c r="AT64" s="119">
        <f>COUNTIFS(I:I,"D",C:C,1)/COUNTIF(C:C,1)</f>
        <v>0.76923076923076927</v>
      </c>
      <c r="AU64" s="119">
        <f>COUNTIFS(I:I,"D",C:C,2)/COUNTIF(C:C,2)</f>
        <v>0.92307692307692313</v>
      </c>
      <c r="AV64" s="119">
        <f>COUNTIFS(I:I,"D",C:C,3)/COUNTIF(C:C,3)</f>
        <v>0.84615384615384615</v>
      </c>
      <c r="AW64" s="119">
        <f>COUNTIFS(I:I,"D",C:C,4)/COUNTIF(C:C,4)</f>
        <v>1</v>
      </c>
      <c r="AX64" s="119">
        <f>COUNTIFS(I:I,"D",C:C,5)/COUNTIF(C:C,5)</f>
        <v>0.53846153846153844</v>
      </c>
      <c r="AY64" s="119">
        <f>COUNTIFS(I:I,"D",C:C,6)/COUNTIF(C:C,6)</f>
        <v>0.84615384615384615</v>
      </c>
      <c r="AZ64" s="118"/>
      <c r="BA64" s="144"/>
      <c r="BB64" s="144"/>
      <c r="BC64" s="144"/>
      <c r="BD64" s="144"/>
      <c r="BE64" s="144"/>
      <c r="BF64" s="144"/>
      <c r="BG64" s="144"/>
    </row>
    <row r="65" spans="1:98" x14ac:dyDescent="0.3">
      <c r="A65" s="119">
        <f t="shared" si="1"/>
        <v>64</v>
      </c>
      <c r="B65" s="119" t="s">
        <v>478</v>
      </c>
      <c r="C65" s="119">
        <v>5</v>
      </c>
      <c r="D65" s="119" t="s">
        <v>5</v>
      </c>
      <c r="E65" s="119" t="s">
        <v>5</v>
      </c>
      <c r="F65" s="119" t="s">
        <v>2</v>
      </c>
      <c r="G65" s="119" t="s">
        <v>5</v>
      </c>
      <c r="H65" s="119" t="s">
        <v>5</v>
      </c>
      <c r="I65" s="119" t="s">
        <v>3</v>
      </c>
      <c r="J65" s="119" t="s">
        <v>5</v>
      </c>
      <c r="K65" s="119" t="s">
        <v>2</v>
      </c>
      <c r="L65" s="119" t="s">
        <v>3</v>
      </c>
      <c r="M65" s="119" t="s">
        <v>5</v>
      </c>
      <c r="N65" s="119" t="s">
        <v>2</v>
      </c>
      <c r="O65" s="119" t="s">
        <v>5</v>
      </c>
      <c r="P65" s="119" t="s">
        <v>5</v>
      </c>
      <c r="Q65" s="119" t="s">
        <v>2</v>
      </c>
      <c r="R65" s="119" t="s">
        <v>2</v>
      </c>
      <c r="S65" s="119" t="s">
        <v>5</v>
      </c>
      <c r="T65" s="119" t="s">
        <v>5</v>
      </c>
      <c r="U65" s="119" t="s">
        <v>5</v>
      </c>
      <c r="V65" s="119" t="s">
        <v>5</v>
      </c>
      <c r="W65" s="119" t="s">
        <v>3</v>
      </c>
      <c r="X65" s="119" t="s">
        <v>3</v>
      </c>
      <c r="Y65" s="119" t="s">
        <v>2</v>
      </c>
      <c r="Z65" s="119" t="s">
        <v>3</v>
      </c>
      <c r="AA65" s="119" t="s">
        <v>4</v>
      </c>
      <c r="AB65" s="119" t="s">
        <v>4</v>
      </c>
      <c r="AC65" s="119" t="s">
        <v>4</v>
      </c>
      <c r="AD65" s="119" t="s">
        <v>4</v>
      </c>
      <c r="AE65" s="119" t="s">
        <v>4</v>
      </c>
      <c r="AF65" s="119" t="s">
        <v>4</v>
      </c>
      <c r="AG65" s="119" t="s">
        <v>3</v>
      </c>
      <c r="AH65" s="119" t="s">
        <v>4</v>
      </c>
      <c r="AI65" s="119" t="s">
        <v>3</v>
      </c>
      <c r="AJ65" s="119" t="s">
        <v>4</v>
      </c>
      <c r="AK65" s="119" t="s">
        <v>4</v>
      </c>
      <c r="AL65" s="119" t="s">
        <v>3</v>
      </c>
      <c r="AM65" s="119" t="s">
        <v>3</v>
      </c>
      <c r="AZ65" s="118"/>
      <c r="BA65" s="143"/>
      <c r="BB65" s="143"/>
      <c r="BC65" s="143"/>
      <c r="BD65" s="143"/>
      <c r="BE65" s="143"/>
      <c r="BF65" s="143"/>
      <c r="BG65" s="143"/>
      <c r="BI65" s="125"/>
      <c r="BK65" s="121"/>
      <c r="BL65" s="121"/>
      <c r="BM65" s="121"/>
      <c r="BN65" s="121"/>
      <c r="BO65" s="121"/>
      <c r="BP65" s="121"/>
      <c r="BQ65" s="121"/>
      <c r="BR65" s="121"/>
      <c r="BS65" s="121"/>
      <c r="BT65" s="121"/>
      <c r="BU65" s="121"/>
      <c r="BV65" s="121"/>
      <c r="BW65" s="121"/>
      <c r="BX65" s="121"/>
      <c r="BY65" s="121"/>
      <c r="BZ65" s="121"/>
      <c r="CA65" s="121"/>
      <c r="CB65" s="121"/>
      <c r="CC65" s="121"/>
      <c r="CD65" s="121"/>
      <c r="CE65" s="121"/>
      <c r="CF65" s="121"/>
      <c r="CG65" s="121"/>
      <c r="CH65" s="121"/>
      <c r="CI65" s="121"/>
      <c r="CJ65" s="121"/>
      <c r="CK65" s="121"/>
      <c r="CL65" s="121"/>
      <c r="CM65" s="121"/>
      <c r="CN65" s="121"/>
      <c r="CO65" s="121"/>
      <c r="CP65" s="121"/>
      <c r="CQ65" s="121"/>
      <c r="CR65" s="121"/>
      <c r="CS65" s="121"/>
      <c r="CT65" s="121"/>
    </row>
    <row r="66" spans="1:98" x14ac:dyDescent="0.3">
      <c r="A66" s="119">
        <f t="shared" ref="A66:A79" si="2">ROW()-1</f>
        <v>65</v>
      </c>
      <c r="B66" s="119" t="s">
        <v>494</v>
      </c>
      <c r="C66" s="119">
        <v>5</v>
      </c>
      <c r="D66" s="119" t="s">
        <v>2</v>
      </c>
      <c r="E66" s="119" t="s">
        <v>5</v>
      </c>
      <c r="F66" s="119" t="s">
        <v>2</v>
      </c>
      <c r="G66" s="119" t="s">
        <v>5</v>
      </c>
      <c r="H66" s="119" t="s">
        <v>5</v>
      </c>
      <c r="I66" s="119" t="s">
        <v>5</v>
      </c>
      <c r="J66" s="119" t="s">
        <v>2</v>
      </c>
      <c r="K66" s="119" t="s">
        <v>2</v>
      </c>
      <c r="L66" s="119" t="s">
        <v>2</v>
      </c>
      <c r="M66" s="119" t="s">
        <v>4</v>
      </c>
      <c r="N66" s="119" t="s">
        <v>4</v>
      </c>
      <c r="O66" s="119" t="s">
        <v>4</v>
      </c>
      <c r="P66" s="119" t="s">
        <v>5</v>
      </c>
      <c r="Q66" s="119" t="s">
        <v>4</v>
      </c>
      <c r="R66" s="119" t="s">
        <v>5</v>
      </c>
      <c r="S66" s="119" t="s">
        <v>5</v>
      </c>
      <c r="T66" s="119" t="s">
        <v>5</v>
      </c>
      <c r="U66" s="119" t="s">
        <v>5</v>
      </c>
      <c r="V66" s="119" t="s">
        <v>5</v>
      </c>
      <c r="W66" s="119" t="s">
        <v>4</v>
      </c>
      <c r="X66" s="119" t="s">
        <v>3</v>
      </c>
      <c r="Y66" s="119" t="s">
        <v>3</v>
      </c>
      <c r="Z66" s="119" t="s">
        <v>3</v>
      </c>
      <c r="AA66" s="119" t="s">
        <v>4</v>
      </c>
      <c r="AB66" s="119" t="s">
        <v>4</v>
      </c>
      <c r="AC66" s="119" t="s">
        <v>4</v>
      </c>
      <c r="AD66" s="119" t="s">
        <v>4</v>
      </c>
      <c r="AE66" s="119" t="s">
        <v>3</v>
      </c>
      <c r="AF66" s="119" t="s">
        <v>3</v>
      </c>
      <c r="AG66" s="119" t="s">
        <v>3</v>
      </c>
      <c r="AH66" s="119" t="s">
        <v>4</v>
      </c>
      <c r="AI66" s="119" t="s">
        <v>3</v>
      </c>
      <c r="AJ66" s="119" t="s">
        <v>4</v>
      </c>
      <c r="AK66" s="119" t="s">
        <v>4</v>
      </c>
      <c r="AL66" s="119" t="s">
        <v>4</v>
      </c>
      <c r="AM66" s="119" t="s">
        <v>3</v>
      </c>
      <c r="AS66" s="119" t="s">
        <v>238</v>
      </c>
      <c r="AT66" s="119">
        <v>1</v>
      </c>
      <c r="AU66" s="119">
        <v>2</v>
      </c>
      <c r="AV66" s="119">
        <v>3</v>
      </c>
      <c r="AW66" s="119">
        <v>4</v>
      </c>
      <c r="AX66" s="119">
        <v>5</v>
      </c>
      <c r="AY66" s="119">
        <v>6</v>
      </c>
      <c r="AZ66" s="118"/>
      <c r="BA66" s="144"/>
      <c r="BB66" s="144"/>
      <c r="BC66" s="144"/>
      <c r="BD66" s="144"/>
      <c r="BE66" s="144"/>
      <c r="BF66" s="144"/>
      <c r="BG66" s="144"/>
      <c r="BI66" s="125"/>
    </row>
    <row r="67" spans="1:98" x14ac:dyDescent="0.3">
      <c r="A67" s="119">
        <f t="shared" si="2"/>
        <v>66</v>
      </c>
      <c r="B67" s="119" t="s">
        <v>35</v>
      </c>
      <c r="C67" s="120">
        <v>6</v>
      </c>
      <c r="D67" s="119" t="s">
        <v>5</v>
      </c>
      <c r="E67" s="119" t="s">
        <v>3</v>
      </c>
      <c r="F67" s="119" t="s">
        <v>3</v>
      </c>
      <c r="G67" s="119" t="s">
        <v>5</v>
      </c>
      <c r="H67" s="119" t="s">
        <v>5</v>
      </c>
      <c r="I67" s="119" t="s">
        <v>5</v>
      </c>
      <c r="J67" s="119" t="s">
        <v>5</v>
      </c>
      <c r="K67" s="119" t="s">
        <v>5</v>
      </c>
      <c r="L67" s="119" t="s">
        <v>2</v>
      </c>
      <c r="M67" s="119" t="s">
        <v>3</v>
      </c>
      <c r="N67" s="119" t="s">
        <v>2</v>
      </c>
      <c r="O67" s="119" t="s">
        <v>3</v>
      </c>
      <c r="P67" s="119" t="s">
        <v>2</v>
      </c>
      <c r="Q67" s="119" t="s">
        <v>2</v>
      </c>
      <c r="R67" s="119" t="s">
        <v>3</v>
      </c>
      <c r="S67" s="119" t="s">
        <v>5</v>
      </c>
      <c r="T67" s="119" t="s">
        <v>2</v>
      </c>
      <c r="U67" s="119" t="s">
        <v>5</v>
      </c>
      <c r="V67" s="119" t="s">
        <v>3</v>
      </c>
      <c r="W67" s="119" t="s">
        <v>3</v>
      </c>
      <c r="X67" s="119" t="s">
        <v>3</v>
      </c>
      <c r="Y67" s="119" t="s">
        <v>2</v>
      </c>
      <c r="Z67" s="119" t="s">
        <v>3</v>
      </c>
      <c r="AA67" s="119" t="s">
        <v>4</v>
      </c>
      <c r="AB67" s="119" t="s">
        <v>4</v>
      </c>
      <c r="AC67" s="119" t="s">
        <v>3</v>
      </c>
      <c r="AD67" s="119" t="s">
        <v>4</v>
      </c>
      <c r="AE67" s="119" t="s">
        <v>4</v>
      </c>
      <c r="AF67" s="119" t="s">
        <v>3</v>
      </c>
      <c r="AG67" s="119" t="s">
        <v>3</v>
      </c>
      <c r="AH67" s="119" t="s">
        <v>4</v>
      </c>
      <c r="AI67" s="119" t="s">
        <v>3</v>
      </c>
      <c r="AJ67" s="119" t="s">
        <v>4</v>
      </c>
      <c r="AK67" s="119" t="s">
        <v>4</v>
      </c>
      <c r="AL67" s="119" t="s">
        <v>3</v>
      </c>
      <c r="AM67" s="119" t="s">
        <v>3</v>
      </c>
      <c r="AS67" s="119" t="s">
        <v>166</v>
      </c>
      <c r="AT67" s="119">
        <f>COUNTIFS(J:J,"A",C:C,1)/COUNTIF(C:C,1)</f>
        <v>0</v>
      </c>
      <c r="AU67" s="119">
        <f>COUNTIFS(J:J,"A",C:C,2)/COUNTIF(C:C,2)</f>
        <v>0</v>
      </c>
      <c r="AV67" s="119">
        <f>COUNTIFS(J:J,"A",C:C,3)/COUNTIF(C:C,3)</f>
        <v>0</v>
      </c>
      <c r="AW67" s="119">
        <f>COUNTIFS(J:J,"A",C:C,4)/COUNTIF(C:C,4)</f>
        <v>0</v>
      </c>
      <c r="AX67" s="119">
        <f>COUNTIFS(J:J,"A",C:C,5)/COUNTIF(C:C,5)</f>
        <v>0</v>
      </c>
      <c r="AY67" s="119">
        <f>COUNTIFS(J:J,"A",C:C,6)/COUNTIF(C:C,6)</f>
        <v>0</v>
      </c>
      <c r="AZ67" s="118"/>
      <c r="BA67" s="144"/>
      <c r="BB67" s="144"/>
      <c r="BC67" s="144"/>
      <c r="BD67" s="144"/>
      <c r="BE67" s="144"/>
      <c r="BF67" s="144"/>
      <c r="BG67" s="144"/>
    </row>
    <row r="68" spans="1:98" x14ac:dyDescent="0.3">
      <c r="A68" s="119">
        <f t="shared" si="2"/>
        <v>67</v>
      </c>
      <c r="B68" s="119" t="s">
        <v>36</v>
      </c>
      <c r="C68" s="120">
        <v>6</v>
      </c>
      <c r="D68" s="119" t="s">
        <v>5</v>
      </c>
      <c r="E68" s="119" t="s">
        <v>5</v>
      </c>
      <c r="F68" s="119" t="s">
        <v>5</v>
      </c>
      <c r="G68" s="119" t="s">
        <v>5</v>
      </c>
      <c r="H68" s="119" t="s">
        <v>5</v>
      </c>
      <c r="I68" s="119" t="s">
        <v>5</v>
      </c>
      <c r="J68" s="119" t="s">
        <v>5</v>
      </c>
      <c r="K68" s="119" t="s">
        <v>2</v>
      </c>
      <c r="L68" s="119" t="s">
        <v>4</v>
      </c>
      <c r="M68" s="119" t="s">
        <v>4</v>
      </c>
      <c r="N68" s="119" t="s">
        <v>4</v>
      </c>
      <c r="O68" s="119" t="s">
        <v>5</v>
      </c>
      <c r="P68" s="119" t="s">
        <v>5</v>
      </c>
      <c r="Q68" s="119" t="s">
        <v>3</v>
      </c>
      <c r="R68" s="119" t="s">
        <v>5</v>
      </c>
      <c r="S68" s="119" t="s">
        <v>5</v>
      </c>
      <c r="T68" s="119" t="s">
        <v>2</v>
      </c>
      <c r="U68" s="119" t="s">
        <v>5</v>
      </c>
      <c r="V68" s="119" t="s">
        <v>3</v>
      </c>
      <c r="W68" s="119" t="s">
        <v>3</v>
      </c>
      <c r="X68" s="119" t="s">
        <v>3</v>
      </c>
      <c r="Y68" s="119" t="s">
        <v>2</v>
      </c>
      <c r="Z68" s="119" t="s">
        <v>3</v>
      </c>
      <c r="AA68" s="119" t="s">
        <v>4</v>
      </c>
      <c r="AB68" s="119" t="s">
        <v>4</v>
      </c>
      <c r="AC68" s="119" t="s">
        <v>4</v>
      </c>
      <c r="AD68" s="119" t="s">
        <v>4</v>
      </c>
      <c r="AE68" s="119" t="s">
        <v>3</v>
      </c>
      <c r="AF68" s="119" t="s">
        <v>3</v>
      </c>
      <c r="AG68" s="119" t="s">
        <v>3</v>
      </c>
      <c r="AH68" s="119" t="s">
        <v>4</v>
      </c>
      <c r="AI68" s="119" t="s">
        <v>3</v>
      </c>
      <c r="AJ68" s="119" t="s">
        <v>3</v>
      </c>
      <c r="AK68" s="119" t="s">
        <v>3</v>
      </c>
      <c r="AL68" s="119" t="s">
        <v>3</v>
      </c>
      <c r="AM68" s="119" t="s">
        <v>3</v>
      </c>
      <c r="AS68" s="119" t="s">
        <v>167</v>
      </c>
      <c r="AT68" s="119">
        <f>COUNTIFS(J:J,"B",C:C,1)/COUNTIF(C:C,1)</f>
        <v>0</v>
      </c>
      <c r="AU68" s="119">
        <f>COUNTIFS(J:J,"B",C:C,2)/COUNTIF(C:C,2)</f>
        <v>7.6923076923076927E-2</v>
      </c>
      <c r="AV68" s="119">
        <f>COUNTIFS(J:J,"B",C:C,3)/COUNTIF(C:C,3)</f>
        <v>0</v>
      </c>
      <c r="AW68" s="119">
        <f>COUNTIFS(J:J,"B",C:C,4)/COUNTIF(C:C,4)</f>
        <v>0</v>
      </c>
      <c r="AX68" s="119">
        <f>COUNTIFS(J:J,"B",C:C,5)/COUNTIF(C:C,5)</f>
        <v>0</v>
      </c>
      <c r="AY68" s="119">
        <f>COUNTIFS(J:J,"B",C:C,6)/COUNTIF(C:C,6)</f>
        <v>0</v>
      </c>
      <c r="AZ68" s="118"/>
      <c r="BA68" s="144"/>
      <c r="BB68" s="144"/>
      <c r="BC68" s="144"/>
      <c r="BD68" s="144"/>
      <c r="BE68" s="144"/>
      <c r="BF68" s="144"/>
      <c r="BG68" s="144"/>
      <c r="BI68" s="132"/>
    </row>
    <row r="69" spans="1:98" x14ac:dyDescent="0.3">
      <c r="A69" s="119">
        <f t="shared" si="2"/>
        <v>68</v>
      </c>
      <c r="B69" s="119" t="s">
        <v>37</v>
      </c>
      <c r="C69" s="120">
        <v>6</v>
      </c>
      <c r="D69" s="119" t="s">
        <v>5</v>
      </c>
      <c r="E69" s="119" t="s">
        <v>3</v>
      </c>
      <c r="F69" s="119" t="s">
        <v>2</v>
      </c>
      <c r="G69" s="119" t="s">
        <v>5</v>
      </c>
      <c r="H69" s="119" t="s">
        <v>5</v>
      </c>
      <c r="I69" s="119" t="s">
        <v>5</v>
      </c>
      <c r="J69" s="119" t="s">
        <v>5</v>
      </c>
      <c r="K69" s="119" t="s">
        <v>2</v>
      </c>
      <c r="L69" s="119" t="s">
        <v>2</v>
      </c>
      <c r="M69" s="119" t="s">
        <v>4</v>
      </c>
      <c r="N69" s="119" t="s">
        <v>4</v>
      </c>
      <c r="O69" s="119" t="s">
        <v>5</v>
      </c>
      <c r="P69" s="119" t="s">
        <v>5</v>
      </c>
      <c r="Q69" s="119" t="s">
        <v>4</v>
      </c>
      <c r="R69" s="119" t="s">
        <v>5</v>
      </c>
      <c r="S69" s="119" t="s">
        <v>5</v>
      </c>
      <c r="T69" s="119" t="s">
        <v>2</v>
      </c>
      <c r="U69" s="119" t="s">
        <v>5</v>
      </c>
      <c r="V69" s="119" t="s">
        <v>5</v>
      </c>
      <c r="W69" s="119" t="s">
        <v>4</v>
      </c>
      <c r="X69" s="119" t="s">
        <v>3</v>
      </c>
      <c r="Y69" s="119" t="s">
        <v>2</v>
      </c>
      <c r="Z69" s="119" t="s">
        <v>3</v>
      </c>
      <c r="AA69" s="119" t="s">
        <v>3</v>
      </c>
      <c r="AB69" s="119" t="s">
        <v>4</v>
      </c>
      <c r="AC69" s="119" t="s">
        <v>4</v>
      </c>
      <c r="AD69" s="119" t="s">
        <v>4</v>
      </c>
      <c r="AE69" s="119" t="s">
        <v>4</v>
      </c>
      <c r="AF69" s="119" t="s">
        <v>4</v>
      </c>
      <c r="AG69" s="119" t="s">
        <v>3</v>
      </c>
      <c r="AH69" s="119" t="s">
        <v>4</v>
      </c>
      <c r="AI69" s="119" t="s">
        <v>3</v>
      </c>
      <c r="AJ69" s="119" t="s">
        <v>4</v>
      </c>
      <c r="AK69" s="119" t="s">
        <v>4</v>
      </c>
      <c r="AL69" s="119" t="s">
        <v>4</v>
      </c>
      <c r="AM69" s="119" t="s">
        <v>3</v>
      </c>
      <c r="AS69" s="119" t="s">
        <v>168</v>
      </c>
      <c r="AT69" s="119">
        <f>COUNTIFS(J:J,"C",C:C,1)/COUNTIF(C:C,1)</f>
        <v>0.23076923076923078</v>
      </c>
      <c r="AU69" s="119">
        <f>COUNTIFS(J:J,"C",C:C,2)/COUNTIF(C:C,2)</f>
        <v>0.46153846153846156</v>
      </c>
      <c r="AV69" s="119">
        <f>COUNTIFS(J:J,"C",C:C,3)/COUNTIF(C:C,3)</f>
        <v>0.15384615384615385</v>
      </c>
      <c r="AW69" s="119">
        <f>COUNTIFS(J:J,"C",C:C,4)/COUNTIF(C:C,4)</f>
        <v>7.6923076923076927E-2</v>
      </c>
      <c r="AX69" s="119">
        <f>COUNTIFS(J:J,"C",C:C,5)/COUNTIF(C:C,5)</f>
        <v>0.15384615384615385</v>
      </c>
      <c r="AY69" s="119">
        <f>COUNTIFS(J:J,"C",C:C,6)/COUNTIF(C:C,6)</f>
        <v>0.23076923076923078</v>
      </c>
      <c r="AZ69" s="118"/>
      <c r="BA69" s="144"/>
      <c r="BB69" s="144"/>
      <c r="BC69" s="144"/>
      <c r="BD69" s="144"/>
      <c r="BE69" s="144"/>
      <c r="BF69" s="144"/>
      <c r="BG69" s="144"/>
    </row>
    <row r="70" spans="1:98" x14ac:dyDescent="0.3">
      <c r="A70" s="119">
        <f t="shared" si="2"/>
        <v>69</v>
      </c>
      <c r="B70" s="119" t="s">
        <v>38</v>
      </c>
      <c r="C70" s="120">
        <v>6</v>
      </c>
      <c r="D70" s="119" t="s">
        <v>5</v>
      </c>
      <c r="E70" s="119" t="s">
        <v>3</v>
      </c>
      <c r="F70" s="119" t="s">
        <v>5</v>
      </c>
      <c r="G70" s="119" t="s">
        <v>5</v>
      </c>
      <c r="H70" s="119" t="s">
        <v>5</v>
      </c>
      <c r="I70" s="119" t="s">
        <v>5</v>
      </c>
      <c r="J70" s="119" t="s">
        <v>5</v>
      </c>
      <c r="K70" s="119" t="s">
        <v>2</v>
      </c>
      <c r="L70" s="119" t="s">
        <v>2</v>
      </c>
      <c r="M70" s="119" t="s">
        <v>4</v>
      </c>
      <c r="N70" s="119" t="s">
        <v>3</v>
      </c>
      <c r="O70" s="119" t="s">
        <v>5</v>
      </c>
      <c r="P70" s="119" t="s">
        <v>2</v>
      </c>
      <c r="Q70" s="119" t="s">
        <v>3</v>
      </c>
      <c r="R70" s="119" t="s">
        <v>2</v>
      </c>
      <c r="S70" s="119" t="s">
        <v>5</v>
      </c>
      <c r="T70" s="119" t="s">
        <v>5</v>
      </c>
      <c r="U70" s="119" t="s">
        <v>5</v>
      </c>
      <c r="V70" s="119" t="s">
        <v>5</v>
      </c>
      <c r="W70" s="119" t="s">
        <v>2</v>
      </c>
      <c r="X70" s="119" t="s">
        <v>2</v>
      </c>
      <c r="Y70" s="119" t="s">
        <v>2</v>
      </c>
      <c r="Z70" s="119" t="s">
        <v>3</v>
      </c>
      <c r="AA70" s="119" t="s">
        <v>4</v>
      </c>
      <c r="AB70" s="119" t="s">
        <v>4</v>
      </c>
      <c r="AC70" s="119" t="s">
        <v>4</v>
      </c>
      <c r="AD70" s="119" t="s">
        <v>4</v>
      </c>
      <c r="AE70" s="119" t="s">
        <v>4</v>
      </c>
      <c r="AF70" s="119" t="s">
        <v>3</v>
      </c>
      <c r="AG70" s="119" t="s">
        <v>4</v>
      </c>
      <c r="AH70" s="119" t="s">
        <v>4</v>
      </c>
      <c r="AI70" s="119" t="s">
        <v>4</v>
      </c>
      <c r="AJ70" s="119" t="s">
        <v>4</v>
      </c>
      <c r="AK70" s="119" t="s">
        <v>4</v>
      </c>
      <c r="AL70" s="119" t="s">
        <v>4</v>
      </c>
      <c r="AM70" s="119" t="s">
        <v>3</v>
      </c>
      <c r="AS70" s="119" t="s">
        <v>169</v>
      </c>
      <c r="AT70" s="119">
        <f>COUNTIFS(J:J,"D",C:C,1)/COUNTIF(C:C,1)</f>
        <v>0.76923076923076927</v>
      </c>
      <c r="AU70" s="119">
        <f>COUNTIFS(J:J,"D",C:C,2)/COUNTIF(C:C,2)</f>
        <v>0.46153846153846156</v>
      </c>
      <c r="AV70" s="119">
        <f>COUNTIFS(J:J,"D",C:C,3)/COUNTIF(C:C,3)</f>
        <v>0.84615384615384615</v>
      </c>
      <c r="AW70" s="119">
        <f>COUNTIFS(J:J,"D",C:C,4)/COUNTIF(C:C,4)</f>
        <v>0.92307692307692313</v>
      </c>
      <c r="AX70" s="119">
        <f>COUNTIFS(J:J,"D",C:C,5)/COUNTIF(C:C,5)</f>
        <v>0.84615384615384615</v>
      </c>
      <c r="AY70" s="119">
        <f>COUNTIFS(J:J,"D",C:C,6)/COUNTIF(C:C,6)</f>
        <v>0.76923076923076927</v>
      </c>
      <c r="AZ70" s="118"/>
      <c r="BA70" s="144"/>
      <c r="BB70" s="144"/>
      <c r="BC70" s="144"/>
      <c r="BD70" s="144"/>
      <c r="BE70" s="144"/>
      <c r="BF70" s="144"/>
      <c r="BG70" s="144"/>
      <c r="BI70" s="132"/>
    </row>
    <row r="71" spans="1:98" x14ac:dyDescent="0.3">
      <c r="A71" s="119">
        <f t="shared" si="2"/>
        <v>70</v>
      </c>
      <c r="B71" s="119" t="s">
        <v>254</v>
      </c>
      <c r="C71" s="120">
        <v>6</v>
      </c>
      <c r="D71" s="119" t="s">
        <v>4</v>
      </c>
      <c r="E71" s="119" t="s">
        <v>5</v>
      </c>
      <c r="F71" s="119" t="s">
        <v>2</v>
      </c>
      <c r="G71" s="119" t="s">
        <v>5</v>
      </c>
      <c r="H71" s="119" t="s">
        <v>5</v>
      </c>
      <c r="I71" s="119" t="s">
        <v>5</v>
      </c>
      <c r="J71" s="119" t="s">
        <v>2</v>
      </c>
      <c r="K71" s="119" t="s">
        <v>2</v>
      </c>
      <c r="L71" s="119" t="s">
        <v>2</v>
      </c>
      <c r="M71" s="119" t="s">
        <v>4</v>
      </c>
      <c r="N71" s="119" t="s">
        <v>3</v>
      </c>
      <c r="O71" s="119" t="s">
        <v>5</v>
      </c>
      <c r="P71" s="119" t="s">
        <v>5</v>
      </c>
      <c r="Q71" s="119" t="s">
        <v>4</v>
      </c>
      <c r="R71" s="119" t="s">
        <v>5</v>
      </c>
      <c r="S71" s="119" t="s">
        <v>5</v>
      </c>
      <c r="T71" s="119" t="s">
        <v>5</v>
      </c>
      <c r="U71" s="119" t="s">
        <v>5</v>
      </c>
      <c r="V71" s="119" t="s">
        <v>5</v>
      </c>
      <c r="W71" s="119" t="s">
        <v>4</v>
      </c>
      <c r="X71" s="119" t="s">
        <v>3</v>
      </c>
      <c r="Y71" s="119" t="s">
        <v>2</v>
      </c>
      <c r="Z71" s="119" t="s">
        <v>3</v>
      </c>
      <c r="AA71" s="119" t="s">
        <v>4</v>
      </c>
      <c r="AB71" s="119" t="s">
        <v>4</v>
      </c>
      <c r="AC71" s="119" t="s">
        <v>4</v>
      </c>
      <c r="AD71" s="119" t="s">
        <v>3</v>
      </c>
      <c r="AE71" s="119" t="s">
        <v>4</v>
      </c>
      <c r="AF71" s="119" t="s">
        <v>3</v>
      </c>
      <c r="AG71" s="119" t="s">
        <v>3</v>
      </c>
      <c r="AH71" s="119" t="s">
        <v>3</v>
      </c>
      <c r="AI71" s="119" t="s">
        <v>3</v>
      </c>
      <c r="AJ71" s="119" t="s">
        <v>3</v>
      </c>
      <c r="AK71" s="119" t="s">
        <v>3</v>
      </c>
      <c r="AL71" s="119" t="s">
        <v>3</v>
      </c>
      <c r="AM71" s="119" t="s">
        <v>3</v>
      </c>
      <c r="AZ71" s="118"/>
      <c r="BA71" s="143"/>
      <c r="BB71" s="143"/>
      <c r="BC71" s="143"/>
      <c r="BD71" s="143"/>
      <c r="BE71" s="143"/>
      <c r="BF71" s="143"/>
      <c r="BG71" s="143"/>
    </row>
    <row r="72" spans="1:98" x14ac:dyDescent="0.3">
      <c r="A72" s="119">
        <f t="shared" si="2"/>
        <v>71</v>
      </c>
      <c r="B72" s="119" t="s">
        <v>253</v>
      </c>
      <c r="C72" s="120">
        <v>6</v>
      </c>
      <c r="D72" s="119" t="s">
        <v>5</v>
      </c>
      <c r="E72" s="119" t="s">
        <v>5</v>
      </c>
      <c r="F72" s="119" t="s">
        <v>3</v>
      </c>
      <c r="G72" s="119" t="s">
        <v>2</v>
      </c>
      <c r="H72" s="119" t="s">
        <v>5</v>
      </c>
      <c r="I72" s="119" t="s">
        <v>5</v>
      </c>
      <c r="J72" s="119" t="s">
        <v>5</v>
      </c>
      <c r="K72" s="119" t="s">
        <v>5</v>
      </c>
      <c r="L72" s="119" t="s">
        <v>2</v>
      </c>
      <c r="M72" s="119" t="s">
        <v>4</v>
      </c>
      <c r="N72" s="119" t="s">
        <v>4</v>
      </c>
      <c r="O72" s="119" t="s">
        <v>2</v>
      </c>
      <c r="P72" s="119" t="s">
        <v>5</v>
      </c>
      <c r="Q72" s="119" t="s">
        <v>2</v>
      </c>
      <c r="R72" s="119" t="s">
        <v>2</v>
      </c>
      <c r="S72" s="119" t="s">
        <v>5</v>
      </c>
      <c r="T72" s="119" t="s">
        <v>3</v>
      </c>
      <c r="U72" s="119" t="s">
        <v>5</v>
      </c>
      <c r="V72" s="119" t="s">
        <v>3</v>
      </c>
      <c r="W72" s="119" t="s">
        <v>2</v>
      </c>
      <c r="X72" s="119" t="s">
        <v>2</v>
      </c>
      <c r="Y72" s="119" t="s">
        <v>5</v>
      </c>
      <c r="Z72" s="119" t="s">
        <v>3</v>
      </c>
      <c r="AA72" s="119" t="s">
        <v>4</v>
      </c>
      <c r="AB72" s="119" t="s">
        <v>4</v>
      </c>
      <c r="AC72" s="119" t="s">
        <v>4</v>
      </c>
      <c r="AD72" s="119" t="s">
        <v>3</v>
      </c>
      <c r="AE72" s="119" t="s">
        <v>4</v>
      </c>
      <c r="AF72" s="119" t="s">
        <v>3</v>
      </c>
      <c r="AG72" s="119" t="s">
        <v>3</v>
      </c>
      <c r="AH72" s="119" t="s">
        <v>3</v>
      </c>
      <c r="AI72" s="119" t="s">
        <v>3</v>
      </c>
      <c r="AJ72" s="119" t="s">
        <v>3</v>
      </c>
      <c r="AK72" s="119" t="s">
        <v>3</v>
      </c>
      <c r="AL72" s="119" t="s">
        <v>4</v>
      </c>
      <c r="AM72" s="119" t="s">
        <v>3</v>
      </c>
      <c r="AS72" s="119" t="s">
        <v>239</v>
      </c>
      <c r="AT72" s="119">
        <v>1</v>
      </c>
      <c r="AU72" s="119">
        <v>2</v>
      </c>
      <c r="AV72" s="119">
        <v>3</v>
      </c>
      <c r="AW72" s="119">
        <v>4</v>
      </c>
      <c r="AX72" s="119">
        <v>5</v>
      </c>
      <c r="AY72" s="119">
        <v>6</v>
      </c>
      <c r="AZ72" s="118"/>
      <c r="BA72" s="144"/>
      <c r="BB72" s="144"/>
      <c r="BC72" s="144"/>
      <c r="BD72" s="144"/>
      <c r="BE72" s="144"/>
      <c r="BF72" s="144"/>
      <c r="BG72" s="144"/>
      <c r="BI72" s="132"/>
    </row>
    <row r="73" spans="1:98" x14ac:dyDescent="0.3">
      <c r="A73" s="119">
        <f t="shared" si="2"/>
        <v>72</v>
      </c>
      <c r="B73" s="119" t="s">
        <v>275</v>
      </c>
      <c r="C73" s="120">
        <v>6</v>
      </c>
      <c r="D73" s="119" t="s">
        <v>5</v>
      </c>
      <c r="E73" s="119" t="s">
        <v>3</v>
      </c>
      <c r="F73" s="119" t="s">
        <v>3</v>
      </c>
      <c r="G73" s="119" t="s">
        <v>5</v>
      </c>
      <c r="H73" s="119" t="s">
        <v>5</v>
      </c>
      <c r="I73" s="119" t="s">
        <v>5</v>
      </c>
      <c r="J73" s="119" t="s">
        <v>5</v>
      </c>
      <c r="K73" s="119" t="s">
        <v>2</v>
      </c>
      <c r="L73" s="119" t="s">
        <v>2</v>
      </c>
      <c r="M73" s="119" t="s">
        <v>5</v>
      </c>
      <c r="N73" s="119" t="s">
        <v>3</v>
      </c>
      <c r="O73" s="119" t="s">
        <v>5</v>
      </c>
      <c r="P73" s="119" t="s">
        <v>5</v>
      </c>
      <c r="Q73" s="119" t="s">
        <v>3</v>
      </c>
      <c r="R73" s="119" t="s">
        <v>2</v>
      </c>
      <c r="S73" s="119" t="s">
        <v>5</v>
      </c>
      <c r="T73" s="119" t="s">
        <v>5</v>
      </c>
      <c r="U73" s="119" t="s">
        <v>5</v>
      </c>
      <c r="V73" s="119" t="s">
        <v>5</v>
      </c>
      <c r="W73" s="119" t="s">
        <v>4</v>
      </c>
      <c r="X73" s="119" t="s">
        <v>4</v>
      </c>
      <c r="Y73" s="119" t="s">
        <v>4</v>
      </c>
      <c r="Z73" s="119" t="s">
        <v>3</v>
      </c>
      <c r="AA73" s="119" t="s">
        <v>4</v>
      </c>
      <c r="AB73" s="119" t="s">
        <v>4</v>
      </c>
      <c r="AC73" s="119" t="s">
        <v>4</v>
      </c>
      <c r="AD73" s="119" t="s">
        <v>4</v>
      </c>
      <c r="AE73" s="119" t="s">
        <v>4</v>
      </c>
      <c r="AF73" s="119" t="s">
        <v>4</v>
      </c>
      <c r="AG73" s="119" t="s">
        <v>3</v>
      </c>
      <c r="AH73" s="119" t="s">
        <v>4</v>
      </c>
      <c r="AI73" s="119" t="s">
        <v>3</v>
      </c>
      <c r="AJ73" s="119" t="s">
        <v>3</v>
      </c>
      <c r="AK73" s="119" t="s">
        <v>3</v>
      </c>
      <c r="AL73" s="119" t="s">
        <v>4</v>
      </c>
      <c r="AM73" s="119" t="s">
        <v>3</v>
      </c>
      <c r="AS73" s="119" t="s">
        <v>170</v>
      </c>
      <c r="AT73" s="119">
        <f>COUNTIFS(K:K,"A",C:C,1)/COUNTIF(C:C,1)</f>
        <v>0</v>
      </c>
      <c r="AU73" s="119">
        <f>COUNTIFS(K:K,"A",C:C,2)/COUNTIF(C:C,2)</f>
        <v>7.6923076923076927E-2</v>
      </c>
      <c r="AV73" s="119">
        <f>COUNTIFS(K:K,"A",C:C,3)/COUNTIF(C:C,3)</f>
        <v>0</v>
      </c>
      <c r="AW73" s="119">
        <f>COUNTIFS(K:K,"A",C:C,4)/COUNTIF(C:C,4)</f>
        <v>0</v>
      </c>
      <c r="AX73" s="119">
        <f>COUNTIFS(K:K,"A",C:C,5)/COUNTIF(C:C,5)</f>
        <v>0</v>
      </c>
      <c r="AY73" s="119">
        <f>COUNTIFS(K:K,"A",C:C,6)/COUNTIF(C:C,6)</f>
        <v>0</v>
      </c>
      <c r="AZ73" s="118"/>
      <c r="BA73" s="144"/>
      <c r="BB73" s="144"/>
      <c r="BC73" s="144"/>
      <c r="BD73" s="144"/>
      <c r="BE73" s="144"/>
      <c r="BF73" s="144"/>
      <c r="BG73" s="144"/>
    </row>
    <row r="74" spans="1:98" x14ac:dyDescent="0.3">
      <c r="A74" s="119">
        <f t="shared" si="2"/>
        <v>73</v>
      </c>
      <c r="B74" s="119" t="s">
        <v>276</v>
      </c>
      <c r="C74" s="120">
        <v>6</v>
      </c>
      <c r="D74" s="119" t="s">
        <v>5</v>
      </c>
      <c r="E74" s="119" t="s">
        <v>5</v>
      </c>
      <c r="F74" s="119" t="s">
        <v>5</v>
      </c>
      <c r="G74" s="119" t="s">
        <v>5</v>
      </c>
      <c r="H74" s="119" t="s">
        <v>5</v>
      </c>
      <c r="I74" s="119" t="s">
        <v>5</v>
      </c>
      <c r="J74" s="119" t="s">
        <v>5</v>
      </c>
      <c r="K74" s="119" t="s">
        <v>2</v>
      </c>
      <c r="L74" s="119" t="s">
        <v>3</v>
      </c>
      <c r="M74" s="119" t="s">
        <v>5</v>
      </c>
      <c r="N74" s="119" t="s">
        <v>4</v>
      </c>
      <c r="O74" s="119" t="s">
        <v>5</v>
      </c>
      <c r="P74" s="119" t="s">
        <v>2</v>
      </c>
      <c r="Q74" s="119" t="s">
        <v>2</v>
      </c>
      <c r="R74" s="119" t="s">
        <v>2</v>
      </c>
      <c r="S74" s="119" t="s">
        <v>5</v>
      </c>
      <c r="T74" s="119" t="s">
        <v>3</v>
      </c>
      <c r="U74" s="119" t="s">
        <v>5</v>
      </c>
      <c r="V74" s="119" t="s">
        <v>5</v>
      </c>
      <c r="W74" s="119" t="s">
        <v>3</v>
      </c>
      <c r="X74" s="119" t="s">
        <v>2</v>
      </c>
      <c r="Y74" s="119" t="s">
        <v>2</v>
      </c>
      <c r="Z74" s="119" t="s">
        <v>3</v>
      </c>
      <c r="AA74" s="119" t="s">
        <v>4</v>
      </c>
      <c r="AB74" s="119" t="s">
        <v>4</v>
      </c>
      <c r="AC74" s="119" t="s">
        <v>4</v>
      </c>
      <c r="AD74" s="119" t="s">
        <v>4</v>
      </c>
      <c r="AE74" s="119" t="s">
        <v>4</v>
      </c>
      <c r="AF74" s="119" t="s">
        <v>4</v>
      </c>
      <c r="AG74" s="119" t="s">
        <v>4</v>
      </c>
      <c r="AH74" s="119" t="s">
        <v>4</v>
      </c>
      <c r="AI74" s="119" t="s">
        <v>3</v>
      </c>
      <c r="AJ74" s="119" t="s">
        <v>3</v>
      </c>
      <c r="AK74" s="119" t="s">
        <v>4</v>
      </c>
      <c r="AL74" s="119" t="s">
        <v>4</v>
      </c>
      <c r="AM74" s="119" t="s">
        <v>3</v>
      </c>
      <c r="AS74" s="119" t="s">
        <v>171</v>
      </c>
      <c r="AT74" s="119">
        <f>COUNTIFS(K:K,"B",C:C,1)/COUNTIF(C:C,1)</f>
        <v>0</v>
      </c>
      <c r="AU74" s="119">
        <f>COUNTIFS(K:K,"B",C:C,2)/COUNTIF(C:C,2)</f>
        <v>0</v>
      </c>
      <c r="AV74" s="119">
        <f>COUNTIFS(K:K,"B",C:C,3)/COUNTIF(C:C,3)</f>
        <v>0</v>
      </c>
      <c r="AW74" s="119">
        <f>COUNTIFS(K:K,"B",C:C,4)/COUNTIF(C:C,4)</f>
        <v>0</v>
      </c>
      <c r="AX74" s="119">
        <f>COUNTIFS(K:K,"B",C:C,5)/COUNTIF(C:C,5)</f>
        <v>0</v>
      </c>
      <c r="AY74" s="119">
        <f>COUNTIFS(K:K,"B",C:C,6)/COUNTIF(C:C,6)</f>
        <v>0</v>
      </c>
      <c r="AZ74" s="118"/>
      <c r="BA74" s="144"/>
      <c r="BB74" s="144"/>
      <c r="BC74" s="144"/>
      <c r="BD74" s="144"/>
      <c r="BE74" s="144"/>
      <c r="BF74" s="144"/>
      <c r="BG74" s="144"/>
      <c r="BI74" s="132"/>
    </row>
    <row r="75" spans="1:98" x14ac:dyDescent="0.3">
      <c r="A75" s="119">
        <f t="shared" si="2"/>
        <v>74</v>
      </c>
      <c r="B75" s="119" t="s">
        <v>277</v>
      </c>
      <c r="C75" s="120">
        <v>6</v>
      </c>
      <c r="D75" s="119" t="s">
        <v>5</v>
      </c>
      <c r="E75" s="119" t="s">
        <v>3</v>
      </c>
      <c r="F75" s="119" t="s">
        <v>4</v>
      </c>
      <c r="G75" s="119" t="s">
        <v>5</v>
      </c>
      <c r="H75" s="119" t="s">
        <v>5</v>
      </c>
      <c r="I75" s="119" t="s">
        <v>3</v>
      </c>
      <c r="J75" s="119" t="s">
        <v>2</v>
      </c>
      <c r="K75" s="119" t="s">
        <v>2</v>
      </c>
      <c r="L75" s="119" t="s">
        <v>3</v>
      </c>
      <c r="M75" s="119" t="s">
        <v>3</v>
      </c>
      <c r="N75" s="119" t="s">
        <v>4</v>
      </c>
      <c r="O75" s="119" t="s">
        <v>5</v>
      </c>
      <c r="P75" s="119" t="s">
        <v>5</v>
      </c>
      <c r="Q75" s="119" t="s">
        <v>3</v>
      </c>
      <c r="R75" s="119" t="s">
        <v>5</v>
      </c>
      <c r="S75" s="119" t="s">
        <v>5</v>
      </c>
      <c r="T75" s="119" t="s">
        <v>5</v>
      </c>
      <c r="U75" s="119" t="s">
        <v>5</v>
      </c>
      <c r="V75" s="119" t="s">
        <v>4</v>
      </c>
      <c r="W75" s="119" t="s">
        <v>4</v>
      </c>
      <c r="X75" s="119" t="s">
        <v>3</v>
      </c>
      <c r="Y75" s="119" t="s">
        <v>4</v>
      </c>
      <c r="Z75" s="119" t="s">
        <v>3</v>
      </c>
      <c r="AA75" s="119" t="s">
        <v>3</v>
      </c>
      <c r="AB75" s="119" t="s">
        <v>3</v>
      </c>
      <c r="AC75" s="119" t="s">
        <v>4</v>
      </c>
      <c r="AD75" s="119" t="s">
        <v>4</v>
      </c>
      <c r="AE75" s="119" t="s">
        <v>4</v>
      </c>
      <c r="AF75" s="119" t="s">
        <v>4</v>
      </c>
      <c r="AG75" s="119" t="s">
        <v>4</v>
      </c>
      <c r="AH75" s="119" t="s">
        <v>4</v>
      </c>
      <c r="AI75" s="119" t="s">
        <v>4</v>
      </c>
      <c r="AJ75" s="119" t="s">
        <v>4</v>
      </c>
      <c r="AK75" s="119" t="s">
        <v>4</v>
      </c>
      <c r="AL75" s="119" t="s">
        <v>4</v>
      </c>
      <c r="AM75" s="119" t="s">
        <v>4</v>
      </c>
      <c r="AS75" s="119" t="s">
        <v>172</v>
      </c>
      <c r="AT75" s="119">
        <f>COUNTIFS(K:K,"C",C:C,1)/COUNTIF(C:C,1)</f>
        <v>1</v>
      </c>
      <c r="AU75" s="119">
        <f>COUNTIFS(K:K,"C",C:C,2)/COUNTIF(C:C,2)</f>
        <v>0.92307692307692313</v>
      </c>
      <c r="AV75" s="119">
        <f>COUNTIFS(K:K,"C",C:C,3)/COUNTIF(C:C,3)</f>
        <v>1</v>
      </c>
      <c r="AW75" s="119">
        <f>COUNTIFS(K:K,"C",C:C,4)/COUNTIF(C:C,4)</f>
        <v>1</v>
      </c>
      <c r="AX75" s="119">
        <f>COUNTIFS(K:K,"C",C:C,5)/COUNTIF(C:C,5)</f>
        <v>1</v>
      </c>
      <c r="AY75" s="119">
        <f>COUNTIFS(K:K,"C",C:C,6)/COUNTIF(C:C,6)</f>
        <v>0.84615384615384615</v>
      </c>
      <c r="AZ75" s="118"/>
      <c r="BA75" s="144"/>
      <c r="BB75" s="144"/>
      <c r="BC75" s="144"/>
      <c r="BD75" s="144"/>
      <c r="BE75" s="144"/>
      <c r="BF75" s="144"/>
      <c r="BG75" s="144"/>
    </row>
    <row r="76" spans="1:98" x14ac:dyDescent="0.3">
      <c r="A76" s="119">
        <f t="shared" si="2"/>
        <v>75</v>
      </c>
      <c r="B76" s="119" t="s">
        <v>278</v>
      </c>
      <c r="C76" s="120">
        <v>6</v>
      </c>
      <c r="D76" s="119" t="s">
        <v>5</v>
      </c>
      <c r="E76" s="119" t="s">
        <v>5</v>
      </c>
      <c r="F76" s="119" t="s">
        <v>3</v>
      </c>
      <c r="G76" s="119" t="s">
        <v>5</v>
      </c>
      <c r="H76" s="119" t="s">
        <v>5</v>
      </c>
      <c r="I76" s="119" t="s">
        <v>5</v>
      </c>
      <c r="J76" s="119" t="s">
        <v>5</v>
      </c>
      <c r="K76" s="119" t="s">
        <v>2</v>
      </c>
      <c r="L76" s="119" t="s">
        <v>2</v>
      </c>
      <c r="M76" s="119" t="s">
        <v>4</v>
      </c>
      <c r="N76" s="119" t="s">
        <v>4</v>
      </c>
      <c r="O76" s="119" t="s">
        <v>4</v>
      </c>
      <c r="P76" s="119" t="s">
        <v>5</v>
      </c>
      <c r="Q76" s="119" t="s">
        <v>4</v>
      </c>
      <c r="R76" s="119" t="s">
        <v>5</v>
      </c>
      <c r="S76" s="119" t="s">
        <v>5</v>
      </c>
      <c r="T76" s="119" t="s">
        <v>5</v>
      </c>
      <c r="U76" s="119" t="s">
        <v>5</v>
      </c>
      <c r="V76" s="119" t="s">
        <v>3</v>
      </c>
      <c r="W76" s="119" t="s">
        <v>5</v>
      </c>
      <c r="X76" s="119" t="s">
        <v>2</v>
      </c>
      <c r="Y76" s="119" t="s">
        <v>4</v>
      </c>
      <c r="Z76" s="119" t="s">
        <v>3</v>
      </c>
      <c r="AA76" s="119" t="s">
        <v>4</v>
      </c>
      <c r="AB76" s="119" t="s">
        <v>4</v>
      </c>
      <c r="AC76" s="119" t="s">
        <v>4</v>
      </c>
      <c r="AD76" s="119" t="s">
        <v>4</v>
      </c>
      <c r="AE76" s="119" t="s">
        <v>4</v>
      </c>
      <c r="AF76" s="119" t="s">
        <v>4</v>
      </c>
      <c r="AG76" s="119" t="s">
        <v>3</v>
      </c>
      <c r="AH76" s="119" t="s">
        <v>4</v>
      </c>
      <c r="AI76" s="119" t="s">
        <v>3</v>
      </c>
      <c r="AJ76" s="119" t="s">
        <v>3</v>
      </c>
      <c r="AK76" s="119" t="s">
        <v>4</v>
      </c>
      <c r="AL76" s="119" t="s">
        <v>4</v>
      </c>
      <c r="AM76" s="119" t="s">
        <v>3</v>
      </c>
      <c r="AS76" s="119" t="s">
        <v>173</v>
      </c>
      <c r="AT76" s="119">
        <f>COUNTIFS(K:K,"D",C:C,1)/COUNTIF(C:C,1)</f>
        <v>0</v>
      </c>
      <c r="AU76" s="119">
        <f>COUNTIFS(K:K,"D",C:C,2)/COUNTIF(C:C,2)</f>
        <v>0</v>
      </c>
      <c r="AV76" s="119">
        <f>COUNTIFS(K:K,"D",C:C,3)/COUNTIF(C:C,3)</f>
        <v>0</v>
      </c>
      <c r="AW76" s="119">
        <f>COUNTIFS(K:K,"D",C:C,4)/COUNTIF(C:C,4)</f>
        <v>0</v>
      </c>
      <c r="AX76" s="119">
        <f>COUNTIFS(K:K,"D",C:C,5)/COUNTIF(C:C,5)</f>
        <v>0</v>
      </c>
      <c r="AY76" s="119">
        <f>COUNTIFS(K:K,"D",C:C,6)/COUNTIF(C:C,6)</f>
        <v>0.15384615384615385</v>
      </c>
      <c r="AZ76" s="118"/>
      <c r="BA76" s="144"/>
      <c r="BB76" s="144"/>
      <c r="BC76" s="144"/>
      <c r="BD76" s="144"/>
      <c r="BE76" s="144"/>
      <c r="BF76" s="144"/>
      <c r="BG76" s="144"/>
      <c r="BI76" s="132"/>
    </row>
    <row r="77" spans="1:98" x14ac:dyDescent="0.3">
      <c r="A77" s="119">
        <f t="shared" si="2"/>
        <v>76</v>
      </c>
      <c r="B77" s="119" t="s">
        <v>474</v>
      </c>
      <c r="C77" s="119">
        <v>6</v>
      </c>
      <c r="D77" s="119" t="s">
        <v>5</v>
      </c>
      <c r="E77" s="119" t="s">
        <v>5</v>
      </c>
      <c r="F77" s="119" t="s">
        <v>3</v>
      </c>
      <c r="G77" s="119" t="s">
        <v>5</v>
      </c>
      <c r="H77" s="119" t="s">
        <v>5</v>
      </c>
      <c r="I77" s="119" t="s">
        <v>5</v>
      </c>
      <c r="J77" s="119" t="s">
        <v>2</v>
      </c>
      <c r="K77" s="119" t="s">
        <v>2</v>
      </c>
      <c r="L77" s="119" t="s">
        <v>2</v>
      </c>
      <c r="M77" s="119" t="s">
        <v>2</v>
      </c>
      <c r="N77" s="119" t="s">
        <v>4</v>
      </c>
      <c r="O77" s="119" t="s">
        <v>5</v>
      </c>
      <c r="P77" s="119" t="s">
        <v>2</v>
      </c>
      <c r="Q77" s="119" t="s">
        <v>3</v>
      </c>
      <c r="R77" s="119" t="s">
        <v>3</v>
      </c>
      <c r="S77" s="119" t="s">
        <v>5</v>
      </c>
      <c r="T77" s="119" t="s">
        <v>3</v>
      </c>
      <c r="U77" s="119" t="s">
        <v>2</v>
      </c>
      <c r="V77" s="119" t="s">
        <v>3</v>
      </c>
      <c r="W77" s="119" t="s">
        <v>4</v>
      </c>
      <c r="X77" s="119" t="s">
        <v>4</v>
      </c>
      <c r="Y77" s="119" t="s">
        <v>4</v>
      </c>
      <c r="Z77" s="119" t="s">
        <v>3</v>
      </c>
      <c r="AA77" s="119" t="s">
        <v>4</v>
      </c>
      <c r="AB77" s="119" t="s">
        <v>4</v>
      </c>
      <c r="AC77" s="119" t="s">
        <v>4</v>
      </c>
      <c r="AD77" s="119" t="s">
        <v>4</v>
      </c>
      <c r="AE77" s="119" t="s">
        <v>4</v>
      </c>
      <c r="AF77" s="119" t="s">
        <v>4</v>
      </c>
      <c r="AG77" s="119" t="s">
        <v>3</v>
      </c>
      <c r="AH77" s="119" t="s">
        <v>4</v>
      </c>
      <c r="AI77" s="119" t="s">
        <v>3</v>
      </c>
      <c r="AJ77" s="119" t="s">
        <v>4</v>
      </c>
      <c r="AK77" s="119" t="s">
        <v>3</v>
      </c>
      <c r="AL77" s="119" t="s">
        <v>3</v>
      </c>
      <c r="AM77" s="119" t="s">
        <v>3</v>
      </c>
      <c r="AZ77" s="118"/>
      <c r="BA77" s="143"/>
      <c r="BB77" s="143"/>
      <c r="BC77" s="143"/>
      <c r="BD77" s="143"/>
      <c r="BE77" s="143"/>
      <c r="BF77" s="143"/>
      <c r="BG77" s="143"/>
    </row>
    <row r="78" spans="1:98" x14ac:dyDescent="0.3">
      <c r="A78" s="119">
        <f t="shared" si="2"/>
        <v>77</v>
      </c>
      <c r="B78" s="119" t="s">
        <v>476</v>
      </c>
      <c r="C78" s="119">
        <v>6</v>
      </c>
      <c r="D78" s="119" t="s">
        <v>5</v>
      </c>
      <c r="E78" s="119" t="s">
        <v>5</v>
      </c>
      <c r="F78" s="119" t="s">
        <v>5</v>
      </c>
      <c r="G78" s="119" t="s">
        <v>5</v>
      </c>
      <c r="H78" s="119" t="s">
        <v>5</v>
      </c>
      <c r="I78" s="119" t="s">
        <v>5</v>
      </c>
      <c r="J78" s="119" t="s">
        <v>5</v>
      </c>
      <c r="K78" s="119" t="s">
        <v>2</v>
      </c>
      <c r="L78" s="119" t="s">
        <v>3</v>
      </c>
      <c r="M78" s="119" t="s">
        <v>3</v>
      </c>
      <c r="N78" s="119" t="s">
        <v>4</v>
      </c>
      <c r="O78" s="119" t="s">
        <v>3</v>
      </c>
      <c r="P78" s="119" t="s">
        <v>5</v>
      </c>
      <c r="Q78" s="119" t="s">
        <v>3</v>
      </c>
      <c r="R78" s="119" t="s">
        <v>3</v>
      </c>
      <c r="S78" s="119" t="s">
        <v>5</v>
      </c>
      <c r="T78" s="119" t="s">
        <v>3</v>
      </c>
      <c r="U78" s="119" t="s">
        <v>5</v>
      </c>
      <c r="V78" s="119" t="s">
        <v>4</v>
      </c>
      <c r="W78" s="119" t="s">
        <v>2</v>
      </c>
      <c r="X78" s="119" t="s">
        <v>5</v>
      </c>
      <c r="Y78" s="119" t="s">
        <v>4</v>
      </c>
      <c r="Z78" s="119" t="s">
        <v>3</v>
      </c>
      <c r="AA78" s="119" t="s">
        <v>4</v>
      </c>
      <c r="AB78" s="119" t="s">
        <v>4</v>
      </c>
      <c r="AC78" s="119" t="s">
        <v>4</v>
      </c>
      <c r="AD78" s="119" t="s">
        <v>4</v>
      </c>
      <c r="AE78" s="119" t="s">
        <v>3</v>
      </c>
      <c r="AF78" s="119" t="s">
        <v>4</v>
      </c>
      <c r="AG78" s="119" t="s">
        <v>3</v>
      </c>
      <c r="AH78" s="119" t="s">
        <v>4</v>
      </c>
      <c r="AI78" s="119" t="s">
        <v>3</v>
      </c>
      <c r="AJ78" s="119" t="s">
        <v>4</v>
      </c>
      <c r="AK78" s="119" t="s">
        <v>3</v>
      </c>
      <c r="AL78" s="119" t="s">
        <v>3</v>
      </c>
      <c r="AM78" s="119" t="s">
        <v>3</v>
      </c>
      <c r="AS78" s="119" t="s">
        <v>240</v>
      </c>
      <c r="AT78" s="119">
        <v>1</v>
      </c>
      <c r="AU78" s="119">
        <v>2</v>
      </c>
      <c r="AV78" s="119">
        <v>3</v>
      </c>
      <c r="AW78" s="119">
        <v>4</v>
      </c>
      <c r="AX78" s="119">
        <v>5</v>
      </c>
      <c r="AY78" s="119">
        <v>6</v>
      </c>
      <c r="AZ78" s="118"/>
      <c r="BA78" s="144"/>
      <c r="BB78" s="144"/>
      <c r="BC78" s="144"/>
      <c r="BD78" s="144"/>
      <c r="BE78" s="144"/>
      <c r="BF78" s="144"/>
      <c r="BG78" s="144"/>
      <c r="BI78" s="132"/>
    </row>
    <row r="79" spans="1:98" x14ac:dyDescent="0.3">
      <c r="A79" s="119">
        <f t="shared" si="2"/>
        <v>78</v>
      </c>
      <c r="B79" s="119" t="s">
        <v>489</v>
      </c>
      <c r="C79" s="119">
        <v>6</v>
      </c>
      <c r="D79" s="119" t="s">
        <v>5</v>
      </c>
      <c r="E79" s="119" t="s">
        <v>5</v>
      </c>
      <c r="F79" s="119" t="s">
        <v>4</v>
      </c>
      <c r="G79" s="119" t="s">
        <v>5</v>
      </c>
      <c r="H79" s="119" t="s">
        <v>5</v>
      </c>
      <c r="I79" s="119" t="s">
        <v>3</v>
      </c>
      <c r="J79" s="119" t="s">
        <v>5</v>
      </c>
      <c r="K79" s="119" t="s">
        <v>2</v>
      </c>
      <c r="L79" s="119" t="s">
        <v>2</v>
      </c>
      <c r="M79" s="119" t="s">
        <v>4</v>
      </c>
      <c r="N79" s="119" t="s">
        <v>3</v>
      </c>
      <c r="O79" s="119" t="s">
        <v>5</v>
      </c>
      <c r="P79" s="119" t="s">
        <v>5</v>
      </c>
      <c r="Q79" s="119" t="s">
        <v>4</v>
      </c>
      <c r="R79" s="119" t="s">
        <v>5</v>
      </c>
      <c r="S79" s="119" t="s">
        <v>5</v>
      </c>
      <c r="T79" s="119" t="s">
        <v>5</v>
      </c>
      <c r="U79" s="119" t="s">
        <v>5</v>
      </c>
      <c r="V79" s="119" t="s">
        <v>2</v>
      </c>
      <c r="W79" s="119" t="s">
        <v>4</v>
      </c>
      <c r="X79" s="119" t="s">
        <v>5</v>
      </c>
      <c r="Y79" s="119" t="s">
        <v>2</v>
      </c>
      <c r="Z79" s="119" t="s">
        <v>3</v>
      </c>
      <c r="AA79" s="119" t="s">
        <v>4</v>
      </c>
      <c r="AB79" s="119" t="s">
        <v>4</v>
      </c>
      <c r="AC79" s="119" t="s">
        <v>4</v>
      </c>
      <c r="AD79" s="119" t="s">
        <v>4</v>
      </c>
      <c r="AE79" s="119" t="s">
        <v>4</v>
      </c>
      <c r="AF79" s="119" t="s">
        <v>4</v>
      </c>
      <c r="AG79" s="119" t="s">
        <v>3</v>
      </c>
      <c r="AH79" s="119" t="s">
        <v>4</v>
      </c>
      <c r="AI79" s="119" t="s">
        <v>4</v>
      </c>
      <c r="AJ79" s="119" t="s">
        <v>4</v>
      </c>
      <c r="AK79" s="119" t="s">
        <v>3</v>
      </c>
      <c r="AL79" s="119" t="s">
        <v>4</v>
      </c>
      <c r="AM79" s="119" t="s">
        <v>3</v>
      </c>
      <c r="AS79" s="119" t="s">
        <v>174</v>
      </c>
      <c r="AT79" s="119">
        <f>COUNTIFS(L:L,"A",C:C,1)/COUNTIF(C:C,1)</f>
        <v>0</v>
      </c>
      <c r="AU79" s="119">
        <f>COUNTIFS(L:L,"A",C:C,2)/COUNTIF(C:C,2)</f>
        <v>0</v>
      </c>
      <c r="AV79" s="119">
        <f>COUNTIFS(L:L,"A",C:C,3)/COUNTIF(C:C,3)</f>
        <v>0</v>
      </c>
      <c r="AW79" s="119">
        <f>COUNTIFS(L:L,"A",C:C,4)/COUNTIF(C:C,4)</f>
        <v>0</v>
      </c>
      <c r="AX79" s="119">
        <f>COUNTIFS(L:L,"A",C:C,5)/COUNTIF(C:C,5)</f>
        <v>0.15384615384615385</v>
      </c>
      <c r="AY79" s="119">
        <f>COUNTIFS(L:L,"A",C:C,6)/COUNTIF(C:C,6)</f>
        <v>7.6923076923076927E-2</v>
      </c>
      <c r="AZ79" s="118"/>
      <c r="BA79" s="144"/>
      <c r="BB79" s="144"/>
      <c r="BC79" s="144"/>
      <c r="BD79" s="144"/>
      <c r="BE79" s="144"/>
      <c r="BF79" s="144"/>
      <c r="BG79" s="144"/>
    </row>
    <row r="80" spans="1:98" x14ac:dyDescent="0.3">
      <c r="AS80" s="119" t="s">
        <v>175</v>
      </c>
      <c r="AT80" s="119">
        <f>COUNTIFS(L:L,"B",C:C,1)/COUNTIF(C:C,1)</f>
        <v>0.61538461538461542</v>
      </c>
      <c r="AU80" s="119">
        <f>COUNTIFS(L:L,"B",C:C,2)/COUNTIF(C:C,2)</f>
        <v>0.53846153846153844</v>
      </c>
      <c r="AV80" s="119">
        <f>COUNTIFS(L:L,"B",C:C,3)/COUNTIF(C:C,3)</f>
        <v>0.61538461538461542</v>
      </c>
      <c r="AW80" s="119">
        <f>COUNTIFS(L:L,"B",C:C,4)/COUNTIF(C:C,4)</f>
        <v>0.23076923076923078</v>
      </c>
      <c r="AX80" s="119">
        <f>COUNTIFS(L:L,"B",C:C,5)/COUNTIF(C:C,5)</f>
        <v>0.30769230769230771</v>
      </c>
      <c r="AY80" s="119">
        <f>COUNTIFS(L:L,"B",C:C,6)/COUNTIF(C:C,6)</f>
        <v>0.23076923076923078</v>
      </c>
      <c r="AZ80" s="118"/>
      <c r="BA80" s="144"/>
      <c r="BB80" s="144"/>
      <c r="BC80" s="144"/>
      <c r="BD80" s="144"/>
      <c r="BE80" s="144"/>
      <c r="BF80" s="144"/>
      <c r="BG80" s="144"/>
    </row>
    <row r="81" spans="45:98" x14ac:dyDescent="0.3">
      <c r="AS81" s="119" t="s">
        <v>176</v>
      </c>
      <c r="AT81" s="119">
        <f>COUNTIFS(L:L,"C",C:C,1)/COUNTIF(C:C,1)</f>
        <v>0.38461538461538464</v>
      </c>
      <c r="AU81" s="119">
        <f>COUNTIFS(L:L,"C",C:C,2)/COUNTIF(C:C,2)</f>
        <v>0.46153846153846156</v>
      </c>
      <c r="AV81" s="119">
        <f>COUNTIFS(L:L,"C",C:C,3)/COUNTIF(C:C,3)</f>
        <v>0.38461538461538464</v>
      </c>
      <c r="AW81" s="119">
        <f>COUNTIFS(L:L,"C",C:C,4)/COUNTIF(C:C,4)</f>
        <v>0.69230769230769229</v>
      </c>
      <c r="AX81" s="119">
        <f>COUNTIFS(L:L,"C",C:C,5)/COUNTIF(C:C,5)</f>
        <v>0.53846153846153844</v>
      </c>
      <c r="AY81" s="119">
        <f>COUNTIFS(L:L,"C",C:C,6)/COUNTIF(C:C,6)</f>
        <v>0.69230769230769229</v>
      </c>
      <c r="AZ81" s="118"/>
      <c r="BA81" s="144"/>
      <c r="BB81" s="144"/>
      <c r="BC81" s="144"/>
      <c r="BD81" s="144"/>
      <c r="BE81" s="144"/>
      <c r="BF81" s="144"/>
      <c r="BG81" s="144"/>
      <c r="BI81" s="125"/>
      <c r="BK81" s="121"/>
      <c r="BL81" s="121"/>
      <c r="BM81" s="121"/>
      <c r="BN81" s="121"/>
      <c r="BO81" s="121"/>
      <c r="BP81" s="121"/>
      <c r="BQ81" s="121"/>
      <c r="BR81" s="121"/>
      <c r="BS81" s="121"/>
      <c r="BT81" s="121"/>
      <c r="BU81" s="121"/>
      <c r="BV81" s="121"/>
      <c r="BW81" s="121"/>
      <c r="BX81" s="121"/>
      <c r="BY81" s="121"/>
      <c r="BZ81" s="121"/>
      <c r="CA81" s="121"/>
      <c r="CB81" s="121"/>
      <c r="CC81" s="121"/>
      <c r="CD81" s="121"/>
      <c r="CE81" s="121"/>
      <c r="CF81" s="121"/>
      <c r="CG81" s="121"/>
      <c r="CH81" s="121"/>
      <c r="CI81" s="121"/>
      <c r="CJ81" s="121"/>
      <c r="CK81" s="121"/>
      <c r="CL81" s="121"/>
      <c r="CM81" s="121"/>
      <c r="CN81" s="121"/>
      <c r="CO81" s="121"/>
      <c r="CP81" s="121"/>
      <c r="CQ81" s="121"/>
      <c r="CR81" s="121"/>
      <c r="CS81" s="121"/>
      <c r="CT81" s="121"/>
    </row>
    <row r="82" spans="45:98" x14ac:dyDescent="0.3">
      <c r="AS82" s="119" t="s">
        <v>177</v>
      </c>
      <c r="AT82" s="119">
        <f>COUNTIFS(L:L,"D",C:C,1)/COUNTIF(C:C,1)</f>
        <v>0</v>
      </c>
      <c r="AU82" s="119">
        <f>COUNTIFS(L:L,"D",C:C,2)/COUNTIF(C:C,2)</f>
        <v>0</v>
      </c>
      <c r="AV82" s="119">
        <f>COUNTIFS(L:L,"D",C:C,3)/COUNTIF(C:C,3)</f>
        <v>0</v>
      </c>
      <c r="AW82" s="119">
        <f>COUNTIFS(L:L,"D",C:C,4)/COUNTIF(C:C,4)</f>
        <v>7.6923076923076927E-2</v>
      </c>
      <c r="AX82" s="119">
        <f>COUNTIFS(L:L,"D",C:C,5)/COUNTIF(C:C,5)</f>
        <v>0</v>
      </c>
      <c r="AY82" s="119">
        <f>COUNTIFS(L:L,"D",C:C,6)/COUNTIF(C:C,6)</f>
        <v>0</v>
      </c>
      <c r="AZ82" s="118"/>
      <c r="BA82" s="144"/>
      <c r="BB82" s="144"/>
      <c r="BC82" s="144"/>
      <c r="BD82" s="144"/>
      <c r="BE82" s="144"/>
      <c r="BF82" s="144"/>
      <c r="BG82" s="144"/>
      <c r="BI82" s="125"/>
    </row>
    <row r="83" spans="45:98" x14ac:dyDescent="0.3">
      <c r="AZ83" s="118"/>
      <c r="BA83" s="143"/>
      <c r="BB83" s="143"/>
      <c r="BC83" s="143"/>
      <c r="BD83" s="143"/>
      <c r="BE83" s="143"/>
      <c r="BF83" s="143"/>
      <c r="BG83" s="143"/>
    </row>
    <row r="84" spans="45:98" x14ac:dyDescent="0.3">
      <c r="AS84" s="119" t="s">
        <v>241</v>
      </c>
      <c r="AT84" s="119">
        <v>1</v>
      </c>
      <c r="AU84" s="119">
        <v>2</v>
      </c>
      <c r="AV84" s="119">
        <v>3</v>
      </c>
      <c r="AW84" s="119">
        <v>4</v>
      </c>
      <c r="AX84" s="119">
        <v>5</v>
      </c>
      <c r="AY84" s="119">
        <v>6</v>
      </c>
      <c r="AZ84" s="118"/>
      <c r="BA84" s="144"/>
      <c r="BB84" s="144"/>
      <c r="BC84" s="144"/>
      <c r="BD84" s="144"/>
      <c r="BE84" s="144"/>
      <c r="BF84" s="144"/>
      <c r="BG84" s="144"/>
      <c r="BI84" s="132"/>
    </row>
    <row r="85" spans="45:98" x14ac:dyDescent="0.3">
      <c r="AS85" s="119" t="s">
        <v>178</v>
      </c>
      <c r="AT85" s="119">
        <f>COUNTIFS(M:M,"A",C:C,1)/COUNTIF(C:C,1)</f>
        <v>7.6923076923076927E-2</v>
      </c>
      <c r="AU85" s="119">
        <f>COUNTIFS(M:M,"A",C:C,2)/COUNTIF(C:C,2)</f>
        <v>0.30769230769230771</v>
      </c>
      <c r="AV85" s="119">
        <f>COUNTIFS(M:M,"A",C:C,3)/COUNTIF(C:C,3)</f>
        <v>0.30769230769230771</v>
      </c>
      <c r="AW85" s="119">
        <f>COUNTIFS(M:M,"A",C:C,4)/COUNTIF(C:C,4)</f>
        <v>0.23076923076923078</v>
      </c>
      <c r="AX85" s="119">
        <f>COUNTIFS(M:M,"A",C:C,5)/COUNTIF(C:C,5)</f>
        <v>0.38461538461538464</v>
      </c>
      <c r="AY85" s="119">
        <f>COUNTIFS(M:M,"A",C:C,6)/COUNTIF(C:C,6)</f>
        <v>0.53846153846153844</v>
      </c>
      <c r="AZ85" s="118"/>
      <c r="BA85" s="144"/>
      <c r="BB85" s="144"/>
      <c r="BC85" s="144"/>
      <c r="BD85" s="144"/>
      <c r="BE85" s="144"/>
      <c r="BF85" s="144"/>
      <c r="BG85" s="144"/>
    </row>
    <row r="86" spans="45:98" x14ac:dyDescent="0.3">
      <c r="AS86" s="119" t="s">
        <v>179</v>
      </c>
      <c r="AT86" s="119">
        <f>COUNTIFS(M:M,"B",C:C,1)/COUNTIF(C:C,1)</f>
        <v>0.69230769230769229</v>
      </c>
      <c r="AU86" s="119">
        <f>COUNTIFS(M:M,"B",C:C,2)/COUNTIF(C:C,2)</f>
        <v>0.30769230769230771</v>
      </c>
      <c r="AV86" s="119">
        <f>COUNTIFS(M:M,"B",C:C,3)/COUNTIF(C:C,3)</f>
        <v>0.46153846153846156</v>
      </c>
      <c r="AW86" s="119">
        <f>COUNTIFS(M:M,"B",C:C,4)/COUNTIF(C:C,4)</f>
        <v>0.23076923076923078</v>
      </c>
      <c r="AX86" s="119">
        <f>COUNTIFS(M:M,"B",C:C,5)/COUNTIF(C:C,5)</f>
        <v>7.6923076923076927E-2</v>
      </c>
      <c r="AY86" s="119">
        <f>COUNTIFS(M:M,"B",C:C,6)/COUNTIF(C:C,6)</f>
        <v>0.23076923076923078</v>
      </c>
      <c r="AZ86" s="118"/>
      <c r="BA86" s="144"/>
      <c r="BB86" s="144"/>
      <c r="BC86" s="144"/>
      <c r="BD86" s="144"/>
      <c r="BE86" s="144"/>
      <c r="BF86" s="144"/>
      <c r="BG86" s="144"/>
      <c r="BI86" s="132"/>
    </row>
    <row r="87" spans="45:98" x14ac:dyDescent="0.3">
      <c r="AS87" s="119" t="s">
        <v>180</v>
      </c>
      <c r="AT87" s="119">
        <f>COUNTIFS(M:M,"C",C:C,1)/COUNTIF(C:C,1)</f>
        <v>0.23076923076923078</v>
      </c>
      <c r="AU87" s="119">
        <f>COUNTIFS(M:M,"C",C:C,2)/COUNTIF(C:C,2)</f>
        <v>0.38461538461538464</v>
      </c>
      <c r="AV87" s="119">
        <f>COUNTIFS(M:M,"C",C:C,3)/COUNTIF(C:C,3)</f>
        <v>0.23076923076923078</v>
      </c>
      <c r="AW87" s="119">
        <f>COUNTIFS(M:M,"C",C:C,4)/COUNTIF(C:C,4)</f>
        <v>0.38461538461538464</v>
      </c>
      <c r="AX87" s="119">
        <f>COUNTIFS(M:M,"C",C:C,5)/COUNTIF(C:C,5)</f>
        <v>0.23076923076923078</v>
      </c>
      <c r="AY87" s="119">
        <f>COUNTIFS(M:M,"C",C:C,6)/COUNTIF(C:C,6)</f>
        <v>7.6923076923076927E-2</v>
      </c>
      <c r="AZ87" s="118"/>
      <c r="BA87" s="144"/>
      <c r="BB87" s="144"/>
      <c r="BC87" s="144"/>
      <c r="BD87" s="144"/>
      <c r="BE87" s="144"/>
      <c r="BF87" s="144"/>
      <c r="BG87" s="144"/>
    </row>
    <row r="88" spans="45:98" x14ac:dyDescent="0.3">
      <c r="AS88" s="119" t="s">
        <v>181</v>
      </c>
      <c r="AT88" s="119">
        <f>COUNTIFS(M:M,"D",C:C,1)/COUNTIF(C:C,1)</f>
        <v>0</v>
      </c>
      <c r="AU88" s="119">
        <f>COUNTIFS(M:M,"D",C:C,2)/COUNTIF(C:C,2)</f>
        <v>0</v>
      </c>
      <c r="AV88" s="119">
        <f>COUNTIFS(M:M,"D",C:C,3)/COUNTIF(C:C,3)</f>
        <v>0</v>
      </c>
      <c r="AW88" s="119">
        <f>COUNTIFS(M:M,"D",C:C,4)/COUNTIF(C:C,4)</f>
        <v>0.15384615384615385</v>
      </c>
      <c r="AX88" s="119">
        <f>COUNTIFS(M:M,"D",C:C,5)/COUNTIF(C:C,5)</f>
        <v>0.30769230769230771</v>
      </c>
      <c r="AY88" s="119">
        <f>COUNTIFS(M:M,"D",C:C,6)/COUNTIF(C:C,6)</f>
        <v>0.15384615384615385</v>
      </c>
      <c r="AZ88" s="118"/>
      <c r="BA88" s="144"/>
      <c r="BB88" s="144"/>
      <c r="BC88" s="144"/>
      <c r="BD88" s="144"/>
      <c r="BE88" s="144"/>
      <c r="BF88" s="144"/>
      <c r="BG88" s="144"/>
      <c r="BI88" s="132"/>
    </row>
    <row r="89" spans="45:98" x14ac:dyDescent="0.3">
      <c r="AZ89" s="118"/>
      <c r="BA89" s="143"/>
      <c r="BB89" s="143"/>
      <c r="BC89" s="143"/>
      <c r="BD89" s="143"/>
      <c r="BE89" s="143"/>
      <c r="BF89" s="143"/>
      <c r="BG89" s="143"/>
    </row>
    <row r="90" spans="45:98" x14ac:dyDescent="0.3">
      <c r="AS90" s="119" t="s">
        <v>242</v>
      </c>
      <c r="AT90" s="119">
        <v>1</v>
      </c>
      <c r="AU90" s="119">
        <v>2</v>
      </c>
      <c r="AV90" s="119">
        <v>3</v>
      </c>
      <c r="AW90" s="119">
        <v>4</v>
      </c>
      <c r="AX90" s="119">
        <v>5</v>
      </c>
      <c r="AY90" s="119">
        <v>6</v>
      </c>
      <c r="AZ90" s="118"/>
      <c r="BA90" s="144"/>
      <c r="BB90" s="144"/>
      <c r="BC90" s="144"/>
      <c r="BD90" s="144"/>
      <c r="BE90" s="144"/>
      <c r="BF90" s="144"/>
      <c r="BG90" s="144"/>
      <c r="BI90" s="132"/>
    </row>
    <row r="91" spans="45:98" x14ac:dyDescent="0.3">
      <c r="AS91" s="119" t="s">
        <v>182</v>
      </c>
      <c r="AT91" s="119">
        <f>COUNTIFS(N:N,"A",C:C,1)/COUNTIF(C:C,1)</f>
        <v>0.46153846153846156</v>
      </c>
      <c r="AU91" s="119">
        <f>COUNTIFS(N:N,"A",C:C,2)/COUNTIF(C:C,2)</f>
        <v>0.53846153846153844</v>
      </c>
      <c r="AV91" s="119">
        <f>COUNTIFS(N:N,"A",C:C,3)/COUNTIF(C:C,3)</f>
        <v>0.61538461538461542</v>
      </c>
      <c r="AW91" s="119">
        <f>COUNTIFS(N:N,"A",C:C,4)/COUNTIF(C:C,4)</f>
        <v>0.30769230769230771</v>
      </c>
      <c r="AX91" s="119">
        <f>COUNTIFS(N:N,"A",C:C,5)/COUNTIF(C:C,5)</f>
        <v>0.38461538461538464</v>
      </c>
      <c r="AY91" s="119">
        <f>COUNTIFS(N:N,"A",C:C,6)/COUNTIF(C:C,6)</f>
        <v>0.61538461538461542</v>
      </c>
      <c r="AZ91" s="118"/>
      <c r="BA91" s="144"/>
      <c r="BB91" s="144"/>
      <c r="BC91" s="144"/>
      <c r="BD91" s="144"/>
      <c r="BE91" s="144"/>
      <c r="BF91" s="144"/>
      <c r="BG91" s="144"/>
    </row>
    <row r="92" spans="45:98" x14ac:dyDescent="0.3">
      <c r="AS92" s="119" t="s">
        <v>183</v>
      </c>
      <c r="AT92" s="119">
        <f>COUNTIFS(N:N,"B",C:C,1)/COUNTIF(C:C,1)</f>
        <v>0.46153846153846156</v>
      </c>
      <c r="AU92" s="119">
        <f>COUNTIFS(N:N,"B",C:C,2)/COUNTIF(C:C,2)</f>
        <v>0.30769230769230771</v>
      </c>
      <c r="AV92" s="119">
        <f>COUNTIFS(N:N,"B",C:C,3)/COUNTIF(C:C,3)</f>
        <v>0.23076923076923078</v>
      </c>
      <c r="AW92" s="119">
        <f>COUNTIFS(N:N,"B",C:C,4)/COUNTIF(C:C,4)</f>
        <v>0.46153846153846156</v>
      </c>
      <c r="AX92" s="119">
        <f>COUNTIFS(N:N,"B",C:C,5)/COUNTIF(C:C,5)</f>
        <v>0.15384615384615385</v>
      </c>
      <c r="AY92" s="119">
        <f>COUNTIFS(N:N,"B",C:C,6)/COUNTIF(C:C,6)</f>
        <v>0.30769230769230771</v>
      </c>
      <c r="AZ92" s="118"/>
      <c r="BA92" s="144"/>
      <c r="BB92" s="144"/>
      <c r="BC92" s="144"/>
      <c r="BD92" s="144"/>
      <c r="BE92" s="144"/>
      <c r="BF92" s="144"/>
      <c r="BG92" s="144"/>
      <c r="BI92" s="132"/>
    </row>
    <row r="93" spans="45:98" x14ac:dyDescent="0.3">
      <c r="AS93" s="119" t="s">
        <v>184</v>
      </c>
      <c r="AT93" s="119">
        <f>COUNTIFS(N:N,"C",C:C,1)/COUNTIF(C:C,1)</f>
        <v>7.6923076923076927E-2</v>
      </c>
      <c r="AU93" s="119">
        <f>COUNTIFS(N:N,"C",C:C,2)/COUNTIF(C:C,2)</f>
        <v>0.15384615384615385</v>
      </c>
      <c r="AV93" s="119">
        <f>COUNTIFS(N:N,"C",C:C,3)/COUNTIF(C:C,3)</f>
        <v>7.6923076923076927E-2</v>
      </c>
      <c r="AW93" s="119">
        <f>COUNTIFS(N:N,"C",C:C,4)/COUNTIF(C:C,4)</f>
        <v>0</v>
      </c>
      <c r="AX93" s="119">
        <f>COUNTIFS(N:N,"C",C:C,5)/COUNTIF(C:C,5)</f>
        <v>0.38461538461538464</v>
      </c>
      <c r="AY93" s="119">
        <f>COUNTIFS(N:N,"C",C:C,6)/COUNTIF(C:C,6)</f>
        <v>7.6923076923076927E-2</v>
      </c>
      <c r="AZ93" s="118"/>
      <c r="BA93" s="144"/>
      <c r="BB93" s="144"/>
      <c r="BC93" s="144"/>
      <c r="BD93" s="144"/>
      <c r="BE93" s="144"/>
      <c r="BF93" s="144"/>
      <c r="BG93" s="144"/>
    </row>
    <row r="94" spans="45:98" x14ac:dyDescent="0.3">
      <c r="AS94" s="119" t="s">
        <v>185</v>
      </c>
      <c r="AT94" s="119">
        <f>COUNTIFS(N:N,"D",C:C,1)/COUNTIF(C:C,1)</f>
        <v>0</v>
      </c>
      <c r="AU94" s="119">
        <f>COUNTIFS(N:N,"D",C:C,2)/COUNTIF(C:C,2)</f>
        <v>0</v>
      </c>
      <c r="AV94" s="119">
        <f>COUNTIFS(N:N,"D",C:C,3)/COUNTIF(C:C,3)</f>
        <v>7.6923076923076927E-2</v>
      </c>
      <c r="AW94" s="119">
        <f>COUNTIFS(N:N,"D",C:C,4)/COUNTIF(C:C,4)</f>
        <v>0.23076923076923078</v>
      </c>
      <c r="AX94" s="119">
        <f>COUNTIFS(N:N,"D",C:C,5)/COUNTIF(C:C,5)</f>
        <v>7.6923076923076927E-2</v>
      </c>
      <c r="AY94" s="119">
        <f>COUNTIFS(N:N,"D",C:C,6)/COUNTIF(C:C,6)</f>
        <v>0</v>
      </c>
      <c r="AZ94" s="118"/>
      <c r="BA94" s="144"/>
      <c r="BB94" s="144"/>
      <c r="BC94" s="144"/>
      <c r="BD94" s="144"/>
      <c r="BE94" s="144"/>
      <c r="BF94" s="144"/>
      <c r="BG94" s="144"/>
      <c r="BI94" s="132"/>
    </row>
    <row r="95" spans="45:98" x14ac:dyDescent="0.3">
      <c r="AZ95" s="118"/>
      <c r="BA95" s="143"/>
      <c r="BB95" s="143"/>
      <c r="BC95" s="143"/>
      <c r="BD95" s="143"/>
      <c r="BE95" s="143"/>
      <c r="BF95" s="143"/>
      <c r="BG95" s="143"/>
    </row>
    <row r="96" spans="45:98" x14ac:dyDescent="0.3">
      <c r="AS96" s="119" t="s">
        <v>243</v>
      </c>
      <c r="AT96" s="119">
        <v>1</v>
      </c>
      <c r="AU96" s="119">
        <v>2</v>
      </c>
      <c r="AV96" s="119">
        <v>3</v>
      </c>
      <c r="AW96" s="119">
        <v>4</v>
      </c>
      <c r="AX96" s="119">
        <v>5</v>
      </c>
      <c r="AY96" s="119">
        <v>6</v>
      </c>
      <c r="AZ96" s="118"/>
      <c r="BA96" s="144"/>
      <c r="BB96" s="144"/>
      <c r="BC96" s="144"/>
      <c r="BD96" s="144"/>
      <c r="BE96" s="144"/>
      <c r="BF96" s="144"/>
      <c r="BG96" s="144"/>
    </row>
    <row r="97" spans="45:98" x14ac:dyDescent="0.3">
      <c r="AS97" s="119" t="s">
        <v>186</v>
      </c>
      <c r="AT97" s="119">
        <f>COUNTIFS(O:O,"A",C:C,1)/COUNTIF(C:C,1)</f>
        <v>0.23076923076923078</v>
      </c>
      <c r="AU97" s="119">
        <f>COUNTIFS(O:O,"A",C:C,2)/COUNTIF(C:C,2)</f>
        <v>0.23076923076923078</v>
      </c>
      <c r="AV97" s="119">
        <f>COUNTIFS(O:O,"A",C:C,3)/COUNTIF(C:C,3)</f>
        <v>0</v>
      </c>
      <c r="AW97" s="119">
        <f>COUNTIFS(O:O,"A",C:C,4)/COUNTIF(C:C,4)</f>
        <v>0.23076923076923078</v>
      </c>
      <c r="AX97" s="119">
        <f>COUNTIFS(O:O,"A",C:C,5)/COUNTIF(C:C,5)</f>
        <v>0.15384615384615385</v>
      </c>
      <c r="AY97" s="119">
        <f>COUNTIFS(O:O,"A",C:C,6)/COUNTIF(C:C,6)</f>
        <v>7.6923076923076927E-2</v>
      </c>
      <c r="AZ97" s="118"/>
      <c r="BA97" s="144"/>
      <c r="BB97" s="144"/>
      <c r="BC97" s="144"/>
      <c r="BD97" s="144"/>
      <c r="BE97" s="144"/>
      <c r="BF97" s="144"/>
      <c r="BG97" s="144"/>
      <c r="BI97" s="125"/>
      <c r="BK97" s="121"/>
      <c r="BL97" s="121"/>
      <c r="BM97" s="121"/>
      <c r="BN97" s="121"/>
      <c r="BO97" s="121"/>
      <c r="BP97" s="121"/>
      <c r="BQ97" s="121"/>
      <c r="BR97" s="121"/>
      <c r="BS97" s="121"/>
      <c r="BT97" s="121"/>
      <c r="BU97" s="121"/>
      <c r="BV97" s="121"/>
      <c r="BW97" s="121"/>
      <c r="BX97" s="121"/>
      <c r="BY97" s="121"/>
      <c r="BZ97" s="121"/>
      <c r="CA97" s="121"/>
      <c r="CB97" s="121"/>
      <c r="CC97" s="121"/>
      <c r="CD97" s="121"/>
      <c r="CE97" s="121"/>
      <c r="CF97" s="121"/>
      <c r="CG97" s="121"/>
      <c r="CH97" s="121"/>
      <c r="CI97" s="121"/>
      <c r="CJ97" s="121"/>
      <c r="CK97" s="121"/>
      <c r="CL97" s="121"/>
      <c r="CM97" s="121"/>
      <c r="CN97" s="121"/>
      <c r="CO97" s="121"/>
      <c r="CP97" s="121"/>
      <c r="CQ97" s="121"/>
      <c r="CR97" s="121"/>
      <c r="CS97" s="121"/>
      <c r="CT97" s="121"/>
    </row>
    <row r="98" spans="45:98" x14ac:dyDescent="0.3">
      <c r="AS98" s="119" t="s">
        <v>188</v>
      </c>
      <c r="AT98" s="119">
        <f>COUNTIFS(O:O,"B",C:C,1)/COUNTIF(C:C,1)</f>
        <v>0.23076923076923078</v>
      </c>
      <c r="AU98" s="119">
        <f>COUNTIFS(O:O,"B",C:C,2)/COUNTIF(C:C,2)</f>
        <v>7.6923076923076927E-2</v>
      </c>
      <c r="AV98" s="119">
        <f>COUNTIFS(O:O,"B",C:C,3)/COUNTIF(C:C,3)</f>
        <v>0</v>
      </c>
      <c r="AW98" s="119">
        <f>COUNTIFS(O:O,"B",C:C,4)/COUNTIF(C:C,4)</f>
        <v>0.15384615384615385</v>
      </c>
      <c r="AX98" s="119">
        <f>COUNTIFS(O:O,"B",C:C,5)/COUNTIF(C:C,5)</f>
        <v>7.6923076923076927E-2</v>
      </c>
      <c r="AY98" s="119">
        <f>COUNTIFS(O:O,"B",C:C,6)/COUNTIF(C:C,6)</f>
        <v>0.15384615384615385</v>
      </c>
      <c r="AZ98" s="118"/>
      <c r="BA98" s="144"/>
      <c r="BB98" s="144"/>
      <c r="BC98" s="144"/>
      <c r="BD98" s="144"/>
      <c r="BE98" s="144"/>
      <c r="BF98" s="144"/>
      <c r="BG98" s="144"/>
      <c r="BI98" s="125"/>
    </row>
    <row r="99" spans="45:98" x14ac:dyDescent="0.3">
      <c r="AS99" s="119" t="s">
        <v>189</v>
      </c>
      <c r="AT99" s="119">
        <f>COUNTIFS(O:O,"C",C:C,1)/COUNTIF(C:C,1)</f>
        <v>0.38461538461538464</v>
      </c>
      <c r="AU99" s="119">
        <f>COUNTIFS(O:O,"C",C:C,2)/COUNTIF(C:C,2)</f>
        <v>0.38461538461538464</v>
      </c>
      <c r="AV99" s="119">
        <f>COUNTIFS(O:O,"C",C:C,3)/COUNTIF(C:C,3)</f>
        <v>0.46153846153846156</v>
      </c>
      <c r="AW99" s="119">
        <f>COUNTIFS(O:O,"C",C:C,4)/COUNTIF(C:C,4)</f>
        <v>0.23076923076923078</v>
      </c>
      <c r="AX99" s="119">
        <f>COUNTIFS(O:O,"C",C:C,5)/COUNTIF(C:C,5)</f>
        <v>0.38461538461538464</v>
      </c>
      <c r="AY99" s="119">
        <f>COUNTIFS(O:O,"C",C:C,6)/COUNTIF(C:C,6)</f>
        <v>7.6923076923076927E-2</v>
      </c>
      <c r="AZ99" s="118"/>
      <c r="BA99" s="144"/>
      <c r="BB99" s="144"/>
      <c r="BC99" s="144"/>
      <c r="BD99" s="144"/>
      <c r="BE99" s="144"/>
      <c r="BF99" s="144"/>
      <c r="BG99" s="144"/>
    </row>
    <row r="100" spans="45:98" x14ac:dyDescent="0.3">
      <c r="AS100" s="119" t="s">
        <v>190</v>
      </c>
      <c r="AT100" s="119">
        <f>COUNTIFS(O:O,"D",C:C,1)/COUNTIF(C:C,1)</f>
        <v>0.15384615384615385</v>
      </c>
      <c r="AU100" s="119">
        <f>COUNTIFS(O:O,"D",C:C,2)/COUNTIF(C:C,2)</f>
        <v>0.30769230769230771</v>
      </c>
      <c r="AV100" s="119">
        <f>COUNTIFS(O:O,"D",C:C,3)/COUNTIF(C:C,3)</f>
        <v>0.53846153846153844</v>
      </c>
      <c r="AW100" s="119">
        <f>COUNTIFS(O:O,"D",C:C,4)/COUNTIF(C:C,4)</f>
        <v>0.38461538461538464</v>
      </c>
      <c r="AX100" s="119">
        <f>COUNTIFS(O:O,"D",C:C,5)/COUNTIF(C:C,5)</f>
        <v>0.38461538461538464</v>
      </c>
      <c r="AY100" s="119">
        <f>COUNTIFS(O:O,"D",C:C,6)/COUNTIF(C:C,6)</f>
        <v>0.69230769230769229</v>
      </c>
      <c r="AZ100" s="118"/>
      <c r="BA100" s="144"/>
      <c r="BB100" s="144"/>
      <c r="BC100" s="144"/>
      <c r="BD100" s="144"/>
      <c r="BE100" s="144"/>
      <c r="BF100" s="144"/>
      <c r="BG100" s="144"/>
      <c r="BI100" s="132"/>
    </row>
    <row r="101" spans="45:98" x14ac:dyDescent="0.3">
      <c r="AZ101" s="118"/>
      <c r="BA101" s="143"/>
      <c r="BB101" s="143"/>
      <c r="BC101" s="143"/>
      <c r="BD101" s="143"/>
      <c r="BE101" s="143"/>
      <c r="BF101" s="143"/>
      <c r="BG101" s="143"/>
    </row>
    <row r="102" spans="45:98" x14ac:dyDescent="0.3">
      <c r="AS102" s="119" t="s">
        <v>244</v>
      </c>
      <c r="AT102" s="119">
        <v>1</v>
      </c>
      <c r="AU102" s="119">
        <v>2</v>
      </c>
      <c r="AV102" s="119">
        <v>3</v>
      </c>
      <c r="AW102" s="119">
        <v>4</v>
      </c>
      <c r="AX102" s="119">
        <v>5</v>
      </c>
      <c r="AY102" s="119">
        <v>6</v>
      </c>
      <c r="AZ102" s="118"/>
      <c r="BA102" s="144"/>
      <c r="BB102" s="144"/>
      <c r="BC102" s="144"/>
      <c r="BD102" s="144"/>
      <c r="BE102" s="144"/>
      <c r="BF102" s="144"/>
      <c r="BG102" s="144"/>
      <c r="BI102" s="132"/>
    </row>
    <row r="103" spans="45:98" x14ac:dyDescent="0.3">
      <c r="AS103" s="119" t="s">
        <v>191</v>
      </c>
      <c r="AT103" s="119">
        <f>COUNTIFS(P:P,"A",C:C,1)/COUNTIF(C:C,1)</f>
        <v>0</v>
      </c>
      <c r="AU103" s="119">
        <f>COUNTIFS(P:P,"A",C:C,2)/COUNTIF(C:C,2)</f>
        <v>0</v>
      </c>
      <c r="AV103" s="119">
        <f>COUNTIFS(P:P,"A",C:C,3)/COUNTIF(C:C,3)</f>
        <v>0</v>
      </c>
      <c r="AW103" s="119">
        <f>COUNTIFS(P:P,"A",C:C,4)/COUNTIF(C:C,4)</f>
        <v>7.6923076923076927E-2</v>
      </c>
      <c r="AX103" s="119">
        <f>COUNTIFS(P:P,"A",C:C,5)/COUNTIF(C:C,5)</f>
        <v>7.6923076923076927E-2</v>
      </c>
      <c r="AY103" s="119">
        <f>COUNTIFS(P:P,"A",C:C,6)/COUNTIF(C:C,6)</f>
        <v>0</v>
      </c>
      <c r="AZ103" s="118"/>
      <c r="BA103" s="144"/>
      <c r="BB103" s="144"/>
      <c r="BC103" s="144"/>
      <c r="BD103" s="144"/>
      <c r="BE103" s="144"/>
      <c r="BF103" s="144"/>
      <c r="BG103" s="144"/>
    </row>
    <row r="104" spans="45:98" x14ac:dyDescent="0.3">
      <c r="AS104" s="119" t="s">
        <v>187</v>
      </c>
      <c r="AT104" s="119">
        <f>COUNTIFS(P:P,"B",C:C,1)/COUNTIF(C:C,1)</f>
        <v>0</v>
      </c>
      <c r="AU104" s="119">
        <f>COUNTIFS(P:P,"B",C:C,2)/COUNTIF(C:C,2)</f>
        <v>0</v>
      </c>
      <c r="AV104" s="119">
        <f>COUNTIFS(P:P,"B",C:C,3)/COUNTIF(C:C,3)</f>
        <v>7.6923076923076927E-2</v>
      </c>
      <c r="AW104" s="119">
        <f>COUNTIFS(P:P,"B",C:C,4)/COUNTIF(C:C,4)</f>
        <v>0</v>
      </c>
      <c r="AX104" s="119">
        <f>COUNTIFS(P:P,"B",C:C,5)/COUNTIF(C:C,5)</f>
        <v>0</v>
      </c>
      <c r="AY104" s="119">
        <f>COUNTIFS(P:P,"B",C:C,6)/COUNTIF(C:C,6)</f>
        <v>0</v>
      </c>
      <c r="AZ104" s="118"/>
      <c r="BA104" s="144"/>
      <c r="BB104" s="144"/>
      <c r="BC104" s="144"/>
      <c r="BD104" s="144"/>
      <c r="BE104" s="144"/>
      <c r="BF104" s="144"/>
      <c r="BG104" s="144"/>
      <c r="BI104" s="132"/>
    </row>
    <row r="105" spans="45:98" x14ac:dyDescent="0.3">
      <c r="AS105" s="119" t="s">
        <v>192</v>
      </c>
      <c r="AT105" s="119">
        <f>COUNTIFS(P:P,"C",C:C,1)/COUNTIF(C:C,1)</f>
        <v>0.23076923076923078</v>
      </c>
      <c r="AU105" s="119">
        <f>COUNTIFS(P:P,"C",C:C,2)/COUNTIF(C:C,2)</f>
        <v>0</v>
      </c>
      <c r="AV105" s="119">
        <f>COUNTIFS(P:P,"C",C:C,3)/COUNTIF(C:C,3)</f>
        <v>0.38461538461538464</v>
      </c>
      <c r="AW105" s="119">
        <f>COUNTIFS(P:P,"C",C:C,4)/COUNTIF(C:C,4)</f>
        <v>7.6923076923076927E-2</v>
      </c>
      <c r="AX105" s="119">
        <f>COUNTIFS(P:P,"C",C:C,5)/COUNTIF(C:C,5)</f>
        <v>0.23076923076923078</v>
      </c>
      <c r="AY105" s="119">
        <f>COUNTIFS(P:P,"C",C:C,6)/COUNTIF(C:C,6)</f>
        <v>0.30769230769230771</v>
      </c>
      <c r="AZ105" s="118"/>
      <c r="BA105" s="144"/>
      <c r="BB105" s="144"/>
      <c r="BC105" s="144"/>
      <c r="BD105" s="144"/>
      <c r="BE105" s="144"/>
      <c r="BF105" s="144"/>
      <c r="BG105" s="144"/>
    </row>
    <row r="106" spans="45:98" x14ac:dyDescent="0.3">
      <c r="AS106" s="119" t="s">
        <v>193</v>
      </c>
      <c r="AT106" s="119">
        <f>COUNTIFS(P:P,"D",C:C,1)/COUNTIF(C:C,1)</f>
        <v>0.76923076923076927</v>
      </c>
      <c r="AU106" s="119">
        <f>COUNTIFS(P:P,"D",C:C,2)/COUNTIF(C:C,2)</f>
        <v>1</v>
      </c>
      <c r="AV106" s="119">
        <f>COUNTIFS(P:P,"D",C:C,3)/COUNTIF(C:C,3)</f>
        <v>0.53846153846153844</v>
      </c>
      <c r="AW106" s="119">
        <f>COUNTIFS(P:P,"D",C:C,4)/COUNTIF(C:C,4)</f>
        <v>0.84615384615384615</v>
      </c>
      <c r="AX106" s="119">
        <f>COUNTIFS(P:P,"D",C:C,5)/COUNTIF(C:C,5)</f>
        <v>0.69230769230769229</v>
      </c>
      <c r="AY106" s="119">
        <f>COUNTIFS(P:P,"D",C:C,6)/COUNTIF(C:C,6)</f>
        <v>0.69230769230769229</v>
      </c>
      <c r="AZ106" s="118"/>
      <c r="BA106" s="144"/>
      <c r="BB106" s="144"/>
      <c r="BC106" s="144"/>
      <c r="BD106" s="144"/>
      <c r="BE106" s="144"/>
      <c r="BF106" s="144"/>
      <c r="BG106" s="144"/>
      <c r="BI106" s="132"/>
    </row>
    <row r="107" spans="45:98" x14ac:dyDescent="0.3">
      <c r="AZ107" s="118"/>
      <c r="BA107" s="143"/>
      <c r="BB107" s="143"/>
      <c r="BC107" s="143"/>
      <c r="BD107" s="143"/>
      <c r="BE107" s="143"/>
      <c r="BF107" s="143"/>
      <c r="BG107" s="143"/>
    </row>
    <row r="108" spans="45:98" x14ac:dyDescent="0.3">
      <c r="AS108" s="119" t="s">
        <v>245</v>
      </c>
      <c r="AT108" s="119">
        <v>1</v>
      </c>
      <c r="AU108" s="119">
        <v>2</v>
      </c>
      <c r="AV108" s="119">
        <v>3</v>
      </c>
      <c r="AW108" s="119">
        <v>4</v>
      </c>
      <c r="AX108" s="119">
        <v>5</v>
      </c>
      <c r="AY108" s="119">
        <v>6</v>
      </c>
      <c r="AZ108" s="118"/>
      <c r="BA108" s="144"/>
      <c r="BB108" s="144"/>
      <c r="BC108" s="144"/>
      <c r="BD108" s="144"/>
      <c r="BE108" s="144"/>
      <c r="BF108" s="144"/>
      <c r="BG108" s="144"/>
      <c r="BI108" s="132"/>
    </row>
    <row r="109" spans="45:98" x14ac:dyDescent="0.3">
      <c r="AS109" s="119" t="s">
        <v>194</v>
      </c>
      <c r="AT109" s="119">
        <f>COUNTIFS(Q:Q,"A",C:C,1)/COUNTIF(C:C,1)</f>
        <v>0</v>
      </c>
      <c r="AU109" s="119">
        <f>COUNTIFS(Q:Q,"A",C:C,2)/COUNTIF(C:C,2)</f>
        <v>0.38461538461538464</v>
      </c>
      <c r="AV109" s="119">
        <f>COUNTIFS(Q:Q,"A",C:C,3)/COUNTIF(C:C,3)</f>
        <v>0.15384615384615385</v>
      </c>
      <c r="AW109" s="119">
        <f>COUNTIFS(Q:Q,"A",C:C,4)/COUNTIF(C:C,4)</f>
        <v>7.6923076923076927E-2</v>
      </c>
      <c r="AX109" s="119">
        <f>COUNTIFS(Q:Q,"A",C:C,5)/COUNTIF(C:C,5)</f>
        <v>0.30769230769230771</v>
      </c>
      <c r="AY109" s="119">
        <f>COUNTIFS(Q:Q,"A",C:C,6)/COUNTIF(C:C,6)</f>
        <v>0.30769230769230771</v>
      </c>
      <c r="AZ109" s="118"/>
      <c r="BA109" s="144"/>
      <c r="BB109" s="144"/>
      <c r="BC109" s="144"/>
      <c r="BD109" s="144"/>
      <c r="BE109" s="144"/>
      <c r="BF109" s="144"/>
      <c r="BG109" s="144"/>
    </row>
    <row r="110" spans="45:98" x14ac:dyDescent="0.3">
      <c r="AS110" s="119" t="s">
        <v>195</v>
      </c>
      <c r="AT110" s="119">
        <f>COUNTIFS(Q:Q,"B",C:C,1)/COUNTIF(C:C,1)</f>
        <v>1</v>
      </c>
      <c r="AU110" s="119">
        <f>COUNTIFS(Q:Q,"B",C:C,2)/COUNTIF(C:C,2)</f>
        <v>0.61538461538461542</v>
      </c>
      <c r="AV110" s="119">
        <f>COUNTIFS(Q:Q,"B",C:C,3)/COUNTIF(C:C,3)</f>
        <v>0.61538461538461542</v>
      </c>
      <c r="AW110" s="119">
        <f>COUNTIFS(Q:Q,"B",C:C,4)/COUNTIF(C:C,4)</f>
        <v>0.53846153846153844</v>
      </c>
      <c r="AX110" s="119">
        <f>COUNTIFS(Q:Q,"B",C:C,5)/COUNTIF(C:C,5)</f>
        <v>0.15384615384615385</v>
      </c>
      <c r="AY110" s="119">
        <f>COUNTIFS(Q:Q,"B",C:C,6)/COUNTIF(C:C,6)</f>
        <v>0.46153846153846156</v>
      </c>
      <c r="AZ110" s="118"/>
      <c r="BA110" s="144"/>
      <c r="BB110" s="144"/>
      <c r="BC110" s="144"/>
      <c r="BD110" s="144"/>
      <c r="BE110" s="144"/>
      <c r="BF110" s="144"/>
      <c r="BG110" s="144"/>
      <c r="BI110" s="132"/>
    </row>
    <row r="111" spans="45:98" x14ac:dyDescent="0.3">
      <c r="AS111" s="119" t="s">
        <v>196</v>
      </c>
      <c r="AT111" s="119">
        <f>COUNTIFS(Q:Q,"C",C:C,1)/COUNTIF(C:C,1)</f>
        <v>0</v>
      </c>
      <c r="AU111" s="119">
        <f>COUNTIFS(Q:Q,"C",C:C,2)/COUNTIF(C:C,2)</f>
        <v>0</v>
      </c>
      <c r="AV111" s="119">
        <f>COUNTIFS(Q:Q,"C",C:C,3)/COUNTIF(C:C,3)</f>
        <v>0.15384615384615385</v>
      </c>
      <c r="AW111" s="119">
        <f>COUNTIFS(Q:Q,"C",C:C,4)/COUNTIF(C:C,4)</f>
        <v>0.38461538461538464</v>
      </c>
      <c r="AX111" s="119">
        <f>COUNTIFS(Q:Q,"C",C:C,5)/COUNTIF(C:C,5)</f>
        <v>0.53846153846153844</v>
      </c>
      <c r="AY111" s="119">
        <f>COUNTIFS(Q:Q,"C",C:C,6)/COUNTIF(C:C,6)</f>
        <v>0.23076923076923078</v>
      </c>
      <c r="AZ111" s="118"/>
      <c r="BA111" s="144"/>
      <c r="BB111" s="144"/>
      <c r="BC111" s="144"/>
      <c r="BD111" s="144"/>
      <c r="BE111" s="144"/>
      <c r="BF111" s="144"/>
      <c r="BG111" s="144"/>
    </row>
    <row r="112" spans="45:98" x14ac:dyDescent="0.3">
      <c r="AS112" s="119" t="s">
        <v>197</v>
      </c>
      <c r="AT112" s="119">
        <f>COUNTIFS(Q:Q,"D",C:C,1)/COUNTIF(C:C,1)</f>
        <v>0</v>
      </c>
      <c r="AU112" s="119">
        <f>COUNTIFS(Q:Q,"D",C:C,2)/COUNTIF(C:C,2)</f>
        <v>0</v>
      </c>
      <c r="AV112" s="119">
        <f>COUNTIFS(Q:Q,"D",C:C,3)/COUNTIF(C:C,3)</f>
        <v>7.6923076923076927E-2</v>
      </c>
      <c r="AW112" s="119">
        <f>COUNTIFS(Q:Q,"D",C:C,4)/COUNTIF(C:C,4)</f>
        <v>0</v>
      </c>
      <c r="AX112" s="119">
        <f>COUNTIFS(Q:Q,"D",C:C,5)/COUNTIF(C:C,5)</f>
        <v>0</v>
      </c>
      <c r="AY112" s="119">
        <f>COUNTIFS(Q:Q,"D",C:C,6)/COUNTIF(C:C,6)</f>
        <v>0</v>
      </c>
      <c r="AZ112" s="118"/>
      <c r="BA112" s="144"/>
      <c r="BB112" s="144"/>
      <c r="BC112" s="144"/>
      <c r="BD112" s="144"/>
      <c r="BE112" s="144"/>
      <c r="BF112" s="144"/>
      <c r="BG112" s="144"/>
    </row>
    <row r="113" spans="45:98" x14ac:dyDescent="0.3">
      <c r="AZ113" s="118"/>
      <c r="BA113" s="143"/>
      <c r="BB113" s="143"/>
      <c r="BC113" s="143"/>
      <c r="BD113" s="143"/>
      <c r="BE113" s="143"/>
      <c r="BF113" s="143"/>
      <c r="BG113" s="143"/>
      <c r="BI113" s="125"/>
      <c r="BK113" s="121"/>
      <c r="BL113" s="121"/>
      <c r="BM113" s="121"/>
      <c r="BN113" s="121"/>
      <c r="BO113" s="121"/>
      <c r="BP113" s="121"/>
      <c r="BQ113" s="121"/>
      <c r="BR113" s="121"/>
      <c r="BS113" s="121"/>
      <c r="BT113" s="121"/>
      <c r="BU113" s="121"/>
      <c r="BV113" s="121"/>
      <c r="BW113" s="121"/>
      <c r="BX113" s="121"/>
      <c r="BY113" s="121"/>
      <c r="BZ113" s="121"/>
      <c r="CA113" s="121"/>
      <c r="CB113" s="121"/>
      <c r="CC113" s="121"/>
      <c r="CD113" s="121"/>
      <c r="CE113" s="121"/>
      <c r="CF113" s="121"/>
      <c r="CG113" s="121"/>
      <c r="CH113" s="121"/>
      <c r="CI113" s="121"/>
      <c r="CJ113" s="121"/>
      <c r="CK113" s="121"/>
      <c r="CL113" s="121"/>
      <c r="CM113" s="121"/>
      <c r="CN113" s="121"/>
      <c r="CO113" s="121"/>
      <c r="CP113" s="121"/>
      <c r="CQ113" s="121"/>
      <c r="CR113" s="121"/>
      <c r="CS113" s="121"/>
      <c r="CT113" s="121"/>
    </row>
    <row r="114" spans="45:98" x14ac:dyDescent="0.3">
      <c r="AS114" s="119" t="s">
        <v>246</v>
      </c>
      <c r="AT114" s="119">
        <v>1</v>
      </c>
      <c r="AU114" s="119">
        <v>2</v>
      </c>
      <c r="AV114" s="119">
        <v>3</v>
      </c>
      <c r="AW114" s="119">
        <v>4</v>
      </c>
      <c r="AX114" s="119">
        <v>5</v>
      </c>
      <c r="AY114" s="119">
        <v>6</v>
      </c>
      <c r="AZ114" s="118"/>
      <c r="BA114" s="144"/>
      <c r="BB114" s="144"/>
      <c r="BC114" s="144"/>
      <c r="BD114" s="144"/>
      <c r="BE114" s="144"/>
      <c r="BF114" s="144"/>
      <c r="BG114" s="144"/>
      <c r="BI114" s="125"/>
    </row>
    <row r="115" spans="45:98" x14ac:dyDescent="0.3">
      <c r="AS115" s="119" t="s">
        <v>198</v>
      </c>
      <c r="AT115" s="119">
        <f>COUNTIFS(R:R,"A",C:C,1)/COUNTIF(C:C,1)</f>
        <v>0.23076923076923078</v>
      </c>
      <c r="AU115" s="119">
        <f>COUNTIFS(R:R,"A",C:C,2)/COUNTIF(C:C,2)</f>
        <v>0.23076923076923078</v>
      </c>
      <c r="AV115" s="119">
        <f>COUNTIFS(R:R,"A",C:C,3)/COUNTIF(C:C,3)</f>
        <v>0</v>
      </c>
      <c r="AW115" s="119">
        <f>COUNTIFS(R:R,"A",C:C,4)/COUNTIF(C:C,4)</f>
        <v>7.6923076923076927E-2</v>
      </c>
      <c r="AX115" s="119">
        <f>COUNTIFS(R:R,"A",C:C,5)/COUNTIF(C:C,5)</f>
        <v>0</v>
      </c>
      <c r="AY115" s="119">
        <f>COUNTIFS(R:R,"A",C:C,6)/COUNTIF(C:C,6)</f>
        <v>0</v>
      </c>
      <c r="AZ115" s="118"/>
      <c r="BA115" s="144"/>
      <c r="BB115" s="144"/>
      <c r="BC115" s="144"/>
      <c r="BD115" s="144"/>
      <c r="BE115" s="144"/>
      <c r="BF115" s="144"/>
      <c r="BG115" s="144"/>
    </row>
    <row r="116" spans="45:98" x14ac:dyDescent="0.3">
      <c r="AS116" s="119" t="s">
        <v>199</v>
      </c>
      <c r="AT116" s="119">
        <f>COUNTIFS(R:R,"B",C:C,1)/COUNTIF(C:C,1)</f>
        <v>0.53846153846153844</v>
      </c>
      <c r="AU116" s="119">
        <f>COUNTIFS(R:R,"B",C:C,2)/COUNTIF(C:C,2)</f>
        <v>0.23076923076923078</v>
      </c>
      <c r="AV116" s="119">
        <f>COUNTIFS(R:R,"B",C:C,3)/COUNTIF(C:C,3)</f>
        <v>0.23076923076923078</v>
      </c>
      <c r="AW116" s="119">
        <f>COUNTIFS(R:R,"B",C:C,4)/COUNTIF(C:C,4)</f>
        <v>0.23076923076923078</v>
      </c>
      <c r="AX116" s="119">
        <f>COUNTIFS(R:R,"B",C:C,5)/COUNTIF(C:C,5)</f>
        <v>0.15384615384615385</v>
      </c>
      <c r="AY116" s="119">
        <f>COUNTIFS(R:R,"B",C:C,6)/COUNTIF(C:C,6)</f>
        <v>0.23076923076923078</v>
      </c>
      <c r="AZ116" s="118"/>
      <c r="BA116" s="144"/>
      <c r="BB116" s="144"/>
      <c r="BC116" s="144"/>
      <c r="BD116" s="144"/>
      <c r="BE116" s="144"/>
      <c r="BF116" s="144"/>
      <c r="BG116" s="144"/>
      <c r="BI116" s="132"/>
    </row>
    <row r="117" spans="45:98" x14ac:dyDescent="0.3">
      <c r="AS117" s="119" t="s">
        <v>200</v>
      </c>
      <c r="AT117" s="119">
        <f>COUNTIFS(R:R,"C",C:C,1)/COUNTIF(C:C,1)</f>
        <v>0.23076923076923078</v>
      </c>
      <c r="AU117" s="119">
        <f>COUNTIFS(R:R,"C",C:C,2)/COUNTIF(C:C,2)</f>
        <v>0.15384615384615385</v>
      </c>
      <c r="AV117" s="119">
        <f>COUNTIFS(R:R,"C",C:C,3)/COUNTIF(C:C,3)</f>
        <v>0.38461538461538464</v>
      </c>
      <c r="AW117" s="119">
        <f>COUNTIFS(R:R,"C",C:C,4)/COUNTIF(C:C,4)</f>
        <v>0.46153846153846156</v>
      </c>
      <c r="AX117" s="119">
        <f>COUNTIFS(R:R,"C",C:C,5)/COUNTIF(C:C,5)</f>
        <v>0.38461538461538464</v>
      </c>
      <c r="AY117" s="119">
        <f>COUNTIFS(R:R,"C",C:C,6)/COUNTIF(C:C,6)</f>
        <v>0.30769230769230771</v>
      </c>
      <c r="AZ117" s="118"/>
      <c r="BA117" s="144"/>
      <c r="BB117" s="144"/>
      <c r="BC117" s="144"/>
      <c r="BD117" s="144"/>
      <c r="BE117" s="144"/>
      <c r="BF117" s="144"/>
      <c r="BG117" s="144"/>
    </row>
    <row r="118" spans="45:98" x14ac:dyDescent="0.3">
      <c r="AS118" s="119" t="s">
        <v>201</v>
      </c>
      <c r="AT118" s="119">
        <f>COUNTIFS(R:R,"D",C:C,1)/COUNTIF(C:C,1)</f>
        <v>0</v>
      </c>
      <c r="AU118" s="119">
        <f>COUNTIFS(R:R,"D",C:C,2)/COUNTIF(C:C,2)</f>
        <v>0.38461538461538464</v>
      </c>
      <c r="AV118" s="119">
        <f>COUNTIFS(R:R,"D",C:C,3)/COUNTIF(C:C,3)</f>
        <v>0.38461538461538464</v>
      </c>
      <c r="AW118" s="119">
        <f>COUNTIFS(R:R,"D",C:C,4)/COUNTIF(C:C,4)</f>
        <v>0.23076923076923078</v>
      </c>
      <c r="AX118" s="119">
        <f>COUNTIFS(R:R,"D",C:C,5)/COUNTIF(C:C,5)</f>
        <v>0.46153846153846156</v>
      </c>
      <c r="AY118" s="119">
        <f>COUNTIFS(R:R,"D",C:C,6)/COUNTIF(C:C,6)</f>
        <v>0.46153846153846156</v>
      </c>
      <c r="AZ118" s="118"/>
      <c r="BA118" s="144"/>
      <c r="BB118" s="144"/>
      <c r="BC118" s="144"/>
      <c r="BD118" s="144"/>
      <c r="BE118" s="144"/>
      <c r="BF118" s="144"/>
      <c r="BG118" s="144"/>
      <c r="BI118" s="132"/>
    </row>
    <row r="119" spans="45:98" x14ac:dyDescent="0.3">
      <c r="AZ119" s="118"/>
      <c r="BA119" s="143"/>
      <c r="BB119" s="143"/>
      <c r="BC119" s="143"/>
      <c r="BD119" s="143"/>
      <c r="BE119" s="143"/>
      <c r="BF119" s="143"/>
      <c r="BG119" s="143"/>
    </row>
    <row r="120" spans="45:98" x14ac:dyDescent="0.3">
      <c r="AS120" s="119" t="s">
        <v>247</v>
      </c>
      <c r="AT120" s="119">
        <v>1</v>
      </c>
      <c r="AU120" s="119">
        <v>2</v>
      </c>
      <c r="AV120" s="119">
        <v>3</v>
      </c>
      <c r="AW120" s="119">
        <v>4</v>
      </c>
      <c r="AX120" s="119">
        <v>5</v>
      </c>
      <c r="AY120" s="119">
        <v>6</v>
      </c>
      <c r="AZ120" s="118"/>
      <c r="BA120" s="144"/>
      <c r="BB120" s="144"/>
      <c r="BC120" s="144"/>
      <c r="BD120" s="144"/>
      <c r="BE120" s="144"/>
      <c r="BF120" s="144"/>
      <c r="BG120" s="144"/>
      <c r="BI120" s="132"/>
    </row>
    <row r="121" spans="45:98" x14ac:dyDescent="0.3">
      <c r="AS121" s="119" t="s">
        <v>202</v>
      </c>
      <c r="AT121" s="119">
        <f>COUNTIFS(S:S,"A",C:C,1)/COUNTIF(C:C,1)</f>
        <v>0</v>
      </c>
      <c r="AU121" s="119">
        <f>COUNTIFS(S:S,"A",C:C,2)/COUNTIF(C:C,2)</f>
        <v>0</v>
      </c>
      <c r="AV121" s="119">
        <f>COUNTIFS(S:S,"A",C:C,3)/COUNTIF(C:C,3)</f>
        <v>0</v>
      </c>
      <c r="AW121" s="119">
        <f>COUNTIFS(S:S,"A",C:C,4)/COUNTIF(C:C,4)</f>
        <v>0</v>
      </c>
      <c r="AX121" s="119">
        <f>COUNTIFS(S:S,"A",C:C,5)/COUNTIF(C:C,5)</f>
        <v>0</v>
      </c>
      <c r="AY121" s="119">
        <f>COUNTIFS(S:S,"A",C:C,6)/COUNTIF(C:C,6)</f>
        <v>0</v>
      </c>
      <c r="AZ121" s="118"/>
      <c r="BA121" s="144"/>
      <c r="BB121" s="144"/>
      <c r="BC121" s="144"/>
      <c r="BD121" s="144"/>
      <c r="BE121" s="144"/>
      <c r="BF121" s="144"/>
      <c r="BG121" s="144"/>
    </row>
    <row r="122" spans="45:98" x14ac:dyDescent="0.3">
      <c r="AS122" s="119" t="s">
        <v>203</v>
      </c>
      <c r="AT122" s="119">
        <f>COUNTIFS(S:S,"B",C:C,1)/COUNTIF(C:C,1)</f>
        <v>0</v>
      </c>
      <c r="AU122" s="119">
        <f>COUNTIFS(S:S,"B",C:C,2)/COUNTIF(C:C,2)</f>
        <v>0</v>
      </c>
      <c r="AV122" s="119">
        <f>COUNTIFS(S:S,"B",C:C,3)/COUNTIF(C:C,3)</f>
        <v>0</v>
      </c>
      <c r="AW122" s="119">
        <f>COUNTIFS(S:S,"B",C:C,4)/COUNTIF(C:C,4)</f>
        <v>0</v>
      </c>
      <c r="AX122" s="119">
        <f>COUNTIFS(S:S,"B",C:C,5)/COUNTIF(C:C,5)</f>
        <v>0</v>
      </c>
      <c r="AY122" s="119">
        <f>COUNTIFS(S:S,"B",C:C,6)/COUNTIF(C:C,6)</f>
        <v>0</v>
      </c>
      <c r="AZ122" s="118"/>
      <c r="BA122" s="144"/>
      <c r="BB122" s="144"/>
      <c r="BC122" s="144"/>
      <c r="BD122" s="144"/>
      <c r="BE122" s="144"/>
      <c r="BF122" s="144"/>
      <c r="BG122" s="144"/>
      <c r="BI122" s="132"/>
    </row>
    <row r="123" spans="45:98" x14ac:dyDescent="0.3">
      <c r="AS123" s="119" t="s">
        <v>204</v>
      </c>
      <c r="AT123" s="119">
        <f>COUNTIFS(S:S,"C",C:C,1)/COUNTIF(C:C,1)</f>
        <v>0.15384615384615385</v>
      </c>
      <c r="AU123" s="119">
        <f>COUNTIFS(S:S,"C",C:C,2)/COUNTIF(C:C,2)</f>
        <v>0</v>
      </c>
      <c r="AV123" s="119">
        <f>COUNTIFS(S:S,"C",C:C,3)/COUNTIF(C:C,3)</f>
        <v>0.15384615384615385</v>
      </c>
      <c r="AW123" s="119">
        <f>COUNTIFS(S:S,"C",C:C,4)/COUNTIF(C:C,4)</f>
        <v>0</v>
      </c>
      <c r="AX123" s="119">
        <f>COUNTIFS(S:S,"C",C:C,5)/COUNTIF(C:C,5)</f>
        <v>7.6923076923076927E-2</v>
      </c>
      <c r="AY123" s="119">
        <f>COUNTIFS(S:S,"C",C:C,6)/COUNTIF(C:C,6)</f>
        <v>0</v>
      </c>
      <c r="AZ123" s="118"/>
      <c r="BA123" s="144"/>
      <c r="BB123" s="144"/>
      <c r="BC123" s="144"/>
      <c r="BD123" s="144"/>
      <c r="BE123" s="144"/>
      <c r="BF123" s="144"/>
      <c r="BG123" s="144"/>
    </row>
    <row r="124" spans="45:98" x14ac:dyDescent="0.3">
      <c r="AS124" s="119" t="s">
        <v>205</v>
      </c>
      <c r="AT124" s="119">
        <f>COUNTIFS(S:S,"D",C:C,1)/COUNTIF(C:C,1)</f>
        <v>0.84615384615384615</v>
      </c>
      <c r="AU124" s="119">
        <f>COUNTIFS(S:S,"D",C:C,2)/COUNTIF(C:C,2)</f>
        <v>1</v>
      </c>
      <c r="AV124" s="119">
        <f>COUNTIFS(S:S,"D",C:C,3)/COUNTIF(C:C,3)</f>
        <v>0.84615384615384615</v>
      </c>
      <c r="AW124" s="119">
        <f>COUNTIFS(S:S,"D",C:C,4)/COUNTIF(C:C,4)</f>
        <v>1</v>
      </c>
      <c r="AX124" s="119">
        <f>COUNTIFS(S:S,"D",C:C,5)/COUNTIF(C:C,5)</f>
        <v>0.92307692307692313</v>
      </c>
      <c r="AY124" s="119">
        <f>COUNTIFS(S:S,"D",C:C,6)/COUNTIF(C:C,6)</f>
        <v>1</v>
      </c>
      <c r="AZ124" s="118"/>
      <c r="BA124" s="144"/>
      <c r="BB124" s="144"/>
      <c r="BC124" s="144"/>
      <c r="BD124" s="144"/>
      <c r="BE124" s="144"/>
      <c r="BF124" s="144"/>
      <c r="BG124" s="144"/>
      <c r="BI124" s="132"/>
    </row>
    <row r="125" spans="45:98" x14ac:dyDescent="0.3">
      <c r="AZ125" s="118"/>
      <c r="BA125" s="143"/>
      <c r="BB125" s="143"/>
      <c r="BC125" s="143"/>
      <c r="BD125" s="143"/>
      <c r="BE125" s="143"/>
      <c r="BF125" s="143"/>
      <c r="BG125" s="143"/>
    </row>
    <row r="126" spans="45:98" x14ac:dyDescent="0.3">
      <c r="AS126" s="119" t="s">
        <v>248</v>
      </c>
      <c r="AT126" s="119">
        <v>1</v>
      </c>
      <c r="AU126" s="119">
        <v>2</v>
      </c>
      <c r="AV126" s="119">
        <v>3</v>
      </c>
      <c r="AW126" s="119">
        <v>4</v>
      </c>
      <c r="AX126" s="119">
        <v>5</v>
      </c>
      <c r="AY126" s="119">
        <v>6</v>
      </c>
      <c r="AZ126" s="118"/>
      <c r="BA126" s="144"/>
      <c r="BB126" s="144"/>
      <c r="BC126" s="144"/>
      <c r="BD126" s="144"/>
      <c r="BE126" s="144"/>
      <c r="BF126" s="144"/>
      <c r="BG126" s="144"/>
      <c r="BI126" s="132"/>
    </row>
    <row r="127" spans="45:98" x14ac:dyDescent="0.3">
      <c r="AS127" s="119" t="s">
        <v>206</v>
      </c>
      <c r="AT127" s="119">
        <f>COUNTIFS(T:T,"A",C:C,1)/COUNTIF(C:C,1)</f>
        <v>0</v>
      </c>
      <c r="AU127" s="119">
        <f>COUNTIFS(T:T,"A",C:C,2)/COUNTIF(C:C,2)</f>
        <v>0</v>
      </c>
      <c r="AV127" s="119">
        <f>COUNTIFS(T:T,"A",C:C,3)/COUNTIF(C:C,3)</f>
        <v>0</v>
      </c>
      <c r="AW127" s="119">
        <f>COUNTIFS(T:T,"A",C:C,4)/COUNTIF(C:C,4)</f>
        <v>0</v>
      </c>
      <c r="AX127" s="119">
        <f>COUNTIFS(T:T,"A",C:C,5)/COUNTIF(C:C,5)</f>
        <v>0</v>
      </c>
      <c r="AY127" s="119">
        <f>COUNTIFS(T:T,"A",C:C,6)/COUNTIF(C:C,6)</f>
        <v>0</v>
      </c>
      <c r="AZ127" s="118"/>
      <c r="BA127" s="144"/>
      <c r="BB127" s="144"/>
      <c r="BC127" s="144"/>
      <c r="BD127" s="144"/>
      <c r="BE127" s="144"/>
      <c r="BF127" s="144"/>
      <c r="BG127" s="144"/>
    </row>
    <row r="128" spans="45:98" x14ac:dyDescent="0.3">
      <c r="AS128" s="119" t="s">
        <v>207</v>
      </c>
      <c r="AT128" s="119">
        <f>COUNTIFS(T:T,"B",C:C,1)/COUNTIF(C:C,1)</f>
        <v>7.6923076923076927E-2</v>
      </c>
      <c r="AU128" s="119">
        <f>COUNTIFS(T:T,"B",C:C,2)/COUNTIF(C:C,2)</f>
        <v>7.6923076923076927E-2</v>
      </c>
      <c r="AV128" s="119">
        <f>COUNTIFS(T:T,"B",C:C,3)/COUNTIF(C:C,3)</f>
        <v>7.6923076923076927E-2</v>
      </c>
      <c r="AW128" s="119">
        <f>COUNTIFS(T:T,"B",C:C,4)/COUNTIF(C:C,4)</f>
        <v>7.6923076923076927E-2</v>
      </c>
      <c r="AX128" s="119">
        <f>COUNTIFS(T:T,"B",C:C,5)/COUNTIF(C:C,5)</f>
        <v>0.15384615384615385</v>
      </c>
      <c r="AY128" s="119">
        <f>COUNTIFS(T:T,"B",C:C,6)/COUNTIF(C:C,6)</f>
        <v>0.30769230769230771</v>
      </c>
      <c r="AZ128" s="118"/>
      <c r="BA128" s="144"/>
      <c r="BB128" s="144"/>
      <c r="BC128" s="144"/>
      <c r="BD128" s="144"/>
      <c r="BE128" s="144"/>
      <c r="BF128" s="144"/>
      <c r="BG128" s="144"/>
    </row>
    <row r="129" spans="45:98" x14ac:dyDescent="0.3">
      <c r="AS129" s="119" t="s">
        <v>208</v>
      </c>
      <c r="AT129" s="119">
        <f>COUNTIFS(T:T,"C",C:C,1)/COUNTIF(C:C,1)</f>
        <v>0.30769230769230771</v>
      </c>
      <c r="AU129" s="119">
        <f>COUNTIFS(T:T,"C",C:C,2)/COUNTIF(C:C,2)</f>
        <v>0.23076923076923078</v>
      </c>
      <c r="AV129" s="119">
        <f>COUNTIFS(T:T,"C",C:C,3)/COUNTIF(C:C,3)</f>
        <v>7.6923076923076927E-2</v>
      </c>
      <c r="AW129" s="119">
        <f>COUNTIFS(T:T,"C",C:C,4)/COUNTIF(C:C,4)</f>
        <v>7.6923076923076927E-2</v>
      </c>
      <c r="AX129" s="119">
        <f>COUNTIFS(T:T,"C",C:C,5)/COUNTIF(C:C,5)</f>
        <v>0.15384615384615385</v>
      </c>
      <c r="AY129" s="119">
        <f>COUNTIFS(T:T,"C",C:C,6)/COUNTIF(C:C,6)</f>
        <v>0.23076923076923078</v>
      </c>
      <c r="AZ129" s="118"/>
      <c r="BA129" s="144"/>
      <c r="BB129" s="144"/>
      <c r="BC129" s="144"/>
      <c r="BD129" s="144"/>
      <c r="BE129" s="144"/>
      <c r="BF129" s="144"/>
      <c r="BG129" s="144"/>
      <c r="BI129" s="125"/>
      <c r="BK129" s="121"/>
      <c r="BL129" s="121"/>
      <c r="BM129" s="121"/>
      <c r="BN129" s="121"/>
      <c r="BO129" s="121"/>
      <c r="BP129" s="121"/>
      <c r="BQ129" s="121"/>
      <c r="BR129" s="121"/>
      <c r="BS129" s="121"/>
      <c r="BT129" s="121"/>
      <c r="BU129" s="121"/>
      <c r="BV129" s="121"/>
      <c r="BW129" s="121"/>
      <c r="BX129" s="121"/>
      <c r="BY129" s="121"/>
      <c r="BZ129" s="121"/>
      <c r="CA129" s="121"/>
      <c r="CB129" s="121"/>
      <c r="CC129" s="121"/>
      <c r="CD129" s="121"/>
      <c r="CE129" s="121"/>
      <c r="CF129" s="121"/>
      <c r="CG129" s="121"/>
      <c r="CH129" s="121"/>
      <c r="CI129" s="121"/>
      <c r="CJ129" s="121"/>
      <c r="CK129" s="121"/>
      <c r="CL129" s="121"/>
      <c r="CM129" s="121"/>
      <c r="CN129" s="121"/>
      <c r="CO129" s="121"/>
      <c r="CP129" s="121"/>
      <c r="CQ129" s="121"/>
      <c r="CR129" s="121"/>
      <c r="CS129" s="121"/>
      <c r="CT129" s="121"/>
    </row>
    <row r="130" spans="45:98" x14ac:dyDescent="0.3">
      <c r="AS130" s="119" t="s">
        <v>209</v>
      </c>
      <c r="AT130" s="119">
        <f>COUNTIFS(T:T,"D",C:C,1)/COUNTIF(C:C,1)</f>
        <v>0.61538461538461542</v>
      </c>
      <c r="AU130" s="119">
        <f>COUNTIFS(T:T,"D",C:C,2)/COUNTIF(C:C,2)</f>
        <v>0.69230769230769229</v>
      </c>
      <c r="AV130" s="119">
        <f>COUNTIFS(T:T,"D",C:C,3)/COUNTIF(C:C,3)</f>
        <v>0.84615384615384615</v>
      </c>
      <c r="AW130" s="119">
        <f>COUNTIFS(T:T,"D",C:C,4)/COUNTIF(C:C,4)</f>
        <v>0.84615384615384615</v>
      </c>
      <c r="AX130" s="119">
        <f>COUNTIFS(T:T,"D",C:C,5)/COUNTIF(C:C,5)</f>
        <v>0.69230769230769229</v>
      </c>
      <c r="AY130" s="119">
        <f>COUNTIFS(T:T,"D",C:C,6)/COUNTIF(C:C,6)</f>
        <v>0.46153846153846156</v>
      </c>
      <c r="AZ130" s="118"/>
      <c r="BA130" s="144"/>
      <c r="BB130" s="144"/>
      <c r="BC130" s="144"/>
      <c r="BD130" s="144"/>
      <c r="BE130" s="144"/>
      <c r="BF130" s="144"/>
      <c r="BG130" s="144"/>
      <c r="BI130" s="125"/>
    </row>
    <row r="131" spans="45:98" x14ac:dyDescent="0.3">
      <c r="AZ131" s="118"/>
      <c r="BA131" s="143"/>
      <c r="BB131" s="143"/>
      <c r="BC131" s="143"/>
      <c r="BD131" s="143"/>
      <c r="BE131" s="143"/>
      <c r="BF131" s="143"/>
      <c r="BG131" s="143"/>
    </row>
    <row r="132" spans="45:98" x14ac:dyDescent="0.3">
      <c r="AS132" s="119" t="s">
        <v>249</v>
      </c>
      <c r="AT132" s="119">
        <v>1</v>
      </c>
      <c r="AU132" s="119">
        <v>2</v>
      </c>
      <c r="AV132" s="119">
        <v>3</v>
      </c>
      <c r="AW132" s="119">
        <v>4</v>
      </c>
      <c r="AX132" s="119">
        <v>5</v>
      </c>
      <c r="AY132" s="119">
        <v>6</v>
      </c>
      <c r="AZ132" s="118"/>
      <c r="BA132" s="144"/>
      <c r="BB132" s="144"/>
      <c r="BC132" s="144"/>
      <c r="BD132" s="144"/>
      <c r="BE132" s="144"/>
      <c r="BF132" s="144"/>
      <c r="BG132" s="144"/>
      <c r="BI132" s="132"/>
    </row>
    <row r="133" spans="45:98" x14ac:dyDescent="0.3">
      <c r="AS133" s="119" t="s">
        <v>210</v>
      </c>
      <c r="AT133" s="119">
        <f>COUNTIFS(U:U,"A",C:C,1)/COUNTIF(C:C,1)</f>
        <v>0</v>
      </c>
      <c r="AU133" s="119">
        <f>COUNTIFS(U:U,"A",C:C,2)/COUNTIF(C:C,2)</f>
        <v>7.6923076923076927E-2</v>
      </c>
      <c r="AV133" s="119">
        <f>COUNTIFS(U:U,"A",C:C,3)/COUNTIF(C:C,3)</f>
        <v>0</v>
      </c>
      <c r="AW133" s="119">
        <f>COUNTIFS(U:U,"A",C:C,4)/COUNTIF(C:C,4)</f>
        <v>0</v>
      </c>
      <c r="AX133" s="119">
        <f>COUNTIFS(U:U,"A",C:C,5)/COUNTIF(C:C,5)</f>
        <v>0</v>
      </c>
      <c r="AY133" s="119">
        <f>COUNTIFS(U:U,"A",C:C,6)/COUNTIF(C:C,6)</f>
        <v>0</v>
      </c>
      <c r="AZ133" s="118"/>
      <c r="BA133" s="144"/>
      <c r="BB133" s="144"/>
      <c r="BC133" s="144"/>
      <c r="BD133" s="144"/>
      <c r="BE133" s="144"/>
      <c r="BF133" s="144"/>
      <c r="BG133" s="144"/>
    </row>
    <row r="134" spans="45:98" x14ac:dyDescent="0.3">
      <c r="AS134" s="119" t="s">
        <v>211</v>
      </c>
      <c r="AT134" s="119">
        <f>COUNTIFS(U:U,"B",C:C,1)/COUNTIF(C:C,1)</f>
        <v>0</v>
      </c>
      <c r="AU134" s="119">
        <f>COUNTIFS(U:U,"B",C:C,2)/COUNTIF(C:C,2)</f>
        <v>0</v>
      </c>
      <c r="AV134" s="119">
        <f>COUNTIFS(U:U,"B",C:C,3)/COUNTIF(C:C,3)</f>
        <v>7.6923076923076927E-2</v>
      </c>
      <c r="AW134" s="119">
        <f>COUNTIFS(U:U,"B",C:C,4)/COUNTIF(C:C,4)</f>
        <v>0</v>
      </c>
      <c r="AX134" s="119">
        <f>COUNTIFS(U:U,"B",C:C,5)/COUNTIF(C:C,5)</f>
        <v>7.6923076923076927E-2</v>
      </c>
      <c r="AY134" s="119">
        <f>COUNTIFS(U:U,"B",C:C,6)/COUNTIF(C:C,6)</f>
        <v>0</v>
      </c>
      <c r="AZ134" s="118"/>
      <c r="BA134" s="144"/>
      <c r="BB134" s="144"/>
      <c r="BC134" s="144"/>
      <c r="BD134" s="144"/>
      <c r="BE134" s="144"/>
      <c r="BF134" s="144"/>
      <c r="BG134" s="144"/>
      <c r="BI134" s="132"/>
    </row>
    <row r="135" spans="45:98" x14ac:dyDescent="0.3">
      <c r="AS135" s="119" t="s">
        <v>212</v>
      </c>
      <c r="AT135" s="119">
        <f>COUNTIFS(U:U,"C",C:C,1)/COUNTIF(C:C,1)</f>
        <v>0.30769230769230771</v>
      </c>
      <c r="AU135" s="119">
        <f>COUNTIFS(U:U,"C",C:C,2)/COUNTIF(C:C,2)</f>
        <v>7.6923076923076927E-2</v>
      </c>
      <c r="AV135" s="119">
        <f>COUNTIFS(U:U,"C",C:C,3)/COUNTIF(C:C,3)</f>
        <v>7.6923076923076927E-2</v>
      </c>
      <c r="AW135" s="119">
        <f>COUNTIFS(U:U,"C",C:C,4)/COUNTIF(C:C,4)</f>
        <v>7.6923076923076927E-2</v>
      </c>
      <c r="AX135" s="119">
        <f>COUNTIFS(U:U,"C",C:C,5)/COUNTIF(C:C,5)</f>
        <v>0</v>
      </c>
      <c r="AY135" s="119">
        <f>COUNTIFS(U:U,"C",C:C,6)/COUNTIF(C:C,6)</f>
        <v>7.6923076923076927E-2</v>
      </c>
      <c r="AZ135" s="118"/>
      <c r="BA135" s="144"/>
      <c r="BB135" s="144"/>
      <c r="BC135" s="144"/>
      <c r="BD135" s="144"/>
      <c r="BE135" s="144"/>
      <c r="BF135" s="144"/>
      <c r="BG135" s="144"/>
    </row>
    <row r="136" spans="45:98" x14ac:dyDescent="0.3">
      <c r="AS136" s="119" t="s">
        <v>213</v>
      </c>
      <c r="AT136" s="119">
        <f>COUNTIFS(U:U,"D",C:C,1)/COUNTIF(C:C,1)</f>
        <v>0.69230769230769229</v>
      </c>
      <c r="AU136" s="119">
        <f>COUNTIFS(U:U,"D",C:C,2)/COUNTIF(C:C,2)</f>
        <v>0.84615384615384615</v>
      </c>
      <c r="AV136" s="119">
        <f>COUNTIFS(U:U,"D",C:C,3)/COUNTIF(C:C,3)</f>
        <v>0.84615384615384615</v>
      </c>
      <c r="AW136" s="119">
        <f>COUNTIFS(U:U,"D",C:C,4)/COUNTIF(C:C,4)</f>
        <v>0.92307692307692313</v>
      </c>
      <c r="AX136" s="119">
        <f>COUNTIFS(U:U,"D",C:C,5)/COUNTIF(C:C,5)</f>
        <v>0.92307692307692313</v>
      </c>
      <c r="AY136" s="119">
        <f>COUNTIFS(U:U,"D",C:C,6)/COUNTIF(C:C,6)</f>
        <v>0.92307692307692313</v>
      </c>
      <c r="AZ136" s="118"/>
      <c r="BA136" s="144"/>
      <c r="BB136" s="144"/>
      <c r="BC136" s="144"/>
      <c r="BD136" s="144"/>
      <c r="BE136" s="144"/>
      <c r="BF136" s="144"/>
      <c r="BG136" s="144"/>
      <c r="BI136" s="132"/>
    </row>
    <row r="137" spans="45:98" x14ac:dyDescent="0.3">
      <c r="AZ137" s="118"/>
      <c r="BA137" s="143"/>
      <c r="BB137" s="143"/>
      <c r="BC137" s="143"/>
      <c r="BD137" s="143"/>
      <c r="BE137" s="143"/>
      <c r="BF137" s="143"/>
      <c r="BG137" s="143"/>
    </row>
    <row r="138" spans="45:98" x14ac:dyDescent="0.3">
      <c r="AS138" s="119" t="s">
        <v>250</v>
      </c>
      <c r="AT138" s="119">
        <v>1</v>
      </c>
      <c r="AU138" s="119">
        <v>2</v>
      </c>
      <c r="AV138" s="119">
        <v>3</v>
      </c>
      <c r="AW138" s="119">
        <v>4</v>
      </c>
      <c r="AX138" s="119">
        <v>5</v>
      </c>
      <c r="AY138" s="119">
        <v>6</v>
      </c>
      <c r="AZ138" s="118"/>
      <c r="BA138" s="144"/>
      <c r="BB138" s="144"/>
      <c r="BC138" s="144"/>
      <c r="BD138" s="144"/>
      <c r="BE138" s="144"/>
      <c r="BF138" s="144"/>
      <c r="BG138" s="144"/>
      <c r="BI138" s="132"/>
    </row>
    <row r="139" spans="45:98" x14ac:dyDescent="0.3">
      <c r="AS139" s="119" t="s">
        <v>214</v>
      </c>
      <c r="AT139" s="119">
        <f>COUNTIFS(V:V,"A",C:C,1)/COUNTIF(C:C,1)</f>
        <v>0.15384615384615385</v>
      </c>
      <c r="AU139" s="119">
        <f>COUNTIFS(V:V,"A",C:C,2)/COUNTIF(C:C,2)</f>
        <v>0.23076923076923078</v>
      </c>
      <c r="AV139" s="119">
        <f>COUNTIFS(V:V,"A",C:C,3)/COUNTIF(C:C,3)</f>
        <v>0.15384615384615385</v>
      </c>
      <c r="AW139" s="119">
        <f>COUNTIFS(V:V,"A",C:C,4)/COUNTIF(C:C,4)</f>
        <v>0.23076923076923078</v>
      </c>
      <c r="AX139" s="119">
        <f>COUNTIFS(V:V,"A",C:C,5)/COUNTIF(C:C,5)</f>
        <v>7.6923076923076927E-2</v>
      </c>
      <c r="AY139" s="119">
        <f>COUNTIFS(V:V,"A",C:C,6)/COUNTIF(C:C,6)</f>
        <v>0.15384615384615385</v>
      </c>
      <c r="AZ139" s="118"/>
      <c r="BA139" s="144"/>
      <c r="BB139" s="144"/>
      <c r="BC139" s="144"/>
      <c r="BD139" s="144"/>
      <c r="BE139" s="144"/>
      <c r="BF139" s="144"/>
      <c r="BG139" s="144"/>
    </row>
    <row r="140" spans="45:98" x14ac:dyDescent="0.3">
      <c r="AS140" s="119" t="s">
        <v>215</v>
      </c>
      <c r="AT140" s="119">
        <f>COUNTIFS(V:V,"B",C:C,1)/COUNTIF(C:C,1)</f>
        <v>0.15384615384615385</v>
      </c>
      <c r="AU140" s="119">
        <f>COUNTIFS(V:V,"B",C:C,2)/COUNTIF(C:C,2)</f>
        <v>7.6923076923076927E-2</v>
      </c>
      <c r="AV140" s="119">
        <f>COUNTIFS(V:V,"B",C:C,3)/COUNTIF(C:C,3)</f>
        <v>0</v>
      </c>
      <c r="AW140" s="119">
        <f>COUNTIFS(V:V,"B",C:C,4)/COUNTIF(C:C,4)</f>
        <v>7.6923076923076927E-2</v>
      </c>
      <c r="AX140" s="119">
        <f>COUNTIFS(V:V,"B",C:C,5)/COUNTIF(C:C,5)</f>
        <v>0.23076923076923078</v>
      </c>
      <c r="AY140" s="119">
        <f>COUNTIFS(V:V,"B",C:C,6)/COUNTIF(C:C,6)</f>
        <v>0.38461538461538464</v>
      </c>
      <c r="AZ140" s="118"/>
      <c r="BA140" s="144"/>
      <c r="BB140" s="144"/>
      <c r="BC140" s="144"/>
      <c r="BD140" s="144"/>
      <c r="BE140" s="144"/>
      <c r="BF140" s="144"/>
      <c r="BG140" s="144"/>
      <c r="BI140" s="132"/>
    </row>
    <row r="141" spans="45:98" x14ac:dyDescent="0.3">
      <c r="AS141" s="119" t="s">
        <v>216</v>
      </c>
      <c r="AT141" s="119">
        <f>COUNTIFS(V:V,"C",C:C,1)/COUNTIF(C:C,1)</f>
        <v>0.23076923076923078</v>
      </c>
      <c r="AU141" s="119">
        <f>COUNTIFS(V:V,"C",C:C,2)/COUNTIF(C:C,2)</f>
        <v>7.6923076923076927E-2</v>
      </c>
      <c r="AV141" s="119">
        <f>COUNTIFS(V:V,"C",C:C,3)/COUNTIF(C:C,3)</f>
        <v>0.15384615384615385</v>
      </c>
      <c r="AW141" s="119">
        <f>COUNTIFS(V:V,"C",C:C,4)/COUNTIF(C:C,4)</f>
        <v>0</v>
      </c>
      <c r="AX141" s="119">
        <f>COUNTIFS(V:V,"C",C:C,5)/COUNTIF(C:C,5)</f>
        <v>7.6923076923076927E-2</v>
      </c>
      <c r="AY141" s="119">
        <f>COUNTIFS(V:V,"C",C:C,6)/COUNTIF(C:C,6)</f>
        <v>7.6923076923076927E-2</v>
      </c>
      <c r="AZ141" s="118"/>
      <c r="BA141" s="144"/>
      <c r="BB141" s="144"/>
      <c r="BC141" s="144"/>
      <c r="BD141" s="144"/>
      <c r="BE141" s="144"/>
      <c r="BF141" s="144"/>
      <c r="BG141" s="144"/>
    </row>
    <row r="142" spans="45:98" x14ac:dyDescent="0.3">
      <c r="AS142" s="119" t="s">
        <v>217</v>
      </c>
      <c r="AT142" s="119">
        <f>COUNTIFS(V:V,"D",C:C,1)/COUNTIF(C:C,1)</f>
        <v>0.46153846153846156</v>
      </c>
      <c r="AU142" s="119">
        <f>COUNTIFS(V:V,"D",C:C,2)/COUNTIF(C:C,2)</f>
        <v>0.61538461538461542</v>
      </c>
      <c r="AV142" s="119">
        <f>COUNTIFS(V:V,"D",C:C,3)/COUNTIF(C:C,3)</f>
        <v>0.69230769230769229</v>
      </c>
      <c r="AW142" s="119">
        <f>COUNTIFS(V:V,"D",C:C,4)/COUNTIF(C:C,4)</f>
        <v>0.69230769230769229</v>
      </c>
      <c r="AX142" s="119">
        <f>COUNTIFS(V:V,"D",C:C,5)/COUNTIF(C:C,5)</f>
        <v>0.61538461538461542</v>
      </c>
      <c r="AY142" s="119">
        <f>COUNTIFS(V:V,"D",C:C,6)/COUNTIF(C:C,6)</f>
        <v>0.38461538461538464</v>
      </c>
      <c r="AZ142" s="118"/>
      <c r="BA142" s="144"/>
      <c r="BB142" s="144"/>
      <c r="BC142" s="144"/>
      <c r="BD142" s="144"/>
      <c r="BE142" s="144"/>
      <c r="BF142" s="144"/>
      <c r="BG142" s="144"/>
      <c r="BI142" s="132"/>
    </row>
    <row r="143" spans="45:98" x14ac:dyDescent="0.3">
      <c r="AZ143" s="118"/>
      <c r="BA143" s="143"/>
      <c r="BB143" s="143"/>
      <c r="BC143" s="143"/>
      <c r="BD143" s="143"/>
      <c r="BE143" s="143"/>
      <c r="BF143" s="143"/>
      <c r="BG143" s="143"/>
    </row>
    <row r="144" spans="45:98" x14ac:dyDescent="0.3">
      <c r="AS144" s="119" t="s">
        <v>251</v>
      </c>
      <c r="AT144" s="119">
        <v>1</v>
      </c>
      <c r="AU144" s="119">
        <v>2</v>
      </c>
      <c r="AV144" s="119">
        <v>3</v>
      </c>
      <c r="AW144" s="119">
        <v>4</v>
      </c>
      <c r="AX144" s="119">
        <v>5</v>
      </c>
      <c r="AY144" s="119">
        <v>6</v>
      </c>
      <c r="AZ144" s="118"/>
      <c r="BA144" s="144"/>
      <c r="BB144" s="144"/>
      <c r="BC144" s="144"/>
      <c r="BD144" s="144"/>
      <c r="BE144" s="144"/>
      <c r="BF144" s="144"/>
      <c r="BG144" s="144"/>
    </row>
    <row r="145" spans="45:98" x14ac:dyDescent="0.3">
      <c r="AS145" s="119" t="s">
        <v>218</v>
      </c>
      <c r="AT145" s="119">
        <f>COUNTIFS(W:W,"A",C:C,1)/COUNTIF(C:C,1)</f>
        <v>1</v>
      </c>
      <c r="AU145" s="119">
        <f>COUNTIFS(W:W,"A",C:C,2)/COUNTIF(C:C,2)</f>
        <v>0.76923076923076927</v>
      </c>
      <c r="AV145" s="119">
        <f>COUNTIFS(W:W,"A",C:C,3)/COUNTIF(C:C,3)</f>
        <v>0.92307692307692313</v>
      </c>
      <c r="AW145" s="119">
        <f>COUNTIFS(W:W,"A",C:C,4)/COUNTIF(C:C,4)</f>
        <v>0.69230769230769229</v>
      </c>
      <c r="AX145" s="119">
        <f>COUNTIFS(W:W,"A",C:C,5)/COUNTIF(C:C,5)</f>
        <v>0.30769230769230771</v>
      </c>
      <c r="AY145" s="119">
        <f>COUNTIFS(W:W,"A",C:C,6)/COUNTIF(C:C,6)</f>
        <v>0.46153846153846156</v>
      </c>
      <c r="AZ145" s="118"/>
      <c r="BA145" s="144"/>
      <c r="BB145" s="144"/>
      <c r="BC145" s="144"/>
      <c r="BD145" s="144"/>
      <c r="BE145" s="144"/>
      <c r="BF145" s="144"/>
      <c r="BG145" s="144"/>
      <c r="BI145" s="125"/>
      <c r="BK145" s="121"/>
      <c r="BL145" s="121"/>
      <c r="BM145" s="121"/>
      <c r="BN145" s="121"/>
      <c r="BO145" s="121"/>
      <c r="BP145" s="121"/>
      <c r="BQ145" s="121"/>
      <c r="BR145" s="121"/>
      <c r="BS145" s="121"/>
      <c r="BT145" s="121"/>
      <c r="BU145" s="121"/>
      <c r="BV145" s="121"/>
      <c r="BW145" s="121"/>
      <c r="BX145" s="121"/>
      <c r="BY145" s="121"/>
      <c r="BZ145" s="121"/>
      <c r="CA145" s="121"/>
      <c r="CB145" s="121"/>
      <c r="CC145" s="121"/>
      <c r="CD145" s="121"/>
      <c r="CE145" s="121"/>
      <c r="CF145" s="121"/>
      <c r="CG145" s="121"/>
      <c r="CH145" s="121"/>
      <c r="CI145" s="121"/>
      <c r="CJ145" s="121"/>
      <c r="CK145" s="121"/>
      <c r="CL145" s="121"/>
      <c r="CM145" s="121"/>
      <c r="CN145" s="121"/>
      <c r="CO145" s="121"/>
      <c r="CP145" s="121"/>
      <c r="CQ145" s="121"/>
      <c r="CR145" s="121"/>
      <c r="CS145" s="121"/>
      <c r="CT145" s="121"/>
    </row>
    <row r="146" spans="45:98" x14ac:dyDescent="0.3">
      <c r="AS146" s="119" t="s">
        <v>219</v>
      </c>
      <c r="AT146" s="119">
        <f>COUNTIFS(W:W,"B",C:C,1)/COUNTIF(C:C,1)</f>
        <v>0</v>
      </c>
      <c r="AU146" s="119">
        <f>COUNTIFS(W:W,"B",C:C,2)/COUNTIF(C:C,2)</f>
        <v>0.15384615384615385</v>
      </c>
      <c r="AV146" s="119">
        <f>COUNTIFS(W:W,"B",C:C,3)/COUNTIF(C:C,3)</f>
        <v>7.6923076923076927E-2</v>
      </c>
      <c r="AW146" s="119">
        <f>COUNTIFS(W:W,"B",C:C,4)/COUNTIF(C:C,4)</f>
        <v>0.30769230769230771</v>
      </c>
      <c r="AX146" s="119">
        <f>COUNTIFS(W:W,"B",C:C,5)/COUNTIF(C:C,5)</f>
        <v>0.69230769230769229</v>
      </c>
      <c r="AY146" s="119">
        <f>COUNTIFS(W:W,"B",C:C,6)/COUNTIF(C:C,6)</f>
        <v>0.23076923076923078</v>
      </c>
      <c r="AZ146" s="118"/>
      <c r="BA146" s="144"/>
      <c r="BB146" s="144"/>
      <c r="BC146" s="144"/>
      <c r="BD146" s="144"/>
      <c r="BE146" s="144"/>
      <c r="BF146" s="144"/>
      <c r="BG146" s="144"/>
      <c r="BI146" s="125"/>
    </row>
    <row r="147" spans="45:98" x14ac:dyDescent="0.3">
      <c r="AS147" s="119" t="s">
        <v>220</v>
      </c>
      <c r="AT147" s="119">
        <f>COUNTIFS(W:W,"C",C:C,1)/COUNTIF(C:C,1)</f>
        <v>0</v>
      </c>
      <c r="AU147" s="119">
        <f>COUNTIFS(W:W,"C",C:C,2)/COUNTIF(C:C,2)</f>
        <v>7.6923076923076927E-2</v>
      </c>
      <c r="AV147" s="119">
        <f>COUNTIFS(W:W,"C",C:C,3)/COUNTIF(C:C,3)</f>
        <v>0</v>
      </c>
      <c r="AW147" s="119">
        <f>COUNTIFS(W:W,"C",C:C,4)/COUNTIF(C:C,4)</f>
        <v>0</v>
      </c>
      <c r="AX147" s="119">
        <f>COUNTIFS(W:W,"C",C:C,5)/COUNTIF(C:C,5)</f>
        <v>0</v>
      </c>
      <c r="AY147" s="119">
        <f>COUNTIFS(W:W,"C",C:C,6)/COUNTIF(C:C,6)</f>
        <v>0.23076923076923078</v>
      </c>
      <c r="AZ147" s="118"/>
      <c r="BA147" s="144"/>
      <c r="BB147" s="144"/>
      <c r="BC147" s="144"/>
      <c r="BD147" s="144"/>
      <c r="BE147" s="144"/>
      <c r="BF147" s="144"/>
      <c r="BG147" s="144"/>
    </row>
    <row r="148" spans="45:98" x14ac:dyDescent="0.3">
      <c r="AS148" s="119" t="s">
        <v>221</v>
      </c>
      <c r="AT148" s="119">
        <f>COUNTIFS(W:W,"D",C:C,1)/COUNTIF(C:C,1)</f>
        <v>0</v>
      </c>
      <c r="AU148" s="119">
        <f>COUNTIFS(W:W,"D",C:C,2)/COUNTIF(C:C,2)</f>
        <v>0</v>
      </c>
      <c r="AV148" s="119">
        <f>COUNTIFS(W:W,"D",C:C,3)/COUNTIF(C:C,3)</f>
        <v>0</v>
      </c>
      <c r="AW148" s="119">
        <f>COUNTIFS(W:W,"D",C:C,4)/COUNTIF(C:C,4)</f>
        <v>0</v>
      </c>
      <c r="AX148" s="119">
        <f>COUNTIFS(W:W,"D",C:C,5)/COUNTIF(C:C,5)</f>
        <v>0</v>
      </c>
      <c r="AY148" s="119">
        <f>COUNTIFS(W:W,"D",C:C,6)/COUNTIF(C:C,6)</f>
        <v>7.6923076923076927E-2</v>
      </c>
      <c r="AZ148" s="118"/>
      <c r="BA148" s="144"/>
      <c r="BB148" s="144"/>
      <c r="BC148" s="144"/>
      <c r="BD148" s="144"/>
      <c r="BE148" s="144"/>
      <c r="BF148" s="144"/>
      <c r="BG148" s="144"/>
      <c r="BI148" s="132"/>
    </row>
    <row r="149" spans="45:98" x14ac:dyDescent="0.3">
      <c r="AZ149" s="118"/>
      <c r="BA149" s="143"/>
      <c r="BB149" s="143"/>
      <c r="BC149" s="143"/>
      <c r="BD149" s="143"/>
      <c r="BE149" s="143"/>
      <c r="BF149" s="143"/>
      <c r="BG149" s="143"/>
    </row>
    <row r="150" spans="45:98" x14ac:dyDescent="0.3">
      <c r="AS150" s="119" t="s">
        <v>252</v>
      </c>
      <c r="AT150" s="119">
        <v>1</v>
      </c>
      <c r="AU150" s="119">
        <v>2</v>
      </c>
      <c r="AV150" s="119">
        <v>3</v>
      </c>
      <c r="AW150" s="119">
        <v>4</v>
      </c>
      <c r="AX150" s="119">
        <v>5</v>
      </c>
      <c r="AY150" s="119">
        <v>6</v>
      </c>
      <c r="AZ150" s="118"/>
      <c r="BA150" s="144"/>
      <c r="BB150" s="144"/>
      <c r="BC150" s="144"/>
      <c r="BD150" s="144"/>
      <c r="BE150" s="144"/>
      <c r="BF150" s="144"/>
      <c r="BG150" s="144"/>
      <c r="BI150" s="132"/>
    </row>
    <row r="151" spans="45:98" x14ac:dyDescent="0.3">
      <c r="AS151" s="119" t="s">
        <v>222</v>
      </c>
      <c r="AT151" s="119">
        <f>COUNTIFS(X:X,"A",C:C,1)/COUNTIF(C:C,1)</f>
        <v>0.38461538461538464</v>
      </c>
      <c r="AU151" s="119">
        <f>COUNTIFS(X:X,"A",C:C,2)/COUNTIF(C:C,2)</f>
        <v>0.76923076923076927</v>
      </c>
      <c r="AV151" s="119">
        <f>COUNTIFS(X:X,"A",C:C,3)/COUNTIF(C:C,3)</f>
        <v>0.38461538461538464</v>
      </c>
      <c r="AW151" s="119">
        <f>COUNTIFS(X:X,"A",C:C,4)/COUNTIF(C:C,4)</f>
        <v>0.53846153846153844</v>
      </c>
      <c r="AX151" s="119">
        <f>COUNTIFS(X:X,"A",C:C,5)/COUNTIF(C:C,5)</f>
        <v>0.15384615384615385</v>
      </c>
      <c r="AY151" s="119">
        <f>COUNTIFS(X:X,"A",C:C,6)/COUNTIF(C:C,6)</f>
        <v>0.15384615384615385</v>
      </c>
      <c r="AZ151" s="118"/>
      <c r="BA151" s="144"/>
      <c r="BB151" s="144"/>
      <c r="BC151" s="144"/>
      <c r="BD151" s="144"/>
      <c r="BE151" s="144"/>
      <c r="BF151" s="144"/>
      <c r="BG151" s="144"/>
    </row>
    <row r="152" spans="45:98" x14ac:dyDescent="0.3">
      <c r="AS152" s="119" t="s">
        <v>223</v>
      </c>
      <c r="AT152" s="119">
        <f>COUNTIFS(X:X,"B",C:C,1)/COUNTIF(C:C,1)</f>
        <v>0.61538461538461542</v>
      </c>
      <c r="AU152" s="119">
        <f>COUNTIFS(X:X,"B",C:C,2)/COUNTIF(C:C,2)</f>
        <v>0.23076923076923078</v>
      </c>
      <c r="AV152" s="119">
        <f>COUNTIFS(X:X,"B",C:C,3)/COUNTIF(C:C,3)</f>
        <v>0.38461538461538464</v>
      </c>
      <c r="AW152" s="119">
        <f>COUNTIFS(X:X,"B",C:C,4)/COUNTIF(C:C,4)</f>
        <v>0.38461538461538464</v>
      </c>
      <c r="AX152" s="119">
        <f>COUNTIFS(X:X,"B",C:C,5)/COUNTIF(C:C,5)</f>
        <v>0.84615384615384615</v>
      </c>
      <c r="AY152" s="119">
        <f>COUNTIFS(X:X,"B",C:C,6)/COUNTIF(C:C,6)</f>
        <v>0.38461538461538464</v>
      </c>
      <c r="AZ152" s="118"/>
      <c r="BA152" s="144"/>
      <c r="BB152" s="144"/>
      <c r="BC152" s="144"/>
      <c r="BD152" s="144"/>
      <c r="BE152" s="144"/>
      <c r="BF152" s="144"/>
      <c r="BG152" s="144"/>
      <c r="BI152" s="132"/>
    </row>
    <row r="153" spans="45:98" x14ac:dyDescent="0.3">
      <c r="AS153" s="119" t="s">
        <v>224</v>
      </c>
      <c r="AT153" s="119">
        <f>COUNTIFS(X:X,"C",C:C,1)/COUNTIF(C:C,1)</f>
        <v>0</v>
      </c>
      <c r="AU153" s="119">
        <f>COUNTIFS(X:X,"C",C:C,2)/COUNTIF(C:C,2)</f>
        <v>0</v>
      </c>
      <c r="AV153" s="119">
        <f>COUNTIFS(X:X,"C",C:C,3)/COUNTIF(C:C,3)</f>
        <v>0.15384615384615385</v>
      </c>
      <c r="AW153" s="119">
        <f>COUNTIFS(X:X,"C",C:C,4)/COUNTIF(C:C,4)</f>
        <v>7.6923076923076927E-2</v>
      </c>
      <c r="AX153" s="119">
        <f>COUNTIFS(X:X,"C",C:C,5)/COUNTIF(C:C,5)</f>
        <v>0</v>
      </c>
      <c r="AY153" s="119">
        <f>COUNTIFS(X:X,"C",C:C,6)/COUNTIF(C:C,6)</f>
        <v>0.30769230769230771</v>
      </c>
      <c r="AZ153" s="118"/>
      <c r="BA153" s="144"/>
      <c r="BB153" s="144"/>
      <c r="BC153" s="144"/>
      <c r="BD153" s="144"/>
      <c r="BE153" s="144"/>
      <c r="BF153" s="144"/>
      <c r="BG153" s="144"/>
    </row>
    <row r="154" spans="45:98" x14ac:dyDescent="0.3">
      <c r="AS154" s="119" t="s">
        <v>225</v>
      </c>
      <c r="AT154" s="119">
        <f>COUNTIFS(X:X,"D",C:C,1)/COUNTIF(C:C,1)</f>
        <v>0</v>
      </c>
      <c r="AU154" s="119">
        <f>COUNTIFS(X:X,"D",C:C,2)/COUNTIF(C:C,2)</f>
        <v>0</v>
      </c>
      <c r="AV154" s="119">
        <f>COUNTIFS(X:X,"D",C:C,3)/COUNTIF(C:C,3)</f>
        <v>7.6923076923076927E-2</v>
      </c>
      <c r="AW154" s="119">
        <f>COUNTIFS(X:X,"D",C:C,4)/COUNTIF(C:C,4)</f>
        <v>0</v>
      </c>
      <c r="AX154" s="119">
        <f>COUNTIFS(X:X,"D",C:C,5)/COUNTIF(C:C,5)</f>
        <v>0</v>
      </c>
      <c r="AY154" s="119">
        <f>COUNTIFS(X:X,"D",C:C,6)/COUNTIF(C:C,6)</f>
        <v>0.15384615384615385</v>
      </c>
      <c r="AZ154" s="118"/>
      <c r="BA154" s="144"/>
      <c r="BB154" s="144"/>
      <c r="BC154" s="144"/>
      <c r="BD154" s="144"/>
      <c r="BE154" s="144"/>
      <c r="BF154" s="144"/>
      <c r="BG154" s="144"/>
      <c r="BI154" s="132"/>
    </row>
    <row r="155" spans="45:98" x14ac:dyDescent="0.3">
      <c r="AZ155" s="118"/>
      <c r="BA155" s="143"/>
      <c r="BB155" s="143"/>
      <c r="BC155" s="143"/>
      <c r="BD155" s="143"/>
      <c r="BE155" s="143"/>
      <c r="BF155" s="143"/>
      <c r="BG155" s="143"/>
    </row>
    <row r="156" spans="45:98" x14ac:dyDescent="0.3">
      <c r="AS156" s="119" t="s">
        <v>344</v>
      </c>
      <c r="AT156" s="119">
        <v>1</v>
      </c>
      <c r="AU156" s="119">
        <v>2</v>
      </c>
      <c r="AV156" s="119">
        <v>3</v>
      </c>
      <c r="AW156" s="119">
        <v>4</v>
      </c>
      <c r="AX156" s="119">
        <v>5</v>
      </c>
      <c r="AY156" s="119">
        <v>6</v>
      </c>
      <c r="AZ156" s="118"/>
      <c r="BA156" s="144"/>
      <c r="BB156" s="144"/>
      <c r="BC156" s="144"/>
      <c r="BD156" s="144"/>
      <c r="BE156" s="144"/>
      <c r="BF156" s="144"/>
      <c r="BG156" s="144"/>
      <c r="BI156" s="132"/>
    </row>
    <row r="157" spans="45:98" x14ac:dyDescent="0.3">
      <c r="AS157" s="119" t="s">
        <v>345</v>
      </c>
      <c r="AT157" s="119">
        <f>COUNTIFS(Y:Y,"A",C:C,1)/COUNTIF(C:C,1)</f>
        <v>0.30769230769230771</v>
      </c>
      <c r="AU157" s="119">
        <f>COUNTIFS(Y:Y,"A",C:C,2)/COUNTIF(C:C,2)</f>
        <v>0.53846153846153844</v>
      </c>
      <c r="AV157" s="119">
        <f>COUNTIFS(Y:Y,"A",C:C,3)/COUNTIF(C:C,3)</f>
        <v>0.23076923076923078</v>
      </c>
      <c r="AW157" s="119">
        <f>COUNTIFS(Y:Y,"A",C:C,4)/COUNTIF(C:C,4)</f>
        <v>0.23076923076923078</v>
      </c>
      <c r="AX157" s="119">
        <f>COUNTIFS(Y:Y,"A",C:C,5)/COUNTIF(C:C,5)</f>
        <v>0.30769230769230771</v>
      </c>
      <c r="AY157" s="119">
        <f>COUNTIFS(Y:Y,"A",C:C,6)/COUNTIF(C:C,6)</f>
        <v>0.38461538461538464</v>
      </c>
      <c r="AZ157" s="118"/>
      <c r="BA157" s="144"/>
      <c r="BB157" s="144"/>
      <c r="BC157" s="144"/>
      <c r="BD157" s="144"/>
      <c r="BE157" s="144"/>
      <c r="BF157" s="144"/>
      <c r="BG157" s="144"/>
    </row>
    <row r="158" spans="45:98" x14ac:dyDescent="0.3">
      <c r="AS158" s="119" t="s">
        <v>346</v>
      </c>
      <c r="AT158" s="119">
        <f>COUNTIFS(Y:Y,"B",C:C,1)/COUNTIF(C:C,1)</f>
        <v>7.6923076923076927E-2</v>
      </c>
      <c r="AU158" s="119">
        <f>COUNTIFS(Y:Y,"B",C:C,2)/COUNTIF(C:C,2)</f>
        <v>0</v>
      </c>
      <c r="AV158" s="119">
        <f>COUNTIFS(Y:Y,"B",C:C,3)/COUNTIF(C:C,3)</f>
        <v>0.23076923076923078</v>
      </c>
      <c r="AW158" s="119">
        <f>COUNTIFS(Y:Y,"B",C:C,4)/COUNTIF(C:C,4)</f>
        <v>0</v>
      </c>
      <c r="AX158" s="119">
        <f>COUNTIFS(Y:Y,"B",C:C,5)/COUNTIF(C:C,5)</f>
        <v>0.15384615384615385</v>
      </c>
      <c r="AY158" s="119">
        <f>COUNTIFS(Y:Y,"B",C:C,6)/COUNTIF(C:C,6)</f>
        <v>0</v>
      </c>
      <c r="AZ158" s="118"/>
      <c r="BA158" s="144"/>
      <c r="BB158" s="144"/>
      <c r="BC158" s="144"/>
      <c r="BD158" s="144"/>
      <c r="BE158" s="144"/>
      <c r="BF158" s="144"/>
      <c r="BG158" s="144"/>
      <c r="BI158" s="132"/>
    </row>
    <row r="159" spans="45:98" x14ac:dyDescent="0.3">
      <c r="AS159" s="119" t="s">
        <v>347</v>
      </c>
      <c r="AT159" s="119">
        <f>COUNTIFS(Y:Y,"C",C:C,1)/COUNTIF(C:C,1)</f>
        <v>0.53846153846153844</v>
      </c>
      <c r="AU159" s="119">
        <f>COUNTIFS(Y:Y,"C",C:C,2)/COUNTIF(C:C,2)</f>
        <v>0.46153846153846156</v>
      </c>
      <c r="AV159" s="119">
        <f>COUNTIFS(Y:Y,"C",C:C,3)/COUNTIF(C:C,3)</f>
        <v>0.46153846153846156</v>
      </c>
      <c r="AW159" s="119">
        <f>COUNTIFS(Y:Y,"C",C:C,4)/COUNTIF(C:C,4)</f>
        <v>0.76923076923076927</v>
      </c>
      <c r="AX159" s="119">
        <f>COUNTIFS(Y:Y,"C",C:C,5)/COUNTIF(C:C,5)</f>
        <v>0.53846153846153844</v>
      </c>
      <c r="AY159" s="119">
        <f>COUNTIFS(Y:Y,"C",C:C,6)/COUNTIF(C:C,6)</f>
        <v>0.53846153846153844</v>
      </c>
      <c r="AZ159" s="118"/>
      <c r="BA159" s="144"/>
      <c r="BB159" s="144"/>
      <c r="BC159" s="144"/>
      <c r="BD159" s="144"/>
      <c r="BE159" s="144"/>
      <c r="BF159" s="144"/>
      <c r="BG159" s="144"/>
    </row>
    <row r="160" spans="45:98" x14ac:dyDescent="0.3">
      <c r="AS160" s="119" t="s">
        <v>348</v>
      </c>
      <c r="AT160" s="119">
        <f>COUNTIFS(Y:Y,"D",C:C,1)/COUNTIF(C:C,1)</f>
        <v>7.6923076923076927E-2</v>
      </c>
      <c r="AU160" s="119">
        <f>COUNTIFS(Y:Y,"D",C:C,2)/COUNTIF(C:C,2)</f>
        <v>0</v>
      </c>
      <c r="AV160" s="119">
        <f>COUNTIFS(Y:Y,"D",C:C,3)/COUNTIF(C:C,3)</f>
        <v>7.6923076923076927E-2</v>
      </c>
      <c r="AW160" s="119">
        <f>COUNTIFS(Y:Y,"D",C:C,4)/COUNTIF(C:C,4)</f>
        <v>0</v>
      </c>
      <c r="AX160" s="119">
        <f>COUNTIFS(Y:Y,"D",C:C,5)/COUNTIF(C:C,5)</f>
        <v>0</v>
      </c>
      <c r="AY160" s="119">
        <f>COUNTIFS(Y:Y,"D",C:C,6)/COUNTIF(C:C,6)</f>
        <v>7.6923076923076927E-2</v>
      </c>
      <c r="AZ160" s="118"/>
      <c r="BA160" s="144"/>
      <c r="BB160" s="144"/>
      <c r="BC160" s="144"/>
      <c r="BD160" s="144"/>
      <c r="BE160" s="144"/>
      <c r="BF160" s="144"/>
      <c r="BG160" s="144"/>
    </row>
    <row r="161" spans="45:98" x14ac:dyDescent="0.3">
      <c r="AZ161" s="118"/>
      <c r="BA161" s="143"/>
      <c r="BB161" s="143"/>
      <c r="BC161" s="143"/>
      <c r="BD161" s="143"/>
      <c r="BE161" s="143"/>
      <c r="BF161" s="143"/>
      <c r="BG161" s="143"/>
      <c r="BI161" s="125"/>
      <c r="BK161" s="121"/>
      <c r="BL161" s="121"/>
      <c r="BM161" s="121"/>
      <c r="BN161" s="121"/>
      <c r="BO161" s="121"/>
      <c r="BP161" s="121"/>
      <c r="BQ161" s="121"/>
      <c r="BR161" s="121"/>
      <c r="BS161" s="121"/>
      <c r="BT161" s="121"/>
      <c r="BU161" s="121"/>
      <c r="BV161" s="121"/>
      <c r="BW161" s="121"/>
      <c r="BX161" s="121"/>
      <c r="BY161" s="121"/>
      <c r="BZ161" s="121"/>
      <c r="CA161" s="121"/>
      <c r="CB161" s="121"/>
      <c r="CC161" s="121"/>
      <c r="CD161" s="121"/>
      <c r="CE161" s="121"/>
      <c r="CF161" s="121"/>
      <c r="CG161" s="121"/>
      <c r="CH161" s="121"/>
      <c r="CI161" s="121"/>
      <c r="CJ161" s="121"/>
      <c r="CK161" s="121"/>
      <c r="CL161" s="121"/>
      <c r="CM161" s="121"/>
      <c r="CN161" s="121"/>
      <c r="CO161" s="121"/>
      <c r="CP161" s="121"/>
      <c r="CQ161" s="121"/>
      <c r="CR161" s="121"/>
      <c r="CS161" s="121"/>
      <c r="CT161" s="121"/>
    </row>
    <row r="162" spans="45:98" x14ac:dyDescent="0.3">
      <c r="AS162" s="119" t="s">
        <v>349</v>
      </c>
      <c r="AT162" s="119">
        <v>1</v>
      </c>
      <c r="AU162" s="119">
        <v>2</v>
      </c>
      <c r="AV162" s="119">
        <v>3</v>
      </c>
      <c r="AW162" s="119">
        <v>4</v>
      </c>
      <c r="AX162" s="119">
        <v>5</v>
      </c>
      <c r="AY162" s="119">
        <v>6</v>
      </c>
      <c r="AZ162" s="118"/>
      <c r="BA162" s="118"/>
      <c r="BB162" s="118"/>
      <c r="BC162" s="118"/>
      <c r="BD162" s="118"/>
      <c r="BE162" s="118"/>
      <c r="BF162" s="118"/>
      <c r="BI162" s="125"/>
    </row>
    <row r="163" spans="45:98" x14ac:dyDescent="0.3">
      <c r="AS163" s="119" t="s">
        <v>350</v>
      </c>
      <c r="AT163" s="119">
        <f>COUNTIFS(Z:Z,"A",C:C,1)/COUNTIF(C:C,1)</f>
        <v>7.6923076923076927E-2</v>
      </c>
      <c r="AU163" s="119">
        <f>COUNTIFS(Z:Z,"A",C:C,2)/COUNTIF(C:C,2)</f>
        <v>0</v>
      </c>
      <c r="AV163" s="119">
        <f>COUNTIFS(Z:Z,"A",C:C,3)/COUNTIF(C:C,3)</f>
        <v>0.15384615384615385</v>
      </c>
      <c r="AW163" s="119">
        <f>COUNTIFS(Z:Z,"A",C:C,4)/COUNTIF(C:C,4)</f>
        <v>0</v>
      </c>
      <c r="AX163" s="119">
        <f>COUNTIFS(Z:Z,"A",C:C,5)/COUNTIF(C:C,5)</f>
        <v>0</v>
      </c>
      <c r="AY163" s="119">
        <f>COUNTIFS(Z:Z,"A",C:C,6)/COUNTIF(C:C,6)</f>
        <v>0</v>
      </c>
      <c r="AZ163" s="118"/>
      <c r="BA163" s="118"/>
      <c r="BB163" s="118"/>
      <c r="BC163" s="118"/>
      <c r="BD163" s="118"/>
      <c r="BE163" s="118"/>
      <c r="BF163" s="118"/>
    </row>
    <row r="164" spans="45:98" x14ac:dyDescent="0.3">
      <c r="AS164" s="119" t="s">
        <v>351</v>
      </c>
      <c r="AT164" s="119">
        <f>COUNTIFS(Z:Z,"B",C:C,1)/COUNTIF(C:C,1)</f>
        <v>0.92307692307692313</v>
      </c>
      <c r="AU164" s="119">
        <f>COUNTIFS(Z:Z,"B",C:C,2)/COUNTIF(C:C,2)</f>
        <v>1</v>
      </c>
      <c r="AV164" s="119">
        <f>COUNTIFS(Z:Z,"B",C:C,3)/COUNTIF(C:C,3)</f>
        <v>0.84615384615384615</v>
      </c>
      <c r="AW164" s="119">
        <f>COUNTIFS(Z:Z,"B",C:C,4)/COUNTIF(C:C,4)</f>
        <v>1</v>
      </c>
      <c r="AX164" s="119">
        <f>COUNTIFS(Z:Z,"B",C:C,5)/COUNTIF(C:C,5)</f>
        <v>1</v>
      </c>
      <c r="AY164" s="119">
        <f>COUNTIFS(Z:Z,"B",C:C,6)/COUNTIF(C:C,6)</f>
        <v>1</v>
      </c>
      <c r="AZ164" s="118"/>
      <c r="BA164" s="118"/>
      <c r="BB164" s="118"/>
      <c r="BC164" s="118"/>
      <c r="BD164" s="118"/>
      <c r="BE164" s="118"/>
      <c r="BF164" s="118"/>
      <c r="BI164" s="132"/>
    </row>
    <row r="165" spans="45:98" x14ac:dyDescent="0.3">
      <c r="AZ165" s="118"/>
      <c r="BA165" s="118"/>
      <c r="BB165" s="118"/>
      <c r="BC165" s="118"/>
      <c r="BD165" s="118"/>
      <c r="BE165" s="118"/>
      <c r="BF165" s="118"/>
    </row>
    <row r="166" spans="45:98" x14ac:dyDescent="0.3">
      <c r="AS166" s="119" t="s">
        <v>352</v>
      </c>
      <c r="AT166" s="119">
        <v>1</v>
      </c>
      <c r="AU166" s="119">
        <v>2</v>
      </c>
      <c r="AV166" s="119">
        <v>3</v>
      </c>
      <c r="AW166" s="119">
        <v>4</v>
      </c>
      <c r="AX166" s="119">
        <v>5</v>
      </c>
      <c r="AY166" s="119">
        <v>6</v>
      </c>
      <c r="AZ166" s="118"/>
      <c r="BA166" s="118"/>
      <c r="BB166" s="118"/>
      <c r="BC166" s="118"/>
      <c r="BD166" s="118"/>
      <c r="BE166" s="118"/>
      <c r="BF166" s="118"/>
      <c r="BI166" s="132"/>
    </row>
    <row r="167" spans="45:98" x14ac:dyDescent="0.3">
      <c r="AS167" s="119" t="s">
        <v>353</v>
      </c>
      <c r="AT167" s="119">
        <f>COUNTIFS(AA:AA,"A",C:C,1)/COUNTIF(C:C,1)</f>
        <v>0.76923076923076927</v>
      </c>
      <c r="AU167" s="119">
        <f>COUNTIFS(AA:AA,"A",C:C,2)/COUNTIF(C:C,2)</f>
        <v>0.84615384615384615</v>
      </c>
      <c r="AV167" s="119">
        <f>COUNTIFS(AA:AA,"A",C:C,3)/COUNTIF(C:C,3)</f>
        <v>0.92307692307692313</v>
      </c>
      <c r="AW167" s="119">
        <f>COUNTIFS(AA:AA,"A",C:C,4)/COUNTIF(C:C,4)</f>
        <v>0.92307692307692313</v>
      </c>
      <c r="AX167" s="119">
        <f>COUNTIFS(AA:AA,"A",C:C,5)/COUNTIF(C:C,5)</f>
        <v>1</v>
      </c>
      <c r="AY167" s="119">
        <f>COUNTIFS(AA:AA,"A",C:C,6)/COUNTIF(C:C,6)</f>
        <v>0.84615384615384615</v>
      </c>
      <c r="AZ167" s="118"/>
      <c r="BB167" s="143"/>
      <c r="BC167" s="143"/>
      <c r="BD167" s="143"/>
      <c r="BE167" s="143"/>
      <c r="BF167" s="143"/>
      <c r="BG167" s="143"/>
    </row>
    <row r="168" spans="45:98" x14ac:dyDescent="0.3">
      <c r="AS168" s="119" t="s">
        <v>354</v>
      </c>
      <c r="AT168" s="119">
        <f>COUNTIFS(AA:AA,"B",C:C,1)/COUNTIF(C:C,1)</f>
        <v>0.23076923076923078</v>
      </c>
      <c r="AU168" s="119">
        <f>COUNTIFS(AA:AA,"B",C:C,2)/COUNTIF(C:C,2)</f>
        <v>0.15384615384615385</v>
      </c>
      <c r="AV168" s="119">
        <f>COUNTIFS(AA:AA,"B",C:C,3)/COUNTIF(C:C,3)</f>
        <v>7.6923076923076927E-2</v>
      </c>
      <c r="AW168" s="119">
        <f>COUNTIFS(AA:AA,"B",C:C,4)/COUNTIF(C:C,4)</f>
        <v>7.6923076923076927E-2</v>
      </c>
      <c r="AX168" s="119">
        <f>COUNTIFS(AA:AA,"B",C:C,5)/COUNTIF(C:C,5)</f>
        <v>0</v>
      </c>
      <c r="AY168" s="119">
        <f>COUNTIFS(AA:AA,"B",C:C,6)/COUNTIF(C:C,6)</f>
        <v>0.15384615384615385</v>
      </c>
      <c r="AZ168" s="118"/>
      <c r="BA168" s="118"/>
      <c r="BB168" s="118"/>
      <c r="BC168" s="118"/>
      <c r="BD168" s="118"/>
      <c r="BE168" s="118"/>
      <c r="BF168" s="118"/>
      <c r="BI168" s="132"/>
    </row>
    <row r="169" spans="45:98" x14ac:dyDescent="0.3">
      <c r="AZ169" s="118"/>
      <c r="BA169" s="118"/>
      <c r="BB169" s="118"/>
      <c r="BC169" s="118"/>
      <c r="BD169" s="118"/>
      <c r="BE169" s="118"/>
      <c r="BF169" s="118"/>
    </row>
    <row r="170" spans="45:98" x14ac:dyDescent="0.3">
      <c r="AS170" s="119" t="s">
        <v>355</v>
      </c>
      <c r="AT170" s="119">
        <v>1</v>
      </c>
      <c r="AU170" s="119">
        <v>2</v>
      </c>
      <c r="AV170" s="119">
        <v>3</v>
      </c>
      <c r="AW170" s="119">
        <v>4</v>
      </c>
      <c r="AX170" s="119">
        <v>5</v>
      </c>
      <c r="AY170" s="119">
        <v>6</v>
      </c>
      <c r="AZ170" s="118"/>
      <c r="BA170" s="118"/>
      <c r="BB170" s="118"/>
      <c r="BC170" s="118"/>
      <c r="BD170" s="118"/>
      <c r="BE170" s="118"/>
      <c r="BF170" s="118"/>
      <c r="BI170" s="132"/>
    </row>
    <row r="171" spans="45:98" x14ac:dyDescent="0.3">
      <c r="AS171" s="119" t="s">
        <v>353</v>
      </c>
      <c r="AT171" s="119">
        <f>COUNTIFS(AB:AB,"A",C:C,1)/COUNTIF(C:C,1)</f>
        <v>0.76923076923076927</v>
      </c>
      <c r="AU171" s="119">
        <f>COUNTIFS(AB:AB,"A",C:C,2)/COUNTIF(C:C,2)</f>
        <v>0.92307692307692313</v>
      </c>
      <c r="AV171" s="119">
        <f>COUNTIFS(AB:AB,"A",C:C,3)/COUNTIF(C:C,3)</f>
        <v>0.84615384615384615</v>
      </c>
      <c r="AW171" s="119">
        <f>COUNTIFS(AB:AB,"A",C:C,4)/COUNTIF(C:C,4)</f>
        <v>0.92307692307692313</v>
      </c>
      <c r="AX171" s="119">
        <f>COUNTIFS(AB:AB,"A",C:C,5)/COUNTIF(C:C,5)</f>
        <v>1</v>
      </c>
      <c r="AY171" s="119">
        <f>COUNTIFS(AB:AB,"A",C:C,6)/COUNTIF(C:C,6)</f>
        <v>0.92307692307692313</v>
      </c>
      <c r="AZ171" s="118"/>
      <c r="BB171" s="143"/>
      <c r="BC171" s="143"/>
      <c r="BD171" s="143"/>
      <c r="BE171" s="143"/>
      <c r="BF171" s="143"/>
      <c r="BG171" s="143"/>
    </row>
    <row r="172" spans="45:98" x14ac:dyDescent="0.3">
      <c r="AS172" s="119" t="s">
        <v>356</v>
      </c>
      <c r="AT172" s="119">
        <f>COUNTIFS(AB:AB,"B",C:C,1)/COUNTIF(C:C,1)</f>
        <v>0.23076923076923078</v>
      </c>
      <c r="AU172" s="119">
        <f>COUNTIFS(AB:AB,"B",C:C,2)/COUNTIF(C:C,2)</f>
        <v>7.6923076923076927E-2</v>
      </c>
      <c r="AV172" s="119">
        <f>COUNTIFS(AB:AB,"B",C:C,3)/COUNTIF(C:C,3)</f>
        <v>0.15384615384615385</v>
      </c>
      <c r="AW172" s="119">
        <f>COUNTIFS(AB:AB,"B",C:C,4)/COUNTIF(C:C,4)</f>
        <v>7.6923076923076927E-2</v>
      </c>
      <c r="AX172" s="119">
        <f>COUNTIFS(AB:AB,"B",C:C,5)/COUNTIF(C:C,5)</f>
        <v>0</v>
      </c>
      <c r="AY172" s="119">
        <f>COUNTIFS(AB:AB,"B",C:C,6)/COUNTIF(C:C,6)</f>
        <v>7.6923076923076927E-2</v>
      </c>
      <c r="AZ172" s="118"/>
      <c r="BA172" s="118"/>
      <c r="BB172" s="118"/>
      <c r="BC172" s="118"/>
      <c r="BD172" s="118"/>
      <c r="BE172" s="118"/>
      <c r="BF172" s="118"/>
      <c r="BI172" s="132"/>
    </row>
    <row r="173" spans="45:98" x14ac:dyDescent="0.3">
      <c r="AZ173" s="118"/>
      <c r="BA173" s="118"/>
      <c r="BB173" s="118"/>
      <c r="BC173" s="118"/>
      <c r="BD173" s="118"/>
      <c r="BE173" s="118"/>
      <c r="BF173" s="118"/>
    </row>
    <row r="174" spans="45:98" x14ac:dyDescent="0.3">
      <c r="AS174" s="119" t="s">
        <v>357</v>
      </c>
      <c r="AT174" s="119">
        <v>1</v>
      </c>
      <c r="AU174" s="119">
        <v>2</v>
      </c>
      <c r="AV174" s="119">
        <v>3</v>
      </c>
      <c r="AW174" s="119">
        <v>4</v>
      </c>
      <c r="AX174" s="119">
        <v>5</v>
      </c>
      <c r="AY174" s="119">
        <v>6</v>
      </c>
      <c r="AZ174" s="118"/>
      <c r="BA174" s="118"/>
      <c r="BB174" s="118"/>
      <c r="BC174" s="118"/>
      <c r="BD174" s="118"/>
      <c r="BE174" s="118"/>
      <c r="BF174" s="118"/>
      <c r="BI174" s="132"/>
    </row>
    <row r="175" spans="45:98" x14ac:dyDescent="0.3">
      <c r="AS175" s="119" t="s">
        <v>358</v>
      </c>
      <c r="AT175" s="119">
        <f>COUNTIFS(AC:AC,"A",C:C,1)/COUNTIF(C:C,1)</f>
        <v>1</v>
      </c>
      <c r="AU175" s="119">
        <f>COUNTIFS(AC:AC,"A",C:C,2)/COUNTIF(C:C,2)</f>
        <v>1</v>
      </c>
      <c r="AV175" s="119">
        <f>COUNTIFS(AC:AC,"A",C:C,3)/COUNTIF(C:C,3)</f>
        <v>1</v>
      </c>
      <c r="AW175" s="119">
        <f>COUNTIFS(AC:AC,"A",C:C,4)/COUNTIF(C:C,4)</f>
        <v>1</v>
      </c>
      <c r="AX175" s="119">
        <f>COUNTIFS(AC:AC,"A",C:C,5)/COUNTIF(C:C,5)</f>
        <v>1</v>
      </c>
      <c r="AY175" s="119">
        <f>COUNTIFS(AC:AC,"A",C:C,6)/COUNTIF(C:C,6)</f>
        <v>0.92307692307692313</v>
      </c>
      <c r="AZ175" s="118"/>
      <c r="BB175" s="143"/>
      <c r="BC175" s="143"/>
      <c r="BD175" s="143"/>
      <c r="BE175" s="143"/>
      <c r="BF175" s="143"/>
      <c r="BG175" s="143"/>
    </row>
    <row r="176" spans="45:98" x14ac:dyDescent="0.3">
      <c r="AS176" s="119" t="s">
        <v>359</v>
      </c>
      <c r="AT176" s="119">
        <f>COUNTIFS(AC:AC,"B",C:C,1)/COUNTIF(C:C,1)</f>
        <v>0</v>
      </c>
      <c r="AU176" s="119">
        <f>COUNTIFS(AC:AC,"B",C:C,2)/COUNTIF(C:C,2)</f>
        <v>0</v>
      </c>
      <c r="AV176" s="119">
        <f>COUNTIFS(AC:AC,"B",C:C,3)/COUNTIF(C:C,3)</f>
        <v>0</v>
      </c>
      <c r="AW176" s="119">
        <f>COUNTIFS(AC:AC,"B",C:C,4)/COUNTIF(C:C,4)</f>
        <v>0</v>
      </c>
      <c r="AX176" s="119">
        <f>COUNTIFS(AC:AC,"B",C:C,5)/COUNTIF(C:C,5)</f>
        <v>0</v>
      </c>
      <c r="AY176" s="119">
        <f>COUNTIFS(AC:AC,"B",C:C,6)/COUNTIF(C:C,6)</f>
        <v>7.6923076923076927E-2</v>
      </c>
      <c r="AZ176" s="118"/>
      <c r="BA176" s="118"/>
      <c r="BB176" s="118"/>
      <c r="BC176" s="118"/>
      <c r="BD176" s="118"/>
      <c r="BE176" s="118"/>
      <c r="BF176" s="118"/>
    </row>
    <row r="177" spans="45:98" x14ac:dyDescent="0.3">
      <c r="AZ177" s="118"/>
      <c r="BA177" s="118"/>
      <c r="BB177" s="118"/>
      <c r="BC177" s="118"/>
      <c r="BD177" s="118"/>
      <c r="BE177" s="118"/>
      <c r="BF177" s="118"/>
      <c r="BI177" s="125"/>
      <c r="BK177" s="121"/>
      <c r="BL177" s="121"/>
      <c r="BM177" s="121"/>
      <c r="BN177" s="121"/>
      <c r="BO177" s="121"/>
      <c r="BP177" s="121"/>
      <c r="BQ177" s="121"/>
      <c r="BR177" s="121"/>
      <c r="BS177" s="121"/>
      <c r="BT177" s="121"/>
      <c r="BU177" s="121"/>
      <c r="BV177" s="121"/>
      <c r="BW177" s="121"/>
      <c r="BX177" s="121"/>
      <c r="BY177" s="121"/>
      <c r="BZ177" s="121"/>
      <c r="CA177" s="121"/>
      <c r="CB177" s="121"/>
      <c r="CC177" s="121"/>
      <c r="CD177" s="121"/>
      <c r="CE177" s="121"/>
      <c r="CF177" s="121"/>
      <c r="CG177" s="121"/>
      <c r="CH177" s="121"/>
      <c r="CI177" s="121"/>
      <c r="CJ177" s="121"/>
      <c r="CK177" s="121"/>
      <c r="CL177" s="121"/>
      <c r="CM177" s="121"/>
      <c r="CN177" s="121"/>
      <c r="CO177" s="121"/>
      <c r="CP177" s="121"/>
      <c r="CQ177" s="121"/>
      <c r="CR177" s="121"/>
      <c r="CS177" s="121"/>
      <c r="CT177" s="121"/>
    </row>
    <row r="178" spans="45:98" x14ac:dyDescent="0.3">
      <c r="AS178" s="119" t="s">
        <v>361</v>
      </c>
      <c r="AT178" s="119">
        <v>1</v>
      </c>
      <c r="AU178" s="119">
        <v>2</v>
      </c>
      <c r="AV178" s="119">
        <v>3</v>
      </c>
      <c r="AW178" s="119">
        <v>4</v>
      </c>
      <c r="AX178" s="119">
        <v>5</v>
      </c>
      <c r="AY178" s="119">
        <v>6</v>
      </c>
      <c r="AZ178" s="118"/>
      <c r="BA178" s="118"/>
      <c r="BB178" s="118"/>
      <c r="BC178" s="118"/>
      <c r="BD178" s="118"/>
      <c r="BE178" s="118"/>
      <c r="BF178" s="118"/>
      <c r="BI178" s="125"/>
    </row>
    <row r="179" spans="45:98" x14ac:dyDescent="0.3">
      <c r="AS179" s="119" t="s">
        <v>362</v>
      </c>
      <c r="AT179" s="119">
        <f>COUNTIFS(AD:AD,"A",C:C,1)/COUNTIF(C:C,1)</f>
        <v>1</v>
      </c>
      <c r="AU179" s="119">
        <f>COUNTIFS(AD:AD,"A",C:C,2)/COUNTIF(C:C,2)</f>
        <v>1</v>
      </c>
      <c r="AV179" s="119">
        <f>COUNTIFS(AD:AD,"A",C:C,3)/COUNTIF(C:C,3)</f>
        <v>1</v>
      </c>
      <c r="AW179" s="119">
        <f>COUNTIFS(AD:AD,"A",C:C,4)/COUNTIF(C:C,4)</f>
        <v>0.84615384615384615</v>
      </c>
      <c r="AX179" s="119">
        <f>COUNTIFS(AD:AD,"A",C:C,5)/COUNTIF(C:C,5)</f>
        <v>1</v>
      </c>
      <c r="AY179" s="119">
        <f>COUNTIFS(AD:AD,"A",C:C,6)/COUNTIF(C:C,6)</f>
        <v>0.84615384615384615</v>
      </c>
      <c r="AZ179" s="118"/>
      <c r="BB179" s="143"/>
      <c r="BC179" s="143"/>
      <c r="BD179" s="143"/>
      <c r="BE179" s="143"/>
      <c r="BF179" s="143"/>
      <c r="BG179" s="143"/>
    </row>
    <row r="180" spans="45:98" x14ac:dyDescent="0.3">
      <c r="AS180" s="119" t="s">
        <v>363</v>
      </c>
      <c r="AT180" s="119">
        <f>COUNTIFS(AD:AD,"B",C:C,1)/COUNTIF(C:C,1)</f>
        <v>0</v>
      </c>
      <c r="AU180" s="119">
        <f>COUNTIFS(AD:AD,"B",C:C,2)/COUNTIF(C:C,2)</f>
        <v>0</v>
      </c>
      <c r="AV180" s="119">
        <f>COUNTIFS(AD:AD,"B",C:C,3)/COUNTIF(C:C,3)</f>
        <v>0</v>
      </c>
      <c r="AW180" s="119">
        <f>COUNTIFS(AD:AD,"B",C:C,4)/COUNTIF(C:C,4)</f>
        <v>0.15384615384615385</v>
      </c>
      <c r="AX180" s="119">
        <f>COUNTIFS(AD:AD,"B",C:C,5)/COUNTIF(C:C,5)</f>
        <v>0</v>
      </c>
      <c r="AY180" s="119">
        <f>COUNTIFS(AD:AD,"B",C:C,6)/COUNTIF(C:C,6)</f>
        <v>0.15384615384615385</v>
      </c>
      <c r="AZ180" s="118"/>
      <c r="BA180" s="118"/>
      <c r="BB180" s="118"/>
      <c r="BC180" s="118"/>
      <c r="BD180" s="118"/>
      <c r="BE180" s="118"/>
      <c r="BF180" s="118"/>
      <c r="BI180" s="132"/>
    </row>
    <row r="181" spans="45:98" x14ac:dyDescent="0.3">
      <c r="AZ181" s="118"/>
      <c r="BA181" s="118"/>
      <c r="BB181" s="118"/>
      <c r="BC181" s="118"/>
      <c r="BD181" s="118"/>
      <c r="BE181" s="118"/>
      <c r="BF181" s="118"/>
    </row>
    <row r="182" spans="45:98" x14ac:dyDescent="0.3">
      <c r="AS182" s="119" t="s">
        <v>364</v>
      </c>
      <c r="AT182" s="119">
        <v>1</v>
      </c>
      <c r="AU182" s="119">
        <v>2</v>
      </c>
      <c r="AV182" s="119">
        <v>3</v>
      </c>
      <c r="AW182" s="119">
        <v>4</v>
      </c>
      <c r="AX182" s="119">
        <v>5</v>
      </c>
      <c r="AY182" s="119">
        <v>6</v>
      </c>
      <c r="AZ182" s="118"/>
      <c r="BA182" s="118"/>
      <c r="BB182" s="118"/>
      <c r="BC182" s="118"/>
      <c r="BD182" s="118"/>
      <c r="BE182" s="118"/>
      <c r="BF182" s="118"/>
      <c r="BI182" s="132"/>
    </row>
    <row r="183" spans="45:98" x14ac:dyDescent="0.3">
      <c r="AS183" s="119" t="s">
        <v>365</v>
      </c>
      <c r="AT183" s="119">
        <f>COUNTIFS(AE:AE,"A",C:C,1)/COUNTIF(C:C,1)</f>
        <v>1</v>
      </c>
      <c r="AU183" s="119">
        <f>COUNTIFS(AE:AE,"A",C:C,2)/COUNTIF(C:C,2)</f>
        <v>1</v>
      </c>
      <c r="AV183" s="119">
        <f>COUNTIFS(AE:AE,"A",C:C,3)/COUNTIF(C:C,3)</f>
        <v>1</v>
      </c>
      <c r="AW183" s="119">
        <f>COUNTIFS(AE:AE,"A",C:C,4)/COUNTIF(C:C,4)</f>
        <v>1</v>
      </c>
      <c r="AX183" s="119">
        <f>COUNTIFS(AE:AE,"A",C:C,5)/COUNTIF(C:C,5)</f>
        <v>0.92307692307692313</v>
      </c>
      <c r="AY183" s="119">
        <f>COUNTIFS(AE:AE,"A",C:C,6)/COUNTIF(C:C,6)</f>
        <v>0.84615384615384615</v>
      </c>
      <c r="AZ183" s="118"/>
      <c r="BB183" s="143"/>
      <c r="BC183" s="143"/>
      <c r="BD183" s="143"/>
      <c r="BE183" s="143"/>
      <c r="BF183" s="143"/>
      <c r="BG183" s="143"/>
    </row>
    <row r="184" spans="45:98" x14ac:dyDescent="0.3">
      <c r="AS184" s="119" t="s">
        <v>366</v>
      </c>
      <c r="AT184" s="119">
        <f>COUNTIFS(AE:AE,"B",C:C,1)/COUNTIF(C:C,1)</f>
        <v>0</v>
      </c>
      <c r="AU184" s="119">
        <f>COUNTIFS(AE:AE,"B",C:C,2)/COUNTIF(C:C,2)</f>
        <v>0</v>
      </c>
      <c r="AV184" s="119">
        <f>COUNTIFS(AE:AE,"B",C:C,3)/COUNTIF(C:C,3)</f>
        <v>0</v>
      </c>
      <c r="AW184" s="119">
        <f>COUNTIFS(AE:AE,"B",C:C,4)/COUNTIF(C:C,4)</f>
        <v>0</v>
      </c>
      <c r="AX184" s="119">
        <f>COUNTIFS(AE:AE,"B",C:C,5)/COUNTIF(C:C,5)</f>
        <v>7.6923076923076927E-2</v>
      </c>
      <c r="AY184" s="119">
        <f>COUNTIFS(AE:AE,"B",C:C,6)/COUNTIF(C:C,6)</f>
        <v>0.15384615384615385</v>
      </c>
      <c r="AZ184" s="118"/>
      <c r="BA184" s="118"/>
      <c r="BB184" s="118"/>
      <c r="BC184" s="118"/>
      <c r="BD184" s="118"/>
      <c r="BE184" s="118"/>
      <c r="BF184" s="118"/>
      <c r="BI184" s="132"/>
    </row>
    <row r="185" spans="45:98" x14ac:dyDescent="0.3">
      <c r="AZ185" s="118"/>
      <c r="BA185" s="118"/>
      <c r="BB185" s="118"/>
      <c r="BC185" s="118"/>
      <c r="BD185" s="118"/>
      <c r="BE185" s="118"/>
      <c r="BF185" s="118"/>
    </row>
    <row r="186" spans="45:98" x14ac:dyDescent="0.3">
      <c r="AS186" s="119" t="s">
        <v>367</v>
      </c>
      <c r="AT186" s="119">
        <v>1</v>
      </c>
      <c r="AU186" s="119">
        <v>2</v>
      </c>
      <c r="AV186" s="119">
        <v>3</v>
      </c>
      <c r="AW186" s="119">
        <v>4</v>
      </c>
      <c r="AX186" s="119">
        <v>5</v>
      </c>
      <c r="AY186" s="119">
        <v>6</v>
      </c>
      <c r="AZ186" s="118"/>
      <c r="BA186" s="118"/>
      <c r="BB186" s="118"/>
      <c r="BC186" s="118"/>
      <c r="BD186" s="118"/>
      <c r="BE186" s="118"/>
      <c r="BF186" s="118"/>
      <c r="BI186" s="132"/>
    </row>
    <row r="187" spans="45:98" x14ac:dyDescent="0.3">
      <c r="AS187" s="119" t="s">
        <v>368</v>
      </c>
      <c r="AT187" s="119">
        <f>COUNTIFS(AF:AF,"A",C:C,1)/COUNTIF(C:C,1)</f>
        <v>0.84615384615384615</v>
      </c>
      <c r="AU187" s="119">
        <f>COUNTIFS(AF:AF,"A",C:C,2)/COUNTIF(C:C,2)</f>
        <v>1</v>
      </c>
      <c r="AV187" s="119">
        <f>COUNTIFS(AF:AF,"A",C:C,3)/COUNTIF(C:C,3)</f>
        <v>1</v>
      </c>
      <c r="AW187" s="119">
        <f>COUNTIFS(AF:AF,"A",C:C,4)/COUNTIF(C:C,4)</f>
        <v>0.69230769230769229</v>
      </c>
      <c r="AX187" s="119">
        <f>COUNTIFS(AF:AF,"A",C:C,5)/COUNTIF(C:C,5)</f>
        <v>0.61538461538461542</v>
      </c>
      <c r="AY187" s="119">
        <f>COUNTIFS(AF:AF,"A",C:C,6)/COUNTIF(C:C,6)</f>
        <v>0.61538461538461542</v>
      </c>
      <c r="AZ187" s="118"/>
      <c r="BB187" s="143"/>
      <c r="BC187" s="143"/>
      <c r="BD187" s="143"/>
      <c r="BE187" s="143"/>
      <c r="BF187" s="143"/>
      <c r="BG187" s="143"/>
    </row>
    <row r="188" spans="45:98" x14ac:dyDescent="0.3">
      <c r="AS188" s="119" t="s">
        <v>369</v>
      </c>
      <c r="AT188" s="119">
        <f>COUNTIFS(AF:AF,"B",C:C,1)/COUNTIF(C:C,1)</f>
        <v>0.15384615384615385</v>
      </c>
      <c r="AU188" s="119">
        <f>COUNTIFS(AF:AF,"B",C:C,2)/COUNTIF(C:C,2)</f>
        <v>0</v>
      </c>
      <c r="AV188" s="119">
        <f>COUNTIFS(AF:AF,"B",C:C,3)/COUNTIF(C:C,3)</f>
        <v>0</v>
      </c>
      <c r="AW188" s="119">
        <f>COUNTIFS(AF:AF,"B",C:C,4)/COUNTIF(C:C,4)</f>
        <v>0.30769230769230771</v>
      </c>
      <c r="AX188" s="119">
        <f>COUNTIFS(AF:AF,"B",C:C,5)/COUNTIF(C:C,5)</f>
        <v>0.38461538461538464</v>
      </c>
      <c r="AY188" s="119">
        <f>COUNTIFS(AF:AF,"B",C:C,6)/COUNTIF(C:C,6)</f>
        <v>0.38461538461538464</v>
      </c>
      <c r="AZ188" s="118"/>
      <c r="BA188" s="118"/>
      <c r="BB188" s="146"/>
      <c r="BC188" s="146"/>
      <c r="BD188" s="146"/>
      <c r="BE188" s="146"/>
      <c r="BF188" s="146"/>
      <c r="BG188" s="146"/>
      <c r="BI188" s="132"/>
    </row>
    <row r="189" spans="45:98" x14ac:dyDescent="0.3">
      <c r="AZ189" s="118"/>
      <c r="BA189" s="118"/>
      <c r="BB189" s="146"/>
      <c r="BC189" s="146"/>
      <c r="BD189" s="146"/>
      <c r="BE189" s="146"/>
      <c r="BF189" s="146"/>
      <c r="BG189" s="146"/>
    </row>
    <row r="190" spans="45:98" x14ac:dyDescent="0.3">
      <c r="AS190" s="119" t="s">
        <v>370</v>
      </c>
      <c r="AT190" s="119">
        <v>1</v>
      </c>
      <c r="AU190" s="119">
        <v>2</v>
      </c>
      <c r="AV190" s="119">
        <v>3</v>
      </c>
      <c r="AW190" s="119">
        <v>4</v>
      </c>
      <c r="AX190" s="119">
        <v>5</v>
      </c>
      <c r="AY190" s="119">
        <v>6</v>
      </c>
      <c r="AZ190" s="118"/>
      <c r="BA190" s="118"/>
      <c r="BB190" s="146"/>
      <c r="BC190" s="146"/>
      <c r="BD190" s="146"/>
      <c r="BE190" s="146"/>
      <c r="BF190" s="146"/>
      <c r="BG190" s="146"/>
      <c r="BI190" s="132"/>
    </row>
    <row r="191" spans="45:98" x14ac:dyDescent="0.3">
      <c r="AS191" s="119" t="s">
        <v>371</v>
      </c>
      <c r="AT191" s="119">
        <f>COUNTIFS(AG:AG,"A",C:C,1)/COUNTIF(C:C,1)</f>
        <v>0.15384615384615385</v>
      </c>
      <c r="AU191" s="119">
        <f>COUNTIFS(AG:AG,"A",C:C,2)/COUNTIF(C:C,2)</f>
        <v>0.15384615384615385</v>
      </c>
      <c r="AV191" s="119">
        <f>COUNTIFS(AG:AG,"A",C:C,3)/COUNTIF(C:C,3)</f>
        <v>0.23076923076923078</v>
      </c>
      <c r="AW191" s="119">
        <f>COUNTIFS(AG:AG,"A",C:C,4)/COUNTIF(C:C,4)</f>
        <v>7.6923076923076927E-2</v>
      </c>
      <c r="AX191" s="119">
        <f>COUNTIFS(AG:AG,"A",C:C,5)/COUNTIF(C:C,5)</f>
        <v>0.15384615384615385</v>
      </c>
      <c r="AY191" s="119">
        <f>COUNTIFS(AG:AG,"A",C:C,6)/COUNTIF(C:C,6)</f>
        <v>0.23076923076923078</v>
      </c>
      <c r="AZ191" s="118"/>
      <c r="BB191" s="143"/>
      <c r="BC191" s="143"/>
      <c r="BD191" s="143"/>
      <c r="BE191" s="143"/>
      <c r="BF191" s="143"/>
      <c r="BG191" s="143"/>
    </row>
    <row r="192" spans="45:98" x14ac:dyDescent="0.3">
      <c r="AS192" s="119" t="s">
        <v>372</v>
      </c>
      <c r="AT192" s="119">
        <f>COUNTIFS(AG:AG,"B",C:C,1)/COUNTIF(C:C,1)</f>
        <v>0.84615384615384615</v>
      </c>
      <c r="AU192" s="119">
        <f>COUNTIFS(AG:AG,"B",C:C,2)/COUNTIF(C:C,2)</f>
        <v>0.84615384615384615</v>
      </c>
      <c r="AV192" s="119">
        <f>COUNTIFS(AG:AG,"B",C:C,3)/COUNTIF(C:C,3)</f>
        <v>0.76923076923076927</v>
      </c>
      <c r="AW192" s="119">
        <f>COUNTIFS(AG:AG,"B",C:C,4)/COUNTIF(C:C,4)</f>
        <v>0.92307692307692313</v>
      </c>
      <c r="AX192" s="119">
        <f>COUNTIFS(AG:AG,"B",C:C,5)/COUNTIF(C:C,5)</f>
        <v>0.84615384615384615</v>
      </c>
      <c r="AY192" s="119">
        <f>COUNTIFS(AG:AG,"B",C:C,6)/COUNTIF(C:C,6)</f>
        <v>0.76923076923076927</v>
      </c>
      <c r="AZ192" s="118"/>
      <c r="BA192" s="118"/>
      <c r="BB192" s="118"/>
      <c r="BC192" s="118"/>
      <c r="BD192" s="118"/>
      <c r="BE192" s="118"/>
      <c r="BF192" s="118"/>
    </row>
    <row r="193" spans="45:98" x14ac:dyDescent="0.3">
      <c r="AZ193" s="118"/>
      <c r="BA193" s="118"/>
      <c r="BB193" s="118"/>
      <c r="BC193" s="118"/>
      <c r="BD193" s="118"/>
      <c r="BE193" s="118"/>
      <c r="BF193" s="118"/>
      <c r="BI193" s="125"/>
      <c r="BK193" s="121"/>
      <c r="BL193" s="121"/>
      <c r="BM193" s="121"/>
      <c r="BN193" s="121"/>
      <c r="BO193" s="121"/>
      <c r="BP193" s="121"/>
      <c r="BQ193" s="121"/>
      <c r="BR193" s="121"/>
      <c r="BS193" s="121"/>
      <c r="BT193" s="121"/>
      <c r="BU193" s="121"/>
      <c r="BV193" s="121"/>
      <c r="BW193" s="121"/>
      <c r="BX193" s="121"/>
      <c r="BY193" s="121"/>
      <c r="BZ193" s="121"/>
      <c r="CA193" s="121"/>
      <c r="CB193" s="121"/>
      <c r="CC193" s="121"/>
      <c r="CD193" s="121"/>
      <c r="CE193" s="121"/>
      <c r="CF193" s="121"/>
      <c r="CG193" s="121"/>
      <c r="CH193" s="121"/>
      <c r="CI193" s="121"/>
      <c r="CJ193" s="121"/>
      <c r="CK193" s="121"/>
      <c r="CL193" s="121"/>
      <c r="CM193" s="121"/>
      <c r="CN193" s="121"/>
      <c r="CO193" s="121"/>
      <c r="CP193" s="121"/>
      <c r="CQ193" s="121"/>
      <c r="CR193" s="121"/>
      <c r="CS193" s="121"/>
      <c r="CT193" s="121"/>
    </row>
    <row r="194" spans="45:98" x14ac:dyDescent="0.3">
      <c r="AS194" s="119" t="s">
        <v>373</v>
      </c>
      <c r="AT194" s="119">
        <v>1</v>
      </c>
      <c r="AU194" s="119">
        <v>2</v>
      </c>
      <c r="AV194" s="119">
        <v>3</v>
      </c>
      <c r="AW194" s="119">
        <v>4</v>
      </c>
      <c r="AX194" s="119">
        <v>5</v>
      </c>
      <c r="AY194" s="119">
        <v>6</v>
      </c>
      <c r="AZ194" s="118"/>
      <c r="BA194" s="118"/>
      <c r="BB194" s="118"/>
      <c r="BC194" s="118"/>
      <c r="BD194" s="118"/>
      <c r="BE194" s="118"/>
      <c r="BF194" s="118"/>
      <c r="BI194" s="125"/>
    </row>
    <row r="195" spans="45:98" x14ac:dyDescent="0.3">
      <c r="AS195" s="119" t="s">
        <v>374</v>
      </c>
      <c r="AT195" s="119">
        <f>COUNTIFS(AH:AH,"A",C:C,1)/COUNTIF(C:C,1)</f>
        <v>1</v>
      </c>
      <c r="AU195" s="119">
        <f>COUNTIFS(AH:AH,"A",C:C,2)/COUNTIF(C:C,2)</f>
        <v>1</v>
      </c>
      <c r="AV195" s="119">
        <f>COUNTIFS(AH:AH,"A",C:C,3)/COUNTIF(C:C,3)</f>
        <v>1</v>
      </c>
      <c r="AW195" s="119">
        <f>COUNTIFS(AH:AH,"A",C:C,4)/COUNTIF(C:C,4)</f>
        <v>1</v>
      </c>
      <c r="AX195" s="119">
        <f>COUNTIFS(AH:AH,"A",C:C,5)/COUNTIF(C:C,5)</f>
        <v>1</v>
      </c>
      <c r="AY195" s="119">
        <f>COUNTIFS(AH:AH,"A",C:C,6)/COUNTIF(C:C,6)</f>
        <v>0.84615384615384615</v>
      </c>
      <c r="AZ195" s="118"/>
      <c r="BB195" s="143"/>
      <c r="BC195" s="143"/>
      <c r="BD195" s="143"/>
      <c r="BE195" s="143"/>
      <c r="BF195" s="143"/>
      <c r="BG195" s="143"/>
    </row>
    <row r="196" spans="45:98" x14ac:dyDescent="0.3">
      <c r="AS196" s="119" t="s">
        <v>375</v>
      </c>
      <c r="AT196" s="119">
        <f>COUNTIFS(AH:AH,"B",C:C,1)/COUNTIF(C:C,1)</f>
        <v>0</v>
      </c>
      <c r="AU196" s="119">
        <f>COUNTIFS(AH:AH,"B",C:C,2)/COUNTIF(C:C,2)</f>
        <v>0</v>
      </c>
      <c r="AV196" s="119">
        <f>COUNTIFS(AH:AH,"B",C:C,3)/COUNTIF(C:C,3)</f>
        <v>0</v>
      </c>
      <c r="AW196" s="119">
        <f>COUNTIFS(AH:AH,"B",C:C,4)/COUNTIF(C:C,4)</f>
        <v>0</v>
      </c>
      <c r="AX196" s="119">
        <f>COUNTIFS(AH:AH,"B",C:C,5)/COUNTIF(C:C,5)</f>
        <v>0</v>
      </c>
      <c r="AY196" s="119">
        <f>COUNTIFS(AH:AH,"B",C:C,6)/COUNTIF(C:C,6)</f>
        <v>0.15384615384615385</v>
      </c>
      <c r="AZ196" s="118"/>
      <c r="BA196" s="118"/>
      <c r="BB196" s="118"/>
      <c r="BC196" s="118"/>
      <c r="BD196" s="118"/>
      <c r="BE196" s="118"/>
      <c r="BF196" s="118"/>
      <c r="BI196" s="132"/>
    </row>
    <row r="197" spans="45:98" x14ac:dyDescent="0.3">
      <c r="AZ197" s="118"/>
      <c r="BA197" s="118"/>
      <c r="BB197" s="118"/>
      <c r="BC197" s="118"/>
      <c r="BD197" s="118"/>
      <c r="BE197" s="118"/>
      <c r="BF197" s="118"/>
    </row>
    <row r="198" spans="45:98" x14ac:dyDescent="0.3">
      <c r="AS198" s="119" t="s">
        <v>360</v>
      </c>
      <c r="AT198" s="119">
        <v>1</v>
      </c>
      <c r="AU198" s="119">
        <v>2</v>
      </c>
      <c r="AV198" s="119">
        <v>3</v>
      </c>
      <c r="AW198" s="119">
        <v>4</v>
      </c>
      <c r="AX198" s="119">
        <v>5</v>
      </c>
      <c r="AY198" s="119">
        <v>6</v>
      </c>
      <c r="AZ198" s="118"/>
      <c r="BA198" s="118"/>
      <c r="BB198" s="118"/>
      <c r="BC198" s="118"/>
      <c r="BD198" s="118"/>
      <c r="BE198" s="118"/>
      <c r="BF198" s="118"/>
      <c r="BI198" s="132"/>
    </row>
    <row r="199" spans="45:98" x14ac:dyDescent="0.3">
      <c r="AS199" s="119" t="s">
        <v>377</v>
      </c>
      <c r="AT199" s="119">
        <f>COUNTIFS(AI:AI,"A",C:C,1)/COUNTIF(C:C,1)</f>
        <v>0.15384615384615385</v>
      </c>
      <c r="AU199" s="119">
        <f>COUNTIFS(AI:AI,"A",C:C,2)/COUNTIF(C:C,2)</f>
        <v>0.30769230769230771</v>
      </c>
      <c r="AV199" s="119">
        <f>COUNTIFS(AI:AI,"A",C:C,3)/COUNTIF(C:C,3)</f>
        <v>0.23076923076923078</v>
      </c>
      <c r="AW199" s="119">
        <f>COUNTIFS(AI:AI,"A",C:C,4)/COUNTIF(C:C,4)</f>
        <v>0</v>
      </c>
      <c r="AX199" s="119">
        <f>COUNTIFS(AI:AI,"A",C:C,5)/COUNTIF(C:C,5)</f>
        <v>0</v>
      </c>
      <c r="AY199" s="119">
        <f>COUNTIFS(AI:AI,"A",C:C,6)/COUNTIF(C:C,6)</f>
        <v>0.23076923076923078</v>
      </c>
      <c r="AZ199" s="118"/>
      <c r="BB199" s="143"/>
      <c r="BC199" s="143"/>
      <c r="BD199" s="143"/>
      <c r="BE199" s="143"/>
      <c r="BF199" s="143"/>
      <c r="BG199" s="143"/>
    </row>
    <row r="200" spans="45:98" x14ac:dyDescent="0.3">
      <c r="AS200" s="119" t="s">
        <v>376</v>
      </c>
      <c r="AT200" s="119">
        <f>COUNTIFS(AI:AI,"B",C:C,1)/COUNTIF(C:C,1)</f>
        <v>0.84615384615384615</v>
      </c>
      <c r="AU200" s="119">
        <f>COUNTIFS(AI:AI,"B",C:C,2)/COUNTIF(C:C,2)</f>
        <v>0.69230769230769229</v>
      </c>
      <c r="AV200" s="119">
        <f>COUNTIFS(AI:AI,"B",C:C,3)/COUNTIF(C:C,3)</f>
        <v>0.76923076923076927</v>
      </c>
      <c r="AW200" s="119">
        <f>COUNTIFS(AI:AI,"B",C:C,4)/COUNTIF(C:C,4)</f>
        <v>1</v>
      </c>
      <c r="AX200" s="119">
        <f>COUNTIFS(AI:AI,"B",C:C,5)/COUNTIF(C:C,5)</f>
        <v>1</v>
      </c>
      <c r="AY200" s="119">
        <f>COUNTIFS(AI:AI,"B",C:C,6)/COUNTIF(C:C,6)</f>
        <v>0.76923076923076927</v>
      </c>
      <c r="AZ200" s="118"/>
      <c r="BA200" s="118"/>
      <c r="BB200" s="118"/>
      <c r="BC200" s="118"/>
      <c r="BD200" s="118"/>
      <c r="BE200" s="118"/>
      <c r="BF200" s="118"/>
      <c r="BI200" s="132"/>
    </row>
    <row r="201" spans="45:98" x14ac:dyDescent="0.3">
      <c r="AZ201" s="118"/>
      <c r="BA201" s="118"/>
      <c r="BB201" s="118"/>
      <c r="BC201" s="118"/>
      <c r="BD201" s="118"/>
      <c r="BE201" s="118"/>
      <c r="BF201" s="118"/>
    </row>
    <row r="202" spans="45:98" x14ac:dyDescent="0.3">
      <c r="AS202" s="119" t="s">
        <v>378</v>
      </c>
      <c r="AT202" s="119">
        <v>1</v>
      </c>
      <c r="AU202" s="119">
        <v>2</v>
      </c>
      <c r="AV202" s="119">
        <v>3</v>
      </c>
      <c r="AW202" s="119">
        <v>4</v>
      </c>
      <c r="AX202" s="119">
        <v>5</v>
      </c>
      <c r="AY202" s="119">
        <v>6</v>
      </c>
      <c r="AZ202" s="118"/>
      <c r="BA202" s="118"/>
      <c r="BB202" s="118"/>
      <c r="BC202" s="118"/>
      <c r="BD202" s="118"/>
      <c r="BE202" s="118"/>
      <c r="BF202" s="118"/>
      <c r="BI202" s="132"/>
    </row>
    <row r="203" spans="45:98" x14ac:dyDescent="0.3">
      <c r="AS203" s="119" t="s">
        <v>379</v>
      </c>
      <c r="AT203" s="119">
        <f>COUNTIFS(AJ:AJ,"A",C:C,1)/COUNTIF(C:C,1)</f>
        <v>0.92307692307692313</v>
      </c>
      <c r="AU203" s="119">
        <f>COUNTIFS(AJ:AJ,"A",C:C,2)/COUNTIF(C:C,2)</f>
        <v>0.92307692307692313</v>
      </c>
      <c r="AV203" s="119">
        <f>COUNTIFS(AJ:AJ,"A",C:C,3)/COUNTIF(C:C,3)</f>
        <v>1</v>
      </c>
      <c r="AW203" s="119">
        <f>COUNTIFS(AJ:AJ,"A",C:C,4)/COUNTIF(C:C,4)</f>
        <v>0.61538461538461542</v>
      </c>
      <c r="AX203" s="119">
        <f>COUNTIFS(AJ:AJ,"A",C:C,5)/COUNTIF(C:C,5)</f>
        <v>0.84615384615384615</v>
      </c>
      <c r="AY203" s="119">
        <f>COUNTIFS(AJ:AJ,"A",C:C,6)/COUNTIF(C:C,6)</f>
        <v>0.53846153846153844</v>
      </c>
      <c r="AZ203" s="118"/>
      <c r="BB203" s="143"/>
      <c r="BC203" s="143"/>
      <c r="BD203" s="143"/>
      <c r="BE203" s="143"/>
      <c r="BF203" s="143"/>
      <c r="BG203" s="143"/>
    </row>
    <row r="204" spans="45:98" x14ac:dyDescent="0.3">
      <c r="AS204" s="119" t="s">
        <v>380</v>
      </c>
      <c r="AT204" s="119">
        <f>COUNTIFS(AJ:AJ,"B",C:C,1)/COUNTIF(C:C,1)</f>
        <v>7.6923076923076927E-2</v>
      </c>
      <c r="AU204" s="119">
        <f>COUNTIFS(AJ:AJ,"B",C:C,2)/COUNTIF(C:C,2)</f>
        <v>7.6923076923076927E-2</v>
      </c>
      <c r="AV204" s="119">
        <f>COUNTIFS(AJ:AJ,"B",C:C,3)/COUNTIF(C:C,3)</f>
        <v>0</v>
      </c>
      <c r="AW204" s="119">
        <f>COUNTIFS(AJ:AJ,"B",C:C,4)/COUNTIF(C:C,4)</f>
        <v>0.38461538461538464</v>
      </c>
      <c r="AX204" s="119">
        <f>COUNTIFS(AJ:AJ,"B",C:C,5)/COUNTIF(C:C,5)</f>
        <v>0.15384615384615385</v>
      </c>
      <c r="AY204" s="119">
        <f>COUNTIFS(AJ:AJ,"B",C:C,6)/COUNTIF(C:C,6)</f>
        <v>0.46153846153846156</v>
      </c>
      <c r="AZ204" s="118"/>
      <c r="BA204" s="118"/>
      <c r="BB204" s="118"/>
      <c r="BC204" s="118"/>
      <c r="BD204" s="118"/>
      <c r="BE204" s="118"/>
      <c r="BF204" s="118"/>
      <c r="BI204" s="132"/>
    </row>
    <row r="205" spans="45:98" x14ac:dyDescent="0.3">
      <c r="AZ205" s="118"/>
      <c r="BA205" s="118"/>
      <c r="BB205" s="118"/>
      <c r="BC205" s="118"/>
      <c r="BD205" s="118"/>
      <c r="BE205" s="118"/>
      <c r="BF205" s="118"/>
    </row>
    <row r="206" spans="45:98" x14ac:dyDescent="0.3">
      <c r="AS206" s="119" t="s">
        <v>381</v>
      </c>
      <c r="AT206" s="119">
        <v>1</v>
      </c>
      <c r="AU206" s="119">
        <v>2</v>
      </c>
      <c r="AV206" s="119">
        <v>3</v>
      </c>
      <c r="AW206" s="119">
        <v>4</v>
      </c>
      <c r="AX206" s="119">
        <v>5</v>
      </c>
      <c r="AY206" s="119">
        <v>6</v>
      </c>
      <c r="AZ206" s="118"/>
      <c r="BA206" s="118"/>
      <c r="BB206" s="118"/>
      <c r="BC206" s="118"/>
      <c r="BD206" s="118"/>
      <c r="BE206" s="118"/>
      <c r="BF206" s="118"/>
      <c r="BI206" s="132"/>
    </row>
    <row r="207" spans="45:98" x14ac:dyDescent="0.3">
      <c r="AS207" s="119" t="s">
        <v>382</v>
      </c>
      <c r="AT207" s="119">
        <f>COUNTIFS(AK:AK,"A",C:C,1)/COUNTIF(C:C,1)</f>
        <v>1</v>
      </c>
      <c r="AU207" s="119">
        <f>COUNTIFS(AK:AK,"A",C:C,2)/COUNTIF(C:C,2)</f>
        <v>1</v>
      </c>
      <c r="AV207" s="119">
        <f>COUNTIFS(AK:AK,"A",C:C,3)/COUNTIF(C:C,3)</f>
        <v>1</v>
      </c>
      <c r="AW207" s="119">
        <f>COUNTIFS(AK:AK,"A",C:C,4)/COUNTIF(C:C,4)</f>
        <v>1</v>
      </c>
      <c r="AX207" s="119">
        <f>COUNTIFS(AK:AK,"A",C:C,5)/COUNTIF(C:C,5)</f>
        <v>1</v>
      </c>
      <c r="AY207" s="119">
        <f>COUNTIFS(AK:AK,"A",C:C,6)/COUNTIF(C:C,6)</f>
        <v>0.46153846153846156</v>
      </c>
      <c r="AZ207" s="118"/>
      <c r="BB207" s="143"/>
      <c r="BC207" s="143"/>
      <c r="BD207" s="143"/>
      <c r="BE207" s="143"/>
      <c r="BF207" s="143"/>
      <c r="BG207" s="143"/>
    </row>
    <row r="208" spans="45:98" x14ac:dyDescent="0.3">
      <c r="AS208" s="119" t="s">
        <v>383</v>
      </c>
      <c r="AT208" s="119">
        <f>COUNTIFS(AK:AK,"B",C:C,1)/COUNTIF(C:C,1)</f>
        <v>0</v>
      </c>
      <c r="AU208" s="119">
        <f>COUNTIFS(AK:AK,"B",C:C,2)/COUNTIF(C:C,2)</f>
        <v>0</v>
      </c>
      <c r="AV208" s="119">
        <f>COUNTIFS(AK:AK,"B",C:C,3)/COUNTIF(C:C,3)</f>
        <v>0</v>
      </c>
      <c r="AW208" s="119">
        <f>COUNTIFS(AK:AK,"B",C:C,4)/COUNTIF(C:C,4)</f>
        <v>0</v>
      </c>
      <c r="AX208" s="119">
        <f>COUNTIFS(AK:AK,"B",C:C,5)/COUNTIF(C:C,5)</f>
        <v>0</v>
      </c>
      <c r="AY208" s="119">
        <f>COUNTIFS(AK:AK,"B",C:C,6)/COUNTIF(C:C,6)</f>
        <v>0.53846153846153844</v>
      </c>
      <c r="AZ208" s="118"/>
      <c r="BA208" s="118"/>
      <c r="BB208" s="118"/>
      <c r="BC208" s="118"/>
      <c r="BD208" s="118"/>
      <c r="BE208" s="118"/>
      <c r="BF208" s="118"/>
    </row>
    <row r="209" spans="45:98" x14ac:dyDescent="0.3">
      <c r="AZ209" s="118"/>
      <c r="BA209" s="118"/>
      <c r="BB209" s="118"/>
      <c r="BC209" s="118"/>
      <c r="BD209" s="118"/>
      <c r="BE209" s="118"/>
      <c r="BF209" s="118"/>
      <c r="BI209" s="125"/>
      <c r="BK209" s="121"/>
      <c r="BL209" s="121"/>
      <c r="BM209" s="121"/>
      <c r="BN209" s="121"/>
      <c r="BO209" s="121"/>
      <c r="BP209" s="121"/>
      <c r="BQ209" s="121"/>
      <c r="BR209" s="121"/>
      <c r="BS209" s="121"/>
      <c r="BT209" s="121"/>
      <c r="BU209" s="121"/>
      <c r="BV209" s="121"/>
      <c r="BW209" s="121"/>
      <c r="BX209" s="121"/>
      <c r="BY209" s="121"/>
      <c r="BZ209" s="121"/>
      <c r="CA209" s="121"/>
      <c r="CB209" s="121"/>
      <c r="CC209" s="121"/>
      <c r="CD209" s="121"/>
      <c r="CE209" s="121"/>
      <c r="CF209" s="121"/>
      <c r="CG209" s="121"/>
      <c r="CH209" s="121"/>
      <c r="CI209" s="121"/>
      <c r="CJ209" s="121"/>
      <c r="CK209" s="121"/>
      <c r="CL209" s="121"/>
      <c r="CM209" s="121"/>
      <c r="CN209" s="121"/>
      <c r="CO209" s="121"/>
      <c r="CP209" s="121"/>
      <c r="CQ209" s="121"/>
      <c r="CR209" s="121"/>
      <c r="CS209" s="121"/>
      <c r="CT209" s="121"/>
    </row>
    <row r="210" spans="45:98" x14ac:dyDescent="0.3">
      <c r="AS210" s="119" t="s">
        <v>384</v>
      </c>
      <c r="AT210" s="119">
        <v>1</v>
      </c>
      <c r="AU210" s="119">
        <v>2</v>
      </c>
      <c r="AV210" s="119">
        <v>3</v>
      </c>
      <c r="AW210" s="119">
        <v>4</v>
      </c>
      <c r="AX210" s="119">
        <v>5</v>
      </c>
      <c r="AY210" s="119">
        <v>6</v>
      </c>
      <c r="AZ210" s="118"/>
      <c r="BA210" s="118"/>
      <c r="BB210" s="118"/>
      <c r="BC210" s="118"/>
      <c r="BD210" s="118"/>
      <c r="BE210" s="118"/>
      <c r="BF210" s="118"/>
      <c r="BI210" s="125"/>
    </row>
    <row r="211" spans="45:98" x14ac:dyDescent="0.3">
      <c r="AS211" s="119" t="s">
        <v>385</v>
      </c>
      <c r="AT211" s="119">
        <f>COUNTIFS(AL:AL,"A",C:C,1)/COUNTIF(C:C,1)</f>
        <v>0.76923076923076927</v>
      </c>
      <c r="AU211" s="119">
        <f>COUNTIFS(AL:AL,"A",C:C,2)/COUNTIF(C:C,2)</f>
        <v>0.61538461538461542</v>
      </c>
      <c r="AV211" s="119">
        <f>COUNTIFS(AL:AL,"A",C:C,3)/COUNTIF(C:C,3)</f>
        <v>0.61538461538461542</v>
      </c>
      <c r="AW211" s="119">
        <f>COUNTIFS(AL:AL,"A",C:C,4)/COUNTIF(C:C,4)</f>
        <v>0.53846153846153844</v>
      </c>
      <c r="AX211" s="119">
        <f>COUNTIFS(AL:AL,"A",C:C,5)/COUNTIF(C:C,5)</f>
        <v>0.53846153846153844</v>
      </c>
      <c r="AY211" s="119">
        <f>COUNTIFS(AL:AL,"A",C:C,6)/COUNTIF(C:C,6)</f>
        <v>0.61538461538461542</v>
      </c>
      <c r="AZ211" s="118"/>
      <c r="BA211" s="118"/>
      <c r="BB211" s="146"/>
      <c r="BC211" s="146"/>
      <c r="BD211" s="146"/>
      <c r="BE211" s="146"/>
      <c r="BF211" s="146"/>
      <c r="BG211" s="146"/>
    </row>
    <row r="212" spans="45:98" x14ac:dyDescent="0.3">
      <c r="AS212" s="119" t="s">
        <v>386</v>
      </c>
      <c r="AT212" s="119">
        <f>COUNTIFS(AL:AL,"B",C:C,1)/COUNTIF(C:C,1)</f>
        <v>0.23076923076923078</v>
      </c>
      <c r="AU212" s="119">
        <f>COUNTIFS(AL:AL,"B",C:C,2)/COUNTIF(C:C,2)</f>
        <v>0.38461538461538464</v>
      </c>
      <c r="AV212" s="119">
        <f>COUNTIFS(AL:AL,"B",C:C,3)/COUNTIF(C:C,3)</f>
        <v>0.38461538461538464</v>
      </c>
      <c r="AW212" s="119">
        <f>COUNTIFS(AL:AL,"B",C:C,4)/COUNTIF(C:C,4)</f>
        <v>0.46153846153846156</v>
      </c>
      <c r="AX212" s="119">
        <f>COUNTIFS(AL:AL,"B",C:C,5)/COUNTIF(C:C,5)</f>
        <v>0.46153846153846156</v>
      </c>
      <c r="AY212" s="119">
        <f>COUNTIFS(AL:AL,"B",C:C,6)/COUNTIF(C:C,6)</f>
        <v>0.38461538461538464</v>
      </c>
      <c r="AZ212" s="118"/>
      <c r="BA212" s="118"/>
      <c r="BB212" s="118"/>
      <c r="BC212" s="118"/>
      <c r="BD212" s="118"/>
      <c r="BE212" s="118"/>
      <c r="BF212" s="118"/>
      <c r="BI212" s="132"/>
    </row>
    <row r="213" spans="45:98" x14ac:dyDescent="0.3">
      <c r="AZ213" s="118"/>
      <c r="BA213" s="118"/>
      <c r="BB213" s="118"/>
      <c r="BC213" s="118"/>
      <c r="BD213" s="118"/>
      <c r="BE213" s="118"/>
      <c r="BF213" s="118"/>
    </row>
    <row r="214" spans="45:98" x14ac:dyDescent="0.3">
      <c r="AS214" s="119" t="s">
        <v>387</v>
      </c>
      <c r="AT214" s="119">
        <v>1</v>
      </c>
      <c r="AU214" s="119">
        <v>2</v>
      </c>
      <c r="AV214" s="119">
        <v>3</v>
      </c>
      <c r="AW214" s="119">
        <v>4</v>
      </c>
      <c r="AX214" s="119">
        <v>5</v>
      </c>
      <c r="AY214" s="119">
        <v>6</v>
      </c>
      <c r="AZ214" s="118"/>
      <c r="BA214" s="118"/>
      <c r="BB214" s="118"/>
      <c r="BC214" s="118"/>
      <c r="BD214" s="118"/>
      <c r="BE214" s="118"/>
      <c r="BF214" s="118"/>
      <c r="BI214" s="132"/>
    </row>
    <row r="215" spans="45:98" x14ac:dyDescent="0.3">
      <c r="AS215" s="119" t="s">
        <v>388</v>
      </c>
      <c r="AT215" s="119">
        <f>COUNTIFS(AM:AM,"A",C:C,1)/COUNTIF(C:C,1)</f>
        <v>0</v>
      </c>
      <c r="AU215" s="119">
        <f>COUNTIFS(AM:AM,"A",C:C,2)/COUNTIF(C:C,2)</f>
        <v>0.15384615384615385</v>
      </c>
      <c r="AV215" s="119">
        <f>COUNTIFS(AM:AM,"A",C:C,3)/COUNTIF(C:C,3)</f>
        <v>0.23076923076923078</v>
      </c>
      <c r="AW215" s="119">
        <f>COUNTIFS(AM:AM,"A",C:C,4)/COUNTIF(C:C,4)</f>
        <v>0</v>
      </c>
      <c r="AX215" s="119">
        <f>COUNTIFS(AM:AM,"A",C:C,5)/COUNTIF(C:C,5)</f>
        <v>0</v>
      </c>
      <c r="AY215" s="119">
        <f>COUNTIFS(AM:AM,"A",C:C,6)/COUNTIF(C:C,6)</f>
        <v>7.6923076923076927E-2</v>
      </c>
      <c r="AZ215" s="118"/>
      <c r="BA215" s="118"/>
      <c r="BB215" s="146"/>
      <c r="BC215" s="146"/>
      <c r="BD215" s="146"/>
      <c r="BE215" s="146"/>
      <c r="BF215" s="146"/>
      <c r="BG215" s="146"/>
    </row>
    <row r="216" spans="45:98" x14ac:dyDescent="0.3">
      <c r="AS216" s="119" t="s">
        <v>389</v>
      </c>
      <c r="AT216" s="119">
        <f>COUNTIFS(AM:AM,"B",C:C,1)/COUNTIF(C:C,1)</f>
        <v>1</v>
      </c>
      <c r="AU216" s="119">
        <f>COUNTIFS(AM:AM,"B",C:C,2)/COUNTIF(C:C,2)</f>
        <v>0.84615384615384615</v>
      </c>
      <c r="AV216" s="119">
        <f>COUNTIFS(AM:AM,"B",C:C,3)/COUNTIF(C:C,3)</f>
        <v>0.76923076923076927</v>
      </c>
      <c r="AW216" s="119">
        <f>COUNTIFS(AM:AM,"B",C:C,4)/COUNTIF(C:C,4)</f>
        <v>1</v>
      </c>
      <c r="AX216" s="119">
        <f>COUNTIFS(AM:AM,"B",C:C,5)/COUNTIF(C:C,5)</f>
        <v>1</v>
      </c>
      <c r="AY216" s="119">
        <f>COUNTIFS(AM:AM,"B",C:C,6)/COUNTIF(C:C,6)</f>
        <v>0.92307692307692313</v>
      </c>
      <c r="AZ216" s="118"/>
      <c r="BA216" s="118"/>
      <c r="BB216" s="118"/>
      <c r="BC216" s="118"/>
      <c r="BD216" s="118"/>
      <c r="BE216" s="118"/>
      <c r="BF216" s="118"/>
      <c r="BI216" s="132"/>
    </row>
    <row r="217" spans="45:98" x14ac:dyDescent="0.3">
      <c r="AZ217" s="118"/>
      <c r="BA217" s="118"/>
      <c r="BB217" s="118"/>
      <c r="BC217" s="118"/>
      <c r="BD217" s="118"/>
      <c r="BE217" s="118"/>
      <c r="BF217" s="118"/>
    </row>
    <row r="218" spans="45:98" x14ac:dyDescent="0.3">
      <c r="AZ218" s="118"/>
      <c r="BA218" s="118"/>
      <c r="BB218" s="118"/>
      <c r="BC218" s="118"/>
      <c r="BD218" s="118"/>
      <c r="BE218" s="118"/>
      <c r="BF218" s="118"/>
      <c r="BI218" s="132"/>
    </row>
    <row r="219" spans="45:98" x14ac:dyDescent="0.3">
      <c r="AS219" s="147"/>
      <c r="AT219" s="147"/>
      <c r="AU219" s="147"/>
      <c r="AV219" s="147"/>
      <c r="AW219" s="147"/>
      <c r="AX219" s="147"/>
      <c r="AY219" s="148"/>
      <c r="AZ219" s="118"/>
      <c r="BA219" s="118"/>
      <c r="BB219" s="146"/>
      <c r="BC219" s="146"/>
      <c r="BD219" s="146"/>
      <c r="BE219" s="146"/>
      <c r="BF219" s="146"/>
      <c r="BG219" s="146"/>
    </row>
    <row r="220" spans="45:98" x14ac:dyDescent="0.3">
      <c r="AZ220" s="118"/>
      <c r="BA220" s="118"/>
      <c r="BB220" s="118"/>
      <c r="BC220" s="118"/>
      <c r="BD220" s="118"/>
      <c r="BE220" s="118"/>
      <c r="BF220" s="118"/>
      <c r="BI220" s="132"/>
    </row>
    <row r="221" spans="45:98" x14ac:dyDescent="0.3">
      <c r="AZ221" s="118"/>
      <c r="BA221" s="118"/>
      <c r="BB221" s="118"/>
      <c r="BC221" s="118"/>
      <c r="BD221" s="118"/>
      <c r="BE221" s="118"/>
      <c r="BF221" s="118"/>
    </row>
    <row r="222" spans="45:98" x14ac:dyDescent="0.3">
      <c r="AZ222" s="118"/>
      <c r="BA222" s="118"/>
      <c r="BB222" s="118"/>
      <c r="BC222" s="118"/>
      <c r="BD222" s="118"/>
      <c r="BE222" s="118"/>
      <c r="BF222" s="118"/>
      <c r="BI222" s="132"/>
    </row>
    <row r="223" spans="45:98" x14ac:dyDescent="0.3">
      <c r="AZ223" s="118"/>
    </row>
    <row r="224" spans="45:98" x14ac:dyDescent="0.3">
      <c r="BG224" s="123"/>
    </row>
    <row r="225" spans="44:98" x14ac:dyDescent="0.3">
      <c r="AR225" s="147"/>
      <c r="AZ225" s="148"/>
      <c r="BA225" s="148"/>
      <c r="BC225" s="148"/>
      <c r="BG225" s="123"/>
      <c r="BI225" s="125"/>
      <c r="BK225" s="121"/>
      <c r="BL225" s="121"/>
      <c r="BM225" s="121"/>
      <c r="BN225" s="121"/>
      <c r="BO225" s="121"/>
      <c r="BP225" s="121"/>
      <c r="BQ225" s="121"/>
      <c r="BR225" s="121"/>
      <c r="BS225" s="121"/>
      <c r="BT225" s="121"/>
      <c r="BU225" s="121"/>
      <c r="BV225" s="121"/>
      <c r="BW225" s="121"/>
      <c r="BX225" s="121"/>
      <c r="BY225" s="121"/>
      <c r="BZ225" s="121"/>
      <c r="CA225" s="121"/>
      <c r="CB225" s="121"/>
      <c r="CC225" s="121"/>
      <c r="CD225" s="121"/>
      <c r="CE225" s="121"/>
      <c r="CF225" s="121"/>
      <c r="CG225" s="121"/>
      <c r="CH225" s="121"/>
      <c r="CI225" s="121"/>
      <c r="CJ225" s="121"/>
      <c r="CK225" s="121"/>
      <c r="CL225" s="121"/>
      <c r="CM225" s="121"/>
      <c r="CN225" s="121"/>
      <c r="CO225" s="121"/>
      <c r="CP225" s="121"/>
      <c r="CQ225" s="121"/>
      <c r="CR225" s="121"/>
      <c r="CS225" s="121"/>
      <c r="CT225" s="121"/>
    </row>
    <row r="226" spans="44:98" x14ac:dyDescent="0.3">
      <c r="AZ226" s="118"/>
      <c r="BA226" s="118"/>
      <c r="BG226" s="123"/>
      <c r="BI226" s="125"/>
    </row>
    <row r="227" spans="44:98" x14ac:dyDescent="0.3">
      <c r="AZ227" s="118"/>
      <c r="BA227" s="118"/>
      <c r="BG227" s="123"/>
    </row>
    <row r="228" spans="44:98" x14ac:dyDescent="0.3">
      <c r="AZ228" s="118"/>
      <c r="BA228" s="118"/>
      <c r="BG228" s="123"/>
      <c r="BI228" s="132"/>
    </row>
    <row r="229" spans="44:98" x14ac:dyDescent="0.3">
      <c r="AZ229" s="118"/>
      <c r="BA229" s="118"/>
      <c r="BG229" s="123"/>
    </row>
    <row r="230" spans="44:98" x14ac:dyDescent="0.3">
      <c r="AZ230" s="118"/>
      <c r="BA230" s="118"/>
      <c r="BG230" s="123"/>
      <c r="BI230" s="132"/>
    </row>
    <row r="231" spans="44:98" x14ac:dyDescent="0.3">
      <c r="AZ231" s="118"/>
      <c r="BA231" s="118"/>
      <c r="BG231" s="123"/>
    </row>
    <row r="232" spans="44:98" x14ac:dyDescent="0.3">
      <c r="AZ232" s="118"/>
      <c r="BA232" s="118"/>
      <c r="BG232" s="123"/>
      <c r="BI232" s="132"/>
    </row>
    <row r="233" spans="44:98" x14ac:dyDescent="0.3">
      <c r="AZ233" s="118"/>
      <c r="BA233" s="118"/>
      <c r="BG233" s="123"/>
    </row>
    <row r="234" spans="44:98" x14ac:dyDescent="0.3">
      <c r="AZ234" s="118"/>
      <c r="BA234" s="118"/>
      <c r="BG234" s="123"/>
      <c r="BI234" s="132"/>
    </row>
    <row r="235" spans="44:98" x14ac:dyDescent="0.3">
      <c r="AZ235" s="118"/>
      <c r="BA235" s="118"/>
      <c r="BG235" s="123"/>
    </row>
    <row r="236" spans="44:98" x14ac:dyDescent="0.3">
      <c r="AZ236" s="118"/>
      <c r="BA236" s="118"/>
      <c r="BG236" s="123"/>
      <c r="BI236" s="132"/>
    </row>
    <row r="237" spans="44:98" x14ac:dyDescent="0.3">
      <c r="AZ237" s="118"/>
      <c r="BA237" s="118"/>
      <c r="BG237" s="123"/>
    </row>
    <row r="238" spans="44:98" x14ac:dyDescent="0.3">
      <c r="AZ238" s="118"/>
      <c r="BA238" s="118"/>
      <c r="BG238" s="123"/>
      <c r="BI238" s="132"/>
    </row>
    <row r="239" spans="44:98" x14ac:dyDescent="0.3">
      <c r="AZ239" s="118"/>
      <c r="BA239" s="118"/>
      <c r="BG239" s="123"/>
    </row>
    <row r="240" spans="44:98" x14ac:dyDescent="0.3">
      <c r="AZ240" s="118"/>
      <c r="BA240" s="118"/>
      <c r="BG240" s="123"/>
    </row>
    <row r="241" spans="52:98" x14ac:dyDescent="0.3">
      <c r="AZ241" s="118"/>
      <c r="BA241" s="118"/>
      <c r="BG241" s="123"/>
      <c r="BI241" s="125"/>
      <c r="BK241" s="121"/>
      <c r="BL241" s="121"/>
      <c r="BM241" s="121"/>
      <c r="BN241" s="121"/>
      <c r="BO241" s="121"/>
      <c r="BP241" s="121"/>
      <c r="BQ241" s="121"/>
      <c r="BR241" s="121"/>
      <c r="BS241" s="121"/>
      <c r="BT241" s="121"/>
      <c r="BU241" s="121"/>
      <c r="BV241" s="121"/>
      <c r="BW241" s="121"/>
      <c r="BX241" s="121"/>
      <c r="BY241" s="121"/>
      <c r="BZ241" s="121"/>
      <c r="CA241" s="121"/>
      <c r="CB241" s="121"/>
      <c r="CC241" s="121"/>
      <c r="CD241" s="121"/>
      <c r="CE241" s="121"/>
      <c r="CF241" s="121"/>
      <c r="CG241" s="121"/>
      <c r="CH241" s="121"/>
      <c r="CI241" s="121"/>
      <c r="CJ241" s="121"/>
      <c r="CK241" s="121"/>
      <c r="CL241" s="121"/>
      <c r="CM241" s="121"/>
      <c r="CN241" s="121"/>
      <c r="CO241" s="121"/>
      <c r="CP241" s="121"/>
      <c r="CQ241" s="121"/>
      <c r="CR241" s="121"/>
      <c r="CS241" s="121"/>
      <c r="CT241" s="121"/>
    </row>
    <row r="242" spans="52:98" x14ac:dyDescent="0.3">
      <c r="AZ242" s="118"/>
      <c r="BA242" s="118"/>
      <c r="BG242" s="123"/>
      <c r="BI242" s="125"/>
    </row>
    <row r="243" spans="52:98" x14ac:dyDescent="0.3">
      <c r="AZ243" s="118"/>
      <c r="BA243" s="118"/>
      <c r="BG243" s="123"/>
    </row>
    <row r="244" spans="52:98" x14ac:dyDescent="0.3">
      <c r="AZ244" s="118"/>
      <c r="BA244" s="118"/>
      <c r="BG244" s="123"/>
      <c r="BI244" s="132"/>
    </row>
    <row r="245" spans="52:98" x14ac:dyDescent="0.3">
      <c r="AZ245" s="118"/>
      <c r="BA245" s="118"/>
      <c r="BG245" s="123"/>
    </row>
    <row r="246" spans="52:98" x14ac:dyDescent="0.3">
      <c r="AZ246" s="118"/>
      <c r="BA246" s="118"/>
      <c r="BG246" s="123"/>
      <c r="BI246" s="132"/>
    </row>
    <row r="247" spans="52:98" x14ac:dyDescent="0.3">
      <c r="AZ247" s="118"/>
      <c r="BA247" s="118"/>
      <c r="BG247" s="123"/>
    </row>
    <row r="248" spans="52:98" x14ac:dyDescent="0.3">
      <c r="AZ248" s="118"/>
      <c r="BA248" s="118"/>
      <c r="BG248" s="123"/>
      <c r="BI248" s="132"/>
    </row>
    <row r="249" spans="52:98" x14ac:dyDescent="0.3">
      <c r="AZ249" s="118"/>
      <c r="BA249" s="118"/>
    </row>
    <row r="250" spans="52:98" x14ac:dyDescent="0.3">
      <c r="AZ250" s="118"/>
      <c r="BA250" s="118"/>
      <c r="BI250" s="132"/>
    </row>
    <row r="251" spans="52:98" x14ac:dyDescent="0.3">
      <c r="AZ251" s="118"/>
      <c r="BA251" s="118"/>
    </row>
    <row r="252" spans="52:98" x14ac:dyDescent="0.3">
      <c r="AZ252" s="118"/>
      <c r="BA252" s="118"/>
      <c r="BI252" s="132"/>
    </row>
    <row r="253" spans="52:98" x14ac:dyDescent="0.3">
      <c r="AZ253" s="118"/>
      <c r="BA253" s="118"/>
    </row>
    <row r="254" spans="52:98" x14ac:dyDescent="0.3">
      <c r="AZ254" s="118"/>
      <c r="BA254" s="118"/>
      <c r="BI254" s="132"/>
    </row>
    <row r="255" spans="52:98" x14ac:dyDescent="0.3">
      <c r="AZ255" s="118"/>
      <c r="BA255" s="118"/>
    </row>
    <row r="256" spans="52:98" x14ac:dyDescent="0.3">
      <c r="AZ256" s="118"/>
      <c r="BA256" s="118"/>
    </row>
    <row r="257" spans="52:98" x14ac:dyDescent="0.3">
      <c r="AZ257" s="118"/>
      <c r="BA257" s="118"/>
      <c r="BI257" s="125"/>
      <c r="BK257" s="121"/>
      <c r="BL257" s="121"/>
      <c r="BM257" s="121"/>
      <c r="BN257" s="121"/>
      <c r="BO257" s="121"/>
      <c r="BP257" s="121"/>
      <c r="BQ257" s="121"/>
      <c r="BR257" s="121"/>
      <c r="BS257" s="121"/>
      <c r="BT257" s="121"/>
      <c r="BU257" s="121"/>
      <c r="BV257" s="121"/>
      <c r="BW257" s="121"/>
      <c r="BX257" s="121"/>
      <c r="BY257" s="121"/>
      <c r="BZ257" s="121"/>
      <c r="CA257" s="121"/>
      <c r="CB257" s="121"/>
      <c r="CC257" s="121"/>
      <c r="CD257" s="121"/>
      <c r="CE257" s="121"/>
      <c r="CF257" s="121"/>
      <c r="CG257" s="121"/>
      <c r="CH257" s="121"/>
      <c r="CI257" s="121"/>
      <c r="CJ257" s="121"/>
      <c r="CK257" s="121"/>
      <c r="CL257" s="121"/>
      <c r="CM257" s="121"/>
      <c r="CN257" s="121"/>
      <c r="CO257" s="121"/>
      <c r="CP257" s="121"/>
      <c r="CQ257" s="121"/>
      <c r="CR257" s="121"/>
      <c r="CS257" s="121"/>
      <c r="CT257" s="121"/>
    </row>
    <row r="258" spans="52:98" x14ac:dyDescent="0.3">
      <c r="AZ258" s="118"/>
      <c r="BA258" s="118"/>
      <c r="BI258" s="125"/>
    </row>
    <row r="259" spans="52:98" x14ac:dyDescent="0.3">
      <c r="AZ259" s="118"/>
      <c r="BA259" s="118"/>
    </row>
    <row r="260" spans="52:98" x14ac:dyDescent="0.3">
      <c r="AZ260" s="118"/>
      <c r="BA260" s="118"/>
      <c r="BI260" s="132"/>
    </row>
    <row r="261" spans="52:98" x14ac:dyDescent="0.3">
      <c r="AZ261" s="118"/>
      <c r="BA261" s="118"/>
    </row>
    <row r="262" spans="52:98" x14ac:dyDescent="0.3">
      <c r="AZ262" s="118"/>
      <c r="BA262" s="118"/>
      <c r="BI262" s="132"/>
    </row>
    <row r="263" spans="52:98" x14ac:dyDescent="0.3">
      <c r="AZ263" s="118"/>
      <c r="BA263" s="118"/>
    </row>
    <row r="264" spans="52:98" x14ac:dyDescent="0.3">
      <c r="AZ264" s="118"/>
      <c r="BA264" s="118"/>
      <c r="BI264" s="132"/>
    </row>
    <row r="265" spans="52:98" x14ac:dyDescent="0.3">
      <c r="AZ265" s="118"/>
      <c r="BA265" s="118"/>
    </row>
    <row r="266" spans="52:98" x14ac:dyDescent="0.3">
      <c r="AZ266" s="118"/>
      <c r="BA266" s="118"/>
      <c r="BI266" s="132"/>
    </row>
    <row r="267" spans="52:98" x14ac:dyDescent="0.3">
      <c r="AZ267" s="118"/>
      <c r="BA267" s="118"/>
    </row>
    <row r="268" spans="52:98" x14ac:dyDescent="0.3">
      <c r="AZ268" s="118"/>
      <c r="BA268" s="118"/>
      <c r="BI268" s="132"/>
    </row>
    <row r="269" spans="52:98" x14ac:dyDescent="0.3">
      <c r="AZ269" s="118"/>
      <c r="BA269" s="118"/>
    </row>
    <row r="270" spans="52:98" x14ac:dyDescent="0.3">
      <c r="AZ270" s="118"/>
      <c r="BA270" s="118"/>
      <c r="BI270" s="132"/>
    </row>
    <row r="271" spans="52:98" x14ac:dyDescent="0.3">
      <c r="AZ271" s="118"/>
      <c r="BA271" s="118"/>
    </row>
    <row r="272" spans="52:98" x14ac:dyDescent="0.3">
      <c r="AZ272" s="118"/>
      <c r="BA272" s="118"/>
    </row>
    <row r="273" spans="44:98" x14ac:dyDescent="0.3">
      <c r="AZ273" s="118"/>
      <c r="BA273" s="118"/>
      <c r="BI273" s="125"/>
      <c r="BK273" s="121"/>
      <c r="BL273" s="121"/>
      <c r="BM273" s="121"/>
      <c r="BN273" s="121"/>
      <c r="BO273" s="121"/>
      <c r="BP273" s="121"/>
      <c r="BQ273" s="121"/>
      <c r="BR273" s="121"/>
      <c r="BS273" s="121"/>
      <c r="BT273" s="121"/>
      <c r="BU273" s="121"/>
      <c r="BV273" s="121"/>
      <c r="BW273" s="121"/>
      <c r="BX273" s="121"/>
      <c r="BY273" s="121"/>
      <c r="BZ273" s="121"/>
      <c r="CA273" s="121"/>
      <c r="CB273" s="121"/>
      <c r="CC273" s="121"/>
      <c r="CD273" s="121"/>
      <c r="CE273" s="121"/>
      <c r="CF273" s="121"/>
      <c r="CG273" s="121"/>
      <c r="CH273" s="121"/>
      <c r="CI273" s="121"/>
      <c r="CJ273" s="121"/>
      <c r="CK273" s="121"/>
      <c r="CL273" s="121"/>
      <c r="CM273" s="121"/>
      <c r="CN273" s="121"/>
      <c r="CO273" s="121"/>
      <c r="CP273" s="121"/>
      <c r="CQ273" s="121"/>
      <c r="CR273" s="121"/>
      <c r="CS273" s="121"/>
      <c r="CT273" s="121"/>
    </row>
    <row r="274" spans="44:98" x14ac:dyDescent="0.3">
      <c r="AZ274" s="118"/>
      <c r="BA274" s="118"/>
      <c r="BI274" s="125"/>
    </row>
    <row r="275" spans="44:98" x14ac:dyDescent="0.3">
      <c r="AZ275" s="118"/>
      <c r="BA275" s="118"/>
    </row>
    <row r="276" spans="44:98" x14ac:dyDescent="0.3">
      <c r="AZ276" s="118"/>
      <c r="BA276" s="118"/>
      <c r="BI276" s="132"/>
    </row>
    <row r="277" spans="44:98" x14ac:dyDescent="0.3">
      <c r="AZ277" s="118"/>
      <c r="BA277" s="118"/>
    </row>
    <row r="278" spans="44:98" x14ac:dyDescent="0.3">
      <c r="AZ278" s="118"/>
      <c r="BA278" s="118"/>
      <c r="BI278" s="132"/>
    </row>
    <row r="279" spans="44:98" x14ac:dyDescent="0.3">
      <c r="AZ279" s="118"/>
      <c r="BA279" s="118"/>
    </row>
    <row r="280" spans="44:98" x14ac:dyDescent="0.3">
      <c r="AZ280" s="118"/>
      <c r="BA280" s="118"/>
      <c r="BI280" s="132"/>
    </row>
    <row r="281" spans="44:98" x14ac:dyDescent="0.3">
      <c r="AZ281" s="118"/>
      <c r="BA281" s="118"/>
    </row>
    <row r="282" spans="44:98" x14ac:dyDescent="0.3">
      <c r="AS282" s="125"/>
      <c r="AT282" s="125"/>
      <c r="AU282" s="125"/>
      <c r="AV282" s="125"/>
      <c r="AW282" s="125"/>
      <c r="AX282" s="125"/>
      <c r="AY282" s="125"/>
      <c r="AZ282" s="118"/>
      <c r="BA282" s="118"/>
      <c r="BI282" s="132"/>
    </row>
    <row r="283" spans="44:98" x14ac:dyDescent="0.3">
      <c r="AY283" s="125"/>
      <c r="AZ283" s="118"/>
      <c r="BA283" s="118"/>
    </row>
    <row r="284" spans="44:98" x14ac:dyDescent="0.3">
      <c r="AZ284" s="118"/>
      <c r="BA284" s="118"/>
      <c r="BI284" s="132"/>
    </row>
    <row r="285" spans="44:98" x14ac:dyDescent="0.3">
      <c r="AZ285" s="118"/>
      <c r="BA285" s="118"/>
    </row>
    <row r="286" spans="44:98" x14ac:dyDescent="0.3">
      <c r="BI286" s="132"/>
    </row>
    <row r="288" spans="44:98" x14ac:dyDescent="0.3">
      <c r="AR288" s="125"/>
    </row>
    <row r="289" spans="44:98" x14ac:dyDescent="0.3">
      <c r="AR289" s="125"/>
      <c r="BI289" s="125"/>
      <c r="BK289" s="121"/>
      <c r="BL289" s="121"/>
      <c r="BM289" s="121"/>
      <c r="BN289" s="121"/>
      <c r="BO289" s="121"/>
      <c r="BP289" s="121"/>
      <c r="BQ289" s="121"/>
      <c r="BR289" s="121"/>
      <c r="BS289" s="121"/>
      <c r="BT289" s="121"/>
      <c r="BU289" s="121"/>
      <c r="BV289" s="121"/>
      <c r="BW289" s="121"/>
      <c r="BX289" s="121"/>
      <c r="BY289" s="121"/>
      <c r="BZ289" s="121"/>
      <c r="CA289" s="121"/>
      <c r="CB289" s="121"/>
      <c r="CC289" s="121"/>
      <c r="CD289" s="121"/>
      <c r="CE289" s="121"/>
      <c r="CF289" s="121"/>
      <c r="CG289" s="121"/>
      <c r="CH289" s="121"/>
      <c r="CI289" s="121"/>
      <c r="CJ289" s="121"/>
      <c r="CK289" s="121"/>
      <c r="CL289" s="121"/>
      <c r="CM289" s="121"/>
      <c r="CN289" s="121"/>
      <c r="CO289" s="121"/>
      <c r="CP289" s="121"/>
      <c r="CQ289" s="121"/>
      <c r="CR289" s="121"/>
      <c r="CS289" s="121"/>
      <c r="CT289" s="121"/>
    </row>
    <row r="290" spans="44:98" x14ac:dyDescent="0.3">
      <c r="BI290" s="125"/>
    </row>
    <row r="292" spans="44:98" x14ac:dyDescent="0.3">
      <c r="BI292" s="132"/>
    </row>
    <row r="293" spans="44:98" x14ac:dyDescent="0.3">
      <c r="AS293" s="124"/>
    </row>
    <row r="294" spans="44:98" x14ac:dyDescent="0.3">
      <c r="AS294" s="149"/>
      <c r="BI294" s="132"/>
    </row>
    <row r="296" spans="44:98" x14ac:dyDescent="0.3">
      <c r="BI296" s="132"/>
    </row>
    <row r="297" spans="44:98" x14ac:dyDescent="0.3">
      <c r="AS297" s="150"/>
      <c r="AT297" s="150"/>
      <c r="AU297" s="150"/>
      <c r="AV297" s="150"/>
    </row>
    <row r="298" spans="44:98" x14ac:dyDescent="0.3">
      <c r="AS298" s="147"/>
      <c r="AT298" s="147"/>
      <c r="AU298" s="147"/>
      <c r="AV298" s="147"/>
      <c r="BI298" s="132"/>
    </row>
    <row r="299" spans="44:98" x14ac:dyDescent="0.3">
      <c r="AR299" s="124"/>
      <c r="AV299" s="151"/>
      <c r="AZ299" s="118"/>
      <c r="BG299" s="123"/>
    </row>
    <row r="300" spans="44:98" x14ac:dyDescent="0.3">
      <c r="AR300" s="124"/>
      <c r="AV300" s="151"/>
      <c r="BI300" s="132"/>
    </row>
    <row r="301" spans="44:98" x14ac:dyDescent="0.3">
      <c r="AV301" s="151"/>
    </row>
    <row r="302" spans="44:98" x14ac:dyDescent="0.3">
      <c r="AV302" s="151"/>
      <c r="BI302" s="132"/>
    </row>
    <row r="303" spans="44:98" x14ac:dyDescent="0.3">
      <c r="AR303" s="124"/>
      <c r="AV303" s="151"/>
    </row>
    <row r="304" spans="44:98" x14ac:dyDescent="0.3">
      <c r="AV304" s="151"/>
    </row>
    <row r="305" spans="44:98" x14ac:dyDescent="0.3">
      <c r="AR305" s="124"/>
      <c r="BI305" s="125"/>
      <c r="BK305" s="121"/>
      <c r="BL305" s="121"/>
      <c r="BM305" s="121"/>
      <c r="BN305" s="121"/>
      <c r="BO305" s="121"/>
      <c r="BP305" s="121"/>
      <c r="BQ305" s="121"/>
      <c r="BR305" s="121"/>
      <c r="BS305" s="121"/>
      <c r="BT305" s="121"/>
      <c r="BU305" s="121"/>
      <c r="BV305" s="121"/>
      <c r="BW305" s="121"/>
      <c r="BX305" s="121"/>
      <c r="BY305" s="121"/>
      <c r="BZ305" s="121"/>
      <c r="CA305" s="121"/>
      <c r="CB305" s="121"/>
      <c r="CC305" s="121"/>
      <c r="CD305" s="121"/>
      <c r="CE305" s="121"/>
      <c r="CF305" s="121"/>
      <c r="CG305" s="121"/>
      <c r="CH305" s="121"/>
      <c r="CI305" s="121"/>
      <c r="CJ305" s="121"/>
      <c r="CK305" s="121"/>
      <c r="CL305" s="121"/>
      <c r="CM305" s="121"/>
      <c r="CN305" s="121"/>
      <c r="CO305" s="121"/>
      <c r="CP305" s="121"/>
      <c r="CQ305" s="121"/>
      <c r="CR305" s="121"/>
      <c r="CS305" s="121"/>
      <c r="CT305" s="121"/>
    </row>
    <row r="306" spans="44:98" x14ac:dyDescent="0.3">
      <c r="AS306" s="150"/>
      <c r="AT306" s="150"/>
      <c r="AU306" s="150"/>
      <c r="AV306" s="150"/>
      <c r="BI306" s="125"/>
    </row>
    <row r="307" spans="44:98" x14ac:dyDescent="0.3">
      <c r="AS307" s="147"/>
      <c r="AT307" s="147"/>
      <c r="AU307" s="147"/>
      <c r="AV307" s="147"/>
    </row>
    <row r="308" spans="44:98" x14ac:dyDescent="0.3">
      <c r="AV308" s="151"/>
      <c r="BI308" s="132"/>
    </row>
    <row r="309" spans="44:98" x14ac:dyDescent="0.3">
      <c r="AV309" s="151"/>
    </row>
    <row r="310" spans="44:98" x14ac:dyDescent="0.3">
      <c r="AV310" s="151"/>
      <c r="BI310" s="132"/>
    </row>
    <row r="311" spans="44:98" x14ac:dyDescent="0.3">
      <c r="AV311" s="151"/>
    </row>
    <row r="312" spans="44:98" x14ac:dyDescent="0.3">
      <c r="AR312" s="124"/>
      <c r="AV312" s="151"/>
      <c r="BI312" s="132"/>
    </row>
    <row r="313" spans="44:98" x14ac:dyDescent="0.3">
      <c r="AV313" s="151"/>
    </row>
    <row r="314" spans="44:98" x14ac:dyDescent="0.3">
      <c r="BI314" s="132"/>
    </row>
    <row r="316" spans="44:98" x14ac:dyDescent="0.3">
      <c r="BI316" s="132"/>
    </row>
    <row r="318" spans="44:98" x14ac:dyDescent="0.3">
      <c r="BI318" s="132"/>
    </row>
    <row r="321" spans="45:98" x14ac:dyDescent="0.3">
      <c r="AS321" s="124"/>
      <c r="BI321" s="125"/>
      <c r="BK321" s="121"/>
      <c r="BL321" s="121"/>
      <c r="BM321" s="121"/>
      <c r="BN321" s="121"/>
      <c r="BO321" s="121"/>
      <c r="BP321" s="121"/>
      <c r="BQ321" s="121"/>
      <c r="BR321" s="121"/>
      <c r="BS321" s="121"/>
      <c r="BT321" s="121"/>
      <c r="BU321" s="121"/>
      <c r="BV321" s="121"/>
      <c r="BW321" s="121"/>
      <c r="BX321" s="121"/>
      <c r="BY321" s="121"/>
      <c r="BZ321" s="121"/>
      <c r="CA321" s="121"/>
      <c r="CB321" s="121"/>
      <c r="CC321" s="121"/>
      <c r="CD321" s="121"/>
      <c r="CE321" s="121"/>
      <c r="CF321" s="121"/>
      <c r="CG321" s="121"/>
      <c r="CH321" s="121"/>
      <c r="CI321" s="121"/>
      <c r="CJ321" s="121"/>
      <c r="CK321" s="121"/>
      <c r="CL321" s="121"/>
      <c r="CM321" s="121"/>
      <c r="CN321" s="121"/>
      <c r="CO321" s="121"/>
      <c r="CP321" s="121"/>
      <c r="CQ321" s="121"/>
      <c r="CR321" s="121"/>
      <c r="CS321" s="121"/>
      <c r="CT321" s="121"/>
    </row>
    <row r="322" spans="45:98" x14ac:dyDescent="0.3">
      <c r="AS322" s="124"/>
      <c r="BI322" s="125"/>
    </row>
    <row r="323" spans="45:98" x14ac:dyDescent="0.3">
      <c r="AS323" s="124"/>
    </row>
    <row r="324" spans="45:98" x14ac:dyDescent="0.3">
      <c r="AS324" s="124"/>
      <c r="BI324" s="132"/>
    </row>
    <row r="325" spans="45:98" x14ac:dyDescent="0.3">
      <c r="AS325" s="124"/>
    </row>
    <row r="326" spans="45:98" x14ac:dyDescent="0.3">
      <c r="AS326" s="124"/>
      <c r="BI326" s="132"/>
    </row>
    <row r="327" spans="45:98" x14ac:dyDescent="0.3">
      <c r="AS327" s="124"/>
    </row>
    <row r="328" spans="45:98" x14ac:dyDescent="0.3">
      <c r="BI328" s="132"/>
    </row>
    <row r="330" spans="45:98" x14ac:dyDescent="0.3">
      <c r="BI330" s="132"/>
    </row>
    <row r="332" spans="45:98" x14ac:dyDescent="0.3">
      <c r="BI332" s="132"/>
    </row>
    <row r="334" spans="45:98" x14ac:dyDescent="0.3">
      <c r="BI334" s="132"/>
    </row>
    <row r="337" spans="52:98" x14ac:dyDescent="0.3">
      <c r="BI337" s="125"/>
      <c r="BK337" s="121"/>
      <c r="BL337" s="121"/>
      <c r="BM337" s="121"/>
      <c r="BN337" s="121"/>
      <c r="BO337" s="121"/>
      <c r="BP337" s="121"/>
      <c r="BQ337" s="121"/>
      <c r="BR337" s="121"/>
      <c r="BS337" s="121"/>
      <c r="BT337" s="121"/>
      <c r="BU337" s="121"/>
      <c r="BV337" s="121"/>
      <c r="BW337" s="121"/>
      <c r="BX337" s="121"/>
      <c r="BY337" s="121"/>
      <c r="BZ337" s="121"/>
      <c r="CA337" s="121"/>
      <c r="CB337" s="121"/>
      <c r="CC337" s="121"/>
      <c r="CD337" s="121"/>
      <c r="CE337" s="121"/>
      <c r="CF337" s="121"/>
      <c r="CG337" s="121"/>
      <c r="CH337" s="121"/>
      <c r="CI337" s="121"/>
      <c r="CJ337" s="121"/>
      <c r="CK337" s="121"/>
      <c r="CL337" s="121"/>
      <c r="CM337" s="121"/>
      <c r="CN337" s="121"/>
      <c r="CO337" s="121"/>
      <c r="CP337" s="121"/>
      <c r="CQ337" s="121"/>
      <c r="CR337" s="121"/>
      <c r="CS337" s="121"/>
      <c r="CT337" s="121"/>
    </row>
    <row r="338" spans="52:98" x14ac:dyDescent="0.3">
      <c r="BI338" s="125"/>
    </row>
    <row r="340" spans="52:98" x14ac:dyDescent="0.3">
      <c r="BI340" s="132"/>
    </row>
    <row r="342" spans="52:98" x14ac:dyDescent="0.3">
      <c r="BI342" s="132"/>
    </row>
    <row r="343" spans="52:98" x14ac:dyDescent="0.3">
      <c r="AZ343" s="118"/>
      <c r="BA343" s="118"/>
      <c r="BB343" s="118"/>
      <c r="BC343" s="118"/>
      <c r="BD343" s="118"/>
      <c r="BE343" s="118"/>
      <c r="BF343" s="118"/>
    </row>
    <row r="344" spans="52:98" x14ac:dyDescent="0.3">
      <c r="AZ344" s="118"/>
      <c r="BA344" s="118"/>
      <c r="BB344" s="118"/>
      <c r="BC344" s="118"/>
      <c r="BD344" s="118"/>
      <c r="BE344" s="118"/>
      <c r="BF344" s="118"/>
      <c r="BI344" s="132"/>
    </row>
    <row r="345" spans="52:98" x14ac:dyDescent="0.3">
      <c r="AZ345" s="118"/>
      <c r="BA345" s="118"/>
      <c r="BB345" s="118"/>
      <c r="BC345" s="118"/>
      <c r="BD345" s="118"/>
      <c r="BE345" s="118"/>
      <c r="BF345" s="118"/>
    </row>
    <row r="346" spans="52:98" x14ac:dyDescent="0.3">
      <c r="AZ346" s="118"/>
      <c r="BA346" s="118"/>
      <c r="BB346" s="118"/>
      <c r="BC346" s="118"/>
      <c r="BD346" s="118"/>
      <c r="BE346" s="118"/>
      <c r="BF346" s="118"/>
      <c r="BI346" s="132"/>
    </row>
    <row r="347" spans="52:98" x14ac:dyDescent="0.3">
      <c r="AZ347" s="118"/>
      <c r="BA347" s="118"/>
      <c r="BB347" s="118"/>
      <c r="BC347" s="118"/>
      <c r="BD347" s="118"/>
      <c r="BE347" s="118"/>
      <c r="BF347" s="118"/>
    </row>
    <row r="348" spans="52:98" x14ac:dyDescent="0.3">
      <c r="BI348" s="132"/>
    </row>
    <row r="349" spans="52:98" x14ac:dyDescent="0.3">
      <c r="AZ349" s="118"/>
      <c r="BA349" s="118"/>
      <c r="BB349" s="118"/>
      <c r="BC349" s="118"/>
      <c r="BD349" s="118"/>
      <c r="BE349" s="118"/>
      <c r="BF349" s="118"/>
    </row>
    <row r="350" spans="52:98" x14ac:dyDescent="0.3">
      <c r="AZ350" s="118"/>
      <c r="BA350" s="118"/>
      <c r="BB350" s="118"/>
      <c r="BC350" s="118"/>
      <c r="BD350" s="118"/>
      <c r="BE350" s="118"/>
      <c r="BF350" s="118"/>
      <c r="BI350" s="132"/>
    </row>
    <row r="351" spans="52:98" x14ac:dyDescent="0.3">
      <c r="AZ351" s="118"/>
      <c r="BA351" s="118"/>
      <c r="BB351" s="118"/>
      <c r="BC351" s="118"/>
      <c r="BD351" s="118"/>
      <c r="BE351" s="118"/>
      <c r="BF351" s="118"/>
    </row>
    <row r="352" spans="52:98" x14ac:dyDescent="0.3">
      <c r="AZ352" s="118"/>
      <c r="BA352" s="118"/>
      <c r="BB352" s="118"/>
      <c r="BC352" s="118"/>
      <c r="BD352" s="118"/>
      <c r="BE352" s="118"/>
      <c r="BF352" s="118"/>
    </row>
    <row r="353" spans="52:98" x14ac:dyDescent="0.3">
      <c r="AZ353" s="118"/>
      <c r="BA353" s="118"/>
      <c r="BB353" s="118"/>
      <c r="BC353" s="118"/>
      <c r="BD353" s="118"/>
      <c r="BE353" s="118"/>
      <c r="BF353" s="118"/>
      <c r="BI353" s="125"/>
      <c r="BK353" s="121"/>
      <c r="BL353" s="121"/>
      <c r="BM353" s="121"/>
      <c r="BN353" s="121"/>
      <c r="BO353" s="121"/>
      <c r="BP353" s="121"/>
      <c r="BQ353" s="121"/>
      <c r="BR353" s="121"/>
      <c r="BS353" s="121"/>
      <c r="BT353" s="121"/>
      <c r="BU353" s="121"/>
      <c r="BV353" s="121"/>
      <c r="BW353" s="121"/>
      <c r="BX353" s="121"/>
      <c r="BY353" s="121"/>
      <c r="BZ353" s="121"/>
      <c r="CA353" s="121"/>
      <c r="CB353" s="121"/>
      <c r="CC353" s="121"/>
      <c r="CD353" s="121"/>
      <c r="CE353" s="121"/>
      <c r="CF353" s="121"/>
      <c r="CG353" s="121"/>
      <c r="CH353" s="121"/>
      <c r="CI353" s="121"/>
      <c r="CJ353" s="121"/>
      <c r="CK353" s="121"/>
      <c r="CL353" s="121"/>
      <c r="CM353" s="121"/>
      <c r="CN353" s="121"/>
      <c r="CO353" s="121"/>
      <c r="CP353" s="121"/>
      <c r="CQ353" s="121"/>
      <c r="CR353" s="121"/>
      <c r="CS353" s="121"/>
      <c r="CT353" s="121"/>
    </row>
    <row r="354" spans="52:98" x14ac:dyDescent="0.3">
      <c r="AZ354" s="118"/>
      <c r="BA354" s="118"/>
      <c r="BB354" s="118"/>
      <c r="BC354" s="118"/>
      <c r="BD354" s="118"/>
      <c r="BE354" s="118"/>
      <c r="BF354" s="118"/>
      <c r="BI354" s="125"/>
    </row>
    <row r="355" spans="52:98" x14ac:dyDescent="0.3">
      <c r="AZ355" s="118"/>
      <c r="BA355" s="118"/>
      <c r="BB355" s="118"/>
      <c r="BC355" s="118"/>
      <c r="BD355" s="118"/>
      <c r="BE355" s="118"/>
      <c r="BF355" s="118"/>
    </row>
    <row r="356" spans="52:98" x14ac:dyDescent="0.3">
      <c r="AZ356" s="118"/>
      <c r="BA356" s="118"/>
      <c r="BB356" s="118"/>
      <c r="BC356" s="118"/>
      <c r="BD356" s="118"/>
      <c r="BE356" s="118"/>
      <c r="BF356" s="118"/>
      <c r="BI356" s="132"/>
    </row>
    <row r="357" spans="52:98" x14ac:dyDescent="0.3">
      <c r="AZ357" s="118"/>
      <c r="BA357" s="118"/>
      <c r="BB357" s="118"/>
      <c r="BC357" s="118"/>
      <c r="BD357" s="118"/>
      <c r="BE357" s="118"/>
      <c r="BF357" s="118"/>
    </row>
    <row r="358" spans="52:98" x14ac:dyDescent="0.3">
      <c r="AZ358" s="118"/>
      <c r="BA358" s="118"/>
      <c r="BB358" s="118"/>
      <c r="BC358" s="118"/>
      <c r="BD358" s="118"/>
      <c r="BE358" s="118"/>
      <c r="BF358" s="118"/>
      <c r="BI358" s="132"/>
    </row>
    <row r="359" spans="52:98" x14ac:dyDescent="0.3">
      <c r="AZ359" s="118"/>
      <c r="BA359" s="118"/>
      <c r="BB359" s="118"/>
      <c r="BC359" s="118"/>
      <c r="BD359" s="118"/>
      <c r="BE359" s="118"/>
      <c r="BF359" s="118"/>
    </row>
    <row r="360" spans="52:98" x14ac:dyDescent="0.3">
      <c r="AZ360" s="118"/>
      <c r="BA360" s="118"/>
      <c r="BB360" s="118"/>
      <c r="BC360" s="118"/>
      <c r="BD360" s="118"/>
      <c r="BE360" s="118"/>
      <c r="BF360" s="118"/>
      <c r="BI360" s="132"/>
    </row>
    <row r="361" spans="52:98" x14ac:dyDescent="0.3">
      <c r="AZ361" s="118"/>
      <c r="BA361" s="118"/>
      <c r="BB361" s="118"/>
      <c r="BC361" s="118"/>
      <c r="BD361" s="118"/>
      <c r="BE361" s="118"/>
      <c r="BF361" s="118"/>
    </row>
    <row r="362" spans="52:98" x14ac:dyDescent="0.3">
      <c r="AZ362" s="118"/>
      <c r="BA362" s="118"/>
      <c r="BB362" s="118"/>
      <c r="BC362" s="118"/>
      <c r="BD362" s="118"/>
      <c r="BE362" s="118"/>
      <c r="BF362" s="118"/>
      <c r="BI362" s="132"/>
    </row>
    <row r="363" spans="52:98" x14ac:dyDescent="0.3">
      <c r="AZ363" s="118"/>
      <c r="BA363" s="118"/>
      <c r="BB363" s="118"/>
      <c r="BC363" s="118"/>
      <c r="BD363" s="118"/>
      <c r="BE363" s="118"/>
      <c r="BF363" s="118"/>
    </row>
    <row r="364" spans="52:98" x14ac:dyDescent="0.3">
      <c r="BI364" s="132"/>
    </row>
    <row r="365" spans="52:98" x14ac:dyDescent="0.3">
      <c r="AZ365" s="118"/>
      <c r="BA365" s="118"/>
      <c r="BB365" s="118"/>
      <c r="BC365" s="118"/>
      <c r="BD365" s="118"/>
      <c r="BE365" s="118"/>
      <c r="BF365" s="118"/>
    </row>
    <row r="366" spans="52:98" x14ac:dyDescent="0.3">
      <c r="AZ366" s="118"/>
      <c r="BA366" s="118"/>
      <c r="BB366" s="118"/>
      <c r="BC366" s="118"/>
      <c r="BD366" s="118"/>
      <c r="BE366" s="118"/>
      <c r="BF366" s="118"/>
      <c r="BI366" s="132"/>
    </row>
    <row r="367" spans="52:98" x14ac:dyDescent="0.3">
      <c r="AZ367" s="118"/>
      <c r="BA367" s="118"/>
      <c r="BB367" s="118"/>
      <c r="BC367" s="118"/>
      <c r="BD367" s="118"/>
      <c r="BE367" s="118"/>
      <c r="BF367" s="118"/>
    </row>
    <row r="368" spans="52:98" x14ac:dyDescent="0.3">
      <c r="AZ368" s="118"/>
      <c r="BA368" s="118"/>
      <c r="BB368" s="118"/>
      <c r="BC368" s="118"/>
      <c r="BD368" s="118"/>
      <c r="BE368" s="118"/>
      <c r="BF368" s="118"/>
    </row>
    <row r="369" spans="52:98" x14ac:dyDescent="0.3">
      <c r="AZ369" s="118"/>
      <c r="BA369" s="118"/>
      <c r="BB369" s="118"/>
      <c r="BC369" s="118"/>
      <c r="BD369" s="118"/>
      <c r="BE369" s="118"/>
      <c r="BF369" s="118"/>
      <c r="BI369" s="125"/>
      <c r="BK369" s="121"/>
      <c r="BL369" s="121"/>
      <c r="BM369" s="121"/>
      <c r="BN369" s="121"/>
      <c r="BO369" s="121"/>
      <c r="BP369" s="121"/>
      <c r="BQ369" s="121"/>
      <c r="BR369" s="121"/>
      <c r="BS369" s="121"/>
      <c r="BT369" s="121"/>
      <c r="BU369" s="121"/>
      <c r="BV369" s="121"/>
      <c r="BW369" s="121"/>
      <c r="BX369" s="121"/>
      <c r="BY369" s="121"/>
      <c r="BZ369" s="121"/>
      <c r="CA369" s="121"/>
      <c r="CB369" s="121"/>
      <c r="CC369" s="121"/>
      <c r="CD369" s="121"/>
      <c r="CE369" s="121"/>
      <c r="CF369" s="121"/>
      <c r="CG369" s="121"/>
      <c r="CH369" s="121"/>
      <c r="CI369" s="121"/>
      <c r="CJ369" s="121"/>
      <c r="CK369" s="121"/>
      <c r="CL369" s="121"/>
      <c r="CM369" s="121"/>
      <c r="CN369" s="121"/>
      <c r="CO369" s="121"/>
      <c r="CP369" s="121"/>
      <c r="CQ369" s="121"/>
      <c r="CR369" s="121"/>
      <c r="CS369" s="121"/>
      <c r="CT369" s="121"/>
    </row>
    <row r="370" spans="52:98" x14ac:dyDescent="0.3">
      <c r="AZ370" s="118"/>
      <c r="BA370" s="118"/>
      <c r="BB370" s="118"/>
      <c r="BC370" s="118"/>
      <c r="BD370" s="118"/>
      <c r="BE370" s="118"/>
      <c r="BF370" s="118"/>
      <c r="BI370" s="125"/>
    </row>
    <row r="371" spans="52:98" x14ac:dyDescent="0.3">
      <c r="AZ371" s="118"/>
      <c r="BA371" s="118"/>
      <c r="BB371" s="118"/>
      <c r="BC371" s="118"/>
      <c r="BD371" s="118"/>
      <c r="BE371" s="118"/>
      <c r="BF371" s="118"/>
    </row>
    <row r="372" spans="52:98" x14ac:dyDescent="0.3">
      <c r="AZ372" s="118"/>
      <c r="BA372" s="118"/>
      <c r="BB372" s="118"/>
      <c r="BC372" s="118"/>
      <c r="BD372" s="118"/>
      <c r="BE372" s="118"/>
      <c r="BF372" s="118"/>
      <c r="BI372" s="132"/>
    </row>
    <row r="373" spans="52:98" x14ac:dyDescent="0.3">
      <c r="AZ373" s="118"/>
      <c r="BA373" s="118"/>
      <c r="BB373" s="118"/>
      <c r="BC373" s="118"/>
      <c r="BD373" s="118"/>
      <c r="BE373" s="118"/>
      <c r="BF373" s="118"/>
    </row>
    <row r="374" spans="52:98" x14ac:dyDescent="0.3">
      <c r="AZ374" s="118"/>
      <c r="BA374" s="118"/>
      <c r="BB374" s="118"/>
      <c r="BC374" s="118"/>
      <c r="BD374" s="118"/>
      <c r="BE374" s="118"/>
      <c r="BF374" s="118"/>
      <c r="BI374" s="132"/>
    </row>
    <row r="375" spans="52:98" x14ac:dyDescent="0.3">
      <c r="AZ375" s="118"/>
      <c r="BA375" s="118"/>
      <c r="BB375" s="118"/>
      <c r="BC375" s="118"/>
      <c r="BD375" s="118"/>
      <c r="BE375" s="118"/>
      <c r="BF375" s="118"/>
    </row>
    <row r="376" spans="52:98" x14ac:dyDescent="0.3">
      <c r="AZ376" s="118"/>
      <c r="BA376" s="118"/>
      <c r="BB376" s="118"/>
      <c r="BC376" s="118"/>
      <c r="BD376" s="118"/>
      <c r="BE376" s="118"/>
      <c r="BF376" s="118"/>
      <c r="BI376" s="132"/>
    </row>
    <row r="377" spans="52:98" x14ac:dyDescent="0.3">
      <c r="AZ377" s="118"/>
      <c r="BA377" s="118"/>
      <c r="BB377" s="118"/>
      <c r="BC377" s="118"/>
      <c r="BD377" s="118"/>
      <c r="BE377" s="118"/>
      <c r="BF377" s="118"/>
    </row>
    <row r="378" spans="52:98" x14ac:dyDescent="0.3">
      <c r="AZ378" s="118"/>
      <c r="BA378" s="118"/>
      <c r="BB378" s="118"/>
      <c r="BC378" s="118"/>
      <c r="BD378" s="118"/>
      <c r="BE378" s="118"/>
      <c r="BF378" s="118"/>
      <c r="BI378" s="132"/>
    </row>
    <row r="379" spans="52:98" x14ac:dyDescent="0.3">
      <c r="AZ379" s="118"/>
      <c r="BA379" s="118"/>
      <c r="BB379" s="118"/>
      <c r="BC379" s="118"/>
      <c r="BD379" s="118"/>
      <c r="BE379" s="118"/>
      <c r="BF379" s="118"/>
    </row>
    <row r="380" spans="52:98" x14ac:dyDescent="0.3">
      <c r="BI380" s="132"/>
    </row>
    <row r="381" spans="52:98" x14ac:dyDescent="0.3">
      <c r="AZ381" s="118"/>
      <c r="BA381" s="118"/>
      <c r="BB381" s="118"/>
      <c r="BC381" s="118"/>
      <c r="BD381" s="118"/>
      <c r="BE381" s="118"/>
      <c r="BF381" s="118"/>
    </row>
    <row r="382" spans="52:98" x14ac:dyDescent="0.3">
      <c r="AZ382" s="118"/>
      <c r="BA382" s="118"/>
      <c r="BB382" s="118"/>
      <c r="BC382" s="118"/>
      <c r="BD382" s="118"/>
      <c r="BE382" s="118"/>
      <c r="BF382" s="118"/>
      <c r="BI382" s="132"/>
    </row>
    <row r="383" spans="52:98" x14ac:dyDescent="0.3">
      <c r="AZ383" s="118"/>
      <c r="BA383" s="118"/>
      <c r="BB383" s="118"/>
      <c r="BC383" s="118"/>
      <c r="BD383" s="118"/>
      <c r="BE383" s="118"/>
      <c r="BF383" s="118"/>
    </row>
    <row r="384" spans="52:98" x14ac:dyDescent="0.3">
      <c r="AZ384" s="118"/>
      <c r="BA384" s="118"/>
      <c r="BB384" s="118"/>
      <c r="BC384" s="118"/>
      <c r="BD384" s="118"/>
      <c r="BE384" s="118"/>
      <c r="BF384" s="118"/>
    </row>
    <row r="385" spans="52:98" x14ac:dyDescent="0.3">
      <c r="AZ385" s="118"/>
      <c r="BA385" s="118"/>
      <c r="BB385" s="118"/>
      <c r="BC385" s="118"/>
      <c r="BD385" s="118"/>
      <c r="BE385" s="118"/>
      <c r="BF385" s="118"/>
      <c r="BI385" s="125"/>
      <c r="BK385" s="121"/>
      <c r="BL385" s="121"/>
      <c r="BM385" s="121"/>
      <c r="BN385" s="121"/>
      <c r="BO385" s="121"/>
      <c r="BP385" s="121"/>
      <c r="BQ385" s="121"/>
      <c r="BR385" s="121"/>
      <c r="BS385" s="121"/>
      <c r="BT385" s="121"/>
      <c r="BU385" s="121"/>
      <c r="BV385" s="121"/>
      <c r="BW385" s="121"/>
      <c r="BX385" s="121"/>
      <c r="BY385" s="121"/>
      <c r="BZ385" s="121"/>
      <c r="CA385" s="121"/>
      <c r="CB385" s="121"/>
      <c r="CC385" s="121"/>
      <c r="CD385" s="121"/>
      <c r="CE385" s="121"/>
      <c r="CF385" s="121"/>
      <c r="CG385" s="121"/>
      <c r="CH385" s="121"/>
      <c r="CI385" s="121"/>
      <c r="CJ385" s="121"/>
      <c r="CK385" s="121"/>
      <c r="CL385" s="121"/>
      <c r="CM385" s="121"/>
      <c r="CN385" s="121"/>
      <c r="CO385" s="121"/>
      <c r="CP385" s="121"/>
      <c r="CQ385" s="121"/>
      <c r="CR385" s="121"/>
      <c r="CS385" s="121"/>
      <c r="CT385" s="121"/>
    </row>
    <row r="386" spans="52:98" x14ac:dyDescent="0.3">
      <c r="AZ386" s="118"/>
      <c r="BA386" s="118"/>
      <c r="BB386" s="118"/>
      <c r="BC386" s="118"/>
      <c r="BD386" s="118"/>
      <c r="BE386" s="118"/>
      <c r="BF386" s="118"/>
      <c r="BI386" s="125"/>
    </row>
    <row r="387" spans="52:98" x14ac:dyDescent="0.3">
      <c r="AZ387" s="118"/>
      <c r="BA387" s="118"/>
      <c r="BB387" s="118"/>
      <c r="BC387" s="118"/>
      <c r="BD387" s="118"/>
      <c r="BE387" s="118"/>
      <c r="BF387" s="118"/>
    </row>
    <row r="388" spans="52:98" x14ac:dyDescent="0.3">
      <c r="AZ388" s="118"/>
      <c r="BA388" s="118"/>
      <c r="BB388" s="118"/>
      <c r="BC388" s="118"/>
      <c r="BD388" s="118"/>
      <c r="BE388" s="118"/>
      <c r="BF388" s="118"/>
      <c r="BI388" s="132"/>
    </row>
    <row r="389" spans="52:98" x14ac:dyDescent="0.3">
      <c r="AZ389" s="118"/>
      <c r="BA389" s="118"/>
      <c r="BB389" s="118"/>
      <c r="BC389" s="118"/>
      <c r="BD389" s="118"/>
      <c r="BE389" s="118"/>
      <c r="BF389" s="118"/>
    </row>
    <row r="390" spans="52:98" x14ac:dyDescent="0.3">
      <c r="AZ390" s="118"/>
      <c r="BA390" s="118"/>
      <c r="BB390" s="118"/>
      <c r="BC390" s="118"/>
      <c r="BD390" s="118"/>
      <c r="BE390" s="118"/>
      <c r="BF390" s="118"/>
      <c r="BI390" s="132"/>
    </row>
    <row r="391" spans="52:98" x14ac:dyDescent="0.3">
      <c r="AZ391" s="118"/>
      <c r="BA391" s="118"/>
      <c r="BB391" s="118"/>
      <c r="BC391" s="118"/>
      <c r="BD391" s="118"/>
      <c r="BE391" s="118"/>
      <c r="BF391" s="118"/>
    </row>
    <row r="392" spans="52:98" x14ac:dyDescent="0.3">
      <c r="AZ392" s="118"/>
      <c r="BA392" s="118"/>
      <c r="BB392" s="118"/>
      <c r="BC392" s="118"/>
      <c r="BD392" s="118"/>
      <c r="BE392" s="118"/>
      <c r="BF392" s="118"/>
      <c r="BI392" s="132"/>
    </row>
    <row r="393" spans="52:98" x14ac:dyDescent="0.3">
      <c r="AZ393" s="118"/>
      <c r="BA393" s="118"/>
      <c r="BB393" s="118"/>
      <c r="BC393" s="118"/>
      <c r="BD393" s="118"/>
      <c r="BE393" s="118"/>
      <c r="BF393" s="118"/>
    </row>
    <row r="394" spans="52:98" x14ac:dyDescent="0.3">
      <c r="AZ394" s="118"/>
      <c r="BA394" s="118"/>
      <c r="BB394" s="118"/>
      <c r="BC394" s="118"/>
      <c r="BD394" s="118"/>
      <c r="BE394" s="118"/>
      <c r="BF394" s="118"/>
      <c r="BI394" s="132"/>
    </row>
    <row r="395" spans="52:98" x14ac:dyDescent="0.3">
      <c r="AZ395" s="118"/>
      <c r="BA395" s="118"/>
      <c r="BB395" s="118"/>
      <c r="BC395" s="118"/>
      <c r="BD395" s="118"/>
      <c r="BE395" s="118"/>
      <c r="BF395" s="118"/>
    </row>
    <row r="396" spans="52:98" x14ac:dyDescent="0.3">
      <c r="BI396" s="132"/>
    </row>
    <row r="397" spans="52:98" x14ac:dyDescent="0.3">
      <c r="AZ397" s="118"/>
      <c r="BA397" s="118"/>
      <c r="BB397" s="118"/>
      <c r="BC397" s="118"/>
      <c r="BD397" s="118"/>
      <c r="BE397" s="118"/>
      <c r="BF397" s="118"/>
    </row>
    <row r="398" spans="52:98" x14ac:dyDescent="0.3">
      <c r="AZ398" s="118"/>
      <c r="BA398" s="118"/>
      <c r="BB398" s="118"/>
      <c r="BC398" s="118"/>
      <c r="BD398" s="118"/>
      <c r="BE398" s="118"/>
      <c r="BF398" s="118"/>
      <c r="BI398" s="132"/>
    </row>
    <row r="399" spans="52:98" x14ac:dyDescent="0.3">
      <c r="AZ399" s="118"/>
      <c r="BA399" s="118"/>
      <c r="BB399" s="118"/>
      <c r="BC399" s="118"/>
      <c r="BD399" s="118"/>
      <c r="BE399" s="118"/>
      <c r="BF399" s="118"/>
    </row>
    <row r="400" spans="52:98" x14ac:dyDescent="0.3">
      <c r="AZ400" s="118"/>
      <c r="BA400" s="118"/>
      <c r="BB400" s="118"/>
      <c r="BC400" s="118"/>
      <c r="BD400" s="118"/>
      <c r="BE400" s="118"/>
      <c r="BF400" s="118"/>
    </row>
    <row r="401" spans="52:98" x14ac:dyDescent="0.3">
      <c r="AZ401" s="118"/>
      <c r="BA401" s="118"/>
      <c r="BB401" s="118"/>
      <c r="BC401" s="118"/>
      <c r="BD401" s="118"/>
      <c r="BE401" s="118"/>
      <c r="BF401" s="118"/>
      <c r="BI401" s="125"/>
      <c r="BK401" s="121"/>
      <c r="BL401" s="121"/>
      <c r="BM401" s="121"/>
      <c r="BN401" s="121"/>
      <c r="BO401" s="121"/>
      <c r="BP401" s="121"/>
      <c r="BQ401" s="121"/>
      <c r="BR401" s="121"/>
      <c r="BS401" s="121"/>
      <c r="BT401" s="121"/>
      <c r="BU401" s="121"/>
      <c r="BV401" s="121"/>
      <c r="BW401" s="121"/>
      <c r="BX401" s="121"/>
      <c r="BY401" s="121"/>
      <c r="BZ401" s="121"/>
      <c r="CA401" s="121"/>
      <c r="CB401" s="121"/>
      <c r="CC401" s="121"/>
      <c r="CD401" s="121"/>
      <c r="CE401" s="121"/>
      <c r="CF401" s="121"/>
      <c r="CG401" s="121"/>
      <c r="CH401" s="121"/>
      <c r="CI401" s="121"/>
      <c r="CJ401" s="121"/>
      <c r="CK401" s="121"/>
      <c r="CL401" s="121"/>
      <c r="CM401" s="121"/>
      <c r="CN401" s="121"/>
      <c r="CO401" s="121"/>
      <c r="CP401" s="121"/>
      <c r="CQ401" s="121"/>
      <c r="CR401" s="121"/>
      <c r="CS401" s="121"/>
      <c r="CT401" s="121"/>
    </row>
    <row r="402" spans="52:98" x14ac:dyDescent="0.3">
      <c r="AZ402" s="118"/>
      <c r="BA402" s="118"/>
      <c r="BB402" s="118"/>
      <c r="BC402" s="118"/>
      <c r="BD402" s="118"/>
      <c r="BE402" s="118"/>
      <c r="BF402" s="118"/>
      <c r="BI402" s="125"/>
    </row>
    <row r="403" spans="52:98" x14ac:dyDescent="0.3">
      <c r="AZ403" s="118"/>
      <c r="BA403" s="118"/>
      <c r="BB403" s="118"/>
      <c r="BC403" s="118"/>
      <c r="BD403" s="118"/>
      <c r="BE403" s="118"/>
      <c r="BF403" s="118"/>
    </row>
    <row r="404" spans="52:98" x14ac:dyDescent="0.3">
      <c r="AZ404" s="118"/>
      <c r="BA404" s="118"/>
      <c r="BB404" s="118"/>
      <c r="BC404" s="118"/>
      <c r="BD404" s="118"/>
      <c r="BE404" s="118"/>
      <c r="BF404" s="118"/>
      <c r="BI404" s="132"/>
    </row>
    <row r="405" spans="52:98" x14ac:dyDescent="0.3">
      <c r="AZ405" s="118"/>
      <c r="BA405" s="118"/>
      <c r="BB405" s="118"/>
      <c r="BC405" s="118"/>
      <c r="BD405" s="118"/>
      <c r="BE405" s="118"/>
      <c r="BF405" s="118"/>
    </row>
    <row r="406" spans="52:98" x14ac:dyDescent="0.3">
      <c r="AZ406" s="118"/>
      <c r="BA406" s="118"/>
      <c r="BB406" s="118"/>
      <c r="BC406" s="118"/>
      <c r="BD406" s="118"/>
      <c r="BE406" s="118"/>
      <c r="BF406" s="118"/>
      <c r="BI406" s="132"/>
    </row>
    <row r="407" spans="52:98" x14ac:dyDescent="0.3">
      <c r="AZ407" s="118"/>
      <c r="BA407" s="118"/>
      <c r="BB407" s="118"/>
      <c r="BC407" s="118"/>
      <c r="BD407" s="118"/>
      <c r="BE407" s="118"/>
      <c r="BF407" s="118"/>
    </row>
    <row r="408" spans="52:98" x14ac:dyDescent="0.3">
      <c r="AZ408" s="118"/>
      <c r="BA408" s="118"/>
      <c r="BB408" s="118"/>
      <c r="BC408" s="118"/>
      <c r="BD408" s="118"/>
      <c r="BE408" s="118"/>
      <c r="BF408" s="118"/>
      <c r="BI408" s="132"/>
    </row>
    <row r="409" spans="52:98" x14ac:dyDescent="0.3">
      <c r="AZ409" s="118"/>
      <c r="BA409" s="118"/>
      <c r="BB409" s="118"/>
      <c r="BC409" s="118"/>
      <c r="BD409" s="118"/>
      <c r="BE409" s="118"/>
      <c r="BF409" s="118"/>
    </row>
    <row r="410" spans="52:98" x14ac:dyDescent="0.3">
      <c r="AZ410" s="118"/>
      <c r="BA410" s="118"/>
      <c r="BB410" s="118"/>
      <c r="BC410" s="118"/>
      <c r="BD410" s="118"/>
      <c r="BE410" s="118"/>
      <c r="BF410" s="118"/>
      <c r="BI410" s="132"/>
    </row>
    <row r="411" spans="52:98" x14ac:dyDescent="0.3">
      <c r="AZ411" s="118"/>
      <c r="BA411" s="118"/>
      <c r="BB411" s="118"/>
      <c r="BC411" s="118"/>
      <c r="BD411" s="118"/>
      <c r="BE411" s="118"/>
      <c r="BF411" s="118"/>
    </row>
    <row r="412" spans="52:98" x14ac:dyDescent="0.3">
      <c r="BI412" s="132"/>
    </row>
    <row r="413" spans="52:98" x14ac:dyDescent="0.3">
      <c r="AZ413" s="118"/>
      <c r="BA413" s="118"/>
      <c r="BB413" s="118"/>
      <c r="BC413" s="118"/>
      <c r="BD413" s="118"/>
      <c r="BE413" s="118"/>
      <c r="BF413" s="118"/>
    </row>
    <row r="414" spans="52:98" x14ac:dyDescent="0.3">
      <c r="AZ414" s="118"/>
      <c r="BA414" s="118"/>
      <c r="BB414" s="118"/>
      <c r="BC414" s="118"/>
      <c r="BD414" s="118"/>
      <c r="BE414" s="118"/>
      <c r="BF414" s="118"/>
      <c r="BI414" s="132"/>
    </row>
    <row r="415" spans="52:98" x14ac:dyDescent="0.3">
      <c r="AZ415" s="118"/>
      <c r="BA415" s="118"/>
      <c r="BB415" s="118"/>
      <c r="BC415" s="118"/>
      <c r="BD415" s="118"/>
      <c r="BE415" s="118"/>
      <c r="BF415" s="118"/>
    </row>
    <row r="416" spans="52:98" x14ac:dyDescent="0.3">
      <c r="AZ416" s="118"/>
      <c r="BA416" s="118"/>
      <c r="BB416" s="118"/>
      <c r="BC416" s="118"/>
      <c r="BD416" s="118"/>
      <c r="BE416" s="118"/>
      <c r="BF416" s="118"/>
    </row>
    <row r="417" spans="52:98" x14ac:dyDescent="0.3">
      <c r="AZ417" s="118"/>
      <c r="BA417" s="118"/>
      <c r="BB417" s="118"/>
      <c r="BC417" s="118"/>
      <c r="BD417" s="118"/>
      <c r="BE417" s="118"/>
      <c r="BF417" s="118"/>
      <c r="BI417" s="125"/>
      <c r="BK417" s="121"/>
      <c r="BL417" s="121"/>
      <c r="BM417" s="121"/>
      <c r="BN417" s="121"/>
      <c r="BO417" s="121"/>
      <c r="BP417" s="121"/>
      <c r="BQ417" s="121"/>
      <c r="BR417" s="121"/>
      <c r="BS417" s="121"/>
      <c r="BT417" s="121"/>
      <c r="BU417" s="121"/>
      <c r="BV417" s="121"/>
      <c r="BW417" s="121"/>
      <c r="BX417" s="121"/>
      <c r="BY417" s="121"/>
      <c r="BZ417" s="121"/>
      <c r="CA417" s="121"/>
      <c r="CB417" s="121"/>
      <c r="CC417" s="121"/>
      <c r="CD417" s="121"/>
      <c r="CE417" s="121"/>
      <c r="CF417" s="121"/>
      <c r="CG417" s="121"/>
      <c r="CH417" s="121"/>
      <c r="CI417" s="121"/>
      <c r="CJ417" s="121"/>
      <c r="CK417" s="121"/>
      <c r="CL417" s="121"/>
      <c r="CM417" s="121"/>
      <c r="CN417" s="121"/>
      <c r="CO417" s="121"/>
      <c r="CP417" s="121"/>
      <c r="CQ417" s="121"/>
      <c r="CR417" s="121"/>
      <c r="CS417" s="121"/>
      <c r="CT417" s="121"/>
    </row>
    <row r="418" spans="52:98" x14ac:dyDescent="0.3">
      <c r="AZ418" s="118"/>
      <c r="BA418" s="118"/>
      <c r="BB418" s="118"/>
      <c r="BC418" s="118"/>
      <c r="BD418" s="118"/>
      <c r="BE418" s="118"/>
      <c r="BF418" s="118"/>
      <c r="BI418" s="125"/>
    </row>
    <row r="419" spans="52:98" x14ac:dyDescent="0.3">
      <c r="AZ419" s="118"/>
      <c r="BA419" s="118"/>
      <c r="BB419" s="118"/>
      <c r="BC419" s="118"/>
      <c r="BD419" s="118"/>
      <c r="BE419" s="118"/>
      <c r="BF419" s="118"/>
    </row>
    <row r="420" spans="52:98" x14ac:dyDescent="0.3">
      <c r="AZ420" s="118"/>
      <c r="BA420" s="118"/>
      <c r="BB420" s="118"/>
      <c r="BC420" s="118"/>
      <c r="BD420" s="118"/>
      <c r="BE420" s="118"/>
      <c r="BF420" s="118"/>
      <c r="BI420" s="132"/>
    </row>
    <row r="421" spans="52:98" x14ac:dyDescent="0.3">
      <c r="AZ421" s="118"/>
      <c r="BA421" s="118"/>
      <c r="BB421" s="118"/>
      <c r="BC421" s="118"/>
      <c r="BD421" s="118"/>
      <c r="BE421" s="118"/>
      <c r="BF421" s="118"/>
    </row>
    <row r="422" spans="52:98" x14ac:dyDescent="0.3">
      <c r="AZ422" s="118"/>
      <c r="BA422" s="118"/>
      <c r="BB422" s="118"/>
      <c r="BC422" s="118"/>
      <c r="BD422" s="118"/>
      <c r="BE422" s="118"/>
      <c r="BF422" s="118"/>
      <c r="BI422" s="132"/>
    </row>
    <row r="423" spans="52:98" x14ac:dyDescent="0.3">
      <c r="AZ423" s="118"/>
      <c r="BA423" s="118"/>
      <c r="BB423" s="118"/>
      <c r="BC423" s="118"/>
      <c r="BD423" s="118"/>
      <c r="BE423" s="118"/>
      <c r="BF423" s="118"/>
    </row>
    <row r="424" spans="52:98" x14ac:dyDescent="0.3">
      <c r="AZ424" s="118"/>
      <c r="BA424" s="118"/>
      <c r="BB424" s="118"/>
      <c r="BC424" s="118"/>
      <c r="BD424" s="118"/>
      <c r="BE424" s="118"/>
      <c r="BF424" s="118"/>
      <c r="BI424" s="132"/>
    </row>
    <row r="425" spans="52:98" x14ac:dyDescent="0.3">
      <c r="AZ425" s="118"/>
      <c r="BA425" s="118"/>
      <c r="BB425" s="118"/>
      <c r="BC425" s="118"/>
      <c r="BD425" s="118"/>
      <c r="BE425" s="118"/>
      <c r="BF425" s="118"/>
    </row>
    <row r="426" spans="52:98" x14ac:dyDescent="0.3">
      <c r="AZ426" s="118"/>
      <c r="BA426" s="118"/>
      <c r="BB426" s="118"/>
      <c r="BC426" s="118"/>
      <c r="BD426" s="118"/>
      <c r="BE426" s="118"/>
      <c r="BF426" s="118"/>
      <c r="BI426" s="132"/>
    </row>
    <row r="427" spans="52:98" x14ac:dyDescent="0.3">
      <c r="AZ427" s="118"/>
      <c r="BA427" s="118"/>
      <c r="BB427" s="118"/>
      <c r="BC427" s="118"/>
      <c r="BD427" s="118"/>
      <c r="BE427" s="118"/>
      <c r="BF427" s="118"/>
    </row>
    <row r="428" spans="52:98" x14ac:dyDescent="0.3">
      <c r="BI428" s="132"/>
    </row>
    <row r="429" spans="52:98" x14ac:dyDescent="0.3">
      <c r="AZ429" s="118"/>
      <c r="BA429" s="118"/>
      <c r="BB429" s="118"/>
      <c r="BC429" s="118"/>
      <c r="BD429" s="118"/>
      <c r="BE429" s="118"/>
      <c r="BF429" s="118"/>
    </row>
    <row r="430" spans="52:98" x14ac:dyDescent="0.3">
      <c r="AZ430" s="118"/>
      <c r="BA430" s="118"/>
      <c r="BB430" s="118"/>
      <c r="BC430" s="118"/>
      <c r="BD430" s="118"/>
      <c r="BE430" s="118"/>
      <c r="BF430" s="118"/>
      <c r="BI430" s="132"/>
    </row>
    <row r="431" spans="52:98" x14ac:dyDescent="0.3">
      <c r="AZ431" s="118"/>
      <c r="BA431" s="118"/>
      <c r="BB431" s="118"/>
      <c r="BC431" s="118"/>
      <c r="BD431" s="118"/>
      <c r="BE431" s="118"/>
      <c r="BF431" s="118"/>
    </row>
    <row r="432" spans="52:98" x14ac:dyDescent="0.3">
      <c r="AZ432" s="118"/>
      <c r="BA432" s="118"/>
      <c r="BB432" s="118"/>
      <c r="BC432" s="118"/>
      <c r="BD432" s="118"/>
      <c r="BE432" s="118"/>
      <c r="BF432" s="118"/>
    </row>
    <row r="433" spans="52:98" x14ac:dyDescent="0.3">
      <c r="AZ433" s="118"/>
      <c r="BA433" s="118"/>
      <c r="BB433" s="118"/>
      <c r="BC433" s="118"/>
      <c r="BD433" s="118"/>
      <c r="BE433" s="118"/>
      <c r="BF433" s="118"/>
      <c r="BI433" s="125"/>
      <c r="BK433" s="121"/>
      <c r="BL433" s="121"/>
      <c r="BM433" s="121"/>
      <c r="BN433" s="121"/>
      <c r="BO433" s="121"/>
      <c r="BP433" s="121"/>
      <c r="BQ433" s="121"/>
      <c r="BR433" s="121"/>
      <c r="BS433" s="121"/>
      <c r="BT433" s="121"/>
      <c r="BU433" s="121"/>
      <c r="BV433" s="121"/>
      <c r="BW433" s="121"/>
      <c r="BX433" s="121"/>
      <c r="BY433" s="121"/>
      <c r="BZ433" s="121"/>
      <c r="CA433" s="121"/>
      <c r="CB433" s="121"/>
      <c r="CC433" s="121"/>
      <c r="CD433" s="121"/>
      <c r="CE433" s="121"/>
      <c r="CF433" s="121"/>
      <c r="CG433" s="121"/>
      <c r="CH433" s="121"/>
      <c r="CI433" s="121"/>
      <c r="CJ433" s="121"/>
      <c r="CK433" s="121"/>
      <c r="CL433" s="121"/>
      <c r="CM433" s="121"/>
      <c r="CN433" s="121"/>
      <c r="CO433" s="121"/>
      <c r="CP433" s="121"/>
      <c r="CQ433" s="121"/>
      <c r="CR433" s="121"/>
      <c r="CS433" s="121"/>
      <c r="CT433" s="121"/>
    </row>
    <row r="434" spans="52:98" x14ac:dyDescent="0.3">
      <c r="AZ434" s="118"/>
      <c r="BA434" s="118"/>
      <c r="BB434" s="118"/>
      <c r="BC434" s="118"/>
      <c r="BD434" s="118"/>
      <c r="BE434" s="118"/>
      <c r="BF434" s="118"/>
      <c r="BI434" s="125"/>
    </row>
    <row r="435" spans="52:98" x14ac:dyDescent="0.3">
      <c r="AZ435" s="118"/>
      <c r="BA435" s="118"/>
      <c r="BB435" s="118"/>
      <c r="BC435" s="118"/>
      <c r="BD435" s="118"/>
      <c r="BE435" s="118"/>
      <c r="BF435" s="118"/>
    </row>
    <row r="436" spans="52:98" x14ac:dyDescent="0.3">
      <c r="AZ436" s="118"/>
      <c r="BA436" s="118"/>
      <c r="BB436" s="118"/>
      <c r="BC436" s="118"/>
      <c r="BD436" s="118"/>
      <c r="BE436" s="118"/>
      <c r="BF436" s="118"/>
      <c r="BI436" s="132"/>
    </row>
    <row r="437" spans="52:98" x14ac:dyDescent="0.3">
      <c r="AZ437" s="118"/>
      <c r="BA437" s="118"/>
      <c r="BB437" s="118"/>
      <c r="BC437" s="118"/>
      <c r="BD437" s="118"/>
      <c r="BE437" s="118"/>
      <c r="BF437" s="118"/>
    </row>
    <row r="438" spans="52:98" x14ac:dyDescent="0.3">
      <c r="AZ438" s="118"/>
      <c r="BA438" s="118"/>
      <c r="BB438" s="118"/>
      <c r="BC438" s="118"/>
      <c r="BD438" s="118"/>
      <c r="BE438" s="118"/>
      <c r="BF438" s="118"/>
      <c r="BI438" s="132"/>
    </row>
    <row r="439" spans="52:98" x14ac:dyDescent="0.3">
      <c r="AZ439" s="118"/>
      <c r="BA439" s="118"/>
      <c r="BB439" s="118"/>
      <c r="BC439" s="118"/>
      <c r="BD439" s="118"/>
      <c r="BE439" s="118"/>
      <c r="BF439" s="118"/>
    </row>
    <row r="440" spans="52:98" x14ac:dyDescent="0.3">
      <c r="AZ440" s="118"/>
      <c r="BA440" s="118"/>
      <c r="BB440" s="118"/>
      <c r="BC440" s="118"/>
      <c r="BD440" s="118"/>
      <c r="BE440" s="118"/>
      <c r="BF440" s="118"/>
      <c r="BI440" s="132"/>
    </row>
    <row r="441" spans="52:98" x14ac:dyDescent="0.3">
      <c r="AZ441" s="118"/>
      <c r="BA441" s="118"/>
      <c r="BB441" s="118"/>
      <c r="BC441" s="118"/>
      <c r="BD441" s="118"/>
      <c r="BE441" s="118"/>
      <c r="BF441" s="118"/>
    </row>
    <row r="442" spans="52:98" x14ac:dyDescent="0.3">
      <c r="AZ442" s="118"/>
      <c r="BA442" s="118"/>
      <c r="BB442" s="118"/>
      <c r="BC442" s="118"/>
      <c r="BD442" s="118"/>
      <c r="BE442" s="118"/>
      <c r="BF442" s="118"/>
      <c r="BI442" s="132"/>
    </row>
    <row r="443" spans="52:98" x14ac:dyDescent="0.3">
      <c r="AZ443" s="118"/>
      <c r="BA443" s="118"/>
      <c r="BB443" s="118"/>
      <c r="BC443" s="118"/>
      <c r="BD443" s="118"/>
      <c r="BE443" s="118"/>
      <c r="BF443" s="118"/>
    </row>
    <row r="444" spans="52:98" x14ac:dyDescent="0.3">
      <c r="BI444" s="132"/>
    </row>
    <row r="445" spans="52:98" x14ac:dyDescent="0.3">
      <c r="AZ445" s="118"/>
      <c r="BA445" s="118"/>
      <c r="BB445" s="118"/>
      <c r="BC445" s="118"/>
      <c r="BD445" s="118"/>
      <c r="BE445" s="118"/>
      <c r="BF445" s="118"/>
    </row>
    <row r="446" spans="52:98" x14ac:dyDescent="0.3">
      <c r="AZ446" s="118"/>
      <c r="BA446" s="118"/>
      <c r="BB446" s="118"/>
      <c r="BC446" s="118"/>
      <c r="BD446" s="118"/>
      <c r="BE446" s="118"/>
      <c r="BF446" s="118"/>
      <c r="BI446" s="132"/>
    </row>
    <row r="447" spans="52:98" x14ac:dyDescent="0.3">
      <c r="AZ447" s="118"/>
      <c r="BA447" s="118"/>
      <c r="BB447" s="118"/>
      <c r="BC447" s="118"/>
      <c r="BD447" s="118"/>
      <c r="BE447" s="118"/>
      <c r="BF447" s="118"/>
    </row>
    <row r="448" spans="52:98" x14ac:dyDescent="0.3">
      <c r="AZ448" s="118"/>
      <c r="BA448" s="118"/>
      <c r="BB448" s="118"/>
      <c r="BC448" s="118"/>
      <c r="BD448" s="118"/>
      <c r="BE448" s="118"/>
      <c r="BF448" s="118"/>
    </row>
    <row r="449" spans="52:98" x14ac:dyDescent="0.3">
      <c r="AZ449" s="118"/>
      <c r="BA449" s="118"/>
      <c r="BB449" s="118"/>
      <c r="BC449" s="118"/>
      <c r="BD449" s="118"/>
      <c r="BE449" s="118"/>
      <c r="BF449" s="118"/>
      <c r="BI449" s="125"/>
      <c r="BK449" s="121"/>
      <c r="BL449" s="121"/>
      <c r="BM449" s="121"/>
      <c r="BN449" s="121"/>
      <c r="BO449" s="121"/>
      <c r="BP449" s="121"/>
      <c r="BQ449" s="121"/>
      <c r="BR449" s="121"/>
      <c r="BS449" s="121"/>
      <c r="BT449" s="121"/>
      <c r="BU449" s="121"/>
      <c r="BV449" s="121"/>
      <c r="BW449" s="121"/>
      <c r="BX449" s="121"/>
      <c r="BY449" s="121"/>
      <c r="BZ449" s="121"/>
      <c r="CA449" s="121"/>
      <c r="CB449" s="121"/>
      <c r="CC449" s="121"/>
      <c r="CD449" s="121"/>
      <c r="CE449" s="121"/>
      <c r="CF449" s="121"/>
      <c r="CG449" s="121"/>
      <c r="CH449" s="121"/>
      <c r="CI449" s="121"/>
      <c r="CJ449" s="121"/>
      <c r="CK449" s="121"/>
      <c r="CL449" s="121"/>
      <c r="CM449" s="121"/>
      <c r="CN449" s="121"/>
      <c r="CO449" s="121"/>
      <c r="CP449" s="121"/>
      <c r="CQ449" s="121"/>
      <c r="CR449" s="121"/>
      <c r="CS449" s="121"/>
      <c r="CT449" s="121"/>
    </row>
    <row r="450" spans="52:98" x14ac:dyDescent="0.3">
      <c r="AZ450" s="118"/>
      <c r="BA450" s="118"/>
      <c r="BB450" s="118"/>
      <c r="BC450" s="118"/>
      <c r="BD450" s="118"/>
      <c r="BE450" s="118"/>
      <c r="BF450" s="118"/>
      <c r="BI450" s="125"/>
    </row>
    <row r="451" spans="52:98" x14ac:dyDescent="0.3">
      <c r="AZ451" s="118"/>
      <c r="BA451" s="118"/>
      <c r="BB451" s="118"/>
      <c r="BC451" s="118"/>
      <c r="BD451" s="118"/>
      <c r="BE451" s="118"/>
      <c r="BF451" s="118"/>
    </row>
    <row r="452" spans="52:98" x14ac:dyDescent="0.3">
      <c r="AZ452" s="118"/>
      <c r="BA452" s="118"/>
      <c r="BB452" s="118"/>
      <c r="BC452" s="118"/>
      <c r="BD452" s="118"/>
      <c r="BE452" s="118"/>
      <c r="BF452" s="118"/>
      <c r="BI452" s="132"/>
    </row>
    <row r="453" spans="52:98" x14ac:dyDescent="0.3">
      <c r="AZ453" s="118"/>
      <c r="BA453" s="118"/>
      <c r="BB453" s="118"/>
      <c r="BC453" s="118"/>
      <c r="BD453" s="118"/>
      <c r="BE453" s="118"/>
      <c r="BF453" s="118"/>
    </row>
    <row r="454" spans="52:98" x14ac:dyDescent="0.3">
      <c r="AZ454" s="118"/>
      <c r="BA454" s="118"/>
      <c r="BB454" s="118"/>
      <c r="BC454" s="118"/>
      <c r="BD454" s="118"/>
      <c r="BE454" s="118"/>
      <c r="BF454" s="118"/>
      <c r="BI454" s="132"/>
    </row>
    <row r="455" spans="52:98" x14ac:dyDescent="0.3">
      <c r="AZ455" s="118"/>
      <c r="BA455" s="118"/>
      <c r="BB455" s="118"/>
      <c r="BC455" s="118"/>
      <c r="BD455" s="118"/>
      <c r="BE455" s="118"/>
      <c r="BF455" s="118"/>
    </row>
    <row r="456" spans="52:98" x14ac:dyDescent="0.3">
      <c r="AZ456" s="118"/>
      <c r="BA456" s="118"/>
      <c r="BB456" s="118"/>
      <c r="BC456" s="118"/>
      <c r="BD456" s="118"/>
      <c r="BE456" s="118"/>
      <c r="BF456" s="118"/>
      <c r="BI456" s="132"/>
    </row>
    <row r="457" spans="52:98" x14ac:dyDescent="0.3">
      <c r="AZ457" s="118"/>
      <c r="BA457" s="118"/>
      <c r="BB457" s="118"/>
      <c r="BC457" s="118"/>
      <c r="BD457" s="118"/>
      <c r="BE457" s="118"/>
      <c r="BF457" s="118"/>
    </row>
    <row r="458" spans="52:98" x14ac:dyDescent="0.3">
      <c r="AZ458" s="118"/>
      <c r="BA458" s="118"/>
      <c r="BB458" s="118"/>
      <c r="BC458" s="118"/>
      <c r="BD458" s="118"/>
      <c r="BE458" s="118"/>
      <c r="BF458" s="118"/>
      <c r="BI458" s="132"/>
    </row>
    <row r="459" spans="52:98" x14ac:dyDescent="0.3">
      <c r="AZ459" s="118"/>
      <c r="BA459" s="118"/>
      <c r="BB459" s="118"/>
      <c r="BC459" s="118"/>
      <c r="BD459" s="118"/>
      <c r="BE459" s="118"/>
      <c r="BF459" s="118"/>
    </row>
    <row r="460" spans="52:98" x14ac:dyDescent="0.3">
      <c r="BI460" s="132"/>
    </row>
    <row r="461" spans="52:98" x14ac:dyDescent="0.3">
      <c r="AZ461" s="118"/>
      <c r="BA461" s="118"/>
      <c r="BB461" s="118"/>
      <c r="BC461" s="118"/>
      <c r="BD461" s="118"/>
      <c r="BE461" s="118"/>
      <c r="BF461" s="118"/>
    </row>
    <row r="462" spans="52:98" x14ac:dyDescent="0.3">
      <c r="AZ462" s="118"/>
      <c r="BA462" s="118"/>
      <c r="BB462" s="118"/>
      <c r="BC462" s="118"/>
      <c r="BD462" s="118"/>
      <c r="BE462" s="118"/>
      <c r="BF462" s="118"/>
      <c r="BI462" s="132"/>
    </row>
    <row r="463" spans="52:98" x14ac:dyDescent="0.3">
      <c r="AZ463" s="118"/>
      <c r="BA463" s="118"/>
      <c r="BB463" s="118"/>
      <c r="BC463" s="118"/>
      <c r="BD463" s="118"/>
      <c r="BE463" s="118"/>
      <c r="BF463" s="118"/>
    </row>
    <row r="464" spans="52:98" x14ac:dyDescent="0.3">
      <c r="AZ464" s="118"/>
      <c r="BA464" s="118"/>
      <c r="BB464" s="118"/>
      <c r="BC464" s="118"/>
      <c r="BD464" s="118"/>
      <c r="BE464" s="118"/>
      <c r="BF464" s="118"/>
    </row>
    <row r="465" spans="52:98" x14ac:dyDescent="0.3">
      <c r="AZ465" s="118"/>
      <c r="BA465" s="118"/>
      <c r="BB465" s="118"/>
      <c r="BC465" s="118"/>
      <c r="BD465" s="118"/>
      <c r="BE465" s="118"/>
      <c r="BF465" s="118"/>
      <c r="BI465" s="125"/>
      <c r="BK465" s="121"/>
      <c r="BL465" s="121"/>
      <c r="BM465" s="121"/>
      <c r="BN465" s="121"/>
      <c r="BO465" s="121"/>
      <c r="BP465" s="121"/>
      <c r="BQ465" s="121"/>
      <c r="BR465" s="121"/>
      <c r="BS465" s="121"/>
      <c r="BT465" s="121"/>
      <c r="BU465" s="121"/>
      <c r="BV465" s="121"/>
      <c r="BW465" s="121"/>
      <c r="BX465" s="121"/>
      <c r="BY465" s="121"/>
      <c r="BZ465" s="121"/>
      <c r="CA465" s="121"/>
      <c r="CB465" s="121"/>
      <c r="CC465" s="121"/>
      <c r="CD465" s="121"/>
      <c r="CE465" s="121"/>
      <c r="CF465" s="121"/>
      <c r="CG465" s="121"/>
      <c r="CH465" s="121"/>
      <c r="CI465" s="121"/>
      <c r="CJ465" s="121"/>
      <c r="CK465" s="121"/>
      <c r="CL465" s="121"/>
      <c r="CM465" s="121"/>
      <c r="CN465" s="121"/>
      <c r="CO465" s="121"/>
      <c r="CP465" s="121"/>
      <c r="CQ465" s="121"/>
      <c r="CR465" s="121"/>
      <c r="CS465" s="121"/>
      <c r="CT465" s="121"/>
    </row>
    <row r="466" spans="52:98" x14ac:dyDescent="0.3">
      <c r="AZ466" s="118"/>
      <c r="BA466" s="118"/>
      <c r="BB466" s="118"/>
      <c r="BC466" s="118"/>
      <c r="BD466" s="118"/>
      <c r="BE466" s="118"/>
      <c r="BF466" s="118"/>
      <c r="BI466" s="125"/>
    </row>
    <row r="467" spans="52:98" x14ac:dyDescent="0.3">
      <c r="AZ467" s="118"/>
      <c r="BA467" s="118"/>
      <c r="BB467" s="118"/>
      <c r="BC467" s="118"/>
      <c r="BD467" s="118"/>
      <c r="BE467" s="118"/>
      <c r="BF467" s="118"/>
    </row>
    <row r="468" spans="52:98" x14ac:dyDescent="0.3">
      <c r="AZ468" s="118"/>
      <c r="BA468" s="118"/>
      <c r="BB468" s="118"/>
      <c r="BC468" s="118"/>
      <c r="BD468" s="118"/>
      <c r="BE468" s="118"/>
      <c r="BF468" s="118"/>
      <c r="BI468" s="132"/>
    </row>
    <row r="469" spans="52:98" x14ac:dyDescent="0.3">
      <c r="AZ469" s="118"/>
      <c r="BA469" s="118"/>
      <c r="BB469" s="118"/>
      <c r="BC469" s="118"/>
      <c r="BD469" s="118"/>
      <c r="BE469" s="118"/>
      <c r="BF469" s="118"/>
    </row>
    <row r="470" spans="52:98" x14ac:dyDescent="0.3">
      <c r="AZ470" s="118"/>
      <c r="BA470" s="118"/>
      <c r="BB470" s="118"/>
      <c r="BC470" s="118"/>
      <c r="BD470" s="118"/>
      <c r="BE470" s="118"/>
      <c r="BF470" s="118"/>
      <c r="BI470" s="132"/>
    </row>
    <row r="471" spans="52:98" x14ac:dyDescent="0.3">
      <c r="AZ471" s="118"/>
      <c r="BA471" s="118"/>
      <c r="BB471" s="118"/>
      <c r="BC471" s="118"/>
      <c r="BD471" s="118"/>
      <c r="BE471" s="118"/>
      <c r="BF471" s="118"/>
    </row>
    <row r="472" spans="52:98" x14ac:dyDescent="0.3">
      <c r="AZ472" s="118"/>
      <c r="BA472" s="118"/>
      <c r="BB472" s="118"/>
      <c r="BC472" s="118"/>
      <c r="BD472" s="118"/>
      <c r="BE472" s="118"/>
      <c r="BF472" s="118"/>
      <c r="BI472" s="132"/>
    </row>
    <row r="473" spans="52:98" x14ac:dyDescent="0.3">
      <c r="AZ473" s="118"/>
      <c r="BA473" s="118"/>
      <c r="BB473" s="118"/>
      <c r="BC473" s="118"/>
      <c r="BD473" s="118"/>
      <c r="BE473" s="118"/>
      <c r="BF473" s="118"/>
    </row>
    <row r="474" spans="52:98" x14ac:dyDescent="0.3">
      <c r="AZ474" s="118"/>
      <c r="BA474" s="118"/>
      <c r="BB474" s="118"/>
      <c r="BC474" s="118"/>
      <c r="BD474" s="118"/>
      <c r="BE474" s="118"/>
      <c r="BF474" s="118"/>
      <c r="BI474" s="132"/>
    </row>
    <row r="475" spans="52:98" x14ac:dyDescent="0.3">
      <c r="AZ475" s="118"/>
      <c r="BA475" s="118"/>
      <c r="BB475" s="118"/>
      <c r="BC475" s="118"/>
      <c r="BD475" s="118"/>
      <c r="BE475" s="118"/>
      <c r="BF475" s="118"/>
    </row>
    <row r="476" spans="52:98" x14ac:dyDescent="0.3">
      <c r="BI476" s="132"/>
    </row>
    <row r="477" spans="52:98" x14ac:dyDescent="0.3">
      <c r="AZ477" s="118"/>
      <c r="BA477" s="118"/>
      <c r="BB477" s="118"/>
      <c r="BC477" s="118"/>
      <c r="BD477" s="118"/>
      <c r="BE477" s="118"/>
      <c r="BF477" s="118"/>
    </row>
    <row r="478" spans="52:98" x14ac:dyDescent="0.3">
      <c r="AZ478" s="118"/>
      <c r="BA478" s="118"/>
      <c r="BB478" s="118"/>
      <c r="BC478" s="118"/>
      <c r="BD478" s="118"/>
      <c r="BE478" s="118"/>
      <c r="BF478" s="118"/>
      <c r="BI478" s="132"/>
    </row>
    <row r="479" spans="52:98" x14ac:dyDescent="0.3">
      <c r="AZ479" s="118"/>
      <c r="BA479" s="118"/>
      <c r="BB479" s="118"/>
      <c r="BC479" s="118"/>
      <c r="BD479" s="118"/>
      <c r="BE479" s="118"/>
      <c r="BF479" s="118"/>
    </row>
    <row r="480" spans="52:98" x14ac:dyDescent="0.3">
      <c r="AZ480" s="118"/>
      <c r="BA480" s="118"/>
      <c r="BB480" s="118"/>
      <c r="BC480" s="118"/>
      <c r="BD480" s="118"/>
      <c r="BE480" s="118"/>
      <c r="BF480" s="118"/>
    </row>
    <row r="481" spans="52:98" x14ac:dyDescent="0.3">
      <c r="AZ481" s="118"/>
      <c r="BA481" s="118"/>
      <c r="BB481" s="118"/>
      <c r="BC481" s="118"/>
      <c r="BD481" s="118"/>
      <c r="BE481" s="118"/>
      <c r="BF481" s="118"/>
      <c r="BI481" s="125"/>
      <c r="BK481" s="121"/>
      <c r="BL481" s="121"/>
      <c r="BM481" s="121"/>
      <c r="BN481" s="121"/>
      <c r="BO481" s="121"/>
      <c r="BP481" s="121"/>
      <c r="BQ481" s="121"/>
      <c r="BR481" s="121"/>
      <c r="BS481" s="121"/>
      <c r="BT481" s="121"/>
      <c r="BU481" s="121"/>
      <c r="BV481" s="121"/>
      <c r="BW481" s="121"/>
      <c r="BX481" s="121"/>
      <c r="BY481" s="121"/>
      <c r="BZ481" s="121"/>
      <c r="CA481" s="121"/>
      <c r="CB481" s="121"/>
      <c r="CC481" s="121"/>
      <c r="CD481" s="121"/>
      <c r="CE481" s="121"/>
      <c r="CF481" s="121"/>
      <c r="CG481" s="121"/>
      <c r="CH481" s="121"/>
      <c r="CI481" s="121"/>
      <c r="CJ481" s="121"/>
      <c r="CK481" s="121"/>
      <c r="CL481" s="121"/>
      <c r="CM481" s="121"/>
      <c r="CN481" s="121"/>
      <c r="CO481" s="121"/>
      <c r="CP481" s="121"/>
      <c r="CQ481" s="121"/>
      <c r="CR481" s="121"/>
      <c r="CS481" s="121"/>
      <c r="CT481" s="121"/>
    </row>
    <row r="482" spans="52:98" x14ac:dyDescent="0.3">
      <c r="AZ482" s="118"/>
      <c r="BA482" s="118"/>
      <c r="BB482" s="118"/>
      <c r="BC482" s="118"/>
      <c r="BD482" s="118"/>
      <c r="BE482" s="118"/>
      <c r="BF482" s="118"/>
      <c r="BI482" s="125"/>
    </row>
    <row r="483" spans="52:98" x14ac:dyDescent="0.3">
      <c r="AZ483" s="118"/>
      <c r="BA483" s="118"/>
      <c r="BB483" s="118"/>
      <c r="BC483" s="118"/>
      <c r="BD483" s="118"/>
      <c r="BE483" s="118"/>
      <c r="BF483" s="118"/>
    </row>
    <row r="484" spans="52:98" x14ac:dyDescent="0.3">
      <c r="AZ484" s="118"/>
      <c r="BA484" s="118"/>
      <c r="BB484" s="118"/>
      <c r="BC484" s="118"/>
      <c r="BD484" s="118"/>
      <c r="BE484" s="118"/>
      <c r="BF484" s="118"/>
      <c r="BI484" s="132"/>
    </row>
    <row r="485" spans="52:98" x14ac:dyDescent="0.3">
      <c r="AZ485" s="118"/>
      <c r="BA485" s="118"/>
      <c r="BB485" s="118"/>
      <c r="BC485" s="118"/>
      <c r="BD485" s="118"/>
      <c r="BE485" s="118"/>
      <c r="BF485" s="118"/>
    </row>
    <row r="486" spans="52:98" x14ac:dyDescent="0.3">
      <c r="AZ486" s="118"/>
      <c r="BA486" s="118"/>
      <c r="BB486" s="118"/>
      <c r="BC486" s="118"/>
      <c r="BD486" s="118"/>
      <c r="BE486" s="118"/>
      <c r="BF486" s="118"/>
      <c r="BI486" s="132"/>
    </row>
    <row r="487" spans="52:98" x14ac:dyDescent="0.3">
      <c r="AZ487" s="118"/>
      <c r="BA487" s="118"/>
      <c r="BB487" s="118"/>
      <c r="BC487" s="118"/>
      <c r="BD487" s="118"/>
      <c r="BE487" s="118"/>
      <c r="BF487" s="118"/>
    </row>
    <row r="488" spans="52:98" x14ac:dyDescent="0.3">
      <c r="AZ488" s="118"/>
      <c r="BA488" s="118"/>
      <c r="BB488" s="118"/>
      <c r="BC488" s="118"/>
      <c r="BD488" s="118"/>
      <c r="BE488" s="118"/>
      <c r="BF488" s="118"/>
      <c r="BI488" s="132"/>
    </row>
    <row r="489" spans="52:98" x14ac:dyDescent="0.3">
      <c r="AZ489" s="118"/>
      <c r="BA489" s="118"/>
      <c r="BB489" s="118"/>
      <c r="BC489" s="118"/>
      <c r="BD489" s="118"/>
      <c r="BE489" s="118"/>
      <c r="BF489" s="118"/>
    </row>
    <row r="490" spans="52:98" x14ac:dyDescent="0.3">
      <c r="AZ490" s="118"/>
      <c r="BA490" s="118"/>
      <c r="BB490" s="118"/>
      <c r="BC490" s="118"/>
      <c r="BD490" s="118"/>
      <c r="BE490" s="118"/>
      <c r="BF490" s="118"/>
      <c r="BI490" s="132"/>
    </row>
    <row r="491" spans="52:98" x14ac:dyDescent="0.3">
      <c r="AZ491" s="118"/>
      <c r="BA491" s="118"/>
      <c r="BB491" s="118"/>
      <c r="BC491" s="118"/>
      <c r="BD491" s="118"/>
      <c r="BE491" s="118"/>
      <c r="BF491" s="118"/>
    </row>
    <row r="492" spans="52:98" x14ac:dyDescent="0.3">
      <c r="BI492" s="132"/>
    </row>
    <row r="493" spans="52:98" x14ac:dyDescent="0.3">
      <c r="AZ493" s="118"/>
      <c r="BA493" s="118"/>
      <c r="BB493" s="118"/>
      <c r="BC493" s="118"/>
      <c r="BD493" s="118"/>
      <c r="BE493" s="118"/>
      <c r="BF493" s="118"/>
    </row>
    <row r="494" spans="52:98" x14ac:dyDescent="0.3">
      <c r="AZ494" s="118"/>
      <c r="BA494" s="118"/>
      <c r="BB494" s="118"/>
      <c r="BC494" s="118"/>
      <c r="BD494" s="118"/>
      <c r="BE494" s="118"/>
      <c r="BF494" s="118"/>
      <c r="BI494" s="132"/>
    </row>
    <row r="495" spans="52:98" x14ac:dyDescent="0.3">
      <c r="AZ495" s="118"/>
      <c r="BA495" s="118"/>
      <c r="BB495" s="118"/>
      <c r="BC495" s="118"/>
      <c r="BD495" s="118"/>
      <c r="BE495" s="118"/>
      <c r="BF495" s="118"/>
    </row>
    <row r="496" spans="52:98" x14ac:dyDescent="0.3">
      <c r="AZ496" s="118"/>
      <c r="BA496" s="118"/>
      <c r="BB496" s="118"/>
      <c r="BC496" s="118"/>
      <c r="BD496" s="118"/>
      <c r="BE496" s="118"/>
      <c r="BF496" s="118"/>
    </row>
    <row r="497" spans="52:98" x14ac:dyDescent="0.3">
      <c r="AZ497" s="118"/>
      <c r="BA497" s="118"/>
      <c r="BB497" s="118"/>
      <c r="BC497" s="118"/>
      <c r="BD497" s="118"/>
      <c r="BE497" s="118"/>
      <c r="BF497" s="118"/>
      <c r="BI497" s="125"/>
      <c r="BK497" s="121"/>
      <c r="BL497" s="121"/>
      <c r="BM497" s="121"/>
      <c r="BN497" s="121"/>
      <c r="BO497" s="121"/>
      <c r="BP497" s="121"/>
      <c r="BQ497" s="121"/>
      <c r="BR497" s="121"/>
      <c r="BS497" s="121"/>
      <c r="BT497" s="121"/>
      <c r="BU497" s="121"/>
      <c r="BV497" s="121"/>
      <c r="BW497" s="121"/>
      <c r="BX497" s="121"/>
      <c r="BY497" s="121"/>
      <c r="BZ497" s="121"/>
      <c r="CA497" s="121"/>
      <c r="CB497" s="121"/>
      <c r="CC497" s="121"/>
      <c r="CD497" s="121"/>
      <c r="CE497" s="121"/>
      <c r="CF497" s="121"/>
      <c r="CG497" s="121"/>
      <c r="CH497" s="121"/>
      <c r="CI497" s="121"/>
      <c r="CJ497" s="121"/>
      <c r="CK497" s="121"/>
      <c r="CL497" s="121"/>
      <c r="CM497" s="121"/>
      <c r="CN497" s="121"/>
      <c r="CO497" s="121"/>
      <c r="CP497" s="121"/>
      <c r="CQ497" s="121"/>
      <c r="CR497" s="121"/>
      <c r="CS497" s="121"/>
      <c r="CT497" s="121"/>
    </row>
    <row r="498" spans="52:98" x14ac:dyDescent="0.3">
      <c r="AZ498" s="118"/>
      <c r="BA498" s="118"/>
      <c r="BB498" s="118"/>
      <c r="BC498" s="118"/>
      <c r="BD498" s="118"/>
      <c r="BE498" s="118"/>
      <c r="BF498" s="118"/>
      <c r="BI498" s="125"/>
    </row>
    <row r="499" spans="52:98" x14ac:dyDescent="0.3">
      <c r="AZ499" s="118"/>
      <c r="BA499" s="118"/>
      <c r="BB499" s="118"/>
      <c r="BC499" s="118"/>
      <c r="BD499" s="118"/>
      <c r="BE499" s="118"/>
      <c r="BF499" s="118"/>
    </row>
    <row r="500" spans="52:98" x14ac:dyDescent="0.3">
      <c r="AZ500" s="118"/>
      <c r="BA500" s="118"/>
      <c r="BB500" s="118"/>
      <c r="BC500" s="118"/>
      <c r="BD500" s="118"/>
      <c r="BE500" s="118"/>
      <c r="BF500" s="118"/>
      <c r="BI500" s="132"/>
    </row>
    <row r="501" spans="52:98" x14ac:dyDescent="0.3">
      <c r="AZ501" s="118"/>
      <c r="BA501" s="118"/>
      <c r="BB501" s="118"/>
      <c r="BC501" s="118"/>
      <c r="BD501" s="118"/>
      <c r="BE501" s="118"/>
      <c r="BF501" s="118"/>
    </row>
    <row r="502" spans="52:98" x14ac:dyDescent="0.3">
      <c r="AZ502" s="118"/>
      <c r="BA502" s="118"/>
      <c r="BB502" s="118"/>
      <c r="BC502" s="118"/>
      <c r="BD502" s="118"/>
      <c r="BE502" s="118"/>
      <c r="BF502" s="118"/>
      <c r="BI502" s="132"/>
    </row>
    <row r="503" spans="52:98" x14ac:dyDescent="0.3">
      <c r="AZ503" s="118"/>
      <c r="BA503" s="118"/>
      <c r="BB503" s="118"/>
      <c r="BC503" s="118"/>
      <c r="BD503" s="118"/>
      <c r="BE503" s="118"/>
      <c r="BF503" s="118"/>
    </row>
    <row r="504" spans="52:98" x14ac:dyDescent="0.3">
      <c r="AZ504" s="118"/>
      <c r="BA504" s="118"/>
      <c r="BB504" s="118"/>
      <c r="BC504" s="118"/>
      <c r="BD504" s="118"/>
      <c r="BE504" s="118"/>
      <c r="BF504" s="118"/>
      <c r="BI504" s="132"/>
    </row>
    <row r="505" spans="52:98" x14ac:dyDescent="0.3">
      <c r="AZ505" s="118"/>
      <c r="BA505" s="118"/>
      <c r="BB505" s="118"/>
      <c r="BC505" s="118"/>
      <c r="BD505" s="118"/>
      <c r="BE505" s="118"/>
      <c r="BF505" s="118"/>
    </row>
    <row r="506" spans="52:98" x14ac:dyDescent="0.3">
      <c r="AZ506" s="118"/>
      <c r="BA506" s="118"/>
      <c r="BB506" s="118"/>
      <c r="BC506" s="118"/>
      <c r="BD506" s="118"/>
      <c r="BE506" s="118"/>
      <c r="BF506" s="118"/>
      <c r="BI506" s="132"/>
    </row>
    <row r="507" spans="52:98" x14ac:dyDescent="0.3">
      <c r="AZ507" s="118"/>
      <c r="BA507" s="118"/>
      <c r="BB507" s="118"/>
      <c r="BC507" s="118"/>
      <c r="BD507" s="118"/>
      <c r="BE507" s="118"/>
      <c r="BF507" s="118"/>
    </row>
    <row r="508" spans="52:98" x14ac:dyDescent="0.3">
      <c r="BI508" s="132"/>
    </row>
    <row r="509" spans="52:98" x14ac:dyDescent="0.3">
      <c r="AZ509" s="118"/>
      <c r="BA509" s="118"/>
      <c r="BB509" s="118"/>
      <c r="BC509" s="118"/>
      <c r="BD509" s="118"/>
      <c r="BE509" s="118"/>
      <c r="BF509" s="118"/>
    </row>
    <row r="510" spans="52:98" x14ac:dyDescent="0.3">
      <c r="AZ510" s="118"/>
      <c r="BA510" s="118"/>
      <c r="BB510" s="118"/>
      <c r="BC510" s="118"/>
      <c r="BD510" s="118"/>
      <c r="BE510" s="118"/>
      <c r="BF510" s="118"/>
      <c r="BI510" s="132"/>
    </row>
    <row r="511" spans="52:98" x14ac:dyDescent="0.3">
      <c r="AZ511" s="118"/>
      <c r="BA511" s="118"/>
      <c r="BB511" s="118"/>
      <c r="BC511" s="118"/>
      <c r="BD511" s="118"/>
      <c r="BE511" s="118"/>
      <c r="BF511" s="118"/>
    </row>
    <row r="512" spans="52:98" x14ac:dyDescent="0.3">
      <c r="AZ512" s="118"/>
      <c r="BA512" s="118"/>
      <c r="BB512" s="118"/>
      <c r="BC512" s="118"/>
      <c r="BD512" s="118"/>
      <c r="BE512" s="118"/>
      <c r="BF512" s="118"/>
    </row>
    <row r="513" spans="52:98" x14ac:dyDescent="0.3">
      <c r="AZ513" s="118"/>
      <c r="BA513" s="118"/>
      <c r="BB513" s="118"/>
      <c r="BC513" s="118"/>
      <c r="BD513" s="118"/>
      <c r="BE513" s="118"/>
      <c r="BF513" s="118"/>
      <c r="BI513" s="125"/>
      <c r="BK513" s="121"/>
      <c r="BL513" s="121"/>
      <c r="BM513" s="121"/>
      <c r="BN513" s="121"/>
      <c r="BO513" s="121"/>
      <c r="BP513" s="121"/>
      <c r="BQ513" s="121"/>
      <c r="BR513" s="121"/>
      <c r="BS513" s="121"/>
      <c r="BT513" s="121"/>
      <c r="BU513" s="121"/>
      <c r="BV513" s="121"/>
      <c r="BW513" s="121"/>
      <c r="BX513" s="121"/>
      <c r="BY513" s="121"/>
      <c r="BZ513" s="121"/>
      <c r="CA513" s="121"/>
      <c r="CB513" s="121"/>
      <c r="CC513" s="121"/>
      <c r="CD513" s="121"/>
      <c r="CE513" s="121"/>
      <c r="CF513" s="121"/>
      <c r="CG513" s="121"/>
      <c r="CH513" s="121"/>
      <c r="CI513" s="121"/>
      <c r="CJ513" s="121"/>
      <c r="CK513" s="121"/>
      <c r="CL513" s="121"/>
      <c r="CM513" s="121"/>
      <c r="CN513" s="121"/>
      <c r="CO513" s="121"/>
      <c r="CP513" s="121"/>
      <c r="CQ513" s="121"/>
      <c r="CR513" s="121"/>
      <c r="CS513" s="121"/>
      <c r="CT513" s="121"/>
    </row>
    <row r="514" spans="52:98" x14ac:dyDescent="0.3">
      <c r="AZ514" s="118"/>
      <c r="BA514" s="118"/>
      <c r="BB514" s="118"/>
      <c r="BC514" s="118"/>
      <c r="BD514" s="118"/>
      <c r="BE514" s="118"/>
      <c r="BF514" s="118"/>
      <c r="BI514" s="125"/>
    </row>
    <row r="515" spans="52:98" x14ac:dyDescent="0.3">
      <c r="AZ515" s="118"/>
      <c r="BA515" s="118"/>
      <c r="BB515" s="118"/>
      <c r="BC515" s="118"/>
      <c r="BD515" s="118"/>
      <c r="BE515" s="118"/>
      <c r="BF515" s="118"/>
    </row>
    <row r="516" spans="52:98" x14ac:dyDescent="0.3">
      <c r="AZ516" s="118"/>
      <c r="BA516" s="118"/>
      <c r="BB516" s="118"/>
      <c r="BC516" s="118"/>
      <c r="BD516" s="118"/>
      <c r="BE516" s="118"/>
      <c r="BF516" s="118"/>
      <c r="BI516" s="132"/>
    </row>
    <row r="517" spans="52:98" x14ac:dyDescent="0.3">
      <c r="AZ517" s="118"/>
      <c r="BA517" s="118"/>
      <c r="BB517" s="118"/>
      <c r="BC517" s="118"/>
      <c r="BD517" s="118"/>
      <c r="BE517" s="118"/>
      <c r="BF517" s="118"/>
    </row>
    <row r="518" spans="52:98" x14ac:dyDescent="0.3">
      <c r="AZ518" s="118"/>
      <c r="BA518" s="118"/>
      <c r="BB518" s="118"/>
      <c r="BC518" s="118"/>
      <c r="BD518" s="118"/>
      <c r="BE518" s="118"/>
      <c r="BF518" s="118"/>
      <c r="BI518" s="132"/>
    </row>
    <row r="519" spans="52:98" x14ac:dyDescent="0.3">
      <c r="AZ519" s="118"/>
      <c r="BA519" s="118"/>
      <c r="BB519" s="118"/>
      <c r="BC519" s="118"/>
      <c r="BD519" s="118"/>
      <c r="BE519" s="118"/>
      <c r="BF519" s="118"/>
    </row>
    <row r="520" spans="52:98" x14ac:dyDescent="0.3">
      <c r="AZ520" s="118"/>
      <c r="BA520" s="118"/>
      <c r="BB520" s="118"/>
      <c r="BC520" s="118"/>
      <c r="BD520" s="118"/>
      <c r="BE520" s="118"/>
      <c r="BF520" s="118"/>
      <c r="BI520" s="132"/>
    </row>
    <row r="521" spans="52:98" x14ac:dyDescent="0.3">
      <c r="AZ521" s="118"/>
      <c r="BA521" s="118"/>
      <c r="BB521" s="118"/>
      <c r="BC521" s="118"/>
      <c r="BD521" s="118"/>
      <c r="BE521" s="118"/>
      <c r="BF521" s="118"/>
    </row>
    <row r="522" spans="52:98" x14ac:dyDescent="0.3">
      <c r="AZ522" s="118"/>
      <c r="BA522" s="118"/>
      <c r="BB522" s="118"/>
      <c r="BC522" s="118"/>
      <c r="BD522" s="118"/>
      <c r="BE522" s="118"/>
      <c r="BF522" s="118"/>
    </row>
    <row r="523" spans="52:98" x14ac:dyDescent="0.3">
      <c r="AZ523" s="118"/>
      <c r="BA523" s="118"/>
      <c r="BB523" s="118"/>
      <c r="BC523" s="118"/>
      <c r="BD523" s="118"/>
      <c r="BE523" s="118"/>
      <c r="BF523" s="118"/>
    </row>
    <row r="525" spans="52:98" x14ac:dyDescent="0.3">
      <c r="AZ525" s="118"/>
      <c r="BA525" s="118"/>
      <c r="BB525" s="118"/>
      <c r="BC525" s="118"/>
      <c r="BD525" s="118"/>
      <c r="BE525" s="118"/>
      <c r="BF525" s="118"/>
    </row>
    <row r="526" spans="52:98" x14ac:dyDescent="0.3">
      <c r="AZ526" s="118"/>
      <c r="BA526" s="118"/>
      <c r="BB526" s="118"/>
      <c r="BC526" s="118"/>
      <c r="BD526" s="118"/>
      <c r="BE526" s="118"/>
      <c r="BF526" s="118"/>
    </row>
    <row r="527" spans="52:98" x14ac:dyDescent="0.3">
      <c r="AZ527" s="118"/>
      <c r="BA527" s="118"/>
      <c r="BB527" s="118"/>
      <c r="BC527" s="118"/>
      <c r="BD527" s="118"/>
      <c r="BE527" s="118"/>
      <c r="BF527" s="118"/>
    </row>
    <row r="528" spans="52:98" x14ac:dyDescent="0.3">
      <c r="AZ528" s="118"/>
      <c r="BA528" s="118"/>
      <c r="BB528" s="118"/>
      <c r="BC528" s="118"/>
      <c r="BD528" s="118"/>
      <c r="BE528" s="118"/>
      <c r="BF528" s="118"/>
    </row>
    <row r="529" spans="52:98" x14ac:dyDescent="0.3">
      <c r="AZ529" s="118"/>
      <c r="BA529" s="118"/>
      <c r="BB529" s="118"/>
      <c r="BC529" s="118"/>
      <c r="BD529" s="118"/>
      <c r="BE529" s="118"/>
      <c r="BF529" s="118"/>
      <c r="BI529" s="125"/>
      <c r="BK529" s="121"/>
      <c r="BL529" s="121"/>
      <c r="BM529" s="121"/>
      <c r="BN529" s="121"/>
      <c r="BO529" s="121"/>
      <c r="BP529" s="121"/>
      <c r="BQ529" s="121"/>
      <c r="BR529" s="121"/>
      <c r="BS529" s="121"/>
      <c r="BT529" s="121"/>
      <c r="BU529" s="121"/>
      <c r="BV529" s="121"/>
      <c r="BW529" s="121"/>
      <c r="BX529" s="121"/>
      <c r="BY529" s="121"/>
      <c r="BZ529" s="121"/>
      <c r="CA529" s="121"/>
      <c r="CB529" s="121"/>
      <c r="CC529" s="121"/>
      <c r="CD529" s="121"/>
      <c r="CE529" s="121"/>
      <c r="CF529" s="121"/>
      <c r="CG529" s="121"/>
      <c r="CH529" s="121"/>
      <c r="CI529" s="121"/>
      <c r="CJ529" s="121"/>
      <c r="CK529" s="121"/>
      <c r="CL529" s="121"/>
      <c r="CM529" s="121"/>
      <c r="CN529" s="121"/>
      <c r="CO529" s="121"/>
      <c r="CP529" s="121"/>
      <c r="CQ529" s="121"/>
      <c r="CR529" s="121"/>
      <c r="CS529" s="121"/>
      <c r="CT529" s="121"/>
    </row>
    <row r="530" spans="52:98" x14ac:dyDescent="0.3">
      <c r="AZ530" s="118"/>
      <c r="BA530" s="118"/>
      <c r="BB530" s="118"/>
      <c r="BC530" s="118"/>
      <c r="BD530" s="118"/>
      <c r="BE530" s="118"/>
      <c r="BF530" s="118"/>
      <c r="BI530" s="125"/>
    </row>
    <row r="531" spans="52:98" x14ac:dyDescent="0.3">
      <c r="AZ531" s="118"/>
      <c r="BA531" s="118"/>
      <c r="BB531" s="118"/>
      <c r="BC531" s="118"/>
      <c r="BD531" s="118"/>
      <c r="BE531" s="118"/>
      <c r="BF531" s="118"/>
    </row>
    <row r="532" spans="52:98" x14ac:dyDescent="0.3">
      <c r="AZ532" s="118"/>
      <c r="BA532" s="118"/>
      <c r="BB532" s="118"/>
      <c r="BC532" s="118"/>
      <c r="BD532" s="118"/>
      <c r="BE532" s="118"/>
      <c r="BF532" s="118"/>
      <c r="BI532" s="132"/>
    </row>
    <row r="533" spans="52:98" x14ac:dyDescent="0.3">
      <c r="AZ533" s="118"/>
      <c r="BA533" s="118"/>
      <c r="BB533" s="118"/>
      <c r="BC533" s="118"/>
      <c r="BD533" s="118"/>
      <c r="BE533" s="118"/>
      <c r="BF533" s="118"/>
    </row>
    <row r="534" spans="52:98" x14ac:dyDescent="0.3">
      <c r="AZ534" s="118"/>
      <c r="BA534" s="118"/>
      <c r="BB534" s="118"/>
      <c r="BC534" s="118"/>
      <c r="BD534" s="118"/>
      <c r="BE534" s="118"/>
      <c r="BF534" s="118"/>
      <c r="BI534" s="132"/>
    </row>
    <row r="535" spans="52:98" x14ac:dyDescent="0.3">
      <c r="AZ535" s="118"/>
      <c r="BA535" s="118"/>
      <c r="BB535" s="118"/>
      <c r="BC535" s="118"/>
      <c r="BD535" s="118"/>
      <c r="BE535" s="118"/>
      <c r="BF535" s="118"/>
    </row>
    <row r="536" spans="52:98" x14ac:dyDescent="0.3">
      <c r="AZ536" s="118"/>
      <c r="BA536" s="118"/>
      <c r="BB536" s="118"/>
      <c r="BC536" s="118"/>
      <c r="BD536" s="118"/>
      <c r="BE536" s="118"/>
      <c r="BF536" s="118"/>
      <c r="BI536" s="132"/>
    </row>
    <row r="537" spans="52:98" x14ac:dyDescent="0.3">
      <c r="AZ537" s="118"/>
      <c r="BA537" s="118"/>
      <c r="BB537" s="118"/>
      <c r="BC537" s="118"/>
      <c r="BD537" s="118"/>
      <c r="BE537" s="118"/>
      <c r="BF537" s="118"/>
    </row>
    <row r="538" spans="52:98" x14ac:dyDescent="0.3">
      <c r="AZ538" s="118"/>
      <c r="BA538" s="118"/>
      <c r="BB538" s="118"/>
      <c r="BC538" s="118"/>
      <c r="BD538" s="118"/>
      <c r="BE538" s="118"/>
      <c r="BF538" s="118"/>
      <c r="BI538" s="132"/>
    </row>
    <row r="539" spans="52:98" x14ac:dyDescent="0.3">
      <c r="AZ539" s="118"/>
      <c r="BA539" s="118"/>
      <c r="BB539" s="118"/>
      <c r="BC539" s="118"/>
      <c r="BD539" s="118"/>
      <c r="BE539" s="118"/>
      <c r="BF539" s="118"/>
    </row>
    <row r="540" spans="52:98" x14ac:dyDescent="0.3">
      <c r="BI540" s="132"/>
    </row>
    <row r="541" spans="52:98" x14ac:dyDescent="0.3">
      <c r="AZ541" s="118"/>
      <c r="BA541" s="118"/>
      <c r="BB541" s="118"/>
      <c r="BC541" s="118"/>
      <c r="BD541" s="118"/>
      <c r="BE541" s="118"/>
      <c r="BF541" s="118"/>
    </row>
    <row r="542" spans="52:98" x14ac:dyDescent="0.3">
      <c r="AZ542" s="118"/>
      <c r="BA542" s="118"/>
      <c r="BB542" s="118"/>
      <c r="BC542" s="118"/>
      <c r="BD542" s="118"/>
      <c r="BE542" s="118"/>
      <c r="BF542" s="118"/>
      <c r="BI542" s="132"/>
    </row>
    <row r="543" spans="52:98" x14ac:dyDescent="0.3">
      <c r="AZ543" s="118"/>
      <c r="BA543" s="118"/>
      <c r="BB543" s="118"/>
      <c r="BC543" s="118"/>
      <c r="BD543" s="118"/>
      <c r="BE543" s="118"/>
      <c r="BF543" s="118"/>
    </row>
    <row r="544" spans="52:98" x14ac:dyDescent="0.3">
      <c r="AZ544" s="118"/>
      <c r="BA544" s="118"/>
      <c r="BB544" s="118"/>
      <c r="BC544" s="118"/>
      <c r="BD544" s="118"/>
      <c r="BE544" s="118"/>
      <c r="BF544" s="118"/>
    </row>
    <row r="545" spans="52:98" x14ac:dyDescent="0.3">
      <c r="AZ545" s="118"/>
      <c r="BA545" s="118"/>
      <c r="BB545" s="118"/>
      <c r="BC545" s="118"/>
      <c r="BD545" s="118"/>
      <c r="BE545" s="118"/>
      <c r="BF545" s="118"/>
      <c r="BI545" s="125"/>
      <c r="BK545" s="121"/>
      <c r="BL545" s="121"/>
      <c r="BM545" s="121"/>
      <c r="BN545" s="121"/>
      <c r="BO545" s="121"/>
      <c r="BP545" s="121"/>
      <c r="BQ545" s="121"/>
      <c r="BR545" s="121"/>
      <c r="BS545" s="121"/>
      <c r="BT545" s="121"/>
      <c r="BU545" s="121"/>
      <c r="BV545" s="121"/>
      <c r="BW545" s="121"/>
      <c r="BX545" s="121"/>
      <c r="BY545" s="121"/>
      <c r="BZ545" s="121"/>
      <c r="CA545" s="121"/>
      <c r="CB545" s="121"/>
      <c r="CC545" s="121"/>
      <c r="CD545" s="121"/>
      <c r="CE545" s="121"/>
      <c r="CF545" s="121"/>
      <c r="CG545" s="121"/>
      <c r="CH545" s="121"/>
      <c r="CI545" s="121"/>
      <c r="CJ545" s="121"/>
      <c r="CK545" s="121"/>
      <c r="CL545" s="121"/>
      <c r="CM545" s="121"/>
      <c r="CN545" s="121"/>
      <c r="CO545" s="121"/>
      <c r="CP545" s="121"/>
      <c r="CQ545" s="121"/>
      <c r="CR545" s="121"/>
      <c r="CS545" s="121"/>
      <c r="CT545" s="121"/>
    </row>
    <row r="546" spans="52:98" x14ac:dyDescent="0.3">
      <c r="AZ546" s="118"/>
      <c r="BA546" s="118"/>
      <c r="BB546" s="118"/>
      <c r="BC546" s="118"/>
      <c r="BD546" s="118"/>
      <c r="BE546" s="118"/>
      <c r="BF546" s="118"/>
      <c r="BI546" s="125"/>
    </row>
    <row r="547" spans="52:98" x14ac:dyDescent="0.3">
      <c r="AZ547" s="118"/>
      <c r="BA547" s="118"/>
      <c r="BB547" s="118"/>
      <c r="BC547" s="118"/>
      <c r="BD547" s="118"/>
      <c r="BE547" s="118"/>
      <c r="BF547" s="118"/>
    </row>
    <row r="548" spans="52:98" x14ac:dyDescent="0.3">
      <c r="AZ548" s="118"/>
      <c r="BA548" s="118"/>
      <c r="BB548" s="118"/>
      <c r="BC548" s="118"/>
      <c r="BD548" s="118"/>
      <c r="BE548" s="118"/>
      <c r="BF548" s="118"/>
      <c r="BI548" s="132"/>
    </row>
    <row r="549" spans="52:98" x14ac:dyDescent="0.3">
      <c r="AZ549" s="118"/>
      <c r="BA549" s="118"/>
      <c r="BB549" s="118"/>
      <c r="BC549" s="118"/>
      <c r="BD549" s="118"/>
      <c r="BE549" s="118"/>
      <c r="BF549" s="118"/>
    </row>
    <row r="550" spans="52:98" x14ac:dyDescent="0.3">
      <c r="AZ550" s="118"/>
      <c r="BA550" s="118"/>
      <c r="BB550" s="118"/>
      <c r="BC550" s="118"/>
      <c r="BD550" s="118"/>
      <c r="BE550" s="118"/>
      <c r="BF550" s="118"/>
      <c r="BI550" s="132"/>
    </row>
    <row r="551" spans="52:98" x14ac:dyDescent="0.3">
      <c r="AZ551" s="118"/>
      <c r="BA551" s="118"/>
      <c r="BB551" s="118"/>
      <c r="BC551" s="118"/>
      <c r="BD551" s="118"/>
      <c r="BE551" s="118"/>
      <c r="BF551" s="118"/>
    </row>
    <row r="552" spans="52:98" x14ac:dyDescent="0.3">
      <c r="AZ552" s="118"/>
      <c r="BA552" s="118"/>
      <c r="BB552" s="118"/>
      <c r="BC552" s="118"/>
      <c r="BD552" s="118"/>
      <c r="BE552" s="118"/>
      <c r="BF552" s="118"/>
      <c r="BI552" s="132"/>
    </row>
    <row r="553" spans="52:98" x14ac:dyDescent="0.3">
      <c r="AZ553" s="118"/>
      <c r="BA553" s="118"/>
      <c r="BB553" s="118"/>
      <c r="BC553" s="118"/>
      <c r="BD553" s="118"/>
      <c r="BE553" s="118"/>
      <c r="BF553" s="118"/>
    </row>
    <row r="554" spans="52:98" x14ac:dyDescent="0.3">
      <c r="AZ554" s="118"/>
      <c r="BA554" s="118"/>
      <c r="BB554" s="118"/>
      <c r="BC554" s="118"/>
      <c r="BD554" s="118"/>
      <c r="BE554" s="118"/>
      <c r="BF554" s="118"/>
      <c r="BI554" s="132"/>
    </row>
    <row r="555" spans="52:98" x14ac:dyDescent="0.3">
      <c r="AZ555" s="118"/>
      <c r="BA555" s="118"/>
      <c r="BB555" s="118"/>
      <c r="BC555" s="118"/>
      <c r="BD555" s="118"/>
      <c r="BE555" s="118"/>
      <c r="BF555" s="118"/>
    </row>
    <row r="556" spans="52:98" x14ac:dyDescent="0.3">
      <c r="BI556" s="132"/>
    </row>
    <row r="557" spans="52:98" x14ac:dyDescent="0.3">
      <c r="AZ557" s="118"/>
      <c r="BA557" s="118"/>
      <c r="BB557" s="118"/>
      <c r="BC557" s="118"/>
      <c r="BD557" s="118"/>
      <c r="BE557" s="118"/>
      <c r="BF557" s="118"/>
    </row>
    <row r="558" spans="52:98" x14ac:dyDescent="0.3">
      <c r="AZ558" s="118"/>
      <c r="BA558" s="118"/>
      <c r="BB558" s="118"/>
      <c r="BC558" s="118"/>
      <c r="BD558" s="118"/>
      <c r="BE558" s="118"/>
      <c r="BF558" s="118"/>
      <c r="BI558" s="132"/>
    </row>
    <row r="559" spans="52:98" x14ac:dyDescent="0.3">
      <c r="AZ559" s="118"/>
      <c r="BA559" s="118"/>
      <c r="BB559" s="118"/>
      <c r="BC559" s="118"/>
      <c r="BD559" s="118"/>
      <c r="BE559" s="118"/>
      <c r="BF559" s="118"/>
    </row>
    <row r="560" spans="52:98" x14ac:dyDescent="0.3">
      <c r="AZ560" s="118"/>
      <c r="BA560" s="118"/>
      <c r="BB560" s="118"/>
      <c r="BC560" s="118"/>
      <c r="BD560" s="118"/>
      <c r="BE560" s="118"/>
      <c r="BF560" s="118"/>
    </row>
    <row r="561" spans="52:98" x14ac:dyDescent="0.3">
      <c r="AZ561" s="118"/>
      <c r="BA561" s="118"/>
      <c r="BB561" s="118"/>
      <c r="BC561" s="118"/>
      <c r="BD561" s="118"/>
      <c r="BE561" s="118"/>
      <c r="BF561" s="118"/>
      <c r="BI561" s="125"/>
      <c r="BK561" s="121"/>
      <c r="BL561" s="121"/>
      <c r="BM561" s="121"/>
      <c r="BN561" s="121"/>
      <c r="BO561" s="121"/>
      <c r="BP561" s="121"/>
      <c r="BQ561" s="121"/>
      <c r="BR561" s="121"/>
      <c r="BS561" s="121"/>
      <c r="BT561" s="121"/>
      <c r="BU561" s="121"/>
      <c r="BV561" s="121"/>
      <c r="BW561" s="121"/>
      <c r="BX561" s="121"/>
      <c r="BY561" s="121"/>
      <c r="BZ561" s="121"/>
      <c r="CA561" s="121"/>
      <c r="CB561" s="121"/>
      <c r="CC561" s="121"/>
      <c r="CD561" s="121"/>
      <c r="CE561" s="121"/>
      <c r="CF561" s="121"/>
      <c r="CG561" s="121"/>
      <c r="CH561" s="121"/>
      <c r="CI561" s="121"/>
      <c r="CJ561" s="121"/>
      <c r="CK561" s="121"/>
      <c r="CL561" s="121"/>
      <c r="CM561" s="121"/>
      <c r="CN561" s="121"/>
      <c r="CO561" s="121"/>
      <c r="CP561" s="121"/>
      <c r="CQ561" s="121"/>
      <c r="CR561" s="121"/>
      <c r="CS561" s="121"/>
      <c r="CT561" s="121"/>
    </row>
    <row r="562" spans="52:98" x14ac:dyDescent="0.3">
      <c r="AZ562" s="118"/>
      <c r="BA562" s="118"/>
      <c r="BB562" s="118"/>
      <c r="BC562" s="118"/>
      <c r="BD562" s="118"/>
      <c r="BE562" s="118"/>
      <c r="BF562" s="118"/>
      <c r="BI562" s="125"/>
    </row>
    <row r="563" spans="52:98" x14ac:dyDescent="0.3">
      <c r="AZ563" s="118"/>
      <c r="BA563" s="118"/>
      <c r="BB563" s="118"/>
      <c r="BC563" s="118"/>
      <c r="BD563" s="118"/>
      <c r="BE563" s="118"/>
      <c r="BF563" s="118"/>
    </row>
    <row r="564" spans="52:98" x14ac:dyDescent="0.3">
      <c r="AZ564" s="118"/>
      <c r="BA564" s="118"/>
      <c r="BB564" s="118"/>
      <c r="BC564" s="118"/>
      <c r="BD564" s="118"/>
      <c r="BE564" s="118"/>
      <c r="BF564" s="118"/>
      <c r="BI564" s="132"/>
    </row>
    <row r="565" spans="52:98" x14ac:dyDescent="0.3">
      <c r="AZ565" s="118"/>
      <c r="BA565" s="118"/>
      <c r="BB565" s="118"/>
      <c r="BC565" s="118"/>
      <c r="BD565" s="118"/>
      <c r="BE565" s="118"/>
      <c r="BF565" s="118"/>
    </row>
    <row r="566" spans="52:98" x14ac:dyDescent="0.3">
      <c r="AZ566" s="118"/>
      <c r="BA566" s="118"/>
      <c r="BB566" s="118"/>
      <c r="BC566" s="118"/>
      <c r="BD566" s="118"/>
      <c r="BE566" s="118"/>
      <c r="BF566" s="118"/>
      <c r="BI566" s="132"/>
    </row>
    <row r="567" spans="52:98" x14ac:dyDescent="0.3">
      <c r="AZ567" s="118"/>
      <c r="BA567" s="118"/>
      <c r="BB567" s="118"/>
      <c r="BC567" s="118"/>
      <c r="BD567" s="118"/>
      <c r="BE567" s="118"/>
      <c r="BF567" s="118"/>
    </row>
    <row r="568" spans="52:98" x14ac:dyDescent="0.3">
      <c r="AZ568" s="118"/>
      <c r="BA568" s="118"/>
      <c r="BB568" s="118"/>
      <c r="BC568" s="118"/>
      <c r="BD568" s="118"/>
      <c r="BE568" s="118"/>
      <c r="BF568" s="118"/>
      <c r="BI568" s="132"/>
    </row>
    <row r="569" spans="52:98" x14ac:dyDescent="0.3">
      <c r="AZ569" s="118"/>
      <c r="BA569" s="118"/>
      <c r="BB569" s="118"/>
      <c r="BC569" s="118"/>
      <c r="BD569" s="118"/>
      <c r="BE569" s="118"/>
      <c r="BF569" s="118"/>
    </row>
    <row r="570" spans="52:98" x14ac:dyDescent="0.3">
      <c r="AZ570" s="118"/>
      <c r="BA570" s="118"/>
      <c r="BB570" s="118"/>
      <c r="BC570" s="118"/>
      <c r="BD570" s="118"/>
      <c r="BE570" s="118"/>
      <c r="BF570" s="118"/>
      <c r="BI570" s="132"/>
    </row>
    <row r="571" spans="52:98" x14ac:dyDescent="0.3">
      <c r="AZ571" s="118"/>
      <c r="BA571" s="118"/>
      <c r="BB571" s="118"/>
      <c r="BC571" s="118"/>
      <c r="BD571" s="118"/>
      <c r="BE571" s="118"/>
      <c r="BF571" s="118"/>
    </row>
    <row r="572" spans="52:98" x14ac:dyDescent="0.3">
      <c r="BI572" s="132"/>
    </row>
    <row r="573" spans="52:98" x14ac:dyDescent="0.3">
      <c r="AZ573" s="118"/>
      <c r="BA573" s="118"/>
      <c r="BB573" s="118"/>
      <c r="BC573" s="118"/>
      <c r="BD573" s="118"/>
      <c r="BE573" s="118"/>
      <c r="BF573" s="118"/>
    </row>
    <row r="574" spans="52:98" x14ac:dyDescent="0.3">
      <c r="AZ574" s="118"/>
      <c r="BA574" s="118"/>
      <c r="BB574" s="118"/>
      <c r="BC574" s="118"/>
      <c r="BD574" s="118"/>
      <c r="BE574" s="118"/>
      <c r="BF574" s="118"/>
      <c r="BI574" s="132"/>
    </row>
    <row r="575" spans="52:98" x14ac:dyDescent="0.3">
      <c r="AZ575" s="118"/>
      <c r="BA575" s="118"/>
      <c r="BB575" s="118"/>
      <c r="BC575" s="118"/>
      <c r="BD575" s="118"/>
      <c r="BE575" s="118"/>
      <c r="BF575" s="118"/>
    </row>
    <row r="576" spans="52:98" x14ac:dyDescent="0.3">
      <c r="AZ576" s="118"/>
      <c r="BA576" s="118"/>
      <c r="BB576" s="118"/>
      <c r="BC576" s="118"/>
      <c r="BD576" s="118"/>
      <c r="BE576" s="118"/>
      <c r="BF576" s="118"/>
    </row>
    <row r="577" spans="52:98" x14ac:dyDescent="0.3">
      <c r="AZ577" s="118"/>
      <c r="BA577" s="118"/>
      <c r="BB577" s="118"/>
      <c r="BC577" s="118"/>
      <c r="BD577" s="118"/>
      <c r="BE577" s="118"/>
      <c r="BF577" s="118"/>
      <c r="BI577" s="125"/>
      <c r="BK577" s="121"/>
      <c r="BL577" s="121"/>
      <c r="BM577" s="121"/>
      <c r="BN577" s="121"/>
      <c r="BO577" s="121"/>
      <c r="BP577" s="121"/>
      <c r="BQ577" s="121"/>
      <c r="BR577" s="121"/>
      <c r="BS577" s="121"/>
      <c r="BT577" s="121"/>
      <c r="BU577" s="121"/>
      <c r="BV577" s="121"/>
      <c r="BW577" s="121"/>
      <c r="BX577" s="121"/>
      <c r="BY577" s="121"/>
      <c r="BZ577" s="121"/>
      <c r="CA577" s="121"/>
      <c r="CB577" s="121"/>
      <c r="CC577" s="121"/>
      <c r="CD577" s="121"/>
      <c r="CE577" s="121"/>
      <c r="CF577" s="121"/>
      <c r="CG577" s="121"/>
      <c r="CH577" s="121"/>
      <c r="CI577" s="121"/>
      <c r="CJ577" s="121"/>
      <c r="CK577" s="121"/>
      <c r="CL577" s="121"/>
      <c r="CM577" s="121"/>
      <c r="CN577" s="121"/>
      <c r="CO577" s="121"/>
      <c r="CP577" s="121"/>
      <c r="CQ577" s="121"/>
      <c r="CR577" s="121"/>
      <c r="CS577" s="121"/>
      <c r="CT577" s="121"/>
    </row>
    <row r="578" spans="52:98" x14ac:dyDescent="0.3">
      <c r="AZ578" s="118"/>
      <c r="BA578" s="118"/>
      <c r="BB578" s="118"/>
      <c r="BC578" s="118"/>
      <c r="BD578" s="118"/>
      <c r="BE578" s="118"/>
      <c r="BF578" s="118"/>
      <c r="BI578" s="125"/>
    </row>
    <row r="579" spans="52:98" x14ac:dyDescent="0.3">
      <c r="AZ579" s="118"/>
      <c r="BA579" s="118"/>
      <c r="BB579" s="118"/>
      <c r="BC579" s="118"/>
      <c r="BD579" s="118"/>
      <c r="BE579" s="118"/>
      <c r="BF579" s="118"/>
    </row>
    <row r="580" spans="52:98" x14ac:dyDescent="0.3">
      <c r="AZ580" s="118"/>
      <c r="BA580" s="118"/>
      <c r="BB580" s="118"/>
      <c r="BC580" s="118"/>
      <c r="BD580" s="118"/>
      <c r="BE580" s="118"/>
      <c r="BF580" s="118"/>
      <c r="BI580" s="132"/>
    </row>
    <row r="581" spans="52:98" x14ac:dyDescent="0.3">
      <c r="AZ581" s="118"/>
      <c r="BA581" s="118"/>
      <c r="BB581" s="118"/>
      <c r="BC581" s="118"/>
      <c r="BD581" s="118"/>
      <c r="BE581" s="118"/>
      <c r="BF581" s="118"/>
    </row>
    <row r="582" spans="52:98" x14ac:dyDescent="0.3">
      <c r="AZ582" s="118"/>
      <c r="BA582" s="118"/>
      <c r="BB582" s="118"/>
      <c r="BC582" s="118"/>
      <c r="BD582" s="118"/>
      <c r="BE582" s="118"/>
      <c r="BF582" s="118"/>
      <c r="BI582" s="132"/>
    </row>
    <row r="583" spans="52:98" x14ac:dyDescent="0.3">
      <c r="AZ583" s="118"/>
      <c r="BA583" s="118"/>
      <c r="BB583" s="118"/>
      <c r="BC583" s="118"/>
      <c r="BD583" s="118"/>
      <c r="BE583" s="118"/>
      <c r="BF583" s="118"/>
    </row>
    <row r="584" spans="52:98" x14ac:dyDescent="0.3">
      <c r="AZ584" s="118"/>
      <c r="BA584" s="118"/>
      <c r="BB584" s="118"/>
      <c r="BC584" s="118"/>
      <c r="BD584" s="118"/>
      <c r="BE584" s="118"/>
      <c r="BF584" s="118"/>
      <c r="BI584" s="132"/>
    </row>
    <row r="585" spans="52:98" x14ac:dyDescent="0.3">
      <c r="AZ585" s="118"/>
      <c r="BA585" s="118"/>
      <c r="BB585" s="118"/>
      <c r="BC585" s="118"/>
      <c r="BD585" s="118"/>
      <c r="BE585" s="118"/>
      <c r="BF585" s="118"/>
    </row>
    <row r="586" spans="52:98" x14ac:dyDescent="0.3">
      <c r="AZ586" s="118"/>
      <c r="BA586" s="118"/>
      <c r="BB586" s="118"/>
      <c r="BC586" s="118"/>
      <c r="BD586" s="118"/>
      <c r="BE586" s="118"/>
      <c r="BF586" s="118"/>
      <c r="BI586" s="132"/>
    </row>
    <row r="587" spans="52:98" x14ac:dyDescent="0.3">
      <c r="AZ587" s="118"/>
      <c r="BA587" s="118"/>
      <c r="BB587" s="118"/>
      <c r="BC587" s="118"/>
      <c r="BD587" s="118"/>
      <c r="BE587" s="118"/>
      <c r="BF587" s="118"/>
    </row>
    <row r="588" spans="52:98" x14ac:dyDescent="0.3">
      <c r="BI588" s="132"/>
    </row>
    <row r="589" spans="52:98" x14ac:dyDescent="0.3">
      <c r="AZ589" s="118"/>
      <c r="BA589" s="118"/>
      <c r="BB589" s="118"/>
      <c r="BC589" s="118"/>
      <c r="BD589" s="118"/>
      <c r="BE589" s="118"/>
      <c r="BF589" s="118"/>
    </row>
    <row r="590" spans="52:98" x14ac:dyDescent="0.3">
      <c r="AZ590" s="118"/>
      <c r="BA590" s="118"/>
      <c r="BB590" s="118"/>
      <c r="BC590" s="118"/>
      <c r="BD590" s="118"/>
      <c r="BE590" s="118"/>
      <c r="BF590" s="118"/>
      <c r="BI590" s="132"/>
    </row>
    <row r="591" spans="52:98" x14ac:dyDescent="0.3">
      <c r="AZ591" s="118"/>
      <c r="BA591" s="118"/>
      <c r="BB591" s="118"/>
      <c r="BC591" s="118"/>
      <c r="BD591" s="118"/>
      <c r="BE591" s="118"/>
      <c r="BF591" s="118"/>
    </row>
    <row r="592" spans="52:98" x14ac:dyDescent="0.3">
      <c r="AZ592" s="118"/>
      <c r="BA592" s="118"/>
      <c r="BB592" s="118"/>
      <c r="BC592" s="118"/>
      <c r="BD592" s="118"/>
      <c r="BE592" s="118"/>
      <c r="BF592" s="118"/>
    </row>
    <row r="593" spans="52:98" x14ac:dyDescent="0.3">
      <c r="AZ593" s="118"/>
      <c r="BA593" s="118"/>
      <c r="BB593" s="118"/>
      <c r="BC593" s="118"/>
      <c r="BD593" s="118"/>
      <c r="BE593" s="118"/>
      <c r="BF593" s="118"/>
      <c r="BI593" s="125"/>
      <c r="BK593" s="121"/>
      <c r="BL593" s="121"/>
      <c r="BM593" s="121"/>
      <c r="BN593" s="121"/>
      <c r="BO593" s="121"/>
      <c r="BP593" s="121"/>
      <c r="BQ593" s="121"/>
      <c r="BR593" s="121"/>
      <c r="BS593" s="121"/>
      <c r="BT593" s="121"/>
      <c r="BU593" s="121"/>
      <c r="BV593" s="121"/>
      <c r="BW593" s="121"/>
      <c r="BX593" s="121"/>
      <c r="BY593" s="121"/>
      <c r="BZ593" s="121"/>
      <c r="CA593" s="121"/>
      <c r="CB593" s="121"/>
      <c r="CC593" s="121"/>
      <c r="CD593" s="121"/>
      <c r="CE593" s="121"/>
      <c r="CF593" s="121"/>
      <c r="CG593" s="121"/>
      <c r="CH593" s="121"/>
      <c r="CI593" s="121"/>
      <c r="CJ593" s="121"/>
      <c r="CK593" s="121"/>
      <c r="CL593" s="121"/>
      <c r="CM593" s="121"/>
      <c r="CN593" s="121"/>
      <c r="CO593" s="121"/>
      <c r="CP593" s="121"/>
      <c r="CQ593" s="121"/>
      <c r="CR593" s="121"/>
      <c r="CS593" s="121"/>
      <c r="CT593" s="121"/>
    </row>
    <row r="594" spans="52:98" x14ac:dyDescent="0.3">
      <c r="AZ594" s="118"/>
      <c r="BA594" s="118"/>
      <c r="BB594" s="118"/>
      <c r="BC594" s="118"/>
      <c r="BD594" s="118"/>
      <c r="BE594" s="118"/>
      <c r="BF594" s="118"/>
      <c r="BI594" s="125"/>
    </row>
    <row r="595" spans="52:98" x14ac:dyDescent="0.3">
      <c r="AZ595" s="118"/>
      <c r="BA595" s="118"/>
      <c r="BB595" s="118"/>
      <c r="BC595" s="118"/>
      <c r="BD595" s="118"/>
      <c r="BE595" s="118"/>
      <c r="BF595" s="118"/>
    </row>
    <row r="596" spans="52:98" x14ac:dyDescent="0.3">
      <c r="AZ596" s="118"/>
      <c r="BA596" s="118"/>
      <c r="BB596" s="118"/>
      <c r="BC596" s="118"/>
      <c r="BD596" s="118"/>
      <c r="BE596" s="118"/>
      <c r="BF596" s="118"/>
      <c r="BI596" s="132"/>
    </row>
    <row r="597" spans="52:98" x14ac:dyDescent="0.3">
      <c r="AZ597" s="118"/>
      <c r="BA597" s="118"/>
      <c r="BB597" s="118"/>
      <c r="BC597" s="118"/>
      <c r="BD597" s="118"/>
      <c r="BE597" s="118"/>
      <c r="BF597" s="118"/>
    </row>
    <row r="598" spans="52:98" x14ac:dyDescent="0.3">
      <c r="AZ598" s="118"/>
      <c r="BA598" s="118"/>
      <c r="BB598" s="118"/>
      <c r="BC598" s="118"/>
      <c r="BD598" s="118"/>
      <c r="BE598" s="118"/>
      <c r="BF598" s="118"/>
      <c r="BI598" s="132"/>
    </row>
    <row r="599" spans="52:98" x14ac:dyDescent="0.3">
      <c r="AZ599" s="118"/>
      <c r="BA599" s="118"/>
      <c r="BB599" s="118"/>
      <c r="BC599" s="118"/>
      <c r="BD599" s="118"/>
      <c r="BE599" s="118"/>
      <c r="BF599" s="118"/>
    </row>
    <row r="600" spans="52:98" x14ac:dyDescent="0.3">
      <c r="AZ600" s="118"/>
      <c r="BA600" s="118"/>
      <c r="BB600" s="118"/>
      <c r="BC600" s="118"/>
      <c r="BD600" s="118"/>
      <c r="BE600" s="118"/>
      <c r="BF600" s="118"/>
      <c r="BI600" s="132"/>
    </row>
    <row r="601" spans="52:98" x14ac:dyDescent="0.3">
      <c r="AZ601" s="118"/>
      <c r="BA601" s="118"/>
      <c r="BB601" s="118"/>
      <c r="BC601" s="118"/>
      <c r="BD601" s="118"/>
      <c r="BE601" s="118"/>
      <c r="BF601" s="118"/>
    </row>
    <row r="602" spans="52:98" x14ac:dyDescent="0.3">
      <c r="AZ602" s="118"/>
      <c r="BA602" s="118"/>
      <c r="BB602" s="118"/>
      <c r="BC602" s="118"/>
      <c r="BD602" s="118"/>
      <c r="BE602" s="118"/>
      <c r="BF602" s="118"/>
      <c r="BI602" s="132"/>
    </row>
    <row r="603" spans="52:98" x14ac:dyDescent="0.3">
      <c r="AZ603" s="118"/>
      <c r="BA603" s="118"/>
      <c r="BB603" s="118"/>
      <c r="BC603" s="118"/>
      <c r="BD603" s="118"/>
      <c r="BE603" s="118"/>
      <c r="BF603" s="118"/>
    </row>
    <row r="604" spans="52:98" x14ac:dyDescent="0.3">
      <c r="BI604" s="132"/>
    </row>
    <row r="605" spans="52:98" x14ac:dyDescent="0.3">
      <c r="AZ605" s="118"/>
      <c r="BA605" s="118"/>
      <c r="BB605" s="118"/>
      <c r="BC605" s="118"/>
      <c r="BD605" s="118"/>
      <c r="BE605" s="118"/>
      <c r="BF605" s="118"/>
    </row>
    <row r="606" spans="52:98" x14ac:dyDescent="0.3">
      <c r="AZ606" s="118"/>
      <c r="BA606" s="118"/>
      <c r="BB606" s="118"/>
      <c r="BC606" s="118"/>
      <c r="BD606" s="118"/>
      <c r="BE606" s="118"/>
      <c r="BF606" s="118"/>
      <c r="BI606" s="132"/>
    </row>
    <row r="607" spans="52:98" x14ac:dyDescent="0.3">
      <c r="AZ607" s="118"/>
      <c r="BA607" s="118"/>
      <c r="BB607" s="118"/>
      <c r="BC607" s="118"/>
      <c r="BD607" s="118"/>
      <c r="BE607" s="118"/>
      <c r="BF607" s="118"/>
    </row>
    <row r="608" spans="52:98" x14ac:dyDescent="0.3">
      <c r="AZ608" s="118"/>
      <c r="BA608" s="118"/>
      <c r="BB608" s="118"/>
      <c r="BC608" s="118"/>
      <c r="BD608" s="118"/>
      <c r="BE608" s="118"/>
      <c r="BF608" s="118"/>
    </row>
    <row r="609" spans="52:98" x14ac:dyDescent="0.3">
      <c r="AZ609" s="118"/>
      <c r="BA609" s="118"/>
      <c r="BB609" s="118"/>
      <c r="BC609" s="118"/>
      <c r="BD609" s="118"/>
      <c r="BE609" s="118"/>
      <c r="BF609" s="118"/>
      <c r="BI609" s="125"/>
      <c r="BK609" s="121"/>
      <c r="BL609" s="121"/>
      <c r="BM609" s="121"/>
      <c r="BN609" s="121"/>
      <c r="BO609" s="121"/>
      <c r="BP609" s="121"/>
      <c r="BQ609" s="121"/>
      <c r="BR609" s="121"/>
      <c r="BS609" s="121"/>
      <c r="BT609" s="121"/>
      <c r="BU609" s="121"/>
      <c r="BV609" s="121"/>
      <c r="BW609" s="121"/>
      <c r="BX609" s="121"/>
      <c r="BY609" s="121"/>
      <c r="BZ609" s="121"/>
      <c r="CA609" s="121"/>
      <c r="CB609" s="121"/>
      <c r="CC609" s="121"/>
      <c r="CD609" s="121"/>
      <c r="CE609" s="121"/>
      <c r="CF609" s="121"/>
      <c r="CG609" s="121"/>
      <c r="CH609" s="121"/>
      <c r="CI609" s="121"/>
      <c r="CJ609" s="121"/>
      <c r="CK609" s="121"/>
      <c r="CL609" s="121"/>
      <c r="CM609" s="121"/>
      <c r="CN609" s="121"/>
      <c r="CO609" s="121"/>
      <c r="CP609" s="121"/>
      <c r="CQ609" s="121"/>
      <c r="CR609" s="121"/>
      <c r="CS609" s="121"/>
      <c r="CT609" s="121"/>
    </row>
    <row r="610" spans="52:98" x14ac:dyDescent="0.3">
      <c r="AZ610" s="118"/>
      <c r="BA610" s="118"/>
      <c r="BB610" s="118"/>
      <c r="BC610" s="118"/>
      <c r="BD610" s="118"/>
      <c r="BE610" s="118"/>
      <c r="BF610" s="118"/>
      <c r="BI610" s="125"/>
    </row>
    <row r="611" spans="52:98" x14ac:dyDescent="0.3">
      <c r="AZ611" s="118"/>
      <c r="BA611" s="118"/>
      <c r="BB611" s="118"/>
      <c r="BC611" s="118"/>
      <c r="BD611" s="118"/>
      <c r="BE611" s="118"/>
      <c r="BF611" s="118"/>
    </row>
    <row r="612" spans="52:98" x14ac:dyDescent="0.3">
      <c r="AZ612" s="118"/>
      <c r="BA612" s="118"/>
      <c r="BB612" s="118"/>
      <c r="BC612" s="118"/>
      <c r="BD612" s="118"/>
      <c r="BE612" s="118"/>
      <c r="BF612" s="118"/>
      <c r="BI612" s="132"/>
    </row>
    <row r="613" spans="52:98" x14ac:dyDescent="0.3">
      <c r="AZ613" s="118"/>
      <c r="BA613" s="118"/>
      <c r="BB613" s="118"/>
      <c r="BC613" s="118"/>
      <c r="BD613" s="118"/>
      <c r="BE613" s="118"/>
      <c r="BF613" s="118"/>
    </row>
    <row r="614" spans="52:98" x14ac:dyDescent="0.3">
      <c r="AZ614" s="118"/>
      <c r="BA614" s="118"/>
      <c r="BB614" s="118"/>
      <c r="BC614" s="118"/>
      <c r="BD614" s="118"/>
      <c r="BE614" s="118"/>
      <c r="BF614" s="118"/>
      <c r="BI614" s="132"/>
    </row>
    <row r="615" spans="52:98" x14ac:dyDescent="0.3">
      <c r="AZ615" s="118"/>
      <c r="BA615" s="118"/>
      <c r="BB615" s="118"/>
      <c r="BC615" s="118"/>
      <c r="BD615" s="118"/>
      <c r="BE615" s="118"/>
      <c r="BF615" s="118"/>
    </row>
    <row r="616" spans="52:98" x14ac:dyDescent="0.3">
      <c r="AZ616" s="118"/>
      <c r="BA616" s="118"/>
      <c r="BB616" s="118"/>
      <c r="BC616" s="118"/>
      <c r="BD616" s="118"/>
      <c r="BE616" s="118"/>
      <c r="BF616" s="118"/>
      <c r="BI616" s="132"/>
    </row>
    <row r="617" spans="52:98" x14ac:dyDescent="0.3">
      <c r="AZ617" s="118"/>
      <c r="BA617" s="118"/>
      <c r="BB617" s="118"/>
      <c r="BC617" s="118"/>
      <c r="BD617" s="118"/>
      <c r="BE617" s="118"/>
      <c r="BF617" s="118"/>
    </row>
    <row r="618" spans="52:98" x14ac:dyDescent="0.3">
      <c r="AZ618" s="118"/>
      <c r="BA618" s="118"/>
      <c r="BB618" s="118"/>
      <c r="BC618" s="118"/>
      <c r="BD618" s="118"/>
      <c r="BE618" s="118"/>
      <c r="BF618" s="118"/>
      <c r="BI618" s="132"/>
    </row>
    <row r="619" spans="52:98" x14ac:dyDescent="0.3">
      <c r="AZ619" s="118"/>
      <c r="BA619" s="118"/>
      <c r="BB619" s="118"/>
      <c r="BC619" s="118"/>
      <c r="BD619" s="118"/>
      <c r="BE619" s="118"/>
      <c r="BF619" s="118"/>
    </row>
    <row r="620" spans="52:98" x14ac:dyDescent="0.3">
      <c r="BI620" s="132"/>
    </row>
    <row r="621" spans="52:98" x14ac:dyDescent="0.3">
      <c r="AZ621" s="118"/>
      <c r="BA621" s="118"/>
      <c r="BB621" s="118"/>
      <c r="BC621" s="118"/>
      <c r="BD621" s="118"/>
      <c r="BE621" s="118"/>
      <c r="BF621" s="118"/>
    </row>
    <row r="622" spans="52:98" x14ac:dyDescent="0.3">
      <c r="AZ622" s="118"/>
      <c r="BA622" s="118"/>
      <c r="BB622" s="118"/>
      <c r="BC622" s="118"/>
      <c r="BD622" s="118"/>
      <c r="BE622" s="118"/>
      <c r="BF622" s="118"/>
      <c r="BI622" s="132"/>
    </row>
    <row r="623" spans="52:98" x14ac:dyDescent="0.3">
      <c r="AZ623" s="118"/>
      <c r="BA623" s="118"/>
      <c r="BB623" s="118"/>
      <c r="BC623" s="118"/>
      <c r="BD623" s="118"/>
      <c r="BE623" s="118"/>
      <c r="BF623" s="118"/>
    </row>
    <row r="624" spans="52:98" x14ac:dyDescent="0.3">
      <c r="AZ624" s="118"/>
      <c r="BA624" s="118"/>
      <c r="BB624" s="118"/>
      <c r="BC624" s="118"/>
      <c r="BD624" s="118"/>
      <c r="BE624" s="118"/>
      <c r="BF624" s="118"/>
    </row>
    <row r="625" spans="52:98" x14ac:dyDescent="0.3">
      <c r="AZ625" s="118"/>
      <c r="BA625" s="118"/>
      <c r="BB625" s="118"/>
      <c r="BC625" s="118"/>
      <c r="BD625" s="118"/>
      <c r="BE625" s="118"/>
      <c r="BF625" s="118"/>
      <c r="BI625" s="125"/>
      <c r="BK625" s="121"/>
      <c r="BL625" s="121"/>
      <c r="BM625" s="121"/>
      <c r="BN625" s="121"/>
      <c r="BO625" s="121"/>
      <c r="BP625" s="121"/>
      <c r="BQ625" s="121"/>
      <c r="BR625" s="121"/>
      <c r="BS625" s="121"/>
      <c r="BT625" s="121"/>
      <c r="BU625" s="121"/>
      <c r="BV625" s="121"/>
      <c r="BW625" s="121"/>
      <c r="BX625" s="121"/>
      <c r="BY625" s="121"/>
      <c r="BZ625" s="121"/>
      <c r="CA625" s="121"/>
      <c r="CB625" s="121"/>
      <c r="CC625" s="121"/>
      <c r="CD625" s="121"/>
      <c r="CE625" s="121"/>
      <c r="CF625" s="121"/>
      <c r="CG625" s="121"/>
      <c r="CH625" s="121"/>
      <c r="CI625" s="121"/>
      <c r="CJ625" s="121"/>
      <c r="CK625" s="121"/>
      <c r="CL625" s="121"/>
      <c r="CM625" s="121"/>
      <c r="CN625" s="121"/>
      <c r="CO625" s="121"/>
      <c r="CP625" s="121"/>
      <c r="CQ625" s="121"/>
      <c r="CR625" s="121"/>
      <c r="CS625" s="121"/>
      <c r="CT625" s="121"/>
    </row>
    <row r="626" spans="52:98" x14ac:dyDescent="0.3">
      <c r="AZ626" s="118"/>
      <c r="BA626" s="118"/>
      <c r="BB626" s="118"/>
      <c r="BC626" s="118"/>
      <c r="BD626" s="118"/>
      <c r="BE626" s="118"/>
      <c r="BF626" s="118"/>
      <c r="BI626" s="125"/>
    </row>
    <row r="627" spans="52:98" x14ac:dyDescent="0.3">
      <c r="AZ627" s="118"/>
      <c r="BA627" s="118"/>
      <c r="BB627" s="118"/>
      <c r="BC627" s="118"/>
      <c r="BD627" s="118"/>
      <c r="BE627" s="118"/>
      <c r="BF627" s="118"/>
    </row>
    <row r="628" spans="52:98" x14ac:dyDescent="0.3">
      <c r="AZ628" s="118"/>
      <c r="BA628" s="118"/>
      <c r="BB628" s="118"/>
      <c r="BC628" s="118"/>
      <c r="BD628" s="118"/>
      <c r="BE628" s="118"/>
      <c r="BF628" s="118"/>
      <c r="BI628" s="132"/>
    </row>
    <row r="629" spans="52:98" x14ac:dyDescent="0.3">
      <c r="AZ629" s="118"/>
      <c r="BA629" s="118"/>
      <c r="BB629" s="118"/>
      <c r="BC629" s="118"/>
      <c r="BD629" s="118"/>
      <c r="BE629" s="118"/>
      <c r="BF629" s="118"/>
    </row>
    <row r="630" spans="52:98" x14ac:dyDescent="0.3">
      <c r="AZ630" s="118"/>
      <c r="BA630" s="118"/>
      <c r="BB630" s="118"/>
      <c r="BC630" s="118"/>
      <c r="BD630" s="118"/>
      <c r="BE630" s="118"/>
      <c r="BF630" s="118"/>
      <c r="BI630" s="132"/>
    </row>
    <row r="631" spans="52:98" x14ac:dyDescent="0.3">
      <c r="AZ631" s="118"/>
      <c r="BA631" s="118"/>
      <c r="BB631" s="118"/>
      <c r="BC631" s="118"/>
      <c r="BD631" s="118"/>
      <c r="BE631" s="118"/>
      <c r="BF631" s="118"/>
    </row>
    <row r="632" spans="52:98" x14ac:dyDescent="0.3">
      <c r="AZ632" s="118"/>
      <c r="BA632" s="118"/>
      <c r="BB632" s="118"/>
      <c r="BC632" s="118"/>
      <c r="BD632" s="118"/>
      <c r="BE632" s="118"/>
      <c r="BF632" s="118"/>
      <c r="BI632" s="132"/>
    </row>
    <row r="633" spans="52:98" x14ac:dyDescent="0.3">
      <c r="AZ633" s="118"/>
      <c r="BA633" s="118"/>
      <c r="BB633" s="118"/>
      <c r="BC633" s="118"/>
      <c r="BD633" s="118"/>
      <c r="BE633" s="118"/>
      <c r="BF633" s="118"/>
    </row>
    <row r="634" spans="52:98" x14ac:dyDescent="0.3">
      <c r="AZ634" s="118"/>
      <c r="BA634" s="118"/>
      <c r="BB634" s="118"/>
      <c r="BC634" s="118"/>
      <c r="BD634" s="118"/>
      <c r="BE634" s="118"/>
      <c r="BF634" s="118"/>
      <c r="BI634" s="132"/>
    </row>
    <row r="635" spans="52:98" x14ac:dyDescent="0.3">
      <c r="AZ635" s="118"/>
      <c r="BA635" s="118"/>
      <c r="BB635" s="118"/>
      <c r="BC635" s="118"/>
      <c r="BD635" s="118"/>
      <c r="BE635" s="118"/>
      <c r="BF635" s="118"/>
    </row>
    <row r="636" spans="52:98" x14ac:dyDescent="0.3">
      <c r="BI636" s="132"/>
    </row>
    <row r="637" spans="52:98" x14ac:dyDescent="0.3">
      <c r="AZ637" s="118"/>
      <c r="BA637" s="118"/>
      <c r="BB637" s="118"/>
      <c r="BC637" s="118"/>
      <c r="BD637" s="118"/>
      <c r="BE637" s="118"/>
      <c r="BF637" s="118"/>
    </row>
    <row r="638" spans="52:98" x14ac:dyDescent="0.3">
      <c r="AZ638" s="118"/>
      <c r="BA638" s="118"/>
      <c r="BB638" s="118"/>
      <c r="BC638" s="118"/>
      <c r="BD638" s="118"/>
      <c r="BE638" s="118"/>
      <c r="BF638" s="118"/>
      <c r="BI638" s="132"/>
    </row>
    <row r="639" spans="52:98" x14ac:dyDescent="0.3">
      <c r="AZ639" s="118"/>
      <c r="BA639" s="118"/>
      <c r="BB639" s="118"/>
      <c r="BC639" s="118"/>
      <c r="BD639" s="118"/>
      <c r="BE639" s="118"/>
      <c r="BF639" s="118"/>
    </row>
    <row r="640" spans="52:98" x14ac:dyDescent="0.3">
      <c r="AZ640" s="118"/>
      <c r="BA640" s="118"/>
      <c r="BB640" s="118"/>
      <c r="BC640" s="118"/>
      <c r="BD640" s="118"/>
      <c r="BE640" s="118"/>
      <c r="BF640" s="118"/>
    </row>
    <row r="641" spans="52:98" x14ac:dyDescent="0.3">
      <c r="AZ641" s="118"/>
      <c r="BA641" s="118"/>
      <c r="BB641" s="118"/>
      <c r="BC641" s="118"/>
      <c r="BD641" s="118"/>
      <c r="BE641" s="118"/>
      <c r="BF641" s="118"/>
      <c r="BI641" s="125"/>
      <c r="BK641" s="121"/>
      <c r="BL641" s="121"/>
      <c r="BM641" s="121"/>
      <c r="BN641" s="121"/>
      <c r="BO641" s="121"/>
      <c r="BP641" s="121"/>
      <c r="BQ641" s="121"/>
      <c r="BR641" s="121"/>
      <c r="BS641" s="121"/>
      <c r="BT641" s="121"/>
      <c r="BU641" s="121"/>
      <c r="BV641" s="121"/>
      <c r="BW641" s="121"/>
      <c r="BX641" s="121"/>
      <c r="BY641" s="121"/>
      <c r="BZ641" s="121"/>
      <c r="CA641" s="121"/>
      <c r="CB641" s="121"/>
      <c r="CC641" s="121"/>
      <c r="CD641" s="121"/>
      <c r="CE641" s="121"/>
      <c r="CF641" s="121"/>
      <c r="CG641" s="121"/>
      <c r="CH641" s="121"/>
      <c r="CI641" s="121"/>
      <c r="CJ641" s="121"/>
      <c r="CK641" s="121"/>
      <c r="CL641" s="121"/>
      <c r="CM641" s="121"/>
      <c r="CN641" s="121"/>
      <c r="CO641" s="121"/>
      <c r="CP641" s="121"/>
      <c r="CQ641" s="121"/>
      <c r="CR641" s="121"/>
      <c r="CS641" s="121"/>
      <c r="CT641" s="121"/>
    </row>
    <row r="642" spans="52:98" x14ac:dyDescent="0.3">
      <c r="AZ642" s="118"/>
      <c r="BA642" s="118"/>
      <c r="BB642" s="118"/>
      <c r="BC642" s="118"/>
      <c r="BD642" s="118"/>
      <c r="BE642" s="118"/>
      <c r="BF642" s="118"/>
      <c r="BI642" s="125"/>
    </row>
    <row r="643" spans="52:98" x14ac:dyDescent="0.3">
      <c r="AZ643" s="118"/>
      <c r="BA643" s="118"/>
      <c r="BB643" s="118"/>
      <c r="BC643" s="118"/>
      <c r="BD643" s="118"/>
      <c r="BE643" s="118"/>
      <c r="BF643" s="118"/>
    </row>
    <row r="644" spans="52:98" x14ac:dyDescent="0.3">
      <c r="AZ644" s="118"/>
      <c r="BA644" s="118"/>
      <c r="BB644" s="118"/>
      <c r="BC644" s="118"/>
      <c r="BD644" s="118"/>
      <c r="BE644" s="118"/>
      <c r="BF644" s="118"/>
      <c r="BI644" s="132"/>
    </row>
    <row r="645" spans="52:98" x14ac:dyDescent="0.3">
      <c r="AZ645" s="118"/>
      <c r="BA645" s="118"/>
      <c r="BB645" s="118"/>
      <c r="BC645" s="118"/>
      <c r="BD645" s="118"/>
      <c r="BE645" s="118"/>
      <c r="BF645" s="118"/>
    </row>
    <row r="646" spans="52:98" x14ac:dyDescent="0.3">
      <c r="AZ646" s="118"/>
      <c r="BA646" s="118"/>
      <c r="BB646" s="118"/>
      <c r="BC646" s="118"/>
      <c r="BD646" s="118"/>
      <c r="BE646" s="118"/>
      <c r="BF646" s="118"/>
      <c r="BI646" s="132"/>
    </row>
    <row r="647" spans="52:98" x14ac:dyDescent="0.3">
      <c r="AZ647" s="118"/>
      <c r="BA647" s="118"/>
      <c r="BB647" s="118"/>
      <c r="BC647" s="118"/>
      <c r="BD647" s="118"/>
      <c r="BE647" s="118"/>
      <c r="BF647" s="118"/>
    </row>
    <row r="648" spans="52:98" x14ac:dyDescent="0.3">
      <c r="AZ648" s="118"/>
      <c r="BA648" s="118"/>
      <c r="BB648" s="118"/>
      <c r="BC648" s="118"/>
      <c r="BD648" s="118"/>
      <c r="BE648" s="118"/>
      <c r="BF648" s="118"/>
      <c r="BI648" s="132"/>
    </row>
    <row r="649" spans="52:98" x14ac:dyDescent="0.3">
      <c r="AZ649" s="118"/>
      <c r="BA649" s="118"/>
      <c r="BB649" s="118"/>
      <c r="BC649" s="118"/>
      <c r="BD649" s="118"/>
      <c r="BE649" s="118"/>
      <c r="BF649" s="118"/>
    </row>
    <row r="650" spans="52:98" x14ac:dyDescent="0.3">
      <c r="AZ650" s="118"/>
      <c r="BA650" s="118"/>
      <c r="BB650" s="118"/>
      <c r="BC650" s="118"/>
      <c r="BD650" s="118"/>
      <c r="BE650" s="118"/>
      <c r="BF650" s="118"/>
      <c r="BI650" s="132"/>
    </row>
    <row r="651" spans="52:98" x14ac:dyDescent="0.3">
      <c r="AZ651" s="118"/>
      <c r="BA651" s="118"/>
      <c r="BB651" s="118"/>
      <c r="BC651" s="118"/>
      <c r="BD651" s="118"/>
      <c r="BE651" s="118"/>
      <c r="BF651" s="118"/>
    </row>
    <row r="652" spans="52:98" x14ac:dyDescent="0.3">
      <c r="BI652" s="132"/>
    </row>
    <row r="653" spans="52:98" x14ac:dyDescent="0.3">
      <c r="AZ653" s="118"/>
      <c r="BA653" s="118"/>
      <c r="BB653" s="118"/>
      <c r="BC653" s="118"/>
      <c r="BD653" s="118"/>
      <c r="BE653" s="118"/>
      <c r="BF653" s="118"/>
    </row>
    <row r="654" spans="52:98" x14ac:dyDescent="0.3">
      <c r="AZ654" s="118"/>
      <c r="BA654" s="118"/>
      <c r="BB654" s="118"/>
      <c r="BC654" s="118"/>
      <c r="BD654" s="118"/>
      <c r="BE654" s="118"/>
      <c r="BF654" s="118"/>
      <c r="BI654" s="132"/>
    </row>
    <row r="655" spans="52:98" x14ac:dyDescent="0.3">
      <c r="AZ655" s="118"/>
      <c r="BA655" s="118"/>
      <c r="BB655" s="118"/>
      <c r="BC655" s="118"/>
      <c r="BD655" s="118"/>
      <c r="BE655" s="118"/>
      <c r="BF655" s="118"/>
    </row>
    <row r="656" spans="52:98" x14ac:dyDescent="0.3">
      <c r="AZ656" s="118"/>
      <c r="BA656" s="118"/>
      <c r="BB656" s="118"/>
      <c r="BC656" s="118"/>
      <c r="BD656" s="118"/>
      <c r="BE656" s="118"/>
      <c r="BF656" s="118"/>
    </row>
    <row r="657" spans="52:98" x14ac:dyDescent="0.3">
      <c r="AZ657" s="118"/>
      <c r="BA657" s="118"/>
      <c r="BB657" s="118"/>
      <c r="BC657" s="118"/>
      <c r="BD657" s="118"/>
      <c r="BE657" s="118"/>
      <c r="BF657" s="118"/>
      <c r="BI657" s="125"/>
      <c r="BK657" s="121"/>
      <c r="BL657" s="121"/>
      <c r="BM657" s="121"/>
      <c r="BN657" s="121"/>
      <c r="BO657" s="121"/>
      <c r="BP657" s="121"/>
      <c r="BQ657" s="121"/>
      <c r="BR657" s="121"/>
      <c r="BS657" s="121"/>
      <c r="BT657" s="121"/>
      <c r="BU657" s="121"/>
      <c r="BV657" s="121"/>
      <c r="BW657" s="121"/>
      <c r="BX657" s="121"/>
      <c r="BY657" s="121"/>
      <c r="BZ657" s="121"/>
      <c r="CA657" s="121"/>
      <c r="CB657" s="121"/>
      <c r="CC657" s="121"/>
      <c r="CD657" s="121"/>
      <c r="CE657" s="121"/>
      <c r="CF657" s="121"/>
      <c r="CG657" s="121"/>
      <c r="CH657" s="121"/>
      <c r="CI657" s="121"/>
      <c r="CJ657" s="121"/>
      <c r="CK657" s="121"/>
      <c r="CL657" s="121"/>
      <c r="CM657" s="121"/>
      <c r="CN657" s="121"/>
      <c r="CO657" s="121"/>
      <c r="CP657" s="121"/>
      <c r="CQ657" s="121"/>
      <c r="CR657" s="121"/>
      <c r="CS657" s="121"/>
      <c r="CT657" s="121"/>
    </row>
    <row r="658" spans="52:98" x14ac:dyDescent="0.3">
      <c r="AZ658" s="118"/>
      <c r="BA658" s="118"/>
      <c r="BB658" s="118"/>
      <c r="BC658" s="118"/>
      <c r="BD658" s="118"/>
      <c r="BE658" s="118"/>
      <c r="BF658" s="118"/>
      <c r="BI658" s="125"/>
    </row>
    <row r="659" spans="52:98" x14ac:dyDescent="0.3">
      <c r="AZ659" s="118"/>
      <c r="BA659" s="118"/>
      <c r="BB659" s="118"/>
      <c r="BC659" s="118"/>
      <c r="BD659" s="118"/>
      <c r="BE659" s="118"/>
      <c r="BF659" s="118"/>
    </row>
    <row r="660" spans="52:98" x14ac:dyDescent="0.3">
      <c r="AZ660" s="118"/>
      <c r="BA660" s="118"/>
      <c r="BB660" s="118"/>
      <c r="BC660" s="118"/>
      <c r="BD660" s="118"/>
      <c r="BE660" s="118"/>
      <c r="BF660" s="118"/>
      <c r="BI660" s="132"/>
    </row>
    <row r="661" spans="52:98" x14ac:dyDescent="0.3">
      <c r="AZ661" s="118"/>
      <c r="BA661" s="118"/>
      <c r="BB661" s="118"/>
      <c r="BC661" s="118"/>
      <c r="BD661" s="118"/>
      <c r="BE661" s="118"/>
      <c r="BF661" s="118"/>
    </row>
    <row r="662" spans="52:98" x14ac:dyDescent="0.3">
      <c r="AZ662" s="118"/>
      <c r="BA662" s="118"/>
      <c r="BB662" s="118"/>
      <c r="BC662" s="118"/>
      <c r="BD662" s="118"/>
      <c r="BE662" s="118"/>
      <c r="BF662" s="118"/>
      <c r="BI662" s="132"/>
    </row>
    <row r="663" spans="52:98" x14ac:dyDescent="0.3">
      <c r="AZ663" s="118"/>
      <c r="BA663" s="118"/>
      <c r="BB663" s="118"/>
      <c r="BC663" s="118"/>
      <c r="BD663" s="118"/>
      <c r="BE663" s="118"/>
      <c r="BF663" s="118"/>
    </row>
    <row r="664" spans="52:98" x14ac:dyDescent="0.3">
      <c r="AZ664" s="118"/>
      <c r="BA664" s="118"/>
      <c r="BB664" s="118"/>
      <c r="BC664" s="118"/>
      <c r="BD664" s="118"/>
      <c r="BE664" s="118"/>
      <c r="BF664" s="118"/>
      <c r="BI664" s="132"/>
    </row>
    <row r="665" spans="52:98" x14ac:dyDescent="0.3">
      <c r="AZ665" s="118"/>
      <c r="BA665" s="118"/>
      <c r="BB665" s="118"/>
      <c r="BC665" s="118"/>
      <c r="BD665" s="118"/>
      <c r="BE665" s="118"/>
      <c r="BF665" s="118"/>
    </row>
    <row r="666" spans="52:98" x14ac:dyDescent="0.3">
      <c r="AZ666" s="118"/>
      <c r="BA666" s="118"/>
      <c r="BB666" s="118"/>
      <c r="BC666" s="118"/>
      <c r="BD666" s="118"/>
      <c r="BE666" s="118"/>
      <c r="BF666" s="118"/>
      <c r="BI666" s="132"/>
    </row>
    <row r="667" spans="52:98" x14ac:dyDescent="0.3">
      <c r="AZ667" s="118"/>
      <c r="BA667" s="118"/>
      <c r="BB667" s="118"/>
      <c r="BC667" s="118"/>
      <c r="BD667" s="118"/>
      <c r="BE667" s="118"/>
      <c r="BF667" s="118"/>
    </row>
    <row r="668" spans="52:98" x14ac:dyDescent="0.3">
      <c r="BI668" s="132"/>
    </row>
    <row r="669" spans="52:98" x14ac:dyDescent="0.3">
      <c r="AZ669" s="118"/>
      <c r="BA669" s="118"/>
      <c r="BB669" s="118"/>
      <c r="BC669" s="118"/>
      <c r="BD669" s="118"/>
      <c r="BE669" s="118"/>
      <c r="BF669" s="118"/>
    </row>
    <row r="670" spans="52:98" x14ac:dyDescent="0.3">
      <c r="AZ670" s="118"/>
      <c r="BA670" s="118"/>
      <c r="BB670" s="118"/>
      <c r="BC670" s="118"/>
      <c r="BD670" s="118"/>
      <c r="BE670" s="118"/>
      <c r="BF670" s="118"/>
      <c r="BI670" s="132"/>
    </row>
    <row r="671" spans="52:98" x14ac:dyDescent="0.3">
      <c r="AZ671" s="118"/>
      <c r="BA671" s="118"/>
      <c r="BB671" s="118"/>
      <c r="BC671" s="118"/>
      <c r="BD671" s="118"/>
      <c r="BE671" s="118"/>
      <c r="BF671" s="118"/>
    </row>
    <row r="672" spans="52:98" x14ac:dyDescent="0.3">
      <c r="AZ672" s="118"/>
      <c r="BA672" s="118"/>
      <c r="BB672" s="118"/>
      <c r="BC672" s="118"/>
      <c r="BD672" s="118"/>
      <c r="BE672" s="118"/>
      <c r="BF672" s="118"/>
    </row>
    <row r="673" spans="52:98" x14ac:dyDescent="0.3">
      <c r="AZ673" s="118"/>
      <c r="BA673" s="118"/>
      <c r="BB673" s="118"/>
      <c r="BC673" s="118"/>
      <c r="BD673" s="118"/>
      <c r="BE673" s="118"/>
      <c r="BF673" s="118"/>
      <c r="BI673" s="125"/>
      <c r="BK673" s="121"/>
      <c r="BL673" s="121"/>
      <c r="BM673" s="121"/>
      <c r="BN673" s="121"/>
      <c r="BO673" s="121"/>
      <c r="BP673" s="121"/>
      <c r="BQ673" s="121"/>
      <c r="BR673" s="121"/>
      <c r="BS673" s="121"/>
      <c r="BT673" s="121"/>
      <c r="BU673" s="121"/>
      <c r="BV673" s="121"/>
      <c r="BW673" s="121"/>
      <c r="BX673" s="121"/>
      <c r="BY673" s="121"/>
      <c r="BZ673" s="121"/>
      <c r="CA673" s="121"/>
      <c r="CB673" s="121"/>
      <c r="CC673" s="121"/>
      <c r="CD673" s="121"/>
      <c r="CE673" s="121"/>
      <c r="CF673" s="121"/>
      <c r="CG673" s="121"/>
      <c r="CH673" s="121"/>
      <c r="CI673" s="121"/>
      <c r="CJ673" s="121"/>
      <c r="CK673" s="121"/>
      <c r="CL673" s="121"/>
      <c r="CM673" s="121"/>
      <c r="CN673" s="121"/>
      <c r="CO673" s="121"/>
      <c r="CP673" s="121"/>
      <c r="CQ673" s="121"/>
      <c r="CR673" s="121"/>
      <c r="CS673" s="121"/>
      <c r="CT673" s="121"/>
    </row>
    <row r="674" spans="52:98" x14ac:dyDescent="0.3">
      <c r="AZ674" s="118"/>
      <c r="BA674" s="118"/>
      <c r="BB674" s="118"/>
      <c r="BC674" s="118"/>
      <c r="BD674" s="118"/>
      <c r="BE674" s="118"/>
      <c r="BF674" s="118"/>
      <c r="BI674" s="125"/>
    </row>
    <row r="675" spans="52:98" x14ac:dyDescent="0.3">
      <c r="AZ675" s="118"/>
      <c r="BA675" s="118"/>
      <c r="BB675" s="118"/>
      <c r="BC675" s="118"/>
      <c r="BD675" s="118"/>
      <c r="BE675" s="118"/>
      <c r="BF675" s="118"/>
    </row>
    <row r="676" spans="52:98" x14ac:dyDescent="0.3">
      <c r="AZ676" s="118"/>
      <c r="BA676" s="118"/>
      <c r="BB676" s="118"/>
      <c r="BC676" s="118"/>
      <c r="BD676" s="118"/>
      <c r="BE676" s="118"/>
      <c r="BF676" s="118"/>
      <c r="BI676" s="132"/>
    </row>
    <row r="677" spans="52:98" x14ac:dyDescent="0.3">
      <c r="AZ677" s="118"/>
      <c r="BA677" s="118"/>
      <c r="BB677" s="118"/>
      <c r="BC677" s="118"/>
      <c r="BD677" s="118"/>
      <c r="BE677" s="118"/>
      <c r="BF677" s="118"/>
    </row>
    <row r="678" spans="52:98" x14ac:dyDescent="0.3">
      <c r="AZ678" s="118"/>
      <c r="BA678" s="118"/>
      <c r="BB678" s="118"/>
      <c r="BC678" s="118"/>
      <c r="BD678" s="118"/>
      <c r="BE678" s="118"/>
      <c r="BF678" s="118"/>
      <c r="BI678" s="132"/>
    </row>
    <row r="679" spans="52:98" x14ac:dyDescent="0.3">
      <c r="AZ679" s="118"/>
      <c r="BA679" s="118"/>
      <c r="BB679" s="118"/>
      <c r="BC679" s="118"/>
      <c r="BD679" s="118"/>
      <c r="BE679" s="118"/>
      <c r="BF679" s="118"/>
    </row>
    <row r="680" spans="52:98" x14ac:dyDescent="0.3">
      <c r="AZ680" s="118"/>
      <c r="BA680" s="118"/>
      <c r="BB680" s="118"/>
      <c r="BC680" s="118"/>
      <c r="BD680" s="118"/>
      <c r="BE680" s="118"/>
      <c r="BF680" s="118"/>
      <c r="BI680" s="132"/>
    </row>
    <row r="681" spans="52:98" x14ac:dyDescent="0.3">
      <c r="AZ681" s="118"/>
      <c r="BA681" s="118"/>
      <c r="BB681" s="118"/>
      <c r="BC681" s="118"/>
      <c r="BD681" s="118"/>
      <c r="BE681" s="118"/>
      <c r="BF681" s="118"/>
    </row>
    <row r="682" spans="52:98" x14ac:dyDescent="0.3">
      <c r="AZ682" s="118"/>
      <c r="BA682" s="118"/>
      <c r="BB682" s="118"/>
      <c r="BC682" s="118"/>
      <c r="BD682" s="118"/>
      <c r="BE682" s="118"/>
      <c r="BF682" s="118"/>
      <c r="BI682" s="132"/>
    </row>
    <row r="683" spans="52:98" x14ac:dyDescent="0.3">
      <c r="AZ683" s="118"/>
      <c r="BA683" s="118"/>
      <c r="BB683" s="118"/>
      <c r="BC683" s="118"/>
      <c r="BD683" s="118"/>
      <c r="BE683" s="118"/>
      <c r="BF683" s="118"/>
    </row>
    <row r="684" spans="52:98" x14ac:dyDescent="0.3">
      <c r="BI684" s="132"/>
    </row>
    <row r="685" spans="52:98" x14ac:dyDescent="0.3">
      <c r="AZ685" s="118"/>
      <c r="BA685" s="118"/>
      <c r="BB685" s="118"/>
      <c r="BC685" s="118"/>
      <c r="BD685" s="118"/>
      <c r="BE685" s="118"/>
      <c r="BF685" s="118"/>
    </row>
    <row r="686" spans="52:98" x14ac:dyDescent="0.3">
      <c r="AZ686" s="118"/>
      <c r="BA686" s="118"/>
      <c r="BB686" s="118"/>
      <c r="BC686" s="118"/>
      <c r="BD686" s="118"/>
      <c r="BE686" s="118"/>
      <c r="BF686" s="118"/>
      <c r="BI686" s="132"/>
    </row>
    <row r="687" spans="52:98" x14ac:dyDescent="0.3">
      <c r="AZ687" s="118"/>
      <c r="BA687" s="118"/>
      <c r="BB687" s="118"/>
      <c r="BC687" s="118"/>
      <c r="BD687" s="118"/>
      <c r="BE687" s="118"/>
      <c r="BF687" s="118"/>
    </row>
    <row r="688" spans="52:98" x14ac:dyDescent="0.3">
      <c r="AZ688" s="118"/>
      <c r="BA688" s="118"/>
      <c r="BB688" s="118"/>
      <c r="BC688" s="118"/>
      <c r="BD688" s="118"/>
      <c r="BE688" s="118"/>
      <c r="BF688" s="118"/>
    </row>
    <row r="689" spans="52:98" x14ac:dyDescent="0.3">
      <c r="AZ689" s="118"/>
      <c r="BA689" s="118"/>
      <c r="BB689" s="118"/>
      <c r="BC689" s="118"/>
      <c r="BD689" s="118"/>
      <c r="BE689" s="118"/>
      <c r="BF689" s="118"/>
      <c r="BI689" s="125"/>
      <c r="BK689" s="121"/>
      <c r="BL689" s="121"/>
      <c r="BM689" s="121"/>
      <c r="BN689" s="121"/>
      <c r="BO689" s="121"/>
      <c r="BP689" s="121"/>
      <c r="BQ689" s="121"/>
      <c r="BR689" s="121"/>
      <c r="BS689" s="121"/>
      <c r="BT689" s="121"/>
      <c r="BU689" s="121"/>
      <c r="BV689" s="121"/>
      <c r="BW689" s="121"/>
      <c r="BX689" s="121"/>
      <c r="BY689" s="121"/>
      <c r="BZ689" s="121"/>
      <c r="CA689" s="121"/>
      <c r="CB689" s="121"/>
      <c r="CC689" s="121"/>
      <c r="CD689" s="121"/>
      <c r="CE689" s="121"/>
      <c r="CF689" s="121"/>
      <c r="CG689" s="121"/>
      <c r="CH689" s="121"/>
      <c r="CI689" s="121"/>
      <c r="CJ689" s="121"/>
      <c r="CK689" s="121"/>
      <c r="CL689" s="121"/>
      <c r="CM689" s="121"/>
      <c r="CN689" s="121"/>
      <c r="CO689" s="121"/>
      <c r="CP689" s="121"/>
      <c r="CQ689" s="121"/>
      <c r="CR689" s="121"/>
      <c r="CS689" s="121"/>
      <c r="CT689" s="121"/>
    </row>
    <row r="690" spans="52:98" x14ac:dyDescent="0.3">
      <c r="AZ690" s="118"/>
      <c r="BA690" s="118"/>
      <c r="BB690" s="118"/>
      <c r="BC690" s="118"/>
      <c r="BD690" s="118"/>
      <c r="BE690" s="118"/>
      <c r="BF690" s="118"/>
      <c r="BI690" s="125"/>
    </row>
    <row r="691" spans="52:98" x14ac:dyDescent="0.3">
      <c r="AZ691" s="118"/>
      <c r="BA691" s="118"/>
      <c r="BB691" s="118"/>
      <c r="BC691" s="118"/>
      <c r="BD691" s="118"/>
      <c r="BE691" s="118"/>
      <c r="BF691" s="118"/>
    </row>
    <row r="692" spans="52:98" x14ac:dyDescent="0.3">
      <c r="AZ692" s="118"/>
      <c r="BA692" s="118"/>
      <c r="BB692" s="118"/>
      <c r="BC692" s="118"/>
      <c r="BD692" s="118"/>
      <c r="BE692" s="118"/>
      <c r="BF692" s="118"/>
      <c r="BI692" s="132"/>
    </row>
    <row r="693" spans="52:98" x14ac:dyDescent="0.3">
      <c r="AZ693" s="118"/>
      <c r="BA693" s="118"/>
      <c r="BB693" s="118"/>
      <c r="BC693" s="118"/>
      <c r="BD693" s="118"/>
      <c r="BE693" s="118"/>
      <c r="BF693" s="118"/>
    </row>
    <row r="694" spans="52:98" x14ac:dyDescent="0.3">
      <c r="AZ694" s="118"/>
      <c r="BA694" s="118"/>
      <c r="BB694" s="118"/>
      <c r="BC694" s="118"/>
      <c r="BD694" s="118"/>
      <c r="BE694" s="118"/>
      <c r="BF694" s="118"/>
      <c r="BI694" s="132"/>
    </row>
    <row r="695" spans="52:98" x14ac:dyDescent="0.3">
      <c r="AZ695" s="118"/>
      <c r="BA695" s="118"/>
      <c r="BB695" s="118"/>
      <c r="BC695" s="118"/>
      <c r="BD695" s="118"/>
      <c r="BE695" s="118"/>
      <c r="BF695" s="118"/>
    </row>
    <row r="696" spans="52:98" x14ac:dyDescent="0.3">
      <c r="AZ696" s="118"/>
      <c r="BA696" s="118"/>
      <c r="BB696" s="118"/>
      <c r="BC696" s="118"/>
      <c r="BD696" s="118"/>
      <c r="BE696" s="118"/>
      <c r="BF696" s="118"/>
      <c r="BI696" s="132"/>
    </row>
    <row r="697" spans="52:98" x14ac:dyDescent="0.3">
      <c r="AZ697" s="118"/>
      <c r="BA697" s="118"/>
      <c r="BB697" s="118"/>
      <c r="BC697" s="118"/>
      <c r="BD697" s="118"/>
      <c r="BE697" s="118"/>
      <c r="BF697" s="118"/>
    </row>
    <row r="698" spans="52:98" x14ac:dyDescent="0.3">
      <c r="AZ698" s="118"/>
      <c r="BA698" s="118"/>
      <c r="BB698" s="118"/>
      <c r="BC698" s="118"/>
      <c r="BD698" s="118"/>
      <c r="BE698" s="118"/>
      <c r="BF698" s="118"/>
      <c r="BI698" s="132"/>
    </row>
    <row r="699" spans="52:98" x14ac:dyDescent="0.3">
      <c r="AZ699" s="118"/>
      <c r="BA699" s="118"/>
      <c r="BB699" s="118"/>
      <c r="BC699" s="118"/>
      <c r="BD699" s="118"/>
      <c r="BE699" s="118"/>
      <c r="BF699" s="118"/>
    </row>
    <row r="700" spans="52:98" x14ac:dyDescent="0.3">
      <c r="BI700" s="132"/>
    </row>
    <row r="701" spans="52:98" x14ac:dyDescent="0.3">
      <c r="AZ701" s="118"/>
      <c r="BA701" s="118"/>
      <c r="BB701" s="118"/>
      <c r="BC701" s="118"/>
      <c r="BD701" s="118"/>
      <c r="BE701" s="118"/>
      <c r="BF701" s="118"/>
    </row>
    <row r="702" spans="52:98" x14ac:dyDescent="0.3">
      <c r="AZ702" s="118"/>
      <c r="BA702" s="118"/>
      <c r="BB702" s="118"/>
      <c r="BC702" s="118"/>
      <c r="BD702" s="118"/>
      <c r="BE702" s="118"/>
      <c r="BF702" s="118"/>
      <c r="BI702" s="132"/>
    </row>
    <row r="703" spans="52:98" x14ac:dyDescent="0.3">
      <c r="AZ703" s="118"/>
      <c r="BA703" s="118"/>
      <c r="BB703" s="118"/>
      <c r="BC703" s="118"/>
      <c r="BD703" s="118"/>
      <c r="BE703" s="118"/>
      <c r="BF703" s="118"/>
    </row>
    <row r="704" spans="52:98" x14ac:dyDescent="0.3">
      <c r="AZ704" s="118"/>
      <c r="BA704" s="118"/>
      <c r="BB704" s="118"/>
      <c r="BC704" s="118"/>
      <c r="BD704" s="118"/>
      <c r="BE704" s="118"/>
      <c r="BF704" s="118"/>
    </row>
    <row r="705" spans="52:98" x14ac:dyDescent="0.3">
      <c r="AZ705" s="118"/>
      <c r="BA705" s="118"/>
      <c r="BB705" s="118"/>
      <c r="BC705" s="118"/>
      <c r="BD705" s="118"/>
      <c r="BE705" s="118"/>
      <c r="BF705" s="118"/>
      <c r="BI705" s="125"/>
      <c r="BK705" s="121"/>
      <c r="BL705" s="121"/>
      <c r="BM705" s="121"/>
      <c r="BN705" s="121"/>
      <c r="BO705" s="121"/>
      <c r="BP705" s="121"/>
      <c r="BQ705" s="121"/>
      <c r="BR705" s="121"/>
      <c r="BS705" s="121"/>
      <c r="BT705" s="121"/>
      <c r="BU705" s="121"/>
      <c r="BV705" s="121"/>
      <c r="BW705" s="121"/>
      <c r="BX705" s="121"/>
      <c r="BY705" s="121"/>
      <c r="BZ705" s="121"/>
      <c r="CA705" s="121"/>
      <c r="CB705" s="121"/>
      <c r="CC705" s="121"/>
      <c r="CD705" s="121"/>
      <c r="CE705" s="121"/>
      <c r="CF705" s="121"/>
      <c r="CG705" s="121"/>
      <c r="CH705" s="121"/>
      <c r="CI705" s="121"/>
      <c r="CJ705" s="121"/>
      <c r="CK705" s="121"/>
      <c r="CL705" s="121"/>
      <c r="CM705" s="121"/>
      <c r="CN705" s="121"/>
      <c r="CO705" s="121"/>
      <c r="CP705" s="121"/>
      <c r="CQ705" s="121"/>
      <c r="CR705" s="121"/>
      <c r="CS705" s="121"/>
      <c r="CT705" s="121"/>
    </row>
    <row r="706" spans="52:98" x14ac:dyDescent="0.3">
      <c r="AZ706" s="118"/>
      <c r="BA706" s="118"/>
      <c r="BB706" s="118"/>
      <c r="BC706" s="118"/>
      <c r="BD706" s="118"/>
      <c r="BE706" s="118"/>
      <c r="BF706" s="118"/>
      <c r="BI706" s="125"/>
    </row>
    <row r="707" spans="52:98" x14ac:dyDescent="0.3">
      <c r="AZ707" s="118"/>
      <c r="BA707" s="118"/>
      <c r="BB707" s="118"/>
      <c r="BC707" s="118"/>
      <c r="BD707" s="118"/>
      <c r="BE707" s="118"/>
      <c r="BF707" s="118"/>
    </row>
    <row r="708" spans="52:98" x14ac:dyDescent="0.3">
      <c r="AZ708" s="118"/>
      <c r="BA708" s="118"/>
      <c r="BB708" s="118"/>
      <c r="BC708" s="118"/>
      <c r="BD708" s="118"/>
      <c r="BE708" s="118"/>
      <c r="BF708" s="118"/>
      <c r="BI708" s="132"/>
    </row>
    <row r="709" spans="52:98" x14ac:dyDescent="0.3">
      <c r="AZ709" s="118"/>
      <c r="BA709" s="118"/>
      <c r="BB709" s="118"/>
      <c r="BC709" s="118"/>
      <c r="BD709" s="118"/>
      <c r="BE709" s="118"/>
      <c r="BF709" s="118"/>
    </row>
    <row r="710" spans="52:98" x14ac:dyDescent="0.3">
      <c r="AZ710" s="118"/>
      <c r="BA710" s="118"/>
      <c r="BB710" s="118"/>
      <c r="BC710" s="118"/>
      <c r="BD710" s="118"/>
      <c r="BE710" s="118"/>
      <c r="BF710" s="118"/>
      <c r="BI710" s="132"/>
    </row>
    <row r="711" spans="52:98" x14ac:dyDescent="0.3">
      <c r="AZ711" s="118"/>
      <c r="BA711" s="118"/>
      <c r="BB711" s="118"/>
      <c r="BC711" s="118"/>
      <c r="BD711" s="118"/>
      <c r="BE711" s="118"/>
      <c r="BF711" s="118"/>
    </row>
    <row r="712" spans="52:98" x14ac:dyDescent="0.3">
      <c r="AZ712" s="118"/>
      <c r="BA712" s="118"/>
      <c r="BB712" s="118"/>
      <c r="BC712" s="118"/>
      <c r="BD712" s="118"/>
      <c r="BE712" s="118"/>
      <c r="BF712" s="118"/>
      <c r="BI712" s="132"/>
    </row>
    <row r="713" spans="52:98" x14ac:dyDescent="0.3">
      <c r="AZ713" s="118"/>
      <c r="BA713" s="118"/>
      <c r="BB713" s="118"/>
      <c r="BC713" s="118"/>
      <c r="BD713" s="118"/>
      <c r="BE713" s="118"/>
      <c r="BF713" s="118"/>
    </row>
    <row r="714" spans="52:98" x14ac:dyDescent="0.3">
      <c r="AZ714" s="118"/>
      <c r="BA714" s="118"/>
      <c r="BB714" s="118"/>
      <c r="BC714" s="118"/>
      <c r="BD714" s="118"/>
      <c r="BE714" s="118"/>
      <c r="BF714" s="118"/>
      <c r="BI714" s="132"/>
    </row>
    <row r="715" spans="52:98" x14ac:dyDescent="0.3">
      <c r="AZ715" s="118"/>
      <c r="BA715" s="118"/>
      <c r="BB715" s="118"/>
      <c r="BC715" s="118"/>
      <c r="BD715" s="118"/>
      <c r="BE715" s="118"/>
      <c r="BF715" s="118"/>
    </row>
    <row r="716" spans="52:98" x14ac:dyDescent="0.3">
      <c r="BI716" s="132"/>
    </row>
    <row r="717" spans="52:98" x14ac:dyDescent="0.3">
      <c r="AZ717" s="118"/>
      <c r="BA717" s="118"/>
      <c r="BB717" s="118"/>
      <c r="BC717" s="118"/>
      <c r="BD717" s="118"/>
      <c r="BE717" s="118"/>
      <c r="BF717" s="118"/>
    </row>
    <row r="718" spans="52:98" x14ac:dyDescent="0.3">
      <c r="AZ718" s="118"/>
      <c r="BA718" s="118"/>
      <c r="BB718" s="118"/>
      <c r="BC718" s="118"/>
      <c r="BD718" s="118"/>
      <c r="BE718" s="118"/>
      <c r="BF718" s="118"/>
      <c r="BI718" s="132"/>
    </row>
    <row r="719" spans="52:98" x14ac:dyDescent="0.3">
      <c r="AZ719" s="118"/>
      <c r="BA719" s="118"/>
      <c r="BB719" s="118"/>
      <c r="BC719" s="118"/>
      <c r="BD719" s="118"/>
      <c r="BE719" s="118"/>
      <c r="BF719" s="118"/>
    </row>
    <row r="720" spans="52:98" x14ac:dyDescent="0.3">
      <c r="AZ720" s="118"/>
      <c r="BA720" s="118"/>
      <c r="BB720" s="118"/>
      <c r="BC720" s="118"/>
      <c r="BD720" s="118"/>
      <c r="BE720" s="118"/>
      <c r="BF720" s="118"/>
    </row>
    <row r="721" spans="52:98" x14ac:dyDescent="0.3">
      <c r="AZ721" s="118"/>
      <c r="BA721" s="118"/>
      <c r="BB721" s="118"/>
      <c r="BC721" s="118"/>
      <c r="BD721" s="118"/>
      <c r="BE721" s="118"/>
      <c r="BF721" s="118"/>
      <c r="BI721" s="125"/>
      <c r="BK721" s="121"/>
      <c r="BL721" s="121"/>
      <c r="BM721" s="121"/>
      <c r="BN721" s="121"/>
      <c r="BO721" s="121"/>
      <c r="BP721" s="121"/>
      <c r="BQ721" s="121"/>
      <c r="BR721" s="121"/>
      <c r="BS721" s="121"/>
      <c r="BT721" s="121"/>
      <c r="BU721" s="121"/>
      <c r="BV721" s="121"/>
      <c r="BW721" s="121"/>
      <c r="BX721" s="121"/>
      <c r="BY721" s="121"/>
      <c r="BZ721" s="121"/>
      <c r="CA721" s="121"/>
      <c r="CB721" s="121"/>
      <c r="CC721" s="121"/>
      <c r="CD721" s="121"/>
      <c r="CE721" s="121"/>
      <c r="CF721" s="121"/>
      <c r="CG721" s="121"/>
      <c r="CH721" s="121"/>
      <c r="CI721" s="121"/>
      <c r="CJ721" s="121"/>
      <c r="CK721" s="121"/>
      <c r="CL721" s="121"/>
      <c r="CM721" s="121"/>
      <c r="CN721" s="121"/>
      <c r="CO721" s="121"/>
      <c r="CP721" s="121"/>
      <c r="CQ721" s="121"/>
      <c r="CR721" s="121"/>
      <c r="CS721" s="121"/>
      <c r="CT721" s="121"/>
    </row>
    <row r="722" spans="52:98" x14ac:dyDescent="0.3">
      <c r="AZ722" s="118"/>
      <c r="BA722" s="118"/>
      <c r="BB722" s="118"/>
      <c r="BC722" s="118"/>
      <c r="BD722" s="118"/>
      <c r="BE722" s="118"/>
      <c r="BF722" s="118"/>
      <c r="BI722" s="125"/>
    </row>
    <row r="723" spans="52:98" x14ac:dyDescent="0.3">
      <c r="AZ723" s="118"/>
      <c r="BA723" s="118"/>
      <c r="BB723" s="118"/>
      <c r="BC723" s="118"/>
      <c r="BD723" s="118"/>
      <c r="BE723" s="118"/>
      <c r="BF723" s="118"/>
    </row>
    <row r="724" spans="52:98" x14ac:dyDescent="0.3">
      <c r="AZ724" s="118"/>
      <c r="BA724" s="118"/>
      <c r="BB724" s="118"/>
      <c r="BC724" s="118"/>
      <c r="BD724" s="118"/>
      <c r="BE724" s="118"/>
      <c r="BF724" s="118"/>
      <c r="BI724" s="132"/>
    </row>
    <row r="725" spans="52:98" x14ac:dyDescent="0.3">
      <c r="AZ725" s="118"/>
      <c r="BA725" s="118"/>
      <c r="BB725" s="118"/>
      <c r="BC725" s="118"/>
      <c r="BD725" s="118"/>
      <c r="BE725" s="118"/>
      <c r="BF725" s="118"/>
    </row>
    <row r="726" spans="52:98" x14ac:dyDescent="0.3">
      <c r="AZ726" s="118"/>
      <c r="BA726" s="118"/>
      <c r="BB726" s="118"/>
      <c r="BC726" s="118"/>
      <c r="BD726" s="118"/>
      <c r="BE726" s="118"/>
      <c r="BF726" s="118"/>
      <c r="BI726" s="132"/>
    </row>
    <row r="727" spans="52:98" x14ac:dyDescent="0.3">
      <c r="AZ727" s="118"/>
      <c r="BA727" s="118"/>
      <c r="BB727" s="118"/>
      <c r="BC727" s="118"/>
      <c r="BD727" s="118"/>
      <c r="BE727" s="118"/>
      <c r="BF727" s="118"/>
    </row>
    <row r="728" spans="52:98" x14ac:dyDescent="0.3">
      <c r="AZ728" s="118"/>
      <c r="BA728" s="118"/>
      <c r="BB728" s="118"/>
      <c r="BC728" s="118"/>
      <c r="BD728" s="118"/>
      <c r="BE728" s="118"/>
      <c r="BF728" s="118"/>
      <c r="BI728" s="132"/>
    </row>
    <row r="729" spans="52:98" x14ac:dyDescent="0.3">
      <c r="AZ729" s="118"/>
      <c r="BA729" s="118"/>
      <c r="BB729" s="118"/>
      <c r="BC729" s="118"/>
      <c r="BD729" s="118"/>
      <c r="BE729" s="118"/>
      <c r="BF729" s="118"/>
    </row>
    <row r="730" spans="52:98" x14ac:dyDescent="0.3">
      <c r="AZ730" s="118"/>
      <c r="BA730" s="118"/>
      <c r="BB730" s="118"/>
      <c r="BC730" s="118"/>
      <c r="BD730" s="118"/>
      <c r="BE730" s="118"/>
      <c r="BF730" s="118"/>
      <c r="BI730" s="132"/>
    </row>
    <row r="731" spans="52:98" x14ac:dyDescent="0.3">
      <c r="AZ731" s="118"/>
      <c r="BA731" s="118"/>
      <c r="BB731" s="118"/>
      <c r="BC731" s="118"/>
      <c r="BD731" s="118"/>
      <c r="BE731" s="118"/>
      <c r="BF731" s="118"/>
    </row>
    <row r="732" spans="52:98" x14ac:dyDescent="0.3">
      <c r="BI732" s="132"/>
    </row>
    <row r="733" spans="52:98" x14ac:dyDescent="0.3">
      <c r="AZ733" s="118"/>
      <c r="BA733" s="118"/>
      <c r="BB733" s="118"/>
      <c r="BC733" s="118"/>
      <c r="BD733" s="118"/>
      <c r="BE733" s="118"/>
      <c r="BF733" s="118"/>
    </row>
    <row r="734" spans="52:98" x14ac:dyDescent="0.3">
      <c r="AZ734" s="118"/>
      <c r="BA734" s="118"/>
      <c r="BB734" s="118"/>
      <c r="BC734" s="118"/>
      <c r="BD734" s="118"/>
      <c r="BE734" s="118"/>
      <c r="BF734" s="118"/>
      <c r="BI734" s="132"/>
    </row>
    <row r="735" spans="52:98" x14ac:dyDescent="0.3">
      <c r="AZ735" s="118"/>
      <c r="BA735" s="118"/>
      <c r="BB735" s="118"/>
      <c r="BC735" s="118"/>
      <c r="BD735" s="118"/>
      <c r="BE735" s="118"/>
      <c r="BF735" s="118"/>
    </row>
    <row r="736" spans="52:98" x14ac:dyDescent="0.3">
      <c r="AZ736" s="118"/>
      <c r="BA736" s="118"/>
      <c r="BB736" s="118"/>
      <c r="BC736" s="118"/>
      <c r="BD736" s="118"/>
      <c r="BE736" s="118"/>
      <c r="BF736" s="118"/>
    </row>
    <row r="737" spans="52:98" x14ac:dyDescent="0.3">
      <c r="AZ737" s="118"/>
      <c r="BA737" s="118"/>
      <c r="BB737" s="118"/>
      <c r="BC737" s="118"/>
      <c r="BD737" s="118"/>
      <c r="BE737" s="118"/>
      <c r="BF737" s="118"/>
      <c r="BI737" s="125"/>
      <c r="BK737" s="121"/>
      <c r="BL737" s="121"/>
      <c r="BM737" s="121"/>
      <c r="BN737" s="121"/>
      <c r="BO737" s="121"/>
      <c r="BP737" s="121"/>
      <c r="BQ737" s="121"/>
      <c r="BR737" s="121"/>
      <c r="BS737" s="121"/>
      <c r="BT737" s="121"/>
      <c r="BU737" s="121"/>
      <c r="BV737" s="121"/>
      <c r="BW737" s="121"/>
      <c r="BX737" s="121"/>
      <c r="BY737" s="121"/>
      <c r="BZ737" s="121"/>
      <c r="CA737" s="121"/>
      <c r="CB737" s="121"/>
      <c r="CC737" s="121"/>
      <c r="CD737" s="121"/>
      <c r="CE737" s="121"/>
      <c r="CF737" s="121"/>
      <c r="CG737" s="121"/>
      <c r="CH737" s="121"/>
      <c r="CI737" s="121"/>
      <c r="CJ737" s="121"/>
      <c r="CK737" s="121"/>
      <c r="CL737" s="121"/>
      <c r="CM737" s="121"/>
      <c r="CN737" s="121"/>
      <c r="CO737" s="121"/>
      <c r="CP737" s="121"/>
      <c r="CQ737" s="121"/>
      <c r="CR737" s="121"/>
      <c r="CS737" s="121"/>
      <c r="CT737" s="121"/>
    </row>
    <row r="738" spans="52:98" x14ac:dyDescent="0.3">
      <c r="AZ738" s="118"/>
      <c r="BA738" s="118"/>
      <c r="BB738" s="118"/>
      <c r="BC738" s="118"/>
      <c r="BD738" s="118"/>
      <c r="BE738" s="118"/>
      <c r="BF738" s="118"/>
      <c r="BI738" s="125"/>
    </row>
    <row r="739" spans="52:98" x14ac:dyDescent="0.3">
      <c r="AZ739" s="118"/>
      <c r="BA739" s="118"/>
      <c r="BB739" s="118"/>
      <c r="BC739" s="118"/>
      <c r="BD739" s="118"/>
      <c r="BE739" s="118"/>
      <c r="BF739" s="118"/>
    </row>
    <row r="740" spans="52:98" x14ac:dyDescent="0.3">
      <c r="AZ740" s="118"/>
      <c r="BA740" s="118"/>
      <c r="BB740" s="118"/>
      <c r="BC740" s="118"/>
      <c r="BD740" s="118"/>
      <c r="BE740" s="118"/>
      <c r="BF740" s="118"/>
      <c r="BI740" s="132"/>
    </row>
    <row r="741" spans="52:98" x14ac:dyDescent="0.3">
      <c r="AZ741" s="118"/>
      <c r="BA741" s="118"/>
      <c r="BB741" s="118"/>
      <c r="BC741" s="118"/>
      <c r="BD741" s="118"/>
      <c r="BE741" s="118"/>
      <c r="BF741" s="118"/>
    </row>
    <row r="742" spans="52:98" x14ac:dyDescent="0.3">
      <c r="AZ742" s="118"/>
      <c r="BA742" s="118"/>
      <c r="BB742" s="118"/>
      <c r="BC742" s="118"/>
      <c r="BD742" s="118"/>
      <c r="BE742" s="118"/>
      <c r="BF742" s="118"/>
      <c r="BI742" s="132"/>
    </row>
    <row r="743" spans="52:98" x14ac:dyDescent="0.3">
      <c r="AZ743" s="118"/>
      <c r="BA743" s="118"/>
      <c r="BB743" s="118"/>
      <c r="BC743" s="118"/>
      <c r="BD743" s="118"/>
      <c r="BE743" s="118"/>
      <c r="BF743" s="118"/>
    </row>
    <row r="744" spans="52:98" x14ac:dyDescent="0.3">
      <c r="AZ744" s="118"/>
      <c r="BA744" s="118"/>
      <c r="BB744" s="118"/>
      <c r="BC744" s="118"/>
      <c r="BD744" s="118"/>
      <c r="BE744" s="118"/>
      <c r="BF744" s="118"/>
      <c r="BI744" s="132"/>
    </row>
    <row r="745" spans="52:98" x14ac:dyDescent="0.3">
      <c r="AZ745" s="118"/>
      <c r="BA745" s="118"/>
      <c r="BB745" s="118"/>
      <c r="BC745" s="118"/>
      <c r="BD745" s="118"/>
      <c r="BE745" s="118"/>
      <c r="BF745" s="118"/>
    </row>
    <row r="746" spans="52:98" x14ac:dyDescent="0.3">
      <c r="AZ746" s="118"/>
      <c r="BA746" s="118"/>
      <c r="BB746" s="118"/>
      <c r="BC746" s="118"/>
      <c r="BD746" s="118"/>
      <c r="BE746" s="118"/>
      <c r="BF746" s="118"/>
      <c r="BI746" s="132"/>
    </row>
    <row r="747" spans="52:98" x14ac:dyDescent="0.3">
      <c r="AZ747" s="118"/>
      <c r="BA747" s="118"/>
      <c r="BB747" s="118"/>
      <c r="BC747" s="118"/>
      <c r="BD747" s="118"/>
      <c r="BE747" s="118"/>
      <c r="BF747" s="118"/>
    </row>
    <row r="748" spans="52:98" x14ac:dyDescent="0.3">
      <c r="BI748" s="132"/>
    </row>
    <row r="749" spans="52:98" x14ac:dyDescent="0.3">
      <c r="AZ749" s="118"/>
      <c r="BA749" s="118"/>
      <c r="BB749" s="118"/>
      <c r="BC749" s="118"/>
      <c r="BD749" s="118"/>
      <c r="BE749" s="118"/>
      <c r="BF749" s="118"/>
    </row>
    <row r="750" spans="52:98" x14ac:dyDescent="0.3">
      <c r="AZ750" s="118"/>
      <c r="BA750" s="118"/>
      <c r="BB750" s="118"/>
      <c r="BC750" s="118"/>
      <c r="BD750" s="118"/>
      <c r="BE750" s="118"/>
      <c r="BF750" s="118"/>
      <c r="BI750" s="132"/>
    </row>
    <row r="751" spans="52:98" x14ac:dyDescent="0.3">
      <c r="AZ751" s="118"/>
      <c r="BA751" s="118"/>
      <c r="BB751" s="118"/>
      <c r="BC751" s="118"/>
      <c r="BD751" s="118"/>
      <c r="BE751" s="118"/>
      <c r="BF751" s="118"/>
    </row>
    <row r="752" spans="52:98" x14ac:dyDescent="0.3">
      <c r="AZ752" s="118"/>
      <c r="BA752" s="118"/>
      <c r="BB752" s="118"/>
      <c r="BC752" s="118"/>
      <c r="BD752" s="118"/>
      <c r="BE752" s="118"/>
      <c r="BF752" s="118"/>
    </row>
    <row r="753" spans="52:98" x14ac:dyDescent="0.3">
      <c r="AZ753" s="118"/>
      <c r="BA753" s="118"/>
      <c r="BB753" s="118"/>
      <c r="BC753" s="118"/>
      <c r="BD753" s="118"/>
      <c r="BE753" s="118"/>
      <c r="BF753" s="118"/>
      <c r="BI753" s="125"/>
      <c r="BK753" s="121"/>
      <c r="BL753" s="121"/>
      <c r="BM753" s="121"/>
      <c r="BN753" s="121"/>
      <c r="BO753" s="121"/>
      <c r="BP753" s="121"/>
      <c r="BQ753" s="121"/>
      <c r="BR753" s="121"/>
      <c r="BS753" s="121"/>
      <c r="BT753" s="121"/>
      <c r="BU753" s="121"/>
      <c r="BV753" s="121"/>
      <c r="BW753" s="121"/>
      <c r="BX753" s="121"/>
      <c r="BY753" s="121"/>
      <c r="BZ753" s="121"/>
      <c r="CA753" s="121"/>
      <c r="CB753" s="121"/>
      <c r="CC753" s="121"/>
      <c r="CD753" s="121"/>
      <c r="CE753" s="121"/>
      <c r="CF753" s="121"/>
      <c r="CG753" s="121"/>
      <c r="CH753" s="121"/>
      <c r="CI753" s="121"/>
      <c r="CJ753" s="121"/>
      <c r="CK753" s="121"/>
      <c r="CL753" s="121"/>
      <c r="CM753" s="121"/>
      <c r="CN753" s="121"/>
      <c r="CO753" s="121"/>
      <c r="CP753" s="121"/>
      <c r="CQ753" s="121"/>
      <c r="CR753" s="121"/>
      <c r="CS753" s="121"/>
      <c r="CT753" s="121"/>
    </row>
    <row r="754" spans="52:98" x14ac:dyDescent="0.3">
      <c r="AZ754" s="118"/>
      <c r="BA754" s="118"/>
      <c r="BB754" s="118"/>
      <c r="BC754" s="118"/>
      <c r="BD754" s="118"/>
      <c r="BE754" s="118"/>
      <c r="BF754" s="118"/>
      <c r="BI754" s="125"/>
    </row>
    <row r="755" spans="52:98" x14ac:dyDescent="0.3">
      <c r="AZ755" s="118"/>
      <c r="BA755" s="118"/>
      <c r="BB755" s="118"/>
      <c r="BC755" s="118"/>
      <c r="BD755" s="118"/>
      <c r="BE755" s="118"/>
      <c r="BF755" s="118"/>
    </row>
    <row r="756" spans="52:98" x14ac:dyDescent="0.3">
      <c r="AZ756" s="118"/>
      <c r="BA756" s="118"/>
      <c r="BB756" s="118"/>
      <c r="BC756" s="118"/>
      <c r="BD756" s="118"/>
      <c r="BE756" s="118"/>
      <c r="BF756" s="118"/>
      <c r="BI756" s="132"/>
    </row>
    <row r="757" spans="52:98" x14ac:dyDescent="0.3">
      <c r="AZ757" s="118"/>
      <c r="BA757" s="118"/>
      <c r="BB757" s="118"/>
      <c r="BC757" s="118"/>
      <c r="BD757" s="118"/>
      <c r="BE757" s="118"/>
      <c r="BF757" s="118"/>
    </row>
    <row r="758" spans="52:98" x14ac:dyDescent="0.3">
      <c r="AZ758" s="118"/>
      <c r="BA758" s="118"/>
      <c r="BB758" s="118"/>
      <c r="BC758" s="118"/>
      <c r="BD758" s="118"/>
      <c r="BE758" s="118"/>
      <c r="BF758" s="118"/>
      <c r="BI758" s="132"/>
    </row>
    <row r="759" spans="52:98" x14ac:dyDescent="0.3">
      <c r="AZ759" s="118"/>
      <c r="BA759" s="118"/>
      <c r="BB759" s="118"/>
      <c r="BC759" s="118"/>
      <c r="BD759" s="118"/>
      <c r="BE759" s="118"/>
      <c r="BF759" s="118"/>
    </row>
    <row r="760" spans="52:98" x14ac:dyDescent="0.3">
      <c r="AZ760" s="118"/>
      <c r="BA760" s="118"/>
      <c r="BB760" s="118"/>
      <c r="BC760" s="118"/>
      <c r="BD760" s="118"/>
      <c r="BE760" s="118"/>
      <c r="BF760" s="118"/>
      <c r="BI760" s="132"/>
    </row>
    <row r="761" spans="52:98" x14ac:dyDescent="0.3">
      <c r="AZ761" s="118"/>
      <c r="BA761" s="118"/>
      <c r="BB761" s="118"/>
      <c r="BC761" s="118"/>
      <c r="BD761" s="118"/>
      <c r="BE761" s="118"/>
      <c r="BF761" s="118"/>
    </row>
    <row r="762" spans="52:98" x14ac:dyDescent="0.3">
      <c r="AZ762" s="118"/>
      <c r="BA762" s="118"/>
      <c r="BB762" s="118"/>
      <c r="BC762" s="118"/>
      <c r="BD762" s="118"/>
      <c r="BE762" s="118"/>
      <c r="BF762" s="118"/>
      <c r="BI762" s="132"/>
    </row>
    <row r="763" spans="52:98" x14ac:dyDescent="0.3">
      <c r="AZ763" s="118"/>
      <c r="BA763" s="118"/>
      <c r="BB763" s="118"/>
      <c r="BC763" s="118"/>
      <c r="BD763" s="118"/>
      <c r="BE763" s="118"/>
      <c r="BF763" s="118"/>
    </row>
    <row r="764" spans="52:98" x14ac:dyDescent="0.3">
      <c r="BI764" s="132"/>
    </row>
    <row r="765" spans="52:98" x14ac:dyDescent="0.3">
      <c r="AZ765" s="118"/>
      <c r="BA765" s="118"/>
      <c r="BB765" s="118"/>
      <c r="BC765" s="118"/>
      <c r="BD765" s="118"/>
      <c r="BE765" s="118"/>
      <c r="BF765" s="118"/>
    </row>
    <row r="766" spans="52:98" x14ac:dyDescent="0.3">
      <c r="AZ766" s="118"/>
      <c r="BA766" s="118"/>
      <c r="BB766" s="118"/>
      <c r="BC766" s="118"/>
      <c r="BD766" s="118"/>
      <c r="BE766" s="118"/>
      <c r="BF766" s="118"/>
      <c r="BI766" s="132"/>
    </row>
    <row r="767" spans="52:98" x14ac:dyDescent="0.3">
      <c r="AZ767" s="118"/>
      <c r="BA767" s="118"/>
      <c r="BB767" s="118"/>
      <c r="BC767" s="118"/>
      <c r="BD767" s="118"/>
      <c r="BE767" s="118"/>
      <c r="BF767" s="118"/>
    </row>
    <row r="768" spans="52:98" x14ac:dyDescent="0.3">
      <c r="AZ768" s="118"/>
      <c r="BA768" s="118"/>
      <c r="BB768" s="118"/>
      <c r="BC768" s="118"/>
      <c r="BD768" s="118"/>
      <c r="BE768" s="118"/>
      <c r="BF768" s="118"/>
    </row>
    <row r="769" spans="52:98" x14ac:dyDescent="0.3">
      <c r="AZ769" s="118"/>
      <c r="BA769" s="118"/>
      <c r="BB769" s="118"/>
      <c r="BC769" s="118"/>
      <c r="BD769" s="118"/>
      <c r="BE769" s="118"/>
      <c r="BF769" s="118"/>
      <c r="BI769" s="125"/>
      <c r="BK769" s="121"/>
      <c r="BL769" s="121"/>
      <c r="BM769" s="121"/>
      <c r="BN769" s="121"/>
      <c r="BO769" s="121"/>
      <c r="BP769" s="121"/>
      <c r="BQ769" s="121"/>
      <c r="BR769" s="121"/>
      <c r="BS769" s="121"/>
      <c r="BT769" s="121"/>
      <c r="BU769" s="121"/>
      <c r="BV769" s="121"/>
      <c r="BW769" s="121"/>
      <c r="BX769" s="121"/>
      <c r="BY769" s="121"/>
      <c r="BZ769" s="121"/>
      <c r="CA769" s="121"/>
      <c r="CB769" s="121"/>
      <c r="CC769" s="121"/>
      <c r="CD769" s="121"/>
      <c r="CE769" s="121"/>
      <c r="CF769" s="121"/>
      <c r="CG769" s="121"/>
      <c r="CH769" s="121"/>
      <c r="CI769" s="121"/>
      <c r="CJ769" s="121"/>
      <c r="CK769" s="121"/>
      <c r="CL769" s="121"/>
      <c r="CM769" s="121"/>
      <c r="CN769" s="121"/>
      <c r="CO769" s="121"/>
      <c r="CP769" s="121"/>
      <c r="CQ769" s="121"/>
      <c r="CR769" s="121"/>
      <c r="CS769" s="121"/>
      <c r="CT769" s="121"/>
    </row>
    <row r="770" spans="52:98" x14ac:dyDescent="0.3">
      <c r="AZ770" s="118"/>
      <c r="BA770" s="118"/>
      <c r="BB770" s="118"/>
      <c r="BC770" s="118"/>
      <c r="BD770" s="118"/>
      <c r="BE770" s="118"/>
      <c r="BF770" s="118"/>
      <c r="BI770" s="125"/>
    </row>
    <row r="771" spans="52:98" x14ac:dyDescent="0.3">
      <c r="AZ771" s="118"/>
      <c r="BA771" s="118"/>
      <c r="BB771" s="118"/>
      <c r="BC771" s="118"/>
      <c r="BD771" s="118"/>
      <c r="BE771" s="118"/>
      <c r="BF771" s="118"/>
    </row>
    <row r="772" spans="52:98" x14ac:dyDescent="0.3">
      <c r="AZ772" s="118"/>
      <c r="BA772" s="118"/>
      <c r="BB772" s="118"/>
      <c r="BC772" s="118"/>
      <c r="BD772" s="118"/>
      <c r="BE772" s="118"/>
      <c r="BF772" s="118"/>
      <c r="BI772" s="132"/>
    </row>
    <row r="773" spans="52:98" x14ac:dyDescent="0.3">
      <c r="AZ773" s="118"/>
      <c r="BA773" s="118"/>
      <c r="BB773" s="118"/>
      <c r="BC773" s="118"/>
      <c r="BD773" s="118"/>
      <c r="BE773" s="118"/>
      <c r="BF773" s="118"/>
    </row>
    <row r="774" spans="52:98" x14ac:dyDescent="0.3">
      <c r="AZ774" s="118"/>
      <c r="BA774" s="118"/>
      <c r="BB774" s="118"/>
      <c r="BC774" s="118"/>
      <c r="BD774" s="118"/>
      <c r="BE774" s="118"/>
      <c r="BF774" s="118"/>
      <c r="BI774" s="132"/>
    </row>
    <row r="775" spans="52:98" x14ac:dyDescent="0.3">
      <c r="AZ775" s="118"/>
      <c r="BA775" s="118"/>
      <c r="BB775" s="118"/>
      <c r="BC775" s="118"/>
      <c r="BD775" s="118"/>
      <c r="BE775" s="118"/>
      <c r="BF775" s="118"/>
    </row>
    <row r="776" spans="52:98" x14ac:dyDescent="0.3">
      <c r="AZ776" s="118"/>
      <c r="BA776" s="118"/>
      <c r="BB776" s="118"/>
      <c r="BC776" s="118"/>
      <c r="BD776" s="118"/>
      <c r="BE776" s="118"/>
      <c r="BF776" s="118"/>
      <c r="BI776" s="132"/>
    </row>
    <row r="777" spans="52:98" x14ac:dyDescent="0.3">
      <c r="AZ777" s="118"/>
      <c r="BA777" s="118"/>
      <c r="BB777" s="118"/>
      <c r="BC777" s="118"/>
      <c r="BD777" s="118"/>
      <c r="BE777" s="118"/>
      <c r="BF777" s="118"/>
    </row>
    <row r="778" spans="52:98" x14ac:dyDescent="0.3">
      <c r="AZ778" s="118"/>
      <c r="BA778" s="118"/>
      <c r="BB778" s="118"/>
      <c r="BC778" s="118"/>
      <c r="BD778" s="118"/>
      <c r="BE778" s="118"/>
      <c r="BF778" s="118"/>
      <c r="BI778" s="132"/>
    </row>
    <row r="779" spans="52:98" x14ac:dyDescent="0.3">
      <c r="AZ779" s="118"/>
      <c r="BA779" s="118"/>
      <c r="BB779" s="118"/>
      <c r="BC779" s="118"/>
      <c r="BD779" s="118"/>
      <c r="BE779" s="118"/>
      <c r="BF779" s="118"/>
    </row>
    <row r="780" spans="52:98" x14ac:dyDescent="0.3">
      <c r="BI780" s="132"/>
    </row>
    <row r="781" spans="52:98" x14ac:dyDescent="0.3">
      <c r="AZ781" s="118"/>
      <c r="BA781" s="118"/>
      <c r="BB781" s="118"/>
      <c r="BC781" s="118"/>
      <c r="BD781" s="118"/>
      <c r="BE781" s="118"/>
      <c r="BF781" s="118"/>
    </row>
    <row r="782" spans="52:98" x14ac:dyDescent="0.3">
      <c r="AZ782" s="118"/>
      <c r="BA782" s="118"/>
      <c r="BB782" s="118"/>
      <c r="BC782" s="118"/>
      <c r="BD782" s="118"/>
      <c r="BE782" s="118"/>
      <c r="BF782" s="118"/>
      <c r="BI782" s="132"/>
    </row>
    <row r="783" spans="52:98" x14ac:dyDescent="0.3">
      <c r="AZ783" s="118"/>
      <c r="BA783" s="118"/>
      <c r="BB783" s="118"/>
      <c r="BC783" s="118"/>
      <c r="BD783" s="118"/>
      <c r="BE783" s="118"/>
      <c r="BF783" s="118"/>
    </row>
    <row r="784" spans="52:98" x14ac:dyDescent="0.3">
      <c r="AZ784" s="118"/>
      <c r="BA784" s="118"/>
      <c r="BB784" s="118"/>
      <c r="BC784" s="118"/>
      <c r="BD784" s="118"/>
      <c r="BE784" s="118"/>
      <c r="BF784" s="118"/>
    </row>
    <row r="785" spans="52:98" x14ac:dyDescent="0.3">
      <c r="AZ785" s="118"/>
      <c r="BA785" s="118"/>
      <c r="BB785" s="118"/>
      <c r="BC785" s="118"/>
      <c r="BD785" s="118"/>
      <c r="BE785" s="118"/>
      <c r="BF785" s="118"/>
      <c r="BI785" s="125"/>
      <c r="BK785" s="121"/>
      <c r="BL785" s="121"/>
      <c r="BM785" s="121"/>
      <c r="BN785" s="121"/>
      <c r="BO785" s="121"/>
      <c r="BP785" s="121"/>
      <c r="BQ785" s="121"/>
      <c r="BR785" s="121"/>
      <c r="BS785" s="121"/>
      <c r="BT785" s="121"/>
      <c r="BU785" s="121"/>
      <c r="BV785" s="121"/>
      <c r="BW785" s="121"/>
      <c r="BX785" s="121"/>
      <c r="BY785" s="121"/>
      <c r="BZ785" s="121"/>
      <c r="CA785" s="121"/>
      <c r="CB785" s="121"/>
      <c r="CC785" s="121"/>
      <c r="CD785" s="121"/>
      <c r="CE785" s="121"/>
      <c r="CF785" s="121"/>
      <c r="CG785" s="121"/>
      <c r="CH785" s="121"/>
      <c r="CI785" s="121"/>
      <c r="CJ785" s="121"/>
      <c r="CK785" s="121"/>
      <c r="CL785" s="121"/>
      <c r="CM785" s="121"/>
      <c r="CN785" s="121"/>
      <c r="CO785" s="121"/>
      <c r="CP785" s="121"/>
      <c r="CQ785" s="121"/>
      <c r="CR785" s="121"/>
      <c r="CS785" s="121"/>
      <c r="CT785" s="121"/>
    </row>
    <row r="786" spans="52:98" x14ac:dyDescent="0.3">
      <c r="AZ786" s="118"/>
      <c r="BA786" s="118"/>
      <c r="BB786" s="118"/>
      <c r="BC786" s="118"/>
      <c r="BD786" s="118"/>
      <c r="BE786" s="118"/>
      <c r="BF786" s="118"/>
      <c r="BI786" s="125"/>
    </row>
    <row r="787" spans="52:98" x14ac:dyDescent="0.3">
      <c r="AZ787" s="118"/>
      <c r="BA787" s="118"/>
      <c r="BB787" s="118"/>
      <c r="BC787" s="118"/>
      <c r="BD787" s="118"/>
      <c r="BE787" s="118"/>
      <c r="BF787" s="118"/>
    </row>
    <row r="788" spans="52:98" x14ac:dyDescent="0.3">
      <c r="AZ788" s="118"/>
      <c r="BA788" s="118"/>
      <c r="BB788" s="118"/>
      <c r="BC788" s="118"/>
      <c r="BD788" s="118"/>
      <c r="BE788" s="118"/>
      <c r="BF788" s="118"/>
      <c r="BI788" s="132"/>
    </row>
    <row r="789" spans="52:98" x14ac:dyDescent="0.3">
      <c r="AZ789" s="118"/>
      <c r="BA789" s="118"/>
      <c r="BB789" s="118"/>
      <c r="BC789" s="118"/>
      <c r="BD789" s="118"/>
      <c r="BE789" s="118"/>
      <c r="BF789" s="118"/>
    </row>
    <row r="790" spans="52:98" x14ac:dyDescent="0.3">
      <c r="AZ790" s="118"/>
      <c r="BA790" s="118"/>
      <c r="BB790" s="118"/>
      <c r="BC790" s="118"/>
      <c r="BD790" s="118"/>
      <c r="BE790" s="118"/>
      <c r="BF790" s="118"/>
      <c r="BI790" s="132"/>
    </row>
    <row r="791" spans="52:98" x14ac:dyDescent="0.3">
      <c r="AZ791" s="118"/>
      <c r="BA791" s="118"/>
      <c r="BB791" s="118"/>
      <c r="BC791" s="118"/>
      <c r="BD791" s="118"/>
      <c r="BE791" s="118"/>
      <c r="BF791" s="118"/>
    </row>
    <row r="792" spans="52:98" x14ac:dyDescent="0.3">
      <c r="AZ792" s="118"/>
      <c r="BA792" s="118"/>
      <c r="BB792" s="118"/>
      <c r="BC792" s="118"/>
      <c r="BD792" s="118"/>
      <c r="BE792" s="118"/>
      <c r="BF792" s="118"/>
      <c r="BI792" s="132"/>
    </row>
    <row r="793" spans="52:98" x14ac:dyDescent="0.3">
      <c r="AZ793" s="118"/>
      <c r="BA793" s="118"/>
      <c r="BB793" s="118"/>
      <c r="BC793" s="118"/>
      <c r="BD793" s="118"/>
      <c r="BE793" s="118"/>
      <c r="BF793" s="118"/>
    </row>
    <row r="794" spans="52:98" x14ac:dyDescent="0.3">
      <c r="AZ794" s="118"/>
      <c r="BA794" s="118"/>
      <c r="BB794" s="118"/>
      <c r="BC794" s="118"/>
      <c r="BD794" s="118"/>
      <c r="BE794" s="118"/>
      <c r="BF794" s="118"/>
      <c r="BI794" s="132"/>
    </row>
    <row r="795" spans="52:98" x14ac:dyDescent="0.3">
      <c r="AZ795" s="118"/>
      <c r="BA795" s="118"/>
      <c r="BB795" s="118"/>
      <c r="BC795" s="118"/>
      <c r="BD795" s="118"/>
      <c r="BE795" s="118"/>
      <c r="BF795" s="118"/>
    </row>
    <row r="796" spans="52:98" x14ac:dyDescent="0.3">
      <c r="BI796" s="132"/>
    </row>
    <row r="797" spans="52:98" x14ac:dyDescent="0.3">
      <c r="AZ797" s="118"/>
      <c r="BA797" s="118"/>
      <c r="BB797" s="118"/>
      <c r="BC797" s="118"/>
      <c r="BD797" s="118"/>
      <c r="BE797" s="118"/>
      <c r="BF797" s="118"/>
    </row>
    <row r="798" spans="52:98" x14ac:dyDescent="0.3">
      <c r="AZ798" s="118"/>
      <c r="BA798" s="118"/>
      <c r="BB798" s="118"/>
      <c r="BC798" s="118"/>
      <c r="BD798" s="118"/>
      <c r="BE798" s="118"/>
      <c r="BF798" s="118"/>
      <c r="BI798" s="132"/>
    </row>
    <row r="799" spans="52:98" x14ac:dyDescent="0.3">
      <c r="AZ799" s="118"/>
      <c r="BA799" s="118"/>
      <c r="BB799" s="118"/>
      <c r="BC799" s="118"/>
      <c r="BD799" s="118"/>
      <c r="BE799" s="118"/>
      <c r="BF799" s="118"/>
      <c r="BI799" s="152"/>
    </row>
    <row r="800" spans="52:98" x14ac:dyDescent="0.3">
      <c r="AZ800" s="118"/>
      <c r="BA800" s="118"/>
      <c r="BB800" s="118"/>
      <c r="BC800" s="118"/>
      <c r="BD800" s="118"/>
      <c r="BE800" s="118"/>
      <c r="BF800" s="118"/>
      <c r="BI800" s="132"/>
    </row>
    <row r="801" spans="52:98" x14ac:dyDescent="0.3">
      <c r="AZ801" s="118"/>
      <c r="BA801" s="118"/>
      <c r="BB801" s="118"/>
      <c r="BC801" s="118"/>
      <c r="BD801" s="118"/>
      <c r="BE801" s="118"/>
      <c r="BF801" s="118"/>
      <c r="BI801" s="125"/>
      <c r="BK801" s="121"/>
      <c r="BL801" s="121"/>
      <c r="BM801" s="121"/>
      <c r="BN801" s="121"/>
      <c r="BO801" s="121"/>
      <c r="BP801" s="121"/>
      <c r="BQ801" s="121"/>
      <c r="BR801" s="121"/>
      <c r="BS801" s="121"/>
      <c r="BT801" s="121"/>
      <c r="BU801" s="121"/>
      <c r="BV801" s="121"/>
      <c r="BW801" s="121"/>
      <c r="BX801" s="121"/>
      <c r="BY801" s="121"/>
      <c r="BZ801" s="121"/>
      <c r="CA801" s="121"/>
      <c r="CB801" s="121"/>
      <c r="CC801" s="121"/>
      <c r="CD801" s="121"/>
      <c r="CE801" s="121"/>
      <c r="CF801" s="121"/>
      <c r="CG801" s="121"/>
      <c r="CH801" s="121"/>
      <c r="CI801" s="121"/>
      <c r="CJ801" s="121"/>
      <c r="CK801" s="121"/>
      <c r="CL801" s="121"/>
      <c r="CM801" s="121"/>
      <c r="CN801" s="121"/>
      <c r="CO801" s="121"/>
      <c r="CP801" s="121"/>
      <c r="CQ801" s="121"/>
      <c r="CR801" s="121"/>
      <c r="CS801" s="121"/>
      <c r="CT801" s="121"/>
    </row>
    <row r="802" spans="52:98" x14ac:dyDescent="0.3">
      <c r="AZ802" s="118"/>
      <c r="BA802" s="118"/>
      <c r="BB802" s="118"/>
      <c r="BC802" s="118"/>
      <c r="BD802" s="118"/>
      <c r="BE802" s="118"/>
      <c r="BF802" s="118"/>
      <c r="BI802" s="125"/>
    </row>
    <row r="803" spans="52:98" x14ac:dyDescent="0.3">
      <c r="AZ803" s="118"/>
      <c r="BA803" s="118"/>
      <c r="BB803" s="118"/>
      <c r="BC803" s="118"/>
      <c r="BD803" s="118"/>
      <c r="BE803" s="118"/>
      <c r="BF803" s="118"/>
    </row>
    <row r="804" spans="52:98" x14ac:dyDescent="0.3">
      <c r="AZ804" s="118"/>
      <c r="BA804" s="118"/>
      <c r="BB804" s="118"/>
      <c r="BC804" s="118"/>
      <c r="BD804" s="118"/>
      <c r="BE804" s="118"/>
      <c r="BF804" s="118"/>
      <c r="BI804" s="132"/>
    </row>
    <row r="805" spans="52:98" x14ac:dyDescent="0.3">
      <c r="AZ805" s="118"/>
      <c r="BA805" s="118"/>
      <c r="BB805" s="118"/>
      <c r="BC805" s="118"/>
      <c r="BD805" s="118"/>
      <c r="BE805" s="118"/>
      <c r="BF805" s="118"/>
    </row>
    <row r="806" spans="52:98" x14ac:dyDescent="0.3">
      <c r="AZ806" s="118"/>
      <c r="BA806" s="118"/>
      <c r="BB806" s="118"/>
      <c r="BC806" s="118"/>
      <c r="BD806" s="118"/>
      <c r="BE806" s="118"/>
      <c r="BF806" s="118"/>
      <c r="BI806" s="132"/>
    </row>
    <row r="807" spans="52:98" x14ac:dyDescent="0.3">
      <c r="AZ807" s="118"/>
      <c r="BA807" s="118"/>
      <c r="BB807" s="118"/>
      <c r="BC807" s="118"/>
      <c r="BD807" s="118"/>
      <c r="BE807" s="118"/>
      <c r="BF807" s="118"/>
    </row>
    <row r="808" spans="52:98" x14ac:dyDescent="0.3">
      <c r="AZ808" s="118"/>
      <c r="BA808" s="118"/>
      <c r="BB808" s="118"/>
      <c r="BC808" s="118"/>
      <c r="BD808" s="118"/>
      <c r="BE808" s="118"/>
      <c r="BF808" s="118"/>
      <c r="BI808" s="132"/>
    </row>
    <row r="809" spans="52:98" x14ac:dyDescent="0.3">
      <c r="AZ809" s="118"/>
      <c r="BA809" s="118"/>
      <c r="BB809" s="118"/>
      <c r="BC809" s="118"/>
      <c r="BD809" s="118"/>
      <c r="BE809" s="118"/>
      <c r="BF809" s="118"/>
    </row>
    <row r="810" spans="52:98" x14ac:dyDescent="0.3">
      <c r="AZ810" s="118"/>
      <c r="BA810" s="118"/>
      <c r="BB810" s="118"/>
      <c r="BC810" s="118"/>
      <c r="BD810" s="118"/>
      <c r="BE810" s="118"/>
      <c r="BF810" s="118"/>
      <c r="BI810" s="132"/>
    </row>
    <row r="811" spans="52:98" x14ac:dyDescent="0.3">
      <c r="AZ811" s="118"/>
      <c r="BA811" s="118"/>
      <c r="BB811" s="118"/>
      <c r="BC811" s="118"/>
      <c r="BD811" s="118"/>
      <c r="BE811" s="118"/>
      <c r="BF811" s="118"/>
    </row>
    <row r="812" spans="52:98" x14ac:dyDescent="0.3">
      <c r="AZ812" s="118"/>
      <c r="BA812" s="118"/>
      <c r="BB812" s="118"/>
      <c r="BC812" s="118"/>
      <c r="BD812" s="118"/>
      <c r="BE812" s="118"/>
      <c r="BF812" s="118"/>
      <c r="BI812" s="132"/>
    </row>
    <row r="813" spans="52:98" x14ac:dyDescent="0.3">
      <c r="AZ813" s="118"/>
      <c r="BA813" s="118"/>
      <c r="BB813" s="118"/>
      <c r="BC813" s="118"/>
      <c r="BD813" s="118"/>
      <c r="BE813" s="118"/>
      <c r="BF813" s="118"/>
    </row>
    <row r="814" spans="52:98" x14ac:dyDescent="0.3">
      <c r="AZ814" s="118"/>
      <c r="BA814" s="118"/>
      <c r="BB814" s="118"/>
      <c r="BC814" s="118"/>
      <c r="BD814" s="118"/>
      <c r="BE814" s="118"/>
      <c r="BF814" s="118"/>
      <c r="BI814" s="132"/>
    </row>
    <row r="815" spans="52:98" x14ac:dyDescent="0.3">
      <c r="AZ815" s="118"/>
      <c r="BA815" s="118"/>
      <c r="BB815" s="118"/>
      <c r="BC815" s="118"/>
      <c r="BD815" s="118"/>
      <c r="BE815" s="118"/>
      <c r="BF815" s="118"/>
      <c r="BI815" s="152"/>
    </row>
    <row r="816" spans="52:98" x14ac:dyDescent="0.3">
      <c r="AZ816" s="118"/>
      <c r="BA816" s="118"/>
      <c r="BB816" s="118"/>
      <c r="BC816" s="118"/>
      <c r="BD816" s="118"/>
      <c r="BE816" s="118"/>
      <c r="BF816" s="118"/>
    </row>
    <row r="817" spans="52:98" x14ac:dyDescent="0.3">
      <c r="AZ817" s="118"/>
      <c r="BA817" s="118"/>
      <c r="BB817" s="118"/>
      <c r="BC817" s="118"/>
      <c r="BD817" s="118"/>
      <c r="BE817" s="118"/>
      <c r="BF817" s="118"/>
      <c r="BI817" s="125"/>
      <c r="BK817" s="121"/>
      <c r="BL817" s="121"/>
      <c r="BM817" s="121"/>
      <c r="BN817" s="121"/>
      <c r="BO817" s="121"/>
      <c r="BP817" s="121"/>
      <c r="BQ817" s="121"/>
      <c r="BR817" s="121"/>
      <c r="BS817" s="121"/>
      <c r="BT817" s="121"/>
      <c r="BU817" s="121"/>
      <c r="BV817" s="121"/>
      <c r="BW817" s="121"/>
      <c r="BX817" s="121"/>
      <c r="BY817" s="121"/>
      <c r="BZ817" s="121"/>
      <c r="CA817" s="121"/>
      <c r="CB817" s="121"/>
      <c r="CC817" s="121"/>
      <c r="CD817" s="121"/>
      <c r="CE817" s="121"/>
      <c r="CF817" s="121"/>
      <c r="CG817" s="121"/>
      <c r="CH817" s="121"/>
      <c r="CI817" s="121"/>
      <c r="CJ817" s="121"/>
      <c r="CK817" s="121"/>
      <c r="CL817" s="121"/>
      <c r="CM817" s="121"/>
      <c r="CN817" s="121"/>
      <c r="CO817" s="121"/>
      <c r="CP817" s="121"/>
      <c r="CQ817" s="121"/>
      <c r="CR817" s="121"/>
      <c r="CS817" s="121"/>
      <c r="CT817" s="121"/>
    </row>
    <row r="818" spans="52:98" x14ac:dyDescent="0.3">
      <c r="AZ818" s="118"/>
      <c r="BA818" s="118"/>
      <c r="BB818" s="118"/>
      <c r="BC818" s="118"/>
      <c r="BD818" s="118"/>
      <c r="BE818" s="118"/>
      <c r="BF818" s="118"/>
      <c r="BI818" s="125"/>
    </row>
    <row r="819" spans="52:98" x14ac:dyDescent="0.3">
      <c r="AZ819" s="118"/>
      <c r="BA819" s="118"/>
      <c r="BB819" s="118"/>
      <c r="BC819" s="118"/>
      <c r="BD819" s="118"/>
      <c r="BE819" s="118"/>
      <c r="BF819" s="118"/>
    </row>
    <row r="820" spans="52:98" x14ac:dyDescent="0.3">
      <c r="AZ820" s="118"/>
      <c r="BA820" s="118"/>
      <c r="BB820" s="118"/>
      <c r="BC820" s="118"/>
      <c r="BD820" s="118"/>
      <c r="BE820" s="118"/>
      <c r="BF820" s="118"/>
      <c r="BI820" s="132"/>
    </row>
    <row r="821" spans="52:98" x14ac:dyDescent="0.3">
      <c r="AZ821" s="118"/>
      <c r="BA821" s="118"/>
      <c r="BB821" s="118"/>
      <c r="BC821" s="118"/>
      <c r="BD821" s="118"/>
      <c r="BE821" s="118"/>
      <c r="BF821" s="118"/>
    </row>
    <row r="822" spans="52:98" x14ac:dyDescent="0.3">
      <c r="AZ822" s="118"/>
      <c r="BA822" s="118"/>
      <c r="BB822" s="118"/>
      <c r="BC822" s="118"/>
      <c r="BD822" s="118"/>
      <c r="BE822" s="118"/>
      <c r="BF822" s="118"/>
      <c r="BI822" s="132"/>
    </row>
    <row r="823" spans="52:98" x14ac:dyDescent="0.3">
      <c r="AZ823" s="118"/>
      <c r="BA823" s="118"/>
      <c r="BB823" s="118"/>
      <c r="BC823" s="118"/>
      <c r="BD823" s="118"/>
      <c r="BE823" s="118"/>
      <c r="BF823" s="118"/>
    </row>
    <row r="824" spans="52:98" x14ac:dyDescent="0.3">
      <c r="AZ824" s="118"/>
      <c r="BA824" s="118"/>
      <c r="BB824" s="118"/>
      <c r="BC824" s="118"/>
      <c r="BD824" s="118"/>
      <c r="BE824" s="118"/>
      <c r="BF824" s="118"/>
      <c r="BI824" s="132"/>
    </row>
    <row r="825" spans="52:98" x14ac:dyDescent="0.3">
      <c r="AZ825" s="118"/>
      <c r="BA825" s="118"/>
      <c r="BB825" s="118"/>
      <c r="BC825" s="118"/>
      <c r="BD825" s="118"/>
      <c r="BE825" s="118"/>
      <c r="BF825" s="118"/>
    </row>
    <row r="826" spans="52:98" x14ac:dyDescent="0.3">
      <c r="AZ826" s="118"/>
      <c r="BA826" s="118"/>
      <c r="BB826" s="118"/>
      <c r="BC826" s="118"/>
      <c r="BD826" s="118"/>
      <c r="BE826" s="118"/>
      <c r="BF826" s="118"/>
      <c r="BI826" s="132"/>
    </row>
    <row r="827" spans="52:98" x14ac:dyDescent="0.3">
      <c r="AZ827" s="118"/>
      <c r="BA827" s="118"/>
      <c r="BB827" s="118"/>
      <c r="BC827" s="118"/>
      <c r="BD827" s="118"/>
      <c r="BE827" s="118"/>
      <c r="BF827" s="118"/>
    </row>
    <row r="828" spans="52:98" x14ac:dyDescent="0.3">
      <c r="BI828" s="132"/>
    </row>
    <row r="829" spans="52:98" x14ac:dyDescent="0.3">
      <c r="AZ829" s="118"/>
      <c r="BA829" s="118"/>
      <c r="BB829" s="118"/>
      <c r="BC829" s="118"/>
      <c r="BD829" s="118"/>
      <c r="BE829" s="118"/>
      <c r="BF829" s="118"/>
    </row>
    <row r="830" spans="52:98" x14ac:dyDescent="0.3">
      <c r="AZ830" s="118"/>
      <c r="BA830" s="118"/>
      <c r="BB830" s="118"/>
      <c r="BC830" s="118"/>
      <c r="BD830" s="118"/>
      <c r="BE830" s="118"/>
      <c r="BF830" s="118"/>
      <c r="BI830" s="132"/>
    </row>
    <row r="831" spans="52:98" x14ac:dyDescent="0.3">
      <c r="AZ831" s="118"/>
      <c r="BA831" s="118"/>
      <c r="BB831" s="118"/>
      <c r="BC831" s="118"/>
      <c r="BD831" s="118"/>
      <c r="BE831" s="118"/>
      <c r="BF831" s="118"/>
    </row>
    <row r="832" spans="52:98" x14ac:dyDescent="0.3">
      <c r="AZ832" s="118"/>
      <c r="BA832" s="118"/>
      <c r="BB832" s="118"/>
      <c r="BC832" s="118"/>
      <c r="BD832" s="118"/>
      <c r="BE832" s="118"/>
      <c r="BF832" s="118"/>
    </row>
    <row r="833" spans="52:98" x14ac:dyDescent="0.3">
      <c r="AZ833" s="118"/>
      <c r="BA833" s="118"/>
      <c r="BB833" s="118"/>
      <c r="BC833" s="118"/>
      <c r="BD833" s="118"/>
      <c r="BE833" s="118"/>
      <c r="BF833" s="118"/>
      <c r="BI833" s="125"/>
      <c r="BK833" s="121"/>
      <c r="BL833" s="121"/>
      <c r="BM833" s="121"/>
      <c r="BN833" s="121"/>
      <c r="BO833" s="121"/>
      <c r="BP833" s="121"/>
      <c r="BQ833" s="121"/>
      <c r="BR833" s="121"/>
      <c r="BS833" s="121"/>
      <c r="BT833" s="121"/>
      <c r="BU833" s="121"/>
      <c r="BV833" s="121"/>
      <c r="BW833" s="121"/>
      <c r="BX833" s="121"/>
      <c r="BY833" s="121"/>
      <c r="BZ833" s="121"/>
      <c r="CA833" s="121"/>
      <c r="CB833" s="121"/>
      <c r="CC833" s="121"/>
      <c r="CD833" s="121"/>
      <c r="CE833" s="121"/>
      <c r="CF833" s="121"/>
      <c r="CG833" s="121"/>
      <c r="CH833" s="121"/>
      <c r="CI833" s="121"/>
      <c r="CJ833" s="121"/>
      <c r="CK833" s="121"/>
      <c r="CL833" s="121"/>
      <c r="CM833" s="121"/>
      <c r="CN833" s="121"/>
      <c r="CO833" s="121"/>
      <c r="CP833" s="121"/>
      <c r="CQ833" s="121"/>
      <c r="CR833" s="121"/>
      <c r="CS833" s="121"/>
      <c r="CT833" s="121"/>
    </row>
    <row r="834" spans="52:98" x14ac:dyDescent="0.3">
      <c r="AZ834" s="118"/>
      <c r="BA834" s="118"/>
      <c r="BB834" s="118"/>
      <c r="BC834" s="118"/>
      <c r="BD834" s="118"/>
      <c r="BE834" s="118"/>
      <c r="BF834" s="118"/>
      <c r="BI834" s="125"/>
    </row>
    <row r="835" spans="52:98" x14ac:dyDescent="0.3">
      <c r="AZ835" s="118"/>
      <c r="BA835" s="118"/>
      <c r="BB835" s="118"/>
      <c r="BC835" s="118"/>
      <c r="BD835" s="118"/>
      <c r="BE835" s="118"/>
      <c r="BF835" s="118"/>
    </row>
    <row r="836" spans="52:98" x14ac:dyDescent="0.3">
      <c r="AZ836" s="118"/>
      <c r="BA836" s="118"/>
      <c r="BB836" s="118"/>
      <c r="BC836" s="118"/>
      <c r="BD836" s="118"/>
      <c r="BE836" s="118"/>
      <c r="BF836" s="118"/>
      <c r="BI836" s="132"/>
    </row>
    <row r="837" spans="52:98" x14ac:dyDescent="0.3">
      <c r="AZ837" s="118"/>
      <c r="BA837" s="118"/>
      <c r="BB837" s="118"/>
      <c r="BC837" s="118"/>
      <c r="BD837" s="118"/>
      <c r="BE837" s="118"/>
      <c r="BF837" s="118"/>
    </row>
    <row r="838" spans="52:98" x14ac:dyDescent="0.3">
      <c r="AZ838" s="118"/>
      <c r="BA838" s="118"/>
      <c r="BB838" s="118"/>
      <c r="BC838" s="118"/>
      <c r="BD838" s="118"/>
      <c r="BE838" s="118"/>
      <c r="BF838" s="118"/>
      <c r="BI838" s="132"/>
    </row>
    <row r="839" spans="52:98" x14ac:dyDescent="0.3">
      <c r="AZ839" s="118"/>
      <c r="BA839" s="118"/>
      <c r="BB839" s="118"/>
      <c r="BC839" s="118"/>
      <c r="BD839" s="118"/>
      <c r="BE839" s="118"/>
      <c r="BF839" s="118"/>
    </row>
    <row r="840" spans="52:98" x14ac:dyDescent="0.3">
      <c r="AZ840" s="118"/>
      <c r="BA840" s="118"/>
      <c r="BB840" s="118"/>
      <c r="BC840" s="118"/>
      <c r="BD840" s="118"/>
      <c r="BE840" s="118"/>
      <c r="BF840" s="118"/>
      <c r="BI840" s="132"/>
    </row>
    <row r="841" spans="52:98" x14ac:dyDescent="0.3">
      <c r="AZ841" s="118"/>
      <c r="BA841" s="118"/>
      <c r="BB841" s="118"/>
      <c r="BC841" s="118"/>
      <c r="BD841" s="118"/>
      <c r="BE841" s="118"/>
      <c r="BF841" s="118"/>
    </row>
    <row r="842" spans="52:98" x14ac:dyDescent="0.3">
      <c r="AZ842" s="118"/>
      <c r="BA842" s="118"/>
      <c r="BB842" s="118"/>
      <c r="BC842" s="118"/>
      <c r="BD842" s="118"/>
      <c r="BE842" s="118"/>
      <c r="BF842" s="118"/>
      <c r="BI842" s="132"/>
    </row>
    <row r="843" spans="52:98" x14ac:dyDescent="0.3">
      <c r="AZ843" s="118"/>
      <c r="BA843" s="118"/>
      <c r="BB843" s="118"/>
      <c r="BC843" s="118"/>
      <c r="BD843" s="118"/>
      <c r="BE843" s="118"/>
      <c r="BF843" s="118"/>
    </row>
    <row r="844" spans="52:98" x14ac:dyDescent="0.3">
      <c r="BI844" s="132"/>
    </row>
    <row r="845" spans="52:98" x14ac:dyDescent="0.3">
      <c r="AZ845" s="118"/>
      <c r="BA845" s="118"/>
      <c r="BB845" s="118"/>
      <c r="BC845" s="118"/>
      <c r="BD845" s="118"/>
      <c r="BE845" s="118"/>
      <c r="BF845" s="118"/>
    </row>
    <row r="846" spans="52:98" x14ac:dyDescent="0.3">
      <c r="AZ846" s="118"/>
      <c r="BA846" s="118"/>
      <c r="BB846" s="118"/>
      <c r="BC846" s="118"/>
      <c r="BD846" s="118"/>
      <c r="BE846" s="118"/>
      <c r="BF846" s="118"/>
      <c r="BI846" s="132"/>
    </row>
    <row r="847" spans="52:98" x14ac:dyDescent="0.3">
      <c r="AZ847" s="118"/>
      <c r="BA847" s="118"/>
      <c r="BB847" s="118"/>
      <c r="BC847" s="118"/>
      <c r="BD847" s="118"/>
      <c r="BE847" s="118"/>
      <c r="BF847" s="118"/>
    </row>
    <row r="848" spans="52:98" x14ac:dyDescent="0.3">
      <c r="AZ848" s="118"/>
      <c r="BA848" s="118"/>
      <c r="BB848" s="118"/>
      <c r="BC848" s="118"/>
      <c r="BD848" s="118"/>
      <c r="BE848" s="118"/>
      <c r="BF848" s="118"/>
    </row>
    <row r="849" spans="52:98" x14ac:dyDescent="0.3">
      <c r="AZ849" s="118"/>
      <c r="BA849" s="118"/>
      <c r="BB849" s="118"/>
      <c r="BC849" s="118"/>
      <c r="BD849" s="118"/>
      <c r="BE849" s="118"/>
      <c r="BF849" s="118"/>
      <c r="BI849" s="125"/>
      <c r="BK849" s="121"/>
      <c r="BL849" s="121"/>
      <c r="BM849" s="121"/>
      <c r="BN849" s="121"/>
      <c r="BO849" s="121"/>
      <c r="BP849" s="121"/>
      <c r="BQ849" s="121"/>
      <c r="BR849" s="121"/>
      <c r="BS849" s="121"/>
      <c r="BT849" s="121"/>
      <c r="BU849" s="121"/>
      <c r="BV849" s="121"/>
      <c r="BW849" s="121"/>
      <c r="BX849" s="121"/>
      <c r="BY849" s="121"/>
      <c r="BZ849" s="121"/>
      <c r="CA849" s="121"/>
      <c r="CB849" s="121"/>
      <c r="CC849" s="121"/>
      <c r="CD849" s="121"/>
      <c r="CE849" s="121"/>
      <c r="CF849" s="121"/>
      <c r="CG849" s="121"/>
      <c r="CH849" s="121"/>
      <c r="CI849" s="121"/>
      <c r="CJ849" s="121"/>
      <c r="CK849" s="121"/>
      <c r="CL849" s="121"/>
      <c r="CM849" s="121"/>
      <c r="CN849" s="121"/>
      <c r="CO849" s="121"/>
      <c r="CP849" s="121"/>
      <c r="CQ849" s="121"/>
      <c r="CR849" s="121"/>
      <c r="CS849" s="121"/>
      <c r="CT849" s="121"/>
    </row>
    <row r="850" spans="52:98" x14ac:dyDescent="0.3">
      <c r="AZ850" s="118"/>
      <c r="BA850" s="118"/>
      <c r="BB850" s="118"/>
      <c r="BC850" s="118"/>
      <c r="BD850" s="118"/>
      <c r="BE850" s="118"/>
      <c r="BF850" s="118"/>
      <c r="BI850" s="125"/>
    </row>
    <row r="851" spans="52:98" x14ac:dyDescent="0.3">
      <c r="AZ851" s="118"/>
      <c r="BA851" s="118"/>
      <c r="BB851" s="118"/>
      <c r="BC851" s="118"/>
      <c r="BD851" s="118"/>
      <c r="BE851" s="118"/>
      <c r="BF851" s="118"/>
    </row>
    <row r="852" spans="52:98" x14ac:dyDescent="0.3">
      <c r="AZ852" s="118"/>
      <c r="BA852" s="118"/>
      <c r="BB852" s="118"/>
      <c r="BC852" s="118"/>
      <c r="BD852" s="118"/>
      <c r="BE852" s="118"/>
      <c r="BF852" s="118"/>
      <c r="BI852" s="132"/>
    </row>
    <row r="853" spans="52:98" x14ac:dyDescent="0.3">
      <c r="AZ853" s="118"/>
      <c r="BA853" s="118"/>
      <c r="BB853" s="118"/>
      <c r="BC853" s="118"/>
      <c r="BD853" s="118"/>
      <c r="BE853" s="118"/>
      <c r="BF853" s="118"/>
    </row>
    <row r="854" spans="52:98" x14ac:dyDescent="0.3">
      <c r="AZ854" s="118"/>
      <c r="BA854" s="118"/>
      <c r="BB854" s="118"/>
      <c r="BC854" s="118"/>
      <c r="BD854" s="118"/>
      <c r="BE854" s="118"/>
      <c r="BF854" s="118"/>
      <c r="BI854" s="132"/>
    </row>
    <row r="855" spans="52:98" x14ac:dyDescent="0.3">
      <c r="AZ855" s="118"/>
      <c r="BA855" s="118"/>
      <c r="BB855" s="118"/>
      <c r="BC855" s="118"/>
      <c r="BD855" s="118"/>
      <c r="BE855" s="118"/>
      <c r="BF855" s="118"/>
    </row>
    <row r="856" spans="52:98" x14ac:dyDescent="0.3">
      <c r="AZ856" s="118"/>
      <c r="BA856" s="118"/>
      <c r="BB856" s="118"/>
      <c r="BC856" s="118"/>
      <c r="BD856" s="118"/>
      <c r="BE856" s="118"/>
      <c r="BF856" s="118"/>
      <c r="BI856" s="132"/>
    </row>
    <row r="857" spans="52:98" x14ac:dyDescent="0.3">
      <c r="AZ857" s="118"/>
      <c r="BA857" s="118"/>
      <c r="BB857" s="118"/>
      <c r="BC857" s="118"/>
      <c r="BD857" s="118"/>
      <c r="BE857" s="118"/>
      <c r="BF857" s="118"/>
    </row>
    <row r="858" spans="52:98" x14ac:dyDescent="0.3">
      <c r="AZ858" s="118"/>
      <c r="BA858" s="118"/>
      <c r="BB858" s="118"/>
      <c r="BC858" s="118"/>
      <c r="BD858" s="118"/>
      <c r="BE858" s="118"/>
      <c r="BF858" s="118"/>
      <c r="BI858" s="132"/>
    </row>
    <row r="859" spans="52:98" x14ac:dyDescent="0.3">
      <c r="AZ859" s="118"/>
      <c r="BA859" s="118"/>
      <c r="BB859" s="118"/>
      <c r="BC859" s="118"/>
      <c r="BD859" s="118"/>
      <c r="BE859" s="118"/>
      <c r="BF859" s="118"/>
    </row>
    <row r="860" spans="52:98" x14ac:dyDescent="0.3">
      <c r="BI860" s="132"/>
    </row>
    <row r="861" spans="52:98" x14ac:dyDescent="0.3">
      <c r="AZ861" s="118"/>
      <c r="BA861" s="118"/>
      <c r="BB861" s="118"/>
      <c r="BC861" s="118"/>
      <c r="BD861" s="118"/>
      <c r="BE861" s="118"/>
      <c r="BF861" s="118"/>
    </row>
    <row r="862" spans="52:98" x14ac:dyDescent="0.3">
      <c r="AZ862" s="118"/>
      <c r="BA862" s="118"/>
      <c r="BB862" s="118"/>
      <c r="BC862" s="118"/>
      <c r="BD862" s="118"/>
      <c r="BE862" s="118"/>
      <c r="BF862" s="118"/>
      <c r="BI862" s="132"/>
    </row>
    <row r="863" spans="52:98" x14ac:dyDescent="0.3">
      <c r="AZ863" s="118"/>
      <c r="BA863" s="118"/>
      <c r="BB863" s="118"/>
      <c r="BC863" s="118"/>
      <c r="BD863" s="118"/>
      <c r="BE863" s="118"/>
      <c r="BF863" s="118"/>
    </row>
    <row r="864" spans="52:98" x14ac:dyDescent="0.3">
      <c r="AZ864" s="118"/>
      <c r="BA864" s="118"/>
      <c r="BB864" s="118"/>
      <c r="BC864" s="118"/>
      <c r="BD864" s="118"/>
      <c r="BE864" s="118"/>
      <c r="BF864" s="118"/>
    </row>
    <row r="865" spans="52:98" x14ac:dyDescent="0.3">
      <c r="AZ865" s="118"/>
      <c r="BA865" s="118"/>
      <c r="BB865" s="118"/>
      <c r="BC865" s="118"/>
      <c r="BD865" s="118"/>
      <c r="BE865" s="118"/>
      <c r="BF865" s="118"/>
      <c r="BI865" s="125"/>
      <c r="BK865" s="121"/>
      <c r="BL865" s="121"/>
      <c r="BM865" s="121"/>
      <c r="BN865" s="121"/>
      <c r="BO865" s="121"/>
      <c r="BP865" s="121"/>
      <c r="BQ865" s="121"/>
      <c r="BR865" s="121"/>
      <c r="BS865" s="121"/>
      <c r="BT865" s="121"/>
      <c r="BU865" s="121"/>
      <c r="BV865" s="121"/>
      <c r="BW865" s="121"/>
      <c r="BX865" s="121"/>
      <c r="BY865" s="121"/>
      <c r="BZ865" s="121"/>
      <c r="CA865" s="121"/>
      <c r="CB865" s="121"/>
      <c r="CC865" s="121"/>
      <c r="CD865" s="121"/>
      <c r="CE865" s="121"/>
      <c r="CF865" s="121"/>
      <c r="CG865" s="121"/>
      <c r="CH865" s="121"/>
      <c r="CI865" s="121"/>
      <c r="CJ865" s="121"/>
      <c r="CK865" s="121"/>
      <c r="CL865" s="121"/>
      <c r="CM865" s="121"/>
      <c r="CN865" s="121"/>
      <c r="CO865" s="121"/>
      <c r="CP865" s="121"/>
      <c r="CQ865" s="121"/>
      <c r="CR865" s="121"/>
      <c r="CS865" s="121"/>
      <c r="CT865" s="121"/>
    </row>
    <row r="866" spans="52:98" x14ac:dyDescent="0.3">
      <c r="AZ866" s="118"/>
      <c r="BA866" s="118"/>
      <c r="BB866" s="118"/>
      <c r="BC866" s="118"/>
      <c r="BD866" s="118"/>
      <c r="BE866" s="118"/>
      <c r="BF866" s="118"/>
      <c r="BI866" s="125"/>
    </row>
    <row r="867" spans="52:98" x14ac:dyDescent="0.3">
      <c r="AZ867" s="118"/>
      <c r="BA867" s="118"/>
      <c r="BB867" s="118"/>
      <c r="BC867" s="118"/>
      <c r="BD867" s="118"/>
      <c r="BE867" s="118"/>
      <c r="BF867" s="118"/>
    </row>
    <row r="868" spans="52:98" x14ac:dyDescent="0.3">
      <c r="AZ868" s="118"/>
      <c r="BA868" s="118"/>
      <c r="BB868" s="118"/>
      <c r="BC868" s="118"/>
      <c r="BD868" s="118"/>
      <c r="BE868" s="118"/>
      <c r="BF868" s="118"/>
      <c r="BI868" s="132"/>
    </row>
    <row r="869" spans="52:98" x14ac:dyDescent="0.3">
      <c r="AZ869" s="118"/>
      <c r="BA869" s="118"/>
      <c r="BB869" s="118"/>
      <c r="BC869" s="118"/>
      <c r="BD869" s="118"/>
      <c r="BE869" s="118"/>
      <c r="BF869" s="118"/>
    </row>
    <row r="870" spans="52:98" x14ac:dyDescent="0.3">
      <c r="AZ870" s="118"/>
      <c r="BA870" s="118"/>
      <c r="BB870" s="118"/>
      <c r="BC870" s="118"/>
      <c r="BD870" s="118"/>
      <c r="BE870" s="118"/>
      <c r="BF870" s="118"/>
      <c r="BI870" s="132"/>
    </row>
    <row r="871" spans="52:98" x14ac:dyDescent="0.3">
      <c r="AZ871" s="118"/>
      <c r="BA871" s="118"/>
      <c r="BB871" s="118"/>
      <c r="BC871" s="118"/>
      <c r="BD871" s="118"/>
      <c r="BE871" s="118"/>
      <c r="BF871" s="118"/>
    </row>
    <row r="872" spans="52:98" x14ac:dyDescent="0.3">
      <c r="AZ872" s="118"/>
      <c r="BA872" s="118"/>
      <c r="BB872" s="118"/>
      <c r="BC872" s="118"/>
      <c r="BD872" s="118"/>
      <c r="BE872" s="118"/>
      <c r="BF872" s="118"/>
      <c r="BI872" s="132"/>
    </row>
    <row r="873" spans="52:98" x14ac:dyDescent="0.3">
      <c r="AZ873" s="118"/>
      <c r="BA873" s="118"/>
      <c r="BB873" s="118"/>
      <c r="BC873" s="118"/>
      <c r="BD873" s="118"/>
      <c r="BE873" s="118"/>
      <c r="BF873" s="118"/>
    </row>
    <row r="874" spans="52:98" x14ac:dyDescent="0.3">
      <c r="AZ874" s="118"/>
      <c r="BA874" s="118"/>
      <c r="BB874" s="118"/>
      <c r="BC874" s="118"/>
      <c r="BD874" s="118"/>
      <c r="BE874" s="118"/>
      <c r="BF874" s="118"/>
      <c r="BI874" s="132"/>
    </row>
    <row r="875" spans="52:98" x14ac:dyDescent="0.3">
      <c r="AZ875" s="118"/>
      <c r="BA875" s="118"/>
      <c r="BB875" s="118"/>
      <c r="BC875" s="118"/>
      <c r="BD875" s="118"/>
      <c r="BE875" s="118"/>
      <c r="BF875" s="118"/>
    </row>
    <row r="876" spans="52:98" x14ac:dyDescent="0.3">
      <c r="BI876" s="132"/>
    </row>
    <row r="877" spans="52:98" x14ac:dyDescent="0.3">
      <c r="AZ877" s="118"/>
      <c r="BA877" s="118"/>
      <c r="BB877" s="118"/>
      <c r="BC877" s="118"/>
      <c r="BD877" s="118"/>
      <c r="BE877" s="118"/>
      <c r="BF877" s="118"/>
    </row>
    <row r="878" spans="52:98" x14ac:dyDescent="0.3">
      <c r="AZ878" s="118"/>
      <c r="BA878" s="118"/>
      <c r="BB878" s="118"/>
      <c r="BC878" s="118"/>
      <c r="BD878" s="118"/>
      <c r="BE878" s="118"/>
      <c r="BF878" s="118"/>
      <c r="BI878" s="132"/>
    </row>
    <row r="879" spans="52:98" x14ac:dyDescent="0.3">
      <c r="AZ879" s="118"/>
      <c r="BA879" s="118"/>
      <c r="BB879" s="118"/>
      <c r="BC879" s="118"/>
      <c r="BD879" s="118"/>
      <c r="BE879" s="118"/>
      <c r="BF879" s="118"/>
    </row>
    <row r="880" spans="52:98" x14ac:dyDescent="0.3">
      <c r="AZ880" s="118"/>
      <c r="BA880" s="118"/>
      <c r="BB880" s="118"/>
      <c r="BC880" s="118"/>
      <c r="BD880" s="118"/>
      <c r="BE880" s="118"/>
      <c r="BF880" s="118"/>
    </row>
    <row r="881" spans="52:98" x14ac:dyDescent="0.3">
      <c r="AZ881" s="118"/>
      <c r="BA881" s="118"/>
      <c r="BB881" s="118"/>
      <c r="BC881" s="118"/>
      <c r="BD881" s="118"/>
      <c r="BE881" s="118"/>
      <c r="BF881" s="118"/>
      <c r="BI881" s="125"/>
      <c r="BK881" s="121"/>
      <c r="BL881" s="121"/>
      <c r="BM881" s="121"/>
      <c r="BN881" s="121"/>
      <c r="BO881" s="121"/>
      <c r="BP881" s="121"/>
      <c r="BQ881" s="121"/>
      <c r="BR881" s="121"/>
      <c r="BS881" s="121"/>
      <c r="BT881" s="121"/>
      <c r="BU881" s="121"/>
      <c r="BV881" s="121"/>
      <c r="BW881" s="121"/>
      <c r="BX881" s="121"/>
      <c r="BY881" s="121"/>
      <c r="BZ881" s="121"/>
      <c r="CA881" s="121"/>
      <c r="CB881" s="121"/>
      <c r="CC881" s="121"/>
      <c r="CD881" s="121"/>
      <c r="CE881" s="121"/>
      <c r="CF881" s="121"/>
      <c r="CG881" s="121"/>
      <c r="CH881" s="121"/>
      <c r="CI881" s="121"/>
      <c r="CJ881" s="121"/>
      <c r="CK881" s="121"/>
      <c r="CL881" s="121"/>
      <c r="CM881" s="121"/>
      <c r="CN881" s="121"/>
      <c r="CO881" s="121"/>
      <c r="CP881" s="121"/>
      <c r="CQ881" s="121"/>
      <c r="CR881" s="121"/>
      <c r="CS881" s="121"/>
      <c r="CT881" s="121"/>
    </row>
    <row r="882" spans="52:98" x14ac:dyDescent="0.3">
      <c r="AZ882" s="118"/>
      <c r="BA882" s="118"/>
      <c r="BB882" s="118"/>
      <c r="BC882" s="118"/>
      <c r="BD882" s="118"/>
      <c r="BE882" s="118"/>
      <c r="BF882" s="118"/>
      <c r="BI882" s="125"/>
    </row>
    <row r="883" spans="52:98" x14ac:dyDescent="0.3">
      <c r="AZ883" s="118"/>
      <c r="BA883" s="118"/>
      <c r="BB883" s="118"/>
      <c r="BC883" s="118"/>
      <c r="BD883" s="118"/>
      <c r="BE883" s="118"/>
      <c r="BF883" s="118"/>
    </row>
    <row r="884" spans="52:98" x14ac:dyDescent="0.3">
      <c r="AZ884" s="118"/>
      <c r="BA884" s="118"/>
      <c r="BB884" s="118"/>
      <c r="BC884" s="118"/>
      <c r="BD884" s="118"/>
      <c r="BE884" s="118"/>
      <c r="BF884" s="118"/>
      <c r="BI884" s="132"/>
    </row>
    <row r="885" spans="52:98" x14ac:dyDescent="0.3">
      <c r="AZ885" s="118"/>
      <c r="BA885" s="118"/>
      <c r="BB885" s="118"/>
      <c r="BC885" s="118"/>
      <c r="BD885" s="118"/>
      <c r="BE885" s="118"/>
      <c r="BF885" s="118"/>
    </row>
    <row r="886" spans="52:98" x14ac:dyDescent="0.3">
      <c r="AZ886" s="118"/>
      <c r="BA886" s="118"/>
      <c r="BB886" s="118"/>
      <c r="BC886" s="118"/>
      <c r="BD886" s="118"/>
      <c r="BE886" s="118"/>
      <c r="BF886" s="118"/>
      <c r="BI886" s="132"/>
    </row>
    <row r="887" spans="52:98" x14ac:dyDescent="0.3">
      <c r="AZ887" s="118"/>
      <c r="BA887" s="118"/>
      <c r="BB887" s="118"/>
      <c r="BC887" s="118"/>
      <c r="BD887" s="118"/>
      <c r="BE887" s="118"/>
      <c r="BF887" s="118"/>
    </row>
    <row r="888" spans="52:98" x14ac:dyDescent="0.3">
      <c r="AZ888" s="118"/>
      <c r="BA888" s="118"/>
      <c r="BB888" s="118"/>
      <c r="BC888" s="118"/>
      <c r="BD888" s="118"/>
      <c r="BE888" s="118"/>
      <c r="BF888" s="118"/>
      <c r="BI888" s="132"/>
    </row>
    <row r="889" spans="52:98" x14ac:dyDescent="0.3">
      <c r="AZ889" s="118"/>
      <c r="BA889" s="118"/>
      <c r="BB889" s="118"/>
      <c r="BC889" s="118"/>
      <c r="BD889" s="118"/>
      <c r="BE889" s="118"/>
      <c r="BF889" s="118"/>
    </row>
    <row r="890" spans="52:98" x14ac:dyDescent="0.3">
      <c r="AZ890" s="118"/>
      <c r="BA890" s="118"/>
      <c r="BB890" s="118"/>
      <c r="BC890" s="118"/>
      <c r="BD890" s="118"/>
      <c r="BE890" s="118"/>
      <c r="BF890" s="118"/>
      <c r="BI890" s="132"/>
    </row>
    <row r="891" spans="52:98" x14ac:dyDescent="0.3">
      <c r="AZ891" s="118"/>
      <c r="BA891" s="118"/>
      <c r="BB891" s="118"/>
      <c r="BC891" s="118"/>
      <c r="BD891" s="118"/>
      <c r="BE891" s="118"/>
      <c r="BF891" s="118"/>
    </row>
    <row r="892" spans="52:98" x14ac:dyDescent="0.3">
      <c r="BI892" s="132"/>
    </row>
    <row r="893" spans="52:98" x14ac:dyDescent="0.3">
      <c r="AZ893" s="118"/>
      <c r="BA893" s="118"/>
      <c r="BB893" s="118"/>
      <c r="BC893" s="118"/>
      <c r="BD893" s="118"/>
      <c r="BE893" s="118"/>
      <c r="BF893" s="118"/>
    </row>
    <row r="894" spans="52:98" x14ac:dyDescent="0.3">
      <c r="AZ894" s="118"/>
      <c r="BA894" s="118"/>
      <c r="BB894" s="118"/>
      <c r="BC894" s="118"/>
      <c r="BD894" s="118"/>
      <c r="BE894" s="118"/>
      <c r="BF894" s="118"/>
      <c r="BI894" s="132"/>
    </row>
    <row r="895" spans="52:98" x14ac:dyDescent="0.3">
      <c r="AZ895" s="118"/>
      <c r="BA895" s="118"/>
      <c r="BB895" s="118"/>
      <c r="BC895" s="118"/>
      <c r="BD895" s="118"/>
      <c r="BE895" s="118"/>
      <c r="BF895" s="118"/>
    </row>
    <row r="896" spans="52:98" x14ac:dyDescent="0.3">
      <c r="AZ896" s="118"/>
      <c r="BA896" s="118"/>
      <c r="BB896" s="118"/>
      <c r="BC896" s="118"/>
      <c r="BD896" s="118"/>
      <c r="BE896" s="118"/>
      <c r="BF896" s="118"/>
    </row>
    <row r="897" spans="52:98" x14ac:dyDescent="0.3">
      <c r="AZ897" s="118"/>
      <c r="BA897" s="118"/>
      <c r="BB897" s="118"/>
      <c r="BC897" s="118"/>
      <c r="BD897" s="118"/>
      <c r="BE897" s="118"/>
      <c r="BF897" s="118"/>
      <c r="BI897" s="125"/>
      <c r="BK897" s="121"/>
      <c r="BL897" s="121"/>
      <c r="BM897" s="121"/>
      <c r="BN897" s="121"/>
      <c r="BO897" s="121"/>
      <c r="BP897" s="121"/>
      <c r="BQ897" s="121"/>
      <c r="BR897" s="121"/>
      <c r="BS897" s="121"/>
      <c r="BT897" s="121"/>
      <c r="BU897" s="121"/>
      <c r="BV897" s="121"/>
      <c r="BW897" s="121"/>
      <c r="BX897" s="121"/>
      <c r="BY897" s="121"/>
      <c r="BZ897" s="121"/>
      <c r="CA897" s="121"/>
      <c r="CB897" s="121"/>
      <c r="CC897" s="121"/>
      <c r="CD897" s="121"/>
      <c r="CE897" s="121"/>
      <c r="CF897" s="121"/>
      <c r="CG897" s="121"/>
      <c r="CH897" s="121"/>
      <c r="CI897" s="121"/>
      <c r="CJ897" s="121"/>
      <c r="CK897" s="121"/>
      <c r="CL897" s="121"/>
      <c r="CM897" s="121"/>
      <c r="CN897" s="121"/>
      <c r="CO897" s="121"/>
      <c r="CP897" s="121"/>
      <c r="CQ897" s="121"/>
      <c r="CR897" s="121"/>
      <c r="CS897" s="121"/>
      <c r="CT897" s="121"/>
    </row>
    <row r="898" spans="52:98" x14ac:dyDescent="0.3">
      <c r="AZ898" s="118"/>
      <c r="BA898" s="118"/>
      <c r="BB898" s="118"/>
      <c r="BC898" s="118"/>
      <c r="BD898" s="118"/>
      <c r="BE898" s="118"/>
      <c r="BF898" s="118"/>
      <c r="BI898" s="125"/>
    </row>
    <row r="899" spans="52:98" x14ac:dyDescent="0.3">
      <c r="AZ899" s="118"/>
      <c r="BA899" s="118"/>
      <c r="BB899" s="118"/>
      <c r="BC899" s="118"/>
      <c r="BD899" s="118"/>
      <c r="BE899" s="118"/>
      <c r="BF899" s="118"/>
    </row>
    <row r="900" spans="52:98" x14ac:dyDescent="0.3">
      <c r="AZ900" s="118"/>
      <c r="BA900" s="118"/>
      <c r="BB900" s="118"/>
      <c r="BC900" s="118"/>
      <c r="BD900" s="118"/>
      <c r="BE900" s="118"/>
      <c r="BF900" s="118"/>
      <c r="BI900" s="132"/>
    </row>
    <row r="901" spans="52:98" x14ac:dyDescent="0.3">
      <c r="AZ901" s="118"/>
      <c r="BA901" s="118"/>
      <c r="BB901" s="118"/>
      <c r="BC901" s="118"/>
      <c r="BD901" s="118"/>
      <c r="BE901" s="118"/>
      <c r="BF901" s="118"/>
    </row>
    <row r="902" spans="52:98" x14ac:dyDescent="0.3">
      <c r="AZ902" s="118"/>
      <c r="BA902" s="118"/>
      <c r="BB902" s="118"/>
      <c r="BC902" s="118"/>
      <c r="BD902" s="118"/>
      <c r="BE902" s="118"/>
      <c r="BF902" s="118"/>
      <c r="BI902" s="132"/>
    </row>
    <row r="903" spans="52:98" x14ac:dyDescent="0.3">
      <c r="AZ903" s="118"/>
      <c r="BA903" s="118"/>
      <c r="BB903" s="118"/>
      <c r="BC903" s="118"/>
      <c r="BD903" s="118"/>
      <c r="BE903" s="118"/>
      <c r="BF903" s="118"/>
    </row>
    <row r="904" spans="52:98" x14ac:dyDescent="0.3">
      <c r="AZ904" s="118"/>
      <c r="BA904" s="118"/>
      <c r="BB904" s="118"/>
      <c r="BC904" s="118"/>
      <c r="BD904" s="118"/>
      <c r="BE904" s="118"/>
      <c r="BF904" s="118"/>
      <c r="BI904" s="132"/>
    </row>
    <row r="905" spans="52:98" x14ac:dyDescent="0.3">
      <c r="AZ905" s="118"/>
      <c r="BA905" s="118"/>
      <c r="BB905" s="118"/>
      <c r="BC905" s="118"/>
      <c r="BD905" s="118"/>
      <c r="BE905" s="118"/>
      <c r="BF905" s="118"/>
    </row>
    <row r="906" spans="52:98" x14ac:dyDescent="0.3">
      <c r="AZ906" s="118"/>
      <c r="BA906" s="118"/>
      <c r="BB906" s="118"/>
      <c r="BC906" s="118"/>
      <c r="BD906" s="118"/>
      <c r="BE906" s="118"/>
      <c r="BF906" s="118"/>
      <c r="BI906" s="132"/>
    </row>
    <row r="907" spans="52:98" x14ac:dyDescent="0.3">
      <c r="AZ907" s="118"/>
      <c r="BA907" s="118"/>
      <c r="BB907" s="118"/>
      <c r="BC907" s="118"/>
      <c r="BD907" s="118"/>
      <c r="BE907" s="118"/>
      <c r="BF907" s="118"/>
    </row>
    <row r="908" spans="52:98" x14ac:dyDescent="0.3">
      <c r="BI908" s="132"/>
    </row>
    <row r="909" spans="52:98" x14ac:dyDescent="0.3">
      <c r="AZ909" s="118"/>
      <c r="BA909" s="118"/>
      <c r="BB909" s="118"/>
      <c r="BC909" s="118"/>
      <c r="BD909" s="118"/>
      <c r="BE909" s="118"/>
      <c r="BF909" s="118"/>
    </row>
    <row r="910" spans="52:98" x14ac:dyDescent="0.3">
      <c r="AZ910" s="118"/>
      <c r="BA910" s="118"/>
      <c r="BB910" s="118"/>
      <c r="BC910" s="118"/>
      <c r="BD910" s="118"/>
      <c r="BE910" s="118"/>
      <c r="BF910" s="118"/>
      <c r="BI910" s="132"/>
    </row>
    <row r="911" spans="52:98" x14ac:dyDescent="0.3">
      <c r="AZ911" s="118"/>
      <c r="BA911" s="118"/>
      <c r="BB911" s="118"/>
      <c r="BC911" s="118"/>
      <c r="BD911" s="118"/>
      <c r="BE911" s="118"/>
      <c r="BF911" s="118"/>
    </row>
    <row r="912" spans="52:98" x14ac:dyDescent="0.3">
      <c r="AZ912" s="118"/>
      <c r="BA912" s="118"/>
      <c r="BB912" s="118"/>
      <c r="BC912" s="118"/>
      <c r="BD912" s="118"/>
      <c r="BE912" s="118"/>
      <c r="BF912" s="118"/>
      <c r="BI912" s="132"/>
    </row>
    <row r="913" spans="52:98" x14ac:dyDescent="0.3">
      <c r="AZ913" s="118"/>
      <c r="BA913" s="118"/>
      <c r="BB913" s="118"/>
      <c r="BC913" s="118"/>
      <c r="BD913" s="118"/>
      <c r="BE913" s="118"/>
      <c r="BF913" s="118"/>
      <c r="BI913" s="125"/>
      <c r="BK913" s="121"/>
      <c r="BL913" s="121"/>
      <c r="BM913" s="121"/>
      <c r="BN913" s="121"/>
      <c r="BO913" s="121"/>
      <c r="BP913" s="121"/>
      <c r="BQ913" s="121"/>
      <c r="BR913" s="121"/>
      <c r="BS913" s="121"/>
      <c r="BT913" s="121"/>
      <c r="BU913" s="121"/>
      <c r="BV913" s="121"/>
      <c r="BW913" s="121"/>
      <c r="BX913" s="121"/>
      <c r="BY913" s="121"/>
      <c r="BZ913" s="121"/>
      <c r="CA913" s="121"/>
      <c r="CB913" s="121"/>
      <c r="CC913" s="121"/>
      <c r="CD913" s="121"/>
      <c r="CE913" s="121"/>
      <c r="CF913" s="121"/>
      <c r="CG913" s="121"/>
      <c r="CH913" s="121"/>
      <c r="CI913" s="121"/>
      <c r="CJ913" s="121"/>
      <c r="CK913" s="121"/>
      <c r="CL913" s="121"/>
      <c r="CM913" s="121"/>
      <c r="CN913" s="121"/>
      <c r="CO913" s="121"/>
      <c r="CP913" s="121"/>
      <c r="CQ913" s="121"/>
      <c r="CR913" s="121"/>
      <c r="CS913" s="121"/>
      <c r="CT913" s="121"/>
    </row>
    <row r="914" spans="52:98" x14ac:dyDescent="0.3">
      <c r="AZ914" s="118"/>
      <c r="BA914" s="118"/>
      <c r="BB914" s="118"/>
      <c r="BC914" s="118"/>
      <c r="BD914" s="118"/>
      <c r="BE914" s="118"/>
      <c r="BF914" s="118"/>
      <c r="BI914" s="125"/>
    </row>
    <row r="915" spans="52:98" x14ac:dyDescent="0.3">
      <c r="AZ915" s="118"/>
      <c r="BA915" s="118"/>
      <c r="BB915" s="118"/>
      <c r="BC915" s="118"/>
      <c r="BD915" s="118"/>
      <c r="BE915" s="118"/>
      <c r="BF915" s="118"/>
    </row>
    <row r="916" spans="52:98" x14ac:dyDescent="0.3">
      <c r="AZ916" s="118"/>
      <c r="BA916" s="118"/>
      <c r="BB916" s="118"/>
      <c r="BC916" s="118"/>
      <c r="BD916" s="118"/>
      <c r="BE916" s="118"/>
      <c r="BF916" s="118"/>
      <c r="BI916" s="132"/>
    </row>
    <row r="917" spans="52:98" x14ac:dyDescent="0.3">
      <c r="AZ917" s="118"/>
      <c r="BA917" s="118"/>
      <c r="BB917" s="118"/>
      <c r="BC917" s="118"/>
      <c r="BD917" s="118"/>
      <c r="BE917" s="118"/>
      <c r="BF917" s="118"/>
    </row>
    <row r="918" spans="52:98" x14ac:dyDescent="0.3">
      <c r="AZ918" s="118"/>
      <c r="BA918" s="118"/>
      <c r="BB918" s="118"/>
      <c r="BC918" s="118"/>
      <c r="BD918" s="118"/>
      <c r="BE918" s="118"/>
      <c r="BF918" s="118"/>
      <c r="BI918" s="132"/>
    </row>
    <row r="919" spans="52:98" x14ac:dyDescent="0.3">
      <c r="AZ919" s="118"/>
      <c r="BA919" s="118"/>
      <c r="BB919" s="118"/>
      <c r="BC919" s="118"/>
      <c r="BD919" s="118"/>
      <c r="BE919" s="118"/>
      <c r="BF919" s="118"/>
    </row>
    <row r="920" spans="52:98" x14ac:dyDescent="0.3">
      <c r="AZ920" s="118"/>
      <c r="BA920" s="118"/>
      <c r="BB920" s="118"/>
      <c r="BC920" s="118"/>
      <c r="BD920" s="118"/>
      <c r="BE920" s="118"/>
      <c r="BF920" s="118"/>
      <c r="BI920" s="132"/>
    </row>
    <row r="921" spans="52:98" x14ac:dyDescent="0.3">
      <c r="AZ921" s="118"/>
      <c r="BA921" s="118"/>
      <c r="BB921" s="118"/>
      <c r="BC921" s="118"/>
      <c r="BD921" s="118"/>
      <c r="BE921" s="118"/>
      <c r="BF921" s="118"/>
    </row>
    <row r="922" spans="52:98" x14ac:dyDescent="0.3">
      <c r="AZ922" s="118"/>
      <c r="BA922" s="118"/>
      <c r="BB922" s="118"/>
      <c r="BC922" s="118"/>
      <c r="BD922" s="118"/>
      <c r="BE922" s="118"/>
      <c r="BF922" s="118"/>
      <c r="BI922" s="132"/>
    </row>
    <row r="923" spans="52:98" x14ac:dyDescent="0.3">
      <c r="AZ923" s="118"/>
      <c r="BA923" s="118"/>
      <c r="BB923" s="118"/>
      <c r="BC923" s="118"/>
      <c r="BD923" s="118"/>
      <c r="BE923" s="118"/>
      <c r="BF923" s="118"/>
    </row>
    <row r="924" spans="52:98" x14ac:dyDescent="0.3">
      <c r="AZ924" s="118"/>
      <c r="BA924" s="118"/>
      <c r="BB924" s="118"/>
      <c r="BC924" s="118"/>
      <c r="BD924" s="118"/>
      <c r="BE924" s="118"/>
      <c r="BF924" s="118"/>
      <c r="BI924" s="132"/>
    </row>
    <row r="925" spans="52:98" x14ac:dyDescent="0.3">
      <c r="AZ925" s="118"/>
      <c r="BA925" s="118"/>
      <c r="BB925" s="118"/>
      <c r="BC925" s="118"/>
      <c r="BD925" s="118"/>
      <c r="BE925" s="118"/>
      <c r="BF925" s="118"/>
    </row>
    <row r="926" spans="52:98" x14ac:dyDescent="0.3">
      <c r="AZ926" s="118"/>
      <c r="BA926" s="118"/>
      <c r="BB926" s="118"/>
      <c r="BC926" s="118"/>
      <c r="BD926" s="118"/>
      <c r="BE926" s="118"/>
      <c r="BF926" s="118"/>
      <c r="BI926" s="132"/>
    </row>
    <row r="927" spans="52:98" x14ac:dyDescent="0.3">
      <c r="AZ927" s="118"/>
      <c r="BA927" s="118"/>
      <c r="BB927" s="118"/>
      <c r="BC927" s="118"/>
      <c r="BD927" s="118"/>
      <c r="BE927" s="118"/>
      <c r="BF927" s="118"/>
    </row>
    <row r="928" spans="52:98" x14ac:dyDescent="0.3">
      <c r="AZ928" s="118"/>
      <c r="BA928" s="118"/>
      <c r="BB928" s="118"/>
      <c r="BC928" s="118"/>
      <c r="BD928" s="118"/>
      <c r="BE928" s="118"/>
      <c r="BF928" s="118"/>
    </row>
    <row r="929" spans="52:98" x14ac:dyDescent="0.3">
      <c r="AZ929" s="118"/>
      <c r="BA929" s="118"/>
      <c r="BB929" s="118"/>
      <c r="BC929" s="118"/>
      <c r="BD929" s="118"/>
      <c r="BE929" s="118"/>
      <c r="BF929" s="118"/>
      <c r="BI929" s="125"/>
      <c r="BK929" s="121"/>
      <c r="BL929" s="121"/>
      <c r="BM929" s="121"/>
      <c r="BN929" s="121"/>
      <c r="BO929" s="121"/>
      <c r="BP929" s="121"/>
      <c r="BQ929" s="121"/>
      <c r="BR929" s="121"/>
      <c r="BS929" s="121"/>
      <c r="BT929" s="121"/>
      <c r="BU929" s="121"/>
      <c r="BV929" s="121"/>
      <c r="BW929" s="121"/>
      <c r="BX929" s="121"/>
      <c r="BY929" s="121"/>
      <c r="BZ929" s="121"/>
      <c r="CA929" s="121"/>
      <c r="CB929" s="121"/>
      <c r="CC929" s="121"/>
      <c r="CD929" s="121"/>
      <c r="CE929" s="121"/>
      <c r="CF929" s="121"/>
      <c r="CG929" s="121"/>
      <c r="CH929" s="121"/>
      <c r="CI929" s="121"/>
      <c r="CJ929" s="121"/>
      <c r="CK929" s="121"/>
      <c r="CL929" s="121"/>
      <c r="CM929" s="121"/>
      <c r="CN929" s="121"/>
      <c r="CO929" s="121"/>
      <c r="CP929" s="121"/>
      <c r="CQ929" s="121"/>
      <c r="CR929" s="121"/>
      <c r="CS929" s="121"/>
      <c r="CT929" s="121"/>
    </row>
    <row r="930" spans="52:98" x14ac:dyDescent="0.3">
      <c r="AZ930" s="118"/>
      <c r="BA930" s="118"/>
      <c r="BB930" s="118"/>
      <c r="BC930" s="118"/>
      <c r="BD930" s="118"/>
      <c r="BE930" s="118"/>
      <c r="BF930" s="118"/>
      <c r="BI930" s="125"/>
    </row>
    <row r="931" spans="52:98" x14ac:dyDescent="0.3">
      <c r="AZ931" s="118"/>
      <c r="BA931" s="118"/>
      <c r="BB931" s="118"/>
      <c r="BC931" s="118"/>
      <c r="BD931" s="118"/>
      <c r="BE931" s="118"/>
      <c r="BF931" s="118"/>
    </row>
    <row r="932" spans="52:98" x14ac:dyDescent="0.3">
      <c r="AZ932" s="118"/>
      <c r="BA932" s="118"/>
      <c r="BB932" s="118"/>
      <c r="BC932" s="118"/>
      <c r="BD932" s="118"/>
      <c r="BE932" s="118"/>
      <c r="BF932" s="118"/>
      <c r="BI932" s="132"/>
    </row>
    <row r="933" spans="52:98" x14ac:dyDescent="0.3">
      <c r="AZ933" s="118"/>
      <c r="BA933" s="118"/>
      <c r="BB933" s="118"/>
      <c r="BC933" s="118"/>
      <c r="BD933" s="118"/>
      <c r="BE933" s="118"/>
      <c r="BF933" s="118"/>
    </row>
    <row r="934" spans="52:98" x14ac:dyDescent="0.3">
      <c r="AZ934" s="118"/>
      <c r="BA934" s="118"/>
      <c r="BB934" s="118"/>
      <c r="BC934" s="118"/>
      <c r="BD934" s="118"/>
      <c r="BE934" s="118"/>
      <c r="BF934" s="118"/>
      <c r="BI934" s="132"/>
    </row>
    <row r="935" spans="52:98" x14ac:dyDescent="0.3">
      <c r="AZ935" s="118"/>
      <c r="BA935" s="118"/>
      <c r="BB935" s="118"/>
      <c r="BC935" s="118"/>
      <c r="BD935" s="118"/>
      <c r="BE935" s="118"/>
      <c r="BF935" s="118"/>
    </row>
    <row r="936" spans="52:98" x14ac:dyDescent="0.3">
      <c r="AZ936" s="118"/>
      <c r="BA936" s="118"/>
      <c r="BB936" s="118"/>
      <c r="BC936" s="118"/>
      <c r="BD936" s="118"/>
      <c r="BE936" s="118"/>
      <c r="BF936" s="118"/>
      <c r="BI936" s="132"/>
    </row>
    <row r="937" spans="52:98" x14ac:dyDescent="0.3">
      <c r="AZ937" s="118"/>
      <c r="BA937" s="118"/>
      <c r="BB937" s="118"/>
      <c r="BC937" s="118"/>
      <c r="BD937" s="118"/>
      <c r="BE937" s="118"/>
      <c r="BF937" s="118"/>
    </row>
    <row r="938" spans="52:98" x14ac:dyDescent="0.3">
      <c r="AZ938" s="118"/>
      <c r="BA938" s="118"/>
      <c r="BB938" s="118"/>
      <c r="BC938" s="118"/>
      <c r="BD938" s="118"/>
      <c r="BE938" s="118"/>
      <c r="BF938" s="118"/>
      <c r="BI938" s="132"/>
    </row>
    <row r="939" spans="52:98" x14ac:dyDescent="0.3">
      <c r="AZ939" s="118"/>
      <c r="BA939" s="118"/>
      <c r="BB939" s="118"/>
      <c r="BC939" s="118"/>
      <c r="BD939" s="118"/>
      <c r="BE939" s="118"/>
      <c r="BF939" s="118"/>
    </row>
    <row r="940" spans="52:98" x14ac:dyDescent="0.3">
      <c r="BI940" s="132"/>
    </row>
    <row r="941" spans="52:98" x14ac:dyDescent="0.3">
      <c r="AZ941" s="118"/>
      <c r="BA941" s="118"/>
      <c r="BB941" s="118"/>
      <c r="BC941" s="118"/>
      <c r="BD941" s="118"/>
      <c r="BE941" s="118"/>
      <c r="BF941" s="118"/>
    </row>
    <row r="942" spans="52:98" x14ac:dyDescent="0.3">
      <c r="AZ942" s="118"/>
      <c r="BA942" s="118"/>
      <c r="BB942" s="118"/>
      <c r="BC942" s="118"/>
      <c r="BD942" s="118"/>
      <c r="BE942" s="118"/>
      <c r="BF942" s="118"/>
      <c r="BI942" s="132"/>
    </row>
    <row r="943" spans="52:98" x14ac:dyDescent="0.3">
      <c r="AZ943" s="118"/>
      <c r="BA943" s="118"/>
      <c r="BB943" s="118"/>
      <c r="BC943" s="118"/>
      <c r="BD943" s="118"/>
      <c r="BE943" s="118"/>
      <c r="BF943" s="118"/>
    </row>
    <row r="944" spans="52:98" x14ac:dyDescent="0.3">
      <c r="AZ944" s="118"/>
      <c r="BA944" s="118"/>
      <c r="BB944" s="118"/>
      <c r="BC944" s="118"/>
      <c r="BD944" s="118"/>
      <c r="BE944" s="118"/>
      <c r="BF944" s="118"/>
    </row>
    <row r="945" spans="52:98" x14ac:dyDescent="0.3">
      <c r="AZ945" s="118"/>
      <c r="BA945" s="118"/>
      <c r="BB945" s="118"/>
      <c r="BC945" s="118"/>
      <c r="BD945" s="118"/>
      <c r="BE945" s="118"/>
      <c r="BF945" s="118"/>
      <c r="BI945" s="125"/>
      <c r="BK945" s="121"/>
      <c r="BL945" s="121"/>
      <c r="BM945" s="121"/>
      <c r="BN945" s="121"/>
      <c r="BO945" s="121"/>
      <c r="BP945" s="121"/>
      <c r="BQ945" s="121"/>
      <c r="BR945" s="121"/>
      <c r="BS945" s="121"/>
      <c r="BT945" s="121"/>
      <c r="BU945" s="121"/>
      <c r="BV945" s="121"/>
      <c r="BW945" s="121"/>
      <c r="BX945" s="121"/>
      <c r="BY945" s="121"/>
      <c r="BZ945" s="121"/>
      <c r="CA945" s="121"/>
      <c r="CB945" s="121"/>
      <c r="CC945" s="121"/>
      <c r="CD945" s="121"/>
      <c r="CE945" s="121"/>
      <c r="CF945" s="121"/>
      <c r="CG945" s="121"/>
      <c r="CH945" s="121"/>
      <c r="CI945" s="121"/>
      <c r="CJ945" s="121"/>
      <c r="CK945" s="121"/>
      <c r="CL945" s="121"/>
      <c r="CM945" s="121"/>
      <c r="CN945" s="121"/>
      <c r="CO945" s="121"/>
      <c r="CP945" s="121"/>
      <c r="CQ945" s="121"/>
      <c r="CR945" s="121"/>
      <c r="CS945" s="121"/>
      <c r="CT945" s="121"/>
    </row>
    <row r="946" spans="52:98" x14ac:dyDescent="0.3">
      <c r="AZ946" s="118"/>
      <c r="BA946" s="118"/>
      <c r="BB946" s="118"/>
      <c r="BC946" s="118"/>
      <c r="BD946" s="118"/>
      <c r="BE946" s="118"/>
      <c r="BF946" s="118"/>
      <c r="BI946" s="125"/>
    </row>
    <row r="947" spans="52:98" x14ac:dyDescent="0.3">
      <c r="AZ947" s="118"/>
      <c r="BA947" s="118"/>
      <c r="BB947" s="118"/>
      <c r="BC947" s="118"/>
      <c r="BD947" s="118"/>
      <c r="BE947" s="118"/>
      <c r="BF947" s="118"/>
    </row>
    <row r="948" spans="52:98" x14ac:dyDescent="0.3">
      <c r="AZ948" s="118"/>
      <c r="BA948" s="118"/>
      <c r="BB948" s="118"/>
      <c r="BC948" s="118"/>
      <c r="BD948" s="118"/>
      <c r="BE948" s="118"/>
      <c r="BF948" s="118"/>
      <c r="BI948" s="132"/>
    </row>
    <row r="949" spans="52:98" x14ac:dyDescent="0.3">
      <c r="AZ949" s="118"/>
      <c r="BA949" s="118"/>
      <c r="BB949" s="118"/>
      <c r="BC949" s="118"/>
      <c r="BD949" s="118"/>
      <c r="BE949" s="118"/>
      <c r="BF949" s="118"/>
    </row>
    <row r="950" spans="52:98" x14ac:dyDescent="0.3">
      <c r="AZ950" s="118"/>
      <c r="BA950" s="118"/>
      <c r="BB950" s="118"/>
      <c r="BC950" s="118"/>
      <c r="BD950" s="118"/>
      <c r="BE950" s="118"/>
      <c r="BF950" s="118"/>
      <c r="BI950" s="132"/>
    </row>
    <row r="951" spans="52:98" x14ac:dyDescent="0.3">
      <c r="AZ951" s="118"/>
      <c r="BA951" s="118"/>
      <c r="BB951" s="118"/>
      <c r="BC951" s="118"/>
      <c r="BD951" s="118"/>
      <c r="BE951" s="118"/>
      <c r="BF951" s="118"/>
    </row>
    <row r="952" spans="52:98" x14ac:dyDescent="0.3">
      <c r="AZ952" s="118"/>
      <c r="BA952" s="118"/>
      <c r="BB952" s="118"/>
      <c r="BC952" s="118"/>
      <c r="BD952" s="118"/>
      <c r="BE952" s="118"/>
      <c r="BF952" s="118"/>
      <c r="BI952" s="132"/>
    </row>
    <row r="953" spans="52:98" x14ac:dyDescent="0.3">
      <c r="AZ953" s="118"/>
      <c r="BA953" s="118"/>
      <c r="BB953" s="118"/>
      <c r="BC953" s="118"/>
      <c r="BD953" s="118"/>
      <c r="BE953" s="118"/>
      <c r="BF953" s="118"/>
    </row>
    <row r="954" spans="52:98" x14ac:dyDescent="0.3">
      <c r="AZ954" s="118"/>
      <c r="BA954" s="118"/>
      <c r="BB954" s="118"/>
      <c r="BC954" s="118"/>
      <c r="BD954" s="118"/>
      <c r="BE954" s="118"/>
      <c r="BF954" s="118"/>
      <c r="BI954" s="132"/>
    </row>
    <row r="955" spans="52:98" x14ac:dyDescent="0.3">
      <c r="AZ955" s="118"/>
      <c r="BA955" s="118"/>
      <c r="BB955" s="118"/>
      <c r="BC955" s="118"/>
      <c r="BD955" s="118"/>
      <c r="BE955" s="118"/>
      <c r="BF955" s="118"/>
    </row>
    <row r="956" spans="52:98" x14ac:dyDescent="0.3">
      <c r="BI956" s="132"/>
    </row>
    <row r="957" spans="52:98" x14ac:dyDescent="0.3">
      <c r="AZ957" s="118"/>
      <c r="BA957" s="118"/>
      <c r="BB957" s="118"/>
      <c r="BC957" s="118"/>
      <c r="BD957" s="118"/>
      <c r="BE957" s="118"/>
      <c r="BF957" s="118"/>
    </row>
    <row r="958" spans="52:98" x14ac:dyDescent="0.3">
      <c r="AZ958" s="118"/>
      <c r="BA958" s="118"/>
      <c r="BB958" s="118"/>
      <c r="BC958" s="118"/>
      <c r="BD958" s="118"/>
      <c r="BE958" s="118"/>
      <c r="BF958" s="118"/>
      <c r="BI958" s="132"/>
    </row>
    <row r="959" spans="52:98" x14ac:dyDescent="0.3">
      <c r="AZ959" s="118"/>
      <c r="BA959" s="118"/>
      <c r="BB959" s="118"/>
      <c r="BC959" s="118"/>
      <c r="BD959" s="118"/>
      <c r="BE959" s="118"/>
      <c r="BF959" s="118"/>
    </row>
    <row r="960" spans="52:98" x14ac:dyDescent="0.3">
      <c r="AZ960" s="118"/>
      <c r="BA960" s="118"/>
      <c r="BB960" s="118"/>
      <c r="BC960" s="118"/>
      <c r="BD960" s="118"/>
      <c r="BE960" s="118"/>
      <c r="BF960" s="118"/>
    </row>
    <row r="961" spans="45:83" x14ac:dyDescent="0.3">
      <c r="AZ961" s="118"/>
      <c r="BA961" s="118"/>
      <c r="BB961" s="118"/>
      <c r="BC961" s="118"/>
      <c r="BD961" s="118"/>
      <c r="BE961" s="118"/>
      <c r="BF961" s="118"/>
    </row>
    <row r="962" spans="45:83" x14ac:dyDescent="0.3">
      <c r="AS962" s="125" t="s">
        <v>497</v>
      </c>
      <c r="AT962" s="125"/>
      <c r="AU962" s="118" t="s">
        <v>64</v>
      </c>
      <c r="AV962" s="121" t="s">
        <v>43</v>
      </c>
      <c r="AW962" s="121" t="s">
        <v>44</v>
      </c>
      <c r="AX962" s="121" t="s">
        <v>45</v>
      </c>
      <c r="AY962" s="121" t="s">
        <v>46</v>
      </c>
      <c r="AZ962" s="121" t="s">
        <v>47</v>
      </c>
      <c r="BA962" s="121" t="s">
        <v>48</v>
      </c>
      <c r="BB962" s="121" t="s">
        <v>49</v>
      </c>
      <c r="BC962" s="121" t="s">
        <v>50</v>
      </c>
      <c r="BD962" s="121" t="s">
        <v>51</v>
      </c>
      <c r="BE962" s="121" t="s">
        <v>52</v>
      </c>
      <c r="BF962" s="121" t="s">
        <v>53</v>
      </c>
      <c r="BG962" s="121" t="s">
        <v>54</v>
      </c>
      <c r="BH962" s="121"/>
      <c r="BI962" s="121"/>
      <c r="BJ962" s="121"/>
      <c r="BK962" s="121"/>
      <c r="BL962" s="121"/>
      <c r="BM962" s="121"/>
      <c r="BN962" s="121"/>
      <c r="BO962" s="121"/>
      <c r="BP962" s="121"/>
      <c r="BQ962" s="121"/>
      <c r="BR962" s="121"/>
      <c r="BS962" s="121"/>
      <c r="BT962" s="121"/>
      <c r="BU962" s="121"/>
      <c r="BV962" s="121"/>
      <c r="BW962" s="121"/>
      <c r="BX962" s="121"/>
      <c r="BY962" s="121"/>
      <c r="BZ962" s="121"/>
      <c r="CA962" s="121"/>
      <c r="CB962" s="121"/>
      <c r="CC962" s="121"/>
      <c r="CD962" s="121"/>
      <c r="CE962" s="121"/>
    </row>
    <row r="963" spans="45:83" x14ac:dyDescent="0.3">
      <c r="AS963" s="125"/>
      <c r="AT963" s="125"/>
      <c r="AU963" s="118">
        <v>1</v>
      </c>
      <c r="AV963" s="118" t="s">
        <v>3</v>
      </c>
      <c r="AW963" s="118" t="s">
        <v>5</v>
      </c>
      <c r="AX963" s="118" t="s">
        <v>3</v>
      </c>
      <c r="AY963" s="118" t="s">
        <v>5</v>
      </c>
      <c r="AZ963" s="118" t="s">
        <v>5</v>
      </c>
      <c r="BA963" s="118" t="s">
        <v>5</v>
      </c>
      <c r="BB963" s="118" t="s">
        <v>2</v>
      </c>
      <c r="BC963" s="118" t="s">
        <v>2</v>
      </c>
      <c r="BD963" s="118" t="s">
        <v>2</v>
      </c>
      <c r="BE963" s="118" t="s">
        <v>2</v>
      </c>
      <c r="BF963" s="118" t="s">
        <v>3</v>
      </c>
      <c r="BG963" s="118" t="s">
        <v>5</v>
      </c>
    </row>
    <row r="964" spans="45:83" x14ac:dyDescent="0.3">
      <c r="AT964" s="118" t="s">
        <v>504</v>
      </c>
      <c r="AU964" s="118">
        <f>AW22*AT32*AT40*AT44*AT52*AT58*AT64*AT69*AT75*AT81*AT87*AT92*AT100*AT106*AT110*AT116*AT124*AT130*AT136*AT141*AT145*AT151*AT159*AT163*AT167*AT171*AT175*AT179*AT183*AT187*AT192*AT195*AT200*AT203*AT207*AT211*AT216</f>
        <v>3.2838981000834235E-10</v>
      </c>
      <c r="AZ964" s="118"/>
      <c r="BA964" s="118"/>
      <c r="BB964" s="118"/>
      <c r="BC964" s="118"/>
      <c r="BD964" s="118"/>
      <c r="BE964" s="118"/>
      <c r="BF964" s="118"/>
    </row>
    <row r="965" spans="45:83" x14ac:dyDescent="0.3">
      <c r="AT965" s="118" t="s">
        <v>505</v>
      </c>
      <c r="AU965" s="118">
        <f>AW23*AU32*AU40*AU44*AU52*AU58*AU64*AU69*AU75*AU81*AU87*AU92*AU100*AU106*AU110*AU116*AU124*AU130*AU136*AU141*AU145*AU151*AU159*AU163*AU167*AU171*AU175*AU179*AU183*AU187*AU192*AU195*AU200*AU203*AU207*AU211*AU216</f>
        <v>0</v>
      </c>
      <c r="AZ965" s="118"/>
      <c r="BA965" s="118"/>
      <c r="BB965" s="118"/>
      <c r="BC965" s="118"/>
      <c r="BD965" s="118"/>
      <c r="BE965" s="118"/>
      <c r="BF965" s="118"/>
    </row>
    <row r="966" spans="45:83" x14ac:dyDescent="0.3">
      <c r="AT966" s="118" t="s">
        <v>506</v>
      </c>
      <c r="AU966" s="118">
        <f>AW24*AV32*AV40*AV44*AV52*AV58*AV64*AV69*AV75*AV81*AV87*AV92*AV100*AV106*AV110*AV116*AV124*AV130*AV136*AV141*AV145*AV151*AV159*AV163*AV167*AV171*AV175*AV179*AV183*AV187*AV192*AV195*AV200*AV203*AV207*AV211*AV216</f>
        <v>0</v>
      </c>
      <c r="AZ966" s="118"/>
      <c r="BA966" s="118"/>
      <c r="BB966" s="118"/>
      <c r="BC966" s="118"/>
      <c r="BD966" s="118"/>
      <c r="BE966" s="118"/>
      <c r="BF966" s="118"/>
    </row>
    <row r="967" spans="45:83" x14ac:dyDescent="0.3">
      <c r="AT967" s="118" t="s">
        <v>507</v>
      </c>
      <c r="AU967" s="118">
        <f>AW25*AW32*AW40*AW44*AW52*AW58*AW64*AW69*AW75*AW81*AW87*AW92*AW100*AW106*AW110*AW116*AW124*AW130*AW136*AW141*AW145*AW151*AW159*AW163*AW167*AW171*AW175*AW179*AW183*AW187*AW192*AW195*AW200*AW203*AW207*AW211*AW216</f>
        <v>0</v>
      </c>
      <c r="AZ967" s="118"/>
      <c r="BA967" s="118"/>
      <c r="BB967" s="118"/>
      <c r="BC967" s="118"/>
      <c r="BD967" s="118"/>
      <c r="BE967" s="118"/>
      <c r="BF967" s="118"/>
    </row>
    <row r="968" spans="45:83" x14ac:dyDescent="0.3">
      <c r="AT968" s="118" t="s">
        <v>508</v>
      </c>
      <c r="AU968" s="118">
        <f>AW26*AX32*AX40*AX44*AX52*AX58*AX64*AX69*AX75*AX81*AX87*AX92*AX100*AX106*AX110*AX116*AX124*AX130*AX136*AX141*AX145*AX151*AX159*AX163*AX167*AX171*AX175*AX179*AX183*AX187*AX192*AX195*AX200*AX203*AX207*AX211*AX216</f>
        <v>0</v>
      </c>
      <c r="AZ968" s="118"/>
      <c r="BA968" s="118"/>
      <c r="BB968" s="118"/>
      <c r="BC968" s="118"/>
      <c r="BD968" s="118"/>
      <c r="BE968" s="118"/>
      <c r="BF968" s="118"/>
    </row>
    <row r="969" spans="45:83" x14ac:dyDescent="0.3">
      <c r="AT969" s="118" t="s">
        <v>509</v>
      </c>
      <c r="AU969" s="118">
        <f>AW27*AY32*AY40*AY44*AY52*AY58*AY64*AY69*AY75*AY81*AY87*AY92*AY100*AY106*AY110*AY116*AY124*AY130*AY136*AY141*AY145*AY151*AY159*AY163*AY167*AY171*AY175*AY179*AY183*AY187*AY192*AY195*AY200*AY203*AY207*AY211*AY216</f>
        <v>0</v>
      </c>
      <c r="AZ969" s="118"/>
      <c r="BA969" s="118"/>
      <c r="BB969" s="118"/>
      <c r="BC969" s="118"/>
      <c r="BD969" s="118"/>
      <c r="BE969" s="118"/>
      <c r="BF969" s="118"/>
    </row>
    <row r="970" spans="45:83" x14ac:dyDescent="0.3">
      <c r="AT970" s="118" t="s">
        <v>437</v>
      </c>
      <c r="AU970" s="118" t="s">
        <v>285</v>
      </c>
      <c r="AV970" s="118" t="s">
        <v>438</v>
      </c>
      <c r="AZ970" s="118"/>
      <c r="BA970" s="118"/>
      <c r="BB970" s="118"/>
      <c r="BC970" s="118"/>
      <c r="BD970" s="118"/>
      <c r="BE970" s="118"/>
      <c r="BF970" s="118"/>
    </row>
    <row r="972" spans="45:83" x14ac:dyDescent="0.3">
      <c r="AS972" s="125" t="s">
        <v>484</v>
      </c>
      <c r="AT972" s="125"/>
      <c r="AU972" s="118" t="s">
        <v>64</v>
      </c>
      <c r="AV972" s="121" t="s">
        <v>43</v>
      </c>
      <c r="AW972" s="121" t="s">
        <v>44</v>
      </c>
      <c r="AX972" s="121" t="s">
        <v>45</v>
      </c>
      <c r="AY972" s="121" t="s">
        <v>46</v>
      </c>
      <c r="AZ972" s="121" t="s">
        <v>47</v>
      </c>
      <c r="BA972" s="121" t="s">
        <v>48</v>
      </c>
      <c r="BB972" s="121" t="s">
        <v>49</v>
      </c>
      <c r="BC972" s="121" t="s">
        <v>50</v>
      </c>
      <c r="BD972" s="121" t="s">
        <v>51</v>
      </c>
      <c r="BE972" s="121" t="s">
        <v>52</v>
      </c>
      <c r="BF972" s="121" t="s">
        <v>53</v>
      </c>
      <c r="BG972" s="121" t="s">
        <v>54</v>
      </c>
      <c r="BH972" s="121"/>
      <c r="BI972" s="121"/>
      <c r="BJ972" s="121"/>
      <c r="BK972" s="121"/>
      <c r="BL972" s="121"/>
      <c r="BM972" s="121"/>
      <c r="BN972" s="121"/>
      <c r="BO972" s="121"/>
      <c r="BP972" s="121"/>
      <c r="BQ972" s="121"/>
      <c r="BR972" s="121"/>
      <c r="BS972" s="121"/>
      <c r="BT972" s="121"/>
      <c r="BU972" s="121"/>
      <c r="BV972" s="121"/>
      <c r="BW972" s="121"/>
      <c r="BX972" s="121"/>
      <c r="BY972" s="121"/>
      <c r="BZ972" s="121"/>
      <c r="CA972" s="121"/>
      <c r="CB972" s="121"/>
      <c r="CC972" s="121"/>
      <c r="CD972" s="121"/>
      <c r="CE972" s="121"/>
    </row>
    <row r="973" spans="45:83" x14ac:dyDescent="0.3">
      <c r="AS973" s="125"/>
      <c r="AT973" s="125"/>
      <c r="AU973" s="118">
        <v>1</v>
      </c>
      <c r="AV973" s="118" t="s">
        <v>5</v>
      </c>
      <c r="AW973" s="118" t="s">
        <v>3</v>
      </c>
      <c r="AX973" s="118" t="s">
        <v>2</v>
      </c>
      <c r="AY973" s="118" t="s">
        <v>3</v>
      </c>
      <c r="AZ973" s="118" t="s">
        <v>5</v>
      </c>
      <c r="BA973" s="118" t="s">
        <v>5</v>
      </c>
      <c r="BB973" s="118" t="s">
        <v>5</v>
      </c>
      <c r="BC973" s="118" t="s">
        <v>2</v>
      </c>
      <c r="BD973" s="118" t="s">
        <v>2</v>
      </c>
      <c r="BE973" s="118" t="s">
        <v>2</v>
      </c>
      <c r="BF973" s="118" t="s">
        <v>2</v>
      </c>
      <c r="BG973" s="118" t="s">
        <v>5</v>
      </c>
    </row>
    <row r="974" spans="45:83" x14ac:dyDescent="0.3">
      <c r="AT974" s="118" t="s">
        <v>504</v>
      </c>
      <c r="AU974" s="118">
        <f>AW22*AT34*AT38*AT45*AT50*AT58*AT64*AT70*AT75*AT81*AT87*AT93*AT100*AT106*AT110*AT116*AT124*AT130*AT136*AT142*AT145*AT151*AT157*AT164*AT168*AT172*AT175*AT179*AT183*AT187*AT192*AT195*AT200*AT204*AT207*AT211*AT216</f>
        <v>4.1700293334392697E-11</v>
      </c>
      <c r="AZ974" s="118"/>
      <c r="BA974" s="118"/>
      <c r="BB974" s="118"/>
      <c r="BC974" s="118"/>
      <c r="BD974" s="118"/>
      <c r="BE974" s="118"/>
      <c r="BF974" s="118"/>
    </row>
    <row r="975" spans="45:83" x14ac:dyDescent="0.3">
      <c r="AT975" s="118" t="s">
        <v>505</v>
      </c>
      <c r="AU975" s="118">
        <f>AW23*AU34*AU38*AU45*AU50*AU58*AU64*AU70*AU75*AU81*AU87*AU93*AU100*AU106*AU110*AU116*AU124*AU130*AU136*AU142*AU145*AU151*AU157*AU164*AU168*AU172*AU175*AU179*AU183*AU187*AU192*AU195*AU200*AU204*AU207*AU211*AU216</f>
        <v>1.9564867807915214E-11</v>
      </c>
      <c r="AZ975" s="118"/>
      <c r="BA975" s="118"/>
      <c r="BB975" s="118"/>
      <c r="BC975" s="118"/>
      <c r="BD975" s="118"/>
      <c r="BE975" s="118"/>
      <c r="BF975" s="118"/>
    </row>
    <row r="976" spans="45:83" x14ac:dyDescent="0.3">
      <c r="AT976" s="118" t="s">
        <v>506</v>
      </c>
      <c r="AU976" s="118">
        <f>AW24*AV34*AV38*AV45*AV50*AV58*AV64*AV70*AV75*AV81*AV87*AV93*AV100*AV106*AV110*AV116*AV124*AV130*AV136*AV142*AV145*AV151*AV157*AV164*AV168*AV172*AV175*AV179*AV183*AV187*AV192*AV195*AV200*AV204*AV207*AV211*AV216</f>
        <v>0</v>
      </c>
      <c r="AZ976" s="118"/>
      <c r="BA976" s="118"/>
      <c r="BB976" s="118"/>
      <c r="BC976" s="118"/>
      <c r="BD976" s="118"/>
      <c r="BE976" s="118"/>
      <c r="BF976" s="118"/>
    </row>
    <row r="977" spans="35:83" x14ac:dyDescent="0.3">
      <c r="AT977" s="118" t="s">
        <v>507</v>
      </c>
      <c r="AU977" s="118">
        <f>AW25*AW34*AW38*AW45*AW50*AW58*AW64*AW70*AW75*AW81*AW87*AW93*AW100*AW106*AW110*AW116*AW124*AW130*AW136*AW142*AW145*AW151*AW157*AW164*AW168*AW172*AW175*AW179*AW183*AW187*AW192*AW195*AW200*AW204*AW207*AW211*AW216</f>
        <v>0</v>
      </c>
      <c r="AZ977" s="118"/>
      <c r="BA977" s="118"/>
      <c r="BB977" s="118"/>
      <c r="BC977" s="118"/>
      <c r="BD977" s="118"/>
      <c r="BE977" s="118"/>
      <c r="BF977" s="118"/>
    </row>
    <row r="978" spans="35:83" x14ac:dyDescent="0.3">
      <c r="AT978" s="118" t="s">
        <v>508</v>
      </c>
      <c r="AU978" s="118">
        <f>AW26*AX34*AX38*AX45*AX50*AX58*AX64*AX70*AX75*AX81*AX87*AX93*AX100*AX106*AX110*AX116*AX124*AX130*AX136*AX142*AX145*AX151*AX157*AX164*AX168*AX172*AX175*AX179*AX183*AX187*AX192*AX195*AX200*AX204*AX207*AX211*AX216</f>
        <v>0</v>
      </c>
      <c r="AZ978" s="118"/>
      <c r="BA978" s="118"/>
      <c r="BB978" s="118"/>
      <c r="BC978" s="118"/>
      <c r="BD978" s="118"/>
      <c r="BE978" s="118"/>
      <c r="BF978" s="118"/>
    </row>
    <row r="979" spans="35:83" x14ac:dyDescent="0.3">
      <c r="AT979" s="118" t="s">
        <v>509</v>
      </c>
      <c r="AU979" s="118">
        <f>AW27*AY34*AY38*AY45*AY50*AY58*AY64*AY70*AY75*AY81*AY87*AY93*AY100*AY106*AY110*AY116*AY124*AY130*AY136*AY142*AY145*AY151*AY157*AY164*AY168*AY172*AY175*AY179*AY183*AY187*AY192*AY195*AY200*AY204*AY207*AY211*AY216</f>
        <v>0</v>
      </c>
      <c r="AZ979" s="118"/>
      <c r="BA979" s="118"/>
      <c r="BB979" s="118"/>
      <c r="BC979" s="118"/>
      <c r="BD979" s="118"/>
      <c r="BE979" s="118"/>
      <c r="BF979" s="118"/>
    </row>
    <row r="980" spans="35:83" x14ac:dyDescent="0.3">
      <c r="AT980" s="118" t="s">
        <v>437</v>
      </c>
      <c r="AU980" s="118" t="s">
        <v>285</v>
      </c>
      <c r="AV980" s="133" t="s">
        <v>438</v>
      </c>
      <c r="AW980" s="133"/>
      <c r="AZ980" s="118"/>
      <c r="BA980" s="118"/>
      <c r="BB980" s="118"/>
      <c r="BC980" s="118"/>
      <c r="BD980" s="118"/>
      <c r="BE980" s="118"/>
      <c r="BF980" s="118"/>
    </row>
    <row r="982" spans="35:83" x14ac:dyDescent="0.3">
      <c r="AS982" s="125" t="s">
        <v>460</v>
      </c>
      <c r="AT982" s="125"/>
      <c r="AU982" s="118" t="s">
        <v>64</v>
      </c>
      <c r="AV982" s="121" t="s">
        <v>43</v>
      </c>
      <c r="AW982" s="121" t="s">
        <v>44</v>
      </c>
      <c r="AX982" s="121" t="s">
        <v>45</v>
      </c>
      <c r="AY982" s="121" t="s">
        <v>46</v>
      </c>
      <c r="AZ982" s="121" t="s">
        <v>47</v>
      </c>
      <c r="BA982" s="121" t="s">
        <v>48</v>
      </c>
      <c r="BB982" s="121" t="s">
        <v>49</v>
      </c>
      <c r="BC982" s="121" t="s">
        <v>50</v>
      </c>
      <c r="BD982" s="121" t="s">
        <v>51</v>
      </c>
      <c r="BE982" s="121" t="s">
        <v>52</v>
      </c>
      <c r="BF982" s="121" t="s">
        <v>53</v>
      </c>
      <c r="BG982" s="121" t="s">
        <v>54</v>
      </c>
      <c r="BH982" s="121"/>
      <c r="BI982" s="121"/>
      <c r="BJ982" s="121"/>
      <c r="BK982" s="121"/>
      <c r="BL982" s="121"/>
      <c r="BM982" s="121"/>
      <c r="BN982" s="121"/>
      <c r="BO982" s="121"/>
      <c r="BP982" s="121"/>
      <c r="BQ982" s="121"/>
      <c r="BR982" s="121"/>
      <c r="BS982" s="121"/>
      <c r="BT982" s="121"/>
      <c r="BU982" s="121"/>
      <c r="BV982" s="121"/>
      <c r="BW982" s="121"/>
      <c r="BX982" s="121"/>
      <c r="BY982" s="121"/>
      <c r="BZ982" s="121"/>
      <c r="CA982" s="121"/>
      <c r="CB982" s="121"/>
      <c r="CC982" s="121"/>
      <c r="CD982" s="121"/>
      <c r="CE982" s="121"/>
    </row>
    <row r="983" spans="35:83" x14ac:dyDescent="0.3">
      <c r="AS983" s="125"/>
      <c r="AT983" s="125"/>
      <c r="AU983" s="118">
        <v>1</v>
      </c>
      <c r="AV983" s="118" t="s">
        <v>5</v>
      </c>
      <c r="AW983" s="118" t="s">
        <v>3</v>
      </c>
      <c r="AX983" s="118" t="s">
        <v>4</v>
      </c>
      <c r="AY983" s="118" t="s">
        <v>3</v>
      </c>
      <c r="AZ983" s="118" t="s">
        <v>5</v>
      </c>
      <c r="BA983" s="118" t="s">
        <v>5</v>
      </c>
      <c r="BB983" s="118" t="s">
        <v>5</v>
      </c>
      <c r="BC983" s="118" t="s">
        <v>2</v>
      </c>
      <c r="BD983" s="118" t="s">
        <v>3</v>
      </c>
      <c r="BE983" s="118" t="s">
        <v>3</v>
      </c>
      <c r="BF983" s="118" t="s">
        <v>2</v>
      </c>
      <c r="BG983" s="118" t="s">
        <v>4</v>
      </c>
    </row>
    <row r="984" spans="35:83" x14ac:dyDescent="0.3">
      <c r="AI984" s="118" t="s">
        <v>295</v>
      </c>
      <c r="AT984" s="118" t="s">
        <v>504</v>
      </c>
      <c r="AU984" s="118">
        <f>AW22*AT34*AT38*AT43*AT50*AT58*AT64*AT70*AT75*AT80*AT86*AT93*AT97*AT106*AT110*AT117*AT124*AT130*AT136*AT142*AT145*AT151*AT157*AT164*AT168*AT172*AT175*AT179*AT183*AT187*AT191*AT195*AT199*AT203*AT207*AT211*AT216</f>
        <v>5.1044703812394785E-11</v>
      </c>
      <c r="AZ984" s="118"/>
      <c r="BA984" s="118"/>
      <c r="BB984" s="118"/>
      <c r="BC984" s="118"/>
      <c r="BD984" s="118"/>
      <c r="BE984" s="118"/>
      <c r="BF984" s="118"/>
    </row>
    <row r="985" spans="35:83" x14ac:dyDescent="0.3">
      <c r="AT985" s="118" t="s">
        <v>505</v>
      </c>
      <c r="AU985" s="118">
        <f>AW23*AU34*AU38*AU43*AU50*AU58*AU64*AU70*AU75*AU80*AU86*AU93*AU97*AU106*AU110*AU117*AU124*AU130*AU136*AU142*AU145*AU151*AU157*AU164*AU168*AU172*AU175*AU179*AU183*AU187*AU191*AU195*AU199*AU203*AU207*AU211*AU216</f>
        <v>4.4267983727000085E-12</v>
      </c>
      <c r="AZ985" s="118"/>
      <c r="BA985" s="118"/>
      <c r="BB985" s="118"/>
      <c r="BC985" s="118"/>
      <c r="BD985" s="118"/>
      <c r="BE985" s="118"/>
      <c r="BF985" s="118"/>
    </row>
    <row r="986" spans="35:83" x14ac:dyDescent="0.3">
      <c r="AT986" s="118" t="s">
        <v>506</v>
      </c>
      <c r="AU986" s="118">
        <f>AW24*AV34*AV38*AV43*AV50*AV58*AV64*AV70*AV75*AV80*AV86*AV93*AV97*AV106*AV110*AV117*AV124*AV130*AV136*AV142*AV145*AV151*AV157*AV164*AV168*AV172*AV175*AV179*AV183*AV187*AV191*AV195*AV199*AV203*AV207*AV211*AV216</f>
        <v>0</v>
      </c>
      <c r="AZ986" s="118"/>
      <c r="BA986" s="118"/>
      <c r="BB986" s="118"/>
      <c r="BC986" s="118"/>
      <c r="BD986" s="118"/>
      <c r="BE986" s="118"/>
      <c r="BF986" s="118"/>
    </row>
    <row r="987" spans="35:83" x14ac:dyDescent="0.3">
      <c r="AT987" s="118" t="s">
        <v>507</v>
      </c>
      <c r="AU987" s="118">
        <f>AW25*AW34*AW38*AW43*AW50*AW58*AW64*AW70*AW75*AW80*AW86*AW93*AW97*AW106*AW110*AW117*AW124*AW130*AW136*AW142*AW145*AW151*AW157*AW164*AW168*AW172*AW175*AW179*AW183*AW187*AW191*AW195*AW199*AW203*AW207*AW211*AW216</f>
        <v>0</v>
      </c>
      <c r="AZ987" s="118"/>
      <c r="BA987" s="118"/>
      <c r="BB987" s="118"/>
      <c r="BC987" s="118"/>
      <c r="BD987" s="118"/>
      <c r="BE987" s="118"/>
      <c r="BF987" s="118"/>
    </row>
    <row r="988" spans="35:83" x14ac:dyDescent="0.3">
      <c r="AT988" s="118" t="s">
        <v>508</v>
      </c>
      <c r="AU988" s="118">
        <f>AW26*AX34*AX38*AX43*AX50*AX58*AX64*AX70*AX75*AX80*AX86*AX93*AX97*AX106*AX110*AX117*AX124*AX130*AX136*AX142*AX145*AX151*AX157*AX164*AX168*AX172*AX175*AX179*AX183*AX187*AX191*AX195*AX199*AX203*AX207*AX211*AX216</f>
        <v>0</v>
      </c>
      <c r="AZ988" s="118"/>
      <c r="BA988" s="118"/>
      <c r="BB988" s="118"/>
      <c r="BC988" s="118"/>
      <c r="BD988" s="118"/>
      <c r="BE988" s="118"/>
      <c r="BF988" s="118"/>
    </row>
    <row r="989" spans="35:83" x14ac:dyDescent="0.3">
      <c r="AT989" s="118" t="s">
        <v>509</v>
      </c>
      <c r="AU989" s="118">
        <f>AW27*AY34*AY38*AY43*AY50*AY58*AY64*AY70*AY75*AY80*AY86*AY93*AY97*AY106*AY110*AY117*AY124*AY130*AY136*AY142*AY145*AY151*AY157*AY164*AY168*AY172*AY175*AY179*AY183*AY187*AY191*AY195*AY199*AY203*AY207*AY211*AY216</f>
        <v>0</v>
      </c>
      <c r="AZ989" s="118"/>
      <c r="BA989" s="118"/>
      <c r="BB989" s="118"/>
      <c r="BC989" s="118"/>
      <c r="BD989" s="118"/>
      <c r="BE989" s="118"/>
      <c r="BF989" s="118"/>
    </row>
    <row r="990" spans="35:83" x14ac:dyDescent="0.3">
      <c r="AZ990" s="118"/>
      <c r="BA990" s="118"/>
      <c r="BB990" s="118"/>
      <c r="BC990" s="118"/>
      <c r="BD990" s="118"/>
      <c r="BE990" s="118"/>
      <c r="BF990" s="118"/>
    </row>
    <row r="991" spans="35:83" x14ac:dyDescent="0.3">
      <c r="AS991" s="125" t="s">
        <v>513</v>
      </c>
      <c r="AT991" s="125"/>
      <c r="AU991" s="118" t="s">
        <v>64</v>
      </c>
      <c r="AV991" s="121" t="s">
        <v>43</v>
      </c>
      <c r="AW991" s="121" t="s">
        <v>44</v>
      </c>
      <c r="AX991" s="121" t="s">
        <v>45</v>
      </c>
      <c r="AY991" s="121" t="s">
        <v>46</v>
      </c>
      <c r="AZ991" s="121" t="s">
        <v>47</v>
      </c>
      <c r="BA991" s="121" t="s">
        <v>48</v>
      </c>
      <c r="BB991" s="121" t="s">
        <v>49</v>
      </c>
      <c r="BC991" s="121" t="s">
        <v>50</v>
      </c>
      <c r="BD991" s="121" t="s">
        <v>51</v>
      </c>
      <c r="BE991" s="121" t="s">
        <v>52</v>
      </c>
      <c r="BF991" s="121" t="s">
        <v>53</v>
      </c>
      <c r="BG991" s="121" t="s">
        <v>54</v>
      </c>
      <c r="BH991" s="121"/>
      <c r="BI991" s="121"/>
      <c r="BJ991" s="121"/>
      <c r="BK991" s="121"/>
      <c r="BL991" s="121"/>
      <c r="BM991" s="121"/>
      <c r="BN991" s="121"/>
      <c r="BO991" s="121"/>
      <c r="BP991" s="121"/>
      <c r="BQ991" s="121"/>
      <c r="BR991" s="121"/>
      <c r="BS991" s="121"/>
      <c r="BT991" s="121"/>
      <c r="BU991" s="121"/>
      <c r="BV991" s="121"/>
      <c r="BW991" s="121"/>
      <c r="BX991" s="121"/>
      <c r="BY991" s="121"/>
      <c r="BZ991" s="121"/>
      <c r="CA991" s="121"/>
      <c r="CB991" s="121"/>
      <c r="CC991" s="121"/>
      <c r="CD991" s="121"/>
      <c r="CE991" s="121"/>
    </row>
    <row r="992" spans="35:83" x14ac:dyDescent="0.3">
      <c r="AS992" s="125"/>
      <c r="AT992" s="125"/>
      <c r="AU992" s="118">
        <v>1</v>
      </c>
      <c r="AV992" s="118" t="s">
        <v>5</v>
      </c>
      <c r="AW992" s="118" t="s">
        <v>3</v>
      </c>
      <c r="AX992" s="118" t="s">
        <v>2</v>
      </c>
      <c r="AY992" s="118" t="s">
        <v>3</v>
      </c>
      <c r="AZ992" s="118" t="s">
        <v>5</v>
      </c>
      <c r="BA992" s="118" t="s">
        <v>5</v>
      </c>
      <c r="BB992" s="118" t="s">
        <v>5</v>
      </c>
      <c r="BC992" s="118" t="s">
        <v>2</v>
      </c>
      <c r="BD992" s="118" t="s">
        <v>3</v>
      </c>
      <c r="BE992" s="118" t="s">
        <v>3</v>
      </c>
      <c r="BF992" s="118" t="s">
        <v>2</v>
      </c>
      <c r="BG992" s="118" t="s">
        <v>5</v>
      </c>
    </row>
    <row r="993" spans="45:83" x14ac:dyDescent="0.3">
      <c r="AT993" s="118" t="s">
        <v>504</v>
      </c>
      <c r="AU993" s="118">
        <f>AW22*AT34*AT38*AT45*AT50*AT58*AT64*AT70*AT75*AT80*AT86*AT93*AT100*AT106*AT110*AT117*AT124*AT130*AT136*AT139*AT145*AT151*AT157*AT164*AT168*AT172*AT175*AT179*AT183*AT187*AT192*AT195*AT200*AT203*AT207*AT212*AT216</f>
        <v>1.0294015268832943E-10</v>
      </c>
      <c r="AZ993" s="118"/>
      <c r="BA993" s="118"/>
      <c r="BB993" s="118"/>
      <c r="BC993" s="118"/>
      <c r="BD993" s="118"/>
      <c r="BE993" s="118"/>
      <c r="BF993" s="118"/>
    </row>
    <row r="994" spans="45:83" x14ac:dyDescent="0.3">
      <c r="AT994" s="118" t="s">
        <v>505</v>
      </c>
      <c r="AU994" s="118">
        <f>AW23*AU34*AU38*AU45*AU50*AU58*AU64*AU70*AU75*AU80*AU86*AU93*AU100*AU106*AU110*AU117*AU124*AU130*AU136*AU139*AU145*AU151*AU157*AU164*AU168*AU172*AU175*AU179*AU183*AU187*AU192*AU195*AU200*AU203*AU207*AU212*AU216</f>
        <v>3.4238518663851623E-11</v>
      </c>
      <c r="AZ994" s="118"/>
      <c r="BA994" s="118"/>
      <c r="BB994" s="118"/>
      <c r="BC994" s="118"/>
      <c r="BD994" s="118"/>
      <c r="BE994" s="118"/>
      <c r="BF994" s="118"/>
    </row>
    <row r="995" spans="45:83" x14ac:dyDescent="0.3">
      <c r="AT995" s="118" t="s">
        <v>506</v>
      </c>
      <c r="AU995" s="118">
        <f>AW24*AV34*AV38*AV45*AV50*AV58*AV64*AV70*AV75*AV80*AV86*AV93*AV100*AV106*AV110*AV117*AV124*AV130*AV136*AV139*AV145*AV151*AV157*AV164*AV168*AV172*AV175*AV179*AV183*AV187*AV192*AV195*AV200*AV203*AV207*AV212*AV216</f>
        <v>0</v>
      </c>
      <c r="AZ995" s="118"/>
      <c r="BA995" s="118"/>
      <c r="BB995" s="118"/>
      <c r="BC995" s="118"/>
      <c r="BD995" s="118"/>
      <c r="BE995" s="118"/>
      <c r="BF995" s="118"/>
    </row>
    <row r="996" spans="45:83" x14ac:dyDescent="0.3">
      <c r="AT996" s="118" t="s">
        <v>507</v>
      </c>
      <c r="AU996" s="118">
        <f>AW25*AW34*AW38*AW45*AW50*AW58*AW64*AW70*AW75*AW80*AW86*AW93*AW100*AW106*AW110*AW117*AW124*AW130*AW136*AW139*AW145*AW151*AW157*AW164*AW168*AW172*AW175*AW179*AW183*AW187*AW192*AW195*AW200*AW203*AW207*AW212*AW216</f>
        <v>0</v>
      </c>
      <c r="AZ996" s="118"/>
      <c r="BA996" s="118"/>
      <c r="BB996" s="118"/>
      <c r="BC996" s="118"/>
      <c r="BD996" s="118"/>
      <c r="BE996" s="118"/>
      <c r="BF996" s="118"/>
    </row>
    <row r="997" spans="45:83" x14ac:dyDescent="0.3">
      <c r="AT997" s="118" t="s">
        <v>508</v>
      </c>
      <c r="AU997" s="118">
        <f>AW26*AX34*AX38*AX45*AX50*AX58*AX64*AX70*AX75*AX80*AX86*AX93*AX100*AX106*AX110*AX117*AX124*AX130*AX136*AX139*AX145*AX151*AX157*AX164*AX168*AX172*AX175*AX179*AX183*AX187*AX192*AX195*AX200*AX203*AX207*AX212*AX216</f>
        <v>0</v>
      </c>
      <c r="AZ997" s="118"/>
      <c r="BA997" s="118"/>
      <c r="BB997" s="118"/>
      <c r="BC997" s="118"/>
      <c r="BD997" s="118"/>
      <c r="BE997" s="118"/>
      <c r="BF997" s="118"/>
    </row>
    <row r="998" spans="45:83" x14ac:dyDescent="0.3">
      <c r="AT998" s="118" t="s">
        <v>509</v>
      </c>
      <c r="AU998" s="118">
        <f>AW27*AY34*AY38*AY45*AY50*AY58*AY64*AY70*AY75*AY80*AY86*AY93*AY100*AY106*AY110*AY117*AY124*AY130*AY136*AY139*AY145*AY151*AY157*AY164*AY168*AY172*AY175*AY179*AY183*AY187*AY192*AY195*AY200*AY203*AY207*AY212*AY216</f>
        <v>0</v>
      </c>
      <c r="AZ998" s="118"/>
      <c r="BA998" s="118"/>
      <c r="BB998" s="118"/>
      <c r="BC998" s="118"/>
      <c r="BD998" s="118"/>
      <c r="BE998" s="118"/>
      <c r="BF998" s="118"/>
    </row>
    <row r="999" spans="45:83" x14ac:dyDescent="0.3">
      <c r="AZ999" s="118"/>
      <c r="BA999" s="118"/>
      <c r="BB999" s="118"/>
      <c r="BC999" s="118"/>
      <c r="BD999" s="118"/>
      <c r="BE999" s="118"/>
      <c r="BF999" s="118"/>
    </row>
    <row r="1000" spans="45:83" x14ac:dyDescent="0.3">
      <c r="AS1000" s="125" t="s">
        <v>500</v>
      </c>
      <c r="AT1000" s="125"/>
      <c r="AU1000" s="118" t="s">
        <v>64</v>
      </c>
      <c r="AV1000" s="121" t="s">
        <v>43</v>
      </c>
      <c r="AW1000" s="121" t="s">
        <v>44</v>
      </c>
      <c r="AX1000" s="121" t="s">
        <v>45</v>
      </c>
      <c r="AY1000" s="121" t="s">
        <v>46</v>
      </c>
      <c r="AZ1000" s="121" t="s">
        <v>47</v>
      </c>
      <c r="BA1000" s="121" t="s">
        <v>48</v>
      </c>
      <c r="BB1000" s="121" t="s">
        <v>49</v>
      </c>
      <c r="BC1000" s="121" t="s">
        <v>50</v>
      </c>
      <c r="BD1000" s="121" t="s">
        <v>51</v>
      </c>
      <c r="BE1000" s="121" t="s">
        <v>52</v>
      </c>
      <c r="BF1000" s="121" t="s">
        <v>53</v>
      </c>
      <c r="BG1000" s="121" t="s">
        <v>54</v>
      </c>
      <c r="BH1000" s="121"/>
      <c r="BI1000" s="121"/>
      <c r="BJ1000" s="121"/>
      <c r="BK1000" s="121"/>
      <c r="BL1000" s="121"/>
      <c r="BM1000" s="121"/>
      <c r="BN1000" s="121"/>
      <c r="BO1000" s="121"/>
      <c r="BP1000" s="121"/>
      <c r="BQ1000" s="121"/>
      <c r="BR1000" s="121"/>
      <c r="BS1000" s="121"/>
      <c r="BT1000" s="121"/>
      <c r="BU1000" s="121"/>
      <c r="BV1000" s="121"/>
      <c r="BW1000" s="121"/>
      <c r="BX1000" s="121"/>
      <c r="BY1000" s="121"/>
      <c r="BZ1000" s="121"/>
      <c r="CA1000" s="121"/>
      <c r="CB1000" s="121"/>
      <c r="CC1000" s="121"/>
      <c r="CD1000" s="121"/>
      <c r="CE1000" s="121"/>
    </row>
    <row r="1001" spans="45:83" x14ac:dyDescent="0.3">
      <c r="AS1001" s="125"/>
      <c r="AT1001" s="125"/>
      <c r="AU1001" s="118">
        <v>2</v>
      </c>
      <c r="AV1001" s="118" t="s">
        <v>5</v>
      </c>
      <c r="AW1001" s="118" t="s">
        <v>3</v>
      </c>
      <c r="AX1001" s="118" t="s">
        <v>4</v>
      </c>
      <c r="AY1001" s="118" t="s">
        <v>3</v>
      </c>
      <c r="AZ1001" s="118" t="s">
        <v>5</v>
      </c>
      <c r="BA1001" s="118" t="s">
        <v>5</v>
      </c>
      <c r="BB1001" s="118" t="s">
        <v>3</v>
      </c>
      <c r="BC1001" s="118" t="s">
        <v>4</v>
      </c>
      <c r="BD1001" s="118" t="s">
        <v>3</v>
      </c>
      <c r="BE1001" s="118" t="s">
        <v>3</v>
      </c>
      <c r="BF1001" s="118" t="s">
        <v>4</v>
      </c>
      <c r="BG1001" s="118" t="s">
        <v>4</v>
      </c>
    </row>
    <row r="1002" spans="45:83" x14ac:dyDescent="0.3">
      <c r="AT1002" s="118" t="s">
        <v>504</v>
      </c>
      <c r="AU1002" s="118">
        <f>AW22*AT34*AT38*AT43*AT50*AT58*AT64*AT68*AT73*AT80*AT86*AT91*AT97*AT106*AT110*AT115*AT124*AT130*AT136*AT140*AT145*AT151*AT157*AT164*AT167*AT171*AT175*AT179*AT183*AT187*AT192*AT195*AT200*AT203*AT207*AT211*AT216</f>
        <v>0</v>
      </c>
      <c r="AZ1002" s="118"/>
      <c r="BA1002" s="118"/>
      <c r="BB1002" s="118"/>
      <c r="BC1002" s="118"/>
      <c r="BD1002" s="118"/>
      <c r="BE1002" s="118"/>
      <c r="BF1002" s="118"/>
    </row>
    <row r="1003" spans="45:83" x14ac:dyDescent="0.3">
      <c r="AT1003" s="118" t="s">
        <v>505</v>
      </c>
      <c r="AU1003" s="118">
        <f>AW22*AU34*AU38*AU43*AU50*AU58*AU64*AU68*AU73*AU80*AU86*AU91*AU97*AU106*AU110*AU115*AU124*AU130*AU136*AU140*AU145*AU151*AU157*AU164*AU167*AU171*AU175*AU179*AU183*AU187*AU192*AU195*AU200*AU203*AU207*AU211*AU216</f>
        <v>3.2954574213957171E-11</v>
      </c>
      <c r="AZ1003" s="118"/>
      <c r="BA1003" s="118"/>
      <c r="BB1003" s="118"/>
      <c r="BC1003" s="118"/>
      <c r="BD1003" s="118"/>
      <c r="BE1003" s="118"/>
      <c r="BF1003" s="118"/>
    </row>
    <row r="1004" spans="45:83" x14ac:dyDescent="0.3">
      <c r="AT1004" s="118" t="s">
        <v>506</v>
      </c>
      <c r="AZ1004" s="118"/>
      <c r="BA1004" s="118"/>
      <c r="BB1004" s="118"/>
      <c r="BC1004" s="118"/>
      <c r="BD1004" s="118"/>
      <c r="BE1004" s="118"/>
      <c r="BF1004" s="118"/>
    </row>
    <row r="1005" spans="45:83" x14ac:dyDescent="0.3">
      <c r="AT1005" s="118" t="s">
        <v>507</v>
      </c>
      <c r="AZ1005" s="118"/>
      <c r="BA1005" s="118"/>
      <c r="BB1005" s="118"/>
      <c r="BC1005" s="118"/>
      <c r="BD1005" s="118"/>
      <c r="BE1005" s="118"/>
      <c r="BF1005" s="118"/>
    </row>
    <row r="1006" spans="45:83" x14ac:dyDescent="0.3">
      <c r="AT1006" s="118" t="s">
        <v>508</v>
      </c>
      <c r="AZ1006" s="118"/>
      <c r="BA1006" s="118"/>
      <c r="BB1006" s="118"/>
      <c r="BC1006" s="118"/>
      <c r="BD1006" s="118"/>
      <c r="BE1006" s="118"/>
      <c r="BF1006" s="118"/>
    </row>
    <row r="1007" spans="45:83" x14ac:dyDescent="0.3">
      <c r="AT1007" s="118" t="s">
        <v>509</v>
      </c>
      <c r="AZ1007" s="118"/>
      <c r="BA1007" s="118"/>
      <c r="BB1007" s="118"/>
      <c r="BC1007" s="118"/>
      <c r="BD1007" s="118"/>
      <c r="BE1007" s="118"/>
      <c r="BF1007" s="118"/>
    </row>
    <row r="1008" spans="45:83" x14ac:dyDescent="0.3">
      <c r="AZ1008" s="118"/>
      <c r="BA1008" s="118"/>
      <c r="BB1008" s="118"/>
      <c r="BC1008" s="118"/>
      <c r="BD1008" s="118"/>
      <c r="BE1008" s="118"/>
      <c r="BF1008" s="118"/>
    </row>
    <row r="1009" spans="45:83" x14ac:dyDescent="0.3">
      <c r="AS1009" s="125" t="s">
        <v>463</v>
      </c>
      <c r="AT1009" s="125"/>
      <c r="AU1009" s="118" t="s">
        <v>64</v>
      </c>
      <c r="AV1009" s="121" t="s">
        <v>43</v>
      </c>
      <c r="AW1009" s="121" t="s">
        <v>44</v>
      </c>
      <c r="AX1009" s="121" t="s">
        <v>45</v>
      </c>
      <c r="AY1009" s="121" t="s">
        <v>46</v>
      </c>
      <c r="AZ1009" s="121" t="s">
        <v>47</v>
      </c>
      <c r="BA1009" s="121" t="s">
        <v>48</v>
      </c>
      <c r="BB1009" s="121" t="s">
        <v>49</v>
      </c>
      <c r="BC1009" s="121" t="s">
        <v>50</v>
      </c>
      <c r="BD1009" s="121" t="s">
        <v>51</v>
      </c>
      <c r="BE1009" s="121" t="s">
        <v>52</v>
      </c>
      <c r="BF1009" s="121" t="s">
        <v>53</v>
      </c>
      <c r="BG1009" s="121" t="s">
        <v>54</v>
      </c>
      <c r="BH1009" s="121"/>
      <c r="BI1009" s="121"/>
      <c r="BJ1009" s="121"/>
      <c r="BK1009" s="121"/>
      <c r="BL1009" s="121"/>
      <c r="BM1009" s="121"/>
      <c r="BN1009" s="121"/>
      <c r="BO1009" s="121"/>
      <c r="BP1009" s="121"/>
      <c r="BQ1009" s="121"/>
      <c r="BR1009" s="121"/>
      <c r="BS1009" s="121"/>
      <c r="BT1009" s="121"/>
      <c r="BU1009" s="121"/>
      <c r="BV1009" s="121"/>
      <c r="BW1009" s="121"/>
      <c r="BX1009" s="121"/>
      <c r="BY1009" s="121"/>
      <c r="BZ1009" s="121"/>
      <c r="CA1009" s="121"/>
      <c r="CB1009" s="121"/>
      <c r="CC1009" s="121"/>
      <c r="CD1009" s="121"/>
      <c r="CE1009" s="121"/>
    </row>
    <row r="1010" spans="45:83" x14ac:dyDescent="0.3">
      <c r="AS1010" s="125"/>
      <c r="AT1010" s="125"/>
      <c r="AU1010" s="118">
        <v>2</v>
      </c>
      <c r="AV1010" s="118" t="s">
        <v>2</v>
      </c>
      <c r="AW1010" s="118" t="s">
        <v>3</v>
      </c>
      <c r="AX1010" s="118" t="s">
        <v>2</v>
      </c>
      <c r="AY1010" s="118" t="s">
        <v>5</v>
      </c>
      <c r="AZ1010" s="118" t="s">
        <v>5</v>
      </c>
      <c r="BA1010" s="118" t="s">
        <v>5</v>
      </c>
      <c r="BB1010" s="118" t="s">
        <v>5</v>
      </c>
      <c r="BC1010" s="118" t="s">
        <v>2</v>
      </c>
      <c r="BD1010" s="118" t="s">
        <v>3</v>
      </c>
      <c r="BE1010" s="118" t="s">
        <v>3</v>
      </c>
      <c r="BF1010" s="118" t="s">
        <v>2</v>
      </c>
      <c r="BG1010" s="118" t="s">
        <v>5</v>
      </c>
    </row>
    <row r="1011" spans="45:83" x14ac:dyDescent="0.3">
      <c r="AT1011" s="118" t="s">
        <v>504</v>
      </c>
      <c r="AU1011" s="118">
        <f>AW22*AT33*AT38*AT45*AT52*AT58*AT64*AT70*AT75*AT80*AT86*AT93*AT100*AT106*AT110*AT117*AT124*AT130*AT136*AT142*AT145*AT151*AT157*AT164*AT167*AT171*AT175*AT179*AT183*AT187*AT192*AT195*AT200*AT203*AT207*AT211*AT216</f>
        <v>1.3725353691777255E-8</v>
      </c>
      <c r="AZ1011" s="118"/>
      <c r="BA1011" s="118"/>
      <c r="BB1011" s="118"/>
      <c r="BC1011" s="118"/>
      <c r="BD1011" s="118"/>
      <c r="BE1011" s="118"/>
      <c r="BF1011" s="118"/>
    </row>
    <row r="1012" spans="45:83" x14ac:dyDescent="0.3">
      <c r="AT1012" s="118" t="s">
        <v>505</v>
      </c>
      <c r="AU1012" s="118">
        <f>AW23*AU33*AU38*AU45*AU52*AU58*AU64*AU70*AU75*AU80*AU86*AU93*AU100*AU106*AU110*AU117*AU124*AU130*AU136*AU142*AU145*AU151*AU157*AU164*AU167*AU171*AU175*AU179*AU183*AU187*AU192*AU195*AU200*AU203*AU207*AU211*AU216</f>
        <v>4.8207834278703075E-9</v>
      </c>
      <c r="AZ1012" s="118"/>
      <c r="BA1012" s="118"/>
      <c r="BB1012" s="118"/>
      <c r="BC1012" s="118"/>
      <c r="BD1012" s="118"/>
      <c r="BE1012" s="118"/>
      <c r="BF1012" s="118"/>
    </row>
    <row r="1013" spans="45:83" x14ac:dyDescent="0.3">
      <c r="AT1013" s="118" t="s">
        <v>506</v>
      </c>
      <c r="AU1013" s="118">
        <f>AW24*AV33*AV38*AV45*AV52*AV58*AV64*AV70*AV75*AV80*AV86*AV93*AV100*AV106*AV110*AV117*AV124*AV130*AV136*AV142*AV145*AV151*AV157*AV164*AV167*AV171*AV175*AV179*AV183*AV187*AV192*AV195*AV200*AV203*AV207*AV211*AV216</f>
        <v>0</v>
      </c>
      <c r="AZ1013" s="118"/>
      <c r="BA1013" s="118"/>
      <c r="BB1013" s="118"/>
      <c r="BC1013" s="118"/>
      <c r="BD1013" s="118"/>
      <c r="BE1013" s="118"/>
      <c r="BF1013" s="118"/>
    </row>
    <row r="1014" spans="45:83" x14ac:dyDescent="0.3">
      <c r="AT1014" s="118" t="s">
        <v>507</v>
      </c>
      <c r="AU1014" s="118">
        <f>AW25*AW33*AW38*AW45*AW52*AW58*AW64*AW70*AW75*AW80*AW86*AW93*AW100*AW106*AW110*AW117*AW124*AW130*AW136*AW142*AW145*AW151*AW157*AW164*AW167*AW171*AW175*AW179*AW183*AW187*AW192*AW195*AW200*AW203*AW207*AW211*AW216</f>
        <v>0</v>
      </c>
      <c r="AZ1014" s="118"/>
      <c r="BA1014" s="118"/>
      <c r="BB1014" s="118"/>
      <c r="BC1014" s="118"/>
      <c r="BD1014" s="118"/>
      <c r="BE1014" s="118"/>
      <c r="BF1014" s="118"/>
    </row>
    <row r="1015" spans="45:83" x14ac:dyDescent="0.3">
      <c r="AT1015" s="118" t="s">
        <v>508</v>
      </c>
      <c r="AU1015" s="118">
        <f>AW26*AX33*AX38*AX45*AX52*AX58*AX64*AX70*AX75*AX80*AX86*AX93*AX100*AX106*AX110*AX117*AX124*AX130*AX136*AX142*AX145*AX151*AX157*AX164*AX167*AX171*AX175*AX179*AX183*AX187*AX192*AX195*AX200*AX203*AX207*AX211*AX216</f>
        <v>4.1330783244220867E-10</v>
      </c>
      <c r="AZ1015" s="118"/>
      <c r="BA1015" s="118"/>
      <c r="BB1015" s="118"/>
      <c r="BC1015" s="118"/>
      <c r="BD1015" s="118"/>
      <c r="BE1015" s="118"/>
      <c r="BF1015" s="118"/>
    </row>
    <row r="1016" spans="45:83" x14ac:dyDescent="0.3">
      <c r="AT1016" s="118" t="s">
        <v>509</v>
      </c>
      <c r="AU1016" s="118">
        <f>AW27*AY33*AY38*AY45*AY52*AY58*AY64*AY70*AY75*AY80*AY86*AY93*AY100*AY106*AY110*AY117*AY124*AY130*AY136*AY142*AY145*AY151*AY157*AY164*AY167*AY171*AY175*AY179*AY183*AY187*AY192*AY195*AY200*AY203*AY207*AY211*AY216</f>
        <v>0</v>
      </c>
      <c r="AZ1016" s="118"/>
      <c r="BA1016" s="118"/>
      <c r="BB1016" s="118"/>
      <c r="BC1016" s="118"/>
      <c r="BD1016" s="118"/>
      <c r="BE1016" s="118"/>
      <c r="BF1016" s="118"/>
    </row>
    <row r="1017" spans="45:83" x14ac:dyDescent="0.3">
      <c r="AZ1017" s="118"/>
      <c r="BA1017" s="118"/>
      <c r="BB1017" s="118"/>
      <c r="BC1017" s="118"/>
      <c r="BD1017" s="118"/>
      <c r="BE1017" s="118"/>
      <c r="BF1017" s="118"/>
    </row>
    <row r="1018" spans="45:83" x14ac:dyDescent="0.3">
      <c r="AS1018" s="125" t="s">
        <v>464</v>
      </c>
      <c r="AT1018" s="125"/>
      <c r="AU1018" s="118" t="s">
        <v>64</v>
      </c>
      <c r="AV1018" s="121" t="s">
        <v>43</v>
      </c>
      <c r="AW1018" s="121" t="s">
        <v>44</v>
      </c>
      <c r="AX1018" s="121" t="s">
        <v>45</v>
      </c>
      <c r="AY1018" s="121" t="s">
        <v>46</v>
      </c>
      <c r="AZ1018" s="121" t="s">
        <v>47</v>
      </c>
      <c r="BA1018" s="121" t="s">
        <v>48</v>
      </c>
      <c r="BB1018" s="121" t="s">
        <v>49</v>
      </c>
      <c r="BC1018" s="121" t="s">
        <v>50</v>
      </c>
      <c r="BD1018" s="121" t="s">
        <v>51</v>
      </c>
      <c r="BE1018" s="121" t="s">
        <v>52</v>
      </c>
      <c r="BF1018" s="121" t="s">
        <v>53</v>
      </c>
      <c r="BG1018" s="121" t="s">
        <v>54</v>
      </c>
      <c r="BH1018" s="121"/>
      <c r="BI1018" s="121"/>
      <c r="BJ1018" s="121"/>
      <c r="BK1018" s="121"/>
      <c r="BL1018" s="121"/>
      <c r="BM1018" s="121"/>
      <c r="BN1018" s="121"/>
      <c r="BO1018" s="121"/>
      <c r="BP1018" s="121"/>
      <c r="BQ1018" s="121"/>
      <c r="BR1018" s="121"/>
      <c r="BS1018" s="121"/>
      <c r="BT1018" s="121"/>
      <c r="BU1018" s="121"/>
      <c r="BV1018" s="121"/>
      <c r="BW1018" s="121"/>
      <c r="BX1018" s="121"/>
      <c r="BY1018" s="121"/>
      <c r="BZ1018" s="121"/>
      <c r="CA1018" s="121"/>
      <c r="CB1018" s="121"/>
      <c r="CC1018" s="121"/>
      <c r="CD1018" s="121"/>
      <c r="CE1018" s="121"/>
    </row>
    <row r="1019" spans="45:83" x14ac:dyDescent="0.3">
      <c r="AS1019" s="125"/>
      <c r="AT1019" s="125"/>
      <c r="AU1019" s="118">
        <v>2</v>
      </c>
      <c r="AV1019" s="118" t="s">
        <v>4</v>
      </c>
      <c r="AW1019" s="118" t="s">
        <v>5</v>
      </c>
      <c r="AX1019" s="118" t="s">
        <v>5</v>
      </c>
      <c r="AY1019" s="118" t="s">
        <v>5</v>
      </c>
      <c r="AZ1019" s="118" t="s">
        <v>5</v>
      </c>
      <c r="BA1019" s="118" t="s">
        <v>5</v>
      </c>
      <c r="BB1019" s="118" t="s">
        <v>5</v>
      </c>
      <c r="BC1019" s="118" t="s">
        <v>2</v>
      </c>
      <c r="BD1019" s="118" t="s">
        <v>3</v>
      </c>
      <c r="BE1019" s="118" t="s">
        <v>4</v>
      </c>
      <c r="BF1019" s="118" t="s">
        <v>4</v>
      </c>
      <c r="BG1019" s="118" t="s">
        <v>2</v>
      </c>
    </row>
    <row r="1020" spans="45:83" x14ac:dyDescent="0.3">
      <c r="AT1020" s="118" t="s">
        <v>504</v>
      </c>
      <c r="AU1020" s="118">
        <f>AW22*AT31*AT40*AT46*AT52*AT58*AT64*AT70*AT75*AT80*AT85*AT91*AT99*AT106*AT109*AT117*AT124*AT129*AT136*AT142*AT147*AT153*AT157*AT164*AT167*AT171*AT175*AT179*AT183*AT187*AT191*AT195*AT199*AT203*AT207*AT211*AT216</f>
        <v>0</v>
      </c>
      <c r="AZ1020" s="118"/>
      <c r="BA1020" s="118"/>
      <c r="BB1020" s="118"/>
      <c r="BC1020" s="118"/>
      <c r="BD1020" s="118"/>
      <c r="BE1020" s="118"/>
      <c r="BF1020" s="118"/>
    </row>
    <row r="1021" spans="45:83" x14ac:dyDescent="0.3">
      <c r="AT1021" s="118" t="s">
        <v>505</v>
      </c>
      <c r="AU1021" s="118">
        <f>AW23*AU31*AU40*AU46*AU52*AU58*AU64*AU70*AU75*AU80*AU85*AU91*AU99*AU106*AU109*AU117*AU124*AU129*AU136*AU142*AU147*AU151*AU157*AU164*AU167*AU171*AU175*AU179*AU183*AU187*AU191*AU195*AU199*AU203*AU207*AU211*AU216</f>
        <v>5.9917407661740348E-11</v>
      </c>
      <c r="AZ1021" s="118"/>
      <c r="BA1021" s="118"/>
      <c r="BB1021" s="118"/>
      <c r="BC1021" s="118"/>
      <c r="BD1021" s="118"/>
      <c r="BE1021" s="118"/>
      <c r="BF1021" s="118"/>
    </row>
    <row r="1022" spans="45:83" x14ac:dyDescent="0.3">
      <c r="AT1022" s="118" t="s">
        <v>506</v>
      </c>
      <c r="AZ1022" s="118"/>
      <c r="BA1022" s="118"/>
      <c r="BB1022" s="118"/>
      <c r="BC1022" s="118"/>
      <c r="BD1022" s="118"/>
      <c r="BE1022" s="118"/>
      <c r="BF1022" s="118"/>
    </row>
    <row r="1023" spans="45:83" x14ac:dyDescent="0.3">
      <c r="AT1023" s="118" t="s">
        <v>507</v>
      </c>
      <c r="AZ1023" s="118"/>
      <c r="BA1023" s="118"/>
      <c r="BB1023" s="118"/>
      <c r="BC1023" s="118"/>
      <c r="BD1023" s="118"/>
      <c r="BE1023" s="118"/>
      <c r="BF1023" s="118"/>
    </row>
    <row r="1024" spans="45:83" x14ac:dyDescent="0.3">
      <c r="AT1024" s="118" t="s">
        <v>508</v>
      </c>
      <c r="AZ1024" s="118"/>
      <c r="BA1024" s="118"/>
      <c r="BB1024" s="118"/>
      <c r="BC1024" s="118"/>
      <c r="BD1024" s="118"/>
      <c r="BE1024" s="118"/>
      <c r="BF1024" s="118"/>
    </row>
    <row r="1025" spans="45:83" x14ac:dyDescent="0.3">
      <c r="AT1025" s="118" t="s">
        <v>509</v>
      </c>
      <c r="AU1025" s="118">
        <f>AW27*AY31*AY40*AY46*AY52*AY58*AY64*AY70*AY75*AY80*AY85*AY91*AY99*AY106*AY109*AY117*AY124*AY129*AY136*AY142*AY147*AY151*AY157*AY164*AY167*AY171*AY175*AY179*AY183*AY187*AY191*AY195*AY199*AY203*AY207*AY211*AY216</f>
        <v>1.0756884473246228E-12</v>
      </c>
      <c r="AZ1025" s="118"/>
      <c r="BA1025" s="118"/>
      <c r="BB1025" s="118"/>
      <c r="BC1025" s="118"/>
      <c r="BD1025" s="118"/>
      <c r="BE1025" s="118"/>
      <c r="BF1025" s="118"/>
    </row>
    <row r="1026" spans="45:83" x14ac:dyDescent="0.3">
      <c r="AZ1026" s="118"/>
      <c r="BA1026" s="118"/>
      <c r="BB1026" s="118"/>
      <c r="BC1026" s="118"/>
      <c r="BD1026" s="118"/>
      <c r="BE1026" s="118"/>
      <c r="BF1026" s="118"/>
    </row>
    <row r="1027" spans="45:83" x14ac:dyDescent="0.3">
      <c r="AS1027" s="125" t="s">
        <v>490</v>
      </c>
      <c r="AT1027" s="125"/>
      <c r="AU1027" s="118" t="s">
        <v>64</v>
      </c>
      <c r="AV1027" s="121" t="s">
        <v>43</v>
      </c>
      <c r="AW1027" s="121" t="s">
        <v>44</v>
      </c>
      <c r="AX1027" s="121" t="s">
        <v>45</v>
      </c>
      <c r="AY1027" s="121" t="s">
        <v>46</v>
      </c>
      <c r="AZ1027" s="121" t="s">
        <v>47</v>
      </c>
      <c r="BA1027" s="121" t="s">
        <v>48</v>
      </c>
      <c r="BB1027" s="121" t="s">
        <v>49</v>
      </c>
      <c r="BC1027" s="121" t="s">
        <v>50</v>
      </c>
      <c r="BD1027" s="121" t="s">
        <v>51</v>
      </c>
      <c r="BE1027" s="121" t="s">
        <v>52</v>
      </c>
      <c r="BF1027" s="121" t="s">
        <v>53</v>
      </c>
      <c r="BG1027" s="121" t="s">
        <v>54</v>
      </c>
      <c r="BH1027" s="121"/>
      <c r="BI1027" s="121"/>
      <c r="BJ1027" s="121"/>
      <c r="BK1027" s="121"/>
      <c r="BL1027" s="121"/>
      <c r="BM1027" s="121"/>
      <c r="BN1027" s="121"/>
      <c r="BO1027" s="121"/>
      <c r="BP1027" s="121"/>
      <c r="BQ1027" s="121"/>
      <c r="BR1027" s="121"/>
      <c r="BS1027" s="121"/>
      <c r="BT1027" s="121"/>
      <c r="BU1027" s="121"/>
      <c r="BV1027" s="121"/>
      <c r="BW1027" s="121"/>
      <c r="BX1027" s="121"/>
      <c r="BY1027" s="121"/>
      <c r="BZ1027" s="121"/>
      <c r="CA1027" s="121"/>
      <c r="CB1027" s="121"/>
      <c r="CC1027" s="121"/>
      <c r="CD1027" s="121"/>
      <c r="CE1027" s="121"/>
    </row>
    <row r="1028" spans="45:83" x14ac:dyDescent="0.3">
      <c r="AS1028" s="125"/>
      <c r="AT1028" s="125"/>
      <c r="AU1028" s="118">
        <v>2</v>
      </c>
      <c r="AV1028" s="118" t="s">
        <v>4</v>
      </c>
      <c r="AW1028" s="118" t="s">
        <v>5</v>
      </c>
      <c r="AX1028" s="118" t="s">
        <v>3</v>
      </c>
      <c r="AY1028" s="118" t="s">
        <v>2</v>
      </c>
      <c r="AZ1028" s="118" t="s">
        <v>5</v>
      </c>
      <c r="BA1028" s="118" t="s">
        <v>5</v>
      </c>
      <c r="BB1028" s="118" t="s">
        <v>5</v>
      </c>
      <c r="BC1028" s="118" t="s">
        <v>2</v>
      </c>
      <c r="BD1028" s="118" t="s">
        <v>2</v>
      </c>
      <c r="BE1028" s="118" t="s">
        <v>3</v>
      </c>
      <c r="BF1028" s="118" t="s">
        <v>4</v>
      </c>
      <c r="BG1028" s="118" t="s">
        <v>2</v>
      </c>
    </row>
    <row r="1029" spans="45:83" x14ac:dyDescent="0.3">
      <c r="AT1029" s="118" t="s">
        <v>504</v>
      </c>
      <c r="AU1029" s="118">
        <f>AW22*AT31*AT40*AT44*AT51*AT58*AT64*AT70*AT75*AT81*AT86*AT91*AT99*AT106*AT110*AT115*AT124*AT130*AT136*AT139*AT145*AT152*AT157*AT164*AT167*AT171*AT175*AT179*AT183*AT187*AT192*AT195*AT200*AT203*AT207*AT211*AT215</f>
        <v>0</v>
      </c>
      <c r="AZ1029" s="118"/>
      <c r="BA1029" s="118"/>
      <c r="BB1029" s="118"/>
      <c r="BC1029" s="118"/>
      <c r="BD1029" s="118"/>
      <c r="BE1029" s="118"/>
      <c r="BF1029" s="118"/>
    </row>
    <row r="1030" spans="45:83" x14ac:dyDescent="0.3">
      <c r="AT1030" s="118" t="s">
        <v>505</v>
      </c>
      <c r="AU1030" s="118">
        <f>AW23*AU31*AU40*AU44*AU51*AU58*AU64*AU70*AU75*AU81*AU86*AU91*AU99*AU106*AU110*AU115*AU124*AU130*AU136*AU139*AU145*AU152*AU157*AU164*AU167*AU171*AU175*AU179*AU183*AU187*AU192*AU195*AU200*AU203*AU207*AU211*AU215</f>
        <v>3.209127442193292E-9</v>
      </c>
      <c r="AZ1030" s="118"/>
      <c r="BA1030" s="118"/>
      <c r="BB1030" s="118"/>
      <c r="BC1030" s="118"/>
      <c r="BD1030" s="118"/>
      <c r="BE1030" s="118"/>
      <c r="BF1030" s="118"/>
    </row>
    <row r="1031" spans="45:83" x14ac:dyDescent="0.3">
      <c r="AT1031" s="118" t="s">
        <v>506</v>
      </c>
      <c r="AZ1031" s="118"/>
      <c r="BA1031" s="118"/>
      <c r="BB1031" s="118"/>
      <c r="BC1031" s="118"/>
      <c r="BD1031" s="118"/>
      <c r="BE1031" s="118"/>
      <c r="BF1031" s="118"/>
    </row>
    <row r="1032" spans="45:83" x14ac:dyDescent="0.3">
      <c r="AT1032" s="118" t="s">
        <v>507</v>
      </c>
      <c r="AZ1032" s="118"/>
      <c r="BA1032" s="118"/>
      <c r="BB1032" s="118"/>
      <c r="BC1032" s="118"/>
      <c r="BD1032" s="118"/>
      <c r="BE1032" s="118"/>
      <c r="BF1032" s="118"/>
    </row>
    <row r="1033" spans="45:83" x14ac:dyDescent="0.3">
      <c r="AT1033" s="118" t="s">
        <v>508</v>
      </c>
      <c r="AZ1033" s="118"/>
      <c r="BA1033" s="118"/>
      <c r="BB1033" s="118"/>
      <c r="BC1033" s="118"/>
      <c r="BD1033" s="118"/>
      <c r="BE1033" s="118"/>
      <c r="BF1033" s="118"/>
    </row>
    <row r="1034" spans="45:83" x14ac:dyDescent="0.3">
      <c r="AT1034" s="118" t="s">
        <v>509</v>
      </c>
      <c r="AZ1034" s="118"/>
      <c r="BA1034" s="118"/>
      <c r="BB1034" s="118"/>
      <c r="BC1034" s="118"/>
      <c r="BD1034" s="118"/>
      <c r="BE1034" s="118"/>
      <c r="BF1034" s="118"/>
    </row>
    <row r="1035" spans="45:83" x14ac:dyDescent="0.3">
      <c r="AZ1035" s="118"/>
      <c r="BA1035" s="118"/>
      <c r="BB1035" s="118"/>
      <c r="BC1035" s="118"/>
      <c r="BD1035" s="118"/>
      <c r="BE1035" s="118"/>
      <c r="BF1035" s="118"/>
    </row>
    <row r="1036" spans="45:83" x14ac:dyDescent="0.3">
      <c r="AS1036" s="125" t="s">
        <v>319</v>
      </c>
      <c r="AT1036" s="125"/>
      <c r="AU1036" s="118" t="s">
        <v>64</v>
      </c>
      <c r="AV1036" s="121" t="s">
        <v>43</v>
      </c>
      <c r="AW1036" s="121" t="s">
        <v>44</v>
      </c>
      <c r="AX1036" s="121" t="s">
        <v>45</v>
      </c>
      <c r="AY1036" s="121" t="s">
        <v>46</v>
      </c>
      <c r="AZ1036" s="121" t="s">
        <v>47</v>
      </c>
      <c r="BA1036" s="121" t="s">
        <v>48</v>
      </c>
      <c r="BB1036" s="121" t="s">
        <v>49</v>
      </c>
      <c r="BC1036" s="121" t="s">
        <v>50</v>
      </c>
      <c r="BD1036" s="121" t="s">
        <v>51</v>
      </c>
      <c r="BE1036" s="121" t="s">
        <v>52</v>
      </c>
      <c r="BF1036" s="121" t="s">
        <v>53</v>
      </c>
      <c r="BG1036" s="121" t="s">
        <v>54</v>
      </c>
      <c r="BH1036" s="121"/>
      <c r="BI1036" s="121"/>
      <c r="BJ1036" s="121"/>
      <c r="BK1036" s="121"/>
      <c r="BL1036" s="121"/>
      <c r="BM1036" s="121"/>
      <c r="BN1036" s="121"/>
      <c r="BO1036" s="121"/>
      <c r="BP1036" s="121"/>
      <c r="BQ1036" s="121"/>
      <c r="BR1036" s="121"/>
      <c r="BS1036" s="121"/>
      <c r="BT1036" s="121"/>
      <c r="BU1036" s="121"/>
      <c r="BV1036" s="121"/>
      <c r="BW1036" s="121"/>
      <c r="BX1036" s="121"/>
      <c r="BY1036" s="121"/>
      <c r="BZ1036" s="121"/>
      <c r="CA1036" s="121"/>
      <c r="CB1036" s="121"/>
      <c r="CC1036" s="121"/>
      <c r="CD1036" s="121"/>
      <c r="CE1036" s="121"/>
    </row>
    <row r="1037" spans="45:83" x14ac:dyDescent="0.3">
      <c r="AS1037" s="125"/>
      <c r="AT1037" s="125"/>
      <c r="AU1037" s="118">
        <v>3</v>
      </c>
      <c r="AV1037" s="118" t="s">
        <v>2</v>
      </c>
      <c r="AW1037" s="118" t="s">
        <v>3</v>
      </c>
      <c r="AX1037" s="118" t="s">
        <v>3</v>
      </c>
      <c r="AY1037" s="118" t="s">
        <v>2</v>
      </c>
      <c r="AZ1037" s="118" t="s">
        <v>5</v>
      </c>
      <c r="BA1037" s="118" t="s">
        <v>5</v>
      </c>
      <c r="BB1037" s="118" t="s">
        <v>5</v>
      </c>
      <c r="BC1037" s="118" t="s">
        <v>2</v>
      </c>
      <c r="BD1037" s="118" t="s">
        <v>3</v>
      </c>
      <c r="BE1037" s="118" t="s">
        <v>3</v>
      </c>
      <c r="BF1037" s="118" t="s">
        <v>3</v>
      </c>
      <c r="BG1037" s="118" t="s">
        <v>2</v>
      </c>
    </row>
    <row r="1038" spans="45:83" x14ac:dyDescent="0.3">
      <c r="AT1038" s="118" t="s">
        <v>504</v>
      </c>
      <c r="AU1038" s="118">
        <f>AW22*AT33*AT38*AT44*AT51*AT58*AT64*AT70*AT75*AT80*AT86*AT92*AT99*AT106*AT110*AT116*AT124*AT130*AT136*AT142*AT145*AT152*AT159*AT164*AT167*AT171*AT175*AT179*AT183*AT187*AT192*AT195*AT200*AT203*AT207*AT212*AT216</f>
        <v>0</v>
      </c>
      <c r="AZ1038" s="118"/>
      <c r="BA1038" s="118"/>
      <c r="BB1038" s="118"/>
      <c r="BC1038" s="118"/>
      <c r="BD1038" s="118"/>
      <c r="BE1038" s="118"/>
      <c r="BF1038" s="118"/>
    </row>
    <row r="1039" spans="45:83" x14ac:dyDescent="0.3">
      <c r="AT1039" s="118" t="s">
        <v>505</v>
      </c>
      <c r="AU1039" s="118">
        <f>AW23*AU33*AU38*AU44*AU51*AU58*AU64*AU70*AU75*AU80*AU86*AU92*AU99*AU106*AU110*AU116*AU124*AU130*AU136*AU142*AU145*AU152*AU159*AU164*AU167*AU171*AU175*AU179*AU183*AU187*AU192*AU195*AU200*AU203*AU207*AU212*AU216</f>
        <v>2.4903281738360657E-9</v>
      </c>
      <c r="AZ1039" s="118"/>
      <c r="BA1039" s="118"/>
      <c r="BB1039" s="118"/>
      <c r="BC1039" s="118"/>
      <c r="BD1039" s="118"/>
      <c r="BE1039" s="118"/>
      <c r="BF1039" s="118"/>
    </row>
    <row r="1040" spans="45:83" x14ac:dyDescent="0.3">
      <c r="AT1040" s="118" t="s">
        <v>506</v>
      </c>
      <c r="AU1040" s="118">
        <f>AW24*AV33*AV38*AV44*AV51*AV58*AV64*AV70*AV75*AV80*AV86*AV92*AV99*AV106*AV110*AV116*AV124*AV130*AV136*AV142*AV145*AV152*AV159*AV164*AV167*AV171*AV175*AV179*AV183*AV187*AV192*AV195*AV200*AV203*AV207*AV212*AV216</f>
        <v>5.5332311688297959E-8</v>
      </c>
      <c r="AZ1040" s="118"/>
      <c r="BA1040" s="118"/>
      <c r="BB1040" s="118"/>
      <c r="BC1040" s="118"/>
      <c r="BD1040" s="118"/>
      <c r="BE1040" s="118"/>
      <c r="BF1040" s="118"/>
    </row>
    <row r="1041" spans="45:83" x14ac:dyDescent="0.3">
      <c r="AT1041" s="118" t="s">
        <v>507</v>
      </c>
      <c r="AU1041" s="118">
        <f>AW25*AW33*AW38*AW44*AW51*AW58*AW64*AW70*AW75*AW80*AW86*AW92*AW99*AW106*AW110*AW116*AW124*AW130*AW136*AW142*AW145*AW152*AW159*AW164*AW167*AW171*AW175*AW179*AW183*AW187*AW192*AW195*AW200*AW203*AW207*AW212*AW216</f>
        <v>5.0285880902225259E-9</v>
      </c>
      <c r="AZ1041" s="118"/>
      <c r="BA1041" s="118"/>
      <c r="BB1041" s="118"/>
      <c r="BC1041" s="118"/>
      <c r="BD1041" s="118"/>
      <c r="BE1041" s="118"/>
      <c r="BF1041" s="118"/>
    </row>
    <row r="1042" spans="45:83" x14ac:dyDescent="0.3">
      <c r="AT1042" s="118" t="s">
        <v>508</v>
      </c>
      <c r="AU1042" s="118">
        <f>AW26*AX33*AX38*AX44*AX51*AX58*AX64*AX70*AX75*AX80*AX86*AX92*AX99*AX106*AX110*AX116*AX124*AX130*AX136*AX142*AX145*AX152*AX159*AX164*AX167*AX171*AX175*AX179*AX183*AX187*AX192*AX195*AX200*AX203*AX207*AX212*AX216</f>
        <v>0</v>
      </c>
      <c r="AZ1042" s="118"/>
      <c r="BA1042" s="118"/>
      <c r="BB1042" s="118"/>
      <c r="BC1042" s="118"/>
      <c r="BD1042" s="118"/>
      <c r="BE1042" s="118"/>
      <c r="BF1042" s="118"/>
    </row>
    <row r="1043" spans="45:83" x14ac:dyDescent="0.3">
      <c r="AT1043" s="118" t="s">
        <v>509</v>
      </c>
      <c r="AU1043" s="118">
        <f>AW27*AY33*AY38*AY44*AY51*AY58*AY64*AY70*AY75*AY80*AY86*AY92*AY99*AY106*AY110*AY116*AY124*AY130*AY136*AY142*AY145*AY152*AY159*AY164*AY167*AY171*AY175*AY179*AY183*AY187*AY192*AY195*AY200*AY203*AY207*AY212*AY216</f>
        <v>0</v>
      </c>
      <c r="AZ1043" s="118"/>
      <c r="BA1043" s="118"/>
      <c r="BB1043" s="118"/>
      <c r="BC1043" s="118"/>
      <c r="BD1043" s="118"/>
      <c r="BE1043" s="118"/>
      <c r="BF1043" s="118"/>
    </row>
    <row r="1044" spans="45:83" x14ac:dyDescent="0.3">
      <c r="AZ1044" s="118"/>
      <c r="BA1044" s="118"/>
      <c r="BB1044" s="118"/>
      <c r="BC1044" s="118"/>
      <c r="BD1044" s="118"/>
      <c r="BE1044" s="118"/>
      <c r="BF1044" s="118"/>
    </row>
    <row r="1045" spans="45:83" x14ac:dyDescent="0.3">
      <c r="AS1045" s="125" t="s">
        <v>501</v>
      </c>
      <c r="AT1045" s="125"/>
      <c r="AU1045" s="118" t="s">
        <v>64</v>
      </c>
      <c r="AV1045" s="121" t="s">
        <v>43</v>
      </c>
      <c r="AW1045" s="121" t="s">
        <v>44</v>
      </c>
      <c r="AX1045" s="121" t="s">
        <v>45</v>
      </c>
      <c r="AY1045" s="121" t="s">
        <v>46</v>
      </c>
      <c r="AZ1045" s="121" t="s">
        <v>47</v>
      </c>
      <c r="BA1045" s="121" t="s">
        <v>48</v>
      </c>
      <c r="BB1045" s="121" t="s">
        <v>49</v>
      </c>
      <c r="BC1045" s="121" t="s">
        <v>50</v>
      </c>
      <c r="BD1045" s="121" t="s">
        <v>51</v>
      </c>
      <c r="BE1045" s="121" t="s">
        <v>52</v>
      </c>
      <c r="BF1045" s="121" t="s">
        <v>53</v>
      </c>
      <c r="BG1045" s="121" t="s">
        <v>54</v>
      </c>
      <c r="BH1045" s="121"/>
      <c r="BI1045" s="121"/>
      <c r="BJ1045" s="121"/>
      <c r="BK1045" s="121"/>
      <c r="BL1045" s="121"/>
      <c r="BM1045" s="121"/>
      <c r="BN1045" s="121"/>
      <c r="BO1045" s="121"/>
      <c r="BP1045" s="121"/>
      <c r="BQ1045" s="121"/>
      <c r="BR1045" s="121"/>
      <c r="BS1045" s="121"/>
      <c r="BT1045" s="121"/>
      <c r="BU1045" s="121"/>
      <c r="BV1045" s="121"/>
      <c r="BW1045" s="121"/>
      <c r="BX1045" s="121"/>
      <c r="BY1045" s="121"/>
      <c r="BZ1045" s="121"/>
      <c r="CA1045" s="121"/>
      <c r="CB1045" s="121"/>
      <c r="CC1045" s="121"/>
      <c r="CD1045" s="121"/>
      <c r="CE1045" s="121"/>
    </row>
    <row r="1046" spans="45:83" x14ac:dyDescent="0.3">
      <c r="AS1046" s="125"/>
      <c r="AT1046" s="125"/>
      <c r="AU1046" s="118">
        <v>3</v>
      </c>
      <c r="AV1046" s="118" t="s">
        <v>2</v>
      </c>
      <c r="AW1046" s="118" t="s">
        <v>3</v>
      </c>
      <c r="AX1046" s="118" t="s">
        <v>3</v>
      </c>
      <c r="AY1046" s="118" t="s">
        <v>2</v>
      </c>
      <c r="AZ1046" s="118" t="s">
        <v>5</v>
      </c>
      <c r="BA1046" s="118" t="s">
        <v>2</v>
      </c>
      <c r="BB1046" s="118" t="s">
        <v>5</v>
      </c>
      <c r="BC1046" s="118" t="s">
        <v>2</v>
      </c>
      <c r="BD1046" s="118" t="s">
        <v>3</v>
      </c>
      <c r="BE1046" s="118" t="s">
        <v>4</v>
      </c>
      <c r="BF1046" s="118" t="s">
        <v>4</v>
      </c>
      <c r="BG1046" s="118" t="s">
        <v>5</v>
      </c>
    </row>
    <row r="1047" spans="45:83" x14ac:dyDescent="0.3">
      <c r="AT1047" s="118" t="s">
        <v>504</v>
      </c>
      <c r="AU1047" s="118">
        <f>AW22*AT33*AT38*AT44*AT51*AT58*AT63*AT70*AT75*AT80*AT85*AT91*AT100*AT106*AT109*AT118*AT124*AT130*AT136*AT142*AT145*AT152*AT157*AT163*AT167*AT171*AT175*AT179*AT183*AT187*AT191*AT195*AT200*AT203*AT207*AT212*AT215</f>
        <v>0</v>
      </c>
      <c r="AZ1047" s="118"/>
      <c r="BA1047" s="118"/>
      <c r="BB1047" s="118"/>
      <c r="BC1047" s="118"/>
      <c r="BD1047" s="118"/>
      <c r="BE1047" s="118"/>
      <c r="BF1047" s="118"/>
    </row>
    <row r="1048" spans="45:83" x14ac:dyDescent="0.3">
      <c r="AZ1048" s="118"/>
      <c r="BA1048" s="118"/>
      <c r="BB1048" s="118"/>
      <c r="BC1048" s="118"/>
      <c r="BD1048" s="118"/>
      <c r="BE1048" s="118"/>
      <c r="BF1048" s="118"/>
    </row>
    <row r="1049" spans="45:83" x14ac:dyDescent="0.3">
      <c r="AT1049" s="118" t="s">
        <v>506</v>
      </c>
      <c r="AU1049" s="118">
        <f>AW24*AV33*AV38*AV44*AV51*AV58*AV63*AV70*AV75*AV80*AV85*AV91*AV100*AV106*AV109*AV118*AV124*AV130*AV136*AV142*AV145*AV152*AV157*AV163*AV167*AV171*AV175*AV179*AV183*AV187*AV191*AV195*AV200*AV203*AV207*AV212*AV215</f>
        <v>7.1134284998730203E-11</v>
      </c>
      <c r="AZ1049" s="118"/>
      <c r="BA1049" s="118"/>
      <c r="BB1049" s="118"/>
      <c r="BC1049" s="118"/>
      <c r="BD1049" s="118"/>
      <c r="BE1049" s="118"/>
      <c r="BF1049" s="118"/>
    </row>
    <row r="1050" spans="45:83" x14ac:dyDescent="0.3">
      <c r="AZ1050" s="118"/>
      <c r="BA1050" s="118"/>
      <c r="BB1050" s="118"/>
      <c r="BC1050" s="118"/>
      <c r="BD1050" s="118"/>
      <c r="BE1050" s="118"/>
      <c r="BF1050" s="118"/>
    </row>
    <row r="1051" spans="45:83" x14ac:dyDescent="0.3">
      <c r="AS1051" s="125" t="s">
        <v>320</v>
      </c>
      <c r="AT1051" s="125"/>
      <c r="AU1051" s="118" t="s">
        <v>64</v>
      </c>
      <c r="AV1051" s="121" t="s">
        <v>43</v>
      </c>
      <c r="AW1051" s="121" t="s">
        <v>44</v>
      </c>
      <c r="AX1051" s="121" t="s">
        <v>45</v>
      </c>
      <c r="AY1051" s="121" t="s">
        <v>46</v>
      </c>
      <c r="AZ1051" s="121" t="s">
        <v>47</v>
      </c>
      <c r="BA1051" s="121" t="s">
        <v>48</v>
      </c>
      <c r="BB1051" s="121" t="s">
        <v>49</v>
      </c>
      <c r="BC1051" s="121" t="s">
        <v>50</v>
      </c>
      <c r="BD1051" s="121" t="s">
        <v>51</v>
      </c>
      <c r="BE1051" s="121" t="s">
        <v>52</v>
      </c>
      <c r="BF1051" s="121" t="s">
        <v>53</v>
      </c>
      <c r="BG1051" s="121" t="s">
        <v>54</v>
      </c>
      <c r="BH1051" s="121"/>
      <c r="BI1051" s="121"/>
      <c r="BJ1051" s="121"/>
      <c r="BK1051" s="121"/>
      <c r="BL1051" s="121"/>
      <c r="BM1051" s="121"/>
      <c r="BN1051" s="121"/>
      <c r="BO1051" s="121"/>
      <c r="BP1051" s="121"/>
      <c r="BQ1051" s="121"/>
      <c r="BR1051" s="121"/>
      <c r="BS1051" s="121"/>
      <c r="BT1051" s="121"/>
      <c r="BU1051" s="121"/>
      <c r="BV1051" s="121"/>
      <c r="BW1051" s="121"/>
      <c r="BX1051" s="121"/>
      <c r="BY1051" s="121"/>
      <c r="BZ1051" s="121"/>
      <c r="CA1051" s="121"/>
      <c r="CB1051" s="121"/>
      <c r="CC1051" s="121"/>
      <c r="CD1051" s="121"/>
      <c r="CE1051" s="121"/>
    </row>
    <row r="1052" spans="45:83" x14ac:dyDescent="0.3">
      <c r="AS1052" s="125"/>
      <c r="AT1052" s="125"/>
      <c r="AU1052" s="118">
        <v>3</v>
      </c>
      <c r="AV1052" s="118" t="s">
        <v>2</v>
      </c>
      <c r="AW1052" s="118" t="s">
        <v>3</v>
      </c>
      <c r="AX1052" s="118" t="s">
        <v>3</v>
      </c>
      <c r="AY1052" s="118" t="s">
        <v>5</v>
      </c>
      <c r="AZ1052" s="118" t="s">
        <v>5</v>
      </c>
      <c r="BA1052" s="118" t="s">
        <v>5</v>
      </c>
      <c r="BB1052" s="118" t="s">
        <v>2</v>
      </c>
      <c r="BC1052" s="118" t="s">
        <v>2</v>
      </c>
      <c r="BD1052" s="118" t="s">
        <v>3</v>
      </c>
      <c r="BE1052" s="118" t="s">
        <v>3</v>
      </c>
      <c r="BF1052" s="118" t="s">
        <v>4</v>
      </c>
      <c r="BG1052" s="118" t="s">
        <v>5</v>
      </c>
    </row>
    <row r="1053" spans="45:83" x14ac:dyDescent="0.3">
      <c r="AZ1053" s="118"/>
      <c r="BA1053" s="118"/>
      <c r="BB1053" s="118"/>
      <c r="BC1053" s="118"/>
      <c r="BD1053" s="118"/>
      <c r="BE1053" s="118"/>
      <c r="BF1053" s="118"/>
    </row>
    <row r="1054" spans="45:83" x14ac:dyDescent="0.3">
      <c r="AZ1054" s="118"/>
      <c r="BA1054" s="118"/>
      <c r="BB1054" s="118"/>
      <c r="BC1054" s="118"/>
      <c r="BD1054" s="118"/>
      <c r="BE1054" s="118"/>
      <c r="BF1054" s="118"/>
    </row>
    <row r="1055" spans="45:83" x14ac:dyDescent="0.3">
      <c r="AT1055" s="118" t="s">
        <v>506</v>
      </c>
      <c r="AU1055" s="118">
        <f>AW24*AV33*AV38*AV44*AV52*AV58*AV64*AV69*AV75*AV80*AV86*AV91*AV100*AV105*AV110*AV117*AV124*AV130*AV136*AV142*AV145*AV152*AV158*AV164*AV167*AV171*AV175*AV179*AV183*AV187*AV192*AV195*AV200*AV203*AV207*AV212*AV216</f>
        <v>5.5891223927573679E-8</v>
      </c>
      <c r="AZ1055" s="118"/>
      <c r="BA1055" s="118"/>
      <c r="BB1055" s="118"/>
      <c r="BC1055" s="118"/>
      <c r="BD1055" s="118"/>
      <c r="BE1055" s="118"/>
      <c r="BF1055" s="118"/>
    </row>
    <row r="1056" spans="45:83" x14ac:dyDescent="0.3">
      <c r="AZ1056" s="118"/>
      <c r="BA1056" s="118"/>
      <c r="BB1056" s="118"/>
      <c r="BC1056" s="118"/>
      <c r="BD1056" s="118"/>
      <c r="BE1056" s="118"/>
      <c r="BF1056" s="118"/>
    </row>
    <row r="1057" spans="45:83" x14ac:dyDescent="0.3">
      <c r="AT1057" s="118" t="s">
        <v>508</v>
      </c>
      <c r="AU1057" s="118">
        <f>AW26*AX33*AX38*AX44*AX52*AX58*AX64*AX69*AX75*AX80*AX86*AX91*AX100*AX105*AX110*AX117*AX124*AX130*AX136*AX142*AX145*AX152*AX158*AX164*AX167*AX171*AX175*AX179*AX183*AX187*AX192*AX195*AX200*AX203*AX207*AX212*AX216</f>
        <v>3.9362650708781791E-11</v>
      </c>
      <c r="AZ1057" s="118"/>
      <c r="BA1057" s="118"/>
      <c r="BB1057" s="118"/>
      <c r="BC1057" s="118"/>
      <c r="BD1057" s="118"/>
      <c r="BE1057" s="118"/>
      <c r="BF1057" s="118"/>
    </row>
    <row r="1058" spans="45:83" x14ac:dyDescent="0.3">
      <c r="AZ1058" s="118"/>
      <c r="BA1058" s="118"/>
      <c r="BB1058" s="118"/>
      <c r="BC1058" s="118"/>
      <c r="BD1058" s="118"/>
      <c r="BE1058" s="118"/>
      <c r="BF1058" s="118"/>
    </row>
    <row r="1059" spans="45:83" x14ac:dyDescent="0.3">
      <c r="AS1059" s="125" t="s">
        <v>515</v>
      </c>
      <c r="AT1059" s="125"/>
      <c r="AU1059" s="118" t="s">
        <v>64</v>
      </c>
      <c r="AV1059" s="121" t="s">
        <v>43</v>
      </c>
      <c r="AW1059" s="121" t="s">
        <v>44</v>
      </c>
      <c r="AX1059" s="121" t="s">
        <v>45</v>
      </c>
      <c r="AY1059" s="121" t="s">
        <v>46</v>
      </c>
      <c r="AZ1059" s="121" t="s">
        <v>47</v>
      </c>
      <c r="BA1059" s="121" t="s">
        <v>48</v>
      </c>
      <c r="BB1059" s="121" t="s">
        <v>49</v>
      </c>
      <c r="BC1059" s="121" t="s">
        <v>50</v>
      </c>
      <c r="BD1059" s="121" t="s">
        <v>51</v>
      </c>
      <c r="BE1059" s="121" t="s">
        <v>52</v>
      </c>
      <c r="BF1059" s="121" t="s">
        <v>53</v>
      </c>
      <c r="BG1059" s="121" t="s">
        <v>54</v>
      </c>
      <c r="BH1059" s="121"/>
      <c r="BI1059" s="121"/>
      <c r="BJ1059" s="121"/>
      <c r="BK1059" s="121"/>
      <c r="BL1059" s="121"/>
      <c r="BM1059" s="121"/>
      <c r="BN1059" s="121"/>
      <c r="BO1059" s="121"/>
      <c r="BP1059" s="121"/>
      <c r="BQ1059" s="121"/>
      <c r="BR1059" s="121"/>
      <c r="BS1059" s="121"/>
      <c r="BT1059" s="121"/>
      <c r="BU1059" s="121"/>
      <c r="BV1059" s="121"/>
      <c r="BW1059" s="121"/>
      <c r="BX1059" s="121"/>
      <c r="BY1059" s="121"/>
      <c r="BZ1059" s="121"/>
      <c r="CA1059" s="121"/>
      <c r="CB1059" s="121"/>
      <c r="CC1059" s="121"/>
      <c r="CD1059" s="121"/>
      <c r="CE1059" s="121"/>
    </row>
    <row r="1060" spans="45:83" x14ac:dyDescent="0.3">
      <c r="AS1060" s="125"/>
      <c r="AT1060" s="125"/>
      <c r="AU1060" s="118">
        <v>3</v>
      </c>
      <c r="AV1060" s="118" t="s">
        <v>2</v>
      </c>
      <c r="AW1060" s="118" t="s">
        <v>5</v>
      </c>
      <c r="AX1060" s="118" t="s">
        <v>3</v>
      </c>
      <c r="AY1060" s="118" t="s">
        <v>3</v>
      </c>
      <c r="AZ1060" s="118" t="s">
        <v>5</v>
      </c>
      <c r="BA1060" s="118" t="s">
        <v>5</v>
      </c>
      <c r="BB1060" s="118" t="s">
        <v>2</v>
      </c>
      <c r="BC1060" s="118" t="s">
        <v>2</v>
      </c>
      <c r="BD1060" s="118" t="s">
        <v>3</v>
      </c>
      <c r="BE1060" s="118" t="s">
        <v>4</v>
      </c>
      <c r="BF1060" s="118" t="s">
        <v>4</v>
      </c>
      <c r="BG1060" s="118" t="s">
        <v>5</v>
      </c>
    </row>
    <row r="1061" spans="45:83" x14ac:dyDescent="0.3">
      <c r="AT1061" s="118" t="s">
        <v>504</v>
      </c>
      <c r="AU1061" s="118">
        <f>AW22*AT33*AT40*AT44*AT50*AT58*AT64*AT69*AT75*AT80*AT85*AT91*AT100*AT104*AT110*AT117*AT124*AT128*AT135*AT142*AT145*AT152*AT159*AT164*AT167*AT171*AT175*AT179*AT183*AT187*AT192*AT195*AT200*AT203*AT207*AT211*AT216</f>
        <v>0</v>
      </c>
      <c r="AZ1061" s="118"/>
      <c r="BA1061" s="118"/>
      <c r="BB1061" s="118"/>
      <c r="BC1061" s="118"/>
      <c r="BD1061" s="118"/>
      <c r="BE1061" s="118"/>
      <c r="BF1061" s="118"/>
    </row>
    <row r="1062" spans="45:83" x14ac:dyDescent="0.3">
      <c r="AT1062" s="118" t="s">
        <v>505</v>
      </c>
      <c r="AU1062" s="118">
        <f>AW23*AU33*AU40*AU44*AU50*AU58*AU64*AU69*AU75*AU80*AU85*AU91*AU100*AU104*AU110*AU117*AU124*AU128*AU135*AU142*AU145*AU152*AU159*AU164*AU167*AU171*AU175*AU179*AU183*AU187*AU192*AU195*AU200*AU203*AU207*AU211*AU216</f>
        <v>0</v>
      </c>
      <c r="AZ1062" s="118"/>
      <c r="BA1062" s="118"/>
      <c r="BB1062" s="118"/>
      <c r="BC1062" s="118"/>
      <c r="BD1062" s="118"/>
      <c r="BE1062" s="118"/>
      <c r="BF1062" s="118"/>
    </row>
    <row r="1063" spans="45:83" x14ac:dyDescent="0.3">
      <c r="AT1063" s="118" t="s">
        <v>506</v>
      </c>
      <c r="AU1063" s="118">
        <f>AW24*AV33*AV40*AV44*AV50*AV58*AV64*AV69*AV75*AV80*AV85*AV91*AV100*AV104*AV110*AV117*AV124*AV128*AV135*AV142*AV145*AV152*AV159*AV164*AV167*AV171*AV175*AV179*AV183*AV187*AV192*AV195*AV200*AV203*AV207*AV211*AV216</f>
        <v>2.1898000192009295E-11</v>
      </c>
      <c r="AZ1063" s="118"/>
      <c r="BA1063" s="118"/>
      <c r="BB1063" s="118"/>
      <c r="BC1063" s="118"/>
      <c r="BD1063" s="118"/>
      <c r="BE1063" s="118"/>
      <c r="BF1063" s="118"/>
    </row>
    <row r="1064" spans="45:83" x14ac:dyDescent="0.3">
      <c r="AT1064" s="118" t="s">
        <v>507</v>
      </c>
      <c r="AU1064" s="118">
        <f>AW25*AW33*AW40*AW44*AW50*AW58*AW64*AW69*AW75*AW80*AW85*AW91*AW100*AW104*AW110*AW117*AW124*AW128*AW135*AW142*AW145*AW152*AW159*AW164*AW167*AW171*AW175*AW179*AW183*AW187*AW192*AW195*AW200*AW203*AW207*AW211*AW216</f>
        <v>0</v>
      </c>
      <c r="AZ1064" s="118"/>
      <c r="BA1064" s="118"/>
      <c r="BB1064" s="118"/>
      <c r="BC1064" s="118"/>
      <c r="BD1064" s="118"/>
      <c r="BE1064" s="118"/>
      <c r="BF1064" s="118"/>
    </row>
    <row r="1065" spans="45:83" x14ac:dyDescent="0.3">
      <c r="AT1065" s="118" t="s">
        <v>508</v>
      </c>
      <c r="AU1065" s="118">
        <f>AW26*AX33*AX40*AX44*AX50*AX58*AX64*AX69*AX75*AX80*AX85*AX91*AX100*AX104*AX110*AX117*AX124*AX128*AX135*AX142*AX145*AX152*AX159*AX164*AX167*AX171*AX175*AX179*AX183*AX187*AX192*AX195*AX200*AX203*AX207*AX211*AX216</f>
        <v>0</v>
      </c>
      <c r="AZ1065" s="118"/>
      <c r="BA1065" s="118"/>
      <c r="BB1065" s="118"/>
      <c r="BC1065" s="118"/>
      <c r="BD1065" s="118"/>
      <c r="BE1065" s="118"/>
      <c r="BF1065" s="118"/>
    </row>
    <row r="1066" spans="45:83" x14ac:dyDescent="0.3">
      <c r="AT1066" s="118" t="s">
        <v>509</v>
      </c>
      <c r="AU1066" s="118">
        <f>AW27*AY33*AY40*AY44*AY50*AY58*AY64*AY69*AY75*AY80*AY85*AY91*AY100*AY104*AY110*AY117*AY124*AY128*AY135*AY142*AY145*AY152*AY159*AY164*AY167*AY171*AY175*AY179*AY183*AY187*AY192*AY195*AY200*AY203*AY207*AY211*AY216</f>
        <v>0</v>
      </c>
      <c r="AZ1066" s="118"/>
      <c r="BA1066" s="118"/>
      <c r="BB1066" s="118"/>
      <c r="BC1066" s="118"/>
      <c r="BD1066" s="118"/>
      <c r="BE1066" s="118"/>
      <c r="BF1066" s="118"/>
    </row>
    <row r="1067" spans="45:83" x14ac:dyDescent="0.3">
      <c r="AZ1067" s="118"/>
      <c r="BA1067" s="118"/>
      <c r="BB1067" s="118"/>
      <c r="BC1067" s="118"/>
      <c r="BD1067" s="118"/>
      <c r="BE1067" s="118"/>
      <c r="BF1067" s="118"/>
    </row>
    <row r="1068" spans="45:83" x14ac:dyDescent="0.3">
      <c r="AS1068" s="125" t="s">
        <v>468</v>
      </c>
      <c r="AT1068" s="125"/>
      <c r="AU1068" s="118" t="s">
        <v>64</v>
      </c>
      <c r="AV1068" s="121" t="s">
        <v>43</v>
      </c>
      <c r="AW1068" s="121" t="s">
        <v>44</v>
      </c>
      <c r="AX1068" s="121" t="s">
        <v>45</v>
      </c>
      <c r="AY1068" s="121" t="s">
        <v>46</v>
      </c>
      <c r="AZ1068" s="121" t="s">
        <v>47</v>
      </c>
      <c r="BA1068" s="121" t="s">
        <v>48</v>
      </c>
      <c r="BB1068" s="121" t="s">
        <v>49</v>
      </c>
      <c r="BC1068" s="121" t="s">
        <v>50</v>
      </c>
      <c r="BD1068" s="121" t="s">
        <v>51</v>
      </c>
      <c r="BE1068" s="121" t="s">
        <v>52</v>
      </c>
      <c r="BF1068" s="121" t="s">
        <v>53</v>
      </c>
      <c r="BG1068" s="121" t="s">
        <v>54</v>
      </c>
      <c r="BH1068" s="121"/>
      <c r="BI1068" s="121"/>
      <c r="BJ1068" s="121"/>
      <c r="BK1068" s="121"/>
      <c r="BL1068" s="121"/>
      <c r="BM1068" s="121"/>
      <c r="BN1068" s="121"/>
      <c r="BO1068" s="121"/>
      <c r="BP1068" s="121"/>
      <c r="BQ1068" s="121"/>
      <c r="BR1068" s="121"/>
      <c r="BS1068" s="121"/>
      <c r="BT1068" s="121"/>
      <c r="BU1068" s="121"/>
      <c r="BV1068" s="121"/>
      <c r="BW1068" s="121"/>
      <c r="BX1068" s="121"/>
      <c r="BY1068" s="121"/>
      <c r="BZ1068" s="121"/>
      <c r="CA1068" s="121"/>
      <c r="CB1068" s="121"/>
      <c r="CC1068" s="121"/>
      <c r="CD1068" s="121"/>
      <c r="CE1068" s="121"/>
    </row>
    <row r="1069" spans="45:83" x14ac:dyDescent="0.3">
      <c r="AS1069" s="125"/>
      <c r="AT1069" s="125"/>
      <c r="AU1069" s="118">
        <v>3</v>
      </c>
      <c r="AV1069" s="118" t="s">
        <v>4</v>
      </c>
      <c r="AW1069" s="118" t="s">
        <v>3</v>
      </c>
      <c r="AX1069" s="118" t="s">
        <v>5</v>
      </c>
      <c r="AY1069" s="118" t="s">
        <v>5</v>
      </c>
      <c r="AZ1069" s="118" t="s">
        <v>5</v>
      </c>
      <c r="BA1069" s="118" t="s">
        <v>5</v>
      </c>
      <c r="BB1069" s="118" t="s">
        <v>5</v>
      </c>
      <c r="BC1069" s="118" t="s">
        <v>2</v>
      </c>
      <c r="BD1069" s="118" t="s">
        <v>3</v>
      </c>
      <c r="BE1069" s="118" t="s">
        <v>3</v>
      </c>
      <c r="BF1069" s="118" t="s">
        <v>2</v>
      </c>
      <c r="BG1069" s="118" t="s">
        <v>2</v>
      </c>
    </row>
    <row r="1070" spans="45:83" x14ac:dyDescent="0.3">
      <c r="AT1070" s="118" t="s">
        <v>504</v>
      </c>
      <c r="AU1070" s="118">
        <f xml:space="preserve"> AW22*AT31*AT38*AT46*AT52*AT58*AT64*AT70*AT75*AT80*AT86*AT93*AT99*AT106*AT110*AT117*AT123*AT130*AT136*AT142*AT146*AT154*AT160*AT163*AT167*AT171*AT175*AT179*AT183*AT187*AT192*AT195*AT200*AT203*AT207*AT212*AT216</f>
        <v>0</v>
      </c>
      <c r="AZ1070" s="118"/>
      <c r="BA1070" s="118"/>
      <c r="BB1070" s="118"/>
      <c r="BC1070" s="118"/>
      <c r="BD1070" s="118"/>
      <c r="BE1070" s="118"/>
      <c r="BF1070" s="118"/>
    </row>
    <row r="1071" spans="45:83" x14ac:dyDescent="0.3">
      <c r="AT1071" s="118" t="s">
        <v>505</v>
      </c>
      <c r="AU1071" s="118">
        <f xml:space="preserve"> AW23*AU31*AU38*AU46*AU52*AU58*AU64*AU70*AU75*AU80*AU86*AU93*AU99*AU106*AU110*AU117*AU123*AU130*AU136*AU142*AU146*AU154*AU160*AU163*AU167*AU171*AU175*AU179*AU183*AU187*AU192*AU195*AU200*AU203*AU207*AU212*AU216</f>
        <v>0</v>
      </c>
      <c r="AZ1071" s="118"/>
      <c r="BA1071" s="118"/>
      <c r="BB1071" s="118"/>
      <c r="BC1071" s="118"/>
      <c r="BD1071" s="118"/>
      <c r="BE1071" s="118"/>
      <c r="BF1071" s="118"/>
    </row>
    <row r="1072" spans="45:83" x14ac:dyDescent="0.3">
      <c r="AT1072" s="118" t="s">
        <v>506</v>
      </c>
      <c r="AU1072" s="118">
        <f xml:space="preserve"> AW24*AV31*AV38*AV46*AV52*AV58*AV64*AV70*AV75*AV80*AV86*AV93*AV99*AV106*AV110*AV117*AV123*AV130*AV136*AV142*AV146*AV154*AV160*AV163*AV167*AV171*AV175*AV179*AV183*AV187*AV192*AV195*AV200*AV203*AV207*AV212*AV216</f>
        <v>2.1170918154383975E-13</v>
      </c>
      <c r="AZ1072" s="118"/>
      <c r="BA1072" s="118"/>
      <c r="BB1072" s="118"/>
      <c r="BC1072" s="118"/>
      <c r="BD1072" s="118"/>
      <c r="BE1072" s="118"/>
      <c r="BF1072" s="118"/>
    </row>
    <row r="1073" spans="45:83" x14ac:dyDescent="0.3">
      <c r="AT1073" s="118" t="s">
        <v>507</v>
      </c>
      <c r="AU1073" s="118">
        <f xml:space="preserve"> AW25*AW31*AW38*AW46*AW52*AW58*AW64*AW70*AW75*AW80*AW86*AW93*AW99*AW106*AW110*AW117*AW123*AW130*AW136*AW142*AW146*AW154*AW160*AW163*AW167*AW171*AW175*AW179*AW183*AW187*AW192*AW195*AW200*AW203*AW207*AW212*AW216</f>
        <v>0</v>
      </c>
      <c r="AZ1073" s="118"/>
      <c r="BA1073" s="118"/>
      <c r="BB1073" s="118"/>
      <c r="BC1073" s="118"/>
      <c r="BD1073" s="118"/>
      <c r="BE1073" s="118"/>
      <c r="BF1073" s="118"/>
    </row>
    <row r="1074" spans="45:83" x14ac:dyDescent="0.3">
      <c r="AT1074" s="118" t="s">
        <v>508</v>
      </c>
      <c r="AU1074" s="118">
        <f xml:space="preserve"> AW26*AX31*AX38*AX46*AX52*AX58*AX64*AX70*AX75*AX80*AX86*AX93*AX99*AX106*AX110*AX117*AX123*AX130*AX136*AX142*AX146*AX154*AX160*AX163*AX167*AX171*AX175*AX179*AX183*AX187*AX192*AX195*AX200*AX203*AX207*AX212*AX216</f>
        <v>0</v>
      </c>
      <c r="AZ1074" s="118"/>
      <c r="BA1074" s="118"/>
      <c r="BB1074" s="118"/>
      <c r="BC1074" s="118"/>
      <c r="BD1074" s="118"/>
      <c r="BE1074" s="118"/>
      <c r="BF1074" s="118"/>
    </row>
    <row r="1075" spans="45:83" x14ac:dyDescent="0.3">
      <c r="AT1075" s="118" t="s">
        <v>509</v>
      </c>
      <c r="AU1075" s="118">
        <f xml:space="preserve"> AW27*AY31*AY38*AY46*AY52*AY58*AY64*AY70*AY75*AY80*AY86*AY93*AY99*AY106*AY110*AY117*AY123*AY130*AY136*AY142*AY146*AY154*AY160*AY163*AY167*AY171*AY175*AY179*AY183*AY187*AY192*AY195*AY200*AY203*AY207*AY212*AY216</f>
        <v>0</v>
      </c>
      <c r="AZ1075" s="118"/>
      <c r="BA1075" s="118"/>
      <c r="BB1075" s="118"/>
      <c r="BC1075" s="118"/>
      <c r="BD1075" s="118"/>
      <c r="BE1075" s="118"/>
      <c r="BF1075" s="118"/>
    </row>
    <row r="1076" spans="45:83" x14ac:dyDescent="0.3">
      <c r="AZ1076" s="118"/>
      <c r="BA1076" s="118"/>
      <c r="BB1076" s="118"/>
      <c r="BC1076" s="118"/>
      <c r="BD1076" s="118"/>
      <c r="BE1076" s="118"/>
      <c r="BF1076" s="118"/>
    </row>
    <row r="1077" spans="45:83" x14ac:dyDescent="0.3">
      <c r="AS1077" s="125" t="s">
        <v>492</v>
      </c>
      <c r="AT1077" s="125"/>
      <c r="AU1077" s="118" t="s">
        <v>64</v>
      </c>
      <c r="AV1077" s="121" t="s">
        <v>43</v>
      </c>
      <c r="AW1077" s="121" t="s">
        <v>44</v>
      </c>
      <c r="AX1077" s="121" t="s">
        <v>45</v>
      </c>
      <c r="AY1077" s="121" t="s">
        <v>46</v>
      </c>
      <c r="AZ1077" s="121" t="s">
        <v>47</v>
      </c>
      <c r="BA1077" s="121" t="s">
        <v>48</v>
      </c>
      <c r="BB1077" s="121" t="s">
        <v>49</v>
      </c>
      <c r="BC1077" s="121" t="s">
        <v>50</v>
      </c>
      <c r="BD1077" s="121" t="s">
        <v>51</v>
      </c>
      <c r="BE1077" s="121" t="s">
        <v>52</v>
      </c>
      <c r="BF1077" s="121" t="s">
        <v>53</v>
      </c>
      <c r="BG1077" s="121" t="s">
        <v>54</v>
      </c>
      <c r="BH1077" s="121"/>
      <c r="BI1077" s="121"/>
      <c r="BJ1077" s="121"/>
      <c r="BK1077" s="121"/>
      <c r="BL1077" s="121"/>
      <c r="BM1077" s="121"/>
      <c r="BN1077" s="121"/>
      <c r="BO1077" s="121"/>
      <c r="BP1077" s="121"/>
      <c r="BQ1077" s="121"/>
      <c r="BR1077" s="121"/>
      <c r="BS1077" s="121"/>
      <c r="BT1077" s="121"/>
      <c r="BU1077" s="121"/>
      <c r="BV1077" s="121"/>
      <c r="BW1077" s="121"/>
      <c r="BX1077" s="121"/>
      <c r="BY1077" s="121"/>
      <c r="BZ1077" s="121"/>
      <c r="CA1077" s="121"/>
      <c r="CB1077" s="121"/>
      <c r="CC1077" s="121"/>
      <c r="CD1077" s="121"/>
      <c r="CE1077" s="121"/>
    </row>
    <row r="1078" spans="45:83" x14ac:dyDescent="0.3">
      <c r="AS1078" s="125"/>
      <c r="AT1078" s="125"/>
      <c r="AU1078" s="118">
        <v>3</v>
      </c>
      <c r="AV1078" s="118" t="s">
        <v>5</v>
      </c>
      <c r="AW1078" s="118" t="s">
        <v>4</v>
      </c>
      <c r="AX1078" s="118" t="s">
        <v>4</v>
      </c>
      <c r="AY1078" s="118" t="s">
        <v>5</v>
      </c>
      <c r="AZ1078" s="118" t="s">
        <v>5</v>
      </c>
      <c r="BA1078" s="118" t="s">
        <v>5</v>
      </c>
      <c r="BB1078" s="118" t="s">
        <v>5</v>
      </c>
      <c r="BC1078" s="118" t="s">
        <v>2</v>
      </c>
      <c r="BD1078" s="118" t="s">
        <v>2</v>
      </c>
      <c r="BE1078" s="118" t="s">
        <v>3</v>
      </c>
      <c r="BF1078" s="118" t="s">
        <v>4</v>
      </c>
      <c r="BG1078" s="118" t="s">
        <v>2</v>
      </c>
    </row>
    <row r="1079" spans="45:83" x14ac:dyDescent="0.3">
      <c r="AT1079" s="118" t="s">
        <v>504</v>
      </c>
      <c r="AU1079" s="118">
        <f>AW22*AT34*AT37*AT43*AT52*AT58*AT64*AT70*AT75*AT81*AT86*AT91*AT99*AT105*AT111*AT118*AT124*AT128*AT134*AT141*AT145*AT154*AT158*AT164*AT168*AT172*AT175*AT179*AT183*AT187*AT192*AT195*AT199*AT203*AT207*AT211*AT216</f>
        <v>0</v>
      </c>
      <c r="AZ1079" s="118"/>
      <c r="BA1079" s="118"/>
      <c r="BB1079" s="118"/>
      <c r="BC1079" s="118"/>
      <c r="BD1079" s="118"/>
      <c r="BE1079" s="118"/>
      <c r="BF1079" s="118"/>
    </row>
    <row r="1080" spans="45:83" x14ac:dyDescent="0.3">
      <c r="AT1080" s="118" t="s">
        <v>505</v>
      </c>
      <c r="AU1080" s="118">
        <f>AW23*AU34*AU37*AU43*AU52*AU58*AU64*AU70*AU75*AU81*AU86*AU91*AU99*AU105*AU111*AU118*AU124*AU128*AU134*AU141*AU145*AU154*AU158*AU164*AU168*AU172*AU175*AU179*AU183*AU187*AU192*AU195*AU199*AU203*AU207*AU211*AU216</f>
        <v>0</v>
      </c>
      <c r="AZ1080" s="118"/>
      <c r="BA1080" s="118"/>
      <c r="BB1080" s="118"/>
      <c r="BC1080" s="118"/>
      <c r="BD1080" s="118"/>
      <c r="BE1080" s="118"/>
      <c r="BF1080" s="118"/>
    </row>
    <row r="1081" spans="45:83" x14ac:dyDescent="0.3">
      <c r="AT1081" s="118" t="s">
        <v>506</v>
      </c>
      <c r="AU1081" s="118">
        <f>AW24*AV34*AV37*AV43*AV52*AV58*AV64*AV70*AV75*AV81*AV86*AV91*AV99*AV105*AV111*AV118*AV124*AV128*AV134*AV141*AV145*AV154*AV158*AV164*AV168*AV172*AV175*AV179*AV183*AV187*AV192*AV195*AV199*AV203*AV207*AV211*AV216</f>
        <v>7.3319197071459694E-15</v>
      </c>
      <c r="AZ1081" s="118"/>
      <c r="BA1081" s="118"/>
      <c r="BB1081" s="118"/>
      <c r="BC1081" s="118"/>
      <c r="BD1081" s="118"/>
      <c r="BE1081" s="118"/>
      <c r="BF1081" s="118"/>
    </row>
    <row r="1082" spans="45:83" x14ac:dyDescent="0.3">
      <c r="AT1082" s="118" t="s">
        <v>507</v>
      </c>
      <c r="AU1082" s="118">
        <f>AW25*AW34*AW37*AW43*AW52*AW58*AW64*AW70*AW75*AW81*AW86*AW91*AW99*AW105*AW111*AW118*AW124*AW128*AW134*AW141*AW145*AW154*AW158*AW164*AW168*AW172*AW175*AW179*AW183*AW187*AW192*AW195*AW199*AW203*AW207*AW211*AW216</f>
        <v>0</v>
      </c>
      <c r="AZ1082" s="118"/>
      <c r="BA1082" s="118"/>
      <c r="BB1082" s="118"/>
      <c r="BC1082" s="118"/>
      <c r="BD1082" s="118"/>
      <c r="BE1082" s="118"/>
      <c r="BF1082" s="118"/>
    </row>
    <row r="1083" spans="45:83" x14ac:dyDescent="0.3">
      <c r="AT1083" s="118" t="s">
        <v>508</v>
      </c>
      <c r="AU1083" s="118">
        <f>AW26*AX34*AX37*AX43*AX52*AX58*AX64*AX70*AX75*AX81*AX86*AX91*AX99*AX105*AX111*AX118*AX124*AX128*AX134*AX141*AX145*AX154*AX158*AX164*AX168*AX172*AX175*AX179*AX183*AX187*AX192*AX195*AX199*AX203*AX207*AX211*AX216</f>
        <v>0</v>
      </c>
      <c r="AZ1083" s="118"/>
      <c r="BA1083" s="118"/>
      <c r="BB1083" s="118"/>
      <c r="BC1083" s="118"/>
      <c r="BD1083" s="118"/>
      <c r="BE1083" s="118"/>
      <c r="BF1083" s="118"/>
    </row>
    <row r="1084" spans="45:83" x14ac:dyDescent="0.3">
      <c r="AT1084" s="118" t="s">
        <v>509</v>
      </c>
      <c r="AU1084" s="118">
        <f>AW27*AY34*AY37*AY43*AY52*AY58*AY64*AY70*AY75*AY81*AY86*AY91*AY99*AY105*AY111*AY118*AY124*AY128*AY134*AY141*AY145*AY154*AY158*AY164*AY168*AY172*AY175*AY179*AY183*AY187*AY192*AY195*AY199*AY203*AY207*AY211*AY216</f>
        <v>0</v>
      </c>
      <c r="AZ1084" s="118"/>
      <c r="BA1084" s="118"/>
      <c r="BB1084" s="118"/>
      <c r="BC1084" s="118"/>
      <c r="BD1084" s="118"/>
      <c r="BE1084" s="118"/>
      <c r="BF1084" s="118"/>
    </row>
    <row r="1085" spans="45:83" x14ac:dyDescent="0.3">
      <c r="AZ1085" s="118"/>
      <c r="BA1085" s="118"/>
      <c r="BB1085" s="118"/>
      <c r="BC1085" s="118"/>
      <c r="BD1085" s="118"/>
      <c r="BE1085" s="118"/>
      <c r="BF1085" s="118"/>
    </row>
    <row r="1086" spans="45:83" x14ac:dyDescent="0.3">
      <c r="AS1086" s="125" t="s">
        <v>321</v>
      </c>
      <c r="AT1086" s="125"/>
      <c r="AU1086" s="118" t="s">
        <v>64</v>
      </c>
      <c r="AV1086" s="121" t="s">
        <v>43</v>
      </c>
      <c r="AW1086" s="121" t="s">
        <v>44</v>
      </c>
      <c r="AX1086" s="121" t="s">
        <v>45</v>
      </c>
      <c r="AY1086" s="121" t="s">
        <v>46</v>
      </c>
      <c r="AZ1086" s="121" t="s">
        <v>47</v>
      </c>
      <c r="BA1086" s="121" t="s">
        <v>48</v>
      </c>
      <c r="BB1086" s="121" t="s">
        <v>49</v>
      </c>
      <c r="BC1086" s="121" t="s">
        <v>50</v>
      </c>
      <c r="BD1086" s="121" t="s">
        <v>51</v>
      </c>
      <c r="BE1086" s="121" t="s">
        <v>52</v>
      </c>
      <c r="BF1086" s="121" t="s">
        <v>53</v>
      </c>
      <c r="BG1086" s="121" t="s">
        <v>54</v>
      </c>
      <c r="BH1086" s="121"/>
      <c r="BI1086" s="121"/>
      <c r="BJ1086" s="121"/>
      <c r="BK1086" s="121"/>
      <c r="BL1086" s="121"/>
      <c r="BM1086" s="121"/>
      <c r="BN1086" s="121"/>
      <c r="BO1086" s="121"/>
      <c r="BP1086" s="121"/>
      <c r="BQ1086" s="121"/>
      <c r="BR1086" s="121"/>
      <c r="BS1086" s="121"/>
      <c r="BT1086" s="121"/>
      <c r="BU1086" s="121"/>
      <c r="BV1086" s="121"/>
      <c r="BW1086" s="121"/>
      <c r="BX1086" s="121"/>
      <c r="BY1086" s="121"/>
      <c r="BZ1086" s="121"/>
      <c r="CA1086" s="121"/>
      <c r="CB1086" s="121"/>
      <c r="CC1086" s="121"/>
      <c r="CD1086" s="121"/>
      <c r="CE1086" s="121"/>
    </row>
    <row r="1087" spans="45:83" x14ac:dyDescent="0.3">
      <c r="AS1087" s="125"/>
      <c r="AT1087" s="125"/>
      <c r="AU1087" s="118">
        <v>4</v>
      </c>
      <c r="AV1087" s="118" t="s">
        <v>3</v>
      </c>
      <c r="AW1087" s="118" t="s">
        <v>3</v>
      </c>
      <c r="AX1087" s="118" t="s">
        <v>3</v>
      </c>
      <c r="AY1087" s="118" t="s">
        <v>5</v>
      </c>
      <c r="AZ1087" s="118" t="s">
        <v>5</v>
      </c>
      <c r="BA1087" s="118" t="s">
        <v>5</v>
      </c>
      <c r="BB1087" s="118" t="s">
        <v>5</v>
      </c>
      <c r="BC1087" s="118" t="s">
        <v>2</v>
      </c>
      <c r="BD1087" s="118" t="s">
        <v>2</v>
      </c>
      <c r="BE1087" s="118" t="s">
        <v>3</v>
      </c>
      <c r="BF1087" s="118" t="s">
        <v>3</v>
      </c>
      <c r="BG1087" s="118" t="s">
        <v>5</v>
      </c>
    </row>
    <row r="1088" spans="45:83" x14ac:dyDescent="0.3">
      <c r="AT1088" s="118" t="s">
        <v>504</v>
      </c>
      <c r="AU1088" s="118">
        <f>AW22*AT32*AT38*AT44*AT52*AT58*AT64*AT70*AT75*AT81*AT86*AT92*AT100*AT106*AT110*AT117*AT124*AT130*AT136*AT139*AT145*AT151*AT159*AT164*AT167*AT171*AT175*AT179*AT183*AT188*AT192*AT195*AT200*AT204*AT207*AT211*AT216</f>
        <v>4.5491229092064758E-10</v>
      </c>
      <c r="AZ1088" s="118"/>
      <c r="BA1088" s="118"/>
      <c r="BB1088" s="118"/>
      <c r="BC1088" s="118"/>
      <c r="BD1088" s="118"/>
      <c r="BE1088" s="118"/>
      <c r="BF1088" s="118"/>
    </row>
    <row r="1089" spans="45:83" x14ac:dyDescent="0.3">
      <c r="AT1089" s="118" t="s">
        <v>505</v>
      </c>
      <c r="AU1089" s="118">
        <f>AW23*AU32*AU38*AU44*AU52*AU58*AU64*AU70*AU75*AU81*AU86*AU92*AU100*AU106*AU110*AU117*AU124*AU130*AU136*AU139*AU145*AU151*AU159*AU164*AU167*AU171*AU175*AU179*AU183*AU188*AU192*AU195*AU200*AU204*AU207*AU211*AU216</f>
        <v>0</v>
      </c>
      <c r="AZ1089" s="118"/>
      <c r="BA1089" s="118"/>
      <c r="BB1089" s="118"/>
      <c r="BC1089" s="118"/>
      <c r="BD1089" s="118"/>
      <c r="BE1089" s="118"/>
      <c r="BF1089" s="118"/>
    </row>
    <row r="1090" spans="45:83" x14ac:dyDescent="0.3">
      <c r="AT1090" s="118" t="s">
        <v>506</v>
      </c>
      <c r="AU1090" s="118">
        <f>AW24*AV32*AV38*AV44*AV52*AV58*AV64*AV70*AV75*AV81*AV86*AV92*AV100*AV106*AV110*AV117*AV124*AV130*AV136*AV139*AV145*AV151*AV159*AV164*AV167*AV171*AV175*AV179*AV183*AV188*AV192*AV195*AV200*AV204*AV207*AV211*AV216</f>
        <v>0</v>
      </c>
      <c r="AZ1090" s="118"/>
      <c r="BA1090" s="118"/>
      <c r="BB1090" s="118"/>
      <c r="BC1090" s="118"/>
      <c r="BD1090" s="118"/>
      <c r="BE1090" s="118"/>
      <c r="BF1090" s="118"/>
    </row>
    <row r="1091" spans="45:83" x14ac:dyDescent="0.3">
      <c r="AT1091" s="118" t="s">
        <v>507</v>
      </c>
      <c r="AU1091" s="118">
        <f>AW25*AW32*AW38*AW44*AW52*AW58*AW64*AW70*AW75*AW81*AW86*AW92*AW100*AW106*AW110*AW117*AW124*AW130*AW136*AW139*AW145*AW151*AW159*AW164*AW167*AW171*AW175*AW179*AW183*AW188*AW192*AW195*AW200*AW204*AW207*AW211*AW216</f>
        <v>6.0839707758247844E-8</v>
      </c>
      <c r="AZ1091" s="118"/>
      <c r="BA1091" s="118"/>
      <c r="BB1091" s="118"/>
      <c r="BC1091" s="118"/>
      <c r="BD1091" s="118"/>
      <c r="BE1091" s="118"/>
      <c r="BF1091" s="118"/>
    </row>
    <row r="1092" spans="45:83" x14ac:dyDescent="0.3">
      <c r="AT1092" s="118" t="s">
        <v>508</v>
      </c>
      <c r="AU1092" s="118">
        <f>AW26*AX32*AX38*AX44*AX52*AX58*AX64*AX70*AX75*AX81*AX86*AX92*AX100*AX106*AX110*AX117*AX124*AX130*AX136*AX139*AX145*AX151*AX159*AX164*AX167*AX171*AX175*AX179*AX183*AX188*AX192*AX195*AX200*AX204*AX207*AX211*AX216</f>
        <v>0</v>
      </c>
      <c r="AZ1092" s="118"/>
      <c r="BA1092" s="118"/>
      <c r="BB1092" s="118"/>
      <c r="BC1092" s="118"/>
      <c r="BD1092" s="118"/>
      <c r="BE1092" s="118"/>
      <c r="BF1092" s="118"/>
    </row>
    <row r="1093" spans="45:83" x14ac:dyDescent="0.3">
      <c r="AT1093" s="118" t="s">
        <v>509</v>
      </c>
      <c r="AU1093" s="118">
        <f>AW27*AY32*AY38*AY44*AY52*AY58*AY64*AY70*AY75*AY81*AY86*AY92*AY100*AY106*AY110*AY117*AY124*AY130*AY136*AY139*AY145*AY151*AY159*AY164*AY167*AY171*AY175*AY179*AY183*AY188*AY192*AY195*AY200*AY204*AY207*AY211*AY216</f>
        <v>0</v>
      </c>
      <c r="AZ1093" s="118"/>
      <c r="BA1093" s="118"/>
      <c r="BB1093" s="118"/>
      <c r="BC1093" s="118"/>
      <c r="BD1093" s="118"/>
      <c r="BE1093" s="118"/>
      <c r="BF1093" s="118"/>
    </row>
    <row r="1094" spans="45:83" x14ac:dyDescent="0.3">
      <c r="AZ1094" s="118"/>
      <c r="BA1094" s="118"/>
      <c r="BB1094" s="118"/>
      <c r="BC1094" s="118"/>
      <c r="BD1094" s="118"/>
      <c r="BE1094" s="118"/>
      <c r="BF1094" s="118"/>
    </row>
    <row r="1095" spans="45:83" x14ac:dyDescent="0.3">
      <c r="AS1095" s="125" t="s">
        <v>471</v>
      </c>
      <c r="AT1095" s="125"/>
      <c r="AU1095" s="118" t="s">
        <v>64</v>
      </c>
      <c r="AV1095" s="121" t="s">
        <v>43</v>
      </c>
      <c r="AW1095" s="121" t="s">
        <v>44</v>
      </c>
      <c r="AX1095" s="121" t="s">
        <v>45</v>
      </c>
      <c r="AY1095" s="121" t="s">
        <v>46</v>
      </c>
      <c r="AZ1095" s="121" t="s">
        <v>47</v>
      </c>
      <c r="BA1095" s="121" t="s">
        <v>48</v>
      </c>
      <c r="BB1095" s="121" t="s">
        <v>49</v>
      </c>
      <c r="BC1095" s="121" t="s">
        <v>50</v>
      </c>
      <c r="BD1095" s="121" t="s">
        <v>51</v>
      </c>
      <c r="BE1095" s="121" t="s">
        <v>52</v>
      </c>
      <c r="BF1095" s="121" t="s">
        <v>53</v>
      </c>
      <c r="BG1095" s="121" t="s">
        <v>54</v>
      </c>
      <c r="BH1095" s="121"/>
      <c r="BI1095" s="121"/>
      <c r="BJ1095" s="121"/>
      <c r="BK1095" s="121"/>
      <c r="BL1095" s="121"/>
      <c r="BM1095" s="121"/>
      <c r="BN1095" s="121"/>
      <c r="BO1095" s="121"/>
      <c r="BP1095" s="121"/>
      <c r="BQ1095" s="121"/>
      <c r="BR1095" s="121"/>
      <c r="BS1095" s="121"/>
      <c r="BT1095" s="121"/>
      <c r="BU1095" s="121"/>
      <c r="BV1095" s="121"/>
      <c r="BW1095" s="121"/>
      <c r="BX1095" s="121"/>
      <c r="BY1095" s="121"/>
      <c r="BZ1095" s="121"/>
      <c r="CA1095" s="121"/>
      <c r="CB1095" s="121"/>
      <c r="CC1095" s="121"/>
      <c r="CD1095" s="121"/>
      <c r="CE1095" s="121"/>
    </row>
    <row r="1096" spans="45:83" x14ac:dyDescent="0.3">
      <c r="AS1096" s="125"/>
      <c r="AT1096" s="125"/>
      <c r="AU1096" s="118">
        <v>4</v>
      </c>
      <c r="AV1096" s="118" t="s">
        <v>5</v>
      </c>
      <c r="AW1096" s="118" t="s">
        <v>5</v>
      </c>
      <c r="AX1096" s="118" t="s">
        <v>2</v>
      </c>
      <c r="AY1096" s="118" t="s">
        <v>5</v>
      </c>
      <c r="AZ1096" s="118" t="s">
        <v>5</v>
      </c>
      <c r="BA1096" s="118" t="s">
        <v>5</v>
      </c>
      <c r="BB1096" s="118" t="s">
        <v>5</v>
      </c>
      <c r="BC1096" s="118" t="s">
        <v>2</v>
      </c>
      <c r="BD1096" s="118" t="s">
        <v>3</v>
      </c>
      <c r="BE1096" s="118" t="s">
        <v>4</v>
      </c>
      <c r="BF1096" s="118" t="s">
        <v>4</v>
      </c>
      <c r="BG1096" s="118" t="s">
        <v>3</v>
      </c>
    </row>
    <row r="1097" spans="45:83" x14ac:dyDescent="0.3">
      <c r="AT1097" s="118" t="s">
        <v>504</v>
      </c>
      <c r="AU1097" s="118">
        <f>AW22*AT34*AT40*AT45*AT52*AT58*AT64*AT70*AT75*AT80*AT85*AT91*AT98*AT105*AT111*AT116*AT124*AT128*AT135*AT142*AT146*AT151*AT157*AT164*AT167*AT171*AT175*AT179*AT183*AT187*AT192*AT196*AT200*AT203*AT207*AT212*AT216</f>
        <v>0</v>
      </c>
      <c r="AZ1097" s="118"/>
      <c r="BA1097" s="118"/>
      <c r="BB1097" s="118"/>
      <c r="BC1097" s="118"/>
      <c r="BD1097" s="118"/>
      <c r="BE1097" s="118"/>
      <c r="BF1097" s="118"/>
    </row>
    <row r="1098" spans="45:83" x14ac:dyDescent="0.3">
      <c r="AT1098" s="118" t="s">
        <v>505</v>
      </c>
      <c r="AU1098" s="118">
        <f>AW23*AU34*AU40*AU45*AU52*AU58*AU64*AU70*AU75*AU80*AU85*AU91*AU98*AU105*AU111*AU116*AU124*AU128*AU135*AU142*AU146*AU151*AU157*AU164*AU167*AU171*AU175*AU179*AU183*AU187*AU192*AU196*AU200*AU203*AU207*AU212*AU216</f>
        <v>0</v>
      </c>
      <c r="AZ1098" s="118"/>
      <c r="BA1098" s="118"/>
      <c r="BB1098" s="118"/>
      <c r="BC1098" s="118"/>
      <c r="BD1098" s="118"/>
      <c r="BE1098" s="118"/>
      <c r="BF1098" s="118"/>
    </row>
    <row r="1099" spans="45:83" x14ac:dyDescent="0.3">
      <c r="AT1099" s="118" t="s">
        <v>506</v>
      </c>
      <c r="AU1099" s="118">
        <f>AW24*AV34*AV40*AV45*AV52*AV58*AV64*AV70*AV75*AV80*AV85*AV91*AV98*AV105*AV111*AV116*AV124*AV128*AV135*AV142*AV146*AV151*AV157*AV164*AV167*AV171*AV175*AV179*AV183*AV187*AV192*AV196*AV200*AV203*AV207*AV212*AV216</f>
        <v>0</v>
      </c>
      <c r="AZ1099" s="118"/>
      <c r="BA1099" s="118"/>
      <c r="BB1099" s="118"/>
      <c r="BC1099" s="118"/>
      <c r="BD1099" s="118"/>
      <c r="BE1099" s="118"/>
      <c r="BF1099" s="118"/>
    </row>
    <row r="1100" spans="45:83" x14ac:dyDescent="0.3">
      <c r="AT1100" s="118" t="s">
        <v>507</v>
      </c>
      <c r="AU1100" s="118">
        <f>AW25*AW34*AW40*AW45*AW52*AW58*AW64*AW70*AW75*AW80*AW85*AW91*AW98*AW105*AW111*AW116*AW124*AW128*AW135*AW142*AW146*AW151*AW157*AW164*AW167*AW171*AW175*AW179*AW183*AW187*AW192*AW196*AW200*AW203*AW207*AW212*AW216</f>
        <v>0</v>
      </c>
      <c r="AZ1100" s="118"/>
      <c r="BA1100" s="118"/>
      <c r="BB1100" s="118"/>
      <c r="BC1100" s="118"/>
      <c r="BD1100" s="118"/>
      <c r="BE1100" s="118"/>
      <c r="BF1100" s="118"/>
    </row>
    <row r="1101" spans="45:83" x14ac:dyDescent="0.3">
      <c r="AT1101" s="118" t="s">
        <v>508</v>
      </c>
      <c r="AU1101" s="118">
        <f>AW26*AX34*AX40*AX45*AX52*AX58*AX64*AX70*AX75*AX80*AX85*AX91*AX98*AX105*AX111*AX116*AX124*AX128*AX135*AX142*AX146*AX151*AX157*AX164*AX167*AX171*AX175*AX179*AX183*AX187*AX192*AX196*AX200*AX203*AX207*AX212*AX216</f>
        <v>0</v>
      </c>
      <c r="AZ1101" s="118"/>
      <c r="BA1101" s="118"/>
      <c r="BB1101" s="118"/>
      <c r="BC1101" s="118"/>
      <c r="BD1101" s="118"/>
      <c r="BE1101" s="118"/>
      <c r="BF1101" s="118"/>
    </row>
    <row r="1102" spans="45:83" x14ac:dyDescent="0.3">
      <c r="AT1102" s="118" t="s">
        <v>509</v>
      </c>
      <c r="AU1102" s="118">
        <f>AW27*AY34*AY40*AY45*AY52*AY58*AY64*AY70*AY75*AY80*AY85*AY91*AY98*AY105*AY111*AY116*AY124*AY128*AY135*AY142*AY146*AY151*AY157*AY164*AY167*AY171*AY175*AY179*AY183*AY187*AY192*AY196*AY200*AY203*AY207*AY212*AY216</f>
        <v>4.5273082799857859E-13</v>
      </c>
      <c r="AZ1102" s="118"/>
      <c r="BA1102" s="118"/>
      <c r="BB1102" s="118"/>
      <c r="BC1102" s="118"/>
      <c r="BD1102" s="118"/>
      <c r="BE1102" s="118"/>
      <c r="BF1102" s="118"/>
    </row>
    <row r="1103" spans="45:83" x14ac:dyDescent="0.3">
      <c r="AZ1103" s="118"/>
      <c r="BA1103" s="118"/>
      <c r="BB1103" s="118"/>
      <c r="BC1103" s="118"/>
      <c r="BD1103" s="118"/>
      <c r="BE1103" s="118"/>
      <c r="BF1103" s="118"/>
    </row>
    <row r="1104" spans="45:83" x14ac:dyDescent="0.3">
      <c r="AS1104" s="125" t="s">
        <v>516</v>
      </c>
      <c r="AT1104" s="125"/>
      <c r="AU1104" s="118" t="s">
        <v>64</v>
      </c>
      <c r="AV1104" s="121" t="s">
        <v>43</v>
      </c>
      <c r="AW1104" s="121" t="s">
        <v>44</v>
      </c>
      <c r="AX1104" s="121" t="s">
        <v>45</v>
      </c>
      <c r="AY1104" s="121" t="s">
        <v>46</v>
      </c>
      <c r="AZ1104" s="121" t="s">
        <v>47</v>
      </c>
      <c r="BA1104" s="121" t="s">
        <v>48</v>
      </c>
      <c r="BB1104" s="121" t="s">
        <v>49</v>
      </c>
      <c r="BC1104" s="121" t="s">
        <v>50</v>
      </c>
      <c r="BD1104" s="121" t="s">
        <v>51</v>
      </c>
      <c r="BE1104" s="121" t="s">
        <v>52</v>
      </c>
      <c r="BF1104" s="121" t="s">
        <v>53</v>
      </c>
      <c r="BG1104" s="121" t="s">
        <v>54</v>
      </c>
      <c r="BH1104" s="121"/>
      <c r="BI1104" s="121"/>
      <c r="BJ1104" s="121"/>
      <c r="BK1104" s="121"/>
      <c r="BL1104" s="121"/>
      <c r="BM1104" s="121"/>
      <c r="BN1104" s="121"/>
      <c r="BO1104" s="121"/>
      <c r="BP1104" s="121"/>
      <c r="BQ1104" s="121"/>
      <c r="BR1104" s="121"/>
      <c r="BS1104" s="121"/>
      <c r="BT1104" s="121"/>
      <c r="BU1104" s="121"/>
      <c r="BV1104" s="121"/>
      <c r="BW1104" s="121"/>
      <c r="BX1104" s="121"/>
      <c r="BY1104" s="121"/>
      <c r="BZ1104" s="121"/>
      <c r="CA1104" s="121"/>
      <c r="CB1104" s="121"/>
      <c r="CC1104" s="121"/>
      <c r="CD1104" s="121"/>
      <c r="CE1104" s="121"/>
    </row>
    <row r="1105" spans="45:83" x14ac:dyDescent="0.3">
      <c r="AS1105" s="125"/>
      <c r="AT1105" s="125"/>
      <c r="AU1105" s="118">
        <v>4</v>
      </c>
      <c r="AV1105" s="118" t="s">
        <v>2</v>
      </c>
      <c r="AW1105" s="118" t="s">
        <v>5</v>
      </c>
      <c r="AX1105" s="118" t="s">
        <v>2</v>
      </c>
      <c r="AY1105" s="118" t="s">
        <v>5</v>
      </c>
      <c r="AZ1105" s="118" t="s">
        <v>5</v>
      </c>
      <c r="BA1105" s="118" t="s">
        <v>5</v>
      </c>
      <c r="BB1105" s="118" t="s">
        <v>5</v>
      </c>
      <c r="BC1105" s="118" t="s">
        <v>2</v>
      </c>
      <c r="BD1105" s="118" t="s">
        <v>2</v>
      </c>
      <c r="BE1105" s="118" t="s">
        <v>2</v>
      </c>
      <c r="BF1105" s="118" t="s">
        <v>5</v>
      </c>
      <c r="BG1105" s="118" t="s">
        <v>4</v>
      </c>
    </row>
    <row r="1106" spans="45:83" x14ac:dyDescent="0.3">
      <c r="AT1106" s="118" t="s">
        <v>504</v>
      </c>
      <c r="AU1106" s="118">
        <f>AW22*AT33*AT40*AT45*AT52*AT58*AT64*AT70*AT75*AT81*AT87*AT94*AT97*AT106*AT111*AT115*AT124*AT130*AT136*AT139*AT146*AT151*AT157*AT164*AT167*AT171*AT175*AT179*AT183*AT187*AT192*AT195*AT200*AT203*AT207*AT212*AT216</f>
        <v>0</v>
      </c>
      <c r="AZ1106" s="118"/>
      <c r="BA1106" s="118"/>
      <c r="BB1106" s="118"/>
      <c r="BC1106" s="118"/>
      <c r="BD1106" s="118"/>
      <c r="BE1106" s="118"/>
      <c r="BF1106" s="118"/>
    </row>
    <row r="1107" spans="45:83" x14ac:dyDescent="0.3">
      <c r="AT1107" s="118" t="s">
        <v>505</v>
      </c>
      <c r="AU1107" s="118">
        <f>AW23*AU33*AU40*AU45*AU52*AU58*AU64*AU70*AU75*AU81*AU87*AU94*AU97*AU106*AU111*AU115*AU124*AU130*AU136*AU139*AU146*AU151*AU157*AU164*AU167*AU171*AU175*AU179*AU183*AU187*AU192*AU195*AU200*AU203*AU207*AU212*AU216</f>
        <v>0</v>
      </c>
      <c r="AZ1107" s="118"/>
      <c r="BA1107" s="118"/>
      <c r="BB1107" s="118"/>
      <c r="BC1107" s="118"/>
      <c r="BD1107" s="118"/>
      <c r="BE1107" s="118"/>
      <c r="BF1107" s="118"/>
    </row>
    <row r="1108" spans="45:83" x14ac:dyDescent="0.3">
      <c r="AT1108" s="118" t="s">
        <v>506</v>
      </c>
      <c r="AU1108" s="118">
        <f>AW24*AV33*AV40*AV45*AV52*AV58*AV64*AV70*AV75*AV81*AV87*AV94*AV97*AV106*AV111*AV115*AV124*AV130*AV136*AV139*AV146*AV151*AV157*AV164*AV167*AV171*AV175*AV179*AV183*AV187*AV192*AV195*AV200*AV203*AV207*AV212*AV216</f>
        <v>0</v>
      </c>
      <c r="AZ1108" s="118"/>
      <c r="BA1108" s="118"/>
      <c r="BB1108" s="118"/>
      <c r="BC1108" s="118"/>
      <c r="BD1108" s="118"/>
      <c r="BE1108" s="118"/>
      <c r="BF1108" s="118"/>
    </row>
    <row r="1109" spans="45:83" x14ac:dyDescent="0.3">
      <c r="AT1109" s="118" t="s">
        <v>507</v>
      </c>
      <c r="AU1109" s="118">
        <f>AW25*AW33*AW40*AW45*AW52*AW58*AW64*AW70*AW75*AW81*AW87*AW94*AW97*AW106*AW111*AW115*AW124*AW130*AW136*AW139*AW146*AW151*AW157*AW164*AW167*AW171*AW175*AW179*AW183*AW187*AW192*AW195*AW200*AW203*AW207*AW212*AW216</f>
        <v>1.6555022519251112E-10</v>
      </c>
      <c r="AZ1109" s="118"/>
      <c r="BA1109" s="118"/>
      <c r="BB1109" s="118"/>
      <c r="BC1109" s="118"/>
      <c r="BD1109" s="118"/>
      <c r="BE1109" s="118"/>
      <c r="BF1109" s="118"/>
    </row>
    <row r="1110" spans="45:83" x14ac:dyDescent="0.3">
      <c r="AT1110" s="118" t="s">
        <v>508</v>
      </c>
      <c r="AU1110" s="118">
        <f>AW26*AX33*AX40*AX45*AX52*AX58*AX64*AX70*AX75*AX81*AX87*AX94*AX97*AX106*AX111*AX115*AX124*AX130*AX136*AX139*AX146*AX151*AX157*AX164*AX167*AX171*AX175*AX179*AX183*AX187*AX192*AX195*AX200*AX203*AX207*AX212*AX216</f>
        <v>0</v>
      </c>
      <c r="AZ1110" s="118"/>
      <c r="BA1110" s="118"/>
      <c r="BB1110" s="118"/>
      <c r="BC1110" s="118"/>
      <c r="BD1110" s="118"/>
      <c r="BE1110" s="118"/>
      <c r="BF1110" s="118"/>
    </row>
    <row r="1111" spans="45:83" x14ac:dyDescent="0.3">
      <c r="AT1111" s="118" t="s">
        <v>509</v>
      </c>
      <c r="AU1111" s="118">
        <f>AW27*AY33*AY40*AY45*AY52*AY58*AY64*AY70*AY75*AY81*AY87*AY94*AY97*AY106*AY111*AY115*AY124*AY130*AY136*AY139*AY146*AY151*AY157*AY164*AY167*AY171*AY175*AY179*AY183*AY187*AY192*AY195*AY200*AY203*AY207*AY212*AY216</f>
        <v>0</v>
      </c>
      <c r="AZ1111" s="118"/>
      <c r="BA1111" s="118"/>
      <c r="BB1111" s="118"/>
      <c r="BC1111" s="118"/>
      <c r="BD1111" s="118"/>
      <c r="BE1111" s="118"/>
      <c r="BF1111" s="118"/>
    </row>
    <row r="1112" spans="45:83" x14ac:dyDescent="0.3">
      <c r="AZ1112" s="118"/>
      <c r="BA1112" s="118"/>
      <c r="BB1112" s="118"/>
      <c r="BC1112" s="118"/>
      <c r="BD1112" s="118"/>
      <c r="BE1112" s="118"/>
      <c r="BF1112" s="118"/>
    </row>
    <row r="1113" spans="45:83" x14ac:dyDescent="0.3">
      <c r="AS1113" s="125" t="s">
        <v>486</v>
      </c>
      <c r="AT1113" s="125"/>
      <c r="AU1113" s="118" t="s">
        <v>64</v>
      </c>
      <c r="AV1113" s="121" t="s">
        <v>43</v>
      </c>
      <c r="AW1113" s="121" t="s">
        <v>44</v>
      </c>
      <c r="AX1113" s="121" t="s">
        <v>45</v>
      </c>
      <c r="AY1113" s="121" t="s">
        <v>46</v>
      </c>
      <c r="AZ1113" s="121" t="s">
        <v>47</v>
      </c>
      <c r="BA1113" s="121" t="s">
        <v>48</v>
      </c>
      <c r="BB1113" s="121" t="s">
        <v>49</v>
      </c>
      <c r="BC1113" s="121" t="s">
        <v>50</v>
      </c>
      <c r="BD1113" s="121" t="s">
        <v>51</v>
      </c>
      <c r="BE1113" s="121" t="s">
        <v>52</v>
      </c>
      <c r="BF1113" s="121" t="s">
        <v>53</v>
      </c>
      <c r="BG1113" s="121" t="s">
        <v>54</v>
      </c>
      <c r="BH1113" s="121"/>
      <c r="BI1113" s="121"/>
      <c r="BJ1113" s="121"/>
      <c r="BK1113" s="121"/>
      <c r="BL1113" s="121"/>
      <c r="BM1113" s="121"/>
      <c r="BN1113" s="121"/>
      <c r="BO1113" s="121"/>
      <c r="BP1113" s="121"/>
      <c r="BQ1113" s="121"/>
      <c r="BR1113" s="121"/>
      <c r="BS1113" s="121"/>
      <c r="BT1113" s="121"/>
      <c r="BU1113" s="121"/>
      <c r="BV1113" s="121"/>
      <c r="BW1113" s="121"/>
      <c r="BX1113" s="121"/>
      <c r="BY1113" s="121"/>
      <c r="BZ1113" s="121"/>
      <c r="CA1113" s="121"/>
      <c r="CB1113" s="121"/>
      <c r="CC1113" s="121"/>
      <c r="CD1113" s="121"/>
      <c r="CE1113" s="121"/>
    </row>
    <row r="1114" spans="45:83" x14ac:dyDescent="0.3">
      <c r="AS1114" s="125"/>
      <c r="AT1114" s="125"/>
      <c r="AU1114" s="118">
        <v>4</v>
      </c>
      <c r="AV1114" s="118" t="s">
        <v>3</v>
      </c>
      <c r="AW1114" s="118" t="s">
        <v>5</v>
      </c>
      <c r="AX1114" s="118" t="s">
        <v>4</v>
      </c>
      <c r="AY1114" s="118" t="s">
        <v>5</v>
      </c>
      <c r="AZ1114" s="118" t="s">
        <v>5</v>
      </c>
      <c r="BA1114" s="118" t="s">
        <v>5</v>
      </c>
      <c r="BB1114" s="118" t="s">
        <v>5</v>
      </c>
      <c r="BC1114" s="118" t="s">
        <v>2</v>
      </c>
      <c r="BD1114" s="118" t="s">
        <v>2</v>
      </c>
      <c r="BE1114" s="118" t="s">
        <v>4</v>
      </c>
      <c r="BF1114" s="118" t="s">
        <v>4</v>
      </c>
      <c r="BG1114" s="118" t="s">
        <v>5</v>
      </c>
    </row>
    <row r="1115" spans="45:83" x14ac:dyDescent="0.3">
      <c r="AT1115" s="118" t="s">
        <v>504</v>
      </c>
      <c r="AU1115" s="118">
        <f>AW22*AT32*AT40*AT43*AT52*AT58*AT64*AT70*AT75*AT81*AT85*AT91*AT100*AT105*AT110*AT118*AT124*AT129*AT136*AT142*AT145*AT151*AT159*AT164*AT167*AT171*AT175*AT179*AT183*AT187*AT192*AT195*AT200*AT203*AT207*AT211*AT216</f>
        <v>0</v>
      </c>
      <c r="AZ1115" s="118"/>
      <c r="BA1115" s="118"/>
      <c r="BB1115" s="118"/>
      <c r="BC1115" s="118"/>
      <c r="BD1115" s="118"/>
      <c r="BE1115" s="118"/>
      <c r="BF1115" s="118"/>
    </row>
    <row r="1116" spans="45:83" x14ac:dyDescent="0.3">
      <c r="AT1116" s="118" t="s">
        <v>505</v>
      </c>
      <c r="AU1116" s="118">
        <f>AW23*AU32*AU40*AU43*AU52*AU58*AU64*AU70*AU75*AU81*AU85*AU91*AU100*AU105*AU110*AU118*AU124*AU129*AU136*AU142*AU145*AU151*AU159*AU164*AU167*AU171*AU175*AU179*AU183*AU187*AU192*AU195*AU200*AU203*AU207*AU211*AU216</f>
        <v>0</v>
      </c>
      <c r="AZ1116" s="118"/>
      <c r="BA1116" s="118"/>
      <c r="BB1116" s="118"/>
      <c r="BC1116" s="118"/>
      <c r="BD1116" s="118"/>
      <c r="BE1116" s="118"/>
      <c r="BF1116" s="118"/>
    </row>
    <row r="1117" spans="45:83" x14ac:dyDescent="0.3">
      <c r="AT1117" s="118" t="s">
        <v>506</v>
      </c>
      <c r="AU1117" s="118">
        <f>AW24*AV32*AV40*AV43*AV52*AV58*AV64*AV70*AV75*AV81*AV85*AV91*AV100*AV105*AV110*AV118*AV124*AV129*AV136*AV142*AV145*AV151*AV159*AV164*AV167*AV171*AV175*AV179*AV183*AV187*AV192*AV195*AV200*AV203*AV207*AV211*AV216</f>
        <v>0</v>
      </c>
      <c r="AZ1117" s="118"/>
      <c r="BA1117" s="118"/>
      <c r="BB1117" s="118"/>
      <c r="BC1117" s="118"/>
      <c r="BD1117" s="118"/>
      <c r="BE1117" s="118"/>
      <c r="BF1117" s="118"/>
    </row>
    <row r="1118" spans="45:83" x14ac:dyDescent="0.3">
      <c r="AT1118" s="118" t="s">
        <v>507</v>
      </c>
      <c r="AU1118" s="118">
        <f>AW25*AW32*AW40*AW43*AW52*AW58*AW64*AW70*AW75*AW81*AW85*AW91*AW100*AW105*AW110*AW118*AW124*AW129*AW136*AW142*AW145*AW151*AW159*AW164*AW167*AW171*AW175*AW179*AW183*AW187*AW192*AW195*AW200*AW203*AW207*AW211*AW216</f>
        <v>8.0449200341484734E-10</v>
      </c>
      <c r="AZ1118" s="118"/>
      <c r="BA1118" s="118"/>
      <c r="BB1118" s="118"/>
      <c r="BC1118" s="118"/>
      <c r="BD1118" s="118"/>
      <c r="BE1118" s="118"/>
      <c r="BF1118" s="118"/>
    </row>
    <row r="1119" spans="45:83" x14ac:dyDescent="0.3">
      <c r="AT1119" s="118" t="s">
        <v>508</v>
      </c>
      <c r="AU1119" s="118">
        <f>AW26*AX32*AX40*AX43*AX52*AX58*AX64*AX70*AX75*AX81*AX85*AX91*AX100*AX105*AX110*AX118*AX124*AX129*AX136*AX142*AX145*AX151*AX159*AX164*AX167*AX171*AX175*AX179*AX183*AX187*AX192*AX195*AX200*AX203*AX207*AX211*AX216</f>
        <v>0</v>
      </c>
      <c r="AZ1119" s="118"/>
      <c r="BA1119" s="118"/>
      <c r="BB1119" s="118"/>
      <c r="BC1119" s="118"/>
      <c r="BD1119" s="118"/>
      <c r="BE1119" s="118"/>
      <c r="BF1119" s="118"/>
    </row>
    <row r="1120" spans="45:83" x14ac:dyDescent="0.3">
      <c r="AT1120" s="118" t="s">
        <v>509</v>
      </c>
      <c r="AU1120" s="118">
        <f>AW27 * AY32 * AY40 * AY43 * AY52 * AY58 * AY64 * AY70 * AY75 * AY81 * AY85 * AY91 * AY100 * AY105 * AY110 * AY118 * AY124 * AY129 * AY136 * AY142 * AY145 * AY151 * AY159 * AY164 * AY167 * AY171 * AY175 * AY179 * AY183 * AY187 * AY192 * AY195 * AY200 * AY203 * AY207 * AY211 * AY216</f>
        <v>0</v>
      </c>
      <c r="AZ1120" s="118"/>
      <c r="BA1120" s="118"/>
      <c r="BB1120" s="118"/>
      <c r="BC1120" s="118"/>
      <c r="BD1120" s="118"/>
      <c r="BE1120" s="118"/>
      <c r="BF1120" s="118"/>
    </row>
    <row r="1121" spans="45:83" x14ac:dyDescent="0.3">
      <c r="AZ1121" s="118"/>
      <c r="BA1121" s="118"/>
      <c r="BB1121" s="118"/>
      <c r="BC1121" s="118"/>
      <c r="BD1121" s="118"/>
      <c r="BE1121" s="118"/>
      <c r="BF1121" s="118"/>
    </row>
    <row r="1122" spans="45:83" x14ac:dyDescent="0.3">
      <c r="AS1122" s="125" t="s">
        <v>479</v>
      </c>
      <c r="AT1122" s="125"/>
      <c r="AU1122" s="118" t="s">
        <v>64</v>
      </c>
      <c r="AV1122" s="121" t="s">
        <v>43</v>
      </c>
      <c r="AW1122" s="121" t="s">
        <v>44</v>
      </c>
      <c r="AX1122" s="121" t="s">
        <v>45</v>
      </c>
      <c r="AY1122" s="121" t="s">
        <v>46</v>
      </c>
      <c r="AZ1122" s="121" t="s">
        <v>47</v>
      </c>
      <c r="BA1122" s="121" t="s">
        <v>48</v>
      </c>
      <c r="BB1122" s="121" t="s">
        <v>49</v>
      </c>
      <c r="BC1122" s="121" t="s">
        <v>50</v>
      </c>
      <c r="BD1122" s="121" t="s">
        <v>51</v>
      </c>
      <c r="BE1122" s="121" t="s">
        <v>52</v>
      </c>
      <c r="BF1122" s="121" t="s">
        <v>53</v>
      </c>
      <c r="BG1122" s="121" t="s">
        <v>54</v>
      </c>
      <c r="BH1122" s="121"/>
      <c r="BI1122" s="121"/>
      <c r="BJ1122" s="121"/>
      <c r="BK1122" s="121"/>
      <c r="BL1122" s="121"/>
      <c r="BM1122" s="121"/>
      <c r="BN1122" s="121"/>
      <c r="BO1122" s="121"/>
      <c r="BP1122" s="121"/>
      <c r="BQ1122" s="121"/>
      <c r="BR1122" s="121"/>
      <c r="BS1122" s="121"/>
      <c r="BT1122" s="121"/>
      <c r="BU1122" s="121"/>
      <c r="BV1122" s="121"/>
      <c r="BW1122" s="121"/>
      <c r="BX1122" s="121"/>
      <c r="BY1122" s="121"/>
      <c r="BZ1122" s="121"/>
      <c r="CA1122" s="121"/>
      <c r="CB1122" s="121"/>
      <c r="CC1122" s="121"/>
      <c r="CD1122" s="121"/>
      <c r="CE1122" s="121"/>
    </row>
    <row r="1123" spans="45:83" x14ac:dyDescent="0.3">
      <c r="AS1123" s="125"/>
      <c r="AT1123" s="125"/>
      <c r="AU1123" s="118">
        <v>5</v>
      </c>
      <c r="AV1123" s="118" t="s">
        <v>2</v>
      </c>
      <c r="AW1123" s="118" t="s">
        <v>3</v>
      </c>
      <c r="AX1123" s="118" t="s">
        <v>5</v>
      </c>
      <c r="AY1123" s="118" t="s">
        <v>5</v>
      </c>
      <c r="AZ1123" s="118" t="s">
        <v>5</v>
      </c>
      <c r="BA1123" s="118" t="s">
        <v>5</v>
      </c>
      <c r="BB1123" s="118" t="s">
        <v>5</v>
      </c>
      <c r="BC1123" s="118" t="s">
        <v>2</v>
      </c>
      <c r="BD1123" s="118" t="s">
        <v>3</v>
      </c>
      <c r="BE1123" s="118" t="s">
        <v>3</v>
      </c>
      <c r="BF1123" s="118" t="s">
        <v>5</v>
      </c>
      <c r="BG1123" s="118" t="s">
        <v>2</v>
      </c>
    </row>
    <row r="1124" spans="45:83" x14ac:dyDescent="0.3">
      <c r="AT1124" s="118" t="s">
        <v>504</v>
      </c>
      <c r="AU1124" s="118">
        <f>AW22*AT33*AT38*AT46*AT52*AT58*AT64*AT70*AT75*AT80*AT86*AT94*AT99*AT106*AT111*AT117*AT124*AT130*AT136*AT140*AT146*AT151*AT159*AT164*AT167*AT171*AT175*AT179*AT183*AT188*AT192*AT195*AT200*AT203*AT207*AT211*AT216</f>
        <v>0</v>
      </c>
      <c r="AZ1124" s="118"/>
      <c r="BA1124" s="118"/>
      <c r="BB1124" s="118"/>
      <c r="BC1124" s="118"/>
      <c r="BD1124" s="118"/>
      <c r="BE1124" s="118"/>
      <c r="BF1124" s="118"/>
    </row>
    <row r="1125" spans="45:83" x14ac:dyDescent="0.3">
      <c r="AT1125" s="118" t="s">
        <v>505</v>
      </c>
      <c r="AU1125" s="118">
        <f>AW23 * AU33 * AU38 * AU46 * AU52 * AU58 * AU64 * AU70 * AU75 * AU80 * AU86 * AU94 * AU99 * AU106 * AU111 * AU117 * AU124 * AU130 * AU136 * AU140 * AU146 * AU151 * AU159 * AU164 * AU167 * AU171 * AU175 * AU179 * AU183 * AU188 * AU192 * AU195 * AU200 * AU203 * AU207 * AU211 * AU216</f>
        <v>0</v>
      </c>
      <c r="AZ1125" s="118"/>
      <c r="BA1125" s="118"/>
      <c r="BB1125" s="118"/>
      <c r="BC1125" s="118"/>
      <c r="BD1125" s="118"/>
      <c r="BE1125" s="118"/>
      <c r="BF1125" s="118"/>
    </row>
    <row r="1126" spans="45:83" x14ac:dyDescent="0.3">
      <c r="AT1126" s="118" t="s">
        <v>506</v>
      </c>
      <c r="AU1126" s="118">
        <f>AW24 * AV33 * AV38 * AV46 * AV52 * AV58 * AV64 * AV70 * AV75 * AV80 * AV86 * AV94 * AV99 * AV106 * AV111 * AV117 * AV124 * AV130 * AV136 * AV140 * AV146 * AV151 * AV159 * AV164 * AV167 * AV171 * AV175 * AV179 * AV183 * AV188 * AV192 * AV195 * AV200 * AV203 * AV207 * AV211 * AV216</f>
        <v>0</v>
      </c>
      <c r="AZ1126" s="118"/>
      <c r="BA1126" s="118"/>
      <c r="BB1126" s="118"/>
      <c r="BC1126" s="118"/>
      <c r="BD1126" s="118"/>
      <c r="BE1126" s="118"/>
      <c r="BF1126" s="118"/>
    </row>
    <row r="1127" spans="45:83" x14ac:dyDescent="0.3">
      <c r="AT1127" s="118" t="s">
        <v>507</v>
      </c>
      <c r="AU1127" s="118">
        <f>AW25 * AW33 * AW38 * AW46 * AW52 * AW58 * AW64 * AW70 * AW75 * AW80 * AW86 * AW94 * AW99 * AW106 * AW111 * AW117 * AW124 * AW130 * AW136 * AW140 * AW146 * AW151 * AW159 * AW164 * AW167 * AW171 * AW175 * AW179 * AW183 * AW188 * AW192 * AW195 * AW200 * AW203 * AW207 * AW211 * AW216</f>
        <v>1.7168171501445595E-10</v>
      </c>
      <c r="AZ1127" s="118"/>
      <c r="BA1127" s="118"/>
      <c r="BB1127" s="118"/>
      <c r="BC1127" s="118"/>
      <c r="BD1127" s="118"/>
      <c r="BE1127" s="118"/>
      <c r="BF1127" s="118"/>
    </row>
    <row r="1128" spans="45:83" x14ac:dyDescent="0.3">
      <c r="AT1128" s="118" t="s">
        <v>508</v>
      </c>
      <c r="AU1128" s="118">
        <f>AW26 * AX33 * AX38 * AX46 * AX52 * AX58 * AX64 * AX70 * AX75 * AX80 * AX86 * AX94 * AX99 * AX106 * AX111 * AX117 * AX124 * AX130 * AX136 * AX140 * AX146 * AX151 * AX159 * AX164 * AX167 * AX171 * AX175 * AX179 * AX183 * AX188 * AX192 * AX195 * AX200 * AX203 * AX207 * AX211 * AX216</f>
        <v>8.8998415091315388E-11</v>
      </c>
      <c r="AZ1128" s="118"/>
      <c r="BA1128" s="118"/>
      <c r="BB1128" s="118"/>
      <c r="BC1128" s="118"/>
      <c r="BD1128" s="118"/>
      <c r="BE1128" s="118"/>
      <c r="BF1128" s="118"/>
    </row>
    <row r="1129" spans="45:83" x14ac:dyDescent="0.3">
      <c r="AT1129" s="118" t="s">
        <v>509</v>
      </c>
      <c r="AU1129" s="118">
        <f>AW27 * AY33 * AY38 * AY46 * AY52 * AY58 * AY64 * AY70 * AY75 * AY80 * AY86 * AY94 * AY99 * AY106 * AY111 * AY117 * AY124 * AY130 * AY136 * AY140 * AY146 * AY151 * AY159 * AY164 * AY167 * AY171 * AY175 * AY179 * AY183 * AY188 * AY192 * AY195 * AY200 * AY203 * AY207 * AY211 * AY216</f>
        <v>0</v>
      </c>
      <c r="AZ1129" s="118"/>
      <c r="BA1129" s="118"/>
      <c r="BB1129" s="118"/>
      <c r="BC1129" s="118"/>
      <c r="BD1129" s="118"/>
      <c r="BE1129" s="118"/>
      <c r="BF1129" s="118"/>
    </row>
    <row r="1130" spans="45:83" x14ac:dyDescent="0.3">
      <c r="AZ1130" s="118"/>
      <c r="BA1130" s="118"/>
      <c r="BB1130" s="118"/>
      <c r="BC1130" s="118"/>
      <c r="BD1130" s="118"/>
      <c r="BE1130" s="118"/>
      <c r="BF1130" s="118"/>
    </row>
    <row r="1131" spans="45:83" x14ac:dyDescent="0.3">
      <c r="AS1131" s="125" t="s">
        <v>480</v>
      </c>
      <c r="AT1131" s="125"/>
      <c r="AU1131" s="118" t="s">
        <v>64</v>
      </c>
      <c r="AV1131" s="121" t="s">
        <v>43</v>
      </c>
      <c r="AW1131" s="121" t="s">
        <v>44</v>
      </c>
      <c r="AX1131" s="121" t="s">
        <v>45</v>
      </c>
      <c r="AY1131" s="121" t="s">
        <v>46</v>
      </c>
      <c r="AZ1131" s="121" t="s">
        <v>47</v>
      </c>
      <c r="BA1131" s="121" t="s">
        <v>48</v>
      </c>
      <c r="BB1131" s="121" t="s">
        <v>49</v>
      </c>
      <c r="BC1131" s="121" t="s">
        <v>50</v>
      </c>
      <c r="BD1131" s="121" t="s">
        <v>51</v>
      </c>
      <c r="BE1131" s="121" t="s">
        <v>52</v>
      </c>
      <c r="BF1131" s="121" t="s">
        <v>53</v>
      </c>
      <c r="BG1131" s="121" t="s">
        <v>54</v>
      </c>
      <c r="BH1131" s="121"/>
      <c r="BI1131" s="121"/>
      <c r="BJ1131" s="121"/>
      <c r="BK1131" s="121"/>
      <c r="BL1131" s="121"/>
      <c r="BM1131" s="121"/>
      <c r="BN1131" s="121"/>
      <c r="BO1131" s="121"/>
      <c r="BP1131" s="121"/>
      <c r="BQ1131" s="121"/>
      <c r="BR1131" s="121"/>
      <c r="BS1131" s="121"/>
      <c r="BT1131" s="121"/>
      <c r="BU1131" s="121"/>
      <c r="BV1131" s="121"/>
      <c r="BW1131" s="121"/>
      <c r="BX1131" s="121"/>
      <c r="BY1131" s="121"/>
      <c r="BZ1131" s="121"/>
      <c r="CA1131" s="121"/>
      <c r="CB1131" s="121"/>
      <c r="CC1131" s="121"/>
      <c r="CD1131" s="121"/>
      <c r="CE1131" s="121"/>
    </row>
    <row r="1132" spans="45:83" x14ac:dyDescent="0.3">
      <c r="AS1132" s="125"/>
      <c r="AT1132" s="125"/>
      <c r="AU1132" s="118">
        <v>5</v>
      </c>
      <c r="AV1132" s="118" t="s">
        <v>2</v>
      </c>
      <c r="AW1132" s="118" t="s">
        <v>3</v>
      </c>
      <c r="AX1132" s="118" t="s">
        <v>4</v>
      </c>
      <c r="AY1132" s="118" t="s">
        <v>5</v>
      </c>
      <c r="AZ1132" s="118" t="s">
        <v>5</v>
      </c>
      <c r="BA1132" s="118" t="s">
        <v>3</v>
      </c>
      <c r="BB1132" s="118" t="s">
        <v>5</v>
      </c>
      <c r="BC1132" s="118" t="s">
        <v>2</v>
      </c>
      <c r="BD1132" s="118" t="s">
        <v>3</v>
      </c>
      <c r="BE1132" s="118" t="s">
        <v>2</v>
      </c>
      <c r="BF1132" s="118" t="s">
        <v>2</v>
      </c>
      <c r="BG1132" s="118" t="s">
        <v>5</v>
      </c>
    </row>
    <row r="1133" spans="45:83" x14ac:dyDescent="0.3">
      <c r="AT1133" s="118" t="s">
        <v>504</v>
      </c>
      <c r="AU1133" s="118">
        <f>AW22*AT34*AT38*AT43*AT52*AT58*AT62*AT70*AT75*AT80*AT87*AT93*AT100*AT106*AT111*AT118*AT124*AT128*AT136*AT141*AT145*AT151*AT159*AT164*AT167*AT171*AT175*AT179*AT183*AT187*AT192*AT195*AT200*AT203*AT207*AT212*AT216</f>
        <v>0</v>
      </c>
      <c r="AZ1133" s="118"/>
      <c r="BA1133" s="118"/>
      <c r="BB1133" s="118"/>
      <c r="BC1133" s="118"/>
      <c r="BD1133" s="118"/>
      <c r="BE1133" s="118"/>
      <c r="BF1133" s="118"/>
    </row>
    <row r="1134" spans="45:83" x14ac:dyDescent="0.3">
      <c r="AT1134" s="118" t="s">
        <v>505</v>
      </c>
      <c r="AZ1134" s="118"/>
      <c r="BA1134" s="118"/>
      <c r="BB1134" s="118"/>
      <c r="BC1134" s="118"/>
      <c r="BD1134" s="118"/>
      <c r="BE1134" s="118"/>
      <c r="BF1134" s="118"/>
    </row>
    <row r="1135" spans="45:83" x14ac:dyDescent="0.3">
      <c r="AT1135" s="118" t="s">
        <v>506</v>
      </c>
      <c r="AZ1135" s="118"/>
      <c r="BA1135" s="118"/>
      <c r="BB1135" s="118"/>
      <c r="BC1135" s="118"/>
      <c r="BD1135" s="118"/>
      <c r="BE1135" s="118"/>
      <c r="BF1135" s="118"/>
    </row>
    <row r="1136" spans="45:83" x14ac:dyDescent="0.3">
      <c r="AT1136" s="118" t="s">
        <v>507</v>
      </c>
      <c r="AZ1136" s="118"/>
      <c r="BA1136" s="118"/>
      <c r="BB1136" s="118"/>
      <c r="BC1136" s="118"/>
      <c r="BD1136" s="118"/>
      <c r="BE1136" s="118"/>
      <c r="BF1136" s="118"/>
    </row>
    <row r="1137" spans="45:83" x14ac:dyDescent="0.3">
      <c r="AT1137" s="118" t="s">
        <v>508</v>
      </c>
      <c r="AU1137" s="118">
        <f>AW26* AX33 * AX38* AX43 * AX52 * AX58 * AX62 * AX70 * AX75 * AX80 * AX87 * AX93 * AX100 * AX106 * AX111 * AX118 * AX124 * AX128 * AX136 * AX141 * AX145 * AX151 * AX159 * AX164 * AX167 * AX171 * AX175 * AX179 * AX183 * AX187 * AX192 * AX195 * AX200 * AX203 * AX207 * AX212 * AX216</f>
        <v>3.0998087433165655E-11</v>
      </c>
      <c r="AZ1137" s="118"/>
      <c r="BA1137" s="118"/>
      <c r="BB1137" s="118"/>
      <c r="BC1137" s="118"/>
      <c r="BD1137" s="118"/>
      <c r="BE1137" s="118"/>
      <c r="BF1137" s="118"/>
    </row>
    <row r="1138" spans="45:83" x14ac:dyDescent="0.3">
      <c r="AT1138" s="118" t="s">
        <v>509</v>
      </c>
      <c r="AU1138" s="118">
        <f>AW27 * AY33 * AY38* AY43 * AY52 * AY58 * AY62 * AY70 * AY75 * AY80 * AY87 * AY93 * AY100 * AY106 * AY111 * AY118* AY124 * AY128 * AY136 * AY141 * AY145 * AY151 * AY159 * AY164 * AY167 * AY171 * AY175 * AY179 * AY183 * AY187 * AY192 * AY195 * AY200 * AY203 * AY207 * AY212 * AY216</f>
        <v>0</v>
      </c>
      <c r="AZ1138" s="118"/>
      <c r="BA1138" s="118"/>
      <c r="BB1138" s="118"/>
      <c r="BC1138" s="118"/>
      <c r="BD1138" s="118"/>
      <c r="BE1138" s="118"/>
      <c r="BF1138" s="118"/>
    </row>
    <row r="1139" spans="45:83" x14ac:dyDescent="0.3">
      <c r="AZ1139" s="118"/>
      <c r="BA1139" s="118"/>
      <c r="BB1139" s="118"/>
      <c r="BC1139" s="118"/>
      <c r="BD1139" s="118"/>
      <c r="BE1139" s="118"/>
      <c r="BF1139" s="118"/>
    </row>
    <row r="1140" spans="45:83" x14ac:dyDescent="0.3">
      <c r="AS1140" s="125" t="s">
        <v>495</v>
      </c>
      <c r="AT1140" s="125"/>
      <c r="AU1140" s="118" t="s">
        <v>64</v>
      </c>
      <c r="AV1140" s="121" t="s">
        <v>43</v>
      </c>
      <c r="AW1140" s="121" t="s">
        <v>44</v>
      </c>
      <c r="AX1140" s="121" t="s">
        <v>45</v>
      </c>
      <c r="AY1140" s="121" t="s">
        <v>46</v>
      </c>
      <c r="AZ1140" s="121" t="s">
        <v>47</v>
      </c>
      <c r="BA1140" s="121" t="s">
        <v>48</v>
      </c>
      <c r="BB1140" s="121" t="s">
        <v>49</v>
      </c>
      <c r="BC1140" s="121" t="s">
        <v>50</v>
      </c>
      <c r="BD1140" s="121" t="s">
        <v>51</v>
      </c>
      <c r="BE1140" s="121" t="s">
        <v>52</v>
      </c>
      <c r="BF1140" s="121" t="s">
        <v>53</v>
      </c>
      <c r="BG1140" s="121" t="s">
        <v>54</v>
      </c>
      <c r="BH1140" s="121"/>
      <c r="BI1140" s="121"/>
      <c r="BJ1140" s="121"/>
      <c r="BK1140" s="121"/>
      <c r="BL1140" s="121"/>
      <c r="BM1140" s="121"/>
      <c r="BN1140" s="121"/>
      <c r="BO1140" s="121"/>
      <c r="BP1140" s="121"/>
      <c r="BQ1140" s="121"/>
      <c r="BR1140" s="121"/>
      <c r="BS1140" s="121"/>
      <c r="BT1140" s="121"/>
      <c r="BU1140" s="121"/>
      <c r="BV1140" s="121"/>
      <c r="BW1140" s="121"/>
      <c r="BX1140" s="121"/>
      <c r="BY1140" s="121"/>
      <c r="BZ1140" s="121"/>
      <c r="CA1140" s="121"/>
      <c r="CB1140" s="121"/>
      <c r="CC1140" s="121"/>
      <c r="CD1140" s="121"/>
      <c r="CE1140" s="121"/>
    </row>
    <row r="1141" spans="45:83" x14ac:dyDescent="0.3">
      <c r="AS1141" s="125"/>
      <c r="AT1141" s="125"/>
      <c r="AU1141" s="118">
        <v>5</v>
      </c>
      <c r="AV1141" s="118" t="s">
        <v>5</v>
      </c>
      <c r="AW1141" s="118" t="s">
        <v>5</v>
      </c>
      <c r="AX1141" s="118" t="s">
        <v>3</v>
      </c>
      <c r="AY1141" s="118" t="s">
        <v>5</v>
      </c>
      <c r="AZ1141" s="118" t="s">
        <v>5</v>
      </c>
      <c r="BA1141" s="118" t="s">
        <v>5</v>
      </c>
      <c r="BB1141" s="118" t="s">
        <v>5</v>
      </c>
      <c r="BC1141" s="118" t="s">
        <v>2</v>
      </c>
      <c r="BD1141" s="118" t="s">
        <v>2</v>
      </c>
      <c r="BE1141" s="118" t="s">
        <v>5</v>
      </c>
      <c r="BF1141" s="118" t="s">
        <v>2</v>
      </c>
      <c r="BG1141" s="118" t="s">
        <v>2</v>
      </c>
    </row>
    <row r="1142" spans="45:83" x14ac:dyDescent="0.3">
      <c r="AT1142" s="118" t="s">
        <v>504</v>
      </c>
      <c r="AU1142" s="118">
        <f>AW22 * AT34 * AT40 * AT44 * AT52 * AT58 * AT64 * AT70 * AT75 * AT81 * AT88 * AT93 * AT99 * AT103 * AT110 * AT117 * AT124 * AT130 * AT136 * AT140 * AT146 * AT152 * AT157 * AT164 * AT167 * AT171 * AT175 * AT179 * AT183 * AT188 * AT192 * AT195 * AT200 * AT203 * AT207 * AT212 * AT216</f>
        <v>0</v>
      </c>
      <c r="AZ1142" s="118"/>
      <c r="BA1142" s="118"/>
      <c r="BB1142" s="118"/>
      <c r="BC1142" s="118"/>
      <c r="BD1142" s="118"/>
      <c r="BE1142" s="118"/>
      <c r="BF1142" s="118"/>
    </row>
    <row r="1143" spans="45:83" x14ac:dyDescent="0.3">
      <c r="AT1143" s="118" t="s">
        <v>505</v>
      </c>
      <c r="AU1143" s="118">
        <f>AW23 * AU34 * AU40 * AU44 * AU52 * AU58 * AU64 * AU70 * AU75 * AU81 * AU88 * AU93 * AU99 * AU103 * AU110 * AU117 * AU124 * AU130 * AU136 * AU140 * AU146 * AU152 * AU157 * AU164 * AU167 * AU171 * AU175 * AU179 * AU183 * AU188 * AU192 * AU195 * AU200 * AU203 * AU207 * AU212 * AU216</f>
        <v>0</v>
      </c>
      <c r="AZ1143" s="118"/>
      <c r="BA1143" s="118"/>
      <c r="BB1143" s="118"/>
      <c r="BC1143" s="118"/>
      <c r="BD1143" s="118"/>
      <c r="BE1143" s="118"/>
      <c r="BF1143" s="118"/>
    </row>
    <row r="1144" spans="45:83" x14ac:dyDescent="0.3">
      <c r="AT1144" s="118" t="s">
        <v>506</v>
      </c>
      <c r="AU1144" s="118">
        <f>AW24 * AV34 * AV40 * AV44 * AV52 * AV58 * AV64 * AV70 * AV75 * AV81 * AV88 * AV93 * AV99 * AV103 * AV110 * AV117 * AV124 * AV130 * AV136 * AV140 * AV146 * AV152 * AV157 * AV164 * AV167 * AV171 * AV175 * AV179 * AV183 * AV188 * AV192 * AV195 * AV200 * AV203 * AV207 * AV212 * AV216</f>
        <v>0</v>
      </c>
      <c r="AZ1144" s="118"/>
      <c r="BA1144" s="118"/>
      <c r="BB1144" s="118"/>
      <c r="BC1144" s="118"/>
      <c r="BD1144" s="118"/>
      <c r="BE1144" s="118"/>
      <c r="BF1144" s="118"/>
    </row>
    <row r="1145" spans="45:83" x14ac:dyDescent="0.3">
      <c r="AT1145" s="118" t="s">
        <v>507</v>
      </c>
      <c r="AU1145" s="118">
        <f>AW25 * AW34 * AW40 * AW44 * AW52 * AW58 * AW64 * AW70 * AW75 * AW81 * AW88 * AW93 * AW99 * AW103 * AW110 * AW117 * AW124 * AW130 * AW136 * AW140 * AW146 * AW152 * AW157 * AW164 * AW167 * AW171 * AW175 * AW179 * AW183 * AW188 * AW192 * AW195 * AW200 * AW203 * AW207 * AW212 * AW216</f>
        <v>0</v>
      </c>
      <c r="AZ1145" s="118"/>
      <c r="BA1145" s="118"/>
      <c r="BB1145" s="118"/>
      <c r="BC1145" s="118"/>
      <c r="BD1145" s="118"/>
      <c r="BE1145" s="118"/>
      <c r="BF1145" s="118"/>
    </row>
    <row r="1146" spans="45:83" x14ac:dyDescent="0.3">
      <c r="AT1146" s="118" t="s">
        <v>508</v>
      </c>
      <c r="AU1146" s="118">
        <f>AW26*AX34*AX40*AX44*AX52*AX58*AX64*AX70*AX75*AX81*AX88*AX93*AX99*AX103*AX110*AX117*AX124*AX130*AX136*AX140*AX146*AX152*AX157*AX164*AX167*AX171*AX175*AX179*AX183*AX188*AX192*AX195*AX200*AX203*AX207*AX212*AX216</f>
        <v>3.1078811619189511E-9</v>
      </c>
      <c r="AZ1146" s="118"/>
      <c r="BA1146" s="118"/>
      <c r="BB1146" s="118"/>
      <c r="BC1146" s="118"/>
      <c r="BD1146" s="118"/>
      <c r="BE1146" s="118"/>
      <c r="BF1146" s="118"/>
    </row>
    <row r="1147" spans="45:83" x14ac:dyDescent="0.3">
      <c r="AT1147" s="118" t="s">
        <v>509</v>
      </c>
      <c r="AU1147" s="118">
        <f>AW27 * AY34 * AY40 * AY44 * AY52 * AY58 * AY64 * AY70 * AY75 * AY81 * AY88 * AY93 * AY99 * AY103 * AY110 * AY117 * AY124 * AY130 * AY136 * AY140 * AY146 * AY152 * AY157 * AY164 * AY167 * AY171 * AY175 * AY179 * AY183 * AY188 * AY192 * AY195 * AY200 * AY203 * AY207 * AY212 * AY216</f>
        <v>0</v>
      </c>
      <c r="AZ1147" s="118"/>
      <c r="BA1147" s="118"/>
      <c r="BB1147" s="118"/>
      <c r="BC1147" s="118"/>
      <c r="BD1147" s="118"/>
      <c r="BE1147" s="118"/>
      <c r="BF1147" s="118"/>
    </row>
    <row r="1148" spans="45:83" x14ac:dyDescent="0.3">
      <c r="AZ1148" s="118"/>
      <c r="BA1148" s="118"/>
      <c r="BB1148" s="118"/>
      <c r="BC1148" s="118"/>
      <c r="BD1148" s="118"/>
      <c r="BE1148" s="118"/>
      <c r="BF1148" s="118"/>
    </row>
    <row r="1149" spans="45:83" x14ac:dyDescent="0.3">
      <c r="AS1149" s="125" t="s">
        <v>475</v>
      </c>
      <c r="AT1149" s="125"/>
      <c r="AU1149" s="118" t="s">
        <v>64</v>
      </c>
      <c r="AV1149" s="121" t="s">
        <v>43</v>
      </c>
      <c r="AW1149" s="121" t="s">
        <v>44</v>
      </c>
      <c r="AX1149" s="121" t="s">
        <v>45</v>
      </c>
      <c r="AY1149" s="121" t="s">
        <v>46</v>
      </c>
      <c r="AZ1149" s="121" t="s">
        <v>47</v>
      </c>
      <c r="BA1149" s="121" t="s">
        <v>48</v>
      </c>
      <c r="BB1149" s="121" t="s">
        <v>49</v>
      </c>
      <c r="BC1149" s="121" t="s">
        <v>50</v>
      </c>
      <c r="BD1149" s="121" t="s">
        <v>51</v>
      </c>
      <c r="BE1149" s="121" t="s">
        <v>52</v>
      </c>
      <c r="BF1149" s="121" t="s">
        <v>53</v>
      </c>
      <c r="BG1149" s="121" t="s">
        <v>54</v>
      </c>
      <c r="BH1149" s="121"/>
      <c r="BI1149" s="121"/>
      <c r="BJ1149" s="121"/>
      <c r="BK1149" s="121"/>
      <c r="BL1149" s="121"/>
      <c r="BM1149" s="121"/>
      <c r="BN1149" s="121"/>
      <c r="BO1149" s="121"/>
      <c r="BP1149" s="121"/>
      <c r="BQ1149" s="121"/>
      <c r="BR1149" s="121"/>
      <c r="BS1149" s="121"/>
      <c r="BT1149" s="121"/>
      <c r="BU1149" s="121"/>
      <c r="BV1149" s="121"/>
      <c r="BW1149" s="121"/>
      <c r="BX1149" s="121"/>
      <c r="BY1149" s="121"/>
      <c r="BZ1149" s="121"/>
      <c r="CA1149" s="121"/>
      <c r="CB1149" s="121"/>
      <c r="CC1149" s="121"/>
      <c r="CD1149" s="121"/>
      <c r="CE1149" s="121"/>
    </row>
    <row r="1150" spans="45:83" x14ac:dyDescent="0.3">
      <c r="AS1150" s="125"/>
      <c r="AT1150" s="125"/>
      <c r="AU1150" s="118">
        <v>6</v>
      </c>
      <c r="AV1150" s="118" t="s">
        <v>5</v>
      </c>
      <c r="AW1150" s="118" t="s">
        <v>5</v>
      </c>
      <c r="AX1150" s="118" t="s">
        <v>2</v>
      </c>
      <c r="AY1150" s="118" t="s">
        <v>5</v>
      </c>
      <c r="AZ1150" s="118" t="s">
        <v>5</v>
      </c>
      <c r="BA1150" s="118" t="s">
        <v>5</v>
      </c>
      <c r="BB1150" s="118" t="s">
        <v>5</v>
      </c>
      <c r="BC1150" s="118" t="s">
        <v>5</v>
      </c>
      <c r="BD1150" s="118" t="s">
        <v>2</v>
      </c>
      <c r="BE1150" s="118" t="s">
        <v>4</v>
      </c>
      <c r="BF1150" s="118" t="s">
        <v>4</v>
      </c>
      <c r="BG1150" s="118" t="s">
        <v>5</v>
      </c>
    </row>
    <row r="1151" spans="45:83" x14ac:dyDescent="0.3">
      <c r="AT1151" s="118" t="s">
        <v>504</v>
      </c>
      <c r="AU1151" s="118">
        <f>AW22*AT34*AT40*AT45*AT52*AT58*AT64*AT70*AT76*AT81*AT85*AT91*AT100*AT105*AT110*AT118*AT124*AT128*AT136*AT142*AT145*AT152*AT159*AT164*AT167*AT171*AT176*AT179*AT183*AT187*AT192*AT195*AT200*AT203*AT207*AT211*AT216</f>
        <v>0</v>
      </c>
      <c r="AZ1151" s="118"/>
      <c r="BA1151" s="118"/>
      <c r="BB1151" s="118"/>
      <c r="BC1151" s="118"/>
      <c r="BD1151" s="118"/>
      <c r="BE1151" s="118"/>
      <c r="BF1151" s="118"/>
    </row>
    <row r="1152" spans="45:83" x14ac:dyDescent="0.3">
      <c r="AT1152" s="118" t="s">
        <v>505</v>
      </c>
      <c r="AZ1152" s="118"/>
      <c r="BA1152" s="118"/>
      <c r="BB1152" s="118"/>
      <c r="BC1152" s="118"/>
      <c r="BD1152" s="118"/>
      <c r="BE1152" s="118"/>
      <c r="BF1152" s="118"/>
    </row>
    <row r="1153" spans="45:83" x14ac:dyDescent="0.3">
      <c r="AT1153" s="118" t="s">
        <v>506</v>
      </c>
      <c r="AZ1153" s="118"/>
      <c r="BA1153" s="118"/>
      <c r="BB1153" s="118"/>
      <c r="BC1153" s="118"/>
      <c r="BD1153" s="118"/>
      <c r="BE1153" s="118"/>
      <c r="BF1153" s="118"/>
    </row>
    <row r="1154" spans="45:83" x14ac:dyDescent="0.3">
      <c r="AT1154" s="118" t="s">
        <v>507</v>
      </c>
      <c r="AZ1154" s="118"/>
      <c r="BA1154" s="118"/>
      <c r="BB1154" s="118"/>
      <c r="BC1154" s="118"/>
      <c r="BD1154" s="118"/>
      <c r="BE1154" s="118"/>
      <c r="BF1154" s="118"/>
    </row>
    <row r="1155" spans="45:83" x14ac:dyDescent="0.3">
      <c r="AT1155" s="118" t="s">
        <v>508</v>
      </c>
      <c r="AZ1155" s="118"/>
      <c r="BA1155" s="118"/>
      <c r="BB1155" s="118"/>
      <c r="BC1155" s="118"/>
      <c r="BD1155" s="118"/>
      <c r="BE1155" s="118"/>
      <c r="BF1155" s="118"/>
    </row>
    <row r="1156" spans="45:83" x14ac:dyDescent="0.3">
      <c r="AT1156" s="118" t="s">
        <v>509</v>
      </c>
      <c r="AZ1156" s="118"/>
      <c r="BA1156" s="118"/>
      <c r="BB1156" s="118"/>
      <c r="BC1156" s="118"/>
      <c r="BD1156" s="118"/>
      <c r="BE1156" s="118"/>
      <c r="BF1156" s="118"/>
    </row>
    <row r="1157" spans="45:83" x14ac:dyDescent="0.3">
      <c r="AZ1157" s="118"/>
      <c r="BA1157" s="118"/>
      <c r="BB1157" s="118"/>
      <c r="BC1157" s="118"/>
      <c r="BD1157" s="118"/>
      <c r="BE1157" s="118"/>
      <c r="BF1157" s="118"/>
    </row>
    <row r="1158" spans="45:83" x14ac:dyDescent="0.3">
      <c r="AS1158" s="125" t="s">
        <v>477</v>
      </c>
      <c r="AT1158" s="125"/>
      <c r="AU1158" s="118" t="s">
        <v>64</v>
      </c>
      <c r="AV1158" s="121" t="s">
        <v>43</v>
      </c>
      <c r="AW1158" s="121" t="s">
        <v>44</v>
      </c>
      <c r="AX1158" s="121" t="s">
        <v>45</v>
      </c>
      <c r="AY1158" s="121" t="s">
        <v>46</v>
      </c>
      <c r="AZ1158" s="121" t="s">
        <v>47</v>
      </c>
      <c r="BA1158" s="121" t="s">
        <v>48</v>
      </c>
      <c r="BB1158" s="121" t="s">
        <v>49</v>
      </c>
      <c r="BC1158" s="121" t="s">
        <v>50</v>
      </c>
      <c r="BD1158" s="121" t="s">
        <v>51</v>
      </c>
      <c r="BE1158" s="121" t="s">
        <v>52</v>
      </c>
      <c r="BF1158" s="121" t="s">
        <v>53</v>
      </c>
      <c r="BG1158" s="121" t="s">
        <v>54</v>
      </c>
      <c r="BH1158" s="121"/>
      <c r="BI1158" s="121"/>
      <c r="BJ1158" s="121"/>
      <c r="BK1158" s="121"/>
      <c r="BL1158" s="121"/>
      <c r="BM1158" s="121"/>
      <c r="BN1158" s="121"/>
      <c r="BO1158" s="121"/>
      <c r="BP1158" s="121"/>
      <c r="BQ1158" s="121"/>
      <c r="BR1158" s="121"/>
      <c r="BS1158" s="121"/>
      <c r="BT1158" s="121"/>
      <c r="BU1158" s="121"/>
      <c r="BV1158" s="121"/>
      <c r="BW1158" s="121"/>
      <c r="BX1158" s="121"/>
      <c r="BY1158" s="121"/>
      <c r="BZ1158" s="121"/>
      <c r="CA1158" s="121"/>
      <c r="CB1158" s="121"/>
      <c r="CC1158" s="121"/>
      <c r="CD1158" s="121"/>
      <c r="CE1158" s="121"/>
    </row>
    <row r="1159" spans="45:83" x14ac:dyDescent="0.3">
      <c r="AS1159" s="125"/>
      <c r="AT1159" s="125"/>
      <c r="AU1159" s="118">
        <v>6</v>
      </c>
      <c r="AV1159" s="118" t="s">
        <v>5</v>
      </c>
      <c r="AW1159" s="118" t="s">
        <v>5</v>
      </c>
      <c r="AX1159" s="118" t="s">
        <v>3</v>
      </c>
      <c r="AY1159" s="118" t="s">
        <v>5</v>
      </c>
      <c r="AZ1159" s="118" t="s">
        <v>5</v>
      </c>
      <c r="BA1159" s="118" t="s">
        <v>5</v>
      </c>
      <c r="BB1159" s="118" t="s">
        <v>5</v>
      </c>
      <c r="BC1159" s="118" t="s">
        <v>2</v>
      </c>
      <c r="BD1159" s="118" t="s">
        <v>2</v>
      </c>
      <c r="BE1159" s="118" t="s">
        <v>2</v>
      </c>
      <c r="BF1159" s="118" t="s">
        <v>2</v>
      </c>
      <c r="BG1159" s="118" t="s">
        <v>3</v>
      </c>
    </row>
    <row r="1160" spans="45:83" x14ac:dyDescent="0.3">
      <c r="AT1160" s="118" t="s">
        <v>504</v>
      </c>
      <c r="AU1160" s="118">
        <f>AW22*AT34*AT40*AT44*AT52*AT58*AT64*AT70*AT75*AT81*AT87*AT93*AT98*AT106*AT110*AT116*AT124*AT130*AT136*AT141*AT146*AT151*AT157*AT164*AT167*AT171*AT175*AT180*AT183*AT187*AT192*AT196*AT200*AT204*AT208*AT212*AT216</f>
        <v>0</v>
      </c>
      <c r="AZ1160" s="118"/>
      <c r="BA1160" s="118"/>
      <c r="BB1160" s="118"/>
      <c r="BC1160" s="118"/>
      <c r="BD1160" s="118"/>
      <c r="BE1160" s="118"/>
      <c r="BF1160" s="118"/>
    </row>
    <row r="1161" spans="45:83" x14ac:dyDescent="0.3">
      <c r="AT1161" s="118" t="s">
        <v>505</v>
      </c>
      <c r="AZ1161" s="118"/>
      <c r="BA1161" s="118"/>
      <c r="BB1161" s="118"/>
      <c r="BC1161" s="118"/>
      <c r="BD1161" s="118"/>
      <c r="BE1161" s="118"/>
      <c r="BF1161" s="118"/>
    </row>
    <row r="1162" spans="45:83" x14ac:dyDescent="0.3">
      <c r="AT1162" s="118" t="s">
        <v>506</v>
      </c>
      <c r="AZ1162" s="118"/>
      <c r="BA1162" s="118"/>
      <c r="BB1162" s="118"/>
      <c r="BC1162" s="118"/>
      <c r="BD1162" s="118"/>
      <c r="BE1162" s="118"/>
      <c r="BF1162" s="118"/>
    </row>
    <row r="1163" spans="45:83" x14ac:dyDescent="0.3">
      <c r="AT1163" s="118" t="s">
        <v>507</v>
      </c>
      <c r="AZ1163" s="118"/>
      <c r="BA1163" s="118"/>
      <c r="BB1163" s="118"/>
      <c r="BC1163" s="118"/>
      <c r="BD1163" s="118"/>
      <c r="BE1163" s="118"/>
      <c r="BF1163" s="118"/>
    </row>
    <row r="1164" spans="45:83" x14ac:dyDescent="0.3">
      <c r="AT1164" s="118" t="s">
        <v>508</v>
      </c>
      <c r="AZ1164" s="118"/>
      <c r="BA1164" s="118"/>
      <c r="BB1164" s="118"/>
      <c r="BC1164" s="118"/>
      <c r="BD1164" s="118"/>
      <c r="BE1164" s="118"/>
      <c r="BF1164" s="118"/>
    </row>
    <row r="1165" spans="45:83" x14ac:dyDescent="0.3">
      <c r="AT1165" s="118" t="s">
        <v>509</v>
      </c>
      <c r="AU1165" s="118">
        <f>AW27 * AY34 * AY40 * AY44 * AY52 * AY58 * AY64 * AY70 * AY75 * AY81 * AY87 * AY93 * AY98 * AY106 * AY110 * AY116 * AY124 * AY130 * AY136 * AY141 * AY146 * AY151 * AY157 * AY164 * AY167 * AY171 * AY175 * AY180 * AY183 * AY187 * AY192 * AY196 * AY200 * AY204 * AY208 * AY212 * AY216</f>
        <v>1.7859349221372509E-13</v>
      </c>
      <c r="AZ1165" s="118"/>
      <c r="BA1165" s="118"/>
      <c r="BB1165" s="118"/>
      <c r="BC1165" s="118"/>
      <c r="BD1165" s="118"/>
      <c r="BE1165" s="118"/>
      <c r="BF1165" s="118"/>
    </row>
    <row r="1166" spans="45:83" x14ac:dyDescent="0.3">
      <c r="AZ1166" s="118"/>
      <c r="BA1166" s="118"/>
      <c r="BB1166" s="118"/>
      <c r="BC1166" s="118"/>
      <c r="BD1166" s="118"/>
      <c r="BE1166" s="118"/>
      <c r="BF1166" s="118"/>
    </row>
    <row r="1167" spans="45:83" x14ac:dyDescent="0.3">
      <c r="AS1167" s="125" t="s">
        <v>488</v>
      </c>
      <c r="AT1167" s="125"/>
      <c r="AU1167" s="118" t="s">
        <v>64</v>
      </c>
      <c r="AV1167" s="121" t="s">
        <v>43</v>
      </c>
      <c r="AW1167" s="121" t="s">
        <v>44</v>
      </c>
      <c r="AX1167" s="121" t="s">
        <v>45</v>
      </c>
      <c r="AY1167" s="121" t="s">
        <v>46</v>
      </c>
      <c r="AZ1167" s="121" t="s">
        <v>47</v>
      </c>
      <c r="BA1167" s="121" t="s">
        <v>48</v>
      </c>
      <c r="BB1167" s="121" t="s">
        <v>49</v>
      </c>
      <c r="BC1167" s="121" t="s">
        <v>50</v>
      </c>
      <c r="BD1167" s="121" t="s">
        <v>51</v>
      </c>
      <c r="BE1167" s="121" t="s">
        <v>52</v>
      </c>
      <c r="BF1167" s="121" t="s">
        <v>53</v>
      </c>
      <c r="BG1167" s="121" t="s">
        <v>54</v>
      </c>
      <c r="BH1167" s="121"/>
      <c r="BI1167" s="121"/>
      <c r="BJ1167" s="121"/>
      <c r="BK1167" s="121"/>
      <c r="BL1167" s="121"/>
      <c r="BM1167" s="121"/>
      <c r="BN1167" s="121"/>
      <c r="BO1167" s="121"/>
      <c r="BP1167" s="121"/>
      <c r="BQ1167" s="121"/>
      <c r="BR1167" s="121"/>
      <c r="BS1167" s="121"/>
      <c r="BT1167" s="121"/>
      <c r="BU1167" s="121"/>
      <c r="BV1167" s="121"/>
      <c r="BW1167" s="121"/>
      <c r="BX1167" s="121"/>
      <c r="BY1167" s="121"/>
      <c r="BZ1167" s="121"/>
      <c r="CA1167" s="121"/>
      <c r="CB1167" s="121"/>
      <c r="CC1167" s="121"/>
      <c r="CD1167" s="121"/>
      <c r="CE1167" s="121"/>
    </row>
    <row r="1168" spans="45:83" x14ac:dyDescent="0.3">
      <c r="AS1168" s="125"/>
      <c r="AT1168" s="125"/>
      <c r="AU1168" s="118">
        <v>6</v>
      </c>
      <c r="AV1168" s="118" t="s">
        <v>5</v>
      </c>
      <c r="AW1168" s="118" t="s">
        <v>5</v>
      </c>
      <c r="AX1168" s="118" t="s">
        <v>4</v>
      </c>
      <c r="AY1168" s="118" t="s">
        <v>5</v>
      </c>
      <c r="AZ1168" s="118" t="s">
        <v>5</v>
      </c>
      <c r="BA1168" s="118" t="s">
        <v>5</v>
      </c>
      <c r="BB1168" s="118" t="s">
        <v>5</v>
      </c>
      <c r="BC1168" s="118" t="s">
        <v>2</v>
      </c>
      <c r="BD1168" s="118" t="s">
        <v>3</v>
      </c>
      <c r="BE1168" s="118" t="s">
        <v>4</v>
      </c>
      <c r="BF1168" s="118" t="s">
        <v>3</v>
      </c>
      <c r="BG1168" s="118" t="s">
        <v>5</v>
      </c>
    </row>
    <row r="1169" spans="45:83" x14ac:dyDescent="0.3">
      <c r="AT1169" s="118" t="s">
        <v>504</v>
      </c>
      <c r="AU1169" s="118">
        <f>AW22*AT34*AT40*AT43*AT52*AT58*AT64*AT70*AT75*AT80*AT85*AT92*AT100*AT106*AT110*AT118*AT124*AT128*AT136*AT140*AT145*AT153*AT159*AT163*AT167*AT171*AT175*AT179*AT183*AT187*AT192*AT195*AT200*AT204*AT207*AT212*AT216</f>
        <v>0</v>
      </c>
      <c r="AZ1169" s="118"/>
      <c r="BA1169" s="118"/>
      <c r="BB1169" s="118"/>
      <c r="BC1169" s="118"/>
      <c r="BD1169" s="118"/>
      <c r="BE1169" s="118"/>
      <c r="BF1169" s="118"/>
    </row>
    <row r="1170" spans="45:83" x14ac:dyDescent="0.3">
      <c r="AT1170" s="118" t="s">
        <v>505</v>
      </c>
      <c r="AZ1170" s="118"/>
      <c r="BA1170" s="118"/>
      <c r="BB1170" s="118"/>
      <c r="BC1170" s="118"/>
      <c r="BD1170" s="118"/>
      <c r="BE1170" s="118"/>
      <c r="BF1170" s="118"/>
    </row>
    <row r="1171" spans="45:83" x14ac:dyDescent="0.3">
      <c r="AT1171" s="118" t="s">
        <v>506</v>
      </c>
      <c r="AZ1171" s="118"/>
      <c r="BA1171" s="118"/>
      <c r="BB1171" s="118"/>
      <c r="BC1171" s="118"/>
      <c r="BD1171" s="118"/>
      <c r="BE1171" s="118"/>
      <c r="BF1171" s="118"/>
    </row>
    <row r="1172" spans="45:83" x14ac:dyDescent="0.3">
      <c r="AT1172" s="118" t="s">
        <v>507</v>
      </c>
      <c r="AZ1172" s="118"/>
      <c r="BA1172" s="118"/>
      <c r="BB1172" s="118"/>
      <c r="BC1172" s="118"/>
      <c r="BD1172" s="118"/>
      <c r="BE1172" s="118"/>
      <c r="BF1172" s="118"/>
    </row>
    <row r="1173" spans="45:83" x14ac:dyDescent="0.3">
      <c r="AT1173" s="118" t="s">
        <v>508</v>
      </c>
      <c r="AZ1173" s="118"/>
      <c r="BA1173" s="118"/>
      <c r="BB1173" s="118"/>
      <c r="BC1173" s="118"/>
      <c r="BD1173" s="118"/>
      <c r="BE1173" s="118"/>
      <c r="BF1173" s="118"/>
    </row>
    <row r="1174" spans="45:83" x14ac:dyDescent="0.3">
      <c r="AT1174" s="118" t="s">
        <v>509</v>
      </c>
      <c r="AU1174" s="118">
        <f>AW27 * AY34 * AY40 * AY43 * AY52 * AY58 * AY64 * AY70 * AY75 * AY80 * AY85 * AY92 * AY100 * AY106 * AY110 * AY118 * AY124 * AY128 * AY136 * AY140 * AY145 * AY153 * AY159 * AY164 * AY167 * AY171 * AY175 * AY179 * AY183 * AY187 * AY192 * AY195 * AY200 * AY204 * AY207 * AY212 * AY216</f>
        <v>2.9043588077764822E-9</v>
      </c>
      <c r="AZ1174" s="118"/>
      <c r="BA1174" s="118"/>
      <c r="BB1174" s="118"/>
      <c r="BC1174" s="118"/>
      <c r="BD1174" s="118"/>
      <c r="BE1174" s="118"/>
      <c r="BF1174" s="118"/>
    </row>
    <row r="1175" spans="45:83" x14ac:dyDescent="0.3">
      <c r="AZ1175" s="118"/>
      <c r="BA1175" s="118"/>
      <c r="BB1175" s="118"/>
      <c r="BC1175" s="118"/>
      <c r="BD1175" s="118"/>
      <c r="BE1175" s="118"/>
      <c r="BF1175" s="118"/>
    </row>
    <row r="1176" spans="45:83" x14ac:dyDescent="0.3">
      <c r="AS1176" s="125" t="s">
        <v>457</v>
      </c>
      <c r="AT1176" s="125"/>
      <c r="AU1176" s="118" t="s">
        <v>64</v>
      </c>
      <c r="AV1176" s="121" t="s">
        <v>43</v>
      </c>
      <c r="AW1176" s="121" t="s">
        <v>44</v>
      </c>
      <c r="AX1176" s="121" t="s">
        <v>45</v>
      </c>
      <c r="AY1176" s="121" t="s">
        <v>46</v>
      </c>
      <c r="AZ1176" s="121" t="s">
        <v>47</v>
      </c>
      <c r="BA1176" s="121" t="s">
        <v>48</v>
      </c>
      <c r="BB1176" s="121" t="s">
        <v>49</v>
      </c>
      <c r="BC1176" s="121" t="s">
        <v>50</v>
      </c>
      <c r="BD1176" s="121" t="s">
        <v>51</v>
      </c>
      <c r="BE1176" s="121" t="s">
        <v>52</v>
      </c>
      <c r="BF1176" s="121" t="s">
        <v>53</v>
      </c>
      <c r="BG1176" s="121" t="s">
        <v>54</v>
      </c>
      <c r="BH1176" s="121"/>
      <c r="BI1176" s="121"/>
      <c r="BJ1176" s="121"/>
      <c r="BK1176" s="121"/>
      <c r="BL1176" s="121"/>
      <c r="BM1176" s="121"/>
      <c r="BN1176" s="121"/>
      <c r="BO1176" s="121"/>
      <c r="BP1176" s="121"/>
      <c r="BQ1176" s="121"/>
      <c r="BR1176" s="121"/>
      <c r="BS1176" s="121"/>
      <c r="BT1176" s="121"/>
      <c r="BU1176" s="121"/>
      <c r="BV1176" s="121"/>
      <c r="BW1176" s="121"/>
      <c r="BX1176" s="121"/>
      <c r="BY1176" s="121"/>
      <c r="BZ1176" s="121"/>
      <c r="CA1176" s="121"/>
      <c r="CB1176" s="121"/>
      <c r="CC1176" s="121"/>
      <c r="CD1176" s="121"/>
      <c r="CE1176" s="121"/>
    </row>
    <row r="1177" spans="45:83" x14ac:dyDescent="0.3">
      <c r="AS1177" s="125"/>
      <c r="AT1177" s="125"/>
      <c r="AU1177" s="118">
        <v>1</v>
      </c>
      <c r="AV1177" s="118" t="s">
        <v>4</v>
      </c>
      <c r="AW1177" s="118" t="s">
        <v>2</v>
      </c>
      <c r="AX1177" s="118" t="s">
        <v>3</v>
      </c>
      <c r="AY1177" s="118" t="s">
        <v>3</v>
      </c>
      <c r="AZ1177" s="118" t="s">
        <v>5</v>
      </c>
      <c r="BA1177" s="118" t="s">
        <v>5</v>
      </c>
      <c r="BB1177" s="118" t="s">
        <v>5</v>
      </c>
      <c r="BC1177" s="118" t="s">
        <v>2</v>
      </c>
      <c r="BD1177" s="118" t="s">
        <v>3</v>
      </c>
      <c r="BE1177" s="118" t="s">
        <v>3</v>
      </c>
      <c r="BF1177" s="118" t="s">
        <v>4</v>
      </c>
      <c r="BG1177" s="118" t="s">
        <v>4</v>
      </c>
    </row>
    <row r="1178" spans="45:83" x14ac:dyDescent="0.3">
      <c r="AT1178" s="118" t="s">
        <v>504</v>
      </c>
      <c r="AU1178" s="118">
        <f>AW22*AT31*AT39*AT44*AT50*AT58*AT64*AT70*AT75*AT80*AT86*AT91*AT97*AT106*AT110*AT118*AT124*AT130*AT136*AT139*AT145*AT151*AT157*AT164*AT168*AT172*AT175*AT179*AT183*AT187*AT192*AT195*AT200*AT203*AT207*AT211*AT216</f>
        <v>0</v>
      </c>
      <c r="AZ1178" s="118"/>
      <c r="BA1178" s="118"/>
      <c r="BB1178" s="118"/>
      <c r="BC1178" s="118"/>
      <c r="BD1178" s="118"/>
      <c r="BE1178" s="118"/>
      <c r="BF1178" s="118"/>
    </row>
    <row r="1179" spans="45:83" x14ac:dyDescent="0.3">
      <c r="AT1179" s="118" t="s">
        <v>505</v>
      </c>
      <c r="AZ1179" s="118"/>
      <c r="BA1179" s="118"/>
      <c r="BB1179" s="118"/>
      <c r="BC1179" s="118"/>
      <c r="BD1179" s="118"/>
      <c r="BE1179" s="118"/>
      <c r="BF1179" s="118"/>
    </row>
    <row r="1180" spans="45:83" x14ac:dyDescent="0.3">
      <c r="AT1180" s="118" t="s">
        <v>506</v>
      </c>
      <c r="AZ1180" s="118"/>
      <c r="BA1180" s="118"/>
      <c r="BB1180" s="118"/>
      <c r="BC1180" s="118"/>
      <c r="BD1180" s="118"/>
      <c r="BE1180" s="118"/>
      <c r="BF1180" s="118"/>
    </row>
    <row r="1181" spans="45:83" x14ac:dyDescent="0.3">
      <c r="AT1181" s="118" t="s">
        <v>507</v>
      </c>
      <c r="AZ1181" s="118"/>
      <c r="BA1181" s="118"/>
      <c r="BB1181" s="118"/>
      <c r="BC1181" s="118"/>
      <c r="BD1181" s="118"/>
      <c r="BE1181" s="118"/>
      <c r="BF1181" s="118"/>
    </row>
    <row r="1182" spans="45:83" x14ac:dyDescent="0.3">
      <c r="AT1182" s="118" t="s">
        <v>508</v>
      </c>
      <c r="AZ1182" s="118"/>
      <c r="BA1182" s="118"/>
      <c r="BB1182" s="118"/>
      <c r="BC1182" s="118"/>
      <c r="BD1182" s="118"/>
      <c r="BE1182" s="118"/>
      <c r="BF1182" s="118"/>
    </row>
    <row r="1183" spans="45:83" x14ac:dyDescent="0.3">
      <c r="AT1183" s="118" t="s">
        <v>509</v>
      </c>
      <c r="AZ1183" s="118"/>
      <c r="BA1183" s="118"/>
      <c r="BB1183" s="118"/>
      <c r="BC1183" s="118"/>
      <c r="BD1183" s="118"/>
      <c r="BE1183" s="118"/>
      <c r="BF1183" s="118"/>
    </row>
    <row r="1184" spans="45:83" x14ac:dyDescent="0.3">
      <c r="AZ1184" s="118"/>
      <c r="BA1184" s="118"/>
      <c r="BB1184" s="118"/>
      <c r="BC1184" s="118"/>
      <c r="BD1184" s="118"/>
      <c r="BE1184" s="118"/>
      <c r="BF1184" s="118"/>
    </row>
    <row r="1185" spans="45:83" x14ac:dyDescent="0.3">
      <c r="AS1185" s="125" t="s">
        <v>462</v>
      </c>
      <c r="AT1185" s="125"/>
      <c r="AU1185" s="118" t="s">
        <v>64</v>
      </c>
      <c r="AV1185" s="121" t="s">
        <v>43</v>
      </c>
      <c r="AW1185" s="121" t="s">
        <v>44</v>
      </c>
      <c r="AX1185" s="121" t="s">
        <v>45</v>
      </c>
      <c r="AY1185" s="121" t="s">
        <v>46</v>
      </c>
      <c r="AZ1185" s="121" t="s">
        <v>47</v>
      </c>
      <c r="BA1185" s="121" t="s">
        <v>48</v>
      </c>
      <c r="BB1185" s="121" t="s">
        <v>49</v>
      </c>
      <c r="BC1185" s="121" t="s">
        <v>50</v>
      </c>
      <c r="BD1185" s="121" t="s">
        <v>51</v>
      </c>
      <c r="BE1185" s="121" t="s">
        <v>52</v>
      </c>
      <c r="BF1185" s="121" t="s">
        <v>53</v>
      </c>
      <c r="BG1185" s="121" t="s">
        <v>54</v>
      </c>
      <c r="BH1185" s="121"/>
      <c r="BI1185" s="121"/>
      <c r="BJ1185" s="121"/>
      <c r="BK1185" s="121"/>
      <c r="BL1185" s="121"/>
      <c r="BM1185" s="121"/>
      <c r="BN1185" s="121"/>
      <c r="BO1185" s="121"/>
      <c r="BP1185" s="121"/>
      <c r="BQ1185" s="121"/>
      <c r="BR1185" s="121"/>
      <c r="BS1185" s="121"/>
      <c r="BT1185" s="121"/>
      <c r="BU1185" s="121"/>
      <c r="BV1185" s="121"/>
      <c r="BW1185" s="121"/>
      <c r="BX1185" s="121"/>
      <c r="BY1185" s="121"/>
      <c r="BZ1185" s="121"/>
      <c r="CA1185" s="121"/>
      <c r="CB1185" s="121"/>
      <c r="CC1185" s="121"/>
      <c r="CD1185" s="121"/>
      <c r="CE1185" s="121"/>
    </row>
    <row r="1186" spans="45:83" x14ac:dyDescent="0.3">
      <c r="AS1186" s="125"/>
      <c r="AT1186" s="125"/>
      <c r="AU1186" s="118">
        <v>2</v>
      </c>
      <c r="AV1186" s="118" t="s">
        <v>5</v>
      </c>
      <c r="AW1186" s="118" t="s">
        <v>3</v>
      </c>
      <c r="AX1186" s="118" t="s">
        <v>5</v>
      </c>
      <c r="AY1186" s="118" t="s">
        <v>5</v>
      </c>
      <c r="AZ1186" s="118" t="s">
        <v>5</v>
      </c>
      <c r="BA1186" s="118" t="s">
        <v>5</v>
      </c>
      <c r="BB1186" s="118" t="s">
        <v>5</v>
      </c>
      <c r="BC1186" s="118" t="s">
        <v>2</v>
      </c>
      <c r="BD1186" s="118" t="s">
        <v>3</v>
      </c>
      <c r="BE1186" s="118" t="s">
        <v>3</v>
      </c>
      <c r="BF1186" s="118" t="s">
        <v>3</v>
      </c>
      <c r="BG1186" s="118" t="s">
        <v>5</v>
      </c>
    </row>
    <row r="1187" spans="45:83" x14ac:dyDescent="0.3">
      <c r="AT1187" s="118" t="s">
        <v>504</v>
      </c>
      <c r="AU1187" s="118">
        <f>AW22*AT34*AT38*AT46*AT52*AT58*AT64*AT70*AT75*AT80*AT86*AT92*AT100*AT106*AT110*AT118*AT124*AT130*AT136*AT142*AT146*AT151*AT157*AT164*AT168*AT172*AT175*AT179*AT183*AT187*AT192*AT195*AT199*AT204*AT207*AT211*AT216</f>
        <v>0</v>
      </c>
      <c r="AZ1187" s="118"/>
      <c r="BA1187" s="118"/>
      <c r="BB1187" s="118"/>
      <c r="BC1187" s="118"/>
      <c r="BD1187" s="118"/>
      <c r="BE1187" s="118"/>
      <c r="BF1187" s="118"/>
    </row>
    <row r="1188" spans="45:83" x14ac:dyDescent="0.3">
      <c r="AT1188" s="118" t="s">
        <v>505</v>
      </c>
      <c r="AZ1188" s="118"/>
      <c r="BA1188" s="118"/>
      <c r="BB1188" s="118"/>
      <c r="BC1188" s="118"/>
      <c r="BD1188" s="118"/>
      <c r="BE1188" s="118"/>
      <c r="BF1188" s="118"/>
    </row>
    <row r="1189" spans="45:83" x14ac:dyDescent="0.3">
      <c r="AT1189" s="118" t="s">
        <v>506</v>
      </c>
      <c r="AZ1189" s="118"/>
      <c r="BA1189" s="118"/>
      <c r="BB1189" s="118"/>
      <c r="BC1189" s="118"/>
      <c r="BD1189" s="118"/>
      <c r="BE1189" s="118"/>
      <c r="BF1189" s="118"/>
    </row>
    <row r="1190" spans="45:83" x14ac:dyDescent="0.3">
      <c r="AT1190" s="118" t="s">
        <v>507</v>
      </c>
      <c r="AZ1190" s="118"/>
      <c r="BA1190" s="118"/>
      <c r="BB1190" s="118"/>
      <c r="BC1190" s="118"/>
      <c r="BD1190" s="118"/>
      <c r="BE1190" s="118"/>
      <c r="BF1190" s="118"/>
    </row>
    <row r="1191" spans="45:83" x14ac:dyDescent="0.3">
      <c r="AT1191" s="118" t="s">
        <v>508</v>
      </c>
      <c r="AZ1191" s="118"/>
      <c r="BA1191" s="118"/>
      <c r="BB1191" s="118"/>
      <c r="BC1191" s="118"/>
      <c r="BD1191" s="118"/>
      <c r="BE1191" s="118"/>
      <c r="BF1191" s="118"/>
    </row>
    <row r="1192" spans="45:83" x14ac:dyDescent="0.3">
      <c r="AT1192" s="118" t="s">
        <v>509</v>
      </c>
      <c r="AZ1192" s="118"/>
      <c r="BA1192" s="118"/>
      <c r="BB1192" s="118"/>
      <c r="BC1192" s="118"/>
      <c r="BD1192" s="118"/>
      <c r="BE1192" s="118"/>
      <c r="BF1192" s="118"/>
    </row>
    <row r="1193" spans="45:83" x14ac:dyDescent="0.3">
      <c r="AZ1193" s="118"/>
      <c r="BA1193" s="118"/>
      <c r="BB1193" s="118"/>
      <c r="BC1193" s="118"/>
      <c r="BD1193" s="118"/>
      <c r="BE1193" s="118"/>
      <c r="BF1193" s="118"/>
    </row>
    <row r="1194" spans="45:83" x14ac:dyDescent="0.3">
      <c r="AS1194" s="125" t="s">
        <v>466</v>
      </c>
      <c r="AT1194" s="125"/>
      <c r="AU1194" s="118" t="s">
        <v>64</v>
      </c>
      <c r="AV1194" s="121" t="s">
        <v>43</v>
      </c>
      <c r="AW1194" s="121" t="s">
        <v>44</v>
      </c>
      <c r="AX1194" s="121" t="s">
        <v>45</v>
      </c>
      <c r="AY1194" s="121" t="s">
        <v>46</v>
      </c>
      <c r="AZ1194" s="121" t="s">
        <v>47</v>
      </c>
      <c r="BA1194" s="121" t="s">
        <v>48</v>
      </c>
      <c r="BB1194" s="121" t="s">
        <v>49</v>
      </c>
      <c r="BC1194" s="121" t="s">
        <v>50</v>
      </c>
      <c r="BD1194" s="121" t="s">
        <v>51</v>
      </c>
      <c r="BE1194" s="121" t="s">
        <v>52</v>
      </c>
      <c r="BF1194" s="121" t="s">
        <v>53</v>
      </c>
      <c r="BG1194" s="121" t="s">
        <v>54</v>
      </c>
      <c r="BH1194" s="121"/>
      <c r="BI1194" s="121"/>
      <c r="BJ1194" s="121"/>
      <c r="BK1194" s="121"/>
      <c r="BL1194" s="121"/>
      <c r="BM1194" s="121"/>
      <c r="BN1194" s="121"/>
      <c r="BO1194" s="121"/>
      <c r="BP1194" s="121"/>
      <c r="BQ1194" s="121"/>
      <c r="BR1194" s="121"/>
      <c r="BS1194" s="121"/>
      <c r="BT1194" s="121"/>
      <c r="BU1194" s="121"/>
      <c r="BV1194" s="121"/>
      <c r="BW1194" s="121"/>
      <c r="BX1194" s="121"/>
      <c r="BY1194" s="121"/>
      <c r="BZ1194" s="121"/>
      <c r="CA1194" s="121"/>
      <c r="CB1194" s="121"/>
      <c r="CC1194" s="121"/>
      <c r="CD1194" s="121"/>
      <c r="CE1194" s="121"/>
    </row>
    <row r="1195" spans="45:83" x14ac:dyDescent="0.3">
      <c r="AS1195" s="125"/>
      <c r="AT1195" s="125"/>
      <c r="AU1195" s="118">
        <v>3</v>
      </c>
      <c r="AV1195" s="118" t="s">
        <v>5</v>
      </c>
      <c r="AW1195" s="118" t="s">
        <v>3</v>
      </c>
      <c r="AX1195" s="118" t="s">
        <v>3</v>
      </c>
      <c r="AY1195" s="118" t="s">
        <v>5</v>
      </c>
      <c r="AZ1195" s="118" t="s">
        <v>5</v>
      </c>
      <c r="BA1195" s="118" t="s">
        <v>5</v>
      </c>
      <c r="BB1195" s="118" t="s">
        <v>5</v>
      </c>
      <c r="BC1195" s="118" t="s">
        <v>2</v>
      </c>
      <c r="BD1195" s="118" t="s">
        <v>3</v>
      </c>
      <c r="BE1195" s="118" t="s">
        <v>3</v>
      </c>
      <c r="BF1195" s="118" t="s">
        <v>4</v>
      </c>
      <c r="BG1195" s="118" t="s">
        <v>5</v>
      </c>
    </row>
    <row r="1196" spans="45:83" x14ac:dyDescent="0.3">
      <c r="AT1196" s="118" t="s">
        <v>504</v>
      </c>
      <c r="AU1196" s="118">
        <f>AW22*AT34*AT38*AT44*AT52*AT58*AT64*AT70*AT75*AT80*AT86*AT91*AT100*AT105*AT110*AT118*AT124*AT130*AT136*AT139*AT145*AT151*AT159*AT164*AT167*AT171*AT175*AT179*AT183*AT187*AT192*AT195*AT200*AT203*AT207*AT211*AT215</f>
        <v>0</v>
      </c>
      <c r="AZ1196" s="118"/>
      <c r="BA1196" s="118"/>
      <c r="BB1196" s="118"/>
      <c r="BC1196" s="118"/>
      <c r="BD1196" s="118"/>
      <c r="BE1196" s="118"/>
      <c r="BF1196" s="118"/>
    </row>
    <row r="1197" spans="45:83" x14ac:dyDescent="0.3">
      <c r="AT1197" s="118" t="s">
        <v>505</v>
      </c>
      <c r="AZ1197" s="118"/>
      <c r="BA1197" s="118"/>
      <c r="BB1197" s="118"/>
      <c r="BC1197" s="118"/>
      <c r="BD1197" s="118"/>
      <c r="BE1197" s="118"/>
      <c r="BF1197" s="118"/>
    </row>
    <row r="1198" spans="45:83" x14ac:dyDescent="0.3">
      <c r="AT1198" s="118" t="s">
        <v>506</v>
      </c>
      <c r="AZ1198" s="118"/>
      <c r="BA1198" s="118"/>
      <c r="BB1198" s="118"/>
      <c r="BC1198" s="118"/>
      <c r="BD1198" s="118"/>
      <c r="BE1198" s="118"/>
      <c r="BF1198" s="118"/>
    </row>
    <row r="1199" spans="45:83" x14ac:dyDescent="0.3">
      <c r="AT1199" s="118" t="s">
        <v>507</v>
      </c>
      <c r="AZ1199" s="118"/>
      <c r="BA1199" s="118"/>
      <c r="BB1199" s="118"/>
      <c r="BC1199" s="118"/>
      <c r="BD1199" s="118"/>
      <c r="BE1199" s="118"/>
      <c r="BF1199" s="118"/>
    </row>
    <row r="1200" spans="45:83" x14ac:dyDescent="0.3">
      <c r="AT1200" s="118" t="s">
        <v>508</v>
      </c>
      <c r="AZ1200" s="118"/>
      <c r="BA1200" s="118"/>
      <c r="BB1200" s="118"/>
      <c r="BC1200" s="118"/>
      <c r="BD1200" s="118"/>
      <c r="BE1200" s="118"/>
      <c r="BF1200" s="118"/>
    </row>
    <row r="1201" spans="45:83" x14ac:dyDescent="0.3">
      <c r="AT1201" s="118" t="s">
        <v>509</v>
      </c>
      <c r="AZ1201" s="118"/>
      <c r="BA1201" s="118"/>
      <c r="BB1201" s="118"/>
      <c r="BC1201" s="118"/>
      <c r="BD1201" s="118"/>
      <c r="BE1201" s="118"/>
      <c r="BF1201" s="118"/>
    </row>
    <row r="1202" spans="45:83" x14ac:dyDescent="0.3">
      <c r="AZ1202" s="118"/>
      <c r="BA1202" s="118"/>
      <c r="BB1202" s="118"/>
      <c r="BC1202" s="118"/>
      <c r="BD1202" s="118"/>
      <c r="BE1202" s="118"/>
      <c r="BF1202" s="118"/>
    </row>
    <row r="1203" spans="45:83" x14ac:dyDescent="0.3">
      <c r="AS1203" s="125" t="s">
        <v>517</v>
      </c>
      <c r="AT1203" s="125"/>
      <c r="AU1203" s="118" t="s">
        <v>64</v>
      </c>
      <c r="AV1203" s="121" t="s">
        <v>43</v>
      </c>
      <c r="AW1203" s="121" t="s">
        <v>44</v>
      </c>
      <c r="AX1203" s="121" t="s">
        <v>45</v>
      </c>
      <c r="AY1203" s="121" t="s">
        <v>46</v>
      </c>
      <c r="AZ1203" s="121" t="s">
        <v>47</v>
      </c>
      <c r="BA1203" s="121" t="s">
        <v>48</v>
      </c>
      <c r="BB1203" s="121" t="s">
        <v>49</v>
      </c>
      <c r="BC1203" s="121" t="s">
        <v>50</v>
      </c>
      <c r="BD1203" s="121" t="s">
        <v>51</v>
      </c>
      <c r="BE1203" s="121" t="s">
        <v>52</v>
      </c>
      <c r="BF1203" s="121" t="s">
        <v>53</v>
      </c>
      <c r="BG1203" s="121" t="s">
        <v>54</v>
      </c>
      <c r="BH1203" s="121"/>
      <c r="BI1203" s="121"/>
      <c r="BJ1203" s="121"/>
      <c r="BK1203" s="121"/>
      <c r="BL1203" s="121"/>
      <c r="BM1203" s="121"/>
      <c r="BN1203" s="121"/>
      <c r="BO1203" s="121"/>
      <c r="BP1203" s="121"/>
      <c r="BQ1203" s="121"/>
      <c r="BR1203" s="121"/>
      <c r="BS1203" s="121"/>
      <c r="BT1203" s="121"/>
      <c r="BU1203" s="121"/>
      <c r="BV1203" s="121"/>
      <c r="BW1203" s="121"/>
      <c r="BX1203" s="121"/>
      <c r="BY1203" s="121"/>
      <c r="BZ1203" s="121"/>
      <c r="CA1203" s="121"/>
      <c r="CB1203" s="121"/>
      <c r="CC1203" s="121"/>
      <c r="CD1203" s="121"/>
      <c r="CE1203" s="121"/>
    </row>
    <row r="1204" spans="45:83" x14ac:dyDescent="0.3">
      <c r="AS1204" s="125"/>
      <c r="AT1204" s="125"/>
      <c r="AU1204" s="118">
        <v>6</v>
      </c>
      <c r="AV1204" s="118" t="s">
        <v>5</v>
      </c>
      <c r="AW1204" s="118" t="s">
        <v>5</v>
      </c>
      <c r="AX1204" s="118" t="s">
        <v>3</v>
      </c>
      <c r="AY1204" s="118" t="s">
        <v>5</v>
      </c>
      <c r="AZ1204" s="118" t="s">
        <v>5</v>
      </c>
      <c r="BA1204" s="118" t="s">
        <v>5</v>
      </c>
      <c r="BB1204" s="118" t="s">
        <v>5</v>
      </c>
      <c r="BC1204" s="118" t="s">
        <v>2</v>
      </c>
      <c r="BD1204" s="118" t="s">
        <v>2</v>
      </c>
      <c r="BE1204" s="118" t="s">
        <v>4</v>
      </c>
      <c r="BF1204" s="118" t="s">
        <v>4</v>
      </c>
      <c r="BG1204" s="118" t="s">
        <v>4</v>
      </c>
    </row>
    <row r="1205" spans="45:83" x14ac:dyDescent="0.3">
      <c r="AT1205" s="118" t="s">
        <v>504</v>
      </c>
      <c r="AU1205" s="118">
        <f>AW22*AT34*AT40*AT44*AT52*AT58*AT64*AT70*AT75*AT81*AT85*AT91*AT97*AT106*AT109*AT118*AT124*AT130*AT136*AT140*AT148*AT153*AT157*AT164*AT167*AT171*AT175*AT179*AT183*AT187*AT192*AT195*AT200*AT204*AT207*AT211*AT216</f>
        <v>0</v>
      </c>
      <c r="AZ1205" s="118"/>
      <c r="BA1205" s="118"/>
      <c r="BB1205" s="118"/>
      <c r="BC1205" s="118"/>
      <c r="BD1205" s="118"/>
      <c r="BE1205" s="118"/>
      <c r="BF1205" s="118"/>
    </row>
    <row r="1206" spans="45:83" x14ac:dyDescent="0.3">
      <c r="AT1206" s="118" t="s">
        <v>505</v>
      </c>
      <c r="AZ1206" s="118"/>
      <c r="BA1206" s="118"/>
      <c r="BB1206" s="118"/>
      <c r="BC1206" s="118"/>
      <c r="BD1206" s="118"/>
      <c r="BE1206" s="118"/>
      <c r="BF1206" s="118"/>
    </row>
    <row r="1207" spans="45:83" x14ac:dyDescent="0.3">
      <c r="AT1207" s="118" t="s">
        <v>506</v>
      </c>
      <c r="AZ1207" s="118"/>
      <c r="BA1207" s="118"/>
      <c r="BB1207" s="118"/>
      <c r="BC1207" s="118"/>
      <c r="BD1207" s="118"/>
      <c r="BE1207" s="118"/>
      <c r="BF1207" s="118"/>
    </row>
    <row r="1208" spans="45:83" x14ac:dyDescent="0.3">
      <c r="AT1208" s="118" t="s">
        <v>507</v>
      </c>
      <c r="AZ1208" s="118"/>
      <c r="BA1208" s="118"/>
      <c r="BB1208" s="118"/>
      <c r="BC1208" s="118"/>
      <c r="BD1208" s="118"/>
      <c r="BE1208" s="118"/>
      <c r="BF1208" s="118"/>
    </row>
    <row r="1209" spans="45:83" x14ac:dyDescent="0.3">
      <c r="AT1209" s="118" t="s">
        <v>508</v>
      </c>
      <c r="AZ1209" s="118"/>
      <c r="BA1209" s="118"/>
      <c r="BB1209" s="118"/>
      <c r="BC1209" s="118"/>
      <c r="BD1209" s="118"/>
      <c r="BE1209" s="118"/>
      <c r="BF1209" s="118"/>
    </row>
    <row r="1210" spans="45:83" x14ac:dyDescent="0.3">
      <c r="AT1210" s="118" t="s">
        <v>509</v>
      </c>
      <c r="AZ1210" s="118"/>
      <c r="BA1210" s="118"/>
      <c r="BB1210" s="118"/>
      <c r="BC1210" s="118"/>
      <c r="BD1210" s="118"/>
      <c r="BE1210" s="118"/>
      <c r="BF1210" s="118"/>
    </row>
    <row r="1211" spans="45:83" x14ac:dyDescent="0.3">
      <c r="AZ1211" s="118"/>
      <c r="BA1211" s="118"/>
      <c r="BB1211" s="118"/>
      <c r="BC1211" s="118"/>
      <c r="BD1211" s="118"/>
      <c r="BE1211" s="118"/>
      <c r="BF1211" s="118"/>
    </row>
    <row r="1212" spans="45:83" x14ac:dyDescent="0.3">
      <c r="AS1212" s="125" t="s">
        <v>473</v>
      </c>
      <c r="AT1212" s="125"/>
      <c r="AU1212" s="118" t="s">
        <v>64</v>
      </c>
      <c r="AV1212" s="121" t="s">
        <v>43</v>
      </c>
      <c r="AW1212" s="121" t="s">
        <v>44</v>
      </c>
      <c r="AX1212" s="121" t="s">
        <v>45</v>
      </c>
      <c r="AY1212" s="121" t="s">
        <v>46</v>
      </c>
      <c r="AZ1212" s="121" t="s">
        <v>47</v>
      </c>
      <c r="BA1212" s="121" t="s">
        <v>48</v>
      </c>
      <c r="BB1212" s="121" t="s">
        <v>49</v>
      </c>
      <c r="BC1212" s="121" t="s">
        <v>50</v>
      </c>
      <c r="BD1212" s="121" t="s">
        <v>51</v>
      </c>
      <c r="BE1212" s="121" t="s">
        <v>52</v>
      </c>
      <c r="BF1212" s="121" t="s">
        <v>53</v>
      </c>
      <c r="BG1212" s="121" t="s">
        <v>54</v>
      </c>
      <c r="BH1212" s="121"/>
      <c r="BI1212" s="121"/>
      <c r="BJ1212" s="121"/>
      <c r="BK1212" s="121"/>
      <c r="BL1212" s="121"/>
      <c r="BM1212" s="121"/>
      <c r="BN1212" s="121"/>
      <c r="BO1212" s="121"/>
      <c r="BP1212" s="121"/>
      <c r="BQ1212" s="121"/>
      <c r="BR1212" s="121"/>
      <c r="BS1212" s="121"/>
      <c r="BT1212" s="121"/>
      <c r="BU1212" s="121"/>
      <c r="BV1212" s="121"/>
      <c r="BW1212" s="121"/>
      <c r="BX1212" s="121"/>
      <c r="BY1212" s="121"/>
      <c r="BZ1212" s="121"/>
      <c r="CA1212" s="121"/>
      <c r="CB1212" s="121"/>
      <c r="CC1212" s="121"/>
      <c r="CD1212" s="121"/>
      <c r="CE1212" s="121"/>
    </row>
    <row r="1213" spans="45:83" x14ac:dyDescent="0.3">
      <c r="AS1213" s="125"/>
      <c r="AT1213" s="125"/>
      <c r="AU1213" s="118">
        <v>5</v>
      </c>
      <c r="AV1213" s="118" t="s">
        <v>5</v>
      </c>
      <c r="AW1213" s="118" t="s">
        <v>3</v>
      </c>
      <c r="AX1213" s="118" t="s">
        <v>5</v>
      </c>
      <c r="AY1213" s="118" t="s">
        <v>5</v>
      </c>
      <c r="AZ1213" s="118" t="s">
        <v>5</v>
      </c>
      <c r="BA1213" s="118" t="s">
        <v>5</v>
      </c>
      <c r="BB1213" s="118" t="s">
        <v>5</v>
      </c>
      <c r="BC1213" s="118" t="s">
        <v>2</v>
      </c>
      <c r="BD1213" s="118" t="s">
        <v>3</v>
      </c>
      <c r="BE1213" s="118" t="s">
        <v>3</v>
      </c>
      <c r="BF1213" s="118" t="s">
        <v>5</v>
      </c>
      <c r="BG1213" s="118" t="s">
        <v>2</v>
      </c>
    </row>
    <row r="1214" spans="45:83" x14ac:dyDescent="0.3">
      <c r="AT1214" s="118" t="s">
        <v>504</v>
      </c>
      <c r="AU1214" s="118">
        <f>AW22*AT34*AT38*AT46*AT52*AT58*AT64*AT70*AT75*AT80*AT86*AT94*AT99*AT106*AT111*AT117*AT124*AT130*AT136*AT140*AT146*AT151*AT157*AT164*AT167*AT171*AT175*AT179*AT183*AT188*AT192*AT195*AT200*AT203*AT207*AT212*AT216</f>
        <v>0</v>
      </c>
      <c r="AZ1214" s="118"/>
      <c r="BA1214" s="118"/>
      <c r="BB1214" s="118"/>
      <c r="BC1214" s="118"/>
      <c r="BD1214" s="118"/>
      <c r="BE1214" s="118"/>
      <c r="BF1214" s="118"/>
    </row>
    <row r="1215" spans="45:83" x14ac:dyDescent="0.3">
      <c r="AT1215" s="118" t="s">
        <v>505</v>
      </c>
      <c r="AZ1215" s="118"/>
      <c r="BA1215" s="118"/>
      <c r="BB1215" s="118"/>
      <c r="BC1215" s="118"/>
      <c r="BD1215" s="118"/>
      <c r="BE1215" s="118"/>
      <c r="BF1215" s="118"/>
    </row>
    <row r="1216" spans="45:83" x14ac:dyDescent="0.3">
      <c r="AT1216" s="118" t="s">
        <v>506</v>
      </c>
      <c r="AZ1216" s="118"/>
      <c r="BA1216" s="118"/>
      <c r="BB1216" s="118"/>
      <c r="BC1216" s="118"/>
      <c r="BD1216" s="118"/>
      <c r="BE1216" s="118"/>
      <c r="BF1216" s="118"/>
    </row>
    <row r="1217" spans="45:83" x14ac:dyDescent="0.3">
      <c r="AT1217" s="118" t="s">
        <v>507</v>
      </c>
      <c r="AZ1217" s="118"/>
      <c r="BA1217" s="118"/>
      <c r="BB1217" s="118"/>
      <c r="BC1217" s="118"/>
      <c r="BD1217" s="118"/>
      <c r="BE1217" s="118"/>
      <c r="BF1217" s="118"/>
    </row>
    <row r="1218" spans="45:83" x14ac:dyDescent="0.3">
      <c r="AT1218" s="118" t="s">
        <v>508</v>
      </c>
      <c r="AZ1218" s="118"/>
      <c r="BA1218" s="118"/>
      <c r="BB1218" s="118"/>
      <c r="BC1218" s="118"/>
      <c r="BD1218" s="118"/>
      <c r="BE1218" s="118"/>
      <c r="BF1218" s="118"/>
    </row>
    <row r="1219" spans="45:83" x14ac:dyDescent="0.3">
      <c r="AT1219" s="118" t="s">
        <v>509</v>
      </c>
      <c r="AZ1219" s="118"/>
      <c r="BA1219" s="118"/>
      <c r="BB1219" s="118"/>
      <c r="BC1219" s="118"/>
      <c r="BD1219" s="118"/>
      <c r="BE1219" s="118"/>
      <c r="BF1219" s="118"/>
    </row>
    <row r="1220" spans="45:83" x14ac:dyDescent="0.3">
      <c r="AZ1220" s="118"/>
      <c r="BA1220" s="118"/>
      <c r="BB1220" s="118"/>
      <c r="BC1220" s="118"/>
      <c r="BD1220" s="118"/>
      <c r="BE1220" s="118"/>
      <c r="BF1220" s="118"/>
    </row>
    <row r="1221" spans="45:83" x14ac:dyDescent="0.3">
      <c r="AS1221" s="125" t="s">
        <v>470</v>
      </c>
      <c r="AT1221" s="125"/>
      <c r="AU1221" s="118" t="s">
        <v>64</v>
      </c>
      <c r="AV1221" s="121" t="s">
        <v>43</v>
      </c>
      <c r="AW1221" s="121" t="s">
        <v>44</v>
      </c>
      <c r="AX1221" s="121" t="s">
        <v>45</v>
      </c>
      <c r="AY1221" s="121" t="s">
        <v>46</v>
      </c>
      <c r="AZ1221" s="121" t="s">
        <v>47</v>
      </c>
      <c r="BA1221" s="121" t="s">
        <v>48</v>
      </c>
      <c r="BB1221" s="121" t="s">
        <v>49</v>
      </c>
      <c r="BC1221" s="121" t="s">
        <v>50</v>
      </c>
      <c r="BD1221" s="121" t="s">
        <v>51</v>
      </c>
      <c r="BE1221" s="121" t="s">
        <v>52</v>
      </c>
      <c r="BF1221" s="121" t="s">
        <v>53</v>
      </c>
      <c r="BG1221" s="121" t="s">
        <v>54</v>
      </c>
      <c r="BH1221" s="121"/>
      <c r="BI1221" s="121"/>
      <c r="BJ1221" s="121"/>
      <c r="BK1221" s="121"/>
      <c r="BL1221" s="121"/>
      <c r="BM1221" s="121"/>
      <c r="BN1221" s="121"/>
      <c r="BO1221" s="121"/>
      <c r="BP1221" s="121"/>
      <c r="BQ1221" s="121"/>
      <c r="BR1221" s="121"/>
      <c r="BS1221" s="121"/>
      <c r="BT1221" s="121"/>
      <c r="BU1221" s="121"/>
      <c r="BV1221" s="121"/>
      <c r="BW1221" s="121"/>
      <c r="BX1221" s="121"/>
      <c r="BY1221" s="121"/>
      <c r="BZ1221" s="121"/>
      <c r="CA1221" s="121"/>
      <c r="CB1221" s="121"/>
      <c r="CC1221" s="121"/>
      <c r="CD1221" s="121"/>
      <c r="CE1221" s="121"/>
    </row>
    <row r="1222" spans="45:83" x14ac:dyDescent="0.3">
      <c r="AS1222" s="125"/>
      <c r="AT1222" s="125"/>
      <c r="AU1222" s="118">
        <v>4</v>
      </c>
      <c r="AV1222" s="118" t="s">
        <v>5</v>
      </c>
      <c r="AW1222" s="118" t="s">
        <v>5</v>
      </c>
      <c r="AX1222" s="118" t="s">
        <v>5</v>
      </c>
      <c r="AY1222" s="118" t="s">
        <v>5</v>
      </c>
      <c r="AZ1222" s="118" t="s">
        <v>5</v>
      </c>
      <c r="BA1222" s="118" t="s">
        <v>5</v>
      </c>
      <c r="BB1222" s="118" t="s">
        <v>5</v>
      </c>
      <c r="BC1222" s="118" t="s">
        <v>2</v>
      </c>
      <c r="BD1222" s="118" t="s">
        <v>2</v>
      </c>
      <c r="BE1222" s="118" t="s">
        <v>2</v>
      </c>
      <c r="BF1222" s="118" t="s">
        <v>3</v>
      </c>
      <c r="BG1222" s="118" t="s">
        <v>3</v>
      </c>
    </row>
    <row r="1223" spans="45:83" x14ac:dyDescent="0.3">
      <c r="AT1223" s="118" t="s">
        <v>504</v>
      </c>
      <c r="AU1223" s="118">
        <f>AW22*AT34*AT40*AT46*AT52*AT58*AT64*AT70*AT75*AT81*AT87*AT92*AT98*AT106*AT110*AT116*AT124*AT130*AT136*AT142*AT145*AT151*AT159*AT164*AT168*AT172*AT175*AT179*AT183*AT187*AT192*AT195*AT200*AT204*AT207*AT211*AT216</f>
        <v>0</v>
      </c>
      <c r="AZ1223" s="118"/>
      <c r="BA1223" s="118"/>
      <c r="BB1223" s="118"/>
      <c r="BC1223" s="118"/>
      <c r="BD1223" s="118"/>
      <c r="BE1223" s="118"/>
      <c r="BF1223" s="118"/>
    </row>
    <row r="1224" spans="45:83" x14ac:dyDescent="0.3">
      <c r="AT1224" s="118" t="s">
        <v>505</v>
      </c>
      <c r="AZ1224" s="118"/>
      <c r="BA1224" s="118"/>
      <c r="BB1224" s="118"/>
      <c r="BC1224" s="118"/>
      <c r="BD1224" s="118"/>
      <c r="BE1224" s="118"/>
      <c r="BF1224" s="118"/>
    </row>
    <row r="1225" spans="45:83" x14ac:dyDescent="0.3">
      <c r="AT1225" s="118" t="s">
        <v>506</v>
      </c>
      <c r="AZ1225" s="118"/>
      <c r="BA1225" s="118"/>
      <c r="BB1225" s="118"/>
      <c r="BC1225" s="118"/>
      <c r="BD1225" s="118"/>
      <c r="BE1225" s="118"/>
      <c r="BF1225" s="118"/>
    </row>
    <row r="1226" spans="45:83" x14ac:dyDescent="0.3">
      <c r="AT1226" s="118" t="s">
        <v>507</v>
      </c>
      <c r="AZ1226" s="118"/>
      <c r="BA1226" s="118"/>
      <c r="BB1226" s="118"/>
      <c r="BC1226" s="118"/>
      <c r="BD1226" s="118"/>
      <c r="BE1226" s="118"/>
      <c r="BF1226" s="118"/>
    </row>
    <row r="1227" spans="45:83" x14ac:dyDescent="0.3">
      <c r="AT1227" s="118" t="s">
        <v>508</v>
      </c>
      <c r="AZ1227" s="118"/>
      <c r="BA1227" s="118"/>
      <c r="BB1227" s="118"/>
      <c r="BC1227" s="118"/>
      <c r="BD1227" s="118"/>
      <c r="BE1227" s="118"/>
      <c r="BF1227" s="118"/>
    </row>
    <row r="1228" spans="45:83" x14ac:dyDescent="0.3">
      <c r="AT1228" s="118" t="s">
        <v>509</v>
      </c>
      <c r="AZ1228" s="118"/>
      <c r="BA1228" s="118"/>
      <c r="BB1228" s="118"/>
      <c r="BC1228" s="118"/>
      <c r="BD1228" s="118"/>
      <c r="BE1228" s="118"/>
      <c r="BF1228" s="118"/>
    </row>
    <row r="1229" spans="45:83" x14ac:dyDescent="0.3">
      <c r="AZ1229" s="118"/>
      <c r="BA1229" s="118"/>
      <c r="BB1229" s="118"/>
      <c r="BC1229" s="118"/>
      <c r="BD1229" s="118"/>
      <c r="BE1229" s="118"/>
      <c r="BF1229" s="118"/>
    </row>
    <row r="1230" spans="45:83" x14ac:dyDescent="0.3">
      <c r="AS1230" s="125" t="s">
        <v>323</v>
      </c>
      <c r="AT1230" s="125"/>
      <c r="AU1230" s="118" t="s">
        <v>64</v>
      </c>
      <c r="AV1230" s="121" t="s">
        <v>43</v>
      </c>
      <c r="AW1230" s="121" t="s">
        <v>44</v>
      </c>
      <c r="AX1230" s="121" t="s">
        <v>45</v>
      </c>
      <c r="AY1230" s="121" t="s">
        <v>46</v>
      </c>
      <c r="AZ1230" s="121" t="s">
        <v>47</v>
      </c>
      <c r="BA1230" s="121" t="s">
        <v>48</v>
      </c>
      <c r="BB1230" s="121" t="s">
        <v>49</v>
      </c>
      <c r="BC1230" s="121" t="s">
        <v>50</v>
      </c>
      <c r="BD1230" s="121" t="s">
        <v>51</v>
      </c>
      <c r="BE1230" s="121" t="s">
        <v>52</v>
      </c>
      <c r="BF1230" s="121" t="s">
        <v>53</v>
      </c>
      <c r="BG1230" s="121" t="s">
        <v>54</v>
      </c>
      <c r="BH1230" s="121"/>
      <c r="BI1230" s="121"/>
      <c r="BJ1230" s="121"/>
      <c r="BK1230" s="121"/>
      <c r="BL1230" s="121"/>
      <c r="BM1230" s="121"/>
      <c r="BN1230" s="121"/>
      <c r="BO1230" s="121"/>
      <c r="BP1230" s="121"/>
      <c r="BQ1230" s="121"/>
      <c r="BR1230" s="121"/>
      <c r="BS1230" s="121"/>
      <c r="BT1230" s="121"/>
      <c r="BU1230" s="121"/>
      <c r="BV1230" s="121"/>
      <c r="BW1230" s="121"/>
      <c r="BX1230" s="121"/>
      <c r="BY1230" s="121"/>
      <c r="BZ1230" s="121"/>
      <c r="CA1230" s="121"/>
      <c r="CB1230" s="121"/>
      <c r="CC1230" s="121"/>
      <c r="CD1230" s="121"/>
      <c r="CE1230" s="121"/>
    </row>
    <row r="1231" spans="45:83" x14ac:dyDescent="0.3">
      <c r="AS1231" s="125"/>
      <c r="AT1231" s="125"/>
      <c r="AU1231" s="118">
        <v>4</v>
      </c>
      <c r="AV1231" s="118" t="s">
        <v>5</v>
      </c>
      <c r="AW1231" s="118" t="s">
        <v>3</v>
      </c>
      <c r="AX1231" s="118" t="s">
        <v>2</v>
      </c>
      <c r="AY1231" s="118" t="s">
        <v>5</v>
      </c>
      <c r="AZ1231" s="118" t="s">
        <v>5</v>
      </c>
      <c r="BA1231" s="118" t="s">
        <v>5</v>
      </c>
      <c r="BB1231" s="118" t="s">
        <v>2</v>
      </c>
      <c r="BC1231" s="118" t="s">
        <v>2</v>
      </c>
      <c r="BD1231" s="118" t="s">
        <v>3</v>
      </c>
      <c r="BE1231" s="118" t="s">
        <v>3</v>
      </c>
      <c r="BF1231" s="118" t="s">
        <v>3</v>
      </c>
      <c r="BG1231" s="118" t="s">
        <v>4</v>
      </c>
    </row>
    <row r="1232" spans="45:83" x14ac:dyDescent="0.3">
      <c r="AT1232" s="118" t="s">
        <v>504</v>
      </c>
      <c r="AU1232" s="153">
        <f>AW22*AT34*AT38*AT45*AT52*AT58*AT64*AT69*AT75*AT80*AT86*AT92*AT97*AT105*AT111*AT116*AT124*AT129*AT135*AT142*AT146*AT153*AT159*AT164*AT167*AT171*AT175*AT179*AT183*AT188*AT192*AT195*AT200*AT203*AT207*AT211*AT216</f>
        <v>0</v>
      </c>
      <c r="AZ1232" s="118"/>
      <c r="BA1232" s="118"/>
      <c r="BB1232" s="118"/>
      <c r="BC1232" s="118"/>
      <c r="BD1232" s="118"/>
      <c r="BE1232" s="118"/>
      <c r="BF1232" s="118"/>
    </row>
    <row r="1233" spans="39:58" x14ac:dyDescent="0.3">
      <c r="AT1233" s="118" t="s">
        <v>505</v>
      </c>
      <c r="AU1233" s="118">
        <f>AW23*AU34*AU38*AU45*AU52*AU58*AU64*AU69*AU75*AU80*AU86*AU92*AU97*AU105*AU111*AU116*AU124*AU129*AU135*AU142*AU146*AU153*AU159*AU164*AU167*AU171*AU175*AU179*AU183*AU188*AU192*AU195*AU200*AU203*AU207*AU211*AU216</f>
        <v>0</v>
      </c>
      <c r="AZ1233" s="118"/>
      <c r="BA1233" s="118"/>
      <c r="BB1233" s="118"/>
      <c r="BC1233" s="118"/>
      <c r="BD1233" s="118"/>
      <c r="BE1233" s="118"/>
      <c r="BF1233" s="118"/>
    </row>
    <row r="1234" spans="39:58" x14ac:dyDescent="0.3">
      <c r="AT1234" s="118" t="s">
        <v>506</v>
      </c>
      <c r="AU1234" s="118">
        <f>AW24*AV34*AV38*AV45*AV52*AV58*AV64*AV69*AV75*AV80*AV86*AV92*AV97*AV105*AV111*AV116*AV124*AV129*AV135*AV142*AV146*AV153*AV159*AV164*AV167*AV171*AV175*AV179*AV183*AV188*AV192*AV195*AV200*AV203*AV207*AV211*AV216</f>
        <v>0</v>
      </c>
      <c r="AZ1234" s="118"/>
      <c r="BA1234" s="118"/>
      <c r="BB1234" s="118"/>
      <c r="BC1234" s="118"/>
      <c r="BD1234" s="118"/>
      <c r="BE1234" s="118"/>
      <c r="BF1234" s="118"/>
    </row>
    <row r="1235" spans="39:58" x14ac:dyDescent="0.3">
      <c r="AT1235" s="118" t="s">
        <v>507</v>
      </c>
      <c r="AU1235" s="118">
        <f>AW25*AW34*AW38*AW45*AW52*AW58*AW64*AW69*AW75*AW80*AW86*AW92*AW97*AW105*AW111*AW116*AW124*AW129*AW135*AW142*AW146*AW153*AW159*AW164*AW167*AW171*AW175*AW179*AW183*AW188*AW192*AW195*AW200*AW203*AW207*AW211*AW216</f>
        <v>1.7102295990961887E-13</v>
      </c>
      <c r="AZ1235" s="118"/>
      <c r="BA1235" s="118"/>
      <c r="BB1235" s="118"/>
      <c r="BC1235" s="118"/>
      <c r="BD1235" s="118"/>
      <c r="BE1235" s="118"/>
      <c r="BF1235" s="118"/>
    </row>
    <row r="1236" spans="39:58" x14ac:dyDescent="0.3">
      <c r="AT1236" s="118" t="s">
        <v>508</v>
      </c>
      <c r="AU1236" s="118">
        <f>AW26*AX34*AX38*AX45*AX52*AX58*AX64*AX69*AX75*AX80*AX86*AX92*AX97*AX105*AX111*AX116*AX124*AX129*AX135*AX142*AX146*AX153*AX159*AX164*AX167*AX171*AX175*AX179*AX183*AX188*AX192*AX195*AX200*AX203*AX207*AX211*AX216</f>
        <v>0</v>
      </c>
      <c r="AZ1236" s="118"/>
      <c r="BA1236" s="118"/>
      <c r="BB1236" s="118"/>
      <c r="BC1236" s="118"/>
      <c r="BD1236" s="118"/>
      <c r="BE1236" s="118"/>
      <c r="BF1236" s="118"/>
    </row>
    <row r="1237" spans="39:58" x14ac:dyDescent="0.3">
      <c r="AT1237" s="118" t="s">
        <v>509</v>
      </c>
      <c r="AU1237" s="118">
        <f>AW27*AY34*AY38*AY45*AY52*AY58*AY64*AY69*AY75*AY80*AY86*AY92*AY97*AY105*AY111*AY116*AY124*AY129*AY135*AY142*AY146*AY153*AY159*AY164*AY167*AY171*AY175*AY179*AY183*AY188*AY192*AY195*AY200*AY203*AY207*AY211*AY216</f>
        <v>1.0504769993404522E-13</v>
      </c>
      <c r="AZ1237" s="118"/>
      <c r="BA1237" s="118"/>
      <c r="BB1237" s="118"/>
      <c r="BC1237" s="118"/>
      <c r="BD1237" s="118"/>
      <c r="BE1237" s="118"/>
      <c r="BF1237" s="118"/>
    </row>
    <row r="1238" spans="39:58" x14ac:dyDescent="0.3">
      <c r="AZ1238" s="118"/>
      <c r="BA1238" s="118"/>
      <c r="BB1238" s="118"/>
      <c r="BC1238" s="118"/>
      <c r="BD1238" s="118"/>
      <c r="BE1238" s="118"/>
      <c r="BF1238" s="118"/>
    </row>
    <row r="1239" spans="39:58" x14ac:dyDescent="0.3">
      <c r="AZ1239" s="118"/>
      <c r="BA1239" s="118"/>
      <c r="BB1239" s="118"/>
      <c r="BC1239" s="118"/>
      <c r="BD1239" s="118"/>
      <c r="BE1239" s="118"/>
      <c r="BF1239" s="118"/>
    </row>
    <row r="1240" spans="39:58" x14ac:dyDescent="0.3">
      <c r="AZ1240" s="118"/>
      <c r="BA1240" s="118"/>
      <c r="BB1240" s="118"/>
      <c r="BC1240" s="118"/>
      <c r="BD1240" s="118"/>
      <c r="BE1240" s="118"/>
      <c r="BF1240" s="118"/>
    </row>
    <row r="1241" spans="39:58" x14ac:dyDescent="0.3">
      <c r="AZ1241" s="118"/>
      <c r="BA1241" s="118"/>
      <c r="BB1241" s="118"/>
      <c r="BC1241" s="118"/>
      <c r="BD1241" s="118"/>
      <c r="BE1241" s="118"/>
      <c r="BF1241" s="118"/>
    </row>
    <row r="1242" spans="39:58" x14ac:dyDescent="0.3">
      <c r="AZ1242" s="118"/>
      <c r="BA1242" s="118"/>
      <c r="BB1242" s="118"/>
      <c r="BC1242" s="118"/>
      <c r="BD1242" s="118"/>
      <c r="BE1242" s="118"/>
      <c r="BF1242" s="118"/>
    </row>
    <row r="1243" spans="39:58" x14ac:dyDescent="0.3">
      <c r="AZ1243" s="118"/>
      <c r="BA1243" s="118"/>
      <c r="BB1243" s="118"/>
      <c r="BC1243" s="118"/>
      <c r="BD1243" s="118"/>
      <c r="BE1243" s="118"/>
      <c r="BF1243" s="118"/>
    </row>
    <row r="1244" spans="39:58" x14ac:dyDescent="0.3">
      <c r="AZ1244" s="118"/>
      <c r="BA1244" s="118"/>
      <c r="BB1244" s="118"/>
      <c r="BC1244" s="118"/>
      <c r="BD1244" s="118"/>
      <c r="BE1244" s="118"/>
      <c r="BF1244" s="118"/>
    </row>
    <row r="1245" spans="39:58" x14ac:dyDescent="0.3">
      <c r="AZ1245" s="118"/>
      <c r="BA1245" s="118"/>
      <c r="BB1245" s="118"/>
      <c r="BC1245" s="118"/>
      <c r="BD1245" s="118"/>
      <c r="BE1245" s="118"/>
      <c r="BF1245" s="118"/>
    </row>
    <row r="1246" spans="39:58" x14ac:dyDescent="0.3">
      <c r="AZ1246" s="118"/>
      <c r="BA1246" s="118"/>
      <c r="BB1246" s="118"/>
      <c r="BC1246" s="118"/>
      <c r="BD1246" s="118"/>
      <c r="BE1246" s="118"/>
      <c r="BF1246" s="118"/>
    </row>
    <row r="1247" spans="39:58" x14ac:dyDescent="0.3">
      <c r="AM1247" s="121"/>
      <c r="AZ1247" s="118"/>
      <c r="BA1247" s="118"/>
      <c r="BB1247" s="118"/>
      <c r="BC1247" s="118"/>
      <c r="BD1247" s="118"/>
      <c r="BE1247" s="118"/>
      <c r="BF1247" s="118"/>
    </row>
    <row r="1248" spans="39:58" x14ac:dyDescent="0.3">
      <c r="AZ1248" s="118"/>
      <c r="BA1248" s="118"/>
      <c r="BB1248" s="118"/>
      <c r="BC1248" s="118"/>
      <c r="BD1248" s="118"/>
      <c r="BE1248" s="118"/>
      <c r="BF1248" s="118"/>
    </row>
    <row r="1249" spans="39:58" x14ac:dyDescent="0.3">
      <c r="AZ1249" s="118"/>
      <c r="BA1249" s="118"/>
      <c r="BB1249" s="118"/>
      <c r="BC1249" s="118"/>
      <c r="BD1249" s="118"/>
      <c r="BE1249" s="118"/>
      <c r="BF1249" s="118"/>
    </row>
    <row r="1250" spans="39:58" x14ac:dyDescent="0.3">
      <c r="AZ1250" s="118"/>
      <c r="BA1250" s="118"/>
      <c r="BB1250" s="118"/>
      <c r="BC1250" s="118"/>
      <c r="BD1250" s="118"/>
      <c r="BE1250" s="118"/>
      <c r="BF1250" s="118"/>
    </row>
    <row r="1251" spans="39:58" x14ac:dyDescent="0.3">
      <c r="AZ1251" s="118"/>
      <c r="BA1251" s="118"/>
      <c r="BB1251" s="118"/>
      <c r="BC1251" s="118"/>
      <c r="BD1251" s="118"/>
      <c r="BE1251" s="118"/>
      <c r="BF1251" s="118"/>
    </row>
    <row r="1252" spans="39:58" x14ac:dyDescent="0.3">
      <c r="AZ1252" s="118"/>
      <c r="BA1252" s="118"/>
      <c r="BB1252" s="118"/>
      <c r="BC1252" s="118"/>
      <c r="BD1252" s="118"/>
      <c r="BE1252" s="118"/>
      <c r="BF1252" s="118"/>
    </row>
    <row r="1253" spans="39:58" x14ac:dyDescent="0.3">
      <c r="AZ1253" s="118"/>
      <c r="BA1253" s="118"/>
      <c r="BB1253" s="118"/>
      <c r="BC1253" s="118"/>
      <c r="BD1253" s="118"/>
      <c r="BE1253" s="118"/>
      <c r="BF1253" s="118"/>
    </row>
    <row r="1254" spans="39:58" x14ac:dyDescent="0.3">
      <c r="AZ1254" s="118"/>
      <c r="BA1254" s="118"/>
      <c r="BB1254" s="118"/>
      <c r="BC1254" s="118"/>
      <c r="BD1254" s="118"/>
      <c r="BE1254" s="118"/>
      <c r="BF1254" s="118"/>
    </row>
    <row r="1255" spans="39:58" x14ac:dyDescent="0.3">
      <c r="AZ1255" s="118"/>
      <c r="BA1255" s="118"/>
      <c r="BB1255" s="118"/>
      <c r="BC1255" s="118"/>
      <c r="BD1255" s="118"/>
      <c r="BE1255" s="118"/>
      <c r="BF1255" s="118"/>
    </row>
    <row r="1256" spans="39:58" x14ac:dyDescent="0.3">
      <c r="AZ1256" s="118"/>
      <c r="BA1256" s="118"/>
      <c r="BB1256" s="118"/>
      <c r="BC1256" s="118"/>
      <c r="BD1256" s="118"/>
      <c r="BE1256" s="118"/>
      <c r="BF1256" s="118"/>
    </row>
    <row r="1257" spans="39:58" x14ac:dyDescent="0.3">
      <c r="AZ1257" s="118"/>
      <c r="BA1257" s="118"/>
      <c r="BB1257" s="118"/>
      <c r="BC1257" s="118"/>
      <c r="BD1257" s="118"/>
      <c r="BE1257" s="118"/>
      <c r="BF1257" s="118"/>
    </row>
    <row r="1258" spans="39:58" x14ac:dyDescent="0.3">
      <c r="AZ1258" s="118"/>
      <c r="BA1258" s="118"/>
      <c r="BB1258" s="118"/>
      <c r="BC1258" s="118"/>
      <c r="BD1258" s="118"/>
      <c r="BE1258" s="118"/>
      <c r="BF1258" s="118"/>
    </row>
    <row r="1259" spans="39:58" x14ac:dyDescent="0.3">
      <c r="AZ1259" s="118"/>
      <c r="BA1259" s="118"/>
      <c r="BB1259" s="118"/>
      <c r="BC1259" s="118"/>
      <c r="BD1259" s="118"/>
      <c r="BE1259" s="118"/>
      <c r="BF1259" s="118"/>
    </row>
    <row r="1260" spans="39:58" x14ac:dyDescent="0.3">
      <c r="AZ1260" s="118"/>
      <c r="BA1260" s="118"/>
      <c r="BB1260" s="118"/>
      <c r="BC1260" s="118"/>
      <c r="BD1260" s="118"/>
      <c r="BE1260" s="118"/>
      <c r="BF1260" s="118"/>
    </row>
    <row r="1261" spans="39:58" x14ac:dyDescent="0.3">
      <c r="AZ1261" s="118"/>
      <c r="BA1261" s="118"/>
      <c r="BB1261" s="118"/>
      <c r="BC1261" s="118"/>
      <c r="BD1261" s="118"/>
      <c r="BE1261" s="118"/>
      <c r="BF1261" s="118"/>
    </row>
    <row r="1262" spans="39:58" x14ac:dyDescent="0.3">
      <c r="AZ1262" s="118"/>
      <c r="BA1262" s="118"/>
      <c r="BB1262" s="118"/>
      <c r="BC1262" s="118"/>
      <c r="BD1262" s="118"/>
      <c r="BE1262" s="118"/>
      <c r="BF1262" s="118"/>
    </row>
    <row r="1263" spans="39:58" x14ac:dyDescent="0.3">
      <c r="AM1263" s="121"/>
      <c r="AZ1263" s="118"/>
      <c r="BA1263" s="118"/>
      <c r="BB1263" s="118"/>
      <c r="BC1263" s="118"/>
      <c r="BD1263" s="118"/>
      <c r="BE1263" s="118"/>
      <c r="BF1263" s="118"/>
    </row>
    <row r="1264" spans="39:58" x14ac:dyDescent="0.3">
      <c r="AZ1264" s="118"/>
      <c r="BA1264" s="118"/>
      <c r="BB1264" s="118"/>
      <c r="BC1264" s="118"/>
      <c r="BD1264" s="118"/>
      <c r="BE1264" s="118"/>
      <c r="BF1264" s="118"/>
    </row>
    <row r="1265" s="118" customFormat="1" x14ac:dyDescent="0.3"/>
    <row r="1266" s="118" customFormat="1" x14ac:dyDescent="0.3"/>
    <row r="1267" s="118" customFormat="1" x14ac:dyDescent="0.3"/>
    <row r="1268" s="118" customFormat="1" x14ac:dyDescent="0.3"/>
    <row r="1269" s="118" customFormat="1" x14ac:dyDescent="0.3"/>
    <row r="1270" s="118" customFormat="1" x14ac:dyDescent="0.3"/>
    <row r="1271" s="118" customFormat="1" x14ac:dyDescent="0.3"/>
    <row r="1272" s="118" customFormat="1" x14ac:dyDescent="0.3"/>
    <row r="1273" s="118" customFormat="1" x14ac:dyDescent="0.3"/>
    <row r="1274" s="118" customFormat="1" x14ac:dyDescent="0.3"/>
    <row r="1275" s="118" customFormat="1" x14ac:dyDescent="0.3"/>
    <row r="1276" s="118" customFormat="1" x14ac:dyDescent="0.3"/>
    <row r="1277" s="118" customFormat="1" x14ac:dyDescent="0.3"/>
    <row r="1278" s="118" customFormat="1" x14ac:dyDescent="0.3"/>
    <row r="1279" s="118" customFormat="1" x14ac:dyDescent="0.3"/>
    <row r="1280" s="118" customFormat="1" x14ac:dyDescent="0.3"/>
    <row r="1281" spans="40:58" x14ac:dyDescent="0.3">
      <c r="AZ1281" s="118"/>
      <c r="BA1281" s="118"/>
      <c r="BB1281" s="118"/>
      <c r="BC1281" s="118"/>
      <c r="BD1281" s="118"/>
      <c r="BE1281" s="118"/>
      <c r="BF1281" s="118"/>
    </row>
    <row r="1282" spans="40:58" x14ac:dyDescent="0.3">
      <c r="AZ1282" s="118"/>
      <c r="BA1282" s="118"/>
      <c r="BB1282" s="118"/>
      <c r="BC1282" s="118"/>
      <c r="BD1282" s="118"/>
      <c r="BE1282" s="118"/>
      <c r="BF1282" s="118"/>
    </row>
    <row r="1283" spans="40:58" x14ac:dyDescent="0.3">
      <c r="AZ1283" s="118"/>
      <c r="BA1283" s="118"/>
      <c r="BB1283" s="118"/>
      <c r="BC1283" s="118"/>
      <c r="BD1283" s="118"/>
      <c r="BE1283" s="118"/>
      <c r="BF1283" s="118"/>
    </row>
    <row r="1284" spans="40:58" x14ac:dyDescent="0.3">
      <c r="AZ1284" s="118"/>
      <c r="BA1284" s="118"/>
      <c r="BB1284" s="118"/>
      <c r="BC1284" s="118"/>
      <c r="BD1284" s="118"/>
      <c r="BE1284" s="118"/>
      <c r="BF1284" s="118"/>
    </row>
    <row r="1285" spans="40:58" x14ac:dyDescent="0.3">
      <c r="AZ1285" s="118"/>
      <c r="BA1285" s="118"/>
      <c r="BB1285" s="118"/>
      <c r="BC1285" s="118"/>
      <c r="BD1285" s="118"/>
      <c r="BE1285" s="118"/>
      <c r="BF1285" s="118"/>
    </row>
    <row r="1286" spans="40:58" x14ac:dyDescent="0.3">
      <c r="AZ1286" s="118"/>
      <c r="BA1286" s="118"/>
      <c r="BB1286" s="118"/>
      <c r="BC1286" s="118"/>
      <c r="BD1286" s="118"/>
      <c r="BE1286" s="118"/>
      <c r="BF1286" s="118"/>
    </row>
    <row r="1287" spans="40:58" x14ac:dyDescent="0.3">
      <c r="AZ1287" s="118"/>
      <c r="BA1287" s="118"/>
      <c r="BB1287" s="118"/>
      <c r="BC1287" s="118"/>
      <c r="BD1287" s="118"/>
      <c r="BE1287" s="118"/>
      <c r="BF1287" s="118"/>
    </row>
    <row r="1288" spans="40:58" x14ac:dyDescent="0.3">
      <c r="AS1288" s="123"/>
      <c r="AT1288" s="123"/>
      <c r="AZ1288" s="118"/>
      <c r="BA1288" s="118"/>
      <c r="BB1288" s="118"/>
      <c r="BC1288" s="118"/>
      <c r="BD1288" s="118"/>
      <c r="BE1288" s="118"/>
      <c r="BF1288" s="118"/>
    </row>
    <row r="1289" spans="40:58" x14ac:dyDescent="0.3">
      <c r="AS1289" s="123"/>
      <c r="AT1289" s="123"/>
      <c r="AZ1289" s="118"/>
      <c r="BA1289" s="118"/>
      <c r="BB1289" s="118"/>
      <c r="BC1289" s="118"/>
      <c r="BD1289" s="118"/>
      <c r="BE1289" s="118"/>
      <c r="BF1289" s="118"/>
    </row>
    <row r="1290" spans="40:58" x14ac:dyDescent="0.3">
      <c r="AS1290" s="123"/>
      <c r="AT1290" s="123"/>
      <c r="AZ1290" s="118"/>
      <c r="BA1290" s="118"/>
      <c r="BB1290" s="118"/>
      <c r="BC1290" s="118"/>
      <c r="BD1290" s="118"/>
      <c r="BE1290" s="118"/>
      <c r="BF1290" s="118"/>
    </row>
    <row r="1291" spans="40:58" x14ac:dyDescent="0.3">
      <c r="AS1291" s="123"/>
      <c r="AT1291" s="123"/>
      <c r="AZ1291" s="118"/>
      <c r="BA1291" s="118"/>
      <c r="BB1291" s="118"/>
      <c r="BC1291" s="118"/>
      <c r="BD1291" s="118"/>
      <c r="BE1291" s="118"/>
      <c r="BF1291" s="118"/>
    </row>
    <row r="1292" spans="40:58" x14ac:dyDescent="0.3">
      <c r="AS1292" s="123"/>
      <c r="AT1292" s="123"/>
      <c r="AZ1292" s="118"/>
      <c r="BA1292" s="118"/>
      <c r="BB1292" s="118"/>
      <c r="BC1292" s="118"/>
      <c r="BD1292" s="118"/>
      <c r="BE1292" s="118"/>
      <c r="BF1292" s="118"/>
    </row>
    <row r="1293" spans="40:58" x14ac:dyDescent="0.3">
      <c r="AS1293" s="123"/>
      <c r="AT1293" s="123"/>
      <c r="AZ1293" s="118"/>
      <c r="BA1293" s="118"/>
      <c r="BB1293" s="118"/>
      <c r="BC1293" s="118"/>
      <c r="BD1293" s="118"/>
      <c r="BE1293" s="118"/>
      <c r="BF1293" s="118"/>
    </row>
    <row r="1294" spans="40:58" x14ac:dyDescent="0.3">
      <c r="AN1294" s="123"/>
      <c r="AO1294" s="123"/>
      <c r="AP1294" s="123"/>
      <c r="AQ1294" s="123"/>
      <c r="AR1294" s="123"/>
      <c r="AS1294" s="123"/>
      <c r="AT1294" s="123"/>
      <c r="AZ1294" s="118"/>
      <c r="BA1294" s="118"/>
      <c r="BB1294" s="118"/>
      <c r="BC1294" s="118"/>
      <c r="BD1294" s="118"/>
      <c r="BE1294" s="118"/>
      <c r="BF1294" s="118"/>
    </row>
    <row r="1295" spans="40:58" x14ac:dyDescent="0.3">
      <c r="AN1295" s="123"/>
      <c r="AO1295" s="123"/>
      <c r="AP1295" s="123"/>
      <c r="AQ1295" s="123"/>
      <c r="AR1295" s="123"/>
      <c r="AS1295" s="123"/>
      <c r="AT1295" s="123"/>
      <c r="AZ1295" s="118"/>
      <c r="BA1295" s="118"/>
      <c r="BB1295" s="118"/>
      <c r="BC1295" s="118"/>
      <c r="BD1295" s="118"/>
      <c r="BE1295" s="118"/>
      <c r="BF1295" s="118"/>
    </row>
    <row r="1296" spans="40:58" x14ac:dyDescent="0.3">
      <c r="AN1296" s="123"/>
      <c r="AO1296" s="123"/>
      <c r="AP1296" s="123"/>
      <c r="AQ1296" s="123"/>
      <c r="AR1296" s="123"/>
      <c r="AS1296" s="123"/>
      <c r="AT1296" s="123"/>
      <c r="AZ1296" s="118"/>
      <c r="BA1296" s="118"/>
      <c r="BB1296" s="118"/>
      <c r="BC1296" s="118"/>
      <c r="BD1296" s="118"/>
      <c r="BE1296" s="118"/>
      <c r="BF1296" s="118"/>
    </row>
    <row r="1297" spans="40:58" x14ac:dyDescent="0.3">
      <c r="AN1297" s="123"/>
      <c r="AO1297" s="123"/>
      <c r="AP1297" s="123"/>
      <c r="AQ1297" s="123"/>
      <c r="AR1297" s="123"/>
      <c r="AS1297" s="123"/>
      <c r="AT1297" s="123"/>
      <c r="AZ1297" s="118"/>
      <c r="BA1297" s="118"/>
      <c r="BB1297" s="118"/>
      <c r="BC1297" s="118"/>
      <c r="BD1297" s="118"/>
      <c r="BE1297" s="118"/>
      <c r="BF1297" s="118"/>
    </row>
    <row r="1298" spans="40:58" x14ac:dyDescent="0.3">
      <c r="AN1298" s="123"/>
      <c r="AO1298" s="123"/>
      <c r="AP1298" s="123"/>
      <c r="AQ1298" s="123"/>
      <c r="AR1298" s="123"/>
      <c r="AS1298" s="123"/>
      <c r="AT1298" s="123"/>
      <c r="AZ1298" s="118"/>
      <c r="BA1298" s="118"/>
      <c r="BB1298" s="118"/>
      <c r="BC1298" s="118"/>
      <c r="BD1298" s="118"/>
      <c r="BE1298" s="118"/>
      <c r="BF1298" s="118"/>
    </row>
    <row r="1299" spans="40:58" x14ac:dyDescent="0.3">
      <c r="AN1299" s="123"/>
      <c r="AO1299" s="123"/>
      <c r="AP1299" s="123"/>
      <c r="AQ1299" s="123"/>
      <c r="AR1299" s="123"/>
      <c r="AS1299" s="123"/>
      <c r="AT1299" s="123"/>
      <c r="AZ1299" s="118"/>
      <c r="BA1299" s="118"/>
      <c r="BB1299" s="118"/>
      <c r="BC1299" s="118"/>
      <c r="BD1299" s="118"/>
      <c r="BE1299" s="118"/>
      <c r="BF1299" s="118"/>
    </row>
    <row r="1300" spans="40:58" x14ac:dyDescent="0.3">
      <c r="AN1300" s="123"/>
      <c r="AO1300" s="123"/>
      <c r="AP1300" s="123"/>
      <c r="AQ1300" s="123"/>
      <c r="AR1300" s="123"/>
      <c r="AS1300" s="123"/>
      <c r="AT1300" s="123"/>
      <c r="AZ1300" s="118"/>
      <c r="BA1300" s="118"/>
      <c r="BB1300" s="118"/>
      <c r="BC1300" s="118"/>
      <c r="BD1300" s="118"/>
      <c r="BE1300" s="118"/>
      <c r="BF1300" s="118"/>
    </row>
    <row r="1301" spans="40:58" x14ac:dyDescent="0.3">
      <c r="AN1301" s="123"/>
      <c r="AO1301" s="123"/>
      <c r="AP1301" s="123"/>
      <c r="AQ1301" s="123"/>
      <c r="AR1301" s="123"/>
      <c r="AS1301" s="123"/>
      <c r="AT1301" s="123"/>
      <c r="AZ1301" s="118"/>
      <c r="BA1301" s="118"/>
      <c r="BB1301" s="118"/>
      <c r="BC1301" s="118"/>
      <c r="BD1301" s="118"/>
      <c r="BE1301" s="118"/>
      <c r="BF1301" s="118"/>
    </row>
    <row r="1302" spans="40:58" x14ac:dyDescent="0.3">
      <c r="AN1302" s="123"/>
      <c r="AO1302" s="123"/>
      <c r="AP1302" s="123"/>
      <c r="AQ1302" s="123"/>
      <c r="AR1302" s="123"/>
      <c r="AS1302" s="123"/>
      <c r="AT1302" s="123"/>
      <c r="AZ1302" s="118"/>
      <c r="BA1302" s="118"/>
      <c r="BB1302" s="118"/>
      <c r="BC1302" s="118"/>
      <c r="BD1302" s="118"/>
      <c r="BE1302" s="118"/>
      <c r="BF1302" s="118"/>
    </row>
    <row r="1303" spans="40:58" x14ac:dyDescent="0.3">
      <c r="AN1303" s="123"/>
      <c r="AO1303" s="123"/>
      <c r="AP1303" s="123"/>
      <c r="AQ1303" s="123"/>
      <c r="AR1303" s="123"/>
      <c r="AS1303" s="123"/>
      <c r="AT1303" s="123"/>
      <c r="AZ1303" s="118"/>
      <c r="BA1303" s="118"/>
      <c r="BB1303" s="118"/>
      <c r="BC1303" s="118"/>
      <c r="BD1303" s="118"/>
      <c r="BE1303" s="118"/>
      <c r="BF1303" s="118"/>
    </row>
    <row r="1304" spans="40:58" x14ac:dyDescent="0.3">
      <c r="AN1304" s="123"/>
      <c r="AO1304" s="123"/>
      <c r="AP1304" s="123"/>
      <c r="AQ1304" s="123"/>
      <c r="AR1304" s="123"/>
      <c r="AS1304" s="123"/>
      <c r="AT1304" s="123"/>
      <c r="AZ1304" s="118"/>
      <c r="BA1304" s="118"/>
      <c r="BB1304" s="118"/>
      <c r="BC1304" s="118"/>
      <c r="BD1304" s="118"/>
      <c r="BE1304" s="118"/>
      <c r="BF1304" s="118"/>
    </row>
    <row r="1305" spans="40:58" x14ac:dyDescent="0.3">
      <c r="AN1305" s="123"/>
      <c r="AO1305" s="123"/>
      <c r="AP1305" s="123"/>
      <c r="AQ1305" s="123"/>
      <c r="AR1305" s="123"/>
      <c r="AS1305" s="123"/>
      <c r="AT1305" s="123"/>
      <c r="AZ1305" s="118"/>
      <c r="BA1305" s="118"/>
      <c r="BB1305" s="118"/>
      <c r="BC1305" s="118"/>
      <c r="BD1305" s="118"/>
      <c r="BE1305" s="118"/>
      <c r="BF1305" s="118"/>
    </row>
    <row r="1306" spans="40:58" x14ac:dyDescent="0.3">
      <c r="AN1306" s="123"/>
      <c r="AO1306" s="123"/>
      <c r="AP1306" s="123"/>
      <c r="AQ1306" s="123"/>
      <c r="AR1306" s="123"/>
      <c r="AS1306" s="123"/>
      <c r="AT1306" s="123"/>
      <c r="AZ1306" s="118"/>
      <c r="BA1306" s="118"/>
      <c r="BB1306" s="118"/>
      <c r="BC1306" s="118"/>
      <c r="BD1306" s="118"/>
      <c r="BE1306" s="118"/>
      <c r="BF1306" s="118"/>
    </row>
    <row r="1307" spans="40:58" x14ac:dyDescent="0.3">
      <c r="AN1307" s="123"/>
      <c r="AO1307" s="123"/>
      <c r="AP1307" s="123"/>
      <c r="AQ1307" s="123"/>
      <c r="AR1307" s="123"/>
      <c r="AS1307" s="123"/>
      <c r="AT1307" s="123"/>
      <c r="AZ1307" s="118"/>
      <c r="BA1307" s="118"/>
      <c r="BB1307" s="118"/>
      <c r="BC1307" s="118"/>
      <c r="BD1307" s="118"/>
      <c r="BE1307" s="118"/>
      <c r="BF1307" s="118"/>
    </row>
    <row r="1308" spans="40:58" x14ac:dyDescent="0.3">
      <c r="AN1308" s="123"/>
      <c r="AO1308" s="123"/>
      <c r="AP1308" s="123"/>
      <c r="AQ1308" s="123"/>
      <c r="AR1308" s="123"/>
      <c r="AS1308" s="123"/>
      <c r="AT1308" s="123"/>
      <c r="AZ1308" s="118"/>
      <c r="BA1308" s="118"/>
      <c r="BB1308" s="118"/>
      <c r="BC1308" s="118"/>
      <c r="BD1308" s="118"/>
      <c r="BE1308" s="118"/>
      <c r="BF1308" s="118"/>
    </row>
    <row r="1309" spans="40:58" x14ac:dyDescent="0.3">
      <c r="AN1309" s="123"/>
      <c r="AO1309" s="123"/>
      <c r="AP1309" s="123"/>
      <c r="AQ1309" s="123"/>
      <c r="AR1309" s="123"/>
      <c r="AS1309" s="123"/>
      <c r="AT1309" s="123"/>
      <c r="AZ1309" s="118"/>
      <c r="BA1309" s="118"/>
      <c r="BB1309" s="118"/>
      <c r="BC1309" s="118"/>
      <c r="BD1309" s="118"/>
      <c r="BE1309" s="118"/>
      <c r="BF1309" s="118"/>
    </row>
    <row r="1310" spans="40:58" x14ac:dyDescent="0.3">
      <c r="AN1310" s="123"/>
      <c r="AO1310" s="123"/>
      <c r="AP1310" s="123"/>
      <c r="AQ1310" s="123"/>
      <c r="AR1310" s="123"/>
      <c r="AS1310" s="123"/>
      <c r="AT1310" s="123"/>
      <c r="AZ1310" s="118"/>
      <c r="BA1310" s="118"/>
      <c r="BB1310" s="118"/>
      <c r="BC1310" s="118"/>
      <c r="BD1310" s="118"/>
      <c r="BE1310" s="118"/>
      <c r="BF1310" s="118"/>
    </row>
    <row r="1311" spans="40:58" x14ac:dyDescent="0.3">
      <c r="AN1311" s="123"/>
      <c r="AO1311" s="123"/>
      <c r="AP1311" s="123"/>
      <c r="AQ1311" s="123"/>
      <c r="AR1311" s="123"/>
      <c r="AS1311" s="123"/>
      <c r="AT1311" s="123"/>
      <c r="AZ1311" s="118"/>
      <c r="BA1311" s="118"/>
      <c r="BB1311" s="118"/>
      <c r="BC1311" s="118"/>
      <c r="BD1311" s="118"/>
      <c r="BE1311" s="118"/>
      <c r="BF1311" s="118"/>
    </row>
    <row r="1312" spans="40:58" x14ac:dyDescent="0.3">
      <c r="AN1312" s="123"/>
      <c r="AO1312" s="123"/>
      <c r="AP1312" s="123"/>
      <c r="AQ1312" s="123"/>
      <c r="AR1312" s="123"/>
      <c r="AS1312" s="123"/>
      <c r="AT1312" s="123"/>
      <c r="AZ1312" s="118"/>
      <c r="BA1312" s="118"/>
      <c r="BB1312" s="118"/>
      <c r="BC1312" s="118"/>
      <c r="BD1312" s="118"/>
      <c r="BE1312" s="118"/>
      <c r="BF1312" s="118"/>
    </row>
    <row r="1313" spans="40:58" x14ac:dyDescent="0.3">
      <c r="AN1313" s="123"/>
      <c r="AO1313" s="123"/>
      <c r="AP1313" s="123"/>
      <c r="AQ1313" s="123"/>
      <c r="AR1313" s="123"/>
      <c r="AS1313" s="123"/>
      <c r="AT1313" s="123"/>
      <c r="AZ1313" s="118"/>
      <c r="BA1313" s="118"/>
      <c r="BB1313" s="118"/>
      <c r="BC1313" s="118"/>
      <c r="BD1313" s="118"/>
      <c r="BE1313" s="118"/>
      <c r="BF1313" s="118"/>
    </row>
    <row r="1314" spans="40:58" x14ac:dyDescent="0.3">
      <c r="AN1314" s="123"/>
      <c r="AO1314" s="123"/>
      <c r="AP1314" s="123"/>
      <c r="AQ1314" s="123"/>
      <c r="AR1314" s="123"/>
      <c r="AS1314" s="123"/>
      <c r="AT1314" s="123"/>
      <c r="AZ1314" s="118"/>
      <c r="BA1314" s="118"/>
      <c r="BB1314" s="118"/>
      <c r="BC1314" s="118"/>
      <c r="BD1314" s="118"/>
      <c r="BE1314" s="118"/>
      <c r="BF1314" s="118"/>
    </row>
    <row r="1315" spans="40:58" x14ac:dyDescent="0.3">
      <c r="AN1315" s="123"/>
      <c r="AO1315" s="123"/>
      <c r="AP1315" s="123"/>
      <c r="AQ1315" s="123"/>
      <c r="AR1315" s="123"/>
      <c r="AS1315" s="123"/>
      <c r="AT1315" s="123"/>
      <c r="AZ1315" s="118"/>
      <c r="BA1315" s="118"/>
      <c r="BB1315" s="118"/>
      <c r="BC1315" s="118"/>
      <c r="BD1315" s="118"/>
      <c r="BE1315" s="118"/>
      <c r="BF1315" s="118"/>
    </row>
    <row r="1316" spans="40:58" x14ac:dyDescent="0.3">
      <c r="AN1316" s="123"/>
      <c r="AO1316" s="123"/>
      <c r="AP1316" s="123"/>
      <c r="AQ1316" s="123"/>
      <c r="AR1316" s="123"/>
      <c r="AS1316" s="123"/>
      <c r="AT1316" s="123"/>
      <c r="AZ1316" s="118"/>
      <c r="BA1316" s="118"/>
      <c r="BB1316" s="118"/>
      <c r="BC1316" s="118"/>
      <c r="BD1316" s="118"/>
      <c r="BE1316" s="118"/>
      <c r="BF1316" s="118"/>
    </row>
    <row r="1317" spans="40:58" x14ac:dyDescent="0.3">
      <c r="AN1317" s="123"/>
      <c r="AO1317" s="123"/>
      <c r="AP1317" s="123"/>
      <c r="AQ1317" s="123"/>
      <c r="AR1317" s="123"/>
      <c r="AS1317" s="123"/>
      <c r="AT1317" s="123"/>
      <c r="AZ1317" s="118"/>
      <c r="BA1317" s="118"/>
      <c r="BB1317" s="118"/>
      <c r="BC1317" s="118"/>
      <c r="BD1317" s="118"/>
      <c r="BE1317" s="118"/>
      <c r="BF1317" s="118"/>
    </row>
    <row r="1318" spans="40:58" x14ac:dyDescent="0.3">
      <c r="AN1318" s="123"/>
      <c r="AO1318" s="123"/>
      <c r="AP1318" s="123"/>
      <c r="AQ1318" s="123"/>
      <c r="AR1318" s="123"/>
      <c r="AS1318" s="123"/>
      <c r="AT1318" s="123"/>
      <c r="AZ1318" s="118"/>
      <c r="BA1318" s="118"/>
      <c r="BB1318" s="118"/>
      <c r="BC1318" s="118"/>
      <c r="BD1318" s="118"/>
      <c r="BE1318" s="118"/>
      <c r="BF1318" s="118"/>
    </row>
    <row r="1319" spans="40:58" x14ac:dyDescent="0.3">
      <c r="AN1319" s="123"/>
      <c r="AO1319" s="123"/>
      <c r="AP1319" s="123"/>
      <c r="AQ1319" s="123"/>
      <c r="AR1319" s="123"/>
      <c r="AS1319" s="123"/>
      <c r="AT1319" s="123"/>
      <c r="AZ1319" s="118"/>
      <c r="BA1319" s="118"/>
      <c r="BB1319" s="118"/>
      <c r="BC1319" s="118"/>
      <c r="BD1319" s="118"/>
      <c r="BE1319" s="118"/>
      <c r="BF1319" s="118"/>
    </row>
    <row r="1320" spans="40:58" x14ac:dyDescent="0.3">
      <c r="AN1320" s="123"/>
      <c r="AO1320" s="123"/>
      <c r="AP1320" s="123"/>
      <c r="AQ1320" s="123"/>
      <c r="AR1320" s="123"/>
      <c r="AS1320" s="123"/>
      <c r="AT1320" s="123"/>
      <c r="AZ1320" s="118"/>
      <c r="BA1320" s="118"/>
      <c r="BB1320" s="118"/>
      <c r="BC1320" s="118"/>
      <c r="BD1320" s="118"/>
      <c r="BE1320" s="118"/>
      <c r="BF1320" s="118"/>
    </row>
    <row r="1321" spans="40:58" x14ac:dyDescent="0.3">
      <c r="AN1321" s="123"/>
      <c r="AO1321" s="123"/>
      <c r="AP1321" s="123"/>
      <c r="AQ1321" s="123"/>
      <c r="AR1321" s="123"/>
      <c r="AS1321" s="123"/>
      <c r="AT1321" s="123"/>
      <c r="AZ1321" s="118"/>
      <c r="BA1321" s="118"/>
      <c r="BB1321" s="118"/>
      <c r="BC1321" s="118"/>
      <c r="BD1321" s="118"/>
      <c r="BE1321" s="118"/>
      <c r="BF1321" s="118"/>
    </row>
    <row r="1322" spans="40:58" x14ac:dyDescent="0.3">
      <c r="AN1322" s="123"/>
      <c r="AO1322" s="123"/>
      <c r="AP1322" s="123"/>
      <c r="AQ1322" s="123"/>
      <c r="AR1322" s="123"/>
      <c r="AS1322" s="123"/>
      <c r="AT1322" s="123"/>
      <c r="AZ1322" s="118"/>
      <c r="BA1322" s="118"/>
      <c r="BB1322" s="118"/>
      <c r="BC1322" s="118"/>
      <c r="BD1322" s="118"/>
      <c r="BE1322" s="118"/>
      <c r="BF1322" s="118"/>
    </row>
    <row r="1323" spans="40:58" x14ac:dyDescent="0.3">
      <c r="AN1323" s="123"/>
      <c r="AO1323" s="123"/>
      <c r="AP1323" s="123"/>
      <c r="AQ1323" s="123"/>
      <c r="AR1323" s="123"/>
      <c r="AS1323" s="123"/>
      <c r="AT1323" s="123"/>
      <c r="AZ1323" s="118"/>
      <c r="BA1323" s="118"/>
      <c r="BB1323" s="118"/>
      <c r="BC1323" s="118"/>
      <c r="BD1323" s="118"/>
      <c r="BE1323" s="118"/>
      <c r="BF1323" s="118"/>
    </row>
    <row r="1324" spans="40:58" x14ac:dyDescent="0.3">
      <c r="AN1324" s="123"/>
      <c r="AO1324" s="123"/>
      <c r="AP1324" s="123"/>
      <c r="AQ1324" s="123"/>
      <c r="AR1324" s="123"/>
      <c r="AS1324" s="123"/>
      <c r="AT1324" s="123"/>
      <c r="AZ1324" s="118"/>
      <c r="BA1324" s="118"/>
      <c r="BB1324" s="118"/>
      <c r="BC1324" s="118"/>
      <c r="BD1324" s="118"/>
      <c r="BE1324" s="118"/>
      <c r="BF1324" s="118"/>
    </row>
    <row r="1325" spans="40:58" x14ac:dyDescent="0.3">
      <c r="AN1325" s="123"/>
      <c r="AO1325" s="123"/>
      <c r="AP1325" s="123"/>
      <c r="AQ1325" s="123"/>
      <c r="AR1325" s="123"/>
      <c r="AZ1325" s="118"/>
      <c r="BA1325" s="118"/>
      <c r="BB1325" s="118"/>
      <c r="BC1325" s="118"/>
      <c r="BD1325" s="118"/>
      <c r="BE1325" s="118"/>
      <c r="BF1325" s="118"/>
    </row>
    <row r="1326" spans="40:58" x14ac:dyDescent="0.3">
      <c r="AN1326" s="123"/>
      <c r="AO1326" s="123"/>
      <c r="AP1326" s="123"/>
      <c r="AQ1326" s="123"/>
      <c r="AR1326" s="123"/>
      <c r="AZ1326" s="118"/>
      <c r="BA1326" s="118"/>
      <c r="BB1326" s="118"/>
      <c r="BC1326" s="118"/>
      <c r="BD1326" s="118"/>
      <c r="BE1326" s="118"/>
      <c r="BF1326" s="118"/>
    </row>
    <row r="1327" spans="40:58" x14ac:dyDescent="0.3">
      <c r="AN1327" s="123"/>
      <c r="AO1327" s="123"/>
      <c r="AP1327" s="123"/>
      <c r="AQ1327" s="123"/>
      <c r="AR1327" s="123"/>
      <c r="AZ1327" s="118"/>
      <c r="BA1327" s="118"/>
      <c r="BB1327" s="118"/>
      <c r="BC1327" s="118"/>
      <c r="BD1327" s="118"/>
      <c r="BE1327" s="118"/>
      <c r="BF1327" s="118"/>
    </row>
    <row r="1328" spans="40:58" x14ac:dyDescent="0.3">
      <c r="AN1328" s="123"/>
      <c r="AO1328" s="123"/>
      <c r="AP1328" s="123"/>
      <c r="AQ1328" s="123"/>
      <c r="AR1328" s="123"/>
      <c r="AZ1328" s="118"/>
      <c r="BA1328" s="118"/>
      <c r="BB1328" s="118"/>
      <c r="BC1328" s="118"/>
      <c r="BD1328" s="118"/>
      <c r="BE1328" s="118"/>
      <c r="BF1328" s="118"/>
    </row>
    <row r="1329" spans="40:58" x14ac:dyDescent="0.3">
      <c r="AN1329" s="123"/>
      <c r="AO1329" s="123"/>
      <c r="AP1329" s="123"/>
      <c r="AQ1329" s="123"/>
      <c r="AR1329" s="123"/>
      <c r="AZ1329" s="118"/>
      <c r="BA1329" s="118"/>
      <c r="BB1329" s="118"/>
      <c r="BC1329" s="118"/>
      <c r="BD1329" s="118"/>
      <c r="BE1329" s="118"/>
      <c r="BF1329" s="118"/>
    </row>
    <row r="1330" spans="40:58" x14ac:dyDescent="0.3">
      <c r="AN1330" s="123"/>
      <c r="AO1330" s="123"/>
      <c r="AP1330" s="123"/>
      <c r="AQ1330" s="123"/>
      <c r="AR1330" s="123"/>
      <c r="AZ1330" s="118"/>
      <c r="BA1330" s="118"/>
      <c r="BB1330" s="118"/>
      <c r="BC1330" s="118"/>
      <c r="BD1330" s="118"/>
      <c r="BE1330" s="118"/>
      <c r="BF1330" s="118"/>
    </row>
    <row r="1331" spans="40:58" x14ac:dyDescent="0.3">
      <c r="AR1331" s="151"/>
    </row>
    <row r="1332" spans="40:58" x14ac:dyDescent="0.3">
      <c r="AO1332" s="124"/>
    </row>
    <row r="1333" spans="40:58" x14ac:dyDescent="0.3">
      <c r="AO1333" s="124"/>
    </row>
    <row r="1334" spans="40:58" x14ac:dyDescent="0.3">
      <c r="AO1334" s="124"/>
    </row>
    <row r="1335" spans="40:58" x14ac:dyDescent="0.3">
      <c r="AO1335" s="124"/>
    </row>
    <row r="1336" spans="40:58" x14ac:dyDescent="0.3">
      <c r="AO1336" s="124"/>
    </row>
    <row r="1337" spans="40:58" x14ac:dyDescent="0.3">
      <c r="AO1337" s="124"/>
    </row>
    <row r="1338" spans="40:58" x14ac:dyDescent="0.3">
      <c r="AO1338" s="124"/>
    </row>
  </sheetData>
  <autoFilter ref="C1:AM79" xr:uid="{1AF52CBA-F168-49C9-A683-1C341679A7D5}"/>
  <mergeCells count="105">
    <mergeCell ref="BI833:BI834"/>
    <mergeCell ref="BI801:BI802"/>
    <mergeCell ref="BI817:BI818"/>
    <mergeCell ref="AV980:AW980"/>
    <mergeCell ref="AS982:AT983"/>
    <mergeCell ref="BI929:BI930"/>
    <mergeCell ref="AS1203:AT1204"/>
    <mergeCell ref="AS1212:AT1213"/>
    <mergeCell ref="AS1158:AT1159"/>
    <mergeCell ref="AS1167:AT1168"/>
    <mergeCell ref="AS1176:AT1177"/>
    <mergeCell ref="AS1185:AT1186"/>
    <mergeCell ref="AS1194:AT1195"/>
    <mergeCell ref="AS1077:AT1078"/>
    <mergeCell ref="AS1086:AT1087"/>
    <mergeCell ref="AS1140:AT1141"/>
    <mergeCell ref="AS1149:AT1150"/>
    <mergeCell ref="AS1131:AT1132"/>
    <mergeCell ref="AS1113:AT1114"/>
    <mergeCell ref="AS1122:AT1123"/>
    <mergeCell ref="BI897:BI898"/>
    <mergeCell ref="BI913:BI914"/>
    <mergeCell ref="BI945:BI946"/>
    <mergeCell ref="BI785:BI786"/>
    <mergeCell ref="BI769:BI770"/>
    <mergeCell ref="BI689:BI690"/>
    <mergeCell ref="BI705:BI706"/>
    <mergeCell ref="BI721:BI722"/>
    <mergeCell ref="BI737:BI738"/>
    <mergeCell ref="BI753:BI754"/>
    <mergeCell ref="BI465:BI466"/>
    <mergeCell ref="BI657:BI658"/>
    <mergeCell ref="BI673:BI674"/>
    <mergeCell ref="BI513:BI514"/>
    <mergeCell ref="BI497:BI498"/>
    <mergeCell ref="BI545:BI546"/>
    <mergeCell ref="BI625:BI626"/>
    <mergeCell ref="BI641:BI642"/>
    <mergeCell ref="BI3:BI4"/>
    <mergeCell ref="BI19:BI20"/>
    <mergeCell ref="BI33:BI34"/>
    <mergeCell ref="BI49:BI50"/>
    <mergeCell ref="BI65:BI66"/>
    <mergeCell ref="BI241:BI242"/>
    <mergeCell ref="BI257:BI258"/>
    <mergeCell ref="BI273:BI274"/>
    <mergeCell ref="BI289:BI290"/>
    <mergeCell ref="BI161:BI162"/>
    <mergeCell ref="BI177:BI178"/>
    <mergeCell ref="BI193:BI194"/>
    <mergeCell ref="BI209:BI210"/>
    <mergeCell ref="BI225:BI226"/>
    <mergeCell ref="BI81:BI82"/>
    <mergeCell ref="BI97:BI98"/>
    <mergeCell ref="BI113:BI114"/>
    <mergeCell ref="BI129:BI130"/>
    <mergeCell ref="BI145:BI146"/>
    <mergeCell ref="AS282:AX282"/>
    <mergeCell ref="AR288:AR289"/>
    <mergeCell ref="AY282:AY283"/>
    <mergeCell ref="AS297:AV297"/>
    <mergeCell ref="AS306:AV306"/>
    <mergeCell ref="BI321:BI322"/>
    <mergeCell ref="BI881:BI882"/>
    <mergeCell ref="BI449:BI450"/>
    <mergeCell ref="BI561:BI562"/>
    <mergeCell ref="BI577:BI578"/>
    <mergeCell ref="BI593:BI594"/>
    <mergeCell ref="BI609:BI610"/>
    <mergeCell ref="BI529:BI530"/>
    <mergeCell ref="BI337:BI338"/>
    <mergeCell ref="BI353:BI354"/>
    <mergeCell ref="BI369:BI370"/>
    <mergeCell ref="BI385:BI386"/>
    <mergeCell ref="BI433:BI434"/>
    <mergeCell ref="BI481:BI482"/>
    <mergeCell ref="BI849:BI850"/>
    <mergeCell ref="BI865:BI866"/>
    <mergeCell ref="BI305:BI306"/>
    <mergeCell ref="BI401:BI402"/>
    <mergeCell ref="BI417:BI418"/>
    <mergeCell ref="AS1221:AT1222"/>
    <mergeCell ref="AS1230:AT1231"/>
    <mergeCell ref="AR9:AS9"/>
    <mergeCell ref="AR10:AS10"/>
    <mergeCell ref="AR11:AS11"/>
    <mergeCell ref="AR12:AS12"/>
    <mergeCell ref="AR13:AS13"/>
    <mergeCell ref="AR14:AS14"/>
    <mergeCell ref="AR15:AS15"/>
    <mergeCell ref="AT8:AT9"/>
    <mergeCell ref="AS1018:AT1019"/>
    <mergeCell ref="AS1027:AT1028"/>
    <mergeCell ref="AS1036:AT1037"/>
    <mergeCell ref="AS1045:AT1046"/>
    <mergeCell ref="AS1104:AT1105"/>
    <mergeCell ref="AS1095:AT1096"/>
    <mergeCell ref="AS1051:AT1052"/>
    <mergeCell ref="AS1059:AT1060"/>
    <mergeCell ref="AS991:AT992"/>
    <mergeCell ref="AS1000:AT1001"/>
    <mergeCell ref="AS962:AT963"/>
    <mergeCell ref="AS972:AT973"/>
    <mergeCell ref="AS1009:AT1010"/>
    <mergeCell ref="AS1068:AT1069"/>
  </mergeCells>
  <phoneticPr fontId="3"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2DF5-C6DB-47A0-BC69-DF494CFD8C72}">
  <dimension ref="A1:CA540"/>
  <sheetViews>
    <sheetView topLeftCell="I1" zoomScale="97" workbookViewId="0">
      <pane ySplit="1" topLeftCell="A7" activePane="bottomLeft" state="frozen"/>
      <selection pane="bottomLeft" activeCell="AR20" sqref="AR20:AT20"/>
    </sheetView>
  </sheetViews>
  <sheetFormatPr defaultRowHeight="14.4" x14ac:dyDescent="0.3"/>
  <cols>
    <col min="1" max="1" width="3.44140625" bestFit="1" customWidth="1"/>
    <col min="2" max="2" width="21.5546875" bestFit="1" customWidth="1"/>
    <col min="3" max="3" width="17.44140625" bestFit="1" customWidth="1"/>
    <col min="42" max="42" width="9" bestFit="1" customWidth="1"/>
    <col min="43" max="43" width="18.77734375" bestFit="1" customWidth="1"/>
    <col min="47" max="47" width="4.88671875" bestFit="1" customWidth="1"/>
  </cols>
  <sheetData>
    <row r="1" spans="1:79" x14ac:dyDescent="0.3">
      <c r="A1" s="49" t="s">
        <v>288</v>
      </c>
      <c r="B1" s="49" t="s">
        <v>0</v>
      </c>
      <c r="C1" s="49" t="s">
        <v>64</v>
      </c>
      <c r="D1" s="49" t="s">
        <v>43</v>
      </c>
      <c r="E1" s="49" t="s">
        <v>44</v>
      </c>
      <c r="F1" s="49" t="s">
        <v>45</v>
      </c>
      <c r="G1" s="49" t="s">
        <v>46</v>
      </c>
      <c r="H1" s="49" t="s">
        <v>47</v>
      </c>
      <c r="I1" s="49" t="s">
        <v>48</v>
      </c>
      <c r="J1" s="49" t="s">
        <v>49</v>
      </c>
      <c r="K1" s="49" t="s">
        <v>50</v>
      </c>
      <c r="L1" s="49" t="s">
        <v>51</v>
      </c>
      <c r="M1" s="49" t="s">
        <v>52</v>
      </c>
      <c r="N1" s="49" t="s">
        <v>53</v>
      </c>
      <c r="O1" s="49" t="s">
        <v>54</v>
      </c>
      <c r="P1" s="49" t="s">
        <v>55</v>
      </c>
      <c r="Q1" s="49" t="s">
        <v>56</v>
      </c>
      <c r="R1" s="49" t="s">
        <v>57</v>
      </c>
      <c r="S1" s="49" t="s">
        <v>58</v>
      </c>
      <c r="T1" s="49" t="s">
        <v>59</v>
      </c>
      <c r="U1" s="49" t="s">
        <v>60</v>
      </c>
      <c r="V1" s="49" t="s">
        <v>61</v>
      </c>
      <c r="W1" s="49" t="s">
        <v>62</v>
      </c>
      <c r="X1" s="49" t="s">
        <v>63</v>
      </c>
      <c r="Y1" s="49" t="s">
        <v>330</v>
      </c>
      <c r="Z1" s="49" t="s">
        <v>331</v>
      </c>
      <c r="AA1" s="49" t="s">
        <v>332</v>
      </c>
      <c r="AB1" s="49" t="s">
        <v>333</v>
      </c>
      <c r="AC1" s="49" t="s">
        <v>334</v>
      </c>
      <c r="AD1" s="49" t="s">
        <v>335</v>
      </c>
      <c r="AE1" s="49" t="s">
        <v>336</v>
      </c>
      <c r="AF1" s="49" t="s">
        <v>337</v>
      </c>
      <c r="AG1" s="49" t="s">
        <v>338</v>
      </c>
      <c r="AH1" s="49" t="s">
        <v>339</v>
      </c>
      <c r="AI1" s="49" t="s">
        <v>340</v>
      </c>
      <c r="AJ1" s="49" t="s">
        <v>341</v>
      </c>
      <c r="AK1" s="49" t="s">
        <v>342</v>
      </c>
      <c r="AL1" s="49" t="s">
        <v>343</v>
      </c>
      <c r="AM1" s="49" t="s">
        <v>390</v>
      </c>
      <c r="AO1" s="75" t="s">
        <v>436</v>
      </c>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row>
    <row r="2" spans="1:79" x14ac:dyDescent="0.3">
      <c r="A2" s="6">
        <f t="shared" ref="A2:A33" si="0">ROW()-1</f>
        <v>1</v>
      </c>
      <c r="B2" s="6" t="s">
        <v>317</v>
      </c>
      <c r="C2" s="6">
        <v>1</v>
      </c>
      <c r="D2" s="6" t="s">
        <v>4</v>
      </c>
      <c r="E2" s="6" t="s">
        <v>5</v>
      </c>
      <c r="F2" s="6" t="s">
        <v>3</v>
      </c>
      <c r="G2" s="6" t="s">
        <v>5</v>
      </c>
      <c r="H2" s="6" t="s">
        <v>5</v>
      </c>
      <c r="I2" s="6" t="s">
        <v>5</v>
      </c>
      <c r="J2" s="6" t="s">
        <v>2</v>
      </c>
      <c r="K2" s="6" t="s">
        <v>2</v>
      </c>
      <c r="L2" s="6" t="s">
        <v>2</v>
      </c>
      <c r="M2" s="6" t="s">
        <v>2</v>
      </c>
      <c r="N2" s="6" t="s">
        <v>3</v>
      </c>
      <c r="O2" s="6" t="s">
        <v>5</v>
      </c>
      <c r="P2" s="6" t="s">
        <v>5</v>
      </c>
      <c r="Q2" s="6" t="s">
        <v>3</v>
      </c>
      <c r="R2" s="6" t="s">
        <v>3</v>
      </c>
      <c r="S2" s="6" t="s">
        <v>5</v>
      </c>
      <c r="T2" s="6" t="s">
        <v>5</v>
      </c>
      <c r="U2" s="6" t="s">
        <v>5</v>
      </c>
      <c r="V2" s="6" t="s">
        <v>2</v>
      </c>
      <c r="W2" s="6" t="s">
        <v>4</v>
      </c>
      <c r="X2" s="6" t="s">
        <v>4</v>
      </c>
      <c r="Y2" s="6" t="s">
        <v>2</v>
      </c>
      <c r="Z2" s="6" t="s">
        <v>4</v>
      </c>
      <c r="AA2" s="6" t="s">
        <v>4</v>
      </c>
      <c r="AB2" s="6" t="s">
        <v>4</v>
      </c>
      <c r="AC2" s="6" t="s">
        <v>4</v>
      </c>
      <c r="AD2" s="6" t="s">
        <v>4</v>
      </c>
      <c r="AE2" s="6" t="s">
        <v>4</v>
      </c>
      <c r="AF2" s="6" t="s">
        <v>4</v>
      </c>
      <c r="AG2" s="6" t="s">
        <v>3</v>
      </c>
      <c r="AH2" s="6" t="s">
        <v>4</v>
      </c>
      <c r="AI2" s="6" t="s">
        <v>3</v>
      </c>
      <c r="AJ2" s="6" t="s">
        <v>4</v>
      </c>
      <c r="AK2" s="6" t="s">
        <v>4</v>
      </c>
      <c r="AL2" s="6" t="s">
        <v>4</v>
      </c>
      <c r="AM2" s="6" t="s">
        <v>3</v>
      </c>
      <c r="AN2">
        <v>1</v>
      </c>
      <c r="AO2" s="82" t="s">
        <v>497</v>
      </c>
      <c r="AP2" s="82"/>
      <c r="AQ2" s="7" t="s">
        <v>64</v>
      </c>
      <c r="AR2" s="49" t="s">
        <v>43</v>
      </c>
      <c r="AS2" s="49" t="s">
        <v>44</v>
      </c>
      <c r="AT2" s="49" t="s">
        <v>45</v>
      </c>
      <c r="AU2" s="49" t="s">
        <v>46</v>
      </c>
      <c r="AV2" s="49" t="s">
        <v>47</v>
      </c>
      <c r="AW2" s="49" t="s">
        <v>48</v>
      </c>
      <c r="AX2" s="49" t="s">
        <v>49</v>
      </c>
      <c r="AY2" s="49" t="s">
        <v>50</v>
      </c>
      <c r="AZ2" s="49" t="s">
        <v>51</v>
      </c>
      <c r="BA2" s="49" t="s">
        <v>52</v>
      </c>
      <c r="BB2" s="49" t="s">
        <v>53</v>
      </c>
      <c r="BC2" s="49" t="s">
        <v>54</v>
      </c>
      <c r="BD2" s="49" t="s">
        <v>55</v>
      </c>
      <c r="BE2" s="49" t="s">
        <v>56</v>
      </c>
      <c r="BF2" s="49" t="s">
        <v>57</v>
      </c>
      <c r="BG2" s="49" t="s">
        <v>58</v>
      </c>
      <c r="BH2" s="49" t="s">
        <v>59</v>
      </c>
      <c r="BI2" s="49" t="s">
        <v>60</v>
      </c>
      <c r="BJ2" s="49" t="s">
        <v>61</v>
      </c>
      <c r="BK2" s="49" t="s">
        <v>62</v>
      </c>
      <c r="BL2" s="49" t="s">
        <v>63</v>
      </c>
      <c r="BM2" s="49" t="s">
        <v>330</v>
      </c>
      <c r="BN2" s="49" t="s">
        <v>331</v>
      </c>
      <c r="BO2" s="49" t="s">
        <v>332</v>
      </c>
      <c r="BP2" s="49" t="s">
        <v>333</v>
      </c>
      <c r="BQ2" s="49" t="s">
        <v>334</v>
      </c>
      <c r="BR2" s="49" t="s">
        <v>335</v>
      </c>
      <c r="BS2" s="49" t="s">
        <v>336</v>
      </c>
      <c r="BT2" s="49" t="s">
        <v>337</v>
      </c>
      <c r="BU2" s="49" t="s">
        <v>338</v>
      </c>
      <c r="BV2" s="49" t="s">
        <v>339</v>
      </c>
      <c r="BW2" s="49" t="s">
        <v>340</v>
      </c>
      <c r="BX2" s="49" t="s">
        <v>341</v>
      </c>
      <c r="BY2" s="49" t="s">
        <v>342</v>
      </c>
      <c r="BZ2" s="49" t="s">
        <v>343</v>
      </c>
      <c r="CA2" s="49" t="s">
        <v>390</v>
      </c>
    </row>
    <row r="3" spans="1:79" x14ac:dyDescent="0.3">
      <c r="A3" s="6">
        <f t="shared" si="0"/>
        <v>2</v>
      </c>
      <c r="B3" s="6" t="s">
        <v>313</v>
      </c>
      <c r="C3" s="6">
        <v>1</v>
      </c>
      <c r="D3" s="6" t="s">
        <v>2</v>
      </c>
      <c r="E3" s="6" t="s">
        <v>3</v>
      </c>
      <c r="F3" s="6" t="s">
        <v>4</v>
      </c>
      <c r="G3" s="6" t="s">
        <v>5</v>
      </c>
      <c r="H3" s="6" t="s">
        <v>5</v>
      </c>
      <c r="I3" s="6" t="s">
        <v>5</v>
      </c>
      <c r="J3" s="6" t="s">
        <v>5</v>
      </c>
      <c r="K3" s="6" t="s">
        <v>2</v>
      </c>
      <c r="L3" s="6" t="s">
        <v>3</v>
      </c>
      <c r="M3" s="6" t="s">
        <v>3</v>
      </c>
      <c r="N3" s="6" t="s">
        <v>4</v>
      </c>
      <c r="O3" s="6" t="s">
        <v>3</v>
      </c>
      <c r="P3" s="6" t="s">
        <v>5</v>
      </c>
      <c r="Q3" s="6" t="s">
        <v>3</v>
      </c>
      <c r="R3" s="6" t="s">
        <v>3</v>
      </c>
      <c r="S3" s="6" t="s">
        <v>5</v>
      </c>
      <c r="T3" s="6" t="s">
        <v>5</v>
      </c>
      <c r="U3" s="6" t="s">
        <v>5</v>
      </c>
      <c r="V3" s="6" t="s">
        <v>2</v>
      </c>
      <c r="W3" s="6" t="s">
        <v>4</v>
      </c>
      <c r="X3" s="6" t="s">
        <v>3</v>
      </c>
      <c r="Y3" s="6" t="s">
        <v>2</v>
      </c>
      <c r="Z3" s="6" t="s">
        <v>3</v>
      </c>
      <c r="AA3" s="6" t="s">
        <v>4</v>
      </c>
      <c r="AB3" s="6" t="s">
        <v>4</v>
      </c>
      <c r="AC3" s="6" t="s">
        <v>4</v>
      </c>
      <c r="AD3" s="6" t="s">
        <v>4</v>
      </c>
      <c r="AE3" s="6" t="s">
        <v>4</v>
      </c>
      <c r="AF3" s="6" t="s">
        <v>4</v>
      </c>
      <c r="AG3" s="6" t="s">
        <v>4</v>
      </c>
      <c r="AH3" s="6" t="s">
        <v>4</v>
      </c>
      <c r="AI3" s="6" t="s">
        <v>4</v>
      </c>
      <c r="AJ3" s="6" t="s">
        <v>4</v>
      </c>
      <c r="AK3" s="6" t="s">
        <v>4</v>
      </c>
      <c r="AL3" s="6" t="s">
        <v>3</v>
      </c>
      <c r="AM3" s="6" t="s">
        <v>3</v>
      </c>
      <c r="AO3" s="82"/>
      <c r="AP3" s="82"/>
      <c r="AQ3" s="7">
        <v>1</v>
      </c>
      <c r="AR3" s="28" t="s">
        <v>4</v>
      </c>
      <c r="AS3" s="28" t="s">
        <v>5</v>
      </c>
      <c r="AT3" s="28" t="s">
        <v>3</v>
      </c>
      <c r="AU3" s="28" t="s">
        <v>5</v>
      </c>
      <c r="AV3" s="28" t="s">
        <v>5</v>
      </c>
      <c r="AW3" s="28" t="s">
        <v>5</v>
      </c>
      <c r="AX3" s="28" t="s">
        <v>2</v>
      </c>
      <c r="AY3" s="28" t="s">
        <v>2</v>
      </c>
      <c r="AZ3" s="28" t="s">
        <v>2</v>
      </c>
      <c r="BA3" s="28" t="s">
        <v>2</v>
      </c>
      <c r="BB3" s="28" t="s">
        <v>3</v>
      </c>
      <c r="BC3" s="28" t="s">
        <v>5</v>
      </c>
      <c r="BD3" s="28" t="s">
        <v>5</v>
      </c>
      <c r="BE3" s="28" t="s">
        <v>3</v>
      </c>
      <c r="BF3" s="28" t="s">
        <v>3</v>
      </c>
      <c r="BG3" s="28" t="s">
        <v>5</v>
      </c>
      <c r="BH3" s="28" t="s">
        <v>5</v>
      </c>
      <c r="BI3" s="28" t="s">
        <v>5</v>
      </c>
      <c r="BJ3" s="28" t="s">
        <v>2</v>
      </c>
      <c r="BK3" s="28" t="s">
        <v>4</v>
      </c>
      <c r="BL3" s="28" t="s">
        <v>4</v>
      </c>
      <c r="BM3" s="28" t="s">
        <v>2</v>
      </c>
      <c r="BN3" s="28" t="s">
        <v>4</v>
      </c>
      <c r="BO3" s="28" t="s">
        <v>4</v>
      </c>
      <c r="BP3" s="28" t="s">
        <v>4</v>
      </c>
      <c r="BQ3" s="28" t="s">
        <v>4</v>
      </c>
      <c r="BR3" s="28" t="s">
        <v>4</v>
      </c>
      <c r="BS3" s="28" t="s">
        <v>4</v>
      </c>
      <c r="BT3" s="28" t="s">
        <v>4</v>
      </c>
      <c r="BU3" s="28" t="s">
        <v>3</v>
      </c>
      <c r="BV3" s="28" t="s">
        <v>4</v>
      </c>
      <c r="BW3" s="28" t="s">
        <v>3</v>
      </c>
      <c r="BX3" s="28" t="s">
        <v>4</v>
      </c>
      <c r="BY3" s="28" t="s">
        <v>4</v>
      </c>
      <c r="BZ3" s="28" t="s">
        <v>4</v>
      </c>
      <c r="CA3" s="28" t="s">
        <v>3</v>
      </c>
    </row>
    <row r="4" spans="1:79" x14ac:dyDescent="0.3">
      <c r="A4" s="6">
        <f t="shared" si="0"/>
        <v>3</v>
      </c>
      <c r="B4" s="6" t="s">
        <v>316</v>
      </c>
      <c r="C4" s="6">
        <v>1</v>
      </c>
      <c r="D4" s="6" t="s">
        <v>2</v>
      </c>
      <c r="E4" s="6" t="s">
        <v>5</v>
      </c>
      <c r="F4" s="6" t="s">
        <v>3</v>
      </c>
      <c r="G4" s="6" t="s">
        <v>5</v>
      </c>
      <c r="H4" s="6" t="s">
        <v>5</v>
      </c>
      <c r="I4" s="6" t="s">
        <v>3</v>
      </c>
      <c r="J4" s="6" t="s">
        <v>2</v>
      </c>
      <c r="K4" s="6" t="s">
        <v>2</v>
      </c>
      <c r="L4" s="6" t="s">
        <v>2</v>
      </c>
      <c r="M4" s="6" t="s">
        <v>3</v>
      </c>
      <c r="N4" s="6" t="s">
        <v>4</v>
      </c>
      <c r="O4" s="6" t="s">
        <v>5</v>
      </c>
      <c r="P4" s="6" t="s">
        <v>5</v>
      </c>
      <c r="Q4" s="6" t="s">
        <v>3</v>
      </c>
      <c r="R4" s="6" t="s">
        <v>3</v>
      </c>
      <c r="S4" s="6" t="s">
        <v>5</v>
      </c>
      <c r="T4" s="6" t="s">
        <v>5</v>
      </c>
      <c r="U4" s="6" t="s">
        <v>5</v>
      </c>
      <c r="V4" s="6" t="s">
        <v>5</v>
      </c>
      <c r="W4" s="6" t="s">
        <v>4</v>
      </c>
      <c r="X4" s="6" t="s">
        <v>3</v>
      </c>
      <c r="Y4" s="6" t="s">
        <v>2</v>
      </c>
      <c r="Z4" s="6" t="s">
        <v>3</v>
      </c>
      <c r="AA4" s="6" t="s">
        <v>4</v>
      </c>
      <c r="AB4" s="6" t="s">
        <v>4</v>
      </c>
      <c r="AC4" s="6" t="s">
        <v>4</v>
      </c>
      <c r="AD4" s="6" t="s">
        <v>4</v>
      </c>
      <c r="AE4" s="6" t="s">
        <v>4</v>
      </c>
      <c r="AF4" s="6" t="s">
        <v>3</v>
      </c>
      <c r="AG4" s="6" t="s">
        <v>3</v>
      </c>
      <c r="AH4" s="6" t="s">
        <v>4</v>
      </c>
      <c r="AI4" s="6" t="s">
        <v>4</v>
      </c>
      <c r="AJ4" s="6" t="s">
        <v>4</v>
      </c>
      <c r="AK4" s="6" t="s">
        <v>4</v>
      </c>
      <c r="AL4" s="6" t="s">
        <v>4</v>
      </c>
      <c r="AM4" s="6" t="s">
        <v>3</v>
      </c>
      <c r="AO4" s="80" t="s">
        <v>504</v>
      </c>
      <c r="AP4" s="80"/>
      <c r="AQ4" s="32">
        <f>'Data Training 1'!AW22*'Data Training 1'!AT31*'Data Training 1'!AT40*'Data Training 1'!AT44*'Data Training 1'!AT52*'Data Training 1'!AT58*'Data Training 1'!AT64*'Data Training 1'!AT69*'Data Training 1'!AT75*'Data Training 1'!AT81*'Data Training 1'!AT87*'Data Training 1'!AT92*'Data Training 1'!AT100*'Data Training 1'!AT106*'Data Training 1'!AT110*'Data Training 1'!AT116*'Data Training 1'!AT124*'Data Training 1'!AT130*'Data Training 1'!AT136*'Data Training 1'!AT141*'Data Training 1'!AT145*'Data Training 1'!AT151*'Data Training 1'!AT159*'Data Training 1'!AT163*'Data Training 1'!AT167*'Data Training 1'!AT171*'Data Training 1'!AT175*'Data Training 1'!AT179*'Data Training 1'!AT183*'Data Training 1'!AT187*'Data Training 1'!AT192*'Data Training 1'!AT195*'Data Training 1'!AT200*'Data Training 1'!AT203*'Data Training 1'!AT207*'Data Training 1'!AT211*'Data Training 1'!AT216</f>
        <v>6.5677962001668513E-11</v>
      </c>
    </row>
    <row r="5" spans="1:79" x14ac:dyDescent="0.3">
      <c r="A5" s="6">
        <f t="shared" si="0"/>
        <v>4</v>
      </c>
      <c r="B5" s="6" t="s">
        <v>484</v>
      </c>
      <c r="C5" s="6">
        <v>1</v>
      </c>
      <c r="D5" s="6" t="s">
        <v>5</v>
      </c>
      <c r="E5" s="6" t="s">
        <v>3</v>
      </c>
      <c r="F5" s="6" t="s">
        <v>2</v>
      </c>
      <c r="G5" s="6" t="s">
        <v>3</v>
      </c>
      <c r="H5" s="6" t="s">
        <v>5</v>
      </c>
      <c r="I5" s="6" t="s">
        <v>5</v>
      </c>
      <c r="J5" s="6" t="s">
        <v>5</v>
      </c>
      <c r="K5" s="6" t="s">
        <v>2</v>
      </c>
      <c r="L5" s="6" t="s">
        <v>2</v>
      </c>
      <c r="M5" s="6" t="s">
        <v>2</v>
      </c>
      <c r="N5" s="6" t="s">
        <v>2</v>
      </c>
      <c r="O5" s="6" t="s">
        <v>5</v>
      </c>
      <c r="P5" s="6" t="s">
        <v>5</v>
      </c>
      <c r="Q5" s="6" t="s">
        <v>3</v>
      </c>
      <c r="R5" s="6" t="s">
        <v>3</v>
      </c>
      <c r="S5" s="6" t="s">
        <v>5</v>
      </c>
      <c r="T5" s="6" t="s">
        <v>5</v>
      </c>
      <c r="U5" s="6" t="s">
        <v>5</v>
      </c>
      <c r="V5" s="6" t="s">
        <v>5</v>
      </c>
      <c r="W5" s="6" t="s">
        <v>4</v>
      </c>
      <c r="X5" s="6" t="s">
        <v>4</v>
      </c>
      <c r="Y5" s="6" t="s">
        <v>4</v>
      </c>
      <c r="Z5" s="6" t="s">
        <v>3</v>
      </c>
      <c r="AA5" s="6" t="s">
        <v>3</v>
      </c>
      <c r="AB5" s="6" t="s">
        <v>3</v>
      </c>
      <c r="AC5" s="6" t="s">
        <v>4</v>
      </c>
      <c r="AD5" s="6" t="s">
        <v>4</v>
      </c>
      <c r="AE5" s="6" t="s">
        <v>4</v>
      </c>
      <c r="AF5" s="6" t="s">
        <v>4</v>
      </c>
      <c r="AG5" s="6" t="s">
        <v>3</v>
      </c>
      <c r="AH5" s="6" t="s">
        <v>4</v>
      </c>
      <c r="AI5" s="6" t="s">
        <v>3</v>
      </c>
      <c r="AJ5" s="6" t="s">
        <v>3</v>
      </c>
      <c r="AK5" s="6" t="s">
        <v>4</v>
      </c>
      <c r="AL5" s="6" t="s">
        <v>4</v>
      </c>
      <c r="AM5" s="6" t="s">
        <v>3</v>
      </c>
      <c r="AO5" s="80" t="s">
        <v>505</v>
      </c>
      <c r="AP5" s="80"/>
      <c r="AQ5" s="32">
        <f>'Data Training 1'!AW23*'Data Training 1'!AU31*'Data Training 1'!AU40*'Data Training 1'!AU44*'Data Training 1'!AU52*'Data Training 1'!AU58*'Data Training 1'!AU64*'Data Training 1'!AU69*'Data Training 1'!AU75*'Data Training 1'!AU81*'Data Training 1'!AU87*'Data Training 1'!AU92*'Data Training 1'!AU100*'Data Training 1'!AU106*'Data Training 1'!AU110*'Data Training 1'!AU116*'Data Training 1'!AU124*'Data Training 1'!AU130*'Data Training 1'!AU136*'Data Training 1'!AU141*'Data Training 1'!AU145*'Data Training 1'!AU151*'Data Training 1'!AU159*'Data Training 1'!AU163*'Data Training 1'!AU167*'Data Training 1'!AU171*'Data Training 1'!AU175*'Data Training 1'!AU179*'Data Training 1'!AU183*'Data Training 1'!AU187*'Data Training 1'!AU192*'Data Training 1'!AU195*'Data Training 1'!AU200*'Data Training 1'!AU203*'Data Training 1'!AU207*'Data Training 1'!AU211*'Data Training 1'!AU216</f>
        <v>0</v>
      </c>
    </row>
    <row r="6" spans="1:79" x14ac:dyDescent="0.3">
      <c r="A6" s="6">
        <f t="shared" si="0"/>
        <v>5</v>
      </c>
      <c r="B6" s="6" t="s">
        <v>460</v>
      </c>
      <c r="C6" s="6">
        <v>1</v>
      </c>
      <c r="D6" s="6" t="s">
        <v>5</v>
      </c>
      <c r="E6" s="6" t="s">
        <v>3</v>
      </c>
      <c r="F6" s="6" t="s">
        <v>4</v>
      </c>
      <c r="G6" s="6" t="s">
        <v>3</v>
      </c>
      <c r="H6" s="6" t="s">
        <v>5</v>
      </c>
      <c r="I6" s="6" t="s">
        <v>5</v>
      </c>
      <c r="J6" s="6" t="s">
        <v>5</v>
      </c>
      <c r="K6" s="6" t="s">
        <v>2</v>
      </c>
      <c r="L6" s="6" t="s">
        <v>3</v>
      </c>
      <c r="M6" s="6" t="s">
        <v>3</v>
      </c>
      <c r="N6" s="6" t="s">
        <v>2</v>
      </c>
      <c r="O6" s="6" t="s">
        <v>4</v>
      </c>
      <c r="P6" s="6" t="s">
        <v>5</v>
      </c>
      <c r="Q6" s="6" t="s">
        <v>3</v>
      </c>
      <c r="R6" s="6" t="s">
        <v>2</v>
      </c>
      <c r="S6" s="6" t="s">
        <v>5</v>
      </c>
      <c r="T6" s="6" t="s">
        <v>5</v>
      </c>
      <c r="U6" s="6" t="s">
        <v>5</v>
      </c>
      <c r="V6" s="6" t="s">
        <v>5</v>
      </c>
      <c r="W6" s="6" t="s">
        <v>4</v>
      </c>
      <c r="X6" s="6" t="s">
        <v>4</v>
      </c>
      <c r="Y6" s="6" t="s">
        <v>4</v>
      </c>
      <c r="Z6" s="6" t="s">
        <v>3</v>
      </c>
      <c r="AA6" s="6" t="s">
        <v>3</v>
      </c>
      <c r="AB6" s="6" t="s">
        <v>3</v>
      </c>
      <c r="AC6" s="6" t="s">
        <v>4</v>
      </c>
      <c r="AD6" s="6" t="s">
        <v>4</v>
      </c>
      <c r="AE6" s="6" t="s">
        <v>4</v>
      </c>
      <c r="AF6" s="6" t="s">
        <v>4</v>
      </c>
      <c r="AG6" s="6" t="s">
        <v>4</v>
      </c>
      <c r="AH6" s="6" t="s">
        <v>4</v>
      </c>
      <c r="AI6" s="6" t="s">
        <v>4</v>
      </c>
      <c r="AJ6" s="6" t="s">
        <v>4</v>
      </c>
      <c r="AK6" s="6" t="s">
        <v>4</v>
      </c>
      <c r="AL6" s="6" t="s">
        <v>4</v>
      </c>
      <c r="AM6" s="6" t="s">
        <v>3</v>
      </c>
      <c r="AO6" s="80" t="s">
        <v>506</v>
      </c>
      <c r="AP6" s="80"/>
      <c r="AQ6" s="32">
        <f>'Data Training 1'!AW24*'Data Training 1'!AV31*'Data Training 1'!AV40*'Data Training 1'!AV44*'Data Training 1'!AV52*'Data Training 1'!AV58*'Data Training 1'!AV64*'Data Training 1'!AV69*'Data Training 1'!AV75*'Data Training 1'!AV81*'Data Training 1'!AV87*'Data Training 1'!AV92*'Data Training 1'!AV100*'Data Training 1'!AV106*'Data Training 1'!AV110*'Data Training 1'!AV116*'Data Training 1'!AV124*'Data Training 1'!AV130*'Data Training 1'!AV136*'Data Training 1'!AV141*'Data Training 1'!AV145*'Data Training 1'!AV151*'Data Training 1'!AV159*'Data Training 1'!AV163*'Data Training 1'!AV167*'Data Training 1'!AV171*'Data Training 1'!AV175*'Data Training 1'!AV179*'Data Training 1'!AV183*'Data Training 1'!AV187*'Data Training 1'!AV192*'Data Training 1'!AV195*'Data Training 1'!AV200*'Data Training 1'!AV203*'Data Training 1'!AV207*'Data Training 1'!AV211*'Data Training 1'!AV216</f>
        <v>1.7783571249682544E-10</v>
      </c>
    </row>
    <row r="7" spans="1:79" x14ac:dyDescent="0.3">
      <c r="A7" s="6">
        <f t="shared" si="0"/>
        <v>6</v>
      </c>
      <c r="B7" s="6" t="s">
        <v>483</v>
      </c>
      <c r="C7" s="6">
        <v>1</v>
      </c>
      <c r="D7" s="6" t="s">
        <v>5</v>
      </c>
      <c r="E7" s="6" t="s">
        <v>3</v>
      </c>
      <c r="F7" s="6" t="s">
        <v>2</v>
      </c>
      <c r="G7" s="6" t="s">
        <v>3</v>
      </c>
      <c r="H7" s="6" t="s">
        <v>5</v>
      </c>
      <c r="I7" s="6" t="s">
        <v>5</v>
      </c>
      <c r="J7" s="6" t="s">
        <v>5</v>
      </c>
      <c r="K7" s="6" t="s">
        <v>2</v>
      </c>
      <c r="L7" s="6" t="s">
        <v>3</v>
      </c>
      <c r="M7" s="6" t="s">
        <v>3</v>
      </c>
      <c r="N7" s="6" t="s">
        <v>2</v>
      </c>
      <c r="O7" s="6" t="s">
        <v>5</v>
      </c>
      <c r="P7" s="6" t="s">
        <v>5</v>
      </c>
      <c r="Q7" s="6" t="s">
        <v>3</v>
      </c>
      <c r="R7" s="6" t="s">
        <v>2</v>
      </c>
      <c r="S7" s="6" t="s">
        <v>5</v>
      </c>
      <c r="T7" s="6" t="s">
        <v>5</v>
      </c>
      <c r="U7" s="6" t="s">
        <v>5</v>
      </c>
      <c r="V7" s="6" t="s">
        <v>4</v>
      </c>
      <c r="W7" s="6" t="s">
        <v>4</v>
      </c>
      <c r="X7" s="6" t="s">
        <v>4</v>
      </c>
      <c r="Y7" s="6" t="s">
        <v>4</v>
      </c>
      <c r="Z7" s="6" t="s">
        <v>3</v>
      </c>
      <c r="AA7" s="6" t="s">
        <v>3</v>
      </c>
      <c r="AB7" s="6" t="s">
        <v>3</v>
      </c>
      <c r="AC7" s="6" t="s">
        <v>4</v>
      </c>
      <c r="AD7" s="6" t="s">
        <v>4</v>
      </c>
      <c r="AE7" s="6" t="s">
        <v>4</v>
      </c>
      <c r="AF7" s="6" t="s">
        <v>4</v>
      </c>
      <c r="AG7" s="6" t="s">
        <v>3</v>
      </c>
      <c r="AH7" s="6" t="s">
        <v>4</v>
      </c>
      <c r="AI7" s="6" t="s">
        <v>3</v>
      </c>
      <c r="AJ7" s="6" t="s">
        <v>4</v>
      </c>
      <c r="AK7" s="6" t="s">
        <v>4</v>
      </c>
      <c r="AL7" s="6" t="s">
        <v>3</v>
      </c>
      <c r="AM7" s="6" t="s">
        <v>3</v>
      </c>
      <c r="AO7" s="80" t="s">
        <v>507</v>
      </c>
      <c r="AP7" s="80"/>
      <c r="AQ7" s="32">
        <f>'Data Training 1'!AW25*'Data Training 1'!AW31*'Data Training 1'!AW40*'Data Training 1'!AW44*'Data Training 1'!AW52*'Data Training 1'!AW58*'Data Training 1'!AW64*'Data Training 1'!AW69*'Data Training 1'!AW75*'Data Training 1'!AW81*'Data Training 1'!AW87*'Data Training 1'!AW92*'Data Training 1'!AW100*'Data Training 1'!AW106*'Data Training 1'!AW110*'Data Training 1'!AW116*'Data Training 1'!AW124*'Data Training 1'!AW130*'Data Training 1'!AW136*'Data Training 1'!AW141*'Data Training 1'!AW145*'Data Training 1'!AW151*'Data Training 1'!AW159*'Data Training 1'!AW163*'Data Training 1'!AW167*'Data Training 1'!AW171*'Data Training 1'!AW175*'Data Training 1'!AW179*'Data Training 1'!AW183*'Data Training 1'!AW187*'Data Training 1'!AW192*'Data Training 1'!AW195*'Data Training 1'!AW200*'Data Training 1'!AW203*'Data Training 1'!AW207*'Data Training 1'!AW211*'Data Training 1'!AW216</f>
        <v>0</v>
      </c>
    </row>
    <row r="8" spans="1:79" x14ac:dyDescent="0.3">
      <c r="A8" s="6">
        <f t="shared" si="0"/>
        <v>7</v>
      </c>
      <c r="B8" s="6" t="s">
        <v>314</v>
      </c>
      <c r="C8" s="6">
        <v>2</v>
      </c>
      <c r="D8" s="6" t="s">
        <v>5</v>
      </c>
      <c r="E8" s="6" t="s">
        <v>3</v>
      </c>
      <c r="F8" s="6" t="s">
        <v>4</v>
      </c>
      <c r="G8" s="6" t="s">
        <v>3</v>
      </c>
      <c r="H8" s="6" t="s">
        <v>5</v>
      </c>
      <c r="I8" s="6" t="s">
        <v>5</v>
      </c>
      <c r="J8" s="6" t="s">
        <v>3</v>
      </c>
      <c r="K8" s="6" t="s">
        <v>4</v>
      </c>
      <c r="L8" s="6" t="s">
        <v>3</v>
      </c>
      <c r="M8" s="6" t="s">
        <v>3</v>
      </c>
      <c r="N8" s="6" t="s">
        <v>4</v>
      </c>
      <c r="O8" s="6" t="s">
        <v>4</v>
      </c>
      <c r="P8" s="6" t="s">
        <v>5</v>
      </c>
      <c r="Q8" s="6" t="s">
        <v>3</v>
      </c>
      <c r="R8" s="6" t="s">
        <v>4</v>
      </c>
      <c r="S8" s="6" t="s">
        <v>5</v>
      </c>
      <c r="T8" s="6" t="s">
        <v>5</v>
      </c>
      <c r="U8" s="6" t="s">
        <v>5</v>
      </c>
      <c r="V8" s="6" t="s">
        <v>3</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4</v>
      </c>
      <c r="AM8" s="6" t="s">
        <v>3</v>
      </c>
      <c r="AO8" s="80" t="s">
        <v>508</v>
      </c>
      <c r="AP8" s="80"/>
      <c r="AQ8" s="32">
        <f>'Data Training 1'!AW26*'Data Training 1'!AX31*'Data Training 1'!AX40*'Data Training 1'!AX44*'Data Training 1'!AX52*'Data Training 1'!AX58*'Data Training 1'!AX64*'Data Training 1'!AX69*'Data Training 1'!AX75*'Data Training 1'!AX81*'Data Training 1'!AX87*'Data Training 1'!AX92*'Data Training 1'!AX100*'Data Training 1'!AX106*'Data Training 1'!AX110*'Data Training 1'!AX116*'Data Training 1'!AX124*'Data Training 1'!AX130*'Data Training 1'!AX136*'Data Training 1'!AX141*'Data Training 1'!AX145*'Data Training 1'!AX151*'Data Training 1'!AX159*'Data Training 1'!AX163*'Data Training 1'!AX167*'Data Training 1'!AX171*'Data Training 1'!AX175*'Data Training 1'!AX179*'Data Training 1'!AX183*'Data Training 1'!AX187*'Data Training 1'!AX192*'Data Training 1'!AX195*'Data Training 1'!AX200*'Data Training 1'!AX203*'Data Training 1'!AX207*'Data Training 1'!AX211*'Data Training 1'!AX216</f>
        <v>0</v>
      </c>
    </row>
    <row r="9" spans="1:79" x14ac:dyDescent="0.3">
      <c r="A9" s="6">
        <f t="shared" si="0"/>
        <v>8</v>
      </c>
      <c r="B9" s="6" t="s">
        <v>315</v>
      </c>
      <c r="C9" s="6">
        <v>2</v>
      </c>
      <c r="D9" s="6" t="s">
        <v>5</v>
      </c>
      <c r="E9" s="6" t="s">
        <v>5</v>
      </c>
      <c r="F9" s="6" t="s">
        <v>3</v>
      </c>
      <c r="G9" s="6" t="s">
        <v>5</v>
      </c>
      <c r="H9" s="6" t="s">
        <v>5</v>
      </c>
      <c r="I9" s="6" t="s">
        <v>5</v>
      </c>
      <c r="J9" s="6" t="s">
        <v>2</v>
      </c>
      <c r="K9" s="6" t="s">
        <v>2</v>
      </c>
      <c r="L9" s="6" t="s">
        <v>3</v>
      </c>
      <c r="M9" s="6" t="s">
        <v>2</v>
      </c>
      <c r="N9" s="6" t="s">
        <v>2</v>
      </c>
      <c r="O9" s="6" t="s">
        <v>3</v>
      </c>
      <c r="P9" s="6" t="s">
        <v>5</v>
      </c>
      <c r="Q9" s="6" t="s">
        <v>3</v>
      </c>
      <c r="R9" s="6" t="s">
        <v>4</v>
      </c>
      <c r="S9" s="6" t="s">
        <v>5</v>
      </c>
      <c r="T9" s="6" t="s">
        <v>5</v>
      </c>
      <c r="U9" s="6" t="s">
        <v>5</v>
      </c>
      <c r="V9" s="6" t="s">
        <v>5</v>
      </c>
      <c r="W9" s="6" t="s">
        <v>4</v>
      </c>
      <c r="X9" s="6" t="s">
        <v>3</v>
      </c>
      <c r="Y9" s="6" t="s">
        <v>2</v>
      </c>
      <c r="Z9" s="6" t="s">
        <v>3</v>
      </c>
      <c r="AA9" s="6" t="s">
        <v>4</v>
      </c>
      <c r="AB9" s="6" t="s">
        <v>4</v>
      </c>
      <c r="AC9" s="6" t="s">
        <v>4</v>
      </c>
      <c r="AD9" s="6" t="s">
        <v>4</v>
      </c>
      <c r="AE9" s="6" t="s">
        <v>4</v>
      </c>
      <c r="AF9" s="6" t="s">
        <v>4</v>
      </c>
      <c r="AG9" s="6" t="s">
        <v>3</v>
      </c>
      <c r="AH9" s="6" t="s">
        <v>4</v>
      </c>
      <c r="AI9" s="6" t="s">
        <v>4</v>
      </c>
      <c r="AJ9" s="6" t="s">
        <v>4</v>
      </c>
      <c r="AK9" s="6" t="s">
        <v>4</v>
      </c>
      <c r="AL9" s="6" t="s">
        <v>3</v>
      </c>
      <c r="AM9" s="6" t="s">
        <v>4</v>
      </c>
      <c r="AO9" s="80" t="s">
        <v>509</v>
      </c>
      <c r="AP9" s="80"/>
      <c r="AQ9" s="32">
        <f>'Data Training 1'!AW27*'Data Training 1'!AY31*'Data Training 1'!AY40*'Data Training 1'!AY44*'Data Training 1'!AY52*'Data Training 1'!AY58*'Data Training 1'!AY64*'Data Training 1'!AY69*'Data Training 1'!AY75*'Data Training 1'!AY81*'Data Training 1'!AY87*'Data Training 1'!AY92*'Data Training 1'!AY100*'Data Training 1'!AY106*'Data Training 1'!AY110*'Data Training 1'!AY116*'Data Training 1'!AY124*'Data Training 1'!AY130*'Data Training 1'!AY136*'Data Training 1'!AY141*'Data Training 1'!AY145*'Data Training 1'!AY151*'Data Training 1'!AY159*'Data Training 1'!AY163*'Data Training 1'!AY167*'Data Training 1'!AY171*'Data Training 1'!AY175*'Data Training 1'!AY179*'Data Training 1'!AY183*'Data Training 1'!AY187*'Data Training 1'!AY192*'Data Training 1'!AY195*'Data Training 1'!AY200*'Data Training 1'!AY203*'Data Training 1'!AY207*'Data Training 1'!AY211*'Data Training 1'!AY216</f>
        <v>0</v>
      </c>
    </row>
    <row r="10" spans="1:79" x14ac:dyDescent="0.3">
      <c r="A10" s="6">
        <f t="shared" si="0"/>
        <v>9</v>
      </c>
      <c r="B10" s="6" t="s">
        <v>318</v>
      </c>
      <c r="C10" s="6">
        <v>2</v>
      </c>
      <c r="D10" s="6" t="s">
        <v>4</v>
      </c>
      <c r="E10" s="6" t="s">
        <v>5</v>
      </c>
      <c r="F10" s="6" t="s">
        <v>3</v>
      </c>
      <c r="G10" s="6" t="s">
        <v>5</v>
      </c>
      <c r="H10" s="6" t="s">
        <v>5</v>
      </c>
      <c r="I10" s="6" t="s">
        <v>5</v>
      </c>
      <c r="J10" s="6" t="s">
        <v>5</v>
      </c>
      <c r="K10" s="6" t="s">
        <v>2</v>
      </c>
      <c r="L10" s="6" t="s">
        <v>3</v>
      </c>
      <c r="M10" s="6" t="s">
        <v>2</v>
      </c>
      <c r="N10" s="6" t="s">
        <v>3</v>
      </c>
      <c r="O10" s="6" t="s">
        <v>2</v>
      </c>
      <c r="P10" s="6" t="s">
        <v>5</v>
      </c>
      <c r="Q10" s="6" t="s">
        <v>3</v>
      </c>
      <c r="R10" s="6" t="s">
        <v>3</v>
      </c>
      <c r="S10" s="6" t="s">
        <v>5</v>
      </c>
      <c r="T10" s="6" t="s">
        <v>5</v>
      </c>
      <c r="U10" s="6" t="s">
        <v>5</v>
      </c>
      <c r="V10" s="6" t="s">
        <v>4</v>
      </c>
      <c r="W10" s="6" t="s">
        <v>4</v>
      </c>
      <c r="X10" s="6" t="s">
        <v>3</v>
      </c>
      <c r="Y10" s="6" t="s">
        <v>2</v>
      </c>
      <c r="Z10" s="6" t="s">
        <v>3</v>
      </c>
      <c r="AA10" s="6" t="s">
        <v>4</v>
      </c>
      <c r="AB10" s="6" t="s">
        <v>4</v>
      </c>
      <c r="AC10" s="6" t="s">
        <v>4</v>
      </c>
      <c r="AD10" s="6" t="s">
        <v>4</v>
      </c>
      <c r="AE10" s="6" t="s">
        <v>4</v>
      </c>
      <c r="AF10" s="6" t="s">
        <v>4</v>
      </c>
      <c r="AG10" s="6" t="s">
        <v>3</v>
      </c>
      <c r="AH10" s="6" t="s">
        <v>4</v>
      </c>
      <c r="AI10" s="6" t="s">
        <v>4</v>
      </c>
      <c r="AJ10" s="6" t="s">
        <v>4</v>
      </c>
      <c r="AK10" s="6" t="s">
        <v>4</v>
      </c>
      <c r="AL10" s="6" t="s">
        <v>4</v>
      </c>
      <c r="AM10" s="6" t="s">
        <v>3</v>
      </c>
      <c r="AO10" s="78" t="s">
        <v>437</v>
      </c>
      <c r="AP10" s="78"/>
      <c r="AQ10" s="6" t="s">
        <v>285</v>
      </c>
      <c r="AR10" s="83" t="s">
        <v>438</v>
      </c>
      <c r="AS10" s="83"/>
      <c r="AT10" s="83"/>
    </row>
    <row r="11" spans="1:79" x14ac:dyDescent="0.3">
      <c r="A11" s="6">
        <f t="shared" si="0"/>
        <v>10</v>
      </c>
      <c r="B11" s="6" t="s">
        <v>463</v>
      </c>
      <c r="C11" s="6">
        <v>2</v>
      </c>
      <c r="D11" s="6" t="s">
        <v>2</v>
      </c>
      <c r="E11" s="6" t="s">
        <v>3</v>
      </c>
      <c r="F11" s="6" t="s">
        <v>2</v>
      </c>
      <c r="G11" s="6" t="s">
        <v>5</v>
      </c>
      <c r="H11" s="6" t="s">
        <v>5</v>
      </c>
      <c r="I11" s="6" t="s">
        <v>5</v>
      </c>
      <c r="J11" s="6" t="s">
        <v>5</v>
      </c>
      <c r="K11" s="6" t="s">
        <v>2</v>
      </c>
      <c r="L11" s="6" t="s">
        <v>3</v>
      </c>
      <c r="M11" s="6" t="s">
        <v>3</v>
      </c>
      <c r="N11" s="6" t="s">
        <v>2</v>
      </c>
      <c r="O11" s="6" t="s">
        <v>5</v>
      </c>
      <c r="P11" s="6" t="s">
        <v>5</v>
      </c>
      <c r="Q11" s="6" t="s">
        <v>3</v>
      </c>
      <c r="R11" s="6" t="s">
        <v>2</v>
      </c>
      <c r="S11" s="6" t="s">
        <v>5</v>
      </c>
      <c r="T11" s="6" t="s">
        <v>5</v>
      </c>
      <c r="U11" s="6" t="s">
        <v>5</v>
      </c>
      <c r="V11" s="6" t="s">
        <v>5</v>
      </c>
      <c r="W11" s="6" t="s">
        <v>4</v>
      </c>
      <c r="X11" s="6" t="s">
        <v>4</v>
      </c>
      <c r="Y11" s="6" t="s">
        <v>4</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c r="AP11" s="3"/>
    </row>
    <row r="12" spans="1:79" x14ac:dyDescent="0.3">
      <c r="A12" s="6">
        <f t="shared" si="0"/>
        <v>11</v>
      </c>
      <c r="B12" s="6" t="s">
        <v>464</v>
      </c>
      <c r="C12" s="6">
        <v>2</v>
      </c>
      <c r="D12" s="6" t="s">
        <v>4</v>
      </c>
      <c r="E12" s="6" t="s">
        <v>5</v>
      </c>
      <c r="F12" s="6" t="s">
        <v>5</v>
      </c>
      <c r="G12" s="6" t="s">
        <v>5</v>
      </c>
      <c r="H12" s="6" t="s">
        <v>5</v>
      </c>
      <c r="I12" s="6" t="s">
        <v>5</v>
      </c>
      <c r="J12" s="6" t="s">
        <v>5</v>
      </c>
      <c r="K12" s="6" t="s">
        <v>2</v>
      </c>
      <c r="L12" s="6" t="s">
        <v>3</v>
      </c>
      <c r="M12" s="6" t="s">
        <v>4</v>
      </c>
      <c r="N12" s="6" t="s">
        <v>4</v>
      </c>
      <c r="O12" s="6" t="s">
        <v>2</v>
      </c>
      <c r="P12" s="6" t="s">
        <v>5</v>
      </c>
      <c r="Q12" s="6" t="s">
        <v>4</v>
      </c>
      <c r="R12" s="6" t="s">
        <v>2</v>
      </c>
      <c r="S12" s="6" t="s">
        <v>5</v>
      </c>
      <c r="T12" s="6" t="s">
        <v>2</v>
      </c>
      <c r="U12" s="6" t="s">
        <v>5</v>
      </c>
      <c r="V12" s="6" t="s">
        <v>5</v>
      </c>
      <c r="W12" s="6" t="s">
        <v>2</v>
      </c>
      <c r="X12" s="6" t="s">
        <v>4</v>
      </c>
      <c r="Y12" s="6" t="s">
        <v>4</v>
      </c>
      <c r="Z12" s="6" t="s">
        <v>3</v>
      </c>
      <c r="AA12" s="6" t="s">
        <v>4</v>
      </c>
      <c r="AB12" s="6" t="s">
        <v>4</v>
      </c>
      <c r="AC12" s="6" t="s">
        <v>4</v>
      </c>
      <c r="AD12" s="6" t="s">
        <v>4</v>
      </c>
      <c r="AE12" s="6" t="s">
        <v>4</v>
      </c>
      <c r="AF12" s="6" t="s">
        <v>4</v>
      </c>
      <c r="AG12" s="6" t="s">
        <v>4</v>
      </c>
      <c r="AH12" s="6" t="s">
        <v>4</v>
      </c>
      <c r="AI12" s="6" t="s">
        <v>4</v>
      </c>
      <c r="AJ12" s="6" t="s">
        <v>4</v>
      </c>
      <c r="AK12" s="6" t="s">
        <v>4</v>
      </c>
      <c r="AL12" s="6" t="s">
        <v>4</v>
      </c>
      <c r="AM12" s="6" t="s">
        <v>3</v>
      </c>
      <c r="AN12">
        <v>2</v>
      </c>
      <c r="AO12" s="82" t="s">
        <v>498</v>
      </c>
      <c r="AP12" s="82"/>
      <c r="AQ12" s="7" t="s">
        <v>64</v>
      </c>
      <c r="AR12" s="49" t="s">
        <v>43</v>
      </c>
      <c r="AS12" s="49" t="s">
        <v>44</v>
      </c>
      <c r="AT12" s="49" t="s">
        <v>45</v>
      </c>
      <c r="AU12" s="49" t="s">
        <v>46</v>
      </c>
      <c r="AV12" s="49" t="s">
        <v>47</v>
      </c>
      <c r="AW12" s="49" t="s">
        <v>48</v>
      </c>
      <c r="AX12" s="49" t="s">
        <v>49</v>
      </c>
      <c r="AY12" s="49" t="s">
        <v>50</v>
      </c>
      <c r="AZ12" s="49" t="s">
        <v>51</v>
      </c>
      <c r="BA12" s="49" t="s">
        <v>52</v>
      </c>
      <c r="BB12" s="49" t="s">
        <v>53</v>
      </c>
      <c r="BC12" s="49" t="s">
        <v>54</v>
      </c>
      <c r="BD12" s="49" t="s">
        <v>55</v>
      </c>
      <c r="BE12" s="49" t="s">
        <v>56</v>
      </c>
      <c r="BF12" s="49" t="s">
        <v>57</v>
      </c>
      <c r="BG12" s="49" t="s">
        <v>58</v>
      </c>
      <c r="BH12" s="49" t="s">
        <v>59</v>
      </c>
      <c r="BI12" s="49" t="s">
        <v>60</v>
      </c>
      <c r="BJ12" s="49" t="s">
        <v>61</v>
      </c>
      <c r="BK12" s="49" t="s">
        <v>62</v>
      </c>
      <c r="BL12" s="49" t="s">
        <v>63</v>
      </c>
      <c r="BM12" s="49" t="s">
        <v>330</v>
      </c>
      <c r="BN12" s="49" t="s">
        <v>331</v>
      </c>
      <c r="BO12" s="49" t="s">
        <v>332</v>
      </c>
      <c r="BP12" s="49" t="s">
        <v>333</v>
      </c>
      <c r="BQ12" s="49" t="s">
        <v>334</v>
      </c>
      <c r="BR12" s="49" t="s">
        <v>335</v>
      </c>
      <c r="BS12" s="49" t="s">
        <v>336</v>
      </c>
      <c r="BT12" s="49" t="s">
        <v>337</v>
      </c>
      <c r="BU12" s="49" t="s">
        <v>338</v>
      </c>
      <c r="BV12" s="49" t="s">
        <v>339</v>
      </c>
      <c r="BW12" s="49" t="s">
        <v>340</v>
      </c>
      <c r="BX12" s="49" t="s">
        <v>341</v>
      </c>
      <c r="BY12" s="49" t="s">
        <v>342</v>
      </c>
      <c r="BZ12" s="49" t="s">
        <v>343</v>
      </c>
      <c r="CA12" s="49" t="s">
        <v>390</v>
      </c>
    </row>
    <row r="13" spans="1:79" x14ac:dyDescent="0.3">
      <c r="A13" s="6">
        <f t="shared" si="0"/>
        <v>12</v>
      </c>
      <c r="B13" s="6" t="s">
        <v>490</v>
      </c>
      <c r="C13" s="6">
        <v>2</v>
      </c>
      <c r="D13" s="6" t="s">
        <v>4</v>
      </c>
      <c r="E13" s="6" t="s">
        <v>5</v>
      </c>
      <c r="F13" s="6" t="s">
        <v>3</v>
      </c>
      <c r="G13" s="6" t="s">
        <v>2</v>
      </c>
      <c r="H13" s="6" t="s">
        <v>5</v>
      </c>
      <c r="I13" s="6" t="s">
        <v>5</v>
      </c>
      <c r="J13" s="6" t="s">
        <v>5</v>
      </c>
      <c r="K13" s="6" t="s">
        <v>2</v>
      </c>
      <c r="L13" s="6" t="s">
        <v>2</v>
      </c>
      <c r="M13" s="6" t="s">
        <v>3</v>
      </c>
      <c r="N13" s="6" t="s">
        <v>4</v>
      </c>
      <c r="O13" s="6" t="s">
        <v>2</v>
      </c>
      <c r="P13" s="6" t="s">
        <v>5</v>
      </c>
      <c r="Q13" s="6" t="s">
        <v>3</v>
      </c>
      <c r="R13" s="6" t="s">
        <v>4</v>
      </c>
      <c r="S13" s="6" t="s">
        <v>5</v>
      </c>
      <c r="T13" s="6" t="s">
        <v>5</v>
      </c>
      <c r="U13" s="6" t="s">
        <v>5</v>
      </c>
      <c r="V13" s="6" t="s">
        <v>4</v>
      </c>
      <c r="W13" s="6" t="s">
        <v>4</v>
      </c>
      <c r="X13" s="6" t="s">
        <v>3</v>
      </c>
      <c r="Y13" s="6" t="s">
        <v>4</v>
      </c>
      <c r="Z13" s="6" t="s">
        <v>3</v>
      </c>
      <c r="AA13" s="6" t="s">
        <v>4</v>
      </c>
      <c r="AB13" s="6" t="s">
        <v>4</v>
      </c>
      <c r="AC13" s="6" t="s">
        <v>4</v>
      </c>
      <c r="AD13" s="6" t="s">
        <v>4</v>
      </c>
      <c r="AE13" s="6" t="s">
        <v>4</v>
      </c>
      <c r="AF13" s="6" t="s">
        <v>4</v>
      </c>
      <c r="AG13" s="6" t="s">
        <v>3</v>
      </c>
      <c r="AH13" s="6" t="s">
        <v>4</v>
      </c>
      <c r="AI13" s="6" t="s">
        <v>3</v>
      </c>
      <c r="AJ13" s="6" t="s">
        <v>4</v>
      </c>
      <c r="AK13" s="6" t="s">
        <v>4</v>
      </c>
      <c r="AL13" s="6" t="s">
        <v>4</v>
      </c>
      <c r="AM13" s="6" t="s">
        <v>4</v>
      </c>
      <c r="AO13" s="82"/>
      <c r="AP13" s="82"/>
      <c r="AQ13" s="7">
        <v>1</v>
      </c>
      <c r="AR13" s="6" t="s">
        <v>2</v>
      </c>
      <c r="AS13" s="6" t="s">
        <v>3</v>
      </c>
      <c r="AT13" s="6" t="s">
        <v>4</v>
      </c>
      <c r="AU13" s="6" t="s">
        <v>5</v>
      </c>
      <c r="AV13" s="6" t="s">
        <v>5</v>
      </c>
      <c r="AW13" s="6" t="s">
        <v>5</v>
      </c>
      <c r="AX13" s="6" t="s">
        <v>5</v>
      </c>
      <c r="AY13" s="6" t="s">
        <v>2</v>
      </c>
      <c r="AZ13" s="6" t="s">
        <v>3</v>
      </c>
      <c r="BA13" s="6" t="s">
        <v>3</v>
      </c>
      <c r="BB13" s="6" t="s">
        <v>4</v>
      </c>
      <c r="BC13" s="6" t="s">
        <v>3</v>
      </c>
      <c r="BD13" s="6" t="s">
        <v>5</v>
      </c>
      <c r="BE13" s="6" t="s">
        <v>3</v>
      </c>
      <c r="BF13" s="6" t="s">
        <v>3</v>
      </c>
      <c r="BG13" s="6" t="s">
        <v>5</v>
      </c>
      <c r="BH13" s="6" t="s">
        <v>5</v>
      </c>
      <c r="BI13" s="6" t="s">
        <v>5</v>
      </c>
      <c r="BJ13" s="6" t="s">
        <v>2</v>
      </c>
      <c r="BK13" s="6" t="s">
        <v>4</v>
      </c>
      <c r="BL13" s="6" t="s">
        <v>3</v>
      </c>
      <c r="BM13" s="6" t="s">
        <v>2</v>
      </c>
      <c r="BN13" s="6" t="s">
        <v>3</v>
      </c>
      <c r="BO13" s="6" t="s">
        <v>4</v>
      </c>
      <c r="BP13" s="6" t="s">
        <v>4</v>
      </c>
      <c r="BQ13" s="6" t="s">
        <v>4</v>
      </c>
      <c r="BR13" s="6" t="s">
        <v>4</v>
      </c>
      <c r="BS13" s="6" t="s">
        <v>4</v>
      </c>
      <c r="BT13" s="6" t="s">
        <v>4</v>
      </c>
      <c r="BU13" s="6" t="s">
        <v>4</v>
      </c>
      <c r="BV13" s="6" t="s">
        <v>4</v>
      </c>
      <c r="BW13" s="6" t="s">
        <v>4</v>
      </c>
      <c r="BX13" s="6" t="s">
        <v>4</v>
      </c>
      <c r="BY13" s="6" t="s">
        <v>4</v>
      </c>
      <c r="BZ13" s="6" t="s">
        <v>3</v>
      </c>
      <c r="CA13" s="6" t="s">
        <v>3</v>
      </c>
    </row>
    <row r="14" spans="1:79" x14ac:dyDescent="0.3">
      <c r="A14" s="6">
        <f t="shared" si="0"/>
        <v>13</v>
      </c>
      <c r="B14" s="6" t="s">
        <v>319</v>
      </c>
      <c r="C14" s="6">
        <v>3</v>
      </c>
      <c r="D14" s="6" t="s">
        <v>2</v>
      </c>
      <c r="E14" s="6" t="s">
        <v>3</v>
      </c>
      <c r="F14" s="6" t="s">
        <v>3</v>
      </c>
      <c r="G14" s="6" t="s">
        <v>2</v>
      </c>
      <c r="H14" s="6" t="s">
        <v>5</v>
      </c>
      <c r="I14" s="6" t="s">
        <v>5</v>
      </c>
      <c r="J14" s="6" t="s">
        <v>5</v>
      </c>
      <c r="K14" s="6" t="s">
        <v>2</v>
      </c>
      <c r="L14" s="6" t="s">
        <v>3</v>
      </c>
      <c r="M14" s="6" t="s">
        <v>3</v>
      </c>
      <c r="N14" s="6" t="s">
        <v>3</v>
      </c>
      <c r="O14" s="6" t="s">
        <v>2</v>
      </c>
      <c r="P14" s="6" t="s">
        <v>5</v>
      </c>
      <c r="Q14" s="6" t="s">
        <v>3</v>
      </c>
      <c r="R14" s="6" t="s">
        <v>3</v>
      </c>
      <c r="S14" s="6" t="s">
        <v>5</v>
      </c>
      <c r="T14" s="6" t="s">
        <v>5</v>
      </c>
      <c r="U14" s="6" t="s">
        <v>5</v>
      </c>
      <c r="V14" s="6" t="s">
        <v>5</v>
      </c>
      <c r="W14" s="6" t="s">
        <v>4</v>
      </c>
      <c r="X14" s="6" t="s">
        <v>3</v>
      </c>
      <c r="Y14" s="6" t="s">
        <v>2</v>
      </c>
      <c r="Z14" s="6" t="s">
        <v>3</v>
      </c>
      <c r="AA14" s="6" t="s">
        <v>4</v>
      </c>
      <c r="AB14" s="6" t="s">
        <v>4</v>
      </c>
      <c r="AC14" s="6" t="s">
        <v>4</v>
      </c>
      <c r="AD14" s="6" t="s">
        <v>4</v>
      </c>
      <c r="AE14" s="6" t="s">
        <v>4</v>
      </c>
      <c r="AF14" s="6" t="s">
        <v>4</v>
      </c>
      <c r="AG14" s="6" t="s">
        <v>3</v>
      </c>
      <c r="AH14" s="6" t="s">
        <v>4</v>
      </c>
      <c r="AI14" s="6" t="s">
        <v>3</v>
      </c>
      <c r="AJ14" s="6" t="s">
        <v>4</v>
      </c>
      <c r="AK14" s="6" t="s">
        <v>4</v>
      </c>
      <c r="AL14" s="6" t="s">
        <v>3</v>
      </c>
      <c r="AM14" s="6" t="s">
        <v>3</v>
      </c>
      <c r="AO14" s="80" t="s">
        <v>510</v>
      </c>
      <c r="AP14" s="80"/>
      <c r="AQ14" s="6">
        <f>'Data Training 1'!AW22*'Data Training 1'!AT33*'Data Training 1'!AT38*'Data Training 1'!AT43*'Data Training 1'!AT52*'Data Training 1'!AT58*'Data Training 1'!AT64*'Data Training 1'!AT70*'Data Training 1'!AT75*'Data Training 1'!AT80*'Data Training 1'!AT86*'Data Training 1'!AT91*'Data Training 1'!AT98*'Data Training 1'!AT106*'Data Training 1'!AT110*'Data Training 1'!AT116*'Data Training 1'!AT124*'Data Training 1'!AT130*'Data Training 1'!AT136*'Data Training 1'!AT141*'Data Training 1'!AT145*'Data Training 1'!AT152*'Data Training 1'!AT159*'Data Training 1'!AT164*'Data Training 1'!AT167*'Data Training 1'!AT171*'Data Training 1'!AT175*'Data Training 1'!AT179*'Data Training 1'!AT183*'Data Training 1'!AT187*'Data Training 1'!AT191*'Data Training 1'!AT195*'Data Training 1'!AT199*'Data Training 1'!AT203*'Data Training 1'!AT207*'Data Training 1'!AT212*'Data Training 1'!AT216</f>
        <v>4.0019047788917473E-9</v>
      </c>
    </row>
    <row r="15" spans="1:79" x14ac:dyDescent="0.3">
      <c r="A15" s="6">
        <f t="shared" si="0"/>
        <v>14</v>
      </c>
      <c r="B15" s="6" t="s">
        <v>501</v>
      </c>
      <c r="C15" s="6">
        <v>3</v>
      </c>
      <c r="D15" s="6" t="s">
        <v>2</v>
      </c>
      <c r="E15" s="6" t="s">
        <v>3</v>
      </c>
      <c r="F15" s="6" t="s">
        <v>3</v>
      </c>
      <c r="G15" s="6" t="s">
        <v>2</v>
      </c>
      <c r="H15" s="6" t="s">
        <v>5</v>
      </c>
      <c r="I15" s="6" t="s">
        <v>2</v>
      </c>
      <c r="J15" s="6" t="s">
        <v>5</v>
      </c>
      <c r="K15" s="6" t="s">
        <v>2</v>
      </c>
      <c r="L15" s="6" t="s">
        <v>3</v>
      </c>
      <c r="M15" s="6" t="s">
        <v>4</v>
      </c>
      <c r="N15" s="6" t="s">
        <v>4</v>
      </c>
      <c r="O15" s="6" t="s">
        <v>5</v>
      </c>
      <c r="P15" s="6" t="s">
        <v>5</v>
      </c>
      <c r="Q15" s="6" t="s">
        <v>4</v>
      </c>
      <c r="R15" s="6" t="s">
        <v>5</v>
      </c>
      <c r="S15" s="6" t="s">
        <v>5</v>
      </c>
      <c r="T15" s="6" t="s">
        <v>5</v>
      </c>
      <c r="U15" s="6" t="s">
        <v>5</v>
      </c>
      <c r="V15" s="6" t="s">
        <v>5</v>
      </c>
      <c r="W15" s="6" t="s">
        <v>4</v>
      </c>
      <c r="X15" s="6" t="s">
        <v>3</v>
      </c>
      <c r="Y15" s="6" t="s">
        <v>4</v>
      </c>
      <c r="Z15" s="6" t="s">
        <v>4</v>
      </c>
      <c r="AA15" s="6" t="s">
        <v>4</v>
      </c>
      <c r="AB15" s="6" t="s">
        <v>4</v>
      </c>
      <c r="AC15" s="6" t="s">
        <v>4</v>
      </c>
      <c r="AD15" s="6" t="s">
        <v>4</v>
      </c>
      <c r="AE15" s="6" t="s">
        <v>4</v>
      </c>
      <c r="AF15" s="6" t="s">
        <v>4</v>
      </c>
      <c r="AG15" s="6" t="s">
        <v>4</v>
      </c>
      <c r="AH15" s="6" t="s">
        <v>4</v>
      </c>
      <c r="AI15" s="6" t="s">
        <v>3</v>
      </c>
      <c r="AJ15" s="6" t="s">
        <v>4</v>
      </c>
      <c r="AK15" s="6" t="s">
        <v>4</v>
      </c>
      <c r="AL15" s="6" t="s">
        <v>3</v>
      </c>
      <c r="AM15" s="6" t="s">
        <v>4</v>
      </c>
      <c r="AO15" s="80" t="s">
        <v>511</v>
      </c>
      <c r="AP15" s="80"/>
      <c r="AQ15" s="6">
        <f>'Data Training 1'!AW23*'Data Training 1'!AU33*'Data Training 1'!AU38*'Data Training 1'!AU43*'Data Training 1'!AU52*'Data Training 1'!AU58*'Data Training 1'!AU64*'Data Training 1'!AU70*'Data Training 1'!AU75*'Data Training 1'!AU80*'Data Training 1'!AU86*'Data Training 1'!AU91*'Data Training 1'!AU98*'Data Training 1'!AU106*'Data Training 1'!AU110*'Data Training 1'!AU116*'Data Training 1'!AU124*'Data Training 1'!AU130*'Data Training 1'!AU136*'Data Training 1'!AU141*'Data Training 1'!AU145*'Data Training 1'!AU152*'Data Training 1'!AU159*'Data Training 1'!AU164*'Data Training 1'!AU167*'Data Training 1'!AU171*'Data Training 1'!AU175*'Data Training 1'!AU179*'Data Training 1'!AU183*'Data Training 1'!AU187*'Data Training 1'!AU191*'Data Training 1'!AU195*'Data Training 1'!AU199*'Data Training 1'!AU203*'Data Training 1'!AU207*'Data Training 1'!AU212*'Data Training 1'!AU216</f>
        <v>5.1357777995777438E-12</v>
      </c>
    </row>
    <row r="16" spans="1:79" x14ac:dyDescent="0.3">
      <c r="A16" s="6">
        <f t="shared" si="0"/>
        <v>15</v>
      </c>
      <c r="B16" s="6" t="s">
        <v>320</v>
      </c>
      <c r="C16" s="6">
        <v>3</v>
      </c>
      <c r="D16" s="6" t="s">
        <v>2</v>
      </c>
      <c r="E16" s="6" t="s">
        <v>3</v>
      </c>
      <c r="F16" s="6" t="s">
        <v>3</v>
      </c>
      <c r="G16" s="6" t="s">
        <v>5</v>
      </c>
      <c r="H16" s="6" t="s">
        <v>5</v>
      </c>
      <c r="I16" s="6" t="s">
        <v>5</v>
      </c>
      <c r="J16" s="6" t="s">
        <v>2</v>
      </c>
      <c r="K16" s="6" t="s">
        <v>2</v>
      </c>
      <c r="L16" s="6" t="s">
        <v>3</v>
      </c>
      <c r="M16" s="6" t="s">
        <v>3</v>
      </c>
      <c r="N16" s="6" t="s">
        <v>4</v>
      </c>
      <c r="O16" s="6" t="s">
        <v>5</v>
      </c>
      <c r="P16" s="6" t="s">
        <v>2</v>
      </c>
      <c r="Q16" s="6" t="s">
        <v>3</v>
      </c>
      <c r="R16" s="6" t="s">
        <v>2</v>
      </c>
      <c r="S16" s="6" t="s">
        <v>5</v>
      </c>
      <c r="T16" s="6" t="s">
        <v>5</v>
      </c>
      <c r="U16" s="6" t="s">
        <v>5</v>
      </c>
      <c r="V16" s="6" t="s">
        <v>5</v>
      </c>
      <c r="W16" s="6" t="s">
        <v>4</v>
      </c>
      <c r="X16" s="6" t="s">
        <v>3</v>
      </c>
      <c r="Y16" s="6" t="s">
        <v>3</v>
      </c>
      <c r="Z16" s="6" t="s">
        <v>3</v>
      </c>
      <c r="AA16" s="6" t="s">
        <v>4</v>
      </c>
      <c r="AB16" s="6" t="s">
        <v>4</v>
      </c>
      <c r="AC16" s="6" t="s">
        <v>4</v>
      </c>
      <c r="AD16" s="6" t="s">
        <v>4</v>
      </c>
      <c r="AE16" s="6" t="s">
        <v>4</v>
      </c>
      <c r="AF16" s="6" t="s">
        <v>4</v>
      </c>
      <c r="AG16" s="6" t="s">
        <v>3</v>
      </c>
      <c r="AH16" s="6" t="s">
        <v>4</v>
      </c>
      <c r="AI16" s="6" t="s">
        <v>3</v>
      </c>
      <c r="AJ16" s="6" t="s">
        <v>4</v>
      </c>
      <c r="AK16" s="6" t="s">
        <v>4</v>
      </c>
      <c r="AL16" s="6" t="s">
        <v>3</v>
      </c>
      <c r="AM16" s="6" t="s">
        <v>3</v>
      </c>
      <c r="AO16" s="80" t="s">
        <v>506</v>
      </c>
      <c r="AP16" s="80"/>
      <c r="AQ16" s="6">
        <f>'Data Training 1'!AW24*'Data Training 1'!AV33*'Data Training 1'!AV38*'Data Training 1'!AV43*'Data Training 1'!AV52*'Data Training 1'!AV58*'Data Training 1'!AV64*'Data Training 1'!AV70*'Data Training 1'!AV75*'Data Training 1'!AV80*'Data Training 1'!AV86*'Data Training 1'!AV91*'Data Training 1'!AV98*'Data Training 1'!AV106*'Data Training 1'!AV110*'Data Training 1'!AV116*'Data Training 1'!AV124*'Data Training 1'!AV130*'Data Training 1'!AV136*'Data Training 1'!AV141*'Data Training 1'!AV145*'Data Training 1'!AV152*'Data Training 1'!AV159*'Data Training 1'!AV164*'Data Training 1'!AV167*'Data Training 1'!AV171*'Data Training 1'!AV175*'Data Training 1'!AV179*'Data Training 1'!AV183*'Data Training 1'!AV187*'Data Training 1'!AV191*'Data Training 1'!AV195*'Data Training 1'!AV199*'Data Training 1'!AV203*'Data Training 1'!AV207*'Data Training 1'!AV212*'Data Training 1'!AV216</f>
        <v>0</v>
      </c>
    </row>
    <row r="17" spans="1:79" x14ac:dyDescent="0.3">
      <c r="A17" s="6">
        <f t="shared" si="0"/>
        <v>16</v>
      </c>
      <c r="B17" s="6" t="s">
        <v>467</v>
      </c>
      <c r="C17" s="6">
        <v>3</v>
      </c>
      <c r="D17" s="6" t="s">
        <v>2</v>
      </c>
      <c r="E17" s="6" t="s">
        <v>5</v>
      </c>
      <c r="F17" s="6" t="s">
        <v>3</v>
      </c>
      <c r="G17" s="6" t="s">
        <v>3</v>
      </c>
      <c r="H17" s="6" t="s">
        <v>5</v>
      </c>
      <c r="I17" s="6" t="s">
        <v>5</v>
      </c>
      <c r="J17" s="6" t="s">
        <v>2</v>
      </c>
      <c r="K17" s="6" t="s">
        <v>2</v>
      </c>
      <c r="L17" s="6" t="s">
        <v>3</v>
      </c>
      <c r="M17" s="6" t="s">
        <v>4</v>
      </c>
      <c r="N17" s="6" t="s">
        <v>4</v>
      </c>
      <c r="O17" s="6" t="s">
        <v>5</v>
      </c>
      <c r="P17" s="6" t="s">
        <v>3</v>
      </c>
      <c r="Q17" s="6" t="s">
        <v>3</v>
      </c>
      <c r="R17" s="6" t="s">
        <v>2</v>
      </c>
      <c r="S17" s="6" t="s">
        <v>5</v>
      </c>
      <c r="T17" s="6" t="s">
        <v>3</v>
      </c>
      <c r="U17" s="6" t="s">
        <v>2</v>
      </c>
      <c r="V17" s="6" t="s">
        <v>5</v>
      </c>
      <c r="W17" s="6" t="s">
        <v>4</v>
      </c>
      <c r="X17" s="6" t="s">
        <v>3</v>
      </c>
      <c r="Y17" s="6" t="s">
        <v>2</v>
      </c>
      <c r="Z17" s="6" t="s">
        <v>3</v>
      </c>
      <c r="AA17" s="6" t="s">
        <v>4</v>
      </c>
      <c r="AB17" s="6" t="s">
        <v>4</v>
      </c>
      <c r="AC17" s="6" t="s">
        <v>4</v>
      </c>
      <c r="AD17" s="6" t="s">
        <v>4</v>
      </c>
      <c r="AE17" s="6" t="s">
        <v>4</v>
      </c>
      <c r="AF17" s="6" t="s">
        <v>4</v>
      </c>
      <c r="AG17" s="6" t="s">
        <v>3</v>
      </c>
      <c r="AH17" s="6" t="s">
        <v>4</v>
      </c>
      <c r="AI17" s="6" t="s">
        <v>3</v>
      </c>
      <c r="AJ17" s="6" t="s">
        <v>4</v>
      </c>
      <c r="AK17" s="6" t="s">
        <v>4</v>
      </c>
      <c r="AL17" s="6" t="s">
        <v>4</v>
      </c>
      <c r="AM17" s="6" t="s">
        <v>3</v>
      </c>
      <c r="AO17" s="6" t="s">
        <v>507</v>
      </c>
      <c r="AP17" s="6"/>
      <c r="AQ17" s="6">
        <f>'Data Training 1'!AW25*'Data Training 1'!AW33*'Data Training 1'!AW38*'Data Training 1'!AW43*'Data Training 1'!AW52*'Data Training 1'!AW58*'Data Training 1'!AW64*'Data Training 1'!AW70*'Data Training 1'!AW75*'Data Training 1'!AW80*'Data Training 1'!AW86*'Data Training 1'!AW91*'Data Training 1'!AW98*'Data Training 1'!AW106*'Data Training 1'!AW110*'Data Training 1'!AW116*'Data Training 1'!AW124*'Data Training 1'!AW130*'Data Training 1'!AW136*'Data Training 1'!AW141*'Data Training 1'!AW145*'Data Training 1'!AW152*'Data Training 1'!AW159*'Data Training 1'!AW164*'Data Training 1'!AW167*'Data Training 1'!AW171*'Data Training 1'!AW175*'Data Training 1'!AW179*'Data Training 1'!AW183*'Data Training 1'!AW187*'Data Training 1'!AW191*'Data Training 1'!AW195*'Data Training 1'!AW199*'Data Training 1'!AW203*'Data Training 1'!AW207*'Data Training 1'!AW212*'Data Training 1'!AW216</f>
        <v>0</v>
      </c>
    </row>
    <row r="18" spans="1:79" x14ac:dyDescent="0.3">
      <c r="A18" s="6">
        <f t="shared" si="0"/>
        <v>17</v>
      </c>
      <c r="B18" s="6" t="s">
        <v>468</v>
      </c>
      <c r="C18" s="6">
        <v>3</v>
      </c>
      <c r="D18" s="6" t="s">
        <v>4</v>
      </c>
      <c r="E18" s="6" t="s">
        <v>3</v>
      </c>
      <c r="F18" s="6" t="s">
        <v>5</v>
      </c>
      <c r="G18" s="6" t="s">
        <v>5</v>
      </c>
      <c r="H18" s="6" t="s">
        <v>5</v>
      </c>
      <c r="I18" s="6" t="s">
        <v>5</v>
      </c>
      <c r="J18" s="6" t="s">
        <v>5</v>
      </c>
      <c r="K18" s="6" t="s">
        <v>2</v>
      </c>
      <c r="L18" s="6" t="s">
        <v>3</v>
      </c>
      <c r="M18" s="6" t="s">
        <v>3</v>
      </c>
      <c r="N18" s="6" t="s">
        <v>2</v>
      </c>
      <c r="O18" s="6" t="s">
        <v>2</v>
      </c>
      <c r="P18" s="6" t="s">
        <v>5</v>
      </c>
      <c r="Q18" s="6" t="s">
        <v>3</v>
      </c>
      <c r="R18" s="6" t="s">
        <v>2</v>
      </c>
      <c r="S18" s="6" t="s">
        <v>2</v>
      </c>
      <c r="T18" s="6" t="s">
        <v>5</v>
      </c>
      <c r="U18" s="6" t="s">
        <v>5</v>
      </c>
      <c r="V18" s="6" t="s">
        <v>5</v>
      </c>
      <c r="W18" s="6" t="s">
        <v>3</v>
      </c>
      <c r="X18" s="6" t="s">
        <v>5</v>
      </c>
      <c r="Y18" s="6" t="s">
        <v>5</v>
      </c>
      <c r="Z18" s="6" t="s">
        <v>4</v>
      </c>
      <c r="AA18" s="6" t="s">
        <v>4</v>
      </c>
      <c r="AB18" s="6" t="s">
        <v>4</v>
      </c>
      <c r="AC18" s="6" t="s">
        <v>4</v>
      </c>
      <c r="AD18" s="6" t="s">
        <v>4</v>
      </c>
      <c r="AE18" s="6" t="s">
        <v>4</v>
      </c>
      <c r="AF18" s="6" t="s">
        <v>4</v>
      </c>
      <c r="AG18" s="6" t="s">
        <v>3</v>
      </c>
      <c r="AH18" s="6" t="s">
        <v>4</v>
      </c>
      <c r="AI18" s="6" t="s">
        <v>3</v>
      </c>
      <c r="AJ18" s="6" t="s">
        <v>4</v>
      </c>
      <c r="AK18" s="6" t="s">
        <v>4</v>
      </c>
      <c r="AL18" s="6" t="s">
        <v>3</v>
      </c>
      <c r="AM18" s="6" t="s">
        <v>3</v>
      </c>
      <c r="AO18" s="6" t="s">
        <v>508</v>
      </c>
      <c r="AP18" s="6"/>
      <c r="AQ18" s="6">
        <f>'Data Training 1'!AW26*'Data Training 1'!AX33*'Data Training 1'!AX38*'Data Training 1'!AX43*'Data Training 1'!AX52*'Data Training 1'!AX58*'Data Training 1'!AX64*'Data Training 1'!AX70*'Data Training 1'!AX75*'Data Training 1'!AX80*'Data Training 1'!AX86*'Data Training 1'!AX91*'Data Training 1'!AX98*'Data Training 1'!AX106*'Data Training 1'!AX110*'Data Training 1'!AX116*'Data Training 1'!AX124*'Data Training 1'!AX130*'Data Training 1'!AX136*'Data Training 1'!AX141*'Data Training 1'!AX145*'Data Training 1'!AX152*'Data Training 1'!AX159*'Data Training 1'!AX164*'Data Training 1'!AX167*'Data Training 1'!AX171*'Data Training 1'!AX175*'Data Training 1'!AX179*'Data Training 1'!AX183*'Data Training 1'!AX187*'Data Training 1'!AX191*'Data Training 1'!AX195*'Data Training 1'!AX199*'Data Training 1'!AX203*'Data Training 1'!AX207*'Data Training 1'!AX212*'Data Training 1'!AX216</f>
        <v>0</v>
      </c>
    </row>
    <row r="19" spans="1:79" x14ac:dyDescent="0.3">
      <c r="A19" s="6">
        <f t="shared" si="0"/>
        <v>18</v>
      </c>
      <c r="B19" s="6" t="s">
        <v>492</v>
      </c>
      <c r="C19" s="6">
        <v>3</v>
      </c>
      <c r="D19" s="6" t="s">
        <v>5</v>
      </c>
      <c r="E19" s="6" t="s">
        <v>4</v>
      </c>
      <c r="F19" s="6" t="s">
        <v>4</v>
      </c>
      <c r="G19" s="6" t="s">
        <v>5</v>
      </c>
      <c r="H19" s="6" t="s">
        <v>5</v>
      </c>
      <c r="I19" s="6" t="s">
        <v>5</v>
      </c>
      <c r="J19" s="6" t="s">
        <v>5</v>
      </c>
      <c r="K19" s="6" t="s">
        <v>2</v>
      </c>
      <c r="L19" s="6" t="s">
        <v>2</v>
      </c>
      <c r="M19" s="6" t="s">
        <v>3</v>
      </c>
      <c r="N19" s="6" t="s">
        <v>4</v>
      </c>
      <c r="O19" s="6" t="s">
        <v>2</v>
      </c>
      <c r="P19" s="6" t="s">
        <v>2</v>
      </c>
      <c r="Q19" s="6" t="s">
        <v>2</v>
      </c>
      <c r="R19" s="6" t="s">
        <v>5</v>
      </c>
      <c r="S19" s="6" t="s">
        <v>5</v>
      </c>
      <c r="T19" s="6" t="s">
        <v>3</v>
      </c>
      <c r="U19" s="6" t="s">
        <v>3</v>
      </c>
      <c r="V19" s="6" t="s">
        <v>2</v>
      </c>
      <c r="W19" s="6" t="s">
        <v>4</v>
      </c>
      <c r="X19" s="6" t="s">
        <v>5</v>
      </c>
      <c r="Y19" s="6" t="s">
        <v>3</v>
      </c>
      <c r="Z19" s="6" t="s">
        <v>3</v>
      </c>
      <c r="AA19" s="6" t="s">
        <v>3</v>
      </c>
      <c r="AB19" s="6" t="s">
        <v>3</v>
      </c>
      <c r="AC19" s="6" t="s">
        <v>4</v>
      </c>
      <c r="AD19" s="6" t="s">
        <v>4</v>
      </c>
      <c r="AE19" s="6" t="s">
        <v>4</v>
      </c>
      <c r="AF19" s="6" t="s">
        <v>4</v>
      </c>
      <c r="AG19" s="6" t="s">
        <v>3</v>
      </c>
      <c r="AH19" s="6" t="s">
        <v>4</v>
      </c>
      <c r="AI19" s="6" t="s">
        <v>4</v>
      </c>
      <c r="AJ19" s="6" t="s">
        <v>4</v>
      </c>
      <c r="AK19" s="6" t="s">
        <v>4</v>
      </c>
      <c r="AL19" s="6" t="s">
        <v>4</v>
      </c>
      <c r="AM19" s="6" t="s">
        <v>3</v>
      </c>
      <c r="AO19" s="6" t="s">
        <v>509</v>
      </c>
      <c r="AP19" s="6"/>
      <c r="AQ19" s="6">
        <f>'Data Training 1'!AW27*'Data Training 1'!AY33*'Data Training 1'!AY38*'Data Training 1'!AY43*'Data Training 1'!AY52*'Data Training 1'!AY58*'Data Training 1'!AY64*'Data Training 1'!AY70*'Data Training 1'!AY75*'Data Training 1'!AY80*'Data Training 1'!AY86*'Data Training 1'!AY91*'Data Training 1'!AY98*'Data Training 1'!AY106*'Data Training 1'!AY110*'Data Training 1'!AY116*'Data Training 1'!AY124*'Data Training 1'!AY130*'Data Training 1'!AY136*'Data Training 1'!AY141*'Data Training 1'!AY145*'Data Training 1'!AY152*'Data Training 1'!AY159*'Data Training 1'!AY164*'Data Training 1'!AY167*'Data Training 1'!AY171*'Data Training 1'!AY175*'Data Training 1'!AY179*'Data Training 1'!AY183*'Data Training 1'!AY187*'Data Training 1'!AY191*'Data Training 1'!AY195*'Data Training 1'!AY199*'Data Training 1'!AY203*'Data Training 1'!AY207*'Data Training 1'!AY212*'Data Training 1'!AY216</f>
        <v>0</v>
      </c>
    </row>
    <row r="20" spans="1:79" x14ac:dyDescent="0.3">
      <c r="A20" s="6">
        <f t="shared" si="0"/>
        <v>19</v>
      </c>
      <c r="B20" s="6" t="s">
        <v>321</v>
      </c>
      <c r="C20" s="6">
        <v>4</v>
      </c>
      <c r="D20" s="6" t="s">
        <v>3</v>
      </c>
      <c r="E20" s="6" t="s">
        <v>3</v>
      </c>
      <c r="F20" s="6" t="s">
        <v>3</v>
      </c>
      <c r="G20" s="6" t="s">
        <v>5</v>
      </c>
      <c r="H20" s="6" t="s">
        <v>5</v>
      </c>
      <c r="I20" s="6" t="s">
        <v>5</v>
      </c>
      <c r="J20" s="6" t="s">
        <v>5</v>
      </c>
      <c r="K20" s="6" t="s">
        <v>2</v>
      </c>
      <c r="L20" s="6" t="s">
        <v>2</v>
      </c>
      <c r="M20" s="6" t="s">
        <v>3</v>
      </c>
      <c r="N20" s="6" t="s">
        <v>4</v>
      </c>
      <c r="O20" s="6" t="s">
        <v>5</v>
      </c>
      <c r="P20" s="6" t="s">
        <v>5</v>
      </c>
      <c r="Q20" s="6" t="s">
        <v>3</v>
      </c>
      <c r="R20" s="6" t="s">
        <v>2</v>
      </c>
      <c r="S20" s="6" t="s">
        <v>5</v>
      </c>
      <c r="T20" s="6" t="s">
        <v>5</v>
      </c>
      <c r="U20" s="6" t="s">
        <v>5</v>
      </c>
      <c r="V20" s="6" t="s">
        <v>4</v>
      </c>
      <c r="W20" s="6" t="s">
        <v>4</v>
      </c>
      <c r="X20" s="6" t="s">
        <v>4</v>
      </c>
      <c r="Y20" s="6" t="s">
        <v>2</v>
      </c>
      <c r="Z20" s="6" t="s">
        <v>3</v>
      </c>
      <c r="AA20" s="6" t="s">
        <v>4</v>
      </c>
      <c r="AB20" s="6" t="s">
        <v>4</v>
      </c>
      <c r="AC20" s="6" t="s">
        <v>4</v>
      </c>
      <c r="AD20" s="6" t="s">
        <v>4</v>
      </c>
      <c r="AE20" s="6" t="s">
        <v>4</v>
      </c>
      <c r="AF20" s="6" t="s">
        <v>3</v>
      </c>
      <c r="AG20" s="6" t="s">
        <v>3</v>
      </c>
      <c r="AH20" s="6" t="s">
        <v>4</v>
      </c>
      <c r="AI20" s="6" t="s">
        <v>3</v>
      </c>
      <c r="AJ20" s="6" t="s">
        <v>3</v>
      </c>
      <c r="AK20" s="6" t="s">
        <v>4</v>
      </c>
      <c r="AL20" s="6" t="s">
        <v>4</v>
      </c>
      <c r="AM20" s="6" t="s">
        <v>3</v>
      </c>
      <c r="AO20" s="78" t="s">
        <v>437</v>
      </c>
      <c r="AP20" s="78"/>
      <c r="AQ20" s="6" t="s">
        <v>300</v>
      </c>
      <c r="AR20" s="81" t="s">
        <v>439</v>
      </c>
      <c r="AS20" s="81"/>
      <c r="AT20" s="81"/>
    </row>
    <row r="21" spans="1:79" x14ac:dyDescent="0.3">
      <c r="A21" s="6">
        <f t="shared" si="0"/>
        <v>20</v>
      </c>
      <c r="B21" s="6" t="s">
        <v>322</v>
      </c>
      <c r="C21" s="6">
        <v>4</v>
      </c>
      <c r="D21" s="6" t="s">
        <v>5</v>
      </c>
      <c r="E21" s="6" t="s">
        <v>5</v>
      </c>
      <c r="F21" s="6" t="s">
        <v>2</v>
      </c>
      <c r="G21" s="6" t="s">
        <v>5</v>
      </c>
      <c r="H21" s="6" t="s">
        <v>5</v>
      </c>
      <c r="I21" s="6" t="s">
        <v>5</v>
      </c>
      <c r="J21" s="6" t="s">
        <v>5</v>
      </c>
      <c r="K21" s="6" t="s">
        <v>2</v>
      </c>
      <c r="L21" s="6" t="s">
        <v>2</v>
      </c>
      <c r="M21" s="6" t="s">
        <v>2</v>
      </c>
      <c r="N21" s="6" t="s">
        <v>3</v>
      </c>
      <c r="O21" s="6" t="s">
        <v>5</v>
      </c>
      <c r="P21" s="6" t="s">
        <v>5</v>
      </c>
      <c r="Q21" s="6" t="s">
        <v>2</v>
      </c>
      <c r="R21" s="6" t="s">
        <v>2</v>
      </c>
      <c r="S21" s="6" t="s">
        <v>5</v>
      </c>
      <c r="T21" s="6" t="s">
        <v>5</v>
      </c>
      <c r="U21" s="6" t="s">
        <v>5</v>
      </c>
      <c r="V21" s="6" t="s">
        <v>5</v>
      </c>
      <c r="W21" s="6" t="s">
        <v>3</v>
      </c>
      <c r="X21" s="6" t="s">
        <v>3</v>
      </c>
      <c r="Y21" s="6" t="s">
        <v>2</v>
      </c>
      <c r="Z21" s="6" t="s">
        <v>3</v>
      </c>
      <c r="AA21" s="6" t="s">
        <v>4</v>
      </c>
      <c r="AB21" s="6" t="s">
        <v>4</v>
      </c>
      <c r="AC21" s="6" t="s">
        <v>4</v>
      </c>
      <c r="AD21" s="6" t="s">
        <v>4</v>
      </c>
      <c r="AE21" s="6" t="s">
        <v>4</v>
      </c>
      <c r="AF21" s="6" t="s">
        <v>3</v>
      </c>
      <c r="AG21" s="6" t="s">
        <v>3</v>
      </c>
      <c r="AH21" s="6" t="s">
        <v>4</v>
      </c>
      <c r="AI21" s="6" t="s">
        <v>3</v>
      </c>
      <c r="AJ21" s="6" t="s">
        <v>3</v>
      </c>
      <c r="AK21" s="6" t="s">
        <v>4</v>
      </c>
      <c r="AL21" s="6" t="s">
        <v>3</v>
      </c>
      <c r="AM21" s="6" t="s">
        <v>3</v>
      </c>
      <c r="AP21" s="3"/>
    </row>
    <row r="22" spans="1:79" x14ac:dyDescent="0.3">
      <c r="A22" s="6">
        <f t="shared" si="0"/>
        <v>21</v>
      </c>
      <c r="B22" s="6" t="s">
        <v>323</v>
      </c>
      <c r="C22" s="6">
        <v>4</v>
      </c>
      <c r="D22" s="6" t="s">
        <v>5</v>
      </c>
      <c r="E22" s="6" t="s">
        <v>3</v>
      </c>
      <c r="F22" s="6" t="s">
        <v>2</v>
      </c>
      <c r="G22" s="6" t="s">
        <v>5</v>
      </c>
      <c r="H22" s="6" t="s">
        <v>5</v>
      </c>
      <c r="I22" s="6" t="s">
        <v>5</v>
      </c>
      <c r="J22" s="6" t="s">
        <v>2</v>
      </c>
      <c r="K22" s="6" t="s">
        <v>2</v>
      </c>
      <c r="L22" s="6" t="s">
        <v>3</v>
      </c>
      <c r="M22" s="6" t="s">
        <v>3</v>
      </c>
      <c r="N22" s="6" t="s">
        <v>3</v>
      </c>
      <c r="O22" s="6" t="s">
        <v>3</v>
      </c>
      <c r="P22" s="6" t="s">
        <v>2</v>
      </c>
      <c r="Q22" s="6" t="s">
        <v>2</v>
      </c>
      <c r="R22" s="6" t="s">
        <v>2</v>
      </c>
      <c r="S22" s="6" t="s">
        <v>5</v>
      </c>
      <c r="T22" s="6" t="s">
        <v>2</v>
      </c>
      <c r="U22" s="6" t="s">
        <v>2</v>
      </c>
      <c r="V22" s="6" t="s">
        <v>5</v>
      </c>
      <c r="W22" s="6" t="s">
        <v>3</v>
      </c>
      <c r="X22" s="6" t="s">
        <v>2</v>
      </c>
      <c r="Y22" s="6" t="s">
        <v>2</v>
      </c>
      <c r="Z22" s="6" t="s">
        <v>3</v>
      </c>
      <c r="AA22" s="6" t="s">
        <v>4</v>
      </c>
      <c r="AB22" s="6" t="s">
        <v>4</v>
      </c>
      <c r="AC22" s="6" t="s">
        <v>4</v>
      </c>
      <c r="AD22" s="6" t="s">
        <v>4</v>
      </c>
      <c r="AE22" s="6" t="s">
        <v>4</v>
      </c>
      <c r="AF22" s="6" t="s">
        <v>3</v>
      </c>
      <c r="AG22" s="6" t="s">
        <v>3</v>
      </c>
      <c r="AH22" s="6" t="s">
        <v>4</v>
      </c>
      <c r="AI22" s="6" t="s">
        <v>3</v>
      </c>
      <c r="AJ22" s="6" t="s">
        <v>4</v>
      </c>
      <c r="AK22" s="6" t="s">
        <v>4</v>
      </c>
      <c r="AL22" s="6" t="s">
        <v>4</v>
      </c>
      <c r="AM22" s="6" t="s">
        <v>3</v>
      </c>
      <c r="AN22">
        <v>3</v>
      </c>
      <c r="AO22" s="82" t="s">
        <v>499</v>
      </c>
      <c r="AP22" s="82"/>
      <c r="AQ22" s="7" t="s">
        <v>64</v>
      </c>
      <c r="AR22" s="49" t="s">
        <v>43</v>
      </c>
      <c r="AS22" s="49" t="s">
        <v>44</v>
      </c>
      <c r="AT22" s="49" t="s">
        <v>45</v>
      </c>
      <c r="AU22" s="49" t="s">
        <v>46</v>
      </c>
      <c r="AV22" s="49" t="s">
        <v>47</v>
      </c>
      <c r="AW22" s="49" t="s">
        <v>48</v>
      </c>
      <c r="AX22" s="49" t="s">
        <v>49</v>
      </c>
      <c r="AY22" s="49" t="s">
        <v>50</v>
      </c>
      <c r="AZ22" s="49" t="s">
        <v>51</v>
      </c>
      <c r="BA22" s="49" t="s">
        <v>52</v>
      </c>
      <c r="BB22" s="49" t="s">
        <v>53</v>
      </c>
      <c r="BC22" s="49" t="s">
        <v>54</v>
      </c>
      <c r="BD22" s="49" t="s">
        <v>55</v>
      </c>
      <c r="BE22" s="49" t="s">
        <v>56</v>
      </c>
      <c r="BF22" s="49" t="s">
        <v>57</v>
      </c>
      <c r="BG22" s="49" t="s">
        <v>58</v>
      </c>
      <c r="BH22" s="49" t="s">
        <v>59</v>
      </c>
      <c r="BI22" s="49" t="s">
        <v>60</v>
      </c>
      <c r="BJ22" s="49" t="s">
        <v>61</v>
      </c>
      <c r="BK22" s="49" t="s">
        <v>62</v>
      </c>
      <c r="BL22" s="49" t="s">
        <v>63</v>
      </c>
      <c r="BM22" s="49" t="s">
        <v>330</v>
      </c>
      <c r="BN22" s="49" t="s">
        <v>331</v>
      </c>
      <c r="BO22" s="49" t="s">
        <v>332</v>
      </c>
      <c r="BP22" s="49" t="s">
        <v>333</v>
      </c>
      <c r="BQ22" s="49" t="s">
        <v>334</v>
      </c>
      <c r="BR22" s="49" t="s">
        <v>335</v>
      </c>
      <c r="BS22" s="49" t="s">
        <v>336</v>
      </c>
      <c r="BT22" s="49" t="s">
        <v>337</v>
      </c>
      <c r="BU22" s="49" t="s">
        <v>338</v>
      </c>
      <c r="BV22" s="49" t="s">
        <v>339</v>
      </c>
      <c r="BW22" s="49" t="s">
        <v>340</v>
      </c>
      <c r="BX22" s="49" t="s">
        <v>341</v>
      </c>
      <c r="BY22" s="49" t="s">
        <v>342</v>
      </c>
      <c r="BZ22" s="49" t="s">
        <v>343</v>
      </c>
      <c r="CA22" s="49" t="s">
        <v>390</v>
      </c>
    </row>
    <row r="23" spans="1:79" x14ac:dyDescent="0.3">
      <c r="A23" s="6">
        <f t="shared" si="0"/>
        <v>22</v>
      </c>
      <c r="B23" s="6" t="s">
        <v>471</v>
      </c>
      <c r="C23" s="6">
        <v>4</v>
      </c>
      <c r="D23" s="6" t="s">
        <v>5</v>
      </c>
      <c r="E23" s="6" t="s">
        <v>5</v>
      </c>
      <c r="F23" s="6" t="s">
        <v>2</v>
      </c>
      <c r="G23" s="6" t="s">
        <v>5</v>
      </c>
      <c r="H23" s="6" t="s">
        <v>5</v>
      </c>
      <c r="I23" s="6" t="s">
        <v>5</v>
      </c>
      <c r="J23" s="6" t="s">
        <v>5</v>
      </c>
      <c r="K23" s="6" t="s">
        <v>2</v>
      </c>
      <c r="L23" s="6" t="s">
        <v>3</v>
      </c>
      <c r="M23" s="6" t="s">
        <v>4</v>
      </c>
      <c r="N23" s="6" t="s">
        <v>4</v>
      </c>
      <c r="O23" s="6" t="s">
        <v>3</v>
      </c>
      <c r="P23" s="6" t="s">
        <v>2</v>
      </c>
      <c r="Q23" s="6" t="s">
        <v>2</v>
      </c>
      <c r="R23" s="6" t="s">
        <v>3</v>
      </c>
      <c r="S23" s="6" t="s">
        <v>5</v>
      </c>
      <c r="T23" s="6" t="s">
        <v>3</v>
      </c>
      <c r="U23" s="6" t="s">
        <v>2</v>
      </c>
      <c r="V23" s="6" t="s">
        <v>5</v>
      </c>
      <c r="W23" s="6" t="s">
        <v>3</v>
      </c>
      <c r="X23" s="6" t="s">
        <v>4</v>
      </c>
      <c r="Y23" s="6" t="s">
        <v>4</v>
      </c>
      <c r="Z23" s="6" t="s">
        <v>3</v>
      </c>
      <c r="AA23" s="6" t="s">
        <v>4</v>
      </c>
      <c r="AB23" s="6" t="s">
        <v>4</v>
      </c>
      <c r="AC23" s="6" t="s">
        <v>4</v>
      </c>
      <c r="AD23" s="6" t="s">
        <v>4</v>
      </c>
      <c r="AE23" s="6" t="s">
        <v>4</v>
      </c>
      <c r="AF23" s="6" t="s">
        <v>4</v>
      </c>
      <c r="AG23" s="6" t="s">
        <v>3</v>
      </c>
      <c r="AH23" s="6" t="s">
        <v>3</v>
      </c>
      <c r="AI23" s="6" t="s">
        <v>3</v>
      </c>
      <c r="AJ23" s="6" t="s">
        <v>4</v>
      </c>
      <c r="AK23" s="6" t="s">
        <v>4</v>
      </c>
      <c r="AL23" s="6" t="s">
        <v>3</v>
      </c>
      <c r="AM23" s="6" t="s">
        <v>3</v>
      </c>
      <c r="AO23" s="82"/>
      <c r="AP23" s="82"/>
      <c r="AQ23" s="7">
        <v>1</v>
      </c>
      <c r="AR23" s="6" t="s">
        <v>2</v>
      </c>
      <c r="AS23" s="6" t="s">
        <v>5</v>
      </c>
      <c r="AT23" s="6" t="s">
        <v>3</v>
      </c>
      <c r="AU23" s="6" t="s">
        <v>5</v>
      </c>
      <c r="AV23" s="6" t="s">
        <v>5</v>
      </c>
      <c r="AW23" s="6" t="s">
        <v>3</v>
      </c>
      <c r="AX23" s="6" t="s">
        <v>2</v>
      </c>
      <c r="AY23" s="6" t="s">
        <v>2</v>
      </c>
      <c r="AZ23" s="6" t="s">
        <v>2</v>
      </c>
      <c r="BA23" s="6" t="s">
        <v>3</v>
      </c>
      <c r="BB23" s="6" t="s">
        <v>4</v>
      </c>
      <c r="BC23" s="6" t="s">
        <v>5</v>
      </c>
      <c r="BD23" s="6" t="s">
        <v>5</v>
      </c>
      <c r="BE23" s="6" t="s">
        <v>3</v>
      </c>
      <c r="BF23" s="6" t="s">
        <v>3</v>
      </c>
      <c r="BG23" s="6" t="s">
        <v>5</v>
      </c>
      <c r="BH23" s="6" t="s">
        <v>5</v>
      </c>
      <c r="BI23" s="6" t="s">
        <v>5</v>
      </c>
      <c r="BJ23" s="6" t="s">
        <v>5</v>
      </c>
      <c r="BK23" s="6" t="s">
        <v>4</v>
      </c>
      <c r="BL23" s="6" t="s">
        <v>3</v>
      </c>
      <c r="BM23" s="6" t="s">
        <v>2</v>
      </c>
      <c r="BN23" s="6" t="s">
        <v>3</v>
      </c>
      <c r="BO23" s="6" t="s">
        <v>4</v>
      </c>
      <c r="BP23" s="6" t="s">
        <v>4</v>
      </c>
      <c r="BQ23" s="6" t="s">
        <v>4</v>
      </c>
      <c r="BR23" s="6" t="s">
        <v>4</v>
      </c>
      <c r="BS23" s="6" t="s">
        <v>4</v>
      </c>
      <c r="BT23" s="6" t="s">
        <v>3</v>
      </c>
      <c r="BU23" s="6" t="s">
        <v>3</v>
      </c>
      <c r="BV23" s="6" t="s">
        <v>4</v>
      </c>
      <c r="BW23" s="6" t="s">
        <v>4</v>
      </c>
      <c r="BX23" s="6" t="s">
        <v>4</v>
      </c>
      <c r="BY23" s="6" t="s">
        <v>4</v>
      </c>
      <c r="BZ23" s="6" t="s">
        <v>4</v>
      </c>
      <c r="CA23" s="6" t="s">
        <v>3</v>
      </c>
    </row>
    <row r="24" spans="1:79" x14ac:dyDescent="0.3">
      <c r="A24" s="6">
        <f t="shared" si="0"/>
        <v>23</v>
      </c>
      <c r="B24" s="6" t="s">
        <v>472</v>
      </c>
      <c r="C24" s="6">
        <v>4</v>
      </c>
      <c r="D24" s="6" t="s">
        <v>2</v>
      </c>
      <c r="E24" s="6" t="s">
        <v>5</v>
      </c>
      <c r="F24" s="6" t="s">
        <v>2</v>
      </c>
      <c r="G24" s="6" t="s">
        <v>5</v>
      </c>
      <c r="H24" s="6" t="s">
        <v>5</v>
      </c>
      <c r="I24" s="6" t="s">
        <v>5</v>
      </c>
      <c r="J24" s="6" t="s">
        <v>5</v>
      </c>
      <c r="K24" s="6" t="s">
        <v>2</v>
      </c>
      <c r="L24" s="6" t="s">
        <v>2</v>
      </c>
      <c r="M24" s="6" t="s">
        <v>2</v>
      </c>
      <c r="N24" s="6" t="s">
        <v>5</v>
      </c>
      <c r="O24" s="6" t="s">
        <v>4</v>
      </c>
      <c r="P24" s="6" t="s">
        <v>5</v>
      </c>
      <c r="Q24" s="6" t="s">
        <v>2</v>
      </c>
      <c r="R24" s="6" t="s">
        <v>4</v>
      </c>
      <c r="S24" s="6" t="s">
        <v>5</v>
      </c>
      <c r="T24" s="6" t="s">
        <v>5</v>
      </c>
      <c r="U24" s="6" t="s">
        <v>5</v>
      </c>
      <c r="V24" s="6" t="s">
        <v>4</v>
      </c>
      <c r="W24" s="6" t="s">
        <v>3</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3</v>
      </c>
      <c r="AM24" s="6" t="s">
        <v>3</v>
      </c>
      <c r="AO24" s="80" t="s">
        <v>504</v>
      </c>
      <c r="AP24" s="80"/>
      <c r="AQ24" s="6">
        <f>'Data Training 1'!AW22*'Data Training 1'!AT33*'Data Training 1'!AT40*'Data Training 1'!AT44*'Data Training 1'!AT52*'Data Training 1'!AT58*'Data Training 1'!AT62*'Data Training 1'!AT69*'Data Training 1'!AT75*'Data Training 1'!AT81*'Data Training 1'!AT86*'Data Training 1'!AT91*'Data Training 1'!AT100*'Data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1'!AT188*'Data Training 1'!AT192*'Data Training 1'!AT195*'Data Training 1'!AT199*'Data Training 1'!AT203*'Data Training 1'!AT207*'Data Training 1'!AT211*'Data Training 1'!AT216</f>
        <v>2.251071438126609E-10</v>
      </c>
    </row>
    <row r="25" spans="1:79" x14ac:dyDescent="0.3">
      <c r="A25" s="6">
        <f t="shared" si="0"/>
        <v>24</v>
      </c>
      <c r="B25" s="6" t="s">
        <v>486</v>
      </c>
      <c r="C25" s="6">
        <v>4</v>
      </c>
      <c r="D25" s="6" t="s">
        <v>3</v>
      </c>
      <c r="E25" s="6" t="s">
        <v>5</v>
      </c>
      <c r="F25" s="6" t="s">
        <v>4</v>
      </c>
      <c r="G25" s="6" t="s">
        <v>5</v>
      </c>
      <c r="H25" s="6" t="s">
        <v>5</v>
      </c>
      <c r="I25" s="6" t="s">
        <v>5</v>
      </c>
      <c r="J25" s="6" t="s">
        <v>5</v>
      </c>
      <c r="K25" s="6" t="s">
        <v>2</v>
      </c>
      <c r="L25" s="6" t="s">
        <v>2</v>
      </c>
      <c r="M25" s="6" t="s">
        <v>4</v>
      </c>
      <c r="N25" s="6" t="s">
        <v>4</v>
      </c>
      <c r="O25" s="6" t="s">
        <v>5</v>
      </c>
      <c r="P25" s="6" t="s">
        <v>2</v>
      </c>
      <c r="Q25" s="6" t="s">
        <v>3</v>
      </c>
      <c r="R25" s="6" t="s">
        <v>5</v>
      </c>
      <c r="S25" s="6" t="s">
        <v>5</v>
      </c>
      <c r="T25" s="6" t="s">
        <v>2</v>
      </c>
      <c r="U25" s="6" t="s">
        <v>5</v>
      </c>
      <c r="V25" s="6" t="s">
        <v>5</v>
      </c>
      <c r="W25" s="6" t="s">
        <v>4</v>
      </c>
      <c r="X25" s="6" t="s">
        <v>4</v>
      </c>
      <c r="Y25" s="6" t="s">
        <v>2</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c r="AO25" s="6" t="s">
        <v>505</v>
      </c>
      <c r="AP25" s="50"/>
      <c r="AQ25" s="6">
        <f>'Data Training 1'!AW23*'Data Training 1'!AU33*'Data Training 1'!AU40*'Data Training 1'!AU44*'Data Training 1'!AU52*'Data Training 1'!AU58*'Data Training 1'!AU62*'Data Training 1'!AU69*'Data Training 1'!AU75*'Data Training 1'!AU81*'Data Training 1'!AU86*'Data Training 1'!AU91*'Data Training 1'!AU100*'Data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1'!AU188*'Data Training 1'!AU192*'Data Training 1'!AU195*'Data Training 1'!AU199*'Data Training 1'!AU203*'Data Training 1'!AU207*'Data Training 1'!AU211*'Data Training 1'!AU216</f>
        <v>0</v>
      </c>
    </row>
    <row r="26" spans="1:79" x14ac:dyDescent="0.3">
      <c r="A26" s="6">
        <f t="shared" si="0"/>
        <v>25</v>
      </c>
      <c r="B26" s="6" t="s">
        <v>324</v>
      </c>
      <c r="C26" s="6">
        <v>5</v>
      </c>
      <c r="D26" s="6" t="s">
        <v>5</v>
      </c>
      <c r="E26" s="6" t="s">
        <v>3</v>
      </c>
      <c r="F26" s="6" t="s">
        <v>3</v>
      </c>
      <c r="G26" s="6" t="s">
        <v>5</v>
      </c>
      <c r="H26" s="6" t="s">
        <v>5</v>
      </c>
      <c r="I26" s="6" t="s">
        <v>5</v>
      </c>
      <c r="J26" s="6" t="s">
        <v>5</v>
      </c>
      <c r="K26" s="6" t="s">
        <v>2</v>
      </c>
      <c r="L26" s="6" t="s">
        <v>2</v>
      </c>
      <c r="M26" s="6" t="s">
        <v>5</v>
      </c>
      <c r="N26" s="6" t="s">
        <v>3</v>
      </c>
      <c r="O26" s="6" t="s">
        <v>2</v>
      </c>
      <c r="P26" s="6" t="s">
        <v>5</v>
      </c>
      <c r="Q26" s="6" t="s">
        <v>2</v>
      </c>
      <c r="R26" s="6" t="s">
        <v>3</v>
      </c>
      <c r="S26" s="6" t="s">
        <v>5</v>
      </c>
      <c r="T26" s="6" t="s">
        <v>5</v>
      </c>
      <c r="U26" s="6" t="s">
        <v>5</v>
      </c>
      <c r="V26" s="6" t="s">
        <v>5</v>
      </c>
      <c r="W26" s="6" t="s">
        <v>3</v>
      </c>
      <c r="X26" s="6" t="s">
        <v>4</v>
      </c>
      <c r="Y26" s="6" t="s">
        <v>2</v>
      </c>
      <c r="Z26" s="6" t="s">
        <v>3</v>
      </c>
      <c r="AA26" s="6" t="s">
        <v>4</v>
      </c>
      <c r="AB26" s="6" t="s">
        <v>4</v>
      </c>
      <c r="AC26" s="6" t="s">
        <v>4</v>
      </c>
      <c r="AD26" s="6" t="s">
        <v>4</v>
      </c>
      <c r="AE26" s="6" t="s">
        <v>4</v>
      </c>
      <c r="AF26" s="6" t="s">
        <v>4</v>
      </c>
      <c r="AG26" s="6" t="s">
        <v>3</v>
      </c>
      <c r="AH26" s="6" t="s">
        <v>4</v>
      </c>
      <c r="AI26" s="6" t="s">
        <v>3</v>
      </c>
      <c r="AJ26" s="6" t="s">
        <v>4</v>
      </c>
      <c r="AK26" s="6" t="s">
        <v>4</v>
      </c>
      <c r="AL26" s="6" t="s">
        <v>4</v>
      </c>
      <c r="AM26" s="6" t="s">
        <v>3</v>
      </c>
      <c r="AO26" s="6" t="s">
        <v>506</v>
      </c>
      <c r="AP26" s="6"/>
      <c r="AQ26" s="6">
        <f>'Data Training 1'!AW24*'Data Training 1'!AV33*'Data Training 1'!AV40*'Data Training 1'!AV44*'Data Training 1'!AV52*'Data Training 1'!AV58*'Data Training 1'!AV62*'Data Training 1'!AV69*'Data Training 1'!AV75*'Data Training 1'!AV81*'Data Training 1'!AV86*'Data Training 1'!AV91*'Data Training 1'!AV100*'Data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1'!AV188*'Data Training 1'!AV192*'Data Training 1'!AV195*'Data Training 1'!AV199*'Data Training 1'!AV203*'Data Training 1'!AV207*'Data Training 1'!AV211*'Data Training 1'!AV216</f>
        <v>0</v>
      </c>
    </row>
    <row r="27" spans="1:79" x14ac:dyDescent="0.3">
      <c r="A27" s="6">
        <f t="shared" si="0"/>
        <v>26</v>
      </c>
      <c r="B27" s="6" t="s">
        <v>325</v>
      </c>
      <c r="C27" s="6">
        <v>5</v>
      </c>
      <c r="D27" s="6" t="s">
        <v>5</v>
      </c>
      <c r="E27" s="6" t="s">
        <v>3</v>
      </c>
      <c r="F27" s="6" t="s">
        <v>5</v>
      </c>
      <c r="G27" s="6" t="s">
        <v>5</v>
      </c>
      <c r="H27" s="6" t="s">
        <v>5</v>
      </c>
      <c r="I27" s="6" t="s">
        <v>5</v>
      </c>
      <c r="J27" s="6" t="s">
        <v>5</v>
      </c>
      <c r="K27" s="6" t="s">
        <v>2</v>
      </c>
      <c r="L27" s="6" t="s">
        <v>2</v>
      </c>
      <c r="M27" s="6" t="s">
        <v>4</v>
      </c>
      <c r="N27" s="6" t="s">
        <v>4</v>
      </c>
      <c r="O27" s="6" t="s">
        <v>3</v>
      </c>
      <c r="P27" s="6" t="s">
        <v>5</v>
      </c>
      <c r="Q27" s="6" t="s">
        <v>2</v>
      </c>
      <c r="R27" s="6" t="s">
        <v>5</v>
      </c>
      <c r="S27" s="6" t="s">
        <v>2</v>
      </c>
      <c r="T27" s="6" t="s">
        <v>2</v>
      </c>
      <c r="U27" s="6" t="s">
        <v>5</v>
      </c>
      <c r="V27" s="6" t="s">
        <v>4</v>
      </c>
      <c r="W27" s="6" t="s">
        <v>3</v>
      </c>
      <c r="X27" s="6" t="s">
        <v>3</v>
      </c>
      <c r="Y27" s="6" t="s">
        <v>4</v>
      </c>
      <c r="Z27" s="6" t="s">
        <v>3</v>
      </c>
      <c r="AA27" s="6" t="s">
        <v>4</v>
      </c>
      <c r="AB27" s="6" t="s">
        <v>4</v>
      </c>
      <c r="AC27" s="6" t="s">
        <v>4</v>
      </c>
      <c r="AD27" s="6" t="s">
        <v>4</v>
      </c>
      <c r="AE27" s="6" t="s">
        <v>4</v>
      </c>
      <c r="AF27" s="6" t="s">
        <v>3</v>
      </c>
      <c r="AG27" s="6" t="s">
        <v>3</v>
      </c>
      <c r="AH27" s="6" t="s">
        <v>4</v>
      </c>
      <c r="AI27" s="6" t="s">
        <v>3</v>
      </c>
      <c r="AJ27" s="6" t="s">
        <v>4</v>
      </c>
      <c r="AK27" s="6" t="s">
        <v>4</v>
      </c>
      <c r="AL27" s="6" t="s">
        <v>4</v>
      </c>
      <c r="AM27" s="6" t="s">
        <v>3</v>
      </c>
      <c r="AO27" s="6" t="s">
        <v>507</v>
      </c>
      <c r="AP27" s="50"/>
      <c r="AQ27" s="6">
        <f>'Data Training 1'!AW25*'Data Training 1'!AW33*'Data Training 1'!AW40*'Data Training 1'!AW44*'Data Training 1'!AW52*'Data Training 1'!AW58*'Data Training 1'!AW62*'Data Training 1'!AW69*'Data Training 1'!AW75*'Data Training 1'!AW81*'Data Training 1'!AW86*'Data Training 1'!AW91*'Data Training 1'!AW100*'Data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1'!AW188*'Data Training 1'!AW192*'Data Training 1'!AW195*'Data Training 1'!AW199*'Data Training 1'!AW203*'Data Training 1'!AW207*'Data Training 1'!AW211*'Data Training 1'!AW216</f>
        <v>0</v>
      </c>
    </row>
    <row r="28" spans="1:79" x14ac:dyDescent="0.3">
      <c r="A28" s="6">
        <f t="shared" si="0"/>
        <v>27</v>
      </c>
      <c r="B28" s="6" t="s">
        <v>326</v>
      </c>
      <c r="C28" s="6">
        <v>5</v>
      </c>
      <c r="D28" s="6" t="s">
        <v>5</v>
      </c>
      <c r="E28" s="6" t="s">
        <v>5</v>
      </c>
      <c r="F28" s="6" t="s">
        <v>2</v>
      </c>
      <c r="G28" s="6" t="s">
        <v>5</v>
      </c>
      <c r="H28" s="6" t="s">
        <v>5</v>
      </c>
      <c r="I28" s="6" t="s">
        <v>3</v>
      </c>
      <c r="J28" s="6" t="s">
        <v>5</v>
      </c>
      <c r="K28" s="6" t="s">
        <v>2</v>
      </c>
      <c r="L28" s="6" t="s">
        <v>2</v>
      </c>
      <c r="M28" s="6" t="s">
        <v>2</v>
      </c>
      <c r="N28" s="6" t="s">
        <v>2</v>
      </c>
      <c r="O28" s="6" t="s">
        <v>2</v>
      </c>
      <c r="P28" s="6" t="s">
        <v>2</v>
      </c>
      <c r="Q28" s="6" t="s">
        <v>3</v>
      </c>
      <c r="R28" s="6" t="s">
        <v>3</v>
      </c>
      <c r="S28" s="6" t="s">
        <v>5</v>
      </c>
      <c r="T28" s="6" t="s">
        <v>5</v>
      </c>
      <c r="U28" s="6" t="s">
        <v>5</v>
      </c>
      <c r="V28" s="6" t="s">
        <v>5</v>
      </c>
      <c r="W28" s="6" t="s">
        <v>3</v>
      </c>
      <c r="X28" s="6" t="s">
        <v>3</v>
      </c>
      <c r="Y28" s="6" t="s">
        <v>2</v>
      </c>
      <c r="Z28" s="6" t="s">
        <v>3</v>
      </c>
      <c r="AA28" s="6" t="s">
        <v>4</v>
      </c>
      <c r="AB28" s="6" t="s">
        <v>4</v>
      </c>
      <c r="AC28" s="6" t="s">
        <v>4</v>
      </c>
      <c r="AD28" s="6" t="s">
        <v>4</v>
      </c>
      <c r="AE28" s="6" t="s">
        <v>4</v>
      </c>
      <c r="AF28" s="6" t="s">
        <v>3</v>
      </c>
      <c r="AG28" s="6" t="s">
        <v>3</v>
      </c>
      <c r="AH28" s="6" t="s">
        <v>4</v>
      </c>
      <c r="AI28" s="6" t="s">
        <v>3</v>
      </c>
      <c r="AJ28" s="6" t="s">
        <v>3</v>
      </c>
      <c r="AK28" s="6" t="s">
        <v>4</v>
      </c>
      <c r="AL28" s="6" t="s">
        <v>3</v>
      </c>
      <c r="AM28" s="6" t="s">
        <v>3</v>
      </c>
      <c r="AO28" s="6" t="s">
        <v>508</v>
      </c>
      <c r="AP28" s="6"/>
      <c r="AQ28" s="6">
        <f>'Data Training 1'!AW26*'Data Training 1'!AX33*'Data Training 1'!AX40*'Data Training 1'!AX44*'Data Training 1'!AX52*'Data Training 1'!AX58*'Data Training 1'!AX62*'Data Training 1'!AX69*'Data Training 1'!AX75*'Data Training 1'!AX81*'Data Training 1'!AX86*'Data Training 1'!AX91*'Data Training 1'!AX100*'Data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1'!AX188*'Data Training 1'!AX192*'Data Training 1'!AX195*'Data Training 1'!AX199*'Data Training 1'!AX203*'Data Training 1'!AX207*'Data Training 1'!AX211*'Data Training 1'!AX216</f>
        <v>0</v>
      </c>
    </row>
    <row r="29" spans="1:79" x14ac:dyDescent="0.3">
      <c r="A29" s="6">
        <f t="shared" si="0"/>
        <v>28</v>
      </c>
      <c r="B29" s="6" t="s">
        <v>479</v>
      </c>
      <c r="C29" s="6">
        <v>5</v>
      </c>
      <c r="D29" s="6" t="s">
        <v>2</v>
      </c>
      <c r="E29" s="6" t="s">
        <v>3</v>
      </c>
      <c r="F29" s="6" t="s">
        <v>5</v>
      </c>
      <c r="G29" s="6" t="s">
        <v>5</v>
      </c>
      <c r="H29" s="6" t="s">
        <v>5</v>
      </c>
      <c r="I29" s="6" t="s">
        <v>5</v>
      </c>
      <c r="J29" s="6" t="s">
        <v>5</v>
      </c>
      <c r="K29" s="6" t="s">
        <v>2</v>
      </c>
      <c r="L29" s="6" t="s">
        <v>3</v>
      </c>
      <c r="M29" s="6" t="s">
        <v>3</v>
      </c>
      <c r="N29" s="6" t="s">
        <v>5</v>
      </c>
      <c r="O29" s="6" t="s">
        <v>2</v>
      </c>
      <c r="P29" s="6" t="s">
        <v>5</v>
      </c>
      <c r="Q29" s="6" t="s">
        <v>2</v>
      </c>
      <c r="R29" s="6" t="s">
        <v>2</v>
      </c>
      <c r="S29" s="6" t="s">
        <v>5</v>
      </c>
      <c r="T29" s="6" t="s">
        <v>5</v>
      </c>
      <c r="U29" s="6" t="s">
        <v>5</v>
      </c>
      <c r="V29" s="6" t="s">
        <v>3</v>
      </c>
      <c r="W29" s="6" t="s">
        <v>3</v>
      </c>
      <c r="X29" s="6" t="s">
        <v>4</v>
      </c>
      <c r="Y29" s="6" t="s">
        <v>2</v>
      </c>
      <c r="Z29" s="6" t="s">
        <v>3</v>
      </c>
      <c r="AA29" s="6" t="s">
        <v>4</v>
      </c>
      <c r="AB29" s="6" t="s">
        <v>4</v>
      </c>
      <c r="AC29" s="6" t="s">
        <v>4</v>
      </c>
      <c r="AD29" s="6" t="s">
        <v>4</v>
      </c>
      <c r="AE29" s="6" t="s">
        <v>4</v>
      </c>
      <c r="AF29" s="6" t="s">
        <v>3</v>
      </c>
      <c r="AG29" s="6" t="s">
        <v>3</v>
      </c>
      <c r="AH29" s="6" t="s">
        <v>4</v>
      </c>
      <c r="AI29" s="6" t="s">
        <v>3</v>
      </c>
      <c r="AJ29" s="6" t="s">
        <v>4</v>
      </c>
      <c r="AK29" s="6" t="s">
        <v>4</v>
      </c>
      <c r="AL29" s="6" t="s">
        <v>4</v>
      </c>
      <c r="AM29" s="6" t="s">
        <v>3</v>
      </c>
      <c r="AO29" s="28" t="s">
        <v>512</v>
      </c>
      <c r="AP29" s="57"/>
      <c r="AQ29" s="28">
        <f>'Data Training 1'!AW27*'Data Training 1'!AY33*'Data Training 1'!AY40*'Data Training 1'!AY44*'Data Training 1'!AY52*'Data Training 1'!AY58*'Data Training 1'!AY62*'Data Training 1'!AY69*'Data Training 1'!AY75*'Data Training 1'!AY81*'Data Training 1'!AY86*'Data Training 1'!AY91*'Data Training 1'!AY100*'Data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1'!AY188*'Data Training 1'!AY192*'Data Training 1'!AY195*'Data Training 1'!AY199*'Data Training 1'!AY203*'Data Training 1'!AY207*'Data Training 1'!AY211*'Data Training 1'!AY216</f>
        <v>0</v>
      </c>
    </row>
    <row r="30" spans="1:79" x14ac:dyDescent="0.3">
      <c r="A30" s="6">
        <f t="shared" si="0"/>
        <v>29</v>
      </c>
      <c r="B30" s="6" t="s">
        <v>480</v>
      </c>
      <c r="C30" s="6">
        <v>5</v>
      </c>
      <c r="D30" s="6" t="s">
        <v>2</v>
      </c>
      <c r="E30" s="6" t="s">
        <v>3</v>
      </c>
      <c r="F30" s="6" t="s">
        <v>4</v>
      </c>
      <c r="G30" s="6" t="s">
        <v>5</v>
      </c>
      <c r="H30" s="6" t="s">
        <v>5</v>
      </c>
      <c r="I30" s="6" t="s">
        <v>3</v>
      </c>
      <c r="J30" s="6" t="s">
        <v>5</v>
      </c>
      <c r="K30" s="6" t="s">
        <v>2</v>
      </c>
      <c r="L30" s="6" t="s">
        <v>3</v>
      </c>
      <c r="M30" s="6" t="s">
        <v>2</v>
      </c>
      <c r="N30" s="6" t="s">
        <v>2</v>
      </c>
      <c r="O30" s="6" t="s">
        <v>5</v>
      </c>
      <c r="P30" s="6" t="s">
        <v>5</v>
      </c>
      <c r="Q30" s="6" t="s">
        <v>2</v>
      </c>
      <c r="R30" s="6" t="s">
        <v>5</v>
      </c>
      <c r="S30" s="6" t="s">
        <v>5</v>
      </c>
      <c r="T30" s="6" t="s">
        <v>3</v>
      </c>
      <c r="U30" s="6" t="s">
        <v>5</v>
      </c>
      <c r="V30" s="6" t="s">
        <v>2</v>
      </c>
      <c r="W30" s="6" t="s">
        <v>4</v>
      </c>
      <c r="X30" s="6" t="s">
        <v>4</v>
      </c>
      <c r="Y30" s="6" t="s">
        <v>2</v>
      </c>
      <c r="Z30" s="6" t="s">
        <v>3</v>
      </c>
      <c r="AA30" s="6" t="s">
        <v>4</v>
      </c>
      <c r="AB30" s="6" t="s">
        <v>4</v>
      </c>
      <c r="AC30" s="6" t="s">
        <v>4</v>
      </c>
      <c r="AD30" s="6" t="s">
        <v>4</v>
      </c>
      <c r="AE30" s="6" t="s">
        <v>4</v>
      </c>
      <c r="AF30" s="6" t="s">
        <v>4</v>
      </c>
      <c r="AG30" s="6" t="s">
        <v>3</v>
      </c>
      <c r="AH30" s="6" t="s">
        <v>4</v>
      </c>
      <c r="AI30" s="6" t="s">
        <v>3</v>
      </c>
      <c r="AJ30" s="6" t="s">
        <v>4</v>
      </c>
      <c r="AK30" s="6" t="s">
        <v>4</v>
      </c>
      <c r="AL30" s="6" t="s">
        <v>3</v>
      </c>
      <c r="AM30" s="6" t="s">
        <v>3</v>
      </c>
      <c r="AO30" s="78" t="s">
        <v>437</v>
      </c>
      <c r="AP30" s="78"/>
      <c r="AQ30" s="6" t="s">
        <v>285</v>
      </c>
      <c r="AR30" s="79" t="s">
        <v>438</v>
      </c>
      <c r="AS30" s="79"/>
      <c r="AT30" s="79"/>
    </row>
    <row r="31" spans="1:79" x14ac:dyDescent="0.3">
      <c r="A31" s="6">
        <f t="shared" si="0"/>
        <v>30</v>
      </c>
      <c r="B31" s="6" t="s">
        <v>496</v>
      </c>
      <c r="C31" s="6">
        <v>5</v>
      </c>
      <c r="D31" s="6" t="s">
        <v>5</v>
      </c>
      <c r="E31" s="6" t="s">
        <v>5</v>
      </c>
      <c r="F31" s="6" t="s">
        <v>3</v>
      </c>
      <c r="G31" s="6" t="s">
        <v>5</v>
      </c>
      <c r="H31" s="6" t="s">
        <v>5</v>
      </c>
      <c r="I31" s="6" t="s">
        <v>5</v>
      </c>
      <c r="J31" s="6" t="s">
        <v>5</v>
      </c>
      <c r="K31" s="6" t="s">
        <v>2</v>
      </c>
      <c r="L31" s="6" t="s">
        <v>2</v>
      </c>
      <c r="M31" s="6" t="s">
        <v>5</v>
      </c>
      <c r="N31" s="6" t="s">
        <v>2</v>
      </c>
      <c r="O31" s="6" t="s">
        <v>2</v>
      </c>
      <c r="P31" s="6" t="s">
        <v>4</v>
      </c>
      <c r="Q31" s="6" t="s">
        <v>3</v>
      </c>
      <c r="R31" s="6" t="s">
        <v>2</v>
      </c>
      <c r="S31" s="6" t="s">
        <v>5</v>
      </c>
      <c r="T31" s="6" t="s">
        <v>5</v>
      </c>
      <c r="U31" s="6" t="s">
        <v>5</v>
      </c>
      <c r="V31" s="6" t="s">
        <v>3</v>
      </c>
      <c r="W31" s="6" t="s">
        <v>3</v>
      </c>
      <c r="X31" s="6" t="s">
        <v>3</v>
      </c>
      <c r="Y31" s="6" t="s">
        <v>4</v>
      </c>
      <c r="Z31" s="6" t="s">
        <v>3</v>
      </c>
      <c r="AA31" s="6" t="s">
        <v>4</v>
      </c>
      <c r="AB31" s="6" t="s">
        <v>4</v>
      </c>
      <c r="AC31" s="6" t="s">
        <v>4</v>
      </c>
      <c r="AD31" s="6" t="s">
        <v>4</v>
      </c>
      <c r="AE31" s="6" t="s">
        <v>4</v>
      </c>
      <c r="AF31" s="6" t="s">
        <v>3</v>
      </c>
      <c r="AG31" s="6" t="s">
        <v>3</v>
      </c>
      <c r="AH31" s="6" t="s">
        <v>4</v>
      </c>
      <c r="AI31" s="6" t="s">
        <v>3</v>
      </c>
      <c r="AJ31" s="6" t="s">
        <v>4</v>
      </c>
      <c r="AK31" s="6" t="s">
        <v>4</v>
      </c>
      <c r="AL31" s="6" t="s">
        <v>3</v>
      </c>
      <c r="AM31" s="6" t="s">
        <v>3</v>
      </c>
      <c r="AP31" s="3"/>
    </row>
    <row r="32" spans="1:79" x14ac:dyDescent="0.3">
      <c r="A32" s="6">
        <f t="shared" si="0"/>
        <v>31</v>
      </c>
      <c r="B32" s="6" t="s">
        <v>430</v>
      </c>
      <c r="C32" s="6">
        <v>6</v>
      </c>
      <c r="D32" s="6" t="s">
        <v>5</v>
      </c>
      <c r="E32" s="6" t="s">
        <v>5</v>
      </c>
      <c r="F32" s="6" t="s">
        <v>3</v>
      </c>
      <c r="G32" s="6" t="s">
        <v>5</v>
      </c>
      <c r="H32" s="6" t="s">
        <v>5</v>
      </c>
      <c r="I32" s="6" t="s">
        <v>5</v>
      </c>
      <c r="J32" s="6" t="s">
        <v>5</v>
      </c>
      <c r="K32" s="6" t="s">
        <v>2</v>
      </c>
      <c r="L32" s="6" t="s">
        <v>2</v>
      </c>
      <c r="M32" s="6" t="s">
        <v>4</v>
      </c>
      <c r="N32" s="6" t="s">
        <v>4</v>
      </c>
      <c r="O32" s="6" t="s">
        <v>4</v>
      </c>
      <c r="P32" s="6" t="s">
        <v>5</v>
      </c>
      <c r="Q32" s="6" t="s">
        <v>4</v>
      </c>
      <c r="R32" s="6" t="s">
        <v>5</v>
      </c>
      <c r="S32" s="6" t="s">
        <v>5</v>
      </c>
      <c r="T32" s="6" t="s">
        <v>5</v>
      </c>
      <c r="U32" s="6" t="s">
        <v>5</v>
      </c>
      <c r="V32" s="6" t="s">
        <v>3</v>
      </c>
      <c r="W32" s="6" t="s">
        <v>5</v>
      </c>
      <c r="X32" s="6" t="s">
        <v>2</v>
      </c>
      <c r="Y32" s="6" t="s">
        <v>2</v>
      </c>
      <c r="Z32" s="6" t="s">
        <v>3</v>
      </c>
      <c r="AA32" s="6" t="s">
        <v>4</v>
      </c>
      <c r="AB32" s="6" t="s">
        <v>4</v>
      </c>
      <c r="AC32" s="6" t="s">
        <v>4</v>
      </c>
      <c r="AD32" s="6" t="s">
        <v>4</v>
      </c>
      <c r="AE32" s="6" t="s">
        <v>4</v>
      </c>
      <c r="AF32" s="6" t="s">
        <v>4</v>
      </c>
      <c r="AG32" s="6" t="s">
        <v>3</v>
      </c>
      <c r="AH32" s="6" t="s">
        <v>4</v>
      </c>
      <c r="AI32" s="6" t="s">
        <v>3</v>
      </c>
      <c r="AJ32" s="6" t="s">
        <v>3</v>
      </c>
      <c r="AK32" s="6" t="s">
        <v>4</v>
      </c>
      <c r="AL32" s="6" t="s">
        <v>3</v>
      </c>
      <c r="AM32" s="6" t="s">
        <v>3</v>
      </c>
      <c r="AN32">
        <v>4</v>
      </c>
      <c r="AO32" s="82" t="s">
        <v>484</v>
      </c>
      <c r="AP32" s="82"/>
      <c r="AQ32" s="7" t="s">
        <v>64</v>
      </c>
      <c r="AR32" s="49" t="s">
        <v>43</v>
      </c>
      <c r="AS32" s="49" t="s">
        <v>44</v>
      </c>
      <c r="AT32" s="49" t="s">
        <v>45</v>
      </c>
      <c r="AU32" s="49" t="s">
        <v>46</v>
      </c>
      <c r="AV32" s="49" t="s">
        <v>47</v>
      </c>
      <c r="AW32" s="49" t="s">
        <v>48</v>
      </c>
      <c r="AX32" s="49" t="s">
        <v>49</v>
      </c>
      <c r="AY32" s="49" t="s">
        <v>50</v>
      </c>
      <c r="AZ32" s="49" t="s">
        <v>51</v>
      </c>
      <c r="BA32" s="49" t="s">
        <v>52</v>
      </c>
      <c r="BB32" s="49" t="s">
        <v>53</v>
      </c>
      <c r="BC32" s="49" t="s">
        <v>54</v>
      </c>
      <c r="BD32" s="49" t="s">
        <v>55</v>
      </c>
      <c r="BE32" s="49" t="s">
        <v>56</v>
      </c>
      <c r="BF32" s="49" t="s">
        <v>57</v>
      </c>
      <c r="BG32" s="49" t="s">
        <v>58</v>
      </c>
      <c r="BH32" s="49" t="s">
        <v>59</v>
      </c>
      <c r="BI32" s="49" t="s">
        <v>60</v>
      </c>
      <c r="BJ32" s="49" t="s">
        <v>61</v>
      </c>
      <c r="BK32" s="49" t="s">
        <v>62</v>
      </c>
      <c r="BL32" s="49" t="s">
        <v>63</v>
      </c>
      <c r="BM32" s="49" t="s">
        <v>330</v>
      </c>
      <c r="BN32" s="49" t="s">
        <v>331</v>
      </c>
      <c r="BO32" s="49" t="s">
        <v>332</v>
      </c>
      <c r="BP32" s="49" t="s">
        <v>333</v>
      </c>
      <c r="BQ32" s="49" t="s">
        <v>334</v>
      </c>
      <c r="BR32" s="49" t="s">
        <v>335</v>
      </c>
      <c r="BS32" s="49" t="s">
        <v>336</v>
      </c>
      <c r="BT32" s="49" t="s">
        <v>337</v>
      </c>
      <c r="BU32" s="49" t="s">
        <v>338</v>
      </c>
      <c r="BV32" s="49" t="s">
        <v>339</v>
      </c>
      <c r="BW32" s="49" t="s">
        <v>340</v>
      </c>
      <c r="BX32" s="49" t="s">
        <v>341</v>
      </c>
      <c r="BY32" s="49" t="s">
        <v>342</v>
      </c>
      <c r="BZ32" s="49" t="s">
        <v>343</v>
      </c>
      <c r="CA32" s="49" t="s">
        <v>390</v>
      </c>
    </row>
    <row r="33" spans="1:79" x14ac:dyDescent="0.3">
      <c r="A33" s="6">
        <f t="shared" si="0"/>
        <v>32</v>
      </c>
      <c r="B33" s="6" t="s">
        <v>327</v>
      </c>
      <c r="C33" s="6">
        <v>6</v>
      </c>
      <c r="D33" s="6" t="s">
        <v>4</v>
      </c>
      <c r="E33" s="6" t="s">
        <v>5</v>
      </c>
      <c r="F33" s="6" t="s">
        <v>2</v>
      </c>
      <c r="G33" s="6" t="s">
        <v>5</v>
      </c>
      <c r="H33" s="6" t="s">
        <v>5</v>
      </c>
      <c r="I33" s="6" t="s">
        <v>5</v>
      </c>
      <c r="J33" s="6" t="s">
        <v>2</v>
      </c>
      <c r="K33" s="6" t="s">
        <v>2</v>
      </c>
      <c r="L33" s="6" t="s">
        <v>2</v>
      </c>
      <c r="M33" s="6" t="s">
        <v>4</v>
      </c>
      <c r="N33" s="6" t="s">
        <v>2</v>
      </c>
      <c r="O33" s="6" t="s">
        <v>5</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3</v>
      </c>
      <c r="AE33" s="6" t="s">
        <v>4</v>
      </c>
      <c r="AF33" s="6" t="s">
        <v>3</v>
      </c>
      <c r="AG33" s="6" t="s">
        <v>3</v>
      </c>
      <c r="AH33" s="6" t="s">
        <v>3</v>
      </c>
      <c r="AI33" s="6" t="s">
        <v>3</v>
      </c>
      <c r="AJ33" s="6" t="s">
        <v>3</v>
      </c>
      <c r="AK33" s="6" t="s">
        <v>3</v>
      </c>
      <c r="AL33" s="6" t="s">
        <v>3</v>
      </c>
      <c r="AM33" s="6" t="s">
        <v>3</v>
      </c>
      <c r="AO33" s="82"/>
      <c r="AP33" s="82"/>
      <c r="AQ33" s="7">
        <v>1</v>
      </c>
      <c r="AR33" s="6" t="s">
        <v>5</v>
      </c>
      <c r="AS33" s="6" t="s">
        <v>3</v>
      </c>
      <c r="AT33" s="6" t="s">
        <v>2</v>
      </c>
      <c r="AU33" s="6" t="s">
        <v>3</v>
      </c>
      <c r="AV33" s="6" t="s">
        <v>5</v>
      </c>
      <c r="AW33" s="6" t="s">
        <v>5</v>
      </c>
      <c r="AX33" s="6" t="s">
        <v>5</v>
      </c>
      <c r="AY33" s="6" t="s">
        <v>2</v>
      </c>
      <c r="AZ33" s="6" t="s">
        <v>2</v>
      </c>
      <c r="BA33" s="6" t="s">
        <v>2</v>
      </c>
      <c r="BB33" s="6" t="s">
        <v>2</v>
      </c>
      <c r="BC33" s="6" t="s">
        <v>5</v>
      </c>
      <c r="BD33" s="6" t="s">
        <v>5</v>
      </c>
      <c r="BE33" s="6" t="s">
        <v>3</v>
      </c>
      <c r="BF33" s="6" t="s">
        <v>3</v>
      </c>
      <c r="BG33" s="6" t="s">
        <v>5</v>
      </c>
      <c r="BH33" s="6" t="s">
        <v>5</v>
      </c>
      <c r="BI33" s="6" t="s">
        <v>5</v>
      </c>
      <c r="BJ33" s="6" t="s">
        <v>5</v>
      </c>
      <c r="BK33" s="6" t="s">
        <v>4</v>
      </c>
      <c r="BL33" s="6" t="s">
        <v>4</v>
      </c>
      <c r="BM33" s="6" t="s">
        <v>4</v>
      </c>
      <c r="BN33" s="6" t="s">
        <v>3</v>
      </c>
      <c r="BO33" s="6" t="s">
        <v>3</v>
      </c>
      <c r="BP33" s="6" t="s">
        <v>3</v>
      </c>
      <c r="BQ33" s="6" t="s">
        <v>4</v>
      </c>
      <c r="BR33" s="6" t="s">
        <v>4</v>
      </c>
      <c r="BS33" s="6" t="s">
        <v>4</v>
      </c>
      <c r="BT33" s="6" t="s">
        <v>4</v>
      </c>
      <c r="BU33" s="6" t="s">
        <v>3</v>
      </c>
      <c r="BV33" s="6" t="s">
        <v>4</v>
      </c>
      <c r="BW33" s="6" t="s">
        <v>3</v>
      </c>
      <c r="BX33" s="6" t="s">
        <v>3</v>
      </c>
      <c r="BY33" s="6" t="s">
        <v>4</v>
      </c>
      <c r="BZ33" s="6" t="s">
        <v>4</v>
      </c>
      <c r="CA33" s="6" t="s">
        <v>3</v>
      </c>
    </row>
    <row r="34" spans="1:79" x14ac:dyDescent="0.3">
      <c r="A34" s="6">
        <f t="shared" ref="A34:A37" si="1">ROW()-1</f>
        <v>33</v>
      </c>
      <c r="B34" s="6" t="s">
        <v>328</v>
      </c>
      <c r="C34" s="6">
        <v>6</v>
      </c>
      <c r="D34" s="6" t="s">
        <v>5</v>
      </c>
      <c r="E34" s="6" t="s">
        <v>5</v>
      </c>
      <c r="F34" s="6" t="s">
        <v>3</v>
      </c>
      <c r="G34" s="6" t="s">
        <v>2</v>
      </c>
      <c r="H34" s="6" t="s">
        <v>5</v>
      </c>
      <c r="I34" s="6" t="s">
        <v>5</v>
      </c>
      <c r="J34" s="6" t="s">
        <v>5</v>
      </c>
      <c r="K34" s="6" t="s">
        <v>5</v>
      </c>
      <c r="L34" s="6" t="s">
        <v>2</v>
      </c>
      <c r="M34" s="6" t="s">
        <v>4</v>
      </c>
      <c r="N34" s="6" t="s">
        <v>4</v>
      </c>
      <c r="O34" s="6" t="s">
        <v>2</v>
      </c>
      <c r="P34" s="6" t="s">
        <v>5</v>
      </c>
      <c r="Q34" s="6" t="s">
        <v>2</v>
      </c>
      <c r="R34" s="6" t="s">
        <v>2</v>
      </c>
      <c r="S34" s="6" t="s">
        <v>5</v>
      </c>
      <c r="T34" s="6" t="s">
        <v>3</v>
      </c>
      <c r="U34" s="6" t="s">
        <v>5</v>
      </c>
      <c r="V34" s="6" t="s">
        <v>3</v>
      </c>
      <c r="W34" s="6" t="s">
        <v>2</v>
      </c>
      <c r="X34" s="6" t="s">
        <v>2</v>
      </c>
      <c r="Y34" s="6" t="s">
        <v>5</v>
      </c>
      <c r="Z34" s="6" t="s">
        <v>3</v>
      </c>
      <c r="AA34" s="6" t="s">
        <v>4</v>
      </c>
      <c r="AB34" s="6" t="s">
        <v>4</v>
      </c>
      <c r="AC34" s="6" t="s">
        <v>4</v>
      </c>
      <c r="AD34" s="6" t="s">
        <v>3</v>
      </c>
      <c r="AE34" s="6" t="s">
        <v>4</v>
      </c>
      <c r="AF34" s="6" t="s">
        <v>3</v>
      </c>
      <c r="AG34" s="6" t="s">
        <v>3</v>
      </c>
      <c r="AH34" s="6" t="s">
        <v>3</v>
      </c>
      <c r="AI34" s="6" t="s">
        <v>3</v>
      </c>
      <c r="AJ34" s="6" t="s">
        <v>3</v>
      </c>
      <c r="AK34" s="6" t="s">
        <v>3</v>
      </c>
      <c r="AL34" s="6" t="s">
        <v>3</v>
      </c>
      <c r="AM34" s="6" t="s">
        <v>3</v>
      </c>
      <c r="AO34" s="80" t="s">
        <v>504</v>
      </c>
      <c r="AP34" s="80"/>
      <c r="AQ34" s="6">
        <f>'Data Training 1'!AW22*'Data Training 1'!AT34*'Data Training 1'!AT38*'Data Training 1'!AT45*'Data Training 1'!AT50*'Data Training 1'!AT58*'Data Training 1'!AT64*'Data Training 1'!AT70*'Data Training 1'!AT75*'Data Training 1'!AT81*'Data Training 1'!AT87*'Data Training 1'!AT93*'Data Training 1'!AT100*'Data Training 1'!AT106*'Data Training 1'!AT110*'Data Training 1'!AT116*'Data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1'!AT192*'Data Training 1'!AT195*'Data Training 1'!AT200*'Data Training 1'!AT204*'Data Training 1'!AT207*'Data Training 1'!AT211*'Data Training 1'!AT216</f>
        <v>4.1700293334392697E-11</v>
      </c>
    </row>
    <row r="35" spans="1:79" x14ac:dyDescent="0.3">
      <c r="A35" s="6">
        <f t="shared" si="1"/>
        <v>34</v>
      </c>
      <c r="B35" s="6" t="s">
        <v>475</v>
      </c>
      <c r="C35" s="6">
        <v>6</v>
      </c>
      <c r="D35" s="6" t="s">
        <v>5</v>
      </c>
      <c r="E35" s="6" t="s">
        <v>5</v>
      </c>
      <c r="F35" s="6" t="s">
        <v>2</v>
      </c>
      <c r="G35" s="6" t="s">
        <v>5</v>
      </c>
      <c r="H35" s="6" t="s">
        <v>5</v>
      </c>
      <c r="I35" s="6" t="s">
        <v>5</v>
      </c>
      <c r="J35" s="6" t="s">
        <v>5</v>
      </c>
      <c r="K35" s="6" t="s">
        <v>5</v>
      </c>
      <c r="L35" s="6" t="s">
        <v>2</v>
      </c>
      <c r="M35" s="6" t="s">
        <v>4</v>
      </c>
      <c r="N35" s="6" t="s">
        <v>4</v>
      </c>
      <c r="O35" s="6" t="s">
        <v>5</v>
      </c>
      <c r="P35" s="6" t="s">
        <v>2</v>
      </c>
      <c r="Q35" s="6" t="s">
        <v>3</v>
      </c>
      <c r="R35" s="6" t="s">
        <v>5</v>
      </c>
      <c r="S35" s="6" t="s">
        <v>5</v>
      </c>
      <c r="T35" s="6" t="s">
        <v>3</v>
      </c>
      <c r="U35" s="6" t="s">
        <v>5</v>
      </c>
      <c r="V35" s="6" t="s">
        <v>5</v>
      </c>
      <c r="W35" s="6" t="s">
        <v>4</v>
      </c>
      <c r="X35" s="6" t="s">
        <v>3</v>
      </c>
      <c r="Y35" s="6" t="s">
        <v>2</v>
      </c>
      <c r="Z35" s="6" t="s">
        <v>3</v>
      </c>
      <c r="AA35" s="6" t="s">
        <v>4</v>
      </c>
      <c r="AB35" s="6" t="s">
        <v>4</v>
      </c>
      <c r="AC35" s="6" t="s">
        <v>3</v>
      </c>
      <c r="AD35" s="6" t="s">
        <v>4</v>
      </c>
      <c r="AE35" s="6" t="s">
        <v>4</v>
      </c>
      <c r="AF35" s="6" t="s">
        <v>4</v>
      </c>
      <c r="AG35" s="6" t="s">
        <v>3</v>
      </c>
      <c r="AH35" s="6" t="s">
        <v>4</v>
      </c>
      <c r="AI35" s="6" t="s">
        <v>3</v>
      </c>
      <c r="AJ35" s="6" t="s">
        <v>4</v>
      </c>
      <c r="AK35" s="6" t="s">
        <v>4</v>
      </c>
      <c r="AL35" s="6" t="s">
        <v>4</v>
      </c>
      <c r="AM35" s="6" t="s">
        <v>3</v>
      </c>
      <c r="AO35" s="80" t="s">
        <v>505</v>
      </c>
      <c r="AP35" s="80"/>
      <c r="AQ35" s="6">
        <f>'Data Training 1'!AW23*'Data Training 1'!AU34*'Data Training 1'!AU38*'Data Training 1'!AU45*'Data Training 1'!AU50*'Data Training 1'!AU58*'Data Training 1'!AU64*'Data Training 1'!AU70*'Data Training 1'!AU75*'Data Training 1'!AU81*'Data Training 1'!AU87*'Data Training 1'!AU93*'Data Training 1'!AU100*'Data Training 1'!AU106*'Data Training 1'!AU110*'Data Training 1'!AU116*'Data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1'!AU192*'Data Training 1'!AU195*'Data Training 1'!AU200*'Data Training 1'!AU204*'Data Training 1'!AU207*'Data Training 1'!AU211*'Data Training 1'!AU216</f>
        <v>1.9564867807915214E-11</v>
      </c>
    </row>
    <row r="36" spans="1:79" x14ac:dyDescent="0.3">
      <c r="A36" s="6">
        <f t="shared" si="1"/>
        <v>35</v>
      </c>
      <c r="B36" s="6" t="s">
        <v>477</v>
      </c>
      <c r="C36" s="6">
        <v>6</v>
      </c>
      <c r="D36" s="6" t="s">
        <v>5</v>
      </c>
      <c r="E36" s="6" t="s">
        <v>5</v>
      </c>
      <c r="F36" s="6" t="s">
        <v>3</v>
      </c>
      <c r="G36" s="6" t="s">
        <v>5</v>
      </c>
      <c r="H36" s="6" t="s">
        <v>5</v>
      </c>
      <c r="I36" s="6" t="s">
        <v>5</v>
      </c>
      <c r="J36" s="6" t="s">
        <v>5</v>
      </c>
      <c r="K36" s="6" t="s">
        <v>2</v>
      </c>
      <c r="L36" s="6" t="s">
        <v>2</v>
      </c>
      <c r="M36" s="6" t="s">
        <v>2</v>
      </c>
      <c r="N36" s="6" t="s">
        <v>2</v>
      </c>
      <c r="O36" s="6" t="s">
        <v>3</v>
      </c>
      <c r="P36" s="6" t="s">
        <v>5</v>
      </c>
      <c r="Q36" s="6" t="s">
        <v>3</v>
      </c>
      <c r="R36" s="6" t="s">
        <v>3</v>
      </c>
      <c r="S36" s="6" t="s">
        <v>5</v>
      </c>
      <c r="T36" s="6" t="s">
        <v>5</v>
      </c>
      <c r="U36" s="6" t="s">
        <v>5</v>
      </c>
      <c r="V36" s="6" t="s">
        <v>2</v>
      </c>
      <c r="W36" s="6" t="s">
        <v>3</v>
      </c>
      <c r="X36" s="6" t="s">
        <v>4</v>
      </c>
      <c r="Y36" s="6" t="s">
        <v>4</v>
      </c>
      <c r="Z36" s="6" t="s">
        <v>3</v>
      </c>
      <c r="AA36" s="6" t="s">
        <v>4</v>
      </c>
      <c r="AB36" s="6" t="s">
        <v>4</v>
      </c>
      <c r="AC36" s="6" t="s">
        <v>4</v>
      </c>
      <c r="AD36" s="6" t="s">
        <v>3</v>
      </c>
      <c r="AE36" s="6" t="s">
        <v>4</v>
      </c>
      <c r="AF36" s="6" t="s">
        <v>4</v>
      </c>
      <c r="AG36" s="6" t="s">
        <v>3</v>
      </c>
      <c r="AH36" s="6" t="s">
        <v>3</v>
      </c>
      <c r="AI36" s="6" t="s">
        <v>3</v>
      </c>
      <c r="AJ36" s="6" t="s">
        <v>3</v>
      </c>
      <c r="AK36" s="6" t="s">
        <v>3</v>
      </c>
      <c r="AL36" s="6" t="s">
        <v>3</v>
      </c>
      <c r="AM36" s="6" t="s">
        <v>3</v>
      </c>
      <c r="AO36" s="80" t="s">
        <v>506</v>
      </c>
      <c r="AP36" s="80"/>
      <c r="AQ36" s="6">
        <f>'Data Training 1'!AW24*'Data Training 1'!AV34*'Data Training 1'!AV38*'Data Training 1'!AV45*'Data Training 1'!AV50*'Data Training 1'!AV58*'Data Training 1'!AV64*'Data Training 1'!AV70*'Data Training 1'!AV75*'Data Training 1'!AV81*'Data Training 1'!AV87*'Data Training 1'!AV93*'Data Training 1'!AV100*'Data Training 1'!AV106*'Data Training 1'!AV110*'Data Training 1'!AV116*'Data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1'!AV192*'Data Training 1'!AV195*'Data Training 1'!AV200*'Data Training 1'!AV204*'Data Training 1'!AV207*'Data Training 1'!AV211*'Data Training 1'!AV216</f>
        <v>0</v>
      </c>
    </row>
    <row r="37" spans="1:79" x14ac:dyDescent="0.3">
      <c r="A37" s="6">
        <f t="shared" si="1"/>
        <v>36</v>
      </c>
      <c r="B37" s="6" t="s">
        <v>488</v>
      </c>
      <c r="C37" s="6">
        <v>6</v>
      </c>
      <c r="D37" s="6" t="s">
        <v>5</v>
      </c>
      <c r="E37" s="6" t="s">
        <v>5</v>
      </c>
      <c r="F37" s="6" t="s">
        <v>4</v>
      </c>
      <c r="G37" s="6" t="s">
        <v>5</v>
      </c>
      <c r="H37" s="6" t="s">
        <v>5</v>
      </c>
      <c r="I37" s="6" t="s">
        <v>5</v>
      </c>
      <c r="J37" s="6" t="s">
        <v>5</v>
      </c>
      <c r="K37" s="6" t="s">
        <v>2</v>
      </c>
      <c r="L37" s="6" t="s">
        <v>3</v>
      </c>
      <c r="M37" s="6" t="s">
        <v>4</v>
      </c>
      <c r="N37" s="6" t="s">
        <v>3</v>
      </c>
      <c r="O37" s="6" t="s">
        <v>5</v>
      </c>
      <c r="P37" s="6" t="s">
        <v>5</v>
      </c>
      <c r="Q37" s="6" t="s">
        <v>3</v>
      </c>
      <c r="R37" s="6" t="s">
        <v>5</v>
      </c>
      <c r="S37" s="6" t="s">
        <v>5</v>
      </c>
      <c r="T37" s="6" t="s">
        <v>3</v>
      </c>
      <c r="U37" s="6" t="s">
        <v>5</v>
      </c>
      <c r="V37" s="6" t="s">
        <v>3</v>
      </c>
      <c r="W37" s="6" t="s">
        <v>4</v>
      </c>
      <c r="X37" s="6" t="s">
        <v>2</v>
      </c>
      <c r="Y37" s="6" t="s">
        <v>2</v>
      </c>
      <c r="Z37" s="6" t="s">
        <v>3</v>
      </c>
      <c r="AA37" s="6" t="s">
        <v>4</v>
      </c>
      <c r="AB37" s="6" t="s">
        <v>4</v>
      </c>
      <c r="AC37" s="6" t="s">
        <v>4</v>
      </c>
      <c r="AD37" s="6" t="s">
        <v>4</v>
      </c>
      <c r="AE37" s="6" t="s">
        <v>4</v>
      </c>
      <c r="AF37" s="6" t="s">
        <v>4</v>
      </c>
      <c r="AG37" s="6" t="s">
        <v>3</v>
      </c>
      <c r="AH37" s="6" t="s">
        <v>4</v>
      </c>
      <c r="AI37" s="6" t="s">
        <v>3</v>
      </c>
      <c r="AJ37" s="6" t="s">
        <v>3</v>
      </c>
      <c r="AK37" s="6" t="s">
        <v>4</v>
      </c>
      <c r="AL37" s="6" t="s">
        <v>3</v>
      </c>
      <c r="AM37" s="6" t="s">
        <v>3</v>
      </c>
      <c r="AO37" s="80" t="s">
        <v>507</v>
      </c>
      <c r="AP37" s="80"/>
      <c r="AQ37" s="6">
        <f>'Data Training 1'!AW25*'Data Training 1'!AW34*'Data Training 1'!AW38*'Data Training 1'!AW45*'Data Training 1'!AW50*'Data Training 1'!AW58*'Data Training 1'!AW64*'Data Training 1'!AW70*'Data Training 1'!AW75*'Data Training 1'!AW81*'Data Training 1'!AW87*'Data Training 1'!AW93*'Data Training 1'!AW100*'Data Training 1'!AW106*'Data Training 1'!AW110*'Data Training 1'!AW116*'Data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1'!AW192*'Data Training 1'!AW195*'Data Training 1'!AW200*'Data Training 1'!AW204*'Data Training 1'!AW207*'Data Training 1'!AW211*'Data Training 1'!AW216</f>
        <v>0</v>
      </c>
    </row>
    <row r="38" spans="1:79" x14ac:dyDescent="0.3">
      <c r="AO38" s="80" t="s">
        <v>508</v>
      </c>
      <c r="AP38" s="80"/>
      <c r="AQ38" s="6">
        <f>'Data Training 1'!AW26*'Data Training 1'!AX34*'Data Training 1'!AX38*'Data Training 1'!AX45*'Data Training 1'!AX50*'Data Training 1'!AX58*'Data Training 1'!AX64*'Data Training 1'!AX70*'Data Training 1'!AX75*'Data Training 1'!AX81*'Data Training 1'!AX87*'Data Training 1'!AX93*'Data Training 1'!AX100*'Data Training 1'!AX106*'Data Training 1'!AX110*'Data Training 1'!AX116*'Data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1'!AX192*'Data Training 1'!AX195*'Data Training 1'!AX200*'Data Training 1'!AX204*'Data Training 1'!AX207*'Data Training 1'!AX211*'Data Training 1'!AX216</f>
        <v>0</v>
      </c>
    </row>
    <row r="39" spans="1:79" x14ac:dyDescent="0.3">
      <c r="AO39" s="80" t="s">
        <v>509</v>
      </c>
      <c r="AP39" s="80"/>
      <c r="AQ39" s="6">
        <f>'Data Training 1'!AW27*'Data Training 1'!AY34*'Data Training 1'!AY38*'Data Training 1'!AY45*'Data Training 1'!AY50*'Data Training 1'!AY58*'Data Training 1'!AY64*'Data Training 1'!AY70*'Data Training 1'!AY75*'Data Training 1'!AY81*'Data Training 1'!AY87*'Data Training 1'!AY93*'Data Training 1'!AY100*'Data Training 1'!AY106*'Data Training 1'!AY110*'Data Training 1'!AY116*'Data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1'!AY192*'Data Training 1'!AY195*'Data Training 1'!AY200*'Data Training 1'!AY204*'Data Training 1'!AY207*'Data Training 1'!AY211*'Data Training 1'!AY216</f>
        <v>0</v>
      </c>
    </row>
    <row r="40" spans="1:79" x14ac:dyDescent="0.3">
      <c r="AO40" s="78" t="s">
        <v>437</v>
      </c>
      <c r="AP40" s="78"/>
      <c r="AQ40" s="6" t="s">
        <v>285</v>
      </c>
      <c r="AR40" s="79" t="s">
        <v>438</v>
      </c>
      <c r="AS40" s="79"/>
      <c r="AT40" s="79"/>
    </row>
    <row r="41" spans="1:79" x14ac:dyDescent="0.3">
      <c r="AP41" s="3"/>
    </row>
    <row r="42" spans="1:79" x14ac:dyDescent="0.3">
      <c r="AN42">
        <v>5</v>
      </c>
      <c r="AO42" s="82" t="s">
        <v>460</v>
      </c>
      <c r="AP42" s="82"/>
      <c r="AQ42" s="7" t="s">
        <v>64</v>
      </c>
      <c r="AR42" s="49" t="s">
        <v>43</v>
      </c>
      <c r="AS42" s="49" t="s">
        <v>44</v>
      </c>
      <c r="AT42" s="49" t="s">
        <v>45</v>
      </c>
      <c r="AU42" s="49" t="s">
        <v>46</v>
      </c>
      <c r="AV42" s="49" t="s">
        <v>47</v>
      </c>
      <c r="AW42" s="49" t="s">
        <v>48</v>
      </c>
      <c r="AX42" s="49" t="s">
        <v>49</v>
      </c>
      <c r="AY42" s="49" t="s">
        <v>50</v>
      </c>
      <c r="AZ42" s="49" t="s">
        <v>51</v>
      </c>
      <c r="BA42" s="49" t="s">
        <v>52</v>
      </c>
      <c r="BB42" s="49" t="s">
        <v>53</v>
      </c>
      <c r="BC42" s="49" t="s">
        <v>54</v>
      </c>
      <c r="BD42" s="49" t="s">
        <v>55</v>
      </c>
      <c r="BE42" s="49" t="s">
        <v>56</v>
      </c>
      <c r="BF42" s="49" t="s">
        <v>57</v>
      </c>
      <c r="BG42" s="49" t="s">
        <v>58</v>
      </c>
      <c r="BH42" s="49" t="s">
        <v>59</v>
      </c>
      <c r="BI42" s="49" t="s">
        <v>60</v>
      </c>
      <c r="BJ42" s="49" t="s">
        <v>61</v>
      </c>
      <c r="BK42" s="49" t="s">
        <v>62</v>
      </c>
      <c r="BL42" s="49" t="s">
        <v>63</v>
      </c>
      <c r="BM42" s="49" t="s">
        <v>330</v>
      </c>
      <c r="BN42" s="49" t="s">
        <v>331</v>
      </c>
      <c r="BO42" s="49" t="s">
        <v>332</v>
      </c>
      <c r="BP42" s="49" t="s">
        <v>333</v>
      </c>
      <c r="BQ42" s="49" t="s">
        <v>334</v>
      </c>
      <c r="BR42" s="49" t="s">
        <v>335</v>
      </c>
      <c r="BS42" s="49" t="s">
        <v>336</v>
      </c>
      <c r="BT42" s="49" t="s">
        <v>337</v>
      </c>
      <c r="BU42" s="49" t="s">
        <v>338</v>
      </c>
      <c r="BV42" s="49" t="s">
        <v>339</v>
      </c>
      <c r="BW42" s="49" t="s">
        <v>340</v>
      </c>
      <c r="BX42" s="49" t="s">
        <v>341</v>
      </c>
      <c r="BY42" s="49" t="s">
        <v>342</v>
      </c>
      <c r="BZ42" s="49" t="s">
        <v>343</v>
      </c>
      <c r="CA42" s="49" t="s">
        <v>390</v>
      </c>
    </row>
    <row r="43" spans="1:79" x14ac:dyDescent="0.3">
      <c r="AO43" s="82"/>
      <c r="AP43" s="82"/>
      <c r="AQ43" s="7">
        <v>1</v>
      </c>
      <c r="AR43" s="6" t="s">
        <v>5</v>
      </c>
      <c r="AS43" s="6" t="s">
        <v>3</v>
      </c>
      <c r="AT43" s="6" t="s">
        <v>4</v>
      </c>
      <c r="AU43" s="6" t="s">
        <v>3</v>
      </c>
      <c r="AV43" s="6" t="s">
        <v>5</v>
      </c>
      <c r="AW43" s="6" t="s">
        <v>5</v>
      </c>
      <c r="AX43" s="6" t="s">
        <v>5</v>
      </c>
      <c r="AY43" s="6" t="s">
        <v>2</v>
      </c>
      <c r="AZ43" s="6" t="s">
        <v>3</v>
      </c>
      <c r="BA43" s="6" t="s">
        <v>3</v>
      </c>
      <c r="BB43" s="6" t="s">
        <v>2</v>
      </c>
      <c r="BC43" s="6" t="s">
        <v>4</v>
      </c>
      <c r="BD43" s="6" t="s">
        <v>5</v>
      </c>
      <c r="BE43" s="6" t="s">
        <v>3</v>
      </c>
      <c r="BF43" s="6" t="s">
        <v>2</v>
      </c>
      <c r="BG43" s="6" t="s">
        <v>5</v>
      </c>
      <c r="BH43" s="6" t="s">
        <v>5</v>
      </c>
      <c r="BI43" s="6" t="s">
        <v>5</v>
      </c>
      <c r="BJ43" s="6" t="s">
        <v>5</v>
      </c>
      <c r="BK43" s="6" t="s">
        <v>4</v>
      </c>
      <c r="BL43" s="6" t="s">
        <v>4</v>
      </c>
      <c r="BM43" s="6" t="s">
        <v>4</v>
      </c>
      <c r="BN43" s="6" t="s">
        <v>3</v>
      </c>
      <c r="BO43" s="6" t="s">
        <v>3</v>
      </c>
      <c r="BP43" s="6" t="s">
        <v>3</v>
      </c>
      <c r="BQ43" s="6" t="s">
        <v>4</v>
      </c>
      <c r="BR43" s="6" t="s">
        <v>4</v>
      </c>
      <c r="BS43" s="6" t="s">
        <v>4</v>
      </c>
      <c r="BT43" s="6" t="s">
        <v>4</v>
      </c>
      <c r="BU43" s="6" t="s">
        <v>4</v>
      </c>
      <c r="BV43" s="6" t="s">
        <v>4</v>
      </c>
      <c r="BW43" s="6" t="s">
        <v>4</v>
      </c>
      <c r="BX43" s="6" t="s">
        <v>4</v>
      </c>
      <c r="BY43" s="6" t="s">
        <v>4</v>
      </c>
      <c r="BZ43" s="6" t="s">
        <v>4</v>
      </c>
      <c r="CA43" s="6" t="s">
        <v>3</v>
      </c>
    </row>
    <row r="44" spans="1:79" x14ac:dyDescent="0.3">
      <c r="AO44" s="80" t="s">
        <v>504</v>
      </c>
      <c r="AP44" s="80"/>
      <c r="AQ44" s="6">
        <f>'Data Training 1'!AW22*'Data Training 1'!AT34*'Data Training 1'!AT38*'Data Training 1'!AT43*'Data Training 1'!AT50*'Data Training 1'!AT58*'Data Training 1'!AT64*'Data Training 1'!AT70*'Data Training 1'!AT75*'Data Training 1'!AT80*'Data Training 1'!AT86*'Data Training 1'!AT93*'Data Training 1'!AT97*'Data Training 1'!AT106*'Data Training 1'!AT110*'Data Training 1'!AT117*'Data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1'!AT191*'Data Training 1'!AT195*'Data Training 1'!AT199*'Data Training 1'!AT203*'Data Training 1'!AT207*'Data Training 1'!AT211*'Data Training 1'!AT216</f>
        <v>5.1044703812394785E-11</v>
      </c>
    </row>
    <row r="45" spans="1:79" x14ac:dyDescent="0.3">
      <c r="AO45" s="80" t="s">
        <v>505</v>
      </c>
      <c r="AP45" s="80"/>
      <c r="AQ45" s="6">
        <f>'Data Training 1'!AW23*'Data Training 1'!AU34*'Data Training 1'!AU38*'Data Training 1'!AU43*'Data Training 1'!AU50*'Data Training 1'!AU58*'Data Training 1'!AU64*'Data Training 1'!AU70*'Data Training 1'!AU75*'Data Training 1'!AU80*'Data Training 1'!AU86*'Data Training 1'!AU93*'Data Training 1'!AU97*'Data Training 1'!AU106*'Data Training 1'!AU110*'Data Training 1'!AU117*'Data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1'!AU191*'Data Training 1'!AU195*'Data Training 1'!AU199*'Data Training 1'!AU203*'Data Training 1'!AU207*'Data Training 1'!AU211*'Data Training 1'!AU216</f>
        <v>4.4267983727000085E-12</v>
      </c>
    </row>
    <row r="46" spans="1:79" x14ac:dyDescent="0.3">
      <c r="AO46" s="80" t="s">
        <v>506</v>
      </c>
      <c r="AP46" s="80"/>
      <c r="AQ46" s="6">
        <f>'Data Training 1'!AW24*'Data Training 1'!AV34*'Data Training 1'!AV38*'Data Training 1'!AV43*'Data Training 1'!AV50*'Data Training 1'!AV58*'Data Training 1'!AV64*'Data Training 1'!AV70*'Data Training 1'!AV75*'Data Training 1'!AV80*'Data Training 1'!AV86*'Data Training 1'!AV93*'Data Training 1'!AV97*'Data Training 1'!AV106*'Data Training 1'!AV110*'Data Training 1'!AV117*'Data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1'!AV191*'Data Training 1'!AV195*'Data Training 1'!AV199*'Data Training 1'!AV203*'Data Training 1'!AV207*'Data Training 1'!AV211*'Data Training 1'!AV216</f>
        <v>0</v>
      </c>
    </row>
    <row r="47" spans="1:79" x14ac:dyDescent="0.3">
      <c r="AO47" s="80" t="s">
        <v>507</v>
      </c>
      <c r="AP47" s="80"/>
      <c r="AQ47" s="6">
        <f>'Data Training 1'!AW25*'Data Training 1'!AW34*'Data Training 1'!AW38*'Data Training 1'!AW43*'Data Training 1'!AW50*'Data Training 1'!AW58*'Data Training 1'!AW64*'Data Training 1'!AW70*'Data Training 1'!AW75*'Data Training 1'!AW80*'Data Training 1'!AW86*'Data Training 1'!AW93*'Data Training 1'!AW97*'Data Training 1'!AW106*'Data Training 1'!AW110*'Data Training 1'!AW117*'Data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1'!AW191*'Data Training 1'!AW195*'Data Training 1'!AW199*'Data Training 1'!AW203*'Data Training 1'!AW207*'Data Training 1'!AW211*'Data Training 1'!AW216</f>
        <v>0</v>
      </c>
    </row>
    <row r="48" spans="1:79" x14ac:dyDescent="0.3">
      <c r="AO48" s="80" t="s">
        <v>508</v>
      </c>
      <c r="AP48" s="80"/>
      <c r="AQ48" s="6">
        <f>'Data Training 1'!AW26*'Data Training 1'!AX34*'Data Training 1'!AX38*'Data Training 1'!AX43*'Data Training 1'!AX50*'Data Training 1'!AX58*'Data Training 1'!AX64*'Data Training 1'!AX70*'Data Training 1'!AX75*'Data Training 1'!AX80*'Data Training 1'!AX86*'Data Training 1'!AX93*'Data Training 1'!AX97*'Data Training 1'!AX106*'Data Training 1'!AX110*'Data Training 1'!AX117*'Data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1'!AX191*'Data Training 1'!AX195*'Data Training 1'!AX199*'Data Training 1'!AX203*'Data Training 1'!AX207*'Data Training 1'!AX211*'Data Training 1'!AX216</f>
        <v>0</v>
      </c>
    </row>
    <row r="49" spans="3:79" x14ac:dyDescent="0.3">
      <c r="AO49" s="80" t="s">
        <v>509</v>
      </c>
      <c r="AP49" s="80"/>
      <c r="AQ49" s="6">
        <f>'Data Training 1'!AW27*'Data Training 1'!AY34*'Data Training 1'!AY38*'Data Training 1'!AY43*'Data Training 1'!AY50*'Data Training 1'!AY58*'Data Training 1'!AY64*'Data Training 1'!AY70*'Data Training 1'!AY75*'Data Training 1'!AY80*'Data Training 1'!AY86*'Data Training 1'!AY93*'Data Training 1'!AY97*'Data Training 1'!AY106*'Data Training 1'!AY110*'Data Training 1'!AY117*'Data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1'!AY191*'Data Training 1'!AY195*'Data Training 1'!AY199*'Data Training 1'!AY203*'Data Training 1'!AY207*'Data Training 1'!AY211*'Data Training 1'!AY216</f>
        <v>0</v>
      </c>
    </row>
    <row r="50" spans="3:79" x14ac:dyDescent="0.3">
      <c r="AO50" s="78" t="s">
        <v>437</v>
      </c>
      <c r="AP50" s="78"/>
      <c r="AQ50" s="6" t="s">
        <v>285</v>
      </c>
      <c r="AR50" s="79" t="s">
        <v>438</v>
      </c>
      <c r="AS50" s="79"/>
      <c r="AT50" s="79"/>
    </row>
    <row r="52" spans="3:79" x14ac:dyDescent="0.3">
      <c r="AN52">
        <v>6</v>
      </c>
      <c r="AO52" s="82" t="s">
        <v>513</v>
      </c>
      <c r="AP52" s="82"/>
      <c r="AQ52" s="7" t="s">
        <v>64</v>
      </c>
      <c r="AR52" s="49" t="s">
        <v>43</v>
      </c>
      <c r="AS52" s="49" t="s">
        <v>44</v>
      </c>
      <c r="AT52" s="49" t="s">
        <v>45</v>
      </c>
      <c r="AU52" s="49" t="s">
        <v>46</v>
      </c>
      <c r="AV52" s="49" t="s">
        <v>47</v>
      </c>
      <c r="AW52" s="49" t="s">
        <v>48</v>
      </c>
      <c r="AX52" s="49" t="s">
        <v>49</v>
      </c>
      <c r="AY52" s="49" t="s">
        <v>50</v>
      </c>
      <c r="AZ52" s="49" t="s">
        <v>51</v>
      </c>
      <c r="BA52" s="49" t="s">
        <v>52</v>
      </c>
      <c r="BB52" s="49" t="s">
        <v>53</v>
      </c>
      <c r="BC52" s="49" t="s">
        <v>54</v>
      </c>
      <c r="BD52" s="49" t="s">
        <v>55</v>
      </c>
      <c r="BE52" s="49" t="s">
        <v>56</v>
      </c>
      <c r="BF52" s="49" t="s">
        <v>57</v>
      </c>
      <c r="BG52" s="49" t="s">
        <v>58</v>
      </c>
      <c r="BH52" s="49" t="s">
        <v>59</v>
      </c>
      <c r="BI52" s="49" t="s">
        <v>60</v>
      </c>
      <c r="BJ52" s="49" t="s">
        <v>61</v>
      </c>
      <c r="BK52" s="49" t="s">
        <v>62</v>
      </c>
      <c r="BL52" s="49" t="s">
        <v>63</v>
      </c>
      <c r="BM52" s="49" t="s">
        <v>330</v>
      </c>
      <c r="BN52" s="49" t="s">
        <v>331</v>
      </c>
      <c r="BO52" s="49" t="s">
        <v>332</v>
      </c>
      <c r="BP52" s="49" t="s">
        <v>333</v>
      </c>
      <c r="BQ52" s="49" t="s">
        <v>334</v>
      </c>
      <c r="BR52" s="49" t="s">
        <v>335</v>
      </c>
      <c r="BS52" s="49" t="s">
        <v>336</v>
      </c>
      <c r="BT52" s="49" t="s">
        <v>337</v>
      </c>
      <c r="BU52" s="49" t="s">
        <v>338</v>
      </c>
      <c r="BV52" s="49" t="s">
        <v>339</v>
      </c>
      <c r="BW52" s="49" t="s">
        <v>340</v>
      </c>
      <c r="BX52" s="49" t="s">
        <v>341</v>
      </c>
      <c r="BY52" s="49" t="s">
        <v>342</v>
      </c>
      <c r="BZ52" s="49" t="s">
        <v>343</v>
      </c>
      <c r="CA52" s="49" t="s">
        <v>390</v>
      </c>
    </row>
    <row r="53" spans="3:79" x14ac:dyDescent="0.3">
      <c r="C53" s="3"/>
      <c r="AO53" s="82"/>
      <c r="AP53" s="82"/>
      <c r="AQ53" s="7">
        <v>1</v>
      </c>
      <c r="AR53" s="6" t="s">
        <v>5</v>
      </c>
      <c r="AS53" s="6" t="s">
        <v>3</v>
      </c>
      <c r="AT53" s="6" t="s">
        <v>2</v>
      </c>
      <c r="AU53" s="6" t="s">
        <v>3</v>
      </c>
      <c r="AV53" s="6" t="s">
        <v>5</v>
      </c>
      <c r="AW53" s="6" t="s">
        <v>5</v>
      </c>
      <c r="AX53" s="6" t="s">
        <v>5</v>
      </c>
      <c r="AY53" s="6" t="s">
        <v>2</v>
      </c>
      <c r="AZ53" s="6" t="s">
        <v>3</v>
      </c>
      <c r="BA53" s="6" t="s">
        <v>3</v>
      </c>
      <c r="BB53" s="6" t="s">
        <v>2</v>
      </c>
      <c r="BC53" s="6" t="s">
        <v>5</v>
      </c>
      <c r="BD53" s="6" t="s">
        <v>5</v>
      </c>
      <c r="BE53" s="6" t="s">
        <v>3</v>
      </c>
      <c r="BF53" s="6" t="s">
        <v>2</v>
      </c>
      <c r="BG53" s="6" t="s">
        <v>5</v>
      </c>
      <c r="BH53" s="6" t="s">
        <v>5</v>
      </c>
      <c r="BI53" s="6" t="s">
        <v>5</v>
      </c>
      <c r="BJ53" s="6" t="s">
        <v>4</v>
      </c>
      <c r="BK53" s="6" t="s">
        <v>4</v>
      </c>
      <c r="BL53" s="6" t="s">
        <v>4</v>
      </c>
      <c r="BM53" s="6" t="s">
        <v>4</v>
      </c>
      <c r="BN53" s="6" t="s">
        <v>3</v>
      </c>
      <c r="BO53" s="6" t="s">
        <v>3</v>
      </c>
      <c r="BP53" s="6" t="s">
        <v>3</v>
      </c>
      <c r="BQ53" s="6" t="s">
        <v>4</v>
      </c>
      <c r="BR53" s="6" t="s">
        <v>4</v>
      </c>
      <c r="BS53" s="6" t="s">
        <v>4</v>
      </c>
      <c r="BT53" s="6" t="s">
        <v>4</v>
      </c>
      <c r="BU53" s="6" t="s">
        <v>3</v>
      </c>
      <c r="BV53" s="6" t="s">
        <v>4</v>
      </c>
      <c r="BW53" s="6" t="s">
        <v>3</v>
      </c>
      <c r="BX53" s="6" t="s">
        <v>4</v>
      </c>
      <c r="BY53" s="6" t="s">
        <v>4</v>
      </c>
      <c r="BZ53" s="6" t="s">
        <v>3</v>
      </c>
      <c r="CA53" s="6" t="s">
        <v>3</v>
      </c>
    </row>
    <row r="54" spans="3:79" x14ac:dyDescent="0.3">
      <c r="C54" s="3"/>
      <c r="AO54" s="80" t="s">
        <v>504</v>
      </c>
      <c r="AP54" s="80"/>
      <c r="AQ54" s="6">
        <f>'Data Training 1'!AW22*'Data Training 1'!AT34*'Data Training 1'!AT38*'Data Training 1'!AT45*'Data Training 1'!AT50*'Data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1'!AT139*'Data Training 1'!AT145*'Data Training 1'!AT151*'Data Training 1'!AT157*'Data Training 1'!AT164*'Data Training 1'!AT168*'Data Training 1'!AT172*'Data Training 1'!AT175*'Data Training 1'!AT179*'Data Training 1'!AT183*'Data Training 1'!AT187*'Data Training 1'!AT192*'Data Training 1'!AT195*'Data Training 1'!AT200*'Data Training 1'!AT203*'Data Training 1'!AT207*'Data Training 1'!AT212*'Data Training 1'!AT216</f>
        <v>1.0294015268832943E-10</v>
      </c>
    </row>
    <row r="55" spans="3:79" x14ac:dyDescent="0.3">
      <c r="C55" s="3"/>
      <c r="AO55" s="80" t="s">
        <v>505</v>
      </c>
      <c r="AP55" s="80"/>
      <c r="AQ55" s="6">
        <f>'Data Training 1'!AW23*'Data Training 1'!AU34*'Data Training 1'!AU38*'Data Training 1'!AU45*'Data Training 1'!AU50*'Data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1'!AU139*'Data Training 1'!AU145*'Data Training 1'!AU151*'Data Training 1'!AU157*'Data Training 1'!AU164*'Data Training 1'!AU168*'Data Training 1'!AU172*'Data Training 1'!AU175*'Data Training 1'!AU179*'Data Training 1'!AU183*'Data Training 1'!AU187*'Data Training 1'!AU192*'Data Training 1'!AU195*'Data Training 1'!AU200*'Data Training 1'!AU203*'Data Training 1'!AU207*'Data Training 1'!AU212*'Data Training 1'!AU216</f>
        <v>3.4238518663851623E-11</v>
      </c>
    </row>
    <row r="56" spans="3:79" x14ac:dyDescent="0.3">
      <c r="AO56" s="80" t="s">
        <v>506</v>
      </c>
      <c r="AP56" s="80"/>
      <c r="AQ56" s="6">
        <f>'Data Training 1'!AW24*'Data Training 1'!AV34*'Data Training 1'!AV38*'Data Training 1'!AV45*'Data Training 1'!AV50*'Data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1'!AV139*'Data Training 1'!AV145*'Data Training 1'!AV151*'Data Training 1'!AV157*'Data Training 1'!AV164*'Data Training 1'!AV168*'Data Training 1'!AV172*'Data Training 1'!AV175*'Data Training 1'!AV179*'Data Training 1'!AV183*'Data Training 1'!AV187*'Data Training 1'!AV192*'Data Training 1'!AV195*'Data Training 1'!AV200*'Data Training 1'!AV203*'Data Training 1'!AV207*'Data Training 1'!AV212*'Data Training 1'!AV216</f>
        <v>0</v>
      </c>
    </row>
    <row r="57" spans="3:79" x14ac:dyDescent="0.3">
      <c r="AO57" s="80" t="s">
        <v>507</v>
      </c>
      <c r="AP57" s="80"/>
      <c r="AQ57" s="6">
        <f>'Data Training 1'!AW25*'Data Training 1'!AW34*'Data Training 1'!AW38*'Data Training 1'!AW45*'Data Training 1'!AW50*'Data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1'!AW139*'Data Training 1'!AW145*'Data Training 1'!AW151*'Data Training 1'!AW157*'Data Training 1'!AW164*'Data Training 1'!AW168*'Data Training 1'!AW172*'Data Training 1'!AW175*'Data Training 1'!AW179*'Data Training 1'!AW183*'Data Training 1'!AW187*'Data Training 1'!AW192*'Data Training 1'!AW195*'Data Training 1'!AW200*'Data Training 1'!AW203*'Data Training 1'!AW207*'Data Training 1'!AW212*'Data Training 1'!AW216</f>
        <v>0</v>
      </c>
    </row>
    <row r="58" spans="3:79" x14ac:dyDescent="0.3">
      <c r="AO58" s="80" t="s">
        <v>508</v>
      </c>
      <c r="AP58" s="80"/>
      <c r="AQ58" s="6">
        <f>'Data Training 1'!AW26*'Data Training 1'!AX34*'Data Training 1'!AX38*'Data Training 1'!AX45*'Data Training 1'!AX50*'Data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1'!AX139*'Data Training 1'!AX145*'Data Training 1'!AX151*'Data Training 1'!AX157*'Data Training 1'!AX164*'Data Training 1'!AX168*'Data Training 1'!AX172*'Data Training 1'!AX175*'Data Training 1'!AX179*'Data Training 1'!AX183*'Data Training 1'!AX187*'Data Training 1'!AX192*'Data Training 1'!AX195*'Data Training 1'!AX200*'Data Training 1'!AX203*'Data Training 1'!AX207*'Data Training 1'!AX212*'Data Training 1'!AX216</f>
        <v>0</v>
      </c>
    </row>
    <row r="59" spans="3:79" x14ac:dyDescent="0.3">
      <c r="AO59" s="80" t="s">
        <v>509</v>
      </c>
      <c r="AP59" s="80"/>
      <c r="AQ59" s="6">
        <f>'Data Training 1'!AW27*'Data Training 1'!AY34*'Data Training 1'!AY38*'Data Training 1'!AY45*'Data Training 1'!AY50*'Data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1'!AY139*'Data Training 1'!AY145*'Data Training 1'!AY151*'Data Training 1'!AY157*'Data Training 1'!AY164*'Data Training 1'!AY168*'Data Training 1'!AY172*'Data Training 1'!AY175*'Data Training 1'!AY179*'Data Training 1'!AY183*'Data Training 1'!AY187*'Data Training 1'!AY192*'Data Training 1'!AY195*'Data Training 1'!AY200*'Data Training 1'!AY203*'Data Training 1'!AY207*'Data Training 1'!AY212*'Data Training 1'!AY216</f>
        <v>0</v>
      </c>
    </row>
    <row r="60" spans="3:79" x14ac:dyDescent="0.3">
      <c r="AO60" s="78" t="s">
        <v>437</v>
      </c>
      <c r="AP60" s="78"/>
      <c r="AQ60" s="6" t="s">
        <v>300</v>
      </c>
      <c r="AR60" s="81" t="s">
        <v>439</v>
      </c>
      <c r="AS60" s="81"/>
      <c r="AT60" s="81"/>
    </row>
    <row r="62" spans="3:79" x14ac:dyDescent="0.3">
      <c r="AN62">
        <v>7</v>
      </c>
      <c r="AO62" s="82" t="s">
        <v>500</v>
      </c>
      <c r="AP62" s="82"/>
      <c r="AQ62" s="7" t="s">
        <v>64</v>
      </c>
      <c r="AR62" s="49" t="s">
        <v>43</v>
      </c>
      <c r="AS62" s="49" t="s">
        <v>44</v>
      </c>
      <c r="AT62" s="49" t="s">
        <v>45</v>
      </c>
      <c r="AU62" s="49" t="s">
        <v>46</v>
      </c>
      <c r="AV62" s="49" t="s">
        <v>47</v>
      </c>
      <c r="AW62" s="49" t="s">
        <v>48</v>
      </c>
      <c r="AX62" s="49" t="s">
        <v>49</v>
      </c>
      <c r="AY62" s="49" t="s">
        <v>50</v>
      </c>
      <c r="AZ62" s="49" t="s">
        <v>51</v>
      </c>
      <c r="BA62" s="49" t="s">
        <v>52</v>
      </c>
      <c r="BB62" s="49" t="s">
        <v>53</v>
      </c>
      <c r="BC62" s="49" t="s">
        <v>54</v>
      </c>
      <c r="BD62" s="49" t="s">
        <v>55</v>
      </c>
      <c r="BE62" s="49" t="s">
        <v>56</v>
      </c>
      <c r="BF62" s="49" t="s">
        <v>57</v>
      </c>
      <c r="BG62" s="49" t="s">
        <v>58</v>
      </c>
      <c r="BH62" s="49" t="s">
        <v>59</v>
      </c>
      <c r="BI62" s="49" t="s">
        <v>60</v>
      </c>
      <c r="BJ62" s="49" t="s">
        <v>61</v>
      </c>
      <c r="BK62" s="49" t="s">
        <v>62</v>
      </c>
      <c r="BL62" s="49" t="s">
        <v>63</v>
      </c>
      <c r="BM62" s="49" t="s">
        <v>330</v>
      </c>
      <c r="BN62" s="49" t="s">
        <v>331</v>
      </c>
      <c r="BO62" s="49" t="s">
        <v>332</v>
      </c>
      <c r="BP62" s="49" t="s">
        <v>333</v>
      </c>
      <c r="BQ62" s="49" t="s">
        <v>334</v>
      </c>
      <c r="BR62" s="49" t="s">
        <v>335</v>
      </c>
      <c r="BS62" s="49" t="s">
        <v>336</v>
      </c>
      <c r="BT62" s="49" t="s">
        <v>337</v>
      </c>
      <c r="BU62" s="49" t="s">
        <v>338</v>
      </c>
      <c r="BV62" s="49" t="s">
        <v>339</v>
      </c>
      <c r="BW62" s="49" t="s">
        <v>340</v>
      </c>
      <c r="BX62" s="49" t="s">
        <v>341</v>
      </c>
      <c r="BY62" s="49" t="s">
        <v>342</v>
      </c>
      <c r="BZ62" s="49" t="s">
        <v>343</v>
      </c>
      <c r="CA62" s="49" t="s">
        <v>390</v>
      </c>
    </row>
    <row r="63" spans="3:79" x14ac:dyDescent="0.3">
      <c r="AO63" s="82"/>
      <c r="AP63" s="82"/>
      <c r="AQ63" s="7">
        <v>2</v>
      </c>
      <c r="AR63" s="6" t="s">
        <v>5</v>
      </c>
      <c r="AS63" s="6" t="s">
        <v>3</v>
      </c>
      <c r="AT63" s="6" t="s">
        <v>4</v>
      </c>
      <c r="AU63" s="6" t="s">
        <v>3</v>
      </c>
      <c r="AV63" s="6" t="s">
        <v>5</v>
      </c>
      <c r="AW63" s="6" t="s">
        <v>5</v>
      </c>
      <c r="AX63" s="6" t="s">
        <v>3</v>
      </c>
      <c r="AY63" s="6" t="s">
        <v>4</v>
      </c>
      <c r="AZ63" s="6" t="s">
        <v>3</v>
      </c>
      <c r="BA63" s="6" t="s">
        <v>3</v>
      </c>
      <c r="BB63" s="6" t="s">
        <v>4</v>
      </c>
      <c r="BC63" s="6" t="s">
        <v>4</v>
      </c>
      <c r="BD63" s="6" t="s">
        <v>5</v>
      </c>
      <c r="BE63" s="6" t="s">
        <v>3</v>
      </c>
      <c r="BF63" s="6" t="s">
        <v>4</v>
      </c>
      <c r="BG63" s="6" t="s">
        <v>5</v>
      </c>
      <c r="BH63" s="6" t="s">
        <v>5</v>
      </c>
      <c r="BI63" s="6" t="s">
        <v>5</v>
      </c>
      <c r="BJ63" s="6" t="s">
        <v>3</v>
      </c>
      <c r="BK63" s="6" t="s">
        <v>4</v>
      </c>
      <c r="BL63" s="6" t="s">
        <v>4</v>
      </c>
      <c r="BM63" s="6" t="s">
        <v>4</v>
      </c>
      <c r="BN63" s="6" t="s">
        <v>3</v>
      </c>
      <c r="BO63" s="6" t="s">
        <v>4</v>
      </c>
      <c r="BP63" s="6" t="s">
        <v>4</v>
      </c>
      <c r="BQ63" s="6" t="s">
        <v>4</v>
      </c>
      <c r="BR63" s="6" t="s">
        <v>4</v>
      </c>
      <c r="BS63" s="6" t="s">
        <v>4</v>
      </c>
      <c r="BT63" s="6" t="s">
        <v>4</v>
      </c>
      <c r="BU63" s="6" t="s">
        <v>3</v>
      </c>
      <c r="BV63" s="6" t="s">
        <v>4</v>
      </c>
      <c r="BW63" s="6" t="s">
        <v>3</v>
      </c>
      <c r="BX63" s="6" t="s">
        <v>4</v>
      </c>
      <c r="BY63" s="6" t="s">
        <v>4</v>
      </c>
      <c r="BZ63" s="6" t="s">
        <v>4</v>
      </c>
      <c r="CA63" s="6" t="s">
        <v>3</v>
      </c>
    </row>
    <row r="64" spans="3:79" x14ac:dyDescent="0.3">
      <c r="AO64" s="6" t="s">
        <v>504</v>
      </c>
      <c r="AP64" s="6"/>
      <c r="AQ64" s="6">
        <f>'Data Training 1'!AW22*'Data Training 1'!AT34*'Data Training 1'!AT38*'Data Training 1'!AT43*'Data Training 1'!AT50*'Data Training 1'!AT58*'Data Training 1'!AT64*'Data Training 1'!AT68*'Data Training 1'!AT73*'Data Training 1'!AT80*'Data Training 1'!AT86*'Data Training 1'!AT91*'Data Training 1'!AT97*'Data Training 1'!AT106*'Data Training 1'!AT110*'Data Training 1'!AT115*'Data Training 1'!AT124*'Data Training 1'!AT130*'Data Training 1'!AT136*'Data Training 1'!AT140*'Data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65" spans="40:79" x14ac:dyDescent="0.3">
      <c r="AO65" s="6" t="s">
        <v>505</v>
      </c>
      <c r="AP65" s="6"/>
      <c r="AQ65" s="6">
        <f>'Data Training 1'!AW23*'Data Training 1'!AU34*'Data Training 1'!AU38*'Data Training 1'!AU43*'Data Training 1'!AU50*'Data Training 1'!AU58*'Data Training 1'!AU64*'Data Training 1'!AU68*'Data Training 1'!AU73*'Data Training 1'!AU80*'Data Training 1'!AU86*'Data Training 1'!AU91*'Data Training 1'!AU97*'Data Training 1'!AU106*'Data Training 1'!AU110*'Data Training 1'!AU115*'Data Training 1'!AU124*'Data Training 1'!AU130*'Data Training 1'!AU136*'Data Training 1'!AU140*'Data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3.2954574213957171E-11</v>
      </c>
    </row>
    <row r="66" spans="40:79" x14ac:dyDescent="0.3">
      <c r="AO66" s="80" t="s">
        <v>506</v>
      </c>
      <c r="AP66" s="80"/>
      <c r="AQ66" s="6">
        <f>'Data Training 1'!AW24*'Data Training 1'!AV34*'Data Training 1'!AV38*'Data Training 1'!AV43*'Data Training 1'!AV50*'Data Training 1'!AV58*'Data Training 1'!AV64*'Data Training 1'!AV68*'Data Training 1'!AV73*'Data Training 1'!AV80*'Data Training 1'!AV86*'Data Training 1'!AV91*'Data Training 1'!AV97*'Data Training 1'!AV106*'Data Training 1'!AV110*'Data Training 1'!AV115*'Data Training 1'!AV124*'Data Training 1'!AV130*'Data Training 1'!AV136*'Data Training 1'!AV140*'Data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67" spans="40:79" x14ac:dyDescent="0.3">
      <c r="AO67" s="80" t="s">
        <v>507</v>
      </c>
      <c r="AP67" s="80"/>
      <c r="AQ67" s="6">
        <f>'Data Training 1'!AW25*'Data Training 1'!AW34*'Data Training 1'!AW38*'Data Training 1'!AW43*'Data Training 1'!AW50*'Data Training 1'!AW58*'Data Training 1'!AW64*'Data Training 1'!AW68*'Data Training 1'!AW73*'Data Training 1'!AW80*'Data Training 1'!AW86*'Data Training 1'!AW91*'Data Training 1'!AW97*'Data Training 1'!AW106*'Data Training 1'!AW110*'Data Training 1'!AW115*'Data Training 1'!AW124*'Data Training 1'!AW130*'Data Training 1'!AW136*'Data Training 1'!AW140*'Data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68" spans="40:79" x14ac:dyDescent="0.3">
      <c r="AO68" s="80" t="s">
        <v>508</v>
      </c>
      <c r="AP68" s="80"/>
      <c r="AQ68" s="6">
        <f>'Data Training 1'!AW26*'Data Training 1'!AX34*'Data Training 1'!AX38*'Data Training 1'!AX43*'Data Training 1'!AX50*'Data Training 1'!AX58*'Data Training 1'!AX64*'Data Training 1'!AX68*'Data Training 1'!AX73*'Data Training 1'!AX80*'Data Training 1'!AX86*'Data Training 1'!AX91*'Data Training 1'!AX97*'Data Training 1'!AX106*'Data Training 1'!AX110*'Data Training 1'!AX115*'Data Training 1'!AX124*'Data Training 1'!AX130*'Data Training 1'!AX136*'Data Training 1'!AX140*'Data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69" spans="40:79" x14ac:dyDescent="0.3">
      <c r="AO69" s="80" t="s">
        <v>509</v>
      </c>
      <c r="AP69" s="80"/>
      <c r="AQ69" s="6">
        <f>'Data Training 1'!AW27*'Data Training 1'!AY34*'Data Training 1'!AY38*'Data Training 1'!AY43*'Data Training 1'!AY50*'Data Training 1'!AY58*'Data Training 1'!AY64*'Data Training 1'!AY68*'Data Training 1'!AY73*'Data Training 1'!AY80*'Data Training 1'!AY86*'Data Training 1'!AY91*'Data Training 1'!AY97*'Data Training 1'!AY106*'Data Training 1'!AY110*'Data Training 1'!AY115*'Data Training 1'!AY124*'Data Training 1'!AY130*'Data Training 1'!AY136*'Data Training 1'!AY140*'Data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70" spans="40:79" x14ac:dyDescent="0.3">
      <c r="AO70" s="78" t="s">
        <v>437</v>
      </c>
      <c r="AP70" s="78"/>
      <c r="AQ70" s="6" t="s">
        <v>300</v>
      </c>
      <c r="AR70" s="79" t="s">
        <v>438</v>
      </c>
      <c r="AS70" s="79"/>
      <c r="AT70" s="79"/>
    </row>
    <row r="72" spans="40:79" x14ac:dyDescent="0.3">
      <c r="AN72">
        <v>8</v>
      </c>
      <c r="AO72" s="82" t="s">
        <v>315</v>
      </c>
      <c r="AP72" s="82"/>
      <c r="AQ72" s="7" t="s">
        <v>64</v>
      </c>
      <c r="AR72" s="49" t="s">
        <v>43</v>
      </c>
      <c r="AS72" s="49" t="s">
        <v>44</v>
      </c>
      <c r="AT72" s="49" t="s">
        <v>45</v>
      </c>
      <c r="AU72" s="49" t="s">
        <v>46</v>
      </c>
      <c r="AV72" s="49" t="s">
        <v>47</v>
      </c>
      <c r="AW72" s="49" t="s">
        <v>48</v>
      </c>
      <c r="AX72" s="49" t="s">
        <v>49</v>
      </c>
      <c r="AY72" s="49" t="s">
        <v>50</v>
      </c>
      <c r="AZ72" s="49" t="s">
        <v>51</v>
      </c>
      <c r="BA72" s="49" t="s">
        <v>52</v>
      </c>
      <c r="BB72" s="49" t="s">
        <v>53</v>
      </c>
      <c r="BC72" s="49" t="s">
        <v>54</v>
      </c>
      <c r="BD72" s="49" t="s">
        <v>55</v>
      </c>
      <c r="BE72" s="49" t="s">
        <v>56</v>
      </c>
      <c r="BF72" s="49" t="s">
        <v>57</v>
      </c>
      <c r="BG72" s="49" t="s">
        <v>58</v>
      </c>
      <c r="BH72" s="49" t="s">
        <v>59</v>
      </c>
      <c r="BI72" s="49" t="s">
        <v>60</v>
      </c>
      <c r="BJ72" s="49" t="s">
        <v>61</v>
      </c>
      <c r="BK72" s="49" t="s">
        <v>62</v>
      </c>
      <c r="BL72" s="49" t="s">
        <v>63</v>
      </c>
      <c r="BM72" s="49" t="s">
        <v>330</v>
      </c>
      <c r="BN72" s="49" t="s">
        <v>331</v>
      </c>
      <c r="BO72" s="49" t="s">
        <v>332</v>
      </c>
      <c r="BP72" s="49" t="s">
        <v>333</v>
      </c>
      <c r="BQ72" s="49" t="s">
        <v>334</v>
      </c>
      <c r="BR72" s="49" t="s">
        <v>335</v>
      </c>
      <c r="BS72" s="49" t="s">
        <v>336</v>
      </c>
      <c r="BT72" s="49" t="s">
        <v>337</v>
      </c>
      <c r="BU72" s="49" t="s">
        <v>338</v>
      </c>
      <c r="BV72" s="49" t="s">
        <v>339</v>
      </c>
      <c r="BW72" s="49" t="s">
        <v>340</v>
      </c>
      <c r="BX72" s="49" t="s">
        <v>341</v>
      </c>
      <c r="BY72" s="49" t="s">
        <v>342</v>
      </c>
      <c r="BZ72" s="49" t="s">
        <v>343</v>
      </c>
      <c r="CA72" s="49" t="s">
        <v>390</v>
      </c>
    </row>
    <row r="73" spans="40:79" x14ac:dyDescent="0.3">
      <c r="AO73" s="82"/>
      <c r="AP73" s="82"/>
      <c r="AQ73" s="7">
        <v>2</v>
      </c>
      <c r="AR73" s="6" t="s">
        <v>5</v>
      </c>
      <c r="AS73" s="6" t="s">
        <v>5</v>
      </c>
      <c r="AT73" s="6" t="s">
        <v>3</v>
      </c>
      <c r="AU73" s="6" t="s">
        <v>5</v>
      </c>
      <c r="AV73" s="6" t="s">
        <v>5</v>
      </c>
      <c r="AW73" s="6" t="s">
        <v>5</v>
      </c>
      <c r="AX73" s="6" t="s">
        <v>2</v>
      </c>
      <c r="AY73" s="6" t="s">
        <v>2</v>
      </c>
      <c r="AZ73" s="6" t="s">
        <v>3</v>
      </c>
      <c r="BA73" s="6" t="s">
        <v>2</v>
      </c>
      <c r="BB73" s="6" t="s">
        <v>2</v>
      </c>
      <c r="BC73" s="6" t="s">
        <v>3</v>
      </c>
      <c r="BD73" s="6" t="s">
        <v>5</v>
      </c>
      <c r="BE73" s="6" t="s">
        <v>3</v>
      </c>
      <c r="BF73" s="6" t="s">
        <v>4</v>
      </c>
      <c r="BG73" s="6" t="s">
        <v>5</v>
      </c>
      <c r="BH73" s="6" t="s">
        <v>5</v>
      </c>
      <c r="BI73" s="6" t="s">
        <v>5</v>
      </c>
      <c r="BJ73" s="6" t="s">
        <v>5</v>
      </c>
      <c r="BK73" s="6" t="s">
        <v>4</v>
      </c>
      <c r="BL73" s="6" t="s">
        <v>3</v>
      </c>
      <c r="BM73" s="6" t="s">
        <v>2</v>
      </c>
      <c r="BN73" s="6" t="s">
        <v>3</v>
      </c>
      <c r="BO73" s="6" t="s">
        <v>4</v>
      </c>
      <c r="BP73" s="6" t="s">
        <v>4</v>
      </c>
      <c r="BQ73" s="6" t="s">
        <v>4</v>
      </c>
      <c r="BR73" s="6" t="s">
        <v>4</v>
      </c>
      <c r="BS73" s="6" t="s">
        <v>4</v>
      </c>
      <c r="BT73" s="6" t="s">
        <v>4</v>
      </c>
      <c r="BU73" s="6" t="s">
        <v>3</v>
      </c>
      <c r="BV73" s="6" t="s">
        <v>4</v>
      </c>
      <c r="BW73" s="6" t="s">
        <v>4</v>
      </c>
      <c r="BX73" s="6" t="s">
        <v>4</v>
      </c>
      <c r="BY73" s="6" t="s">
        <v>4</v>
      </c>
      <c r="BZ73" s="6" t="s">
        <v>3</v>
      </c>
      <c r="CA73" s="6" t="s">
        <v>4</v>
      </c>
    </row>
    <row r="74" spans="40:79" x14ac:dyDescent="0.3">
      <c r="AO74" s="40" t="s">
        <v>504</v>
      </c>
      <c r="AP74" s="40"/>
      <c r="AQ74" s="40">
        <f>'Data Training 1'!AW22*'Data Training 1'!AT34*'Data Training 1'!AT40*'Data Training 1'!AT44*'Data Training 1'!AT52*'Data Training 1'!AT58*'Data Training 1'!AT64*'Data Training 1'!AT69*'Data Training 1'!AT75*'Data Training 1'!AT80*'Data Training 1'!AT87*'Data Training 1'!AT93*'Data Training 1'!AT98*'Data Training 1'!AT106*'Data Training 1'!AT110*'Data Training 1'!AT115*'Data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1'!AT212*'Data Training 1'!AT215</f>
        <v>0</v>
      </c>
    </row>
    <row r="75" spans="40:79" x14ac:dyDescent="0.3">
      <c r="AO75" s="6" t="s">
        <v>505</v>
      </c>
      <c r="AP75" s="6"/>
      <c r="AQ75" s="6">
        <f>'Data Training 1'!AW23*'Data Training 1'!AU34*'Data Training 1'!AU40*'Data Training 1'!AU44*'Data Training 1'!AU52*'Data Training 1'!AU58*'Data Training 1'!AU64*'Data Training 1'!AU69*'Data Training 1'!AU75*'Data Training 1'!AU80*'Data Training 1'!AU87*'Data Training 1'!AU93*'Data Training 1'!AU98*'Data Training 1'!AU106*'Data Training 1'!AU110*'Data Training 1'!AU115*'Data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1'!AU212*'Data Training 1'!AU215</f>
        <v>6.9333000294299511E-10</v>
      </c>
    </row>
    <row r="76" spans="40:79" x14ac:dyDescent="0.3">
      <c r="AO76" s="80" t="s">
        <v>506</v>
      </c>
      <c r="AP76" s="80"/>
      <c r="AQ76" s="6">
        <f>'Data Training 1'!AW24*'Data Training 1'!AV34*'Data Training 1'!AV40*'Data Training 1'!AV44*'Data Training 1'!AV52*'Data Training 1'!AV58*'Data Training 1'!AV64*'Data Training 1'!AV69*'Data Training 1'!AV75*'Data Training 1'!AV80*'Data Training 1'!AV87*'Data Training 1'!AV93*'Data Training 1'!AV98*'Data Training 1'!AV106*'Data Training 1'!AV110*'Data Training 1'!AV115*'Data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1'!AV212*'Data Training 1'!AV215</f>
        <v>0</v>
      </c>
    </row>
    <row r="77" spans="40:79" x14ac:dyDescent="0.3">
      <c r="AO77" s="80" t="s">
        <v>507</v>
      </c>
      <c r="AP77" s="80"/>
      <c r="AQ77" s="6">
        <f>'Data Training 1'!AW25*'Data Training 1'!AW34*'Data Training 1'!AW40*'Data Training 1'!AW44*'Data Training 1'!AW52*'Data Training 1'!AW58*'Data Training 1'!AW64*'Data Training 1'!AW69*'Data Training 1'!AW75*'Data Training 1'!AW80*'Data Training 1'!AW87*'Data Training 1'!AW93*'Data Training 1'!AW98*'Data Training 1'!AW106*'Data Training 1'!AW110*'Data Training 1'!AW115*'Data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1'!AW212*'Data Training 1'!AW215</f>
        <v>0</v>
      </c>
    </row>
    <row r="78" spans="40:79" x14ac:dyDescent="0.3">
      <c r="AO78" s="80" t="s">
        <v>508</v>
      </c>
      <c r="AP78" s="80"/>
      <c r="AQ78" s="6">
        <f>'Data Training 1'!AW26*'Data Training 1'!AX34*'Data Training 1'!AX40*'Data Training 1'!AX44*'Data Training 1'!AX52*'Data Training 1'!AX58*'Data Training 1'!AX64*'Data Training 1'!AX69*'Data Training 1'!AX75*'Data Training 1'!AX80*'Data Training 1'!AX87*'Data Training 1'!AX93*'Data Training 1'!AX98*'Data Training 1'!AX106*'Data Training 1'!AX110*'Data Training 1'!AX115*'Data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1'!AX212*'Data Training 1'!AX215</f>
        <v>0</v>
      </c>
    </row>
    <row r="79" spans="40:79" x14ac:dyDescent="0.3">
      <c r="AO79" s="80" t="s">
        <v>509</v>
      </c>
      <c r="AP79" s="80"/>
      <c r="AQ79" s="6">
        <f>'Data Training 1'!AW27*'Data Training 1'!AY34*'Data Training 1'!AY40*'Data Training 1'!AY44*'Data Training 1'!AY52*'Data Training 1'!AY58*'Data Training 1'!AY64*'Data Training 1'!AY69*'Data Training 1'!AY75*'Data Training 1'!AY80*'Data Training 1'!AY87*'Data Training 1'!AY93*'Data Training 1'!AY98*'Data Training 1'!AY106*'Data Training 1'!AY110*'Data Training 1'!AY115*'Data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1'!AY212*'Data Training 1'!AY215</f>
        <v>0</v>
      </c>
    </row>
    <row r="80" spans="40:79" x14ac:dyDescent="0.3">
      <c r="AO80" s="78" t="s">
        <v>437</v>
      </c>
      <c r="AP80" s="78"/>
      <c r="AQ80" s="6" t="s">
        <v>300</v>
      </c>
      <c r="AR80" s="79" t="s">
        <v>438</v>
      </c>
      <c r="AS80" s="79"/>
      <c r="AT80" s="79"/>
    </row>
    <row r="82" spans="40:79" x14ac:dyDescent="0.3">
      <c r="AN82">
        <v>9</v>
      </c>
      <c r="AO82" s="82" t="s">
        <v>318</v>
      </c>
      <c r="AP82" s="82"/>
      <c r="AQ82" s="7" t="s">
        <v>64</v>
      </c>
      <c r="AR82" s="49" t="s">
        <v>43</v>
      </c>
      <c r="AS82" s="49" t="s">
        <v>44</v>
      </c>
      <c r="AT82" s="49" t="s">
        <v>45</v>
      </c>
      <c r="AU82" s="49" t="s">
        <v>46</v>
      </c>
      <c r="AV82" s="49" t="s">
        <v>47</v>
      </c>
      <c r="AW82" s="49" t="s">
        <v>48</v>
      </c>
      <c r="AX82" s="49" t="s">
        <v>49</v>
      </c>
      <c r="AY82" s="49" t="s">
        <v>50</v>
      </c>
      <c r="AZ82" s="49" t="s">
        <v>51</v>
      </c>
      <c r="BA82" s="49" t="s">
        <v>52</v>
      </c>
      <c r="BB82" s="49" t="s">
        <v>53</v>
      </c>
      <c r="BC82" s="49" t="s">
        <v>54</v>
      </c>
      <c r="BD82" s="49" t="s">
        <v>55</v>
      </c>
      <c r="BE82" s="49" t="s">
        <v>56</v>
      </c>
      <c r="BF82" s="49" t="s">
        <v>57</v>
      </c>
      <c r="BG82" s="49" t="s">
        <v>58</v>
      </c>
      <c r="BH82" s="49" t="s">
        <v>59</v>
      </c>
      <c r="BI82" s="49" t="s">
        <v>60</v>
      </c>
      <c r="BJ82" s="49" t="s">
        <v>61</v>
      </c>
      <c r="BK82" s="49" t="s">
        <v>62</v>
      </c>
      <c r="BL82" s="49" t="s">
        <v>63</v>
      </c>
      <c r="BM82" s="49" t="s">
        <v>330</v>
      </c>
      <c r="BN82" s="49" t="s">
        <v>331</v>
      </c>
      <c r="BO82" s="49" t="s">
        <v>332</v>
      </c>
      <c r="BP82" s="49" t="s">
        <v>333</v>
      </c>
      <c r="BQ82" s="49" t="s">
        <v>334</v>
      </c>
      <c r="BR82" s="49" t="s">
        <v>335</v>
      </c>
      <c r="BS82" s="49" t="s">
        <v>336</v>
      </c>
      <c r="BT82" s="49" t="s">
        <v>337</v>
      </c>
      <c r="BU82" s="49" t="s">
        <v>338</v>
      </c>
      <c r="BV82" s="49" t="s">
        <v>339</v>
      </c>
      <c r="BW82" s="49" t="s">
        <v>340</v>
      </c>
      <c r="BX82" s="49" t="s">
        <v>341</v>
      </c>
      <c r="BY82" s="49" t="s">
        <v>342</v>
      </c>
      <c r="BZ82" s="49" t="s">
        <v>343</v>
      </c>
      <c r="CA82" s="49" t="s">
        <v>390</v>
      </c>
    </row>
    <row r="83" spans="40:79" x14ac:dyDescent="0.3">
      <c r="AO83" s="82"/>
      <c r="AP83" s="82"/>
      <c r="AQ83" s="7">
        <v>2</v>
      </c>
      <c r="AR83" s="6" t="s">
        <v>4</v>
      </c>
      <c r="AS83" s="6" t="s">
        <v>5</v>
      </c>
      <c r="AT83" s="6" t="s">
        <v>3</v>
      </c>
      <c r="AU83" s="6" t="s">
        <v>5</v>
      </c>
      <c r="AV83" s="6" t="s">
        <v>5</v>
      </c>
      <c r="AW83" s="6" t="s">
        <v>5</v>
      </c>
      <c r="AX83" s="6" t="s">
        <v>5</v>
      </c>
      <c r="AY83" s="6" t="s">
        <v>2</v>
      </c>
      <c r="AZ83" s="6" t="s">
        <v>3</v>
      </c>
      <c r="BA83" s="6" t="s">
        <v>2</v>
      </c>
      <c r="BB83" s="6" t="s">
        <v>3</v>
      </c>
      <c r="BC83" s="6" t="s">
        <v>2</v>
      </c>
      <c r="BD83" s="6" t="s">
        <v>5</v>
      </c>
      <c r="BE83" s="6" t="s">
        <v>3</v>
      </c>
      <c r="BF83" s="6" t="s">
        <v>3</v>
      </c>
      <c r="BG83" s="6" t="s">
        <v>5</v>
      </c>
      <c r="BH83" s="6" t="s">
        <v>5</v>
      </c>
      <c r="BI83" s="6" t="s">
        <v>5</v>
      </c>
      <c r="BJ83" s="6" t="s">
        <v>4</v>
      </c>
      <c r="BK83" s="6" t="s">
        <v>4</v>
      </c>
      <c r="BL83" s="6" t="s">
        <v>3</v>
      </c>
      <c r="BM83" s="6" t="s">
        <v>2</v>
      </c>
      <c r="BN83" s="6" t="s">
        <v>3</v>
      </c>
      <c r="BO83" s="6" t="s">
        <v>4</v>
      </c>
      <c r="BP83" s="6" t="s">
        <v>4</v>
      </c>
      <c r="BQ83" s="6" t="s">
        <v>4</v>
      </c>
      <c r="BR83" s="6" t="s">
        <v>4</v>
      </c>
      <c r="BS83" s="6" t="s">
        <v>4</v>
      </c>
      <c r="BT83" s="6" t="s">
        <v>4</v>
      </c>
      <c r="BU83" s="6" t="s">
        <v>3</v>
      </c>
      <c r="BV83" s="6" t="s">
        <v>4</v>
      </c>
      <c r="BW83" s="6" t="s">
        <v>4</v>
      </c>
      <c r="BX83" s="6" t="s">
        <v>4</v>
      </c>
      <c r="BY83" s="6" t="s">
        <v>4</v>
      </c>
      <c r="BZ83" s="6" t="s">
        <v>4</v>
      </c>
      <c r="CA83" s="6" t="s">
        <v>3</v>
      </c>
    </row>
    <row r="84" spans="40:79" x14ac:dyDescent="0.3">
      <c r="AO84" s="80" t="s">
        <v>504</v>
      </c>
      <c r="AP84" s="80"/>
      <c r="AQ84" s="6">
        <f>'Data Training 1'!AW22*'Data Training 1'!AT31*'Data Training 1'!AT40*'Data Training 1'!AT44*'Data Training 1'!AT52*'Data Training 1'!AT58*'Data Training 1'!AT64*'Data Training 1'!AT70*'Data Training 1'!AT75*'Data Training 1'!AT80*'Data Training 1'!AT87*'Data Training 1'!AT92*'Data Training 1'!AT99*'Data Training 1'!AT106*'Data Training 1'!AT110*'Data Training 1'!AT116*'Data Training 1'!AT124*'Data Training 1'!AT130*'Data Training 1'!AT136*'Data Training 1'!AT139*'Data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1'!AT211*'Data Training 1'!AT216</f>
        <v>2.0380070633245011E-9</v>
      </c>
    </row>
    <row r="85" spans="40:79" x14ac:dyDescent="0.3">
      <c r="AO85" s="6" t="s">
        <v>505</v>
      </c>
      <c r="AP85" s="6"/>
      <c r="AQ85" s="6">
        <f>'Data Training 1'!AW23*'Data Training 1'!AU31*'Data Training 1'!AU40*'Data Training 1'!AU44*'Data Training 1'!AU52*'Data Training 1'!AU58*'Data Training 1'!AU64*'Data Training 1'!AU70*'Data Training 1'!AU75*'Data Training 1'!AU80*'Data Training 1'!AU87*'Data Training 1'!AU92*'Data Training 1'!AU99*'Data Training 1'!AU106*'Data Training 1'!AU110*'Data Training 1'!AU116*'Data Training 1'!AU124*'Data Training 1'!AU130*'Data Training 1'!AU136*'Data Training 1'!AU139*'Data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1'!AU211*'Data Training 1'!AU216</f>
        <v>9.8056671844795027E-9</v>
      </c>
    </row>
    <row r="86" spans="40:79" x14ac:dyDescent="0.3">
      <c r="AO86" s="80" t="s">
        <v>506</v>
      </c>
      <c r="AP86" s="80"/>
      <c r="AQ86" s="6">
        <f>'Data Training 1'!AW24*'Data Training 1'!AV31*'Data Training 1'!AV40*'Data Training 1'!AV44*'Data Training 1'!AV52*'Data Training 1'!AV58*'Data Training 1'!AV64*'Data Training 1'!AV70*'Data Training 1'!AV75*'Data Training 1'!AV80*'Data Training 1'!AV87*'Data Training 1'!AV92*'Data Training 1'!AV99*'Data Training 1'!AV106*'Data Training 1'!AV110*'Data Training 1'!AV116*'Data Training 1'!AV124*'Data Training 1'!AV130*'Data Training 1'!AV136*'Data Training 1'!AV139*'Data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1'!AV211*'Data Training 1'!AV216</f>
        <v>2.2132924675319188E-9</v>
      </c>
    </row>
    <row r="87" spans="40:79" x14ac:dyDescent="0.3">
      <c r="AO87" s="80" t="s">
        <v>507</v>
      </c>
      <c r="AP87" s="80"/>
      <c r="AQ87" s="6">
        <f>'Data Training 1'!AW25*'Data Training 1'!AW31*'Data Training 1'!AW40*'Data Training 1'!AW44*'Data Training 1'!AW52*'Data Training 1'!AW58*'Data Training 1'!AW64*'Data Training 1'!AW70*'Data Training 1'!AW75*'Data Training 1'!AW80*'Data Training 1'!AW87*'Data Training 1'!AW92*'Data Training 1'!AW99*'Data Training 1'!AW106*'Data Training 1'!AW110*'Data Training 1'!AW116*'Data Training 1'!AW124*'Data Training 1'!AW130*'Data Training 1'!AW136*'Data Training 1'!AW139*'Data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1'!AW211*'Data Training 1'!AW216</f>
        <v>0</v>
      </c>
    </row>
    <row r="88" spans="40:79" x14ac:dyDescent="0.3">
      <c r="AO88" s="80" t="s">
        <v>508</v>
      </c>
      <c r="AP88" s="80"/>
      <c r="AQ88" s="6">
        <f>'Data Training 1'!AW26*'Data Training 1'!AX31*'Data Training 1'!AX40*'Data Training 1'!AX44*'Data Training 1'!AX52*'Data Training 1'!AX58*'Data Training 1'!AX64*'Data Training 1'!AX70*'Data Training 1'!AX75*'Data Training 1'!AX80*'Data Training 1'!AX87*'Data Training 1'!AX92*'Data Training 1'!AX99*'Data Training 1'!AX106*'Data Training 1'!AX110*'Data Training 1'!AX116*'Data Training 1'!AX124*'Data Training 1'!AX130*'Data Training 1'!AX136*'Data Training 1'!AX139*'Data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1'!AX211*'Data Training 1'!AX216</f>
        <v>0</v>
      </c>
    </row>
    <row r="89" spans="40:79" x14ac:dyDescent="0.3">
      <c r="AO89" s="80" t="s">
        <v>509</v>
      </c>
      <c r="AP89" s="80"/>
      <c r="AQ89" s="6">
        <f>'Data Training 1'!AW27*'Data Training 1'!AY31*'Data Training 1'!AY40*'Data Training 1'!AY44*'Data Training 1'!AY52*'Data Training 1'!AY58*'Data Training 1'!AY64*'Data Training 1'!AY70*'Data Training 1'!AY75*'Data Training 1'!AY80*'Data Training 1'!AY87*'Data Training 1'!AY92*'Data Training 1'!AY99*'Data Training 1'!AY106*'Data Training 1'!AY110*'Data Training 1'!AY116*'Data Training 1'!AY124*'Data Training 1'!AY130*'Data Training 1'!AY136*'Data Training 1'!AY139*'Data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1'!AY211*'Data Training 1'!AY216</f>
        <v>2.0169158387336675E-12</v>
      </c>
    </row>
    <row r="90" spans="40:79" x14ac:dyDescent="0.3">
      <c r="AO90" s="78" t="s">
        <v>437</v>
      </c>
      <c r="AP90" s="78"/>
      <c r="AQ90" s="6" t="s">
        <v>300</v>
      </c>
      <c r="AR90" s="79" t="s">
        <v>438</v>
      </c>
      <c r="AS90" s="79"/>
      <c r="AT90" s="79"/>
    </row>
    <row r="92" spans="40:79" x14ac:dyDescent="0.3">
      <c r="AN92">
        <v>10</v>
      </c>
      <c r="AO92" s="82" t="s">
        <v>463</v>
      </c>
      <c r="AP92" s="82"/>
      <c r="AQ92" s="7" t="s">
        <v>64</v>
      </c>
      <c r="AR92" s="49" t="s">
        <v>43</v>
      </c>
      <c r="AS92" s="49" t="s">
        <v>44</v>
      </c>
      <c r="AT92" s="49" t="s">
        <v>45</v>
      </c>
      <c r="AU92" s="49" t="s">
        <v>46</v>
      </c>
      <c r="AV92" s="49" t="s">
        <v>47</v>
      </c>
      <c r="AW92" s="49" t="s">
        <v>48</v>
      </c>
      <c r="AX92" s="49" t="s">
        <v>49</v>
      </c>
      <c r="AY92" s="49" t="s">
        <v>50</v>
      </c>
      <c r="AZ92" s="49" t="s">
        <v>51</v>
      </c>
      <c r="BA92" s="49" t="s">
        <v>52</v>
      </c>
      <c r="BB92" s="49" t="s">
        <v>53</v>
      </c>
      <c r="BC92" s="49" t="s">
        <v>54</v>
      </c>
      <c r="BD92" s="49" t="s">
        <v>55</v>
      </c>
      <c r="BE92" s="49" t="s">
        <v>56</v>
      </c>
      <c r="BF92" s="49" t="s">
        <v>57</v>
      </c>
      <c r="BG92" s="49" t="s">
        <v>58</v>
      </c>
      <c r="BH92" s="49" t="s">
        <v>59</v>
      </c>
      <c r="BI92" s="49" t="s">
        <v>60</v>
      </c>
      <c r="BJ92" s="49" t="s">
        <v>61</v>
      </c>
      <c r="BK92" s="49" t="s">
        <v>62</v>
      </c>
      <c r="BL92" s="49" t="s">
        <v>63</v>
      </c>
      <c r="BM92" s="49" t="s">
        <v>330</v>
      </c>
      <c r="BN92" s="49" t="s">
        <v>331</v>
      </c>
      <c r="BO92" s="49" t="s">
        <v>332</v>
      </c>
      <c r="BP92" s="49" t="s">
        <v>333</v>
      </c>
      <c r="BQ92" s="49" t="s">
        <v>334</v>
      </c>
      <c r="BR92" s="49" t="s">
        <v>335</v>
      </c>
      <c r="BS92" s="49" t="s">
        <v>336</v>
      </c>
      <c r="BT92" s="49" t="s">
        <v>337</v>
      </c>
      <c r="BU92" s="49" t="s">
        <v>338</v>
      </c>
      <c r="BV92" s="49" t="s">
        <v>339</v>
      </c>
      <c r="BW92" s="49" t="s">
        <v>340</v>
      </c>
      <c r="BX92" s="49" t="s">
        <v>341</v>
      </c>
      <c r="BY92" s="49" t="s">
        <v>342</v>
      </c>
      <c r="BZ92" s="49" t="s">
        <v>343</v>
      </c>
      <c r="CA92" s="49" t="s">
        <v>390</v>
      </c>
    </row>
    <row r="93" spans="40:79" x14ac:dyDescent="0.3">
      <c r="AO93" s="82"/>
      <c r="AP93" s="82"/>
      <c r="AQ93" s="7">
        <v>2</v>
      </c>
      <c r="AR93" s="6" t="s">
        <v>2</v>
      </c>
      <c r="AS93" s="6" t="s">
        <v>3</v>
      </c>
      <c r="AT93" s="6" t="s">
        <v>2</v>
      </c>
      <c r="AU93" s="6" t="s">
        <v>5</v>
      </c>
      <c r="AV93" s="6" t="s">
        <v>5</v>
      </c>
      <c r="AW93" s="6" t="s">
        <v>5</v>
      </c>
      <c r="AX93" s="6" t="s">
        <v>5</v>
      </c>
      <c r="AY93" s="6" t="s">
        <v>2</v>
      </c>
      <c r="AZ93" s="6" t="s">
        <v>3</v>
      </c>
      <c r="BA93" s="6" t="s">
        <v>3</v>
      </c>
      <c r="BB93" s="6" t="s">
        <v>2</v>
      </c>
      <c r="BC93" s="6" t="s">
        <v>5</v>
      </c>
      <c r="BD93" s="6" t="s">
        <v>5</v>
      </c>
      <c r="BE93" s="6" t="s">
        <v>3</v>
      </c>
      <c r="BF93" s="6" t="s">
        <v>2</v>
      </c>
      <c r="BG93" s="6" t="s">
        <v>5</v>
      </c>
      <c r="BH93" s="6" t="s">
        <v>5</v>
      </c>
      <c r="BI93" s="6" t="s">
        <v>5</v>
      </c>
      <c r="BJ93" s="6" t="s">
        <v>5</v>
      </c>
      <c r="BK93" s="6" t="s">
        <v>4</v>
      </c>
      <c r="BL93" s="6" t="s">
        <v>4</v>
      </c>
      <c r="BM93" s="6" t="s">
        <v>4</v>
      </c>
      <c r="BN93" s="6" t="s">
        <v>3</v>
      </c>
      <c r="BO93" s="6" t="s">
        <v>4</v>
      </c>
      <c r="BP93" s="6" t="s">
        <v>4</v>
      </c>
      <c r="BQ93" s="6" t="s">
        <v>4</v>
      </c>
      <c r="BR93" s="6" t="s">
        <v>4</v>
      </c>
      <c r="BS93" s="6" t="s">
        <v>4</v>
      </c>
      <c r="BT93" s="6" t="s">
        <v>4</v>
      </c>
      <c r="BU93" s="6" t="s">
        <v>3</v>
      </c>
      <c r="BV93" s="6" t="s">
        <v>4</v>
      </c>
      <c r="BW93" s="6" t="s">
        <v>3</v>
      </c>
      <c r="BX93" s="6" t="s">
        <v>4</v>
      </c>
      <c r="BY93" s="6" t="s">
        <v>4</v>
      </c>
      <c r="BZ93" s="6" t="s">
        <v>4</v>
      </c>
      <c r="CA93" s="6" t="s">
        <v>3</v>
      </c>
    </row>
    <row r="94" spans="40:79" x14ac:dyDescent="0.3">
      <c r="AO94" s="6" t="s">
        <v>504</v>
      </c>
      <c r="AP94" s="6"/>
      <c r="AQ94" s="6">
        <f>'Data Training 1'!AW22*'Data Training 1'!AT33*'Data Training 1'!AT38*'Data Training 1'!AT45*'Data Training 1'!AT52*'Data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1'!AT142*'Data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1.3725353691777255E-8</v>
      </c>
    </row>
    <row r="95" spans="40:79" x14ac:dyDescent="0.3">
      <c r="AO95" s="6" t="s">
        <v>505</v>
      </c>
      <c r="AP95" s="6"/>
      <c r="AQ95" s="6">
        <f>'Data Training 1'!AW23*'Data Training 1'!AU33*'Data Training 1'!AU38*'Data Training 1'!AU45*'Data Training 1'!AU52*'Data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1'!AU142*'Data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4.8207834278703075E-9</v>
      </c>
    </row>
    <row r="96" spans="40:79" x14ac:dyDescent="0.3">
      <c r="AO96" s="80" t="s">
        <v>506</v>
      </c>
      <c r="AP96" s="80"/>
      <c r="AQ96" s="6">
        <f>'Data Training 1'!AW24*'Data Training 1'!AV33*'Data Training 1'!AV38*'Data Training 1'!AV45*'Data Training 1'!AV52*'Data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1'!AV142*'Data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97" spans="40:79" x14ac:dyDescent="0.3">
      <c r="AO97" s="80" t="s">
        <v>507</v>
      </c>
      <c r="AP97" s="80"/>
      <c r="AQ97" s="6">
        <f>'Data Training 1'!AW25*'Data Training 1'!AW33*'Data Training 1'!AW38*'Data Training 1'!AW45*'Data Training 1'!AW52*'Data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1'!AW142*'Data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98" spans="40:79" x14ac:dyDescent="0.3">
      <c r="AO98" s="80" t="s">
        <v>508</v>
      </c>
      <c r="AP98" s="80"/>
      <c r="AQ98" s="6">
        <f>'Data Training 1'!AW26*'Data Training 1'!AX33*'Data Training 1'!AX38*'Data Training 1'!AX45*'Data Training 1'!AX52*'Data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1'!AX142*'Data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4.1330783244220867E-10</v>
      </c>
    </row>
    <row r="99" spans="40:79" x14ac:dyDescent="0.3">
      <c r="AO99" s="80" t="s">
        <v>509</v>
      </c>
      <c r="AP99" s="80"/>
      <c r="AQ99" s="6">
        <f>'Data Training 1'!AW27*'Data Training 1'!AY33*'Data Training 1'!AY38*'Data Training 1'!AY45*'Data Training 1'!AY52*'Data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1'!AY142*'Data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00" spans="40:79" x14ac:dyDescent="0.3">
      <c r="AO100" s="78" t="s">
        <v>437</v>
      </c>
      <c r="AP100" s="78"/>
      <c r="AQ100" s="6" t="s">
        <v>300</v>
      </c>
      <c r="AR100" s="79" t="s">
        <v>438</v>
      </c>
      <c r="AS100" s="79"/>
      <c r="AT100" s="79"/>
    </row>
    <row r="102" spans="40:79" x14ac:dyDescent="0.3">
      <c r="AN102">
        <v>11</v>
      </c>
      <c r="AO102" s="82" t="s">
        <v>464</v>
      </c>
      <c r="AP102" s="82"/>
      <c r="AQ102" s="7" t="s">
        <v>64</v>
      </c>
      <c r="AR102" s="49" t="s">
        <v>43</v>
      </c>
      <c r="AS102" s="49" t="s">
        <v>44</v>
      </c>
      <c r="AT102" s="49" t="s">
        <v>45</v>
      </c>
      <c r="AU102" s="49" t="s">
        <v>46</v>
      </c>
      <c r="AV102" s="49" t="s">
        <v>47</v>
      </c>
      <c r="AW102" s="49" t="s">
        <v>48</v>
      </c>
      <c r="AX102" s="49" t="s">
        <v>49</v>
      </c>
      <c r="AY102" s="49" t="s">
        <v>50</v>
      </c>
      <c r="AZ102" s="49" t="s">
        <v>51</v>
      </c>
      <c r="BA102" s="49" t="s">
        <v>52</v>
      </c>
      <c r="BB102" s="49" t="s">
        <v>53</v>
      </c>
      <c r="BC102" s="49" t="s">
        <v>54</v>
      </c>
      <c r="BD102" s="49" t="s">
        <v>55</v>
      </c>
      <c r="BE102" s="49" t="s">
        <v>56</v>
      </c>
      <c r="BF102" s="49" t="s">
        <v>57</v>
      </c>
      <c r="BG102" s="49" t="s">
        <v>58</v>
      </c>
      <c r="BH102" s="49" t="s">
        <v>59</v>
      </c>
      <c r="BI102" s="49" t="s">
        <v>60</v>
      </c>
      <c r="BJ102" s="49" t="s">
        <v>61</v>
      </c>
      <c r="BK102" s="49" t="s">
        <v>62</v>
      </c>
      <c r="BL102" s="49" t="s">
        <v>63</v>
      </c>
      <c r="BM102" s="49" t="s">
        <v>330</v>
      </c>
      <c r="BN102" s="49" t="s">
        <v>331</v>
      </c>
      <c r="BO102" s="49" t="s">
        <v>332</v>
      </c>
      <c r="BP102" s="49" t="s">
        <v>333</v>
      </c>
      <c r="BQ102" s="49" t="s">
        <v>334</v>
      </c>
      <c r="BR102" s="49" t="s">
        <v>335</v>
      </c>
      <c r="BS102" s="49" t="s">
        <v>336</v>
      </c>
      <c r="BT102" s="49" t="s">
        <v>337</v>
      </c>
      <c r="BU102" s="49" t="s">
        <v>338</v>
      </c>
      <c r="BV102" s="49" t="s">
        <v>339</v>
      </c>
      <c r="BW102" s="49" t="s">
        <v>340</v>
      </c>
      <c r="BX102" s="49" t="s">
        <v>341</v>
      </c>
      <c r="BY102" s="49" t="s">
        <v>342</v>
      </c>
      <c r="BZ102" s="49" t="s">
        <v>343</v>
      </c>
      <c r="CA102" s="49" t="s">
        <v>390</v>
      </c>
    </row>
    <row r="103" spans="40:79" x14ac:dyDescent="0.3">
      <c r="AO103" s="82"/>
      <c r="AP103" s="82"/>
      <c r="AQ103" s="7">
        <v>2</v>
      </c>
      <c r="AR103" s="6" t="s">
        <v>4</v>
      </c>
      <c r="AS103" s="6" t="s">
        <v>5</v>
      </c>
      <c r="AT103" s="6" t="s">
        <v>5</v>
      </c>
      <c r="AU103" s="6" t="s">
        <v>5</v>
      </c>
      <c r="AV103" s="6" t="s">
        <v>5</v>
      </c>
      <c r="AW103" s="6" t="s">
        <v>5</v>
      </c>
      <c r="AX103" s="6" t="s">
        <v>5</v>
      </c>
      <c r="AY103" s="6" t="s">
        <v>2</v>
      </c>
      <c r="AZ103" s="6" t="s">
        <v>3</v>
      </c>
      <c r="BA103" s="6" t="s">
        <v>4</v>
      </c>
      <c r="BB103" s="6" t="s">
        <v>4</v>
      </c>
      <c r="BC103" s="6" t="s">
        <v>2</v>
      </c>
      <c r="BD103" s="6" t="s">
        <v>5</v>
      </c>
      <c r="BE103" s="6" t="s">
        <v>4</v>
      </c>
      <c r="BF103" s="6" t="s">
        <v>2</v>
      </c>
      <c r="BG103" s="6" t="s">
        <v>5</v>
      </c>
      <c r="BH103" s="6" t="s">
        <v>2</v>
      </c>
      <c r="BI103" s="6" t="s">
        <v>5</v>
      </c>
      <c r="BJ103" s="6" t="s">
        <v>5</v>
      </c>
      <c r="BK103" s="6" t="s">
        <v>2</v>
      </c>
      <c r="BL103" s="6" t="s">
        <v>4</v>
      </c>
      <c r="BM103" s="6" t="s">
        <v>4</v>
      </c>
      <c r="BN103" s="6" t="s">
        <v>3</v>
      </c>
      <c r="BO103" s="6" t="s">
        <v>4</v>
      </c>
      <c r="BP103" s="6" t="s">
        <v>4</v>
      </c>
      <c r="BQ103" s="6" t="s">
        <v>4</v>
      </c>
      <c r="BR103" s="6" t="s">
        <v>4</v>
      </c>
      <c r="BS103" s="6" t="s">
        <v>4</v>
      </c>
      <c r="BT103" s="6" t="s">
        <v>4</v>
      </c>
      <c r="BU103" s="6" t="s">
        <v>4</v>
      </c>
      <c r="BV103" s="6" t="s">
        <v>4</v>
      </c>
      <c r="BW103" s="6" t="s">
        <v>4</v>
      </c>
      <c r="BX103" s="6" t="s">
        <v>4</v>
      </c>
      <c r="BY103" s="6" t="s">
        <v>4</v>
      </c>
      <c r="BZ103" s="6" t="s">
        <v>4</v>
      </c>
      <c r="CA103" s="6" t="s">
        <v>3</v>
      </c>
    </row>
    <row r="104" spans="40:79" x14ac:dyDescent="0.3">
      <c r="AO104" s="6" t="s">
        <v>504</v>
      </c>
      <c r="AP104" s="6"/>
      <c r="AQ104" s="6">
        <f>'Data Training 1'!AW22*'Data Training 1'!AT31*'Data Training 1'!AT40*'Data Training 1'!AT46*'Data Training 1'!AT52*'Data Training 1'!AT58*'Data Training 1'!AT64*'Data Training 1'!AT70*'Data Training 1'!AT75*'Data Training 1'!AT80*'Data Training 1'!AT85*'Data Training 1'!AT91*'Data Training 1'!AT99*'Data Training 1'!AT106*'Data Training 1'!AT109*'Data Training 1'!AT117*'Data Training 1'!AT124*'Data Training 1'!AT129*'Data Training 1'!AT136*'Data Training 1'!AT142*'Data Training 1'!AT147*'Data Training 1'!AT151*'Data Training 1'!AT157*'Data Training 1'!AT164*'Data Training 1'!AT167*'Data Training 1'!AT171*'Data Training 1'!AT175*'Data Training 1'!AT179*'Data Training 1'!AT183*'Data Training 1'!AT187*'Data Training 1'!AT191*'Data Training 1'!AT195*'Data Training 1'!AT199*'Data Training 1'!AT203*'Data Training 1'!AT207*'Data Training 1'!AT211*'Data Training 1'!AT216</f>
        <v>0</v>
      </c>
    </row>
    <row r="105" spans="40:79" x14ac:dyDescent="0.3">
      <c r="AO105" s="6" t="s">
        <v>505</v>
      </c>
      <c r="AP105" s="6"/>
      <c r="AQ105" s="6">
        <f>'Data Training 1'!AW23*'Data Training 1'!AU31*'Data Training 1'!AU40*'Data Training 1'!AU46*'Data Training 1'!AU52*'Data Training 1'!AU58*'Data Training 1'!AU64*'Data Training 1'!AU70*'Data Training 1'!AU75*'Data Training 1'!AU80*'Data Training 1'!AU85*'Data Training 1'!AU91*'Data Training 1'!AU99*'Data Training 1'!AU106*'Data Training 1'!AU109*'Data Training 1'!AU117*'Data Training 1'!AU124*'Data Training 1'!AU129*'Data Training 1'!AU136*'Data Training 1'!AU142*'Data Training 1'!AU147*'Data Training 1'!AU151*'Data Training 1'!AU157*'Data Training 1'!AU164*'Data Training 1'!AU167*'Data Training 1'!AU171*'Data Training 1'!AU175*'Data Training 1'!AU179*'Data Training 1'!AU183*'Data Training 1'!AU187*'Data Training 1'!AU191*'Data Training 1'!AU195*'Data Training 1'!AU199*'Data Training 1'!AU203*'Data Training 1'!AU207*'Data Training 1'!AU211*'Data Training 1'!AU216</f>
        <v>5.9917407661740348E-11</v>
      </c>
    </row>
    <row r="106" spans="40:79" x14ac:dyDescent="0.3">
      <c r="AO106" s="80" t="s">
        <v>506</v>
      </c>
      <c r="AP106" s="80"/>
      <c r="AQ106" s="6">
        <f>'Data Training 1'!AW24*'Data Training 1'!AV31*'Data Training 1'!AV40*'Data Training 1'!AV46*'Data Training 1'!AV52*'Data Training 1'!AV58*'Data Training 1'!AV64*'Data Training 1'!AV70*'Data Training 1'!AV75*'Data Training 1'!AV80*'Data Training 1'!AV85*'Data Training 1'!AV91*'Data Training 1'!AV99*'Data Training 1'!AV106*'Data Training 1'!AV109*'Data Training 1'!AV117*'Data Training 1'!AV124*'Data Training 1'!AV129*'Data Training 1'!AV136*'Data Training 1'!AV142*'Data Training 1'!AV147*'Data Training 1'!AV151*'Data Training 1'!AV157*'Data Training 1'!AV164*'Data Training 1'!AV167*'Data Training 1'!AV171*'Data Training 1'!AV175*'Data Training 1'!AV179*'Data Training 1'!AV183*'Data Training 1'!AV187*'Data Training 1'!AV191*'Data Training 1'!AV195*'Data Training 1'!AV199*'Data Training 1'!AV203*'Data Training 1'!AV207*'Data Training 1'!AV211*'Data Training 1'!AV216</f>
        <v>0</v>
      </c>
    </row>
    <row r="107" spans="40:79" x14ac:dyDescent="0.3">
      <c r="AO107" s="80" t="s">
        <v>507</v>
      </c>
      <c r="AP107" s="80"/>
      <c r="AQ107" s="6">
        <f>'Data Training 1'!AW25*'Data Training 1'!AW31*'Data Training 1'!AW40*'Data Training 1'!AW46*'Data Training 1'!AW52*'Data Training 1'!AW58*'Data Training 1'!AW64*'Data Training 1'!AW70*'Data Training 1'!AW75*'Data Training 1'!AW80*'Data Training 1'!AW85*'Data Training 1'!AW91*'Data Training 1'!AW99*'Data Training 1'!AW106*'Data Training 1'!AW109*'Data Training 1'!AW117*'Data Training 1'!AW124*'Data Training 1'!AW129*'Data Training 1'!AW136*'Data Training 1'!AW142*'Data Training 1'!AW147*'Data Training 1'!AW151*'Data Training 1'!AW157*'Data Training 1'!AW164*'Data Training 1'!AW167*'Data Training 1'!AW171*'Data Training 1'!AW175*'Data Training 1'!AW179*'Data Training 1'!AW183*'Data Training 1'!AW187*'Data Training 1'!AW191*'Data Training 1'!AW195*'Data Training 1'!AW199*'Data Training 1'!AW203*'Data Training 1'!AW207*'Data Training 1'!AW211*'Data Training 1'!AW216</f>
        <v>0</v>
      </c>
    </row>
    <row r="108" spans="40:79" x14ac:dyDescent="0.3">
      <c r="AO108" s="80" t="s">
        <v>508</v>
      </c>
      <c r="AP108" s="80"/>
      <c r="AQ108" s="6">
        <f>'Data Training 1'!AW26*'Data Training 1'!AX31*'Data Training 1'!AX40*'Data Training 1'!AX46*'Data Training 1'!AX52*'Data Training 1'!AX58*'Data Training 1'!AX64*'Data Training 1'!AX70*'Data Training 1'!AX75*'Data Training 1'!AX80*'Data Training 1'!AX85*'Data Training 1'!AX91*'Data Training 1'!AX99*'Data Training 1'!AX106*'Data Training 1'!AX109*'Data Training 1'!AX117*'Data Training 1'!AX124*'Data Training 1'!AX129*'Data Training 1'!AX136*'Data Training 1'!AX142*'Data Training 1'!AX147*'Data Training 1'!AX151*'Data Training 1'!AX157*'Data Training 1'!AX164*'Data Training 1'!AX167*'Data Training 1'!AX171*'Data Training 1'!AX175*'Data Training 1'!AX179*'Data Training 1'!AX183*'Data Training 1'!AX187*'Data Training 1'!AX191*'Data Training 1'!AX195*'Data Training 1'!AX199*'Data Training 1'!AX203*'Data Training 1'!AX207*'Data Training 1'!AX211*'Data Training 1'!AX216</f>
        <v>0</v>
      </c>
    </row>
    <row r="109" spans="40:79" x14ac:dyDescent="0.3">
      <c r="AO109" s="80" t="s">
        <v>509</v>
      </c>
      <c r="AP109" s="80"/>
      <c r="AQ109" s="6">
        <f>'Data Training 1'!AW27*'Data Training 1'!AY31*'Data Training 1'!AY40*'Data Training 1'!AY46*'Data Training 1'!AY52*'Data Training 1'!AY58*'Data Training 1'!AY64*'Data Training 1'!AY70*'Data Training 1'!AY75*'Data Training 1'!AY80*'Data Training 1'!AY85*'Data Training 1'!AY91*'Data Training 1'!AY99*'Data Training 1'!AY106*'Data Training 1'!AY109*'Data Training 1'!AY117*'Data Training 1'!AY124*'Data Training 1'!AY129*'Data Training 1'!AY136*'Data Training 1'!AY142*'Data Training 1'!AY147*'Data Training 1'!AY151*'Data Training 1'!AY157*'Data Training 1'!AY164*'Data Training 1'!AY167*'Data Training 1'!AY171*'Data Training 1'!AY175*'Data Training 1'!AY179*'Data Training 1'!AY183*'Data Training 1'!AY187*'Data Training 1'!AY191*'Data Training 1'!AY195*'Data Training 1'!AY199*'Data Training 1'!AY203*'Data Training 1'!AY207*'Data Training 1'!AY211*'Data Training 1'!AY216</f>
        <v>1.0756884473246228E-12</v>
      </c>
    </row>
    <row r="110" spans="40:79" x14ac:dyDescent="0.3">
      <c r="AO110" s="78" t="s">
        <v>437</v>
      </c>
      <c r="AP110" s="78"/>
      <c r="AQ110" s="6" t="s">
        <v>300</v>
      </c>
      <c r="AR110" s="74" t="s">
        <v>438</v>
      </c>
      <c r="AS110" s="74"/>
      <c r="AT110" s="74"/>
    </row>
    <row r="112" spans="40:79" x14ac:dyDescent="0.3">
      <c r="AN112">
        <v>12</v>
      </c>
      <c r="AO112" s="82" t="s">
        <v>490</v>
      </c>
      <c r="AP112" s="82"/>
      <c r="AQ112" s="7" t="s">
        <v>64</v>
      </c>
      <c r="AR112" s="49" t="s">
        <v>43</v>
      </c>
      <c r="AS112" s="49" t="s">
        <v>44</v>
      </c>
      <c r="AT112" s="49" t="s">
        <v>45</v>
      </c>
      <c r="AU112" s="49" t="s">
        <v>46</v>
      </c>
      <c r="AV112" s="49" t="s">
        <v>47</v>
      </c>
      <c r="AW112" s="49" t="s">
        <v>48</v>
      </c>
      <c r="AX112" s="49" t="s">
        <v>49</v>
      </c>
      <c r="AY112" s="49" t="s">
        <v>50</v>
      </c>
      <c r="AZ112" s="49" t="s">
        <v>51</v>
      </c>
      <c r="BA112" s="49" t="s">
        <v>52</v>
      </c>
      <c r="BB112" s="49" t="s">
        <v>53</v>
      </c>
      <c r="BC112" s="49" t="s">
        <v>54</v>
      </c>
      <c r="BD112" s="49" t="s">
        <v>55</v>
      </c>
      <c r="BE112" s="49" t="s">
        <v>56</v>
      </c>
      <c r="BF112" s="49" t="s">
        <v>57</v>
      </c>
      <c r="BG112" s="49" t="s">
        <v>58</v>
      </c>
      <c r="BH112" s="49" t="s">
        <v>59</v>
      </c>
      <c r="BI112" s="49" t="s">
        <v>60</v>
      </c>
      <c r="BJ112" s="49" t="s">
        <v>61</v>
      </c>
      <c r="BK112" s="49" t="s">
        <v>62</v>
      </c>
      <c r="BL112" s="49" t="s">
        <v>63</v>
      </c>
      <c r="BM112" s="49" t="s">
        <v>330</v>
      </c>
      <c r="BN112" s="49" t="s">
        <v>331</v>
      </c>
      <c r="BO112" s="49" t="s">
        <v>332</v>
      </c>
      <c r="BP112" s="49" t="s">
        <v>333</v>
      </c>
      <c r="BQ112" s="49" t="s">
        <v>334</v>
      </c>
      <c r="BR112" s="49" t="s">
        <v>335</v>
      </c>
      <c r="BS112" s="49" t="s">
        <v>336</v>
      </c>
      <c r="BT112" s="49" t="s">
        <v>337</v>
      </c>
      <c r="BU112" s="49" t="s">
        <v>338</v>
      </c>
      <c r="BV112" s="49" t="s">
        <v>339</v>
      </c>
      <c r="BW112" s="49" t="s">
        <v>340</v>
      </c>
      <c r="BX112" s="49" t="s">
        <v>341</v>
      </c>
      <c r="BY112" s="49" t="s">
        <v>342</v>
      </c>
      <c r="BZ112" s="49" t="s">
        <v>343</v>
      </c>
      <c r="CA112" s="49" t="s">
        <v>390</v>
      </c>
    </row>
    <row r="113" spans="40:79" x14ac:dyDescent="0.3">
      <c r="AO113" s="82"/>
      <c r="AP113" s="82"/>
      <c r="AQ113" s="7">
        <v>2</v>
      </c>
      <c r="AR113" s="6" t="s">
        <v>4</v>
      </c>
      <c r="AS113" s="6" t="s">
        <v>5</v>
      </c>
      <c r="AT113" s="6" t="s">
        <v>3</v>
      </c>
      <c r="AU113" s="6" t="s">
        <v>2</v>
      </c>
      <c r="AV113" s="6" t="s">
        <v>5</v>
      </c>
      <c r="AW113" s="6" t="s">
        <v>5</v>
      </c>
      <c r="AX113" s="6" t="s">
        <v>5</v>
      </c>
      <c r="AY113" s="6" t="s">
        <v>2</v>
      </c>
      <c r="AZ113" s="6" t="s">
        <v>2</v>
      </c>
      <c r="BA113" s="6" t="s">
        <v>3</v>
      </c>
      <c r="BB113" s="6" t="s">
        <v>4</v>
      </c>
      <c r="BC113" s="6" t="s">
        <v>2</v>
      </c>
      <c r="BD113" s="6" t="s">
        <v>5</v>
      </c>
      <c r="BE113" s="6" t="s">
        <v>3</v>
      </c>
      <c r="BF113" s="6" t="s">
        <v>4</v>
      </c>
      <c r="BG113" s="6" t="s">
        <v>5</v>
      </c>
      <c r="BH113" s="6" t="s">
        <v>5</v>
      </c>
      <c r="BI113" s="6" t="s">
        <v>5</v>
      </c>
      <c r="BJ113" s="6" t="s">
        <v>4</v>
      </c>
      <c r="BK113" s="6" t="s">
        <v>4</v>
      </c>
      <c r="BL113" s="6" t="s">
        <v>3</v>
      </c>
      <c r="BM113" s="6" t="s">
        <v>4</v>
      </c>
      <c r="BN113" s="6" t="s">
        <v>3</v>
      </c>
      <c r="BO113" s="6" t="s">
        <v>4</v>
      </c>
      <c r="BP113" s="6" t="s">
        <v>4</v>
      </c>
      <c r="BQ113" s="6" t="s">
        <v>4</v>
      </c>
      <c r="BR113" s="6" t="s">
        <v>4</v>
      </c>
      <c r="BS113" s="6" t="s">
        <v>4</v>
      </c>
      <c r="BT113" s="6" t="s">
        <v>4</v>
      </c>
      <c r="BU113" s="6" t="s">
        <v>3</v>
      </c>
      <c r="BV113" s="6" t="s">
        <v>4</v>
      </c>
      <c r="BW113" s="6" t="s">
        <v>3</v>
      </c>
      <c r="BX113" s="6" t="s">
        <v>4</v>
      </c>
      <c r="BY113" s="6" t="s">
        <v>4</v>
      </c>
      <c r="BZ113" s="6" t="s">
        <v>4</v>
      </c>
      <c r="CA113" s="6" t="s">
        <v>4</v>
      </c>
    </row>
    <row r="114" spans="40:79" x14ac:dyDescent="0.3">
      <c r="AO114" s="6" t="s">
        <v>504</v>
      </c>
      <c r="AP114" s="6"/>
      <c r="AQ114" s="6">
        <f>'Data Training 1'!AW22*'Data Training 1'!AT31*'Data Training 1'!AT40*'Data Training 1'!AT44*'Data Training 1'!AT51*'Data Training 1'!AT58*'Data Training 1'!AT64*'Data Training 1'!AT70*'Data Training 1'!AT75*'Data Training 1'!AT81*'Data Training 1'!AT86*'Data Training 1'!AT91*'Data Training 1'!AT99*'Data Training 1'!AT106*'Data Training 1'!AT110*'Data Training 1'!AT115*'Data Training 1'!AT124*'Data Training 1'!AT130*'Data Training 1'!AT136*'Data Training 1'!AT139*'Data Training 1'!AT145*'Data Training 1'!AT152*'Data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1'!AT215</f>
        <v>0</v>
      </c>
    </row>
    <row r="115" spans="40:79" x14ac:dyDescent="0.3">
      <c r="AO115" s="6" t="s">
        <v>505</v>
      </c>
      <c r="AP115" s="6"/>
      <c r="AQ115" s="6">
        <f>'Data Training 1'!AW23*'Data Training 1'!AU31*'Data Training 1'!AU40*'Data Training 1'!AU44*'Data Training 1'!AU51*'Data Training 1'!AU58*'Data Training 1'!AU64*'Data Training 1'!AU70*'Data Training 1'!AU75*'Data Training 1'!AU81*'Data Training 1'!AU86*'Data Training 1'!AU91*'Data Training 1'!AU99*'Data Training 1'!AU106*'Data Training 1'!AU110*'Data Training 1'!AU115*'Data Training 1'!AU124*'Data Training 1'!AU130*'Data Training 1'!AU136*'Data Training 1'!AU139*'Data Training 1'!AU145*'Data Training 1'!AU152*'Data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1'!AU215</f>
        <v>3.209127442193292E-9</v>
      </c>
    </row>
    <row r="116" spans="40:79" x14ac:dyDescent="0.3">
      <c r="AO116" s="80" t="s">
        <v>506</v>
      </c>
      <c r="AP116" s="80"/>
      <c r="AQ116" s="6">
        <f>'Data Training 1'!AW24*'Data Training 1'!AV31*'Data Training 1'!AV40*'Data Training 1'!AV44*'Data Training 1'!AV51*'Data Training 1'!AV58*'Data Training 1'!AV64*'Data Training 1'!AV70*'Data Training 1'!AV75*'Data Training 1'!AV81*'Data Training 1'!AV86*'Data Training 1'!AV91*'Data Training 1'!AV99*'Data Training 1'!AV106*'Data Training 1'!AV110*'Data Training 1'!AV115*'Data Training 1'!AV124*'Data Training 1'!AV130*'Data Training 1'!AV136*'Data Training 1'!AV139*'Data Training 1'!AV145*'Data Training 1'!AV152*'Data Training 1'!AV157*'Data Training 1'!AV163*'Data Training 1'!AV167*'Data Training 1'!AV171*'Data Training 1'!AV175*'Data Training 1'!AV179*'Data Training 1'!AV183*'Data Training 1'!AV187*'Data Training 1'!AV192*'Data Training 1'!AV195*'Data Training 1'!AV200*'Data Training 1'!AV203*'Data Training 1'!AV207*'Data Training 1'!AV211*'Data Training 1'!AV215</f>
        <v>0</v>
      </c>
    </row>
    <row r="117" spans="40:79" x14ac:dyDescent="0.3">
      <c r="AO117" s="80" t="s">
        <v>507</v>
      </c>
      <c r="AP117" s="80"/>
      <c r="AQ117" s="6">
        <f>'Data Training 1'!AW25*'Data Training 1'!AW31*'Data Training 1'!AW40*'Data Training 1'!AW44*'Data Training 1'!AW51*'Data Training 1'!AW58*'Data Training 1'!AW64*'Data Training 1'!AW70*'Data Training 1'!AW75*'Data Training 1'!AW81*'Data Training 1'!AW86*'Data Training 1'!AW91*'Data Training 1'!AW99*'Data Training 1'!AW106*'Data Training 1'!AW110*'Data Training 1'!AW115*'Data Training 1'!AW124*'Data Training 1'!AW130*'Data Training 1'!AW136*'Data Training 1'!AW139*'Data Training 1'!AW145*'Data Training 1'!AW152*'Data Training 1'!AW157*'Data Training 1'!AW163*'Data Training 1'!AW167*'Data Training 1'!AW171*'Data Training 1'!AW175*'Data Training 1'!AW179*'Data Training 1'!AW183*'Data Training 1'!AW187*'Data Training 1'!AW192*'Data Training 1'!AW195*'Data Training 1'!AW200*'Data Training 1'!AW203*'Data Training 1'!AW207*'Data Training 1'!AW211*'Data Training 1'!AW215</f>
        <v>0</v>
      </c>
    </row>
    <row r="118" spans="40:79" x14ac:dyDescent="0.3">
      <c r="AO118" s="80" t="s">
        <v>508</v>
      </c>
      <c r="AP118" s="80"/>
      <c r="AQ118" s="6">
        <f>'Data Training 1'!AW26*'Data Training 1'!AX31*'Data Training 1'!AX40*'Data Training 1'!AX44*'Data Training 1'!AX51*'Data Training 1'!AX58*'Data Training 1'!AX64*'Data Training 1'!AX70*'Data Training 1'!AX75*'Data Training 1'!AX81*'Data Training 1'!AX86*'Data Training 1'!AX91*'Data Training 1'!AX99*'Data Training 1'!AX106*'Data Training 1'!AX110*'Data Training 1'!AX115*'Data Training 1'!AX124*'Data Training 1'!AX130*'Data Training 1'!AX136*'Data Training 1'!AX139*'Data Training 1'!AX145*'Data Training 1'!AX152*'Data Training 1'!AX157*'Data Training 1'!AX163*'Data Training 1'!AX167*'Data Training 1'!AX171*'Data Training 1'!AX175*'Data Training 1'!AX179*'Data Training 1'!AX183*'Data Training 1'!AX187*'Data Training 1'!AX192*'Data Training 1'!AX195*'Data Training 1'!AX200*'Data Training 1'!AX203*'Data Training 1'!AX207*'Data Training 1'!AX211*'Data Training 1'!AX215</f>
        <v>0</v>
      </c>
    </row>
    <row r="119" spans="40:79" x14ac:dyDescent="0.3">
      <c r="AO119" s="80" t="s">
        <v>509</v>
      </c>
      <c r="AP119" s="80"/>
      <c r="AQ119" s="6">
        <f>'Data Training 1'!AW27*'Data Training 1'!AY31*'Data Training 1'!AY40*'Data Training 1'!AY44*'Data Training 1'!AY51*'Data Training 1'!AY58*'Data Training 1'!AY64*'Data Training 1'!AY70*'Data Training 1'!AY75*'Data Training 1'!AY81*'Data Training 1'!AY86*'Data Training 1'!AY91*'Data Training 1'!AY99*'Data Training 1'!AY106*'Data Training 1'!AY110*'Data Training 1'!AY115*'Data Training 1'!AY124*'Data Training 1'!AY130*'Data Training 1'!AY136*'Data Training 1'!AY139*'Data Training 1'!AY145*'Data Training 1'!AY152*'Data Training 1'!AY157*'Data Training 1'!AY163*'Data Training 1'!AY167*'Data Training 1'!AY171*'Data Training 1'!AY175*'Data Training 1'!AY179*'Data Training 1'!AY183*'Data Training 1'!AY187*'Data Training 1'!AY192*'Data Training 1'!AY195*'Data Training 1'!AY200*'Data Training 1'!AY203*'Data Training 1'!AY207*'Data Training 1'!AY211*'Data Training 1'!AY215</f>
        <v>0</v>
      </c>
    </row>
    <row r="120" spans="40:79" x14ac:dyDescent="0.3">
      <c r="AO120" s="78" t="s">
        <v>437</v>
      </c>
      <c r="AP120" s="78"/>
      <c r="AQ120" s="6" t="s">
        <v>300</v>
      </c>
      <c r="AR120" s="79" t="s">
        <v>438</v>
      </c>
      <c r="AS120" s="79"/>
      <c r="AT120" s="79"/>
    </row>
    <row r="122" spans="40:79" x14ac:dyDescent="0.3">
      <c r="AN122">
        <v>13</v>
      </c>
      <c r="AO122" s="82" t="s">
        <v>319</v>
      </c>
      <c r="AP122" s="82"/>
      <c r="AQ122" s="7" t="s">
        <v>64</v>
      </c>
      <c r="AR122" s="49" t="s">
        <v>43</v>
      </c>
      <c r="AS122" s="49" t="s">
        <v>44</v>
      </c>
      <c r="AT122" s="49" t="s">
        <v>45</v>
      </c>
      <c r="AU122" s="49" t="s">
        <v>46</v>
      </c>
      <c r="AV122" s="49" t="s">
        <v>47</v>
      </c>
      <c r="AW122" s="49" t="s">
        <v>48</v>
      </c>
      <c r="AX122" s="49" t="s">
        <v>49</v>
      </c>
      <c r="AY122" s="49" t="s">
        <v>50</v>
      </c>
      <c r="AZ122" s="49" t="s">
        <v>51</v>
      </c>
      <c r="BA122" s="49" t="s">
        <v>52</v>
      </c>
      <c r="BB122" s="49" t="s">
        <v>53</v>
      </c>
      <c r="BC122" s="49" t="s">
        <v>54</v>
      </c>
      <c r="BD122" s="49" t="s">
        <v>55</v>
      </c>
      <c r="BE122" s="49" t="s">
        <v>56</v>
      </c>
      <c r="BF122" s="49" t="s">
        <v>57</v>
      </c>
      <c r="BG122" s="49" t="s">
        <v>58</v>
      </c>
      <c r="BH122" s="49" t="s">
        <v>59</v>
      </c>
      <c r="BI122" s="49" t="s">
        <v>60</v>
      </c>
      <c r="BJ122" s="49" t="s">
        <v>61</v>
      </c>
      <c r="BK122" s="49" t="s">
        <v>62</v>
      </c>
      <c r="BL122" s="49" t="s">
        <v>63</v>
      </c>
      <c r="BM122" s="49" t="s">
        <v>330</v>
      </c>
      <c r="BN122" s="49" t="s">
        <v>331</v>
      </c>
      <c r="BO122" s="49" t="s">
        <v>332</v>
      </c>
      <c r="BP122" s="49" t="s">
        <v>333</v>
      </c>
      <c r="BQ122" s="49" t="s">
        <v>334</v>
      </c>
      <c r="BR122" s="49" t="s">
        <v>335</v>
      </c>
      <c r="BS122" s="49" t="s">
        <v>336</v>
      </c>
      <c r="BT122" s="49" t="s">
        <v>337</v>
      </c>
      <c r="BU122" s="49" t="s">
        <v>338</v>
      </c>
      <c r="BV122" s="49" t="s">
        <v>339</v>
      </c>
      <c r="BW122" s="49" t="s">
        <v>340</v>
      </c>
      <c r="BX122" s="49" t="s">
        <v>341</v>
      </c>
      <c r="BY122" s="49" t="s">
        <v>342</v>
      </c>
      <c r="BZ122" s="49" t="s">
        <v>343</v>
      </c>
      <c r="CA122" s="49" t="s">
        <v>390</v>
      </c>
    </row>
    <row r="123" spans="40:79" x14ac:dyDescent="0.3">
      <c r="AO123" s="82"/>
      <c r="AP123" s="82"/>
      <c r="AQ123" s="7">
        <v>3</v>
      </c>
      <c r="AR123" s="6" t="s">
        <v>2</v>
      </c>
      <c r="AS123" s="6" t="s">
        <v>3</v>
      </c>
      <c r="AT123" s="6" t="s">
        <v>3</v>
      </c>
      <c r="AU123" s="6" t="s">
        <v>2</v>
      </c>
      <c r="AV123" s="6" t="s">
        <v>5</v>
      </c>
      <c r="AW123" s="6" t="s">
        <v>5</v>
      </c>
      <c r="AX123" s="6" t="s">
        <v>5</v>
      </c>
      <c r="AY123" s="6" t="s">
        <v>2</v>
      </c>
      <c r="AZ123" s="6" t="s">
        <v>3</v>
      </c>
      <c r="BA123" s="6" t="s">
        <v>3</v>
      </c>
      <c r="BB123" s="6" t="s">
        <v>3</v>
      </c>
      <c r="BC123" s="6" t="s">
        <v>2</v>
      </c>
      <c r="BD123" s="6" t="s">
        <v>5</v>
      </c>
      <c r="BE123" s="6" t="s">
        <v>3</v>
      </c>
      <c r="BF123" s="6" t="s">
        <v>3</v>
      </c>
      <c r="BG123" s="6" t="s">
        <v>5</v>
      </c>
      <c r="BH123" s="6" t="s">
        <v>5</v>
      </c>
      <c r="BI123" s="6" t="s">
        <v>5</v>
      </c>
      <c r="BJ123" s="6" t="s">
        <v>5</v>
      </c>
      <c r="BK123" s="6" t="s">
        <v>4</v>
      </c>
      <c r="BL123" s="6" t="s">
        <v>3</v>
      </c>
      <c r="BM123" s="6" t="s">
        <v>2</v>
      </c>
      <c r="BN123" s="6" t="s">
        <v>3</v>
      </c>
      <c r="BO123" s="6" t="s">
        <v>4</v>
      </c>
      <c r="BP123" s="6" t="s">
        <v>4</v>
      </c>
      <c r="BQ123" s="6" t="s">
        <v>4</v>
      </c>
      <c r="BR123" s="6" t="s">
        <v>4</v>
      </c>
      <c r="BS123" s="6" t="s">
        <v>4</v>
      </c>
      <c r="BT123" s="6" t="s">
        <v>4</v>
      </c>
      <c r="BU123" s="6" t="s">
        <v>3</v>
      </c>
      <c r="BV123" s="6" t="s">
        <v>4</v>
      </c>
      <c r="BW123" s="6" t="s">
        <v>3</v>
      </c>
      <c r="BX123" s="6" t="s">
        <v>4</v>
      </c>
      <c r="BY123" s="6" t="s">
        <v>4</v>
      </c>
      <c r="BZ123" s="6" t="s">
        <v>3</v>
      </c>
      <c r="CA123" s="6" t="s">
        <v>3</v>
      </c>
    </row>
    <row r="124" spans="40:79" x14ac:dyDescent="0.3">
      <c r="AO124" s="6" t="s">
        <v>504</v>
      </c>
      <c r="AP124" s="6"/>
      <c r="AQ12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125" spans="40:79" x14ac:dyDescent="0.3">
      <c r="AO125" s="6" t="s">
        <v>505</v>
      </c>
      <c r="AP125" s="6"/>
      <c r="AQ125" s="6">
        <f>'Data Training 1'!AW23*'Data Training 1'!AU33*'Data Training 1'!AU38*'Data Training 1'!AU44*'Data Training 1'!AU51*'Data Training 1'!AU58*'Data Training 1'!AU64*'Data Training 1'!AU70*'Data Training 1'!AU75*'Data Training 1'!AU80*'Data Training 1'!AU86*'Data Training 1'!AU92*'Data Training 1'!AU99*'Data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2.4903281738360657E-9</v>
      </c>
    </row>
    <row r="126" spans="40:79" x14ac:dyDescent="0.3">
      <c r="AO126" s="80" t="s">
        <v>506</v>
      </c>
      <c r="AP126" s="80"/>
      <c r="AQ126" s="6">
        <f>'Data Training 1'!AW24*'Data Training 1'!AV33*'Data Training 1'!AV38*'Data Training 1'!AV44*'Data Training 1'!AV51*'Data Training 1'!AV58*'Data Training 1'!AV64*'Data Training 1'!AV70*'Data Training 1'!AV75*'Data Training 1'!AV80*'Data Training 1'!AV86*'Data Training 1'!AV92*'Data Training 1'!AV99*'Data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5.5332311688297959E-8</v>
      </c>
    </row>
    <row r="127" spans="40:79" x14ac:dyDescent="0.3">
      <c r="AO127" s="80" t="s">
        <v>507</v>
      </c>
      <c r="AP127" s="80"/>
      <c r="AQ127" s="6">
        <f>'Data Training 1'!AW25*'Data Training 1'!AW33*'Data Training 1'!AW38*'Data Training 1'!AW44*'Data Training 1'!AW51*'Data Training 1'!AW58*'Data Training 1'!AW64*'Data Training 1'!AW70*'Data Training 1'!AW75*'Data Training 1'!AW80*'Data Training 1'!AW86*'Data Training 1'!AW92*'Data Training 1'!AW99*'Data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5.0285880902225259E-9</v>
      </c>
    </row>
    <row r="128" spans="40:79" x14ac:dyDescent="0.3">
      <c r="AO128" s="80" t="s">
        <v>508</v>
      </c>
      <c r="AP128" s="80"/>
      <c r="AQ128" s="6">
        <f>'Data Training 1'!AW26*'Data Training 1'!AX33*'Data Training 1'!AX38*'Data Training 1'!AX44*'Data Training 1'!AX51*'Data Training 1'!AX58*'Data Training 1'!AX64*'Data Training 1'!AX70*'Data Training 1'!AX75*'Data Training 1'!AX80*'Data Training 1'!AX86*'Data Training 1'!AX92*'Data Training 1'!AX99*'Data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129" spans="40:79" x14ac:dyDescent="0.3">
      <c r="AO129" s="80" t="s">
        <v>509</v>
      </c>
      <c r="AP129" s="80"/>
      <c r="AQ129" s="6">
        <f>'Data Training 1'!AW27*'Data Training 1'!AY33*'Data Training 1'!AY38*'Data Training 1'!AY44*'Data Training 1'!AY51*'Data Training 1'!AY58*'Data Training 1'!AY64*'Data Training 1'!AY70*'Data Training 1'!AY75*'Data Training 1'!AY80*'Data Training 1'!AY86*'Data Training 1'!AY92*'Data Training 1'!AY99*'Data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30" spans="40:79" x14ac:dyDescent="0.3">
      <c r="AO130" s="78" t="s">
        <v>437</v>
      </c>
      <c r="AP130" s="78"/>
      <c r="AQ130" s="6" t="s">
        <v>294</v>
      </c>
      <c r="AR130" s="79" t="s">
        <v>438</v>
      </c>
      <c r="AS130" s="79"/>
      <c r="AT130" s="79"/>
    </row>
    <row r="132" spans="40:79" x14ac:dyDescent="0.3">
      <c r="AN132">
        <v>14</v>
      </c>
      <c r="AO132" s="82" t="s">
        <v>501</v>
      </c>
      <c r="AP132" s="82"/>
      <c r="AQ132" s="7" t="s">
        <v>64</v>
      </c>
      <c r="AR132" s="49" t="s">
        <v>43</v>
      </c>
      <c r="AS132" s="49" t="s">
        <v>44</v>
      </c>
      <c r="AT132" s="49" t="s">
        <v>45</v>
      </c>
      <c r="AU132" s="49" t="s">
        <v>46</v>
      </c>
      <c r="AV132" s="49" t="s">
        <v>47</v>
      </c>
      <c r="AW132" s="49" t="s">
        <v>48</v>
      </c>
      <c r="AX132" s="49" t="s">
        <v>49</v>
      </c>
      <c r="AY132" s="49" t="s">
        <v>50</v>
      </c>
      <c r="AZ132" s="49" t="s">
        <v>51</v>
      </c>
      <c r="BA132" s="49" t="s">
        <v>52</v>
      </c>
      <c r="BB132" s="49" t="s">
        <v>53</v>
      </c>
      <c r="BC132" s="49" t="s">
        <v>54</v>
      </c>
      <c r="BD132" s="49" t="s">
        <v>55</v>
      </c>
      <c r="BE132" s="49" t="s">
        <v>56</v>
      </c>
      <c r="BF132" s="49" t="s">
        <v>57</v>
      </c>
      <c r="BG132" s="49" t="s">
        <v>58</v>
      </c>
      <c r="BH132" s="49" t="s">
        <v>59</v>
      </c>
      <c r="BI132" s="49" t="s">
        <v>60</v>
      </c>
      <c r="BJ132" s="49" t="s">
        <v>61</v>
      </c>
      <c r="BK132" s="49" t="s">
        <v>62</v>
      </c>
      <c r="BL132" s="49" t="s">
        <v>63</v>
      </c>
      <c r="BM132" s="49" t="s">
        <v>330</v>
      </c>
      <c r="BN132" s="49" t="s">
        <v>331</v>
      </c>
      <c r="BO132" s="49" t="s">
        <v>332</v>
      </c>
      <c r="BP132" s="49" t="s">
        <v>333</v>
      </c>
      <c r="BQ132" s="49" t="s">
        <v>334</v>
      </c>
      <c r="BR132" s="49" t="s">
        <v>335</v>
      </c>
      <c r="BS132" s="49" t="s">
        <v>336</v>
      </c>
      <c r="BT132" s="49" t="s">
        <v>337</v>
      </c>
      <c r="BU132" s="49" t="s">
        <v>338</v>
      </c>
      <c r="BV132" s="49" t="s">
        <v>339</v>
      </c>
      <c r="BW132" s="49" t="s">
        <v>340</v>
      </c>
      <c r="BX132" s="49" t="s">
        <v>341</v>
      </c>
      <c r="BY132" s="49" t="s">
        <v>342</v>
      </c>
      <c r="BZ132" s="49" t="s">
        <v>343</v>
      </c>
      <c r="CA132" s="49" t="s">
        <v>390</v>
      </c>
    </row>
    <row r="133" spans="40:79" x14ac:dyDescent="0.3">
      <c r="AO133" s="82"/>
      <c r="AP133" s="82"/>
      <c r="AQ133" s="7">
        <v>3</v>
      </c>
      <c r="AR133" s="6" t="s">
        <v>2</v>
      </c>
      <c r="AS133" s="6" t="s">
        <v>3</v>
      </c>
      <c r="AT133" s="6" t="s">
        <v>3</v>
      </c>
      <c r="AU133" s="6" t="s">
        <v>2</v>
      </c>
      <c r="AV133" s="6" t="s">
        <v>5</v>
      </c>
      <c r="AW133" s="6" t="s">
        <v>2</v>
      </c>
      <c r="AX133" s="6" t="s">
        <v>5</v>
      </c>
      <c r="AY133" s="6" t="s">
        <v>2</v>
      </c>
      <c r="AZ133" s="6" t="s">
        <v>3</v>
      </c>
      <c r="BA133" s="6" t="s">
        <v>4</v>
      </c>
      <c r="BB133" s="6" t="s">
        <v>4</v>
      </c>
      <c r="BC133" s="6" t="s">
        <v>5</v>
      </c>
      <c r="BD133" s="6" t="s">
        <v>5</v>
      </c>
      <c r="BE133" s="6" t="s">
        <v>4</v>
      </c>
      <c r="BF133" s="6" t="s">
        <v>5</v>
      </c>
      <c r="BG133" s="6" t="s">
        <v>5</v>
      </c>
      <c r="BH133" s="6" t="s">
        <v>5</v>
      </c>
      <c r="BI133" s="6" t="s">
        <v>5</v>
      </c>
      <c r="BJ133" s="6" t="s">
        <v>5</v>
      </c>
      <c r="BK133" s="6" t="s">
        <v>4</v>
      </c>
      <c r="BL133" s="6" t="s">
        <v>3</v>
      </c>
      <c r="BM133" s="6" t="s">
        <v>4</v>
      </c>
      <c r="BN133" s="6" t="s">
        <v>4</v>
      </c>
      <c r="BO133" s="6" t="s">
        <v>4</v>
      </c>
      <c r="BP133" s="6" t="s">
        <v>4</v>
      </c>
      <c r="BQ133" s="6" t="s">
        <v>4</v>
      </c>
      <c r="BR133" s="6" t="s">
        <v>4</v>
      </c>
      <c r="BS133" s="6" t="s">
        <v>4</v>
      </c>
      <c r="BT133" s="6" t="s">
        <v>4</v>
      </c>
      <c r="BU133" s="6" t="s">
        <v>4</v>
      </c>
      <c r="BV133" s="6" t="s">
        <v>4</v>
      </c>
      <c r="BW133" s="6" t="s">
        <v>3</v>
      </c>
      <c r="BX133" s="6" t="s">
        <v>4</v>
      </c>
      <c r="BY133" s="6" t="s">
        <v>4</v>
      </c>
      <c r="BZ133" s="6" t="s">
        <v>3</v>
      </c>
      <c r="CA133" s="6" t="s">
        <v>4</v>
      </c>
    </row>
    <row r="134" spans="40:79" x14ac:dyDescent="0.3">
      <c r="AO134" s="6" t="s">
        <v>504</v>
      </c>
      <c r="AP134" s="6"/>
      <c r="AQ134" s="6">
        <f>'Data Training 1'!AW22*'Data Training 1'!AT33*'Data Training 1'!AT38*'Data Training 1'!AT44*'Data Training 1'!AT51*'Data Training 1'!AT58*'Data Training 1'!AT63*'Data Training 1'!AT70*'Data Training 1'!AT75*'Data Training 1'!AT80*'Data Training 1'!AT85*'Data Training 1'!AT91*'Data Training 1'!AT100*'Data Training 1'!AT106*'Data Training 1'!AT109*'Data Training 1'!AT118*'Data Training 1'!AT124*'Data Training 1'!AT130*'Data Training 1'!AT136*'Data Training 1'!AT142*'Data Training 1'!AT145*'Data Training 1'!AT152*'Data Training 1'!AT157*'Data Training 1'!AT163*'Data Training 1'!AT167*'Data Training 1'!AT171*'Data Training 1'!AT175*'Data Training 1'!AT179*'Data Training 1'!AT183*'Data Training 1'!AT187*'Data Training 1'!AT191*'Data Training 1'!AT195*'Data Training 1'!AT200*'Data Training 1'!AT203*'Data Training 1'!AT207*'Data Training 1'!AT212*'Data Training 1'!AT215</f>
        <v>0</v>
      </c>
    </row>
    <row r="135" spans="40:79" x14ac:dyDescent="0.3">
      <c r="AO135" s="6" t="s">
        <v>505</v>
      </c>
      <c r="AP135" s="6"/>
      <c r="AQ135" s="6">
        <f>'Data Training 1'!AW23*'Data Training 1'!AU33*'Data Training 1'!AU38*'Data Training 1'!AU44*'Data Training 1'!AU51*'Data Training 1'!AU58*'Data Training 1'!AU63*'Data Training 1'!AU70*'Data Training 1'!AU75*'Data Training 1'!AU80*'Data Training 1'!AU85*'Data Training 1'!AU91*'Data Training 1'!AU100*'Data Training 1'!AU106*'Data Training 1'!AU109*'Data Training 1'!AU118*'Data Training 1'!AU124*'Data Training 1'!AU130*'Data Training 1'!AU136*'Data Training 1'!AU142*'Data Training 1'!AU145*'Data Training 1'!AU152*'Data Training 1'!AU157*'Data Training 1'!AU163*'Data Training 1'!AU167*'Data Training 1'!AU171*'Data Training 1'!AU175*'Data Training 1'!AU179*'Data Training 1'!AU183*'Data Training 1'!AU187*'Data Training 1'!AU191*'Data Training 1'!AU195*'Data Training 1'!AU200*'Data Training 1'!AU203*'Data Training 1'!AU207*'Data Training 1'!AU212*'Data Training 1'!AU215</f>
        <v>0</v>
      </c>
    </row>
    <row r="136" spans="40:79" x14ac:dyDescent="0.3">
      <c r="AO136" s="80" t="s">
        <v>506</v>
      </c>
      <c r="AP136" s="80"/>
      <c r="AQ136" s="6">
        <f>'Data Training 1'!AW24*'Data Training 1'!AV33*'Data Training 1'!AV38*'Data Training 1'!AV44*'Data Training 1'!AV51*'Data Training 1'!AV58*'Data Training 1'!AV63*'Data Training 1'!AV70*'Data Training 1'!AV75*'Data Training 1'!AV80*'Data Training 1'!AV85*'Data Training 1'!AV91*'Data Training 1'!AV100*'Data Training 1'!AV106*'Data Training 1'!AV109*'Data Training 1'!AV118*'Data Training 1'!AV124*'Data Training 1'!AV130*'Data Training 1'!AV136*'Data Training 1'!AV142*'Data Training 1'!AV145*'Data Training 1'!AV152*'Data Training 1'!AV157*'Data Training 1'!AV163*'Data Training 1'!AV167*'Data Training 1'!AV171*'Data Training 1'!AV175*'Data Training 1'!AV179*'Data Training 1'!AV183*'Data Training 1'!AV187*'Data Training 1'!AV191*'Data Training 1'!AV195*'Data Training 1'!AV200*'Data Training 1'!AV203*'Data Training 1'!AV207*'Data Training 1'!AV212*'Data Training 1'!AV215</f>
        <v>7.1134284998730203E-11</v>
      </c>
    </row>
    <row r="137" spans="40:79" x14ac:dyDescent="0.3">
      <c r="AO137" s="80" t="s">
        <v>507</v>
      </c>
      <c r="AP137" s="80"/>
      <c r="AQ137" s="6">
        <f>'Data Training 1'!AW25*'Data Training 1'!AW33*'Data Training 1'!AW38*'Data Training 1'!AW44*'Data Training 1'!AW51*'Data Training 1'!AW58*'Data Training 1'!AW63*'Data Training 1'!AW70*'Data Training 1'!AW75*'Data Training 1'!AW80*'Data Training 1'!AW85*'Data Training 1'!AW91*'Data Training 1'!AW100*'Data Training 1'!AW106*'Data Training 1'!AW109*'Data Training 1'!AW118*'Data Training 1'!AW124*'Data Training 1'!AW130*'Data Training 1'!AW136*'Data Training 1'!AW142*'Data Training 1'!AW145*'Data Training 1'!AW152*'Data Training 1'!AW157*'Data Training 1'!AW163*'Data Training 1'!AW167*'Data Training 1'!AW171*'Data Training 1'!AW175*'Data Training 1'!AW179*'Data Training 1'!AW183*'Data Training 1'!AW187*'Data Training 1'!AW191*'Data Training 1'!AW195*'Data Training 1'!AW200*'Data Training 1'!AW203*'Data Training 1'!AW207*'Data Training 1'!AW212*'Data Training 1'!AW215</f>
        <v>0</v>
      </c>
    </row>
    <row r="138" spans="40:79" x14ac:dyDescent="0.3">
      <c r="AO138" s="80" t="s">
        <v>508</v>
      </c>
      <c r="AP138" s="80"/>
      <c r="AQ138" s="6">
        <f>'Data Training 1'!AW26*'Data Training 1'!AX33*'Data Training 1'!AX38*'Data Training 1'!AX44*'Data Training 1'!AX51*'Data Training 1'!AX58*'Data Training 1'!AX63*'Data Training 1'!AX70*'Data Training 1'!AX75*'Data Training 1'!AX80*'Data Training 1'!AX85*'Data Training 1'!AX91*'Data Training 1'!AX100*'Data Training 1'!AX106*'Data Training 1'!AX109*'Data Training 1'!AX118*'Data Training 1'!AX124*'Data Training 1'!AX130*'Data Training 1'!AX136*'Data Training 1'!AX142*'Data Training 1'!AX145*'Data Training 1'!AX152*'Data Training 1'!AX157*'Data Training 1'!AX163*'Data Training 1'!AX167*'Data Training 1'!AX171*'Data Training 1'!AX175*'Data Training 1'!AX179*'Data Training 1'!AX183*'Data Training 1'!AX187*'Data Training 1'!AX191*'Data Training 1'!AX195*'Data Training 1'!AX200*'Data Training 1'!AX203*'Data Training 1'!AX207*'Data Training 1'!AX212*'Data Training 1'!AX215</f>
        <v>0</v>
      </c>
    </row>
    <row r="139" spans="40:79" x14ac:dyDescent="0.3">
      <c r="AO139" s="80" t="s">
        <v>509</v>
      </c>
      <c r="AP139" s="80"/>
      <c r="AQ139" s="6">
        <f>'Data Training 1'!AW27*'Data Training 1'!AY33*'Data Training 1'!AY38*'Data Training 1'!AY44*'Data Training 1'!AY51*'Data Training 1'!AY58*'Data Training 1'!AY63*'Data Training 1'!AY70*'Data Training 1'!AY75*'Data Training 1'!AY80*'Data Training 1'!AY85*'Data Training 1'!AY91*'Data Training 1'!AY100*'Data Training 1'!AY106*'Data Training 1'!AY109*'Data Training 1'!AY118*'Data Training 1'!AY124*'Data Training 1'!AY130*'Data Training 1'!AY136*'Data Training 1'!AY142*'Data Training 1'!AY145*'Data Training 1'!AY152*'Data Training 1'!AY157*'Data Training 1'!AY163*'Data Training 1'!AY167*'Data Training 1'!AY171*'Data Training 1'!AY175*'Data Training 1'!AY179*'Data Training 1'!AY183*'Data Training 1'!AY187*'Data Training 1'!AY191*'Data Training 1'!AY195*'Data Training 1'!AY200*'Data Training 1'!AY203*'Data Training 1'!AY207*'Data Training 1'!AY212*'Data Training 1'!AY215</f>
        <v>0</v>
      </c>
    </row>
    <row r="140" spans="40:79" x14ac:dyDescent="0.3">
      <c r="AO140" s="78" t="s">
        <v>437</v>
      </c>
      <c r="AP140" s="78"/>
      <c r="AQ140" s="6" t="s">
        <v>294</v>
      </c>
      <c r="AR140" s="79" t="s">
        <v>438</v>
      </c>
      <c r="AS140" s="79"/>
      <c r="AT140" s="79"/>
    </row>
    <row r="142" spans="40:79" x14ac:dyDescent="0.3">
      <c r="AN142">
        <v>15</v>
      </c>
      <c r="AO142" s="82" t="s">
        <v>320</v>
      </c>
      <c r="AP142" s="82"/>
      <c r="AQ142" s="7" t="s">
        <v>64</v>
      </c>
      <c r="AR142" s="49" t="s">
        <v>43</v>
      </c>
      <c r="AS142" s="49" t="s">
        <v>44</v>
      </c>
      <c r="AT142" s="49" t="s">
        <v>45</v>
      </c>
      <c r="AU142" s="49" t="s">
        <v>46</v>
      </c>
      <c r="AV142" s="49" t="s">
        <v>47</v>
      </c>
      <c r="AW142" s="49" t="s">
        <v>48</v>
      </c>
      <c r="AX142" s="49" t="s">
        <v>49</v>
      </c>
      <c r="AY142" s="49" t="s">
        <v>50</v>
      </c>
      <c r="AZ142" s="49" t="s">
        <v>51</v>
      </c>
      <c r="BA142" s="49" t="s">
        <v>52</v>
      </c>
      <c r="BB142" s="49" t="s">
        <v>53</v>
      </c>
      <c r="BC142" s="49" t="s">
        <v>54</v>
      </c>
      <c r="BD142" s="49" t="s">
        <v>55</v>
      </c>
      <c r="BE142" s="49" t="s">
        <v>56</v>
      </c>
      <c r="BF142" s="49" t="s">
        <v>57</v>
      </c>
      <c r="BG142" s="49" t="s">
        <v>58</v>
      </c>
      <c r="BH142" s="49" t="s">
        <v>59</v>
      </c>
      <c r="BI142" s="49" t="s">
        <v>60</v>
      </c>
      <c r="BJ142" s="49" t="s">
        <v>61</v>
      </c>
      <c r="BK142" s="49" t="s">
        <v>62</v>
      </c>
      <c r="BL142" s="49" t="s">
        <v>63</v>
      </c>
      <c r="BM142" s="49" t="s">
        <v>330</v>
      </c>
      <c r="BN142" s="49" t="s">
        <v>331</v>
      </c>
      <c r="BO142" s="49" t="s">
        <v>332</v>
      </c>
      <c r="BP142" s="49" t="s">
        <v>333</v>
      </c>
      <c r="BQ142" s="49" t="s">
        <v>334</v>
      </c>
      <c r="BR142" s="49" t="s">
        <v>335</v>
      </c>
      <c r="BS142" s="49" t="s">
        <v>336</v>
      </c>
      <c r="BT142" s="49" t="s">
        <v>337</v>
      </c>
      <c r="BU142" s="49" t="s">
        <v>338</v>
      </c>
      <c r="BV142" s="49" t="s">
        <v>339</v>
      </c>
      <c r="BW142" s="49" t="s">
        <v>340</v>
      </c>
      <c r="BX142" s="49" t="s">
        <v>341</v>
      </c>
      <c r="BY142" s="49" t="s">
        <v>342</v>
      </c>
      <c r="BZ142" s="49" t="s">
        <v>343</v>
      </c>
      <c r="CA142" s="49" t="s">
        <v>390</v>
      </c>
    </row>
    <row r="143" spans="40:79" x14ac:dyDescent="0.3">
      <c r="AO143" s="82"/>
      <c r="AP143" s="82"/>
      <c r="AQ143" s="7">
        <v>3</v>
      </c>
      <c r="AR143" s="6" t="s">
        <v>2</v>
      </c>
      <c r="AS143" s="6" t="s">
        <v>3</v>
      </c>
      <c r="AT143" s="6" t="s">
        <v>3</v>
      </c>
      <c r="AU143" s="6" t="s">
        <v>5</v>
      </c>
      <c r="AV143" s="6" t="s">
        <v>5</v>
      </c>
      <c r="AW143" s="6" t="s">
        <v>5</v>
      </c>
      <c r="AX143" s="6" t="s">
        <v>2</v>
      </c>
      <c r="AY143" s="6" t="s">
        <v>2</v>
      </c>
      <c r="AZ143" s="6" t="s">
        <v>3</v>
      </c>
      <c r="BA143" s="6" t="s">
        <v>3</v>
      </c>
      <c r="BB143" s="6" t="s">
        <v>4</v>
      </c>
      <c r="BC143" s="6" t="s">
        <v>5</v>
      </c>
      <c r="BD143" s="6" t="s">
        <v>2</v>
      </c>
      <c r="BE143" s="6" t="s">
        <v>3</v>
      </c>
      <c r="BF143" s="6" t="s">
        <v>2</v>
      </c>
      <c r="BG143" s="6" t="s">
        <v>5</v>
      </c>
      <c r="BH143" s="6" t="s">
        <v>5</v>
      </c>
      <c r="BI143" s="6" t="s">
        <v>5</v>
      </c>
      <c r="BJ143" s="6" t="s">
        <v>5</v>
      </c>
      <c r="BK143" s="6" t="s">
        <v>4</v>
      </c>
      <c r="BL143" s="6" t="s">
        <v>3</v>
      </c>
      <c r="BM143" s="6" t="s">
        <v>3</v>
      </c>
      <c r="BN143" s="6" t="s">
        <v>3</v>
      </c>
      <c r="BO143" s="6" t="s">
        <v>4</v>
      </c>
      <c r="BP143" s="6" t="s">
        <v>4</v>
      </c>
      <c r="BQ143" s="6" t="s">
        <v>4</v>
      </c>
      <c r="BR143" s="6" t="s">
        <v>4</v>
      </c>
      <c r="BS143" s="6" t="s">
        <v>4</v>
      </c>
      <c r="BT143" s="6" t="s">
        <v>4</v>
      </c>
      <c r="BU143" s="6" t="s">
        <v>3</v>
      </c>
      <c r="BV143" s="6" t="s">
        <v>4</v>
      </c>
      <c r="BW143" s="6" t="s">
        <v>3</v>
      </c>
      <c r="BX143" s="6" t="s">
        <v>4</v>
      </c>
      <c r="BY143" s="6" t="s">
        <v>4</v>
      </c>
      <c r="BZ143" s="6" t="s">
        <v>3</v>
      </c>
      <c r="CA143" s="6" t="s">
        <v>3</v>
      </c>
    </row>
    <row r="144" spans="40:79" x14ac:dyDescent="0.3">
      <c r="AO144" s="6" t="s">
        <v>504</v>
      </c>
      <c r="AP144" s="6"/>
      <c r="AQ144" s="6">
        <f>'Data Training 1'!AW22*'Data Training 1'!AT33*'Data Training 1'!AT38*'Data Training 1'!AT44*'Data Training 1'!AT52*'Data Training 1'!AT58*'Data Training 1'!AT64*'Data Training 1'!AT69*'Data Training 1'!AT75*'Data Training 1'!AT80*'Data Training 1'!AT86*'Data Training 1'!AT91*'Data Training 1'!AT100*'Data Training 1'!AT105*'Data Training 1'!AT110*'Data Training 1'!AT117*'Data Training 1'!AT124*'Data Training 1'!AT130*'Data Training 1'!AT136*'Data Training 1'!AT142*'Data Training 1'!AT145*'Data Training 1'!AT152*'Data Training 1'!AT158*'Data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5.3364175153629977E-10</v>
      </c>
    </row>
    <row r="145" spans="40:79" x14ac:dyDescent="0.3">
      <c r="AO145" s="6" t="s">
        <v>505</v>
      </c>
      <c r="AP145" s="6"/>
      <c r="AQ145" s="6">
        <f>'Data Training 1'!AW23*'Data Training 1'!AU33*'Data Training 1'!AU38*'Data Training 1'!AU44*'Data Training 1'!AU52*'Data Training 1'!AU58*'Data Training 1'!AU64*'Data Training 1'!AU69*'Data Training 1'!AU75*'Data Training 1'!AU80*'Data Training 1'!AU86*'Data Training 1'!AU91*'Data Training 1'!AU100*'Data Training 1'!AU105*'Data Training 1'!AU110*'Data Training 1'!AU117*'Data Training 1'!AU124*'Data Training 1'!AU130*'Data Training 1'!AU136*'Data Training 1'!AU142*'Data Training 1'!AU145*'Data Training 1'!AU152*'Data Training 1'!AU158*'Data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146" spans="40:79" x14ac:dyDescent="0.3">
      <c r="AO146" s="80" t="s">
        <v>506</v>
      </c>
      <c r="AP146" s="80"/>
      <c r="AQ146" s="6">
        <f>'Data Training 1'!AW24*'Data Training 1'!AV33*'Data Training 1'!AV38*'Data Training 1'!AV44*'Data Training 1'!AV52*'Data Training 1'!AV58*'Data Training 1'!AV64*'Data Training 1'!AV69*'Data Training 1'!AV75*'Data Training 1'!AV80*'Data Training 1'!AV86*'Data Training 1'!AV91*'Data Training 1'!AV100*'Data Training 1'!AV105*'Data Training 1'!AV110*'Data Training 1'!AV117*'Data Training 1'!AV124*'Data Training 1'!AV130*'Data Training 1'!AV136*'Data Training 1'!AV142*'Data Training 1'!AV145*'Data Training 1'!AV152*'Data Training 1'!AV158*'Data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5.5891223927573679E-8</v>
      </c>
    </row>
    <row r="147" spans="40:79" x14ac:dyDescent="0.3">
      <c r="AO147" s="80" t="s">
        <v>507</v>
      </c>
      <c r="AP147" s="80"/>
      <c r="AQ147" s="6">
        <f>'Data Training 1'!AW25*'Data Training 1'!AW33*'Data Training 1'!AW38*'Data Training 1'!AW44*'Data Training 1'!AW52*'Data Training 1'!AW58*'Data Training 1'!AW64*'Data Training 1'!AW69*'Data Training 1'!AW75*'Data Training 1'!AW80*'Data Training 1'!AW86*'Data Training 1'!AW91*'Data Training 1'!AW100*'Data Training 1'!AW105*'Data Training 1'!AW110*'Data Training 1'!AW117*'Data Training 1'!AW124*'Data Training 1'!AW130*'Data Training 1'!AW136*'Data Training 1'!AW142*'Data Training 1'!AW145*'Data Training 1'!AW152*'Data Training 1'!AW158*'Data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148" spans="40:79" x14ac:dyDescent="0.3">
      <c r="AO148" s="80" t="s">
        <v>508</v>
      </c>
      <c r="AP148" s="80"/>
      <c r="AQ148" s="6">
        <f>'Data Training 1'!AW26*'Data Training 1'!AX33*'Data Training 1'!AX38*'Data Training 1'!AX44*'Data Training 1'!AX52*'Data Training 1'!AX58*'Data Training 1'!AX64*'Data Training 1'!AX69*'Data Training 1'!AX75*'Data Training 1'!AX80*'Data Training 1'!AX86*'Data Training 1'!AX91*'Data Training 1'!AX100*'Data Training 1'!AX105*'Data Training 1'!AX110*'Data Training 1'!AX117*'Data Training 1'!AX124*'Data Training 1'!AX130*'Data Training 1'!AX136*'Data Training 1'!AX142*'Data Training 1'!AX145*'Data Training 1'!AX152*'Data Training 1'!AX158*'Data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3.9362650708781791E-11</v>
      </c>
    </row>
    <row r="149" spans="40:79" x14ac:dyDescent="0.3">
      <c r="AO149" s="80" t="s">
        <v>509</v>
      </c>
      <c r="AP149" s="80"/>
      <c r="AQ149" s="6">
        <f>'Data Training 1'!AW27*'Data Training 1'!AY33*'Data Training 1'!AY38*'Data Training 1'!AY44*'Data Training 1'!AY52*'Data Training 1'!AY58*'Data Training 1'!AY64*'Data Training 1'!AY69*'Data Training 1'!AY75*'Data Training 1'!AY80*'Data Training 1'!AY86*'Data Training 1'!AY91*'Data Training 1'!AY100*'Data Training 1'!AY105*'Data Training 1'!AY110*'Data Training 1'!AY117*'Data Training 1'!AY124*'Data Training 1'!AY130*'Data Training 1'!AY136*'Data Training 1'!AY142*'Data Training 1'!AY145*'Data Training 1'!AY152*'Data Training 1'!AY158*'Data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50" spans="40:79" x14ac:dyDescent="0.3">
      <c r="AO150" s="78" t="s">
        <v>437</v>
      </c>
      <c r="AP150" s="78"/>
      <c r="AQ150" s="6" t="s">
        <v>294</v>
      </c>
      <c r="AR150" s="74" t="s">
        <v>438</v>
      </c>
      <c r="AS150" s="74"/>
      <c r="AT150" s="74"/>
    </row>
    <row r="152" spans="40:79" x14ac:dyDescent="0.3">
      <c r="AN152">
        <v>16</v>
      </c>
      <c r="AO152" s="77" t="s">
        <v>515</v>
      </c>
      <c r="AP152" s="77"/>
      <c r="AQ152" s="20" t="s">
        <v>64</v>
      </c>
      <c r="AR152" s="1" t="s">
        <v>43</v>
      </c>
      <c r="AS152" s="1" t="s">
        <v>44</v>
      </c>
      <c r="AT152" s="1" t="s">
        <v>45</v>
      </c>
      <c r="AU152" s="1" t="s">
        <v>46</v>
      </c>
      <c r="AV152" s="1" t="s">
        <v>47</v>
      </c>
      <c r="AW152" s="1" t="s">
        <v>48</v>
      </c>
      <c r="AX152" s="1" t="s">
        <v>49</v>
      </c>
      <c r="AY152" s="1" t="s">
        <v>50</v>
      </c>
      <c r="AZ152" s="1" t="s">
        <v>51</v>
      </c>
      <c r="BA152" s="1" t="s">
        <v>52</v>
      </c>
      <c r="BB152" s="1" t="s">
        <v>53</v>
      </c>
      <c r="BC152" s="1" t="s">
        <v>54</v>
      </c>
      <c r="BD152" s="1" t="s">
        <v>55</v>
      </c>
      <c r="BE152" s="1" t="s">
        <v>56</v>
      </c>
      <c r="BF152" s="1" t="s">
        <v>57</v>
      </c>
      <c r="BG152" s="1" t="s">
        <v>58</v>
      </c>
      <c r="BH152" s="1" t="s">
        <v>59</v>
      </c>
      <c r="BI152" s="1" t="s">
        <v>60</v>
      </c>
      <c r="BJ152" s="1" t="s">
        <v>61</v>
      </c>
      <c r="BK152" s="1" t="s">
        <v>62</v>
      </c>
      <c r="BL152" s="1" t="s">
        <v>63</v>
      </c>
      <c r="BM152" s="1" t="s">
        <v>330</v>
      </c>
      <c r="BN152" s="1" t="s">
        <v>331</v>
      </c>
      <c r="BO152" s="1" t="s">
        <v>332</v>
      </c>
      <c r="BP152" s="1" t="s">
        <v>333</v>
      </c>
      <c r="BQ152" s="1" t="s">
        <v>334</v>
      </c>
      <c r="BR152" s="1" t="s">
        <v>335</v>
      </c>
      <c r="BS152" s="1" t="s">
        <v>336</v>
      </c>
      <c r="BT152" s="1" t="s">
        <v>337</v>
      </c>
      <c r="BU152" s="1" t="s">
        <v>338</v>
      </c>
      <c r="BV152" s="1" t="s">
        <v>339</v>
      </c>
      <c r="BW152" s="1" t="s">
        <v>340</v>
      </c>
      <c r="BX152" s="1" t="s">
        <v>341</v>
      </c>
      <c r="BY152" s="1" t="s">
        <v>342</v>
      </c>
      <c r="BZ152" s="1" t="s">
        <v>343</v>
      </c>
      <c r="CA152" s="1" t="s">
        <v>390</v>
      </c>
    </row>
    <row r="153" spans="40:79" x14ac:dyDescent="0.3">
      <c r="AO153" s="77"/>
      <c r="AP153" s="77"/>
      <c r="AQ153" s="20">
        <v>3</v>
      </c>
      <c r="AR153" t="s">
        <v>2</v>
      </c>
      <c r="AS153" t="s">
        <v>5</v>
      </c>
      <c r="AT153" t="s">
        <v>3</v>
      </c>
      <c r="AU153" t="s">
        <v>3</v>
      </c>
      <c r="AV153" t="s">
        <v>5</v>
      </c>
      <c r="AW153" t="s">
        <v>5</v>
      </c>
      <c r="AX153" t="s">
        <v>2</v>
      </c>
      <c r="AY153" t="s">
        <v>2</v>
      </c>
      <c r="AZ153" t="s">
        <v>3</v>
      </c>
      <c r="BA153" t="s">
        <v>4</v>
      </c>
      <c r="BB153" t="s">
        <v>4</v>
      </c>
      <c r="BC153" t="s">
        <v>5</v>
      </c>
      <c r="BD153" t="s">
        <v>3</v>
      </c>
      <c r="BE153" t="s">
        <v>3</v>
      </c>
      <c r="BF153" t="s">
        <v>2</v>
      </c>
      <c r="BG153" t="s">
        <v>5</v>
      </c>
      <c r="BH153" t="s">
        <v>3</v>
      </c>
      <c r="BI153" t="s">
        <v>2</v>
      </c>
      <c r="BJ153" t="s">
        <v>5</v>
      </c>
      <c r="BK153" t="s">
        <v>4</v>
      </c>
      <c r="BL153" t="s">
        <v>3</v>
      </c>
      <c r="BM153" t="s">
        <v>2</v>
      </c>
      <c r="BN153" t="s">
        <v>3</v>
      </c>
      <c r="BO153" t="s">
        <v>4</v>
      </c>
      <c r="BP153" t="s">
        <v>4</v>
      </c>
      <c r="BQ153" t="s">
        <v>4</v>
      </c>
      <c r="BR153" t="s">
        <v>4</v>
      </c>
      <c r="BS153" t="s">
        <v>4</v>
      </c>
      <c r="BT153" t="s">
        <v>4</v>
      </c>
      <c r="BU153" t="s">
        <v>3</v>
      </c>
      <c r="BV153" t="s">
        <v>4</v>
      </c>
      <c r="BW153" t="s">
        <v>3</v>
      </c>
      <c r="BX153" t="s">
        <v>4</v>
      </c>
      <c r="BY153" t="s">
        <v>4</v>
      </c>
      <c r="BZ153" t="s">
        <v>4</v>
      </c>
      <c r="CA153" t="s">
        <v>3</v>
      </c>
    </row>
    <row r="154" spans="40:79" x14ac:dyDescent="0.3">
      <c r="AO154" t="s">
        <v>504</v>
      </c>
      <c r="AQ154">
        <f>'Data Training 1'!AW22*'Data Training 1'!AT33*'Data Training 1'!AT40*'Data Training 1'!AT44*'Data Training 1'!AT50*'Data Training 1'!AT58*'Data Training 1'!AT64*'Data Training 1'!AT69*'Data Training 1'!AT75*'Data Training 1'!AT80*'Data Training 1'!AT85*'Data Training 1'!AT91*'Data Training 1'!AT100*'Data Training 1'!AT104*'Data Training 1'!AT110*'Data Training 1'!AT117*'Data Training 1'!AT124*'Data Training 1'!AT128*'Data Training 1'!AT135*'Data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155" spans="40:79" x14ac:dyDescent="0.3">
      <c r="AO155" t="s">
        <v>505</v>
      </c>
      <c r="AQ155">
        <f>'Data Training 1'!AW23*'Data Training 1'!AU33*'Data Training 1'!AU40*'Data Training 1'!AU44*'Data Training 1'!AU50*'Data Training 1'!AU58*'Data Training 1'!AU64*'Data Training 1'!AU69*'Data Training 1'!AU75*'Data Training 1'!AU80*'Data Training 1'!AU85*'Data Training 1'!AU91*'Data Training 1'!AU100*'Data Training 1'!AU104*'Data Training 1'!AU110*'Data Training 1'!AU117*'Data Training 1'!AU124*'Data Training 1'!AU128*'Data Training 1'!AU135*'Data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156" spans="40:79" x14ac:dyDescent="0.3">
      <c r="AO156" s="67" t="s">
        <v>506</v>
      </c>
      <c r="AP156" s="67"/>
      <c r="AQ156">
        <f>'Data Training 1'!AW24*'Data Training 1'!AV33*'Data Training 1'!AV40*'Data Training 1'!AV44*'Data Training 1'!AV50*'Data Training 1'!AV58*'Data Training 1'!AV64*'Data Training 1'!AV69*'Data Training 1'!AV75*'Data Training 1'!AV80*'Data Training 1'!AV85*'Data Training 1'!AV91*'Data Training 1'!AV100*'Data Training 1'!AV104*'Data Training 1'!AV110*'Data Training 1'!AV117*'Data Training 1'!AV124*'Data Training 1'!AV128*'Data Training 1'!AV135*'Data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2.1898000192009295E-11</v>
      </c>
    </row>
    <row r="157" spans="40:79" x14ac:dyDescent="0.3">
      <c r="AO157" s="67" t="s">
        <v>507</v>
      </c>
      <c r="AP157" s="67"/>
      <c r="AQ157">
        <f>'Data Training 1'!AW25*'Data Training 1'!AW33*'Data Training 1'!AW40*'Data Training 1'!AW44*'Data Training 1'!AW50*'Data Training 1'!AW58*'Data Training 1'!AW64*'Data Training 1'!AW69*'Data Training 1'!AW75*'Data Training 1'!AW80*'Data Training 1'!AW85*'Data Training 1'!AW91*'Data Training 1'!AW100*'Data Training 1'!AW104*'Data Training 1'!AW110*'Data Training 1'!AW117*'Data Training 1'!AW124*'Data Training 1'!AW128*'Data Training 1'!AW135*'Data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158" spans="40:79" x14ac:dyDescent="0.3">
      <c r="AO158" s="67" t="s">
        <v>508</v>
      </c>
      <c r="AP158" s="67"/>
      <c r="AQ158">
        <f>'Data Training 1'!AW26*'Data Training 1'!AX33*'Data Training 1'!AX40*'Data Training 1'!AX44*'Data Training 1'!AX50*'Data Training 1'!AX58*'Data Training 1'!AX64*'Data Training 1'!AX69*'Data Training 1'!AX75*'Data Training 1'!AX80*'Data Training 1'!AX85*'Data Training 1'!AX91*'Data Training 1'!AX100*'Data Training 1'!AX104*'Data Training 1'!AX110*'Data Training 1'!AX117*'Data Training 1'!AX124*'Data Training 1'!AX128*'Data Training 1'!AX135*'Data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159" spans="40:79" x14ac:dyDescent="0.3">
      <c r="AO159" s="67" t="s">
        <v>509</v>
      </c>
      <c r="AP159" s="67"/>
      <c r="AQ159">
        <f>'Data Training 1'!AW27*'Data Training 1'!AY33*'Data Training 1'!AY40*'Data Training 1'!AY44*'Data Training 1'!AY50*'Data Training 1'!AY58*'Data Training 1'!AY64*'Data Training 1'!AY69*'Data Training 1'!AY75*'Data Training 1'!AY80*'Data Training 1'!AY85*'Data Training 1'!AY91*'Data Training 1'!AY100*'Data Training 1'!AY104*'Data Training 1'!AY110*'Data Training 1'!AY117*'Data Training 1'!AY124*'Data Training 1'!AY128*'Data Training 1'!AY135*'Data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60" spans="40:79" x14ac:dyDescent="0.3">
      <c r="AO160" s="76" t="s">
        <v>437</v>
      </c>
      <c r="AP160" s="76"/>
      <c r="AQ160" t="s">
        <v>294</v>
      </c>
      <c r="AR160" s="74" t="s">
        <v>438</v>
      </c>
      <c r="AS160" s="74"/>
      <c r="AT160" s="74"/>
    </row>
    <row r="162" spans="40:79" x14ac:dyDescent="0.3">
      <c r="AN162">
        <v>17</v>
      </c>
      <c r="AO162" s="77" t="s">
        <v>468</v>
      </c>
      <c r="AP162" s="77"/>
      <c r="AQ162" s="20" t="s">
        <v>64</v>
      </c>
      <c r="AR162" s="1" t="s">
        <v>43</v>
      </c>
      <c r="AS162" s="1" t="s">
        <v>44</v>
      </c>
      <c r="AT162" s="1" t="s">
        <v>45</v>
      </c>
      <c r="AU162" s="1" t="s">
        <v>46</v>
      </c>
      <c r="AV162" s="1" t="s">
        <v>47</v>
      </c>
      <c r="AW162" s="1" t="s">
        <v>48</v>
      </c>
      <c r="AX162" s="1" t="s">
        <v>49</v>
      </c>
      <c r="AY162" s="1" t="s">
        <v>50</v>
      </c>
      <c r="AZ162" s="1" t="s">
        <v>51</v>
      </c>
      <c r="BA162" s="1" t="s">
        <v>52</v>
      </c>
      <c r="BB162" s="1" t="s">
        <v>53</v>
      </c>
      <c r="BC162" s="1" t="s">
        <v>54</v>
      </c>
      <c r="BD162" s="1" t="s">
        <v>55</v>
      </c>
      <c r="BE162" s="1" t="s">
        <v>56</v>
      </c>
      <c r="BF162" s="1" t="s">
        <v>57</v>
      </c>
      <c r="BG162" s="1" t="s">
        <v>58</v>
      </c>
      <c r="BH162" s="1" t="s">
        <v>59</v>
      </c>
      <c r="BI162" s="1" t="s">
        <v>60</v>
      </c>
      <c r="BJ162" s="1" t="s">
        <v>61</v>
      </c>
      <c r="BK162" s="1" t="s">
        <v>62</v>
      </c>
      <c r="BL162" s="1" t="s">
        <v>63</v>
      </c>
      <c r="BM162" s="1" t="s">
        <v>330</v>
      </c>
      <c r="BN162" s="1" t="s">
        <v>331</v>
      </c>
      <c r="BO162" s="1" t="s">
        <v>332</v>
      </c>
      <c r="BP162" s="1" t="s">
        <v>333</v>
      </c>
      <c r="BQ162" s="1" t="s">
        <v>334</v>
      </c>
      <c r="BR162" s="1" t="s">
        <v>335</v>
      </c>
      <c r="BS162" s="1" t="s">
        <v>336</v>
      </c>
      <c r="BT162" s="1" t="s">
        <v>337</v>
      </c>
      <c r="BU162" s="1" t="s">
        <v>338</v>
      </c>
      <c r="BV162" s="1" t="s">
        <v>339</v>
      </c>
      <c r="BW162" s="1" t="s">
        <v>340</v>
      </c>
      <c r="BX162" s="1" t="s">
        <v>341</v>
      </c>
      <c r="BY162" s="1" t="s">
        <v>342</v>
      </c>
      <c r="BZ162" s="1" t="s">
        <v>343</v>
      </c>
      <c r="CA162" s="1" t="s">
        <v>390</v>
      </c>
    </row>
    <row r="163" spans="40:79" x14ac:dyDescent="0.3">
      <c r="AO163" s="77"/>
      <c r="AP163" s="77"/>
      <c r="AQ163" s="20">
        <v>3</v>
      </c>
      <c r="AR163" t="s">
        <v>4</v>
      </c>
      <c r="AS163" t="s">
        <v>3</v>
      </c>
      <c r="AT163" t="s">
        <v>5</v>
      </c>
      <c r="AU163" t="s">
        <v>5</v>
      </c>
      <c r="AV163" t="s">
        <v>5</v>
      </c>
      <c r="AW163" t="s">
        <v>5</v>
      </c>
      <c r="AX163" t="s">
        <v>5</v>
      </c>
      <c r="AY163" t="s">
        <v>2</v>
      </c>
      <c r="AZ163" t="s">
        <v>3</v>
      </c>
      <c r="BA163" t="s">
        <v>3</v>
      </c>
      <c r="BB163" t="s">
        <v>2</v>
      </c>
      <c r="BC163" t="s">
        <v>2</v>
      </c>
      <c r="BD163" t="s">
        <v>5</v>
      </c>
      <c r="BE163" t="s">
        <v>3</v>
      </c>
      <c r="BF163" t="s">
        <v>2</v>
      </c>
      <c r="BG163" t="s">
        <v>2</v>
      </c>
      <c r="BH163" t="s">
        <v>5</v>
      </c>
      <c r="BI163" t="s">
        <v>5</v>
      </c>
      <c r="BJ163" t="s">
        <v>5</v>
      </c>
      <c r="BK163" t="s">
        <v>3</v>
      </c>
      <c r="BL163" t="s">
        <v>5</v>
      </c>
      <c r="BM163" t="s">
        <v>5</v>
      </c>
      <c r="BN163" t="s">
        <v>4</v>
      </c>
      <c r="BO163" t="s">
        <v>4</v>
      </c>
      <c r="BP163" t="s">
        <v>4</v>
      </c>
      <c r="BQ163" t="s">
        <v>4</v>
      </c>
      <c r="BR163" t="s">
        <v>4</v>
      </c>
      <c r="BS163" t="s">
        <v>4</v>
      </c>
      <c r="BT163" t="s">
        <v>4</v>
      </c>
      <c r="BU163" t="s">
        <v>3</v>
      </c>
      <c r="BV163" t="s">
        <v>4</v>
      </c>
      <c r="BW163" t="s">
        <v>3</v>
      </c>
      <c r="BX163" t="s">
        <v>4</v>
      </c>
      <c r="BY163" t="s">
        <v>4</v>
      </c>
      <c r="BZ163" t="s">
        <v>3</v>
      </c>
      <c r="CA163" t="s">
        <v>3</v>
      </c>
    </row>
    <row r="164" spans="40:79" x14ac:dyDescent="0.3">
      <c r="AO164" s="67" t="s">
        <v>504</v>
      </c>
      <c r="AP164" s="67"/>
      <c r="AQ164">
        <f>'Data Training 1'!AW22*'Data Training 1'!AT31*'Data Training 1'!AT38*'Data Training 1'!AT46*'Data Training 1'!AT52*'Data Training 1'!AT58*'Data Training 1'!AT64*'Data Training 1'!AT70*'Data Training 1'!AT75*'Data Training 1'!AT80*'Data Training 1'!AT86*'Data Training 1'!AT93*'Data Training 1'!AT99*'Data Training 1'!AT106*'Data Training 1'!AT110*'Data Training 1'!AT117*'Data Training 1'!AT123*'Data Training 1'!AT130*'Data Training 1'!AT136*'Data Training 1'!AT142*'Data Training 1'!AT146*'Data Training 1'!AT154*'Data Training 1'!AT160*'Data Training 1'!AT163*'Data Training 1'!AT167*'Data Training 1'!AT171*'Data Training 1'!AT175*'Data Training 1'!AT179*'Data Training 1'!AT183*'Data Training 1'!AT187*'Data Training 1'!AT192*'Data Training 1'!AT195*'Data Training 1'!AT200*'Data Training 1'!AT203*'Data Training 1'!AT207*'Data Training 1'!AT212*'Data Training 1'!AT216</f>
        <v>0</v>
      </c>
    </row>
    <row r="165" spans="40:79" x14ac:dyDescent="0.3">
      <c r="AO165" s="67" t="s">
        <v>505</v>
      </c>
      <c r="AP165" s="67"/>
      <c r="AQ165">
        <f>'Data Training 1'!AW23*'Data Training 1'!AU31*'Data Training 1'!AU38*'Data Training 1'!AU46*'Data Training 1'!AU52*'Data Training 1'!AU58*'Data Training 1'!AU64*'Data Training 1'!AU70*'Data Training 1'!AU75*'Data Training 1'!AU80*'Data Training 1'!AU86*'Data Training 1'!AU93*'Data Training 1'!AU99*'Data Training 1'!AU106*'Data Training 1'!AU110*'Data Training 1'!AU117*'Data Training 1'!AU123*'Data Training 1'!AU130*'Data Training 1'!AU136*'Data Training 1'!AU142*'Data Training 1'!AU146*'Data Training 1'!AU154*'Data Training 1'!AU160*'Data Training 1'!AU163*'Data Training 1'!AU167*'Data Training 1'!AU171*'Data Training 1'!AU175*'Data Training 1'!AU179*'Data Training 1'!AU183*'Data Training 1'!AU187*'Data Training 1'!AU192*'Data Training 1'!AU195*'Data Training 1'!AU200*'Data Training 1'!AU203*'Data Training 1'!AU207*'Data Training 1'!AU212*'Data Training 1'!AU216</f>
        <v>0</v>
      </c>
    </row>
    <row r="166" spans="40:79" x14ac:dyDescent="0.3">
      <c r="AO166" s="67" t="s">
        <v>506</v>
      </c>
      <c r="AP166" s="67"/>
      <c r="AQ166">
        <f>'Data Training 1'!AW24*'Data Training 1'!AV31*'Data Training 1'!AV38*'Data Training 1'!AV46*'Data Training 1'!AV52*'Data Training 1'!AV58*'Data Training 1'!AV64*'Data Training 1'!AV70*'Data Training 1'!AV75*'Data Training 1'!AV80*'Data Training 1'!AV86*'Data Training 1'!AV93*'Data Training 1'!AV99*'Data Training 1'!AV106*'Data Training 1'!AV110*'Data Training 1'!AV117*'Data Training 1'!AV123*'Data Training 1'!AV130*'Data Training 1'!AV136*'Data Training 1'!AV142*'Data Training 1'!AV146*'Data Training 1'!AV154*'Data Training 1'!AV160*'Data Training 1'!AV163*'Data Training 1'!AV167*'Data Training 1'!AV171*'Data Training 1'!AV175*'Data Training 1'!AV179*'Data Training 1'!AV183*'Data Training 1'!AV187*'Data Training 1'!AV192*'Data Training 1'!AV195*'Data Training 1'!AV200*'Data Training 1'!AV203*'Data Training 1'!AV207*'Data Training 1'!AV212*'Data Training 1'!AV216</f>
        <v>2.1170918154383975E-13</v>
      </c>
    </row>
    <row r="167" spans="40:79" x14ac:dyDescent="0.3">
      <c r="AO167" s="67" t="s">
        <v>507</v>
      </c>
      <c r="AP167" s="67"/>
      <c r="AQ167">
        <f>'Data Training 1'!AW25*'Data Training 1'!AW31*'Data Training 1'!AW38*'Data Training 1'!AW46*'Data Training 1'!AW52*'Data Training 1'!AW58*'Data Training 1'!AW64*'Data Training 1'!AW70*'Data Training 1'!AW75*'Data Training 1'!AW80*'Data Training 1'!AW86*'Data Training 1'!AW93*'Data Training 1'!AW99*'Data Training 1'!AW106*'Data Training 1'!AW110*'Data Training 1'!AW117*'Data Training 1'!AW123*'Data Training 1'!AW130*'Data Training 1'!AW136*'Data Training 1'!AW142*'Data Training 1'!AW146*'Data Training 1'!AW154*'Data Training 1'!AW160*'Data Training 1'!AW163*'Data Training 1'!AW167*'Data Training 1'!AW171*'Data Training 1'!AW175*'Data Training 1'!AW179*'Data Training 1'!AW183*'Data Training 1'!AW187*'Data Training 1'!AW192*'Data Training 1'!AW195*'Data Training 1'!AW200*'Data Training 1'!AW203*'Data Training 1'!AW207*'Data Training 1'!AW212*'Data Training 1'!AW216</f>
        <v>0</v>
      </c>
    </row>
    <row r="168" spans="40:79" x14ac:dyDescent="0.3">
      <c r="AO168" s="67" t="s">
        <v>508</v>
      </c>
      <c r="AP168" s="67"/>
      <c r="AQ168">
        <f>'Data Training 1'!AW26*'Data Training 1'!AX31*'Data Training 1'!AX38*'Data Training 1'!AX46*'Data Training 1'!AX52*'Data Training 1'!AX58*'Data Training 1'!AX64*'Data Training 1'!AX70*'Data Training 1'!AX75*'Data Training 1'!AX80*'Data Training 1'!AX86*'Data Training 1'!AX93*'Data Training 1'!AX99*'Data Training 1'!AX106*'Data Training 1'!AX110*'Data Training 1'!AX117*'Data Training 1'!AX123*'Data Training 1'!AX130*'Data Training 1'!AX136*'Data Training 1'!AX142*'Data Training 1'!AX146*'Data Training 1'!AX154*'Data Training 1'!AX160*'Data Training 1'!AX163*'Data Training 1'!AX167*'Data Training 1'!AX171*'Data Training 1'!AX175*'Data Training 1'!AX179*'Data Training 1'!AX183*'Data Training 1'!AX187*'Data Training 1'!AX192*'Data Training 1'!AX195*'Data Training 1'!AX200*'Data Training 1'!AX203*'Data Training 1'!AX207*'Data Training 1'!AX212*'Data Training 1'!AX216</f>
        <v>0</v>
      </c>
    </row>
    <row r="169" spans="40:79" x14ac:dyDescent="0.3">
      <c r="AO169" s="67" t="s">
        <v>509</v>
      </c>
      <c r="AP169" s="67"/>
      <c r="AQ169">
        <f>'Data Training 1'!AW27*'Data Training 1'!AY31*'Data Training 1'!AY38*'Data Training 1'!AY46*'Data Training 1'!AY52*'Data Training 1'!AY58*'Data Training 1'!AY64*'Data Training 1'!AY70*'Data Training 1'!AY75*'Data Training 1'!AY80*'Data Training 1'!AY86*'Data Training 1'!AY93*'Data Training 1'!AY99*'Data Training 1'!AY106*'Data Training 1'!AY110*'Data Training 1'!AY117*'Data Training 1'!AY123*'Data Training 1'!AY130*'Data Training 1'!AY136*'Data Training 1'!AY142*'Data Training 1'!AY146*'Data Training 1'!AY154*'Data Training 1'!AY160*'Data Training 1'!AY163*'Data Training 1'!AY167*'Data Training 1'!AY171*'Data Training 1'!AY175*'Data Training 1'!AY179*'Data Training 1'!AY183*'Data Training 1'!AY187*'Data Training 1'!AY192*'Data Training 1'!AY195*'Data Training 1'!AY200*'Data Training 1'!AY203*'Data Training 1'!AY207*'Data Training 1'!AY212*'Data Training 1'!AY216</f>
        <v>0</v>
      </c>
    </row>
    <row r="170" spans="40:79" x14ac:dyDescent="0.3">
      <c r="AO170" s="76" t="s">
        <v>437</v>
      </c>
      <c r="AP170" s="76"/>
      <c r="AQ170" t="s">
        <v>294</v>
      </c>
      <c r="AR170" s="74" t="s">
        <v>438</v>
      </c>
      <c r="AS170" s="74"/>
      <c r="AT170" s="74"/>
    </row>
    <row r="172" spans="40:79" x14ac:dyDescent="0.3">
      <c r="AN172">
        <v>18</v>
      </c>
      <c r="AO172" s="77" t="s">
        <v>492</v>
      </c>
      <c r="AP172" s="77"/>
      <c r="AQ172" s="20" t="s">
        <v>64</v>
      </c>
      <c r="AR172" s="1" t="s">
        <v>43</v>
      </c>
      <c r="AS172" s="1" t="s">
        <v>44</v>
      </c>
      <c r="AT172" s="1" t="s">
        <v>45</v>
      </c>
      <c r="AU172" s="1" t="s">
        <v>46</v>
      </c>
      <c r="AV172" s="1" t="s">
        <v>47</v>
      </c>
      <c r="AW172" s="1" t="s">
        <v>48</v>
      </c>
      <c r="AX172" s="1" t="s">
        <v>49</v>
      </c>
      <c r="AY172" s="1" t="s">
        <v>50</v>
      </c>
      <c r="AZ172" s="1" t="s">
        <v>51</v>
      </c>
      <c r="BA172" s="1" t="s">
        <v>52</v>
      </c>
      <c r="BB172" s="1" t="s">
        <v>53</v>
      </c>
      <c r="BC172" s="1" t="s">
        <v>54</v>
      </c>
      <c r="BD172" s="1" t="s">
        <v>55</v>
      </c>
      <c r="BE172" s="1" t="s">
        <v>56</v>
      </c>
      <c r="BF172" s="1" t="s">
        <v>57</v>
      </c>
      <c r="BG172" s="1" t="s">
        <v>58</v>
      </c>
      <c r="BH172" s="1" t="s">
        <v>59</v>
      </c>
      <c r="BI172" s="1" t="s">
        <v>60</v>
      </c>
      <c r="BJ172" s="1" t="s">
        <v>61</v>
      </c>
      <c r="BK172" s="1" t="s">
        <v>62</v>
      </c>
      <c r="BL172" s="1" t="s">
        <v>63</v>
      </c>
      <c r="BM172" s="1" t="s">
        <v>330</v>
      </c>
      <c r="BN172" s="1" t="s">
        <v>331</v>
      </c>
      <c r="BO172" s="1" t="s">
        <v>332</v>
      </c>
      <c r="BP172" s="1" t="s">
        <v>333</v>
      </c>
      <c r="BQ172" s="1" t="s">
        <v>334</v>
      </c>
      <c r="BR172" s="1" t="s">
        <v>335</v>
      </c>
      <c r="BS172" s="1" t="s">
        <v>336</v>
      </c>
      <c r="BT172" s="1" t="s">
        <v>337</v>
      </c>
      <c r="BU172" s="1" t="s">
        <v>338</v>
      </c>
      <c r="BV172" s="1" t="s">
        <v>339</v>
      </c>
      <c r="BW172" s="1" t="s">
        <v>340</v>
      </c>
      <c r="BX172" s="1" t="s">
        <v>341</v>
      </c>
      <c r="BY172" s="1" t="s">
        <v>342</v>
      </c>
      <c r="BZ172" s="1" t="s">
        <v>343</v>
      </c>
      <c r="CA172" s="1" t="s">
        <v>390</v>
      </c>
    </row>
    <row r="173" spans="40:79" x14ac:dyDescent="0.3">
      <c r="AO173" s="77"/>
      <c r="AP173" s="77"/>
      <c r="AQ173" s="20">
        <v>3</v>
      </c>
      <c r="AR173" t="s">
        <v>5</v>
      </c>
      <c r="AS173" t="s">
        <v>4</v>
      </c>
      <c r="AT173" t="s">
        <v>4</v>
      </c>
      <c r="AU173" t="s">
        <v>5</v>
      </c>
      <c r="AV173" t="s">
        <v>5</v>
      </c>
      <c r="AW173" t="s">
        <v>5</v>
      </c>
      <c r="AX173" t="s">
        <v>5</v>
      </c>
      <c r="AY173" t="s">
        <v>2</v>
      </c>
      <c r="AZ173" t="s">
        <v>2</v>
      </c>
      <c r="BA173" t="s">
        <v>3</v>
      </c>
      <c r="BB173" t="s">
        <v>4</v>
      </c>
      <c r="BC173" t="s">
        <v>2</v>
      </c>
      <c r="BD173" t="s">
        <v>2</v>
      </c>
      <c r="BE173" t="s">
        <v>2</v>
      </c>
      <c r="BF173" t="s">
        <v>5</v>
      </c>
      <c r="BG173" t="s">
        <v>5</v>
      </c>
      <c r="BH173" t="s">
        <v>3</v>
      </c>
      <c r="BI173" t="s">
        <v>3</v>
      </c>
      <c r="BJ173" t="s">
        <v>2</v>
      </c>
      <c r="BK173" t="s">
        <v>4</v>
      </c>
      <c r="BL173" t="s">
        <v>5</v>
      </c>
      <c r="BM173" t="s">
        <v>3</v>
      </c>
      <c r="BN173" t="s">
        <v>3</v>
      </c>
      <c r="BO173" t="s">
        <v>3</v>
      </c>
      <c r="BP173" t="s">
        <v>3</v>
      </c>
      <c r="BQ173" t="s">
        <v>4</v>
      </c>
      <c r="BR173" t="s">
        <v>4</v>
      </c>
      <c r="BS173" t="s">
        <v>4</v>
      </c>
      <c r="BT173" t="s">
        <v>4</v>
      </c>
      <c r="BU173" t="s">
        <v>3</v>
      </c>
      <c r="BV173" t="s">
        <v>4</v>
      </c>
      <c r="BW173" t="s">
        <v>4</v>
      </c>
      <c r="BX173" t="s">
        <v>4</v>
      </c>
      <c r="BY173" t="s">
        <v>4</v>
      </c>
      <c r="BZ173" t="s">
        <v>4</v>
      </c>
      <c r="CA173" t="s">
        <v>3</v>
      </c>
    </row>
    <row r="174" spans="40:79" x14ac:dyDescent="0.3">
      <c r="AO174" s="67" t="s">
        <v>504</v>
      </c>
      <c r="AP174" s="67"/>
      <c r="AQ174">
        <f>PRODUCT('Data Training 1'!AW22,'Data Training 1'!AT34,'Data Training 1'!AT37,'Data Training 1'!AT43,'Data Training 1'!AT52,'Data Training 1'!AT58,'Data Training 1'!AT64,'Data Training 1'!AT70,'Data Training 1'!AT75,'Data Training 1'!AT81,'Data Training 1'!AT86,'Data Training 1'!AT91,'Data Training 1'!AT99,'Data Training 1'!AT105,'Data Training 1'!AT111,'Data Training 1'!AT118,'Data Training 1'!AT124,'Data Training 1'!AT128,'Data Training 1'!AT134,'Data Training 1'!AT141,'Data Training 1'!AT145,'Data Training 1'!AT154,'Data Training 1'!AT158,'Data Training 1'!AT164,'Data Training 1'!AT168,'Data Training 1'!AT172,'Data Training 1'!AT175,'Data Training 1'!AT179,'Data Training 1'!AT183,'Data Training 1'!AT187,'Data Training 1'!AT192,'Data Training 1'!AT195,'Data Training 1'!AT199,'Data Training 1'!AT203,'Data Training 1'!AT207,'Data Training 1'!AT211,'Data Training 1'!AT216)</f>
        <v>0</v>
      </c>
    </row>
    <row r="175" spans="40:79" x14ac:dyDescent="0.3">
      <c r="AO175" s="67" t="s">
        <v>505</v>
      </c>
      <c r="AP175" s="67"/>
      <c r="AQ175">
        <f>PRODUCT('Data Training 1'!AW23,'Data Training 1'!AU34,'Data Training 1'!AU37,'Data Training 1'!AU43,'Data Training 1'!AU52,'Data Training 1'!AU58,'Data Training 1'!AU64,'Data Training 1'!AU70,'Data Training 1'!AU75,'Data Training 1'!AU81,'Data Training 1'!AU86,'Data Training 1'!AU91,'Data Training 1'!AU99,'Data Training 1'!AU105,'Data Training 1'!AU111,'Data Training 1'!AU118,'Data Training 1'!AU124,'Data Training 1'!AU128,'Data Training 1'!AU134,'Data Training 1'!AU141,'Data Training 1'!AU145,'Data Training 1'!AU154,'Data Training 1'!AU158,'Data Training 1'!AU164,'Data Training 1'!AU168,'Data Training 1'!AU172,'Data Training 1'!AU175,'Data Training 1'!AU179,'Data Training 1'!AU183,'Data Training 1'!AU187,'Data Training 1'!AU192,'Data Training 1'!AU195,'Data Training 1'!AU199,'Data Training 1'!AU203,'Data Training 1'!AU207,'Data Training 1'!AU211,'Data Training 1'!AU216)</f>
        <v>0</v>
      </c>
    </row>
    <row r="176" spans="40:79" x14ac:dyDescent="0.3">
      <c r="AO176" s="67" t="s">
        <v>506</v>
      </c>
      <c r="AP176" s="67"/>
      <c r="AQ176">
        <f>PRODUCT('Data Training 1'!AW24,'Data Training 1'!AV34,'Data Training 1'!AV37,'Data Training 1'!AV43,'Data Training 1'!AV52,'Data Training 1'!AV58,'Data Training 1'!AV64,'Data Training 1'!AV70,'Data Training 1'!AV75,'Data Training 1'!AV81,'Data Training 1'!AV86,'Data Training 1'!AV91,'Data Training 1'!AV99,'Data Training 1'!AV105,'Data Training 1'!AV111,'Data Training 1'!AV118,'Data Training 1'!AV124,'Data Training 1'!AV128,'Data Training 1'!AV134,'Data Training 1'!AV141,'Data Training 1'!AV145,'Data Training 1'!AV154,'Data Training 1'!AV158,'Data Training 1'!AV164,'Data Training 1'!AV168,'Data Training 1'!AV172,'Data Training 1'!AV175,'Data Training 1'!AV179,'Data Training 1'!AV183,'Data Training 1'!AV187,'Data Training 1'!AV192,'Data Training 1'!AV195,'Data Training 1'!AV199,'Data Training 1'!AV203,'Data Training 1'!AV207,'Data Training 1'!AV211,'Data Training 1'!AV216)</f>
        <v>7.3319197071459694E-15</v>
      </c>
    </row>
    <row r="177" spans="40:79" x14ac:dyDescent="0.3">
      <c r="AO177" s="67" t="s">
        <v>507</v>
      </c>
      <c r="AP177" s="67"/>
      <c r="AQ177">
        <f>PRODUCT('Data Training 1'!AW25,'Data Training 1'!AW34,'Data Training 1'!AW37,'Data Training 1'!AW43,'Data Training 1'!AW52,'Data Training 1'!AW58,'Data Training 1'!AW64,'Data Training 1'!AW70,'Data Training 1'!AW75,'Data Training 1'!AW81,'Data Training 1'!AW86,'Data Training 1'!AW91,'Data Training 1'!AW99,'Data Training 1'!AW105,'Data Training 1'!AW111,'Data Training 1'!AW118,'Data Training 1'!AW124,'Data Training 1'!AW128,'Data Training 1'!AW134,'Data Training 1'!AW141,'Data Training 1'!AW145,'Data Training 1'!AW154,'Data Training 1'!AW158,'Data Training 1'!AW164,'Data Training 1'!AW168,'Data Training 1'!AW172,'Data Training 1'!AW175,'Data Training 1'!AW179,'Data Training 1'!AW183,'Data Training 1'!AW187,'Data Training 1'!AW192,'Data Training 1'!AW195,'Data Training 1'!AW199,'Data Training 1'!AW203,'Data Training 1'!AW207,'Data Training 1'!AW211,'Data Training 1'!AW216)</f>
        <v>0</v>
      </c>
    </row>
    <row r="178" spans="40:79" x14ac:dyDescent="0.3">
      <c r="AO178" s="67" t="s">
        <v>508</v>
      </c>
      <c r="AP178" s="67"/>
      <c r="AQ178">
        <f>PRODUCT('Data Training 1'!AW26,'Data Training 1'!AX34,'Data Training 1'!AX37,'Data Training 1'!AX43,'Data Training 1'!AX52,'Data Training 1'!AX58,'Data Training 1'!AX64,'Data Training 1'!AX70,'Data Training 1'!AX75,'Data Training 1'!AX81,'Data Training 1'!AX86,'Data Training 1'!AX91,'Data Training 1'!AX99,'Data Training 1'!AX105,'Data Training 1'!AX111,'Data Training 1'!AX118,'Data Training 1'!AX124,'Data Training 1'!AX128,'Data Training 1'!AX134,'Data Training 1'!AX141,'Data Training 1'!AX145,'Data Training 1'!AX154,'Data Training 1'!AX158,'Data Training 1'!AX164,'Data Training 1'!AX168,'Data Training 1'!AX172,'Data Training 1'!AX175,'Data Training 1'!AX179,'Data Training 1'!AX183,'Data Training 1'!AX187,'Data Training 1'!AX192,'Data Training 1'!AX195,'Data Training 1'!AX199,'Data Training 1'!AX203,'Data Training 1'!AX207,'Data Training 1'!AX211,'Data Training 1'!AX216)</f>
        <v>0</v>
      </c>
    </row>
    <row r="179" spans="40:79" x14ac:dyDescent="0.3">
      <c r="AO179" s="67" t="s">
        <v>509</v>
      </c>
      <c r="AP179" s="67"/>
      <c r="AQ179">
        <f>PRODUCT('Data Training 1'!AW27,'Data Training 1'!AY34,'Data Training 1'!AY37,'Data Training 1'!AY43,'Data Training 1'!AY52,'Data Training 1'!AY58,'Data Training 1'!AY64,'Data Training 1'!AY70,'Data Training 1'!AY75,'Data Training 1'!AY81,'Data Training 1'!AY86,'Data Training 1'!AY91,'Data Training 1'!AY99,'Data Training 1'!AY105,'Data Training 1'!AY111,'Data Training 1'!AY118,'Data Training 1'!AY124,'Data Training 1'!AY128,'Data Training 1'!AY134,'Data Training 1'!AY141,'Data Training 1'!AY145,'Data Training 1'!AY154,'Data Training 1'!AY158,'Data Training 1'!AY164,'Data Training 1'!AY168,'Data Training 1'!AY172,'Data Training 1'!AY175,'Data Training 1'!AY179,'Data Training 1'!AY183,'Data Training 1'!AY187,'Data Training 1'!AY192,'Data Training 1'!AY195,'Data Training 1'!AY199,'Data Training 1'!AY203,'Data Training 1'!AY207,'Data Training 1'!AY211,'Data Training 1'!AY216)</f>
        <v>0</v>
      </c>
    </row>
    <row r="180" spans="40:79" x14ac:dyDescent="0.3">
      <c r="AO180" s="76" t="s">
        <v>437</v>
      </c>
      <c r="AP180" s="76"/>
      <c r="AQ180" t="s">
        <v>294</v>
      </c>
      <c r="AR180" s="74" t="s">
        <v>438</v>
      </c>
      <c r="AS180" s="74"/>
      <c r="AT180" s="74"/>
    </row>
    <row r="182" spans="40:79" x14ac:dyDescent="0.3">
      <c r="AN182">
        <v>19</v>
      </c>
      <c r="AO182" s="77" t="s">
        <v>321</v>
      </c>
      <c r="AP182" s="77"/>
      <c r="AQ182" s="20" t="s">
        <v>64</v>
      </c>
      <c r="AR182" s="1" t="s">
        <v>43</v>
      </c>
      <c r="AS182" s="1" t="s">
        <v>44</v>
      </c>
      <c r="AT182" s="1" t="s">
        <v>45</v>
      </c>
      <c r="AU182" s="1" t="s">
        <v>46</v>
      </c>
      <c r="AV182" s="1" t="s">
        <v>47</v>
      </c>
      <c r="AW182" s="1" t="s">
        <v>48</v>
      </c>
      <c r="AX182" s="1" t="s">
        <v>49</v>
      </c>
      <c r="AY182" s="1" t="s">
        <v>50</v>
      </c>
      <c r="AZ182" s="1" t="s">
        <v>51</v>
      </c>
      <c r="BA182" s="1" t="s">
        <v>52</v>
      </c>
      <c r="BB182" s="1" t="s">
        <v>53</v>
      </c>
      <c r="BC182" s="1" t="s">
        <v>54</v>
      </c>
      <c r="BD182" s="1" t="s">
        <v>55</v>
      </c>
      <c r="BE182" s="1" t="s">
        <v>56</v>
      </c>
      <c r="BF182" s="1" t="s">
        <v>57</v>
      </c>
      <c r="BG182" s="1" t="s">
        <v>58</v>
      </c>
      <c r="BH182" s="1" t="s">
        <v>59</v>
      </c>
      <c r="BI182" s="1" t="s">
        <v>60</v>
      </c>
      <c r="BJ182" s="1" t="s">
        <v>61</v>
      </c>
      <c r="BK182" s="1" t="s">
        <v>62</v>
      </c>
      <c r="BL182" s="1" t="s">
        <v>63</v>
      </c>
      <c r="BM182" s="1" t="s">
        <v>330</v>
      </c>
      <c r="BN182" s="1" t="s">
        <v>331</v>
      </c>
      <c r="BO182" s="1" t="s">
        <v>332</v>
      </c>
      <c r="BP182" s="1" t="s">
        <v>333</v>
      </c>
      <c r="BQ182" s="1" t="s">
        <v>334</v>
      </c>
      <c r="BR182" s="1" t="s">
        <v>335</v>
      </c>
      <c r="BS182" s="1" t="s">
        <v>336</v>
      </c>
      <c r="BT182" s="1" t="s">
        <v>337</v>
      </c>
      <c r="BU182" s="1" t="s">
        <v>338</v>
      </c>
      <c r="BV182" s="1" t="s">
        <v>339</v>
      </c>
      <c r="BW182" s="1" t="s">
        <v>340</v>
      </c>
      <c r="BX182" s="1" t="s">
        <v>341</v>
      </c>
      <c r="BY182" s="1" t="s">
        <v>342</v>
      </c>
      <c r="BZ182" s="1" t="s">
        <v>343</v>
      </c>
      <c r="CA182" s="1" t="s">
        <v>390</v>
      </c>
    </row>
    <row r="183" spans="40:79" x14ac:dyDescent="0.3">
      <c r="AO183" s="77"/>
      <c r="AP183" s="77"/>
      <c r="AQ183" s="20">
        <v>4</v>
      </c>
      <c r="AR183" t="s">
        <v>3</v>
      </c>
      <c r="AS183" t="s">
        <v>3</v>
      </c>
      <c r="AT183" t="s">
        <v>3</v>
      </c>
      <c r="AU183" t="s">
        <v>5</v>
      </c>
      <c r="AV183" t="s">
        <v>5</v>
      </c>
      <c r="AW183" t="s">
        <v>5</v>
      </c>
      <c r="AX183" t="s">
        <v>5</v>
      </c>
      <c r="AY183" t="s">
        <v>2</v>
      </c>
      <c r="AZ183" t="s">
        <v>2</v>
      </c>
      <c r="BA183" t="s">
        <v>3</v>
      </c>
      <c r="BB183" t="s">
        <v>3</v>
      </c>
      <c r="BC183" t="s">
        <v>5</v>
      </c>
      <c r="BD183" t="s">
        <v>5</v>
      </c>
      <c r="BE183" t="s">
        <v>3</v>
      </c>
      <c r="BF183" t="s">
        <v>2</v>
      </c>
      <c r="BG183" t="s">
        <v>5</v>
      </c>
      <c r="BH183" t="s">
        <v>5</v>
      </c>
      <c r="BI183" t="s">
        <v>5</v>
      </c>
      <c r="BJ183" t="s">
        <v>4</v>
      </c>
      <c r="BK183" t="s">
        <v>4</v>
      </c>
      <c r="BL183" t="s">
        <v>4</v>
      </c>
      <c r="BM183" t="s">
        <v>2</v>
      </c>
      <c r="BN183" t="s">
        <v>3</v>
      </c>
      <c r="BO183" t="s">
        <v>4</v>
      </c>
      <c r="BP183" t="s">
        <v>4</v>
      </c>
      <c r="BQ183" t="s">
        <v>4</v>
      </c>
      <c r="BR183" t="s">
        <v>4</v>
      </c>
      <c r="BS183" t="s">
        <v>4</v>
      </c>
      <c r="BT183" t="s">
        <v>3</v>
      </c>
      <c r="BU183" t="s">
        <v>3</v>
      </c>
      <c r="BV183" t="s">
        <v>4</v>
      </c>
      <c r="BW183" t="s">
        <v>3</v>
      </c>
      <c r="BX183" t="s">
        <v>3</v>
      </c>
      <c r="BY183" t="s">
        <v>4</v>
      </c>
      <c r="BZ183" t="s">
        <v>4</v>
      </c>
      <c r="CA183" t="s">
        <v>3</v>
      </c>
    </row>
    <row r="184" spans="40:79" x14ac:dyDescent="0.3">
      <c r="AO184" s="67" t="s">
        <v>504</v>
      </c>
      <c r="AP184" s="67"/>
      <c r="AQ184">
        <f>'Data Training 1'!AW22*'Data Training 1'!AT32*'Data Training 1'!AT38*'Data Training 1'!AT44*'Data Training 1'!AT52*'Data Training 1'!AT58*'Data Training 1'!AT64*'Data Training 1'!AT70*'Data Training 1'!AT75*'Data Training 1'!AT81*'Data Training 1'!AT86*'Data Training 1'!AT92*'Data Training 1'!AT100*'Data Training 1'!AT106*'Data Training 1'!AT110*'Data Training 1'!AT117*'Data Training 1'!AT124*'Data Training 1'!AT130*'Data Training 1'!AT136*'Data Training 1'!AT139*'Data Training 1'!AT145*'Data Training 1'!AT151*'Data Training 1'!AT159*'Data Training 1'!AT164*'Data Training 1'!AT167*'Data Training 1'!AT171*'Data Training 1'!AT175*'Data Training 1'!AT179*'Data Training 1'!AT183*'Data Training 1'!AT188*'Data Training 1'!AT192*'Data Training 1'!AT195*'Data Training 1'!AT200*'Data Training 1'!AT204*'Data Training 1'!AT207*'Data Training 1'!AT211*'Data Training 1'!AT216</f>
        <v>4.5491229092064758E-10</v>
      </c>
    </row>
    <row r="185" spans="40:79" x14ac:dyDescent="0.3">
      <c r="AO185" s="67" t="s">
        <v>505</v>
      </c>
      <c r="AP185" s="67"/>
      <c r="AQ185">
        <f>'Data Training 1'!AW22*'Data Training 1'!AU32*'Data Training 1'!AU38*'Data Training 1'!AU44*'Data Training 1'!AU52*'Data Training 1'!AU58*'Data Training 1'!AU64*'Data Training 1'!AU70*'Data Training 1'!AU75*'Data Training 1'!AU81*'Data Training 1'!AU86*'Data Training 1'!AU92*'Data Training 1'!AU100*'Data Training 1'!AU106*'Data Training 1'!AU110*'Data Training 1'!AU117*'Data Training 1'!AU124*'Data Training 1'!AU130*'Data Training 1'!AU136*'Data Training 1'!AU139*'Data Training 1'!AU145*'Data Training 1'!AU151*'Data Training 1'!AU159*'Data Training 1'!AU164*'Data Training 1'!AU167*'Data Training 1'!AU171*'Data Training 1'!AU175*'Data Training 1'!AU179*'Data Training 1'!AU183*'Data Training 1'!AU188*'Data Training 1'!AU192*'Data Training 1'!AU195*'Data Training 1'!AU200*'Data Training 1'!AU204*'Data Training 1'!AU207*'Data Training 1'!AU211*'Data Training 1'!AU216</f>
        <v>0</v>
      </c>
    </row>
    <row r="186" spans="40:79" x14ac:dyDescent="0.3">
      <c r="AO186" s="67" t="s">
        <v>506</v>
      </c>
      <c r="AP186" s="67"/>
      <c r="AQ186">
        <f>'Data Training 1'!AW22*'Data Training 1'!AV32*'Data Training 1'!AV38*'Data Training 1'!AV44*'Data Training 1'!AV52*'Data Training 1'!AV58*'Data Training 1'!AV64*'Data Training 1'!AV70*'Data Training 1'!AV75*'Data Training 1'!AV81*'Data Training 1'!AV86*'Data Training 1'!AV92*'Data Training 1'!AV100*'Data Training 1'!AV106*'Data Training 1'!AV110*'Data Training 1'!AV117*'Data Training 1'!AV124*'Data Training 1'!AV130*'Data Training 1'!AV136*'Data Training 1'!AV139*'Data Training 1'!AV145*'Data Training 1'!AV151*'Data Training 1'!AV159*'Data Training 1'!AV164*'Data Training 1'!AV167*'Data Training 1'!AV171*'Data Training 1'!AV175*'Data Training 1'!AV179*'Data Training 1'!AV183*'Data Training 1'!AV188*'Data Training 1'!AV192*'Data Training 1'!AV195*'Data Training 1'!AV200*'Data Training 1'!AV204*'Data Training 1'!AV207*'Data Training 1'!AV211*'Data Training 1'!AV216</f>
        <v>0</v>
      </c>
    </row>
    <row r="187" spans="40:79" x14ac:dyDescent="0.3">
      <c r="AO187" s="67" t="s">
        <v>507</v>
      </c>
      <c r="AP187" s="67"/>
      <c r="AQ187">
        <f>'Data Training 1'!AW22*'Data Training 1'!AW32*'Data Training 1'!AW38*'Data Training 1'!AW44*'Data Training 1'!AW52*'Data Training 1'!AW58*'Data Training 1'!AW64*'Data Training 1'!AW70*'Data Training 1'!AW75*'Data Training 1'!AW81*'Data Training 1'!AW86*'Data Training 1'!AW92*'Data Training 1'!AW100*'Data Training 1'!AW106*'Data Training 1'!AW110*'Data Training 1'!AW117*'Data Training 1'!AW124*'Data Training 1'!AW130*'Data Training 1'!AW136*'Data Training 1'!AW139*'Data Training 1'!AW145*'Data Training 1'!AW151*'Data Training 1'!AW159*'Data Training 1'!AW164*'Data Training 1'!AW167*'Data Training 1'!AW171*'Data Training 1'!AW175*'Data Training 1'!AW179*'Data Training 1'!AW183*'Data Training 1'!AW188*'Data Training 1'!AW192*'Data Training 1'!AW195*'Data Training 1'!AW200*'Data Training 1'!AW204*'Data Training 1'!AW207*'Data Training 1'!AW211*'Data Training 1'!AW216</f>
        <v>6.0839707758247844E-8</v>
      </c>
    </row>
    <row r="188" spans="40:79" x14ac:dyDescent="0.3">
      <c r="AO188" s="67" t="s">
        <v>508</v>
      </c>
      <c r="AP188" s="67"/>
      <c r="AQ188">
        <f>'Data Training 1'!AX22*'Data Training 1'!AX32*'Data Training 1'!AX38*'Data Training 1'!AX44*'Data Training 1'!AX52*'Data Training 1'!AX58*'Data Training 1'!AX64*'Data Training 1'!AX70*'Data Training 1'!AX75*'Data Training 1'!AX81*'Data Training 1'!AX86*'Data Training 1'!AX92*'Data Training 1'!AX100*'Data Training 1'!AX106*'Data Training 1'!AX110*'Data Training 1'!AX117*'Data Training 1'!AX124*'Data Training 1'!AX130*'Data Training 1'!AX136*'Data Training 1'!AX139*'Data Training 1'!AX145*'Data Training 1'!AX151*'Data Training 1'!AX159*'Data Training 1'!AX164*'Data Training 1'!AX167*'Data Training 1'!AX171*'Data Training 1'!AX175*'Data Training 1'!AX179*'Data Training 1'!AX183*'Data Training 1'!AX188*'Data Training 1'!AX192*'Data Training 1'!AX195*'Data Training 1'!AX200*'Data Training 1'!AX204*'Data Training 1'!AX207*'Data Training 1'!AX211*'Data Training 1'!AX216</f>
        <v>0</v>
      </c>
    </row>
    <row r="189" spans="40:79" x14ac:dyDescent="0.3">
      <c r="AO189" s="67" t="s">
        <v>509</v>
      </c>
      <c r="AP189" s="67"/>
      <c r="AQ189">
        <f>'Data Training 1'!AY22*'Data Training 1'!AY32*'Data Training 1'!AY38*'Data Training 1'!AY44*'Data Training 1'!AY52*'Data Training 1'!AY58*'Data Training 1'!AY64*'Data Training 1'!AY70*'Data Training 1'!AY75*'Data Training 1'!AY81*'Data Training 1'!AY86*'Data Training 1'!AY92*'Data Training 1'!AY100*'Data Training 1'!AY106*'Data Training 1'!AY110*'Data Training 1'!AY117*'Data Training 1'!AY124*'Data Training 1'!AY130*'Data Training 1'!AY136*'Data Training 1'!AY139*'Data Training 1'!AY145*'Data Training 1'!AY151*'Data Training 1'!AY159*'Data Training 1'!AY164*'Data Training 1'!AY167*'Data Training 1'!AY171*'Data Training 1'!AY175*'Data Training 1'!AY179*'Data Training 1'!AY183*'Data Training 1'!AY188*'Data Training 1'!AY192*'Data Training 1'!AY195*'Data Training 1'!AY200*'Data Training 1'!AY204*'Data Training 1'!AY207*'Data Training 1'!AY211*'Data Training 1'!AY216</f>
        <v>0</v>
      </c>
    </row>
    <row r="190" spans="40:79" x14ac:dyDescent="0.3">
      <c r="AO190" s="76" t="s">
        <v>437</v>
      </c>
      <c r="AP190" s="76"/>
      <c r="AQ190" t="s">
        <v>296</v>
      </c>
      <c r="AR190" s="74" t="s">
        <v>438</v>
      </c>
      <c r="AS190" s="74"/>
      <c r="AT190" s="74"/>
    </row>
    <row r="192" spans="40:79" x14ac:dyDescent="0.3">
      <c r="AN192">
        <v>20</v>
      </c>
      <c r="AO192" s="77" t="s">
        <v>322</v>
      </c>
      <c r="AP192" s="77"/>
      <c r="AQ192" s="20" t="s">
        <v>64</v>
      </c>
      <c r="AR192" s="1" t="s">
        <v>43</v>
      </c>
      <c r="AS192" s="1" t="s">
        <v>44</v>
      </c>
      <c r="AT192" s="1" t="s">
        <v>45</v>
      </c>
      <c r="AU192" s="1" t="s">
        <v>46</v>
      </c>
      <c r="AV192" s="1" t="s">
        <v>47</v>
      </c>
      <c r="AW192" s="1" t="s">
        <v>48</v>
      </c>
      <c r="AX192" s="1" t="s">
        <v>49</v>
      </c>
      <c r="AY192" s="1" t="s">
        <v>50</v>
      </c>
      <c r="AZ192" s="1" t="s">
        <v>51</v>
      </c>
      <c r="BA192" s="1" t="s">
        <v>52</v>
      </c>
      <c r="BB192" s="1" t="s">
        <v>53</v>
      </c>
      <c r="BC192" s="1" t="s">
        <v>54</v>
      </c>
      <c r="BD192" s="1" t="s">
        <v>55</v>
      </c>
      <c r="BE192" s="1" t="s">
        <v>56</v>
      </c>
      <c r="BF192" s="1" t="s">
        <v>57</v>
      </c>
      <c r="BG192" s="1" t="s">
        <v>58</v>
      </c>
      <c r="BH192" s="1" t="s">
        <v>59</v>
      </c>
      <c r="BI192" s="1" t="s">
        <v>60</v>
      </c>
      <c r="BJ192" s="1" t="s">
        <v>61</v>
      </c>
      <c r="BK192" s="1" t="s">
        <v>62</v>
      </c>
      <c r="BL192" s="1" t="s">
        <v>63</v>
      </c>
      <c r="BM192" s="1" t="s">
        <v>330</v>
      </c>
      <c r="BN192" s="1" t="s">
        <v>331</v>
      </c>
      <c r="BO192" s="1" t="s">
        <v>332</v>
      </c>
      <c r="BP192" s="1" t="s">
        <v>333</v>
      </c>
      <c r="BQ192" s="1" t="s">
        <v>334</v>
      </c>
      <c r="BR192" s="1" t="s">
        <v>335</v>
      </c>
      <c r="BS192" s="1" t="s">
        <v>336</v>
      </c>
      <c r="BT192" s="1" t="s">
        <v>337</v>
      </c>
      <c r="BU192" s="1" t="s">
        <v>338</v>
      </c>
      <c r="BV192" s="1" t="s">
        <v>339</v>
      </c>
      <c r="BW192" s="1" t="s">
        <v>340</v>
      </c>
      <c r="BX192" s="1" t="s">
        <v>341</v>
      </c>
      <c r="BY192" s="1" t="s">
        <v>342</v>
      </c>
      <c r="BZ192" s="1" t="s">
        <v>343</v>
      </c>
      <c r="CA192" s="1" t="s">
        <v>390</v>
      </c>
    </row>
    <row r="193" spans="40:79" x14ac:dyDescent="0.3">
      <c r="AO193" s="77"/>
      <c r="AP193" s="77"/>
      <c r="AQ193" s="20">
        <v>4</v>
      </c>
      <c r="AR193" t="s">
        <v>5</v>
      </c>
      <c r="AS193" t="s">
        <v>5</v>
      </c>
      <c r="AT193" t="s">
        <v>2</v>
      </c>
      <c r="AU193" t="s">
        <v>5</v>
      </c>
      <c r="AV193" t="s">
        <v>5</v>
      </c>
      <c r="AW193" t="s">
        <v>5</v>
      </c>
      <c r="AX193" t="s">
        <v>5</v>
      </c>
      <c r="AY193" t="s">
        <v>2</v>
      </c>
      <c r="AZ193" t="s">
        <v>2</v>
      </c>
      <c r="BA193" t="s">
        <v>2</v>
      </c>
      <c r="BB193" t="s">
        <v>3</v>
      </c>
      <c r="BC193" t="s">
        <v>5</v>
      </c>
      <c r="BD193" t="s">
        <v>5</v>
      </c>
      <c r="BE193" t="s">
        <v>2</v>
      </c>
      <c r="BF193" t="s">
        <v>2</v>
      </c>
      <c r="BG193" t="s">
        <v>5</v>
      </c>
      <c r="BH193" t="s">
        <v>5</v>
      </c>
      <c r="BI193" t="s">
        <v>5</v>
      </c>
      <c r="BJ193" t="s">
        <v>5</v>
      </c>
      <c r="BK193" t="s">
        <v>3</v>
      </c>
      <c r="BL193" t="s">
        <v>3</v>
      </c>
      <c r="BM193" t="s">
        <v>2</v>
      </c>
      <c r="BN193" t="s">
        <v>3</v>
      </c>
      <c r="BO193" t="s">
        <v>4</v>
      </c>
      <c r="BP193" t="s">
        <v>4</v>
      </c>
      <c r="BQ193" t="s">
        <v>4</v>
      </c>
      <c r="BR193" t="s">
        <v>4</v>
      </c>
      <c r="BS193" t="s">
        <v>4</v>
      </c>
      <c r="BT193" t="s">
        <v>3</v>
      </c>
      <c r="BU193" t="s">
        <v>3</v>
      </c>
      <c r="BV193" t="s">
        <v>4</v>
      </c>
      <c r="BW193" t="s">
        <v>3</v>
      </c>
      <c r="BX193" t="s">
        <v>3</v>
      </c>
      <c r="BY193" t="s">
        <v>4</v>
      </c>
      <c r="BZ193" t="s">
        <v>3</v>
      </c>
      <c r="CA193" t="s">
        <v>3</v>
      </c>
    </row>
    <row r="194" spans="40:79" x14ac:dyDescent="0.3">
      <c r="AO194" s="67" t="s">
        <v>504</v>
      </c>
      <c r="AP194" s="67"/>
      <c r="AQ194">
        <f>'Data Training 1'!AW22*'Data Training 1'!AT34*'Data Training 1'!AT40*'Data Training 1'!AT45*'Data Training 1'!AT52*'Data Training 1'!AT58*'Data Training 1'!AT64*'Data Training 1'!AT70*'Data Training 1'!AT75*'Data Training 1'!AT81*'Data Training 1'!AT87*'Data Training 1'!AT92*'Data Training 1'!AT100*'Data Training 1'!AT106*'Data Training 1'!AT111*'Data Training 1'!AT117*'Data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195" spans="40:79" x14ac:dyDescent="0.3">
      <c r="AO195" s="67" t="s">
        <v>505</v>
      </c>
      <c r="AP195" s="67"/>
      <c r="AQ195">
        <f>'Data Training 1'!AW23*'Data Training 1'!AU34*'Data Training 1'!AU40*'Data Training 1'!AU45*'Data Training 1'!AU52*'Data Training 1'!AU58*'Data Training 1'!AU64*'Data Training 1'!AU70*'Data Training 1'!AU75*'Data Training 1'!AU81*'Data Training 1'!AU87*'Data Training 1'!AU92*'Data Training 1'!AU100*'Data Training 1'!AU106*'Data Training 1'!AU111*'Data Training 1'!AU117*'Data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196" spans="40:79" x14ac:dyDescent="0.3">
      <c r="AO196" s="67" t="s">
        <v>506</v>
      </c>
      <c r="AP196" s="67"/>
      <c r="AQ196">
        <f>'Data Training 1'!AW24*'Data Training 1'!AV34*'Data Training 1'!AV40*'Data Training 1'!AV45*'Data Training 1'!AV52*'Data Training 1'!AV58*'Data Training 1'!AV64*'Data Training 1'!AV70*'Data Training 1'!AV75*'Data Training 1'!AV81*'Data Training 1'!AV87*'Data Training 1'!AV92*'Data Training 1'!AV100*'Data Training 1'!AV106*'Data Training 1'!AV111*'Data Training 1'!AV117*'Data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197" spans="40:79" x14ac:dyDescent="0.3">
      <c r="AO197" s="67" t="s">
        <v>507</v>
      </c>
      <c r="AP197" s="67"/>
      <c r="AQ197">
        <f>'Data Training 1'!AW25*'Data Training 1'!AW34*'Data Training 1'!AW40*'Data Training 1'!AW45*'Data Training 1'!AW52*'Data Training 1'!AW58*'Data Training 1'!AW64*'Data Training 1'!AW70*'Data Training 1'!AW75*'Data Training 1'!AW81*'Data Training 1'!AW87*'Data Training 1'!AW92*'Data Training 1'!AW100*'Data Training 1'!AW106*'Data Training 1'!AW111*'Data Training 1'!AW117*'Data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5.9125080425896835E-8</v>
      </c>
    </row>
    <row r="198" spans="40:79" x14ac:dyDescent="0.3">
      <c r="AO198" s="67" t="s">
        <v>508</v>
      </c>
      <c r="AP198" s="67"/>
      <c r="AQ198">
        <f>'Data Training 1'!AW26*'Data Training 1'!AX34*'Data Training 1'!AX40*'Data Training 1'!AX45*'Data Training 1'!AX52*'Data Training 1'!AX58*'Data Training 1'!AX64*'Data Training 1'!AX70*'Data Training 1'!AX75*'Data Training 1'!AX81*'Data Training 1'!AX87*'Data Training 1'!AX92*'Data Training 1'!AX100*'Data Training 1'!AX106*'Data Training 1'!AX111*'Data Training 1'!AX117*'Data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3.7379334338352473E-8</v>
      </c>
    </row>
    <row r="199" spans="40:79" x14ac:dyDescent="0.3">
      <c r="AO199" s="67" t="s">
        <v>509</v>
      </c>
      <c r="AP199" s="67"/>
      <c r="AQ199">
        <f>'Data Training 1'!AW27*'Data Training 1'!AY34*'Data Training 1'!AY40*'Data Training 1'!AY45*'Data Training 1'!AY52*'Data Training 1'!AY58*'Data Training 1'!AY64*'Data Training 1'!AY70*'Data Training 1'!AY75*'Data Training 1'!AY81*'Data Training 1'!AY87*'Data Training 1'!AY92*'Data Training 1'!AY100*'Data Training 1'!AY106*'Data Training 1'!AY111*'Data Training 1'!AY117*'Data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2.4311039127593316E-10</v>
      </c>
    </row>
    <row r="200" spans="40:79" x14ac:dyDescent="0.3">
      <c r="AO200" s="76" t="s">
        <v>437</v>
      </c>
      <c r="AP200" s="76"/>
      <c r="AQ200" t="s">
        <v>296</v>
      </c>
      <c r="AR200" s="74" t="s">
        <v>438</v>
      </c>
      <c r="AS200" s="74"/>
      <c r="AT200" s="74"/>
    </row>
    <row r="202" spans="40:79" x14ac:dyDescent="0.3">
      <c r="AN202">
        <v>21</v>
      </c>
      <c r="AO202" s="77" t="s">
        <v>323</v>
      </c>
      <c r="AP202" s="77"/>
      <c r="AQ202" s="20" t="s">
        <v>64</v>
      </c>
      <c r="AR202" s="1" t="s">
        <v>43</v>
      </c>
      <c r="AS202" s="1" t="s">
        <v>44</v>
      </c>
      <c r="AT202" s="1" t="s">
        <v>45</v>
      </c>
      <c r="AU202" s="1" t="s">
        <v>46</v>
      </c>
      <c r="AV202" s="1" t="s">
        <v>47</v>
      </c>
      <c r="AW202" s="1" t="s">
        <v>48</v>
      </c>
      <c r="AX202" s="1" t="s">
        <v>49</v>
      </c>
      <c r="AY202" s="1" t="s">
        <v>50</v>
      </c>
      <c r="AZ202" s="1" t="s">
        <v>51</v>
      </c>
      <c r="BA202" s="1" t="s">
        <v>52</v>
      </c>
      <c r="BB202" s="1" t="s">
        <v>53</v>
      </c>
      <c r="BC202" s="1" t="s">
        <v>54</v>
      </c>
      <c r="BD202" s="1" t="s">
        <v>55</v>
      </c>
      <c r="BE202" s="1" t="s">
        <v>56</v>
      </c>
      <c r="BF202" s="1" t="s">
        <v>57</v>
      </c>
      <c r="BG202" s="1" t="s">
        <v>58</v>
      </c>
      <c r="BH202" s="1" t="s">
        <v>59</v>
      </c>
      <c r="BI202" s="1" t="s">
        <v>60</v>
      </c>
      <c r="BJ202" s="1" t="s">
        <v>61</v>
      </c>
      <c r="BK202" s="1" t="s">
        <v>62</v>
      </c>
      <c r="BL202" s="1" t="s">
        <v>63</v>
      </c>
      <c r="BM202" s="1" t="s">
        <v>330</v>
      </c>
      <c r="BN202" s="1" t="s">
        <v>331</v>
      </c>
      <c r="BO202" s="1" t="s">
        <v>332</v>
      </c>
      <c r="BP202" s="1" t="s">
        <v>333</v>
      </c>
      <c r="BQ202" s="1" t="s">
        <v>334</v>
      </c>
      <c r="BR202" s="1" t="s">
        <v>335</v>
      </c>
      <c r="BS202" s="1" t="s">
        <v>336</v>
      </c>
      <c r="BT202" s="1" t="s">
        <v>337</v>
      </c>
      <c r="BU202" s="1" t="s">
        <v>338</v>
      </c>
      <c r="BV202" s="1" t="s">
        <v>339</v>
      </c>
      <c r="BW202" s="1" t="s">
        <v>340</v>
      </c>
      <c r="BX202" s="1" t="s">
        <v>341</v>
      </c>
      <c r="BY202" s="1" t="s">
        <v>342</v>
      </c>
      <c r="BZ202" s="1" t="s">
        <v>343</v>
      </c>
      <c r="CA202" s="1" t="s">
        <v>390</v>
      </c>
    </row>
    <row r="203" spans="40:79" x14ac:dyDescent="0.3">
      <c r="AO203" s="77"/>
      <c r="AP203" s="77"/>
      <c r="AQ203" s="20">
        <v>4</v>
      </c>
      <c r="AR203" t="s">
        <v>5</v>
      </c>
      <c r="AS203" t="s">
        <v>3</v>
      </c>
      <c r="AT203" t="s">
        <v>2</v>
      </c>
      <c r="AU203" t="s">
        <v>5</v>
      </c>
      <c r="AV203" t="s">
        <v>5</v>
      </c>
      <c r="AW203" t="s">
        <v>5</v>
      </c>
      <c r="AX203" t="s">
        <v>2</v>
      </c>
      <c r="AY203" t="s">
        <v>2</v>
      </c>
      <c r="AZ203" t="s">
        <v>3</v>
      </c>
      <c r="BA203" t="s">
        <v>3</v>
      </c>
      <c r="BB203" t="s">
        <v>3</v>
      </c>
      <c r="BC203" t="s">
        <v>4</v>
      </c>
      <c r="BD203" t="s">
        <v>2</v>
      </c>
      <c r="BE203" t="s">
        <v>2</v>
      </c>
      <c r="BF203" t="s">
        <v>3</v>
      </c>
      <c r="BG203" t="s">
        <v>5</v>
      </c>
      <c r="BH203" t="s">
        <v>2</v>
      </c>
      <c r="BI203" t="s">
        <v>2</v>
      </c>
      <c r="BJ203" t="s">
        <v>5</v>
      </c>
      <c r="BK203" t="s">
        <v>3</v>
      </c>
      <c r="BL203" t="s">
        <v>2</v>
      </c>
      <c r="BM203" t="s">
        <v>2</v>
      </c>
      <c r="BN203" t="s">
        <v>3</v>
      </c>
      <c r="BO203" t="s">
        <v>4</v>
      </c>
      <c r="BP203" t="s">
        <v>4</v>
      </c>
      <c r="BQ203" t="s">
        <v>4</v>
      </c>
      <c r="BR203" t="s">
        <v>4</v>
      </c>
      <c r="BS203" t="s">
        <v>4</v>
      </c>
      <c r="BT203" t="s">
        <v>3</v>
      </c>
      <c r="BU203" t="s">
        <v>3</v>
      </c>
      <c r="BV203" t="s">
        <v>4</v>
      </c>
      <c r="BW203" t="s">
        <v>3</v>
      </c>
      <c r="BX203" t="s">
        <v>4</v>
      </c>
      <c r="BY203" t="s">
        <v>4</v>
      </c>
      <c r="BZ203" t="s">
        <v>4</v>
      </c>
      <c r="CA203" t="s">
        <v>3</v>
      </c>
    </row>
    <row r="204" spans="40:79" x14ac:dyDescent="0.3">
      <c r="AO204" s="67" t="s">
        <v>504</v>
      </c>
      <c r="AP204" s="67"/>
      <c r="AQ204">
        <f>'Data Training 1'!AW22*'Data Training 1'!AT34*'Data Training 1'!AT38*'Data Training 1'!AT45*'Data Training 1'!AT52*'Data Training 1'!AT58*'Data Training 1'!AT64*'Data Training 1'!AT69*'Data Training 1'!AT75*'Data Training 1'!AT80*'Data Training 1'!AT86*'Data Training 1'!AT92*'Data Training 1'!AT97*'Data Training 1'!AT105*'Data Training 1'!AT111*'Data Training 1'!AT116*'Data Training 1'!AT124*'Data Training 1'!AT129*'Data Training 1'!AT135*'Data Training 1'!AT142*'Data Training 1'!AT146*'Data Training 1'!AT153*'Data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05" spans="40:79" x14ac:dyDescent="0.3">
      <c r="AO205" s="67" t="s">
        <v>505</v>
      </c>
      <c r="AP205" s="67"/>
      <c r="AQ205">
        <f>'Data Training 1'!AW23*'Data Training 1'!AU34*'Data Training 1'!AU38*'Data Training 1'!AU45*'Data Training 1'!AU52*'Data Training 1'!AU58*'Data Training 1'!AU64*'Data Training 1'!AU69*'Data Training 1'!AU75*'Data Training 1'!AU80*'Data Training 1'!AU86*'Data Training 1'!AU92*'Data Training 1'!AU97*'Data Training 1'!AU105*'Data Training 1'!AU111*'Data Training 1'!AU116*'Data Training 1'!AU124*'Data Training 1'!AU129*'Data Training 1'!AU135*'Data Training 1'!AU142*'Data Training 1'!AU146*'Data Training 1'!AU153*'Data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06" spans="40:79" x14ac:dyDescent="0.3">
      <c r="AO206" s="67" t="s">
        <v>506</v>
      </c>
      <c r="AP206" s="67"/>
      <c r="AQ206">
        <f>'Data Training 1'!AW24*'Data Training 1'!AV34*'Data Training 1'!AV38*'Data Training 1'!AV45*'Data Training 1'!AV52*'Data Training 1'!AV58*'Data Training 1'!AV64*'Data Training 1'!AV69*'Data Training 1'!AV75*'Data Training 1'!AV80*'Data Training 1'!AV86*'Data Training 1'!AV92*'Data Training 1'!AV97*'Data Training 1'!AV105*'Data Training 1'!AV111*'Data Training 1'!AV116*'Data Training 1'!AV124*'Data Training 1'!AV129*'Data Training 1'!AV135*'Data Training 1'!AV142*'Data Training 1'!AV146*'Data Training 1'!AV153*'Data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07" spans="40:79" x14ac:dyDescent="0.3">
      <c r="AO207" s="67" t="s">
        <v>507</v>
      </c>
      <c r="AP207" s="67"/>
      <c r="AQ207">
        <f>'Data Training 1'!AW25*'Data Training 1'!AW34*'Data Training 1'!AW38*'Data Training 1'!AW45*'Data Training 1'!AW52*'Data Training 1'!AW58*'Data Training 1'!AW64*'Data Training 1'!AW69*'Data Training 1'!AW75*'Data Training 1'!AW80*'Data Training 1'!AW86*'Data Training 1'!AW92*'Data Training 1'!AW97*'Data Training 1'!AW105*'Data Training 1'!AW111*'Data Training 1'!AW116*'Data Training 1'!AW124*'Data Training 1'!AW129*'Data Training 1'!AW135*'Data Training 1'!AW142*'Data Training 1'!AW146*'Data Training 1'!AW153*'Data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1.7102295990961887E-13</v>
      </c>
    </row>
    <row r="208" spans="40:79" x14ac:dyDescent="0.3">
      <c r="AO208" s="67" t="s">
        <v>508</v>
      </c>
      <c r="AP208" s="67"/>
      <c r="AQ208">
        <f>'Data Training 1'!AW26*'Data Training 1'!AX34*'Data Training 1'!AX38*'Data Training 1'!AX45*'Data Training 1'!AX52*'Data Training 1'!AX58*'Data Training 1'!AX64*'Data Training 1'!AX69*'Data Training 1'!AX75*'Data Training 1'!AX80*'Data Training 1'!AX86*'Data Training 1'!AX92*'Data Training 1'!AX97*'Data Training 1'!AX105*'Data Training 1'!AX111*'Data Training 1'!AX116*'Data Training 1'!AX124*'Data Training 1'!AX129*'Data Training 1'!AX135*'Data Training 1'!AX142*'Data Training 1'!AX146*'Data Training 1'!AX153*'Data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0</v>
      </c>
    </row>
    <row r="209" spans="40:79" x14ac:dyDescent="0.3">
      <c r="AO209" s="67" t="s">
        <v>509</v>
      </c>
      <c r="AP209" s="67"/>
      <c r="AQ209">
        <f>'Data Training 1'!AW27*'Data Training 1'!AY34*'Data Training 1'!AY38*'Data Training 1'!AY45*'Data Training 1'!AY52*'Data Training 1'!AY58*'Data Training 1'!AY64*'Data Training 1'!AY69*'Data Training 1'!AY75*'Data Training 1'!AY80*'Data Training 1'!AY86*'Data Training 1'!AY92*'Data Training 1'!AY97*'Data Training 1'!AY105*'Data Training 1'!AY111*'Data Training 1'!AY116*'Data Training 1'!AY124*'Data Training 1'!AY129*'Data Training 1'!AY135*'Data Training 1'!AY142*'Data Training 1'!AY146*'Data Training 1'!AY153*'Data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1.0504769993404522E-13</v>
      </c>
    </row>
    <row r="210" spans="40:79" x14ac:dyDescent="0.3">
      <c r="AO210" s="76" t="s">
        <v>437</v>
      </c>
      <c r="AP210" s="76"/>
      <c r="AQ210" t="s">
        <v>296</v>
      </c>
      <c r="AR210" s="74" t="s">
        <v>438</v>
      </c>
      <c r="AS210" s="74"/>
      <c r="AT210" s="74"/>
    </row>
    <row r="212" spans="40:79" x14ac:dyDescent="0.3">
      <c r="AN212">
        <v>22</v>
      </c>
      <c r="AO212" s="77" t="s">
        <v>471</v>
      </c>
      <c r="AP212" s="77"/>
      <c r="AQ212" s="20" t="s">
        <v>64</v>
      </c>
      <c r="AR212" s="1" t="s">
        <v>43</v>
      </c>
      <c r="AS212" s="1" t="s">
        <v>44</v>
      </c>
      <c r="AT212" s="1" t="s">
        <v>45</v>
      </c>
      <c r="AU212" s="1" t="s">
        <v>46</v>
      </c>
      <c r="AV212" s="1" t="s">
        <v>47</v>
      </c>
      <c r="AW212" s="1" t="s">
        <v>48</v>
      </c>
      <c r="AX212" s="1" t="s">
        <v>49</v>
      </c>
      <c r="AY212" s="1" t="s">
        <v>50</v>
      </c>
      <c r="AZ212" s="1" t="s">
        <v>51</v>
      </c>
      <c r="BA212" s="1" t="s">
        <v>52</v>
      </c>
      <c r="BB212" s="1" t="s">
        <v>53</v>
      </c>
      <c r="BC212" s="1" t="s">
        <v>54</v>
      </c>
      <c r="BD212" s="1" t="s">
        <v>55</v>
      </c>
      <c r="BE212" s="1" t="s">
        <v>56</v>
      </c>
      <c r="BF212" s="1" t="s">
        <v>57</v>
      </c>
      <c r="BG212" s="1" t="s">
        <v>58</v>
      </c>
      <c r="BH212" s="1" t="s">
        <v>59</v>
      </c>
      <c r="BI212" s="1" t="s">
        <v>60</v>
      </c>
      <c r="BJ212" s="1" t="s">
        <v>61</v>
      </c>
      <c r="BK212" s="1" t="s">
        <v>62</v>
      </c>
      <c r="BL212" s="1" t="s">
        <v>63</v>
      </c>
      <c r="BM212" s="1" t="s">
        <v>330</v>
      </c>
      <c r="BN212" s="1" t="s">
        <v>331</v>
      </c>
      <c r="BO212" s="1" t="s">
        <v>332</v>
      </c>
      <c r="BP212" s="1" t="s">
        <v>333</v>
      </c>
      <c r="BQ212" s="1" t="s">
        <v>334</v>
      </c>
      <c r="BR212" s="1" t="s">
        <v>335</v>
      </c>
      <c r="BS212" s="1" t="s">
        <v>336</v>
      </c>
      <c r="BT212" s="1" t="s">
        <v>337</v>
      </c>
      <c r="BU212" s="1" t="s">
        <v>338</v>
      </c>
      <c r="BV212" s="1" t="s">
        <v>339</v>
      </c>
      <c r="BW212" s="1" t="s">
        <v>340</v>
      </c>
      <c r="BX212" s="1" t="s">
        <v>341</v>
      </c>
      <c r="BY212" s="1" t="s">
        <v>342</v>
      </c>
      <c r="BZ212" s="1" t="s">
        <v>343</v>
      </c>
      <c r="CA212" s="1" t="s">
        <v>390</v>
      </c>
    </row>
    <row r="213" spans="40:79" x14ac:dyDescent="0.3">
      <c r="AO213" s="77"/>
      <c r="AP213" s="77"/>
      <c r="AQ213" s="20">
        <v>4</v>
      </c>
      <c r="AR213" t="s">
        <v>5</v>
      </c>
      <c r="AS213" t="s">
        <v>5</v>
      </c>
      <c r="AT213" t="s">
        <v>2</v>
      </c>
      <c r="AU213" t="s">
        <v>5</v>
      </c>
      <c r="AV213" t="s">
        <v>5</v>
      </c>
      <c r="AW213" t="s">
        <v>5</v>
      </c>
      <c r="AX213" t="s">
        <v>5</v>
      </c>
      <c r="AY213" t="s">
        <v>2</v>
      </c>
      <c r="AZ213" t="s">
        <v>3</v>
      </c>
      <c r="BA213" t="s">
        <v>4</v>
      </c>
      <c r="BB213" t="s">
        <v>4</v>
      </c>
      <c r="BC213" t="s">
        <v>3</v>
      </c>
      <c r="BD213" t="s">
        <v>2</v>
      </c>
      <c r="BE213" t="s">
        <v>2</v>
      </c>
      <c r="BF213" t="s">
        <v>3</v>
      </c>
      <c r="BG213" t="s">
        <v>5</v>
      </c>
      <c r="BH213" t="s">
        <v>3</v>
      </c>
      <c r="BI213" t="s">
        <v>2</v>
      </c>
      <c r="BJ213" t="s">
        <v>5</v>
      </c>
      <c r="BK213" t="s">
        <v>3</v>
      </c>
      <c r="BL213" t="s">
        <v>4</v>
      </c>
      <c r="BM213" t="s">
        <v>4</v>
      </c>
      <c r="BN213" t="s">
        <v>3</v>
      </c>
      <c r="BO213" t="s">
        <v>4</v>
      </c>
      <c r="BP213" t="s">
        <v>4</v>
      </c>
      <c r="BQ213" t="s">
        <v>4</v>
      </c>
      <c r="BR213" t="s">
        <v>4</v>
      </c>
      <c r="BS213" t="s">
        <v>4</v>
      </c>
      <c r="BT213" t="s">
        <v>4</v>
      </c>
      <c r="BU213" t="s">
        <v>3</v>
      </c>
      <c r="BV213" t="s">
        <v>3</v>
      </c>
      <c r="BW213" t="s">
        <v>3</v>
      </c>
      <c r="BX213" t="s">
        <v>4</v>
      </c>
      <c r="BY213" t="s">
        <v>4</v>
      </c>
      <c r="BZ213" t="s">
        <v>3</v>
      </c>
      <c r="CA213" t="s">
        <v>3</v>
      </c>
    </row>
    <row r="214" spans="40:79" x14ac:dyDescent="0.3">
      <c r="AO214" s="67" t="s">
        <v>504</v>
      </c>
      <c r="AP214" s="67"/>
      <c r="AQ214">
        <f>PRODUCT('Data Training 1'!AW22,'Data Training 1'!AT34,'Data Training 1'!AT40,'Data Training 1'!AT45,'Data Training 1'!AT52,'Data Training 1'!AT58,'Data Training 1'!AT64,'Data Training 1'!AT70,'Data Training 1'!AT75,'Data Training 1'!AT80,'Data Training 1'!AT85,'Data Training 1'!AT91,'Data Training 1'!AT98,'Data Training 1'!AT105,'Data Training 1'!AT111,'Data Training 1'!AT116,'Data Training 1'!AT124,'Data Training 1'!AT128,'Data Training 1'!AT135,'Data Training 1'!AT142,'Data Training 1'!AT146,'Data Training 1'!AT151,'Data Training 1'!AT157,'Data Training 1'!AT164,'Data Training 1'!AT167,'Data Training 1'!AT171,'Data Training 1'!AT175,'Data Training 1'!AT179,'Data Training 1'!AT183,'Data Training 1'!AT187,'Data Training 1'!AT192,'Data Training 1'!AT196,'Data Training 1'!AT200,'Data Training 1'!AT203,'Data Training 1'!AT207,'Data Training 1'!AT212,'Data Training 1'!AT216)</f>
        <v>0</v>
      </c>
    </row>
    <row r="215" spans="40:79" x14ac:dyDescent="0.3">
      <c r="AO215" s="67" t="s">
        <v>505</v>
      </c>
      <c r="AP215" s="67"/>
      <c r="AQ215">
        <f>PRODUCT('Data Training 1'!AW23,'Data Training 1'!AU34,'Data Training 1'!AU40,'Data Training 1'!AU45,'Data Training 1'!AU52,'Data Training 1'!AU58,'Data Training 1'!AU64,'Data Training 1'!AU70,'Data Training 1'!AU75,'Data Training 1'!AU80,'Data Training 1'!AU85,'Data Training 1'!AU91,'Data Training 1'!AU98,'Data Training 1'!AU105,'Data Training 1'!AU111,'Data Training 1'!AU116,'Data Training 1'!AU124,'Data Training 1'!AU128,'Data Training 1'!AU135,'Data Training 1'!AU142,'Data Training 1'!AU146,'Data Training 1'!AU151,'Data Training 1'!AU157,'Data Training 1'!AU164,'Data Training 1'!AU167,'Data Training 1'!AU171,'Data Training 1'!AU175,'Data Training 1'!AU179,'Data Training 1'!AU183,'Data Training 1'!AU187,'Data Training 1'!AU192,'Data Training 1'!AU196,'Data Training 1'!AU200,'Data Training 1'!AU203,'Data Training 1'!AU207,'Data Training 1'!AU212,'Data Training 1'!AU216)</f>
        <v>0</v>
      </c>
    </row>
    <row r="216" spans="40:79" x14ac:dyDescent="0.3">
      <c r="AO216" s="67" t="s">
        <v>506</v>
      </c>
      <c r="AP216" s="67"/>
      <c r="AQ216">
        <f>PRODUCT('Data Training 1'!AW24,'Data Training 1'!AV34,'Data Training 1'!AV40,'Data Training 1'!AV45,'Data Training 1'!AV52,'Data Training 1'!AV58,'Data Training 1'!AV64,'Data Training 1'!AV70,'Data Training 1'!AV75,'Data Training 1'!AV80,'Data Training 1'!AV85,'Data Training 1'!AV91,'Data Training 1'!AV98,'Data Training 1'!AV105,'Data Training 1'!AV111,'Data Training 1'!AV116,'Data Training 1'!AV124,'Data Training 1'!AV128,'Data Training 1'!AV135,'Data Training 1'!AV142,'Data Training 1'!AV146,'Data Training 1'!AV151,'Data Training 1'!AV157,'Data Training 1'!AV164,'Data Training 1'!AV167,'Data Training 1'!AV171,'Data Training 1'!AV175,'Data Training 1'!AV179,'Data Training 1'!AV183,'Data Training 1'!AV187,'Data Training 1'!AV192,'Data Training 1'!AV196,'Data Training 1'!AV200,'Data Training 1'!AV203,'Data Training 1'!AV207,'Data Training 1'!AV212,'Data Training 1'!AV216)</f>
        <v>0</v>
      </c>
    </row>
    <row r="217" spans="40:79" x14ac:dyDescent="0.3">
      <c r="AO217" s="67" t="s">
        <v>507</v>
      </c>
      <c r="AP217" s="67"/>
      <c r="AQ217">
        <f>PRODUCT('Data Training 1'!AW25,'Data Training 1'!AW34,'Data Training 1'!AW40,'Data Training 1'!AW45,'Data Training 1'!AW52,'Data Training 1'!AW58,'Data Training 1'!AW64,'Data Training 1'!AW70,'Data Training 1'!AW75,'Data Training 1'!AW80,'Data Training 1'!AW85,'Data Training 1'!AW91,'Data Training 1'!AW98,'Data Training 1'!AW105,'Data Training 1'!AW111,'Data Training 1'!AW116,'Data Training 1'!AW124,'Data Training 1'!AW128,'Data Training 1'!AW135,'Data Training 1'!AW142,'Data Training 1'!AW146,'Data Training 1'!AW151,'Data Training 1'!AW157,'Data Training 1'!AW164,'Data Training 1'!AW167,'Data Training 1'!AW171,'Data Training 1'!AW175,'Data Training 1'!AW179,'Data Training 1'!AW183,'Data Training 1'!AW187,'Data Training 1'!AW192,'Data Training 1'!AW196,'Data Training 1'!AW200,'Data Training 1'!AW203,'Data Training 1'!AW207,'Data Training 1'!AW212,'Data Training 1'!AW216)</f>
        <v>0</v>
      </c>
    </row>
    <row r="218" spans="40:79" x14ac:dyDescent="0.3">
      <c r="AO218" s="67" t="s">
        <v>508</v>
      </c>
      <c r="AP218" s="67"/>
      <c r="AQ218">
        <f>PRODUCT('Data Training 1'!AW26,'Data Training 1'!AX34,'Data Training 1'!AX40,'Data Training 1'!AX45,'Data Training 1'!AX52,'Data Training 1'!AX58,'Data Training 1'!AX64,'Data Training 1'!AX70,'Data Training 1'!AX75,'Data Training 1'!AX80,'Data Training 1'!AX85,'Data Training 1'!AX91,'Data Training 1'!AX98,'Data Training 1'!AX105,'Data Training 1'!AX111,'Data Training 1'!AX116,'Data Training 1'!AX124,'Data Training 1'!AX128,'Data Training 1'!AX135,'Data Training 1'!AX142,'Data Training 1'!AX146,'Data Training 1'!AX151,'Data Training 1'!AX157,'Data Training 1'!AX164,'Data Training 1'!AX167,'Data Training 1'!AX171,'Data Training 1'!AX175,'Data Training 1'!AX179,'Data Training 1'!AX183,'Data Training 1'!AX187,'Data Training 1'!AX192,'Data Training 1'!AX196,'Data Training 1'!AX200,'Data Training 1'!AX203,'Data Training 1'!AX207,'Data Training 1'!AX212,'Data Training 1'!AX216)</f>
        <v>0</v>
      </c>
    </row>
    <row r="219" spans="40:79" x14ac:dyDescent="0.3">
      <c r="AO219" s="67" t="s">
        <v>509</v>
      </c>
      <c r="AP219" s="67"/>
      <c r="AQ219">
        <f>PRODUCT('Data Training 1'!AW27,'Data Training 1'!AY34,'Data Training 1'!AY40,'Data Training 1'!AY45,'Data Training 1'!AY52,'Data Training 1'!AY58,'Data Training 1'!AY64,'Data Training 1'!AY70,'Data Training 1'!AY75,'Data Training 1'!AY80,'Data Training 1'!AY85,'Data Training 1'!AY91,'Data Training 1'!AY98,'Data Training 1'!AY105,'Data Training 1'!AY111,'Data Training 1'!AY116,'Data Training 1'!AY124,'Data Training 1'!AY128,'Data Training 1'!AY135,'Data Training 1'!AY142,'Data Training 1'!AY146,'Data Training 1'!AY151,'Data Training 1'!AY157,'Data Training 1'!AY164,'Data Training 1'!AY167,'Data Training 1'!AY171,'Data Training 1'!AY175,'Data Training 1'!AY179,'Data Training 1'!AY183,'Data Training 1'!AY187,'Data Training 1'!AY192,'Data Training 1'!AY196,'Data Training 1'!AY200,'Data Training 1'!AY203,'Data Training 1'!AY207,'Data Training 1'!AY212,'Data Training 1'!AY216)</f>
        <v>4.5273082799857859E-13</v>
      </c>
    </row>
    <row r="220" spans="40:79" x14ac:dyDescent="0.3">
      <c r="AO220" s="76" t="s">
        <v>437</v>
      </c>
      <c r="AP220" s="76"/>
      <c r="AQ220" t="s">
        <v>298</v>
      </c>
      <c r="AR220" s="84" t="s">
        <v>514</v>
      </c>
      <c r="AS220" s="84"/>
      <c r="AT220" s="84"/>
    </row>
    <row r="222" spans="40:79" x14ac:dyDescent="0.3">
      <c r="AN222">
        <v>23</v>
      </c>
      <c r="AO222" s="77" t="s">
        <v>516</v>
      </c>
      <c r="AP222" s="77"/>
      <c r="AQ222" s="20" t="s">
        <v>64</v>
      </c>
      <c r="AR222" s="1" t="s">
        <v>43</v>
      </c>
      <c r="AS222" s="1" t="s">
        <v>44</v>
      </c>
      <c r="AT222" s="1" t="s">
        <v>45</v>
      </c>
      <c r="AU222" s="1" t="s">
        <v>46</v>
      </c>
      <c r="AV222" s="1" t="s">
        <v>47</v>
      </c>
      <c r="AW222" s="1" t="s">
        <v>48</v>
      </c>
      <c r="AX222" s="1" t="s">
        <v>49</v>
      </c>
      <c r="AY222" s="1" t="s">
        <v>50</v>
      </c>
      <c r="AZ222" s="1" t="s">
        <v>51</v>
      </c>
      <c r="BA222" s="1" t="s">
        <v>52</v>
      </c>
      <c r="BB222" s="1" t="s">
        <v>53</v>
      </c>
      <c r="BC222" s="1" t="s">
        <v>54</v>
      </c>
      <c r="BD222" s="1" t="s">
        <v>55</v>
      </c>
      <c r="BE222" s="1" t="s">
        <v>56</v>
      </c>
      <c r="BF222" s="1" t="s">
        <v>57</v>
      </c>
      <c r="BG222" s="1" t="s">
        <v>58</v>
      </c>
      <c r="BH222" s="1" t="s">
        <v>59</v>
      </c>
      <c r="BI222" s="1" t="s">
        <v>60</v>
      </c>
      <c r="BJ222" s="1" t="s">
        <v>61</v>
      </c>
      <c r="BK222" s="1" t="s">
        <v>62</v>
      </c>
      <c r="BL222" s="1" t="s">
        <v>63</v>
      </c>
      <c r="BM222" s="1" t="s">
        <v>330</v>
      </c>
      <c r="BN222" s="1" t="s">
        <v>331</v>
      </c>
      <c r="BO222" s="1" t="s">
        <v>332</v>
      </c>
      <c r="BP222" s="1" t="s">
        <v>333</v>
      </c>
      <c r="BQ222" s="1" t="s">
        <v>334</v>
      </c>
      <c r="BR222" s="1" t="s">
        <v>335</v>
      </c>
      <c r="BS222" s="1" t="s">
        <v>336</v>
      </c>
      <c r="BT222" s="1" t="s">
        <v>337</v>
      </c>
      <c r="BU222" s="1" t="s">
        <v>338</v>
      </c>
      <c r="BV222" s="1" t="s">
        <v>339</v>
      </c>
      <c r="BW222" s="1" t="s">
        <v>340</v>
      </c>
      <c r="BX222" s="1" t="s">
        <v>341</v>
      </c>
      <c r="BY222" s="1" t="s">
        <v>342</v>
      </c>
      <c r="BZ222" s="1" t="s">
        <v>343</v>
      </c>
      <c r="CA222" s="1" t="s">
        <v>390</v>
      </c>
    </row>
    <row r="223" spans="40:79" x14ac:dyDescent="0.3">
      <c r="AO223" s="77"/>
      <c r="AP223" s="77"/>
      <c r="AQ223" s="20">
        <v>4</v>
      </c>
      <c r="AR223" t="s">
        <v>2</v>
      </c>
      <c r="AS223" t="s">
        <v>5</v>
      </c>
      <c r="AT223" t="s">
        <v>2</v>
      </c>
      <c r="AU223" t="s">
        <v>5</v>
      </c>
      <c r="AV223" t="s">
        <v>5</v>
      </c>
      <c r="AW223" t="s">
        <v>5</v>
      </c>
      <c r="AX223" t="s">
        <v>5</v>
      </c>
      <c r="AY223" t="s">
        <v>2</v>
      </c>
      <c r="AZ223" t="s">
        <v>2</v>
      </c>
      <c r="BA223" t="s">
        <v>2</v>
      </c>
      <c r="BB223" t="s">
        <v>5</v>
      </c>
      <c r="BC223" t="s">
        <v>4</v>
      </c>
      <c r="BD223" t="s">
        <v>5</v>
      </c>
      <c r="BE223" t="s">
        <v>2</v>
      </c>
      <c r="BF223" t="s">
        <v>4</v>
      </c>
      <c r="BG223" t="s">
        <v>5</v>
      </c>
      <c r="BH223" t="s">
        <v>5</v>
      </c>
      <c r="BI223" t="s">
        <v>5</v>
      </c>
      <c r="BJ223" t="s">
        <v>4</v>
      </c>
      <c r="BK223" t="s">
        <v>3</v>
      </c>
      <c r="BL223" t="s">
        <v>4</v>
      </c>
      <c r="BM223" t="s">
        <v>4</v>
      </c>
      <c r="BN223" t="s">
        <v>3</v>
      </c>
      <c r="BO223" t="s">
        <v>4</v>
      </c>
      <c r="BP223" t="s">
        <v>4</v>
      </c>
      <c r="BQ223" t="s">
        <v>4</v>
      </c>
      <c r="BR223" t="s">
        <v>4</v>
      </c>
      <c r="BS223" t="s">
        <v>4</v>
      </c>
      <c r="BT223" t="s">
        <v>4</v>
      </c>
      <c r="BU223" t="s">
        <v>3</v>
      </c>
      <c r="BV223" t="s">
        <v>4</v>
      </c>
      <c r="BW223" t="s">
        <v>3</v>
      </c>
      <c r="BX223" t="s">
        <v>4</v>
      </c>
      <c r="BY223" t="s">
        <v>4</v>
      </c>
      <c r="BZ223" t="s">
        <v>3</v>
      </c>
      <c r="CA223" t="s">
        <v>3</v>
      </c>
    </row>
    <row r="224" spans="40:79" x14ac:dyDescent="0.3">
      <c r="AO224" s="67" t="s">
        <v>504</v>
      </c>
      <c r="AP224" s="67"/>
      <c r="AQ224">
        <f>PRODUCT('Data Training 1'!AW22,'Data Training 1'!AT33,'Data Training 1'!AT40,'Data Training 1'!AT45,'Data Training 1'!AT52,'Data Training 1'!AT58,'Data Training 1'!AT64,'Data Training 1'!AT70,'Data Training 1'!AT75,'Data Training 1'!AT81,'Data Training 1'!AT87,'Data Training 1'!AT94,'Data Training 1'!AT97,'Data Training 1'!AT106,'Data Training 1'!AT111,'Data Training 1'!AT115,'Data Training 1'!AT124,'Data Training 1'!AT130,'Data Training 1'!AT136,'Data Training 1'!AT139,'Data Training 1'!AT146,'Data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25" spans="40:79" x14ac:dyDescent="0.3">
      <c r="AO225" s="67" t="s">
        <v>505</v>
      </c>
      <c r="AP225" s="67"/>
      <c r="AQ225">
        <f>PRODUCT('Data Training 1'!AW23,'Data Training 1'!AU33,'Data Training 1'!AU40,'Data Training 1'!AU45,'Data Training 1'!AU52,'Data Training 1'!AU58,'Data Training 1'!AU64,'Data Training 1'!AU70,'Data Training 1'!AU75,'Data Training 1'!AU81,'Data Training 1'!AU87,'Data Training 1'!AU94,'Data Training 1'!AU97,'Data Training 1'!AU106,'Data Training 1'!AU111,'Data Training 1'!AU115,'Data Training 1'!AU124,'Data Training 1'!AU130,'Data Training 1'!AU136,'Data Training 1'!AU139,'Data Training 1'!AU146,'Data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26" spans="40:79" x14ac:dyDescent="0.3">
      <c r="AO226" s="67" t="s">
        <v>506</v>
      </c>
      <c r="AP226" s="67"/>
      <c r="AQ226">
        <f>PRODUCT('Data Training 1'!AW24,'Data Training 1'!AV33,'Data Training 1'!AV40,'Data Training 1'!AV45,'Data Training 1'!AV52,'Data Training 1'!AV58,'Data Training 1'!AV64,'Data Training 1'!AV70,'Data Training 1'!AV75,'Data Training 1'!AV81,'Data Training 1'!AV87,'Data Training 1'!AV94,'Data Training 1'!AV97,'Data Training 1'!AV106,'Data Training 1'!AV111,'Data Training 1'!AV115,'Data Training 1'!AV124,'Data Training 1'!AV130,'Data Training 1'!AV136,'Data Training 1'!AV139,'Data Training 1'!AV146,'Data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27" spans="40:79" x14ac:dyDescent="0.3">
      <c r="AO227" s="67" t="s">
        <v>507</v>
      </c>
      <c r="AP227" s="67"/>
      <c r="AQ227">
        <f>PRODUCT('Data Training 1'!AW25,'Data Training 1'!AW33,'Data Training 1'!AW40,'Data Training 1'!AW45,'Data Training 1'!AW52,'Data Training 1'!AW58,'Data Training 1'!AW64,'Data Training 1'!AW70,'Data Training 1'!AW75,'Data Training 1'!AW81,'Data Training 1'!AW87,'Data Training 1'!AW94,'Data Training 1'!AW97,'Data Training 1'!AW106,'Data Training 1'!AW111,'Data Training 1'!AW115,'Data Training 1'!AW124,'Data Training 1'!AW130,'Data Training 1'!AW136,'Data Training 1'!AW139,'Data Training 1'!AW146,'Data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1.6555022519251112E-10</v>
      </c>
    </row>
    <row r="228" spans="40:79" x14ac:dyDescent="0.3">
      <c r="AO228" s="67" t="s">
        <v>508</v>
      </c>
      <c r="AP228" s="67"/>
      <c r="AQ228">
        <f>PRODUCT('Data Training 1'!AW26,'Data Training 1'!AX33,'Data Training 1'!AX40,'Data Training 1'!AX45,'Data Training 1'!AX52,'Data Training 1'!AX58,'Data Training 1'!AX64,'Data Training 1'!AX70,'Data Training 1'!AX75,'Data Training 1'!AX81,'Data Training 1'!AX87,'Data Training 1'!AX94,'Data Training 1'!AX97,'Data Training 1'!AX106,'Data Training 1'!AX111,'Data Training 1'!AX115,'Data Training 1'!AX124,'Data Training 1'!AX130,'Data Training 1'!AX136,'Data Training 1'!AX139,'Data Training 1'!AX146,'Data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229" spans="40:79" x14ac:dyDescent="0.3">
      <c r="AO229" s="67" t="s">
        <v>509</v>
      </c>
      <c r="AP229" s="67"/>
      <c r="AQ229">
        <f>PRODUCT('Data Training 1'!AW27,'Data Training 1'!AY33,'Data Training 1'!AY40,'Data Training 1'!AY45,'Data Training 1'!AY52,'Data Training 1'!AY58,'Data Training 1'!AY64,'Data Training 1'!AY70,'Data Training 1'!AY75,'Data Training 1'!AY81,'Data Training 1'!AY87,'Data Training 1'!AY94,'Data Training 1'!AY97,'Data Training 1'!AY106,'Data Training 1'!AY111,'Data Training 1'!AY115,'Data Training 1'!AY124,'Data Training 1'!AY130,'Data Training 1'!AY136,'Data Training 1'!AY139,'Data Training 1'!AY146,'Data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30" spans="40:79" x14ac:dyDescent="0.3">
      <c r="AO230" s="76" t="s">
        <v>437</v>
      </c>
      <c r="AP230" s="76"/>
      <c r="AQ230" t="s">
        <v>296</v>
      </c>
      <c r="AR230" s="74" t="s">
        <v>438</v>
      </c>
      <c r="AS230" s="74"/>
      <c r="AT230" s="74"/>
    </row>
    <row r="232" spans="40:79" x14ac:dyDescent="0.3">
      <c r="AN232">
        <v>24</v>
      </c>
      <c r="AO232" s="77" t="s">
        <v>486</v>
      </c>
      <c r="AP232" s="77"/>
      <c r="AQ232" s="20" t="s">
        <v>64</v>
      </c>
      <c r="AR232" s="1" t="s">
        <v>43</v>
      </c>
      <c r="AS232" s="1" t="s">
        <v>44</v>
      </c>
      <c r="AT232" s="1" t="s">
        <v>45</v>
      </c>
      <c r="AU232" s="1" t="s">
        <v>46</v>
      </c>
      <c r="AV232" s="1" t="s">
        <v>47</v>
      </c>
      <c r="AW232" s="1" t="s">
        <v>48</v>
      </c>
      <c r="AX232" s="1" t="s">
        <v>49</v>
      </c>
      <c r="AY232" s="1" t="s">
        <v>50</v>
      </c>
      <c r="AZ232" s="1" t="s">
        <v>51</v>
      </c>
      <c r="BA232" s="1" t="s">
        <v>52</v>
      </c>
      <c r="BB232" s="1" t="s">
        <v>53</v>
      </c>
      <c r="BC232" s="1" t="s">
        <v>54</v>
      </c>
      <c r="BD232" s="1" t="s">
        <v>55</v>
      </c>
      <c r="BE232" s="1" t="s">
        <v>56</v>
      </c>
      <c r="BF232" s="1" t="s">
        <v>57</v>
      </c>
      <c r="BG232" s="1" t="s">
        <v>58</v>
      </c>
      <c r="BH232" s="1" t="s">
        <v>59</v>
      </c>
      <c r="BI232" s="1" t="s">
        <v>60</v>
      </c>
      <c r="BJ232" s="1" t="s">
        <v>61</v>
      </c>
      <c r="BK232" s="1" t="s">
        <v>62</v>
      </c>
      <c r="BL232" s="1" t="s">
        <v>63</v>
      </c>
      <c r="BM232" s="1" t="s">
        <v>330</v>
      </c>
      <c r="BN232" s="1" t="s">
        <v>331</v>
      </c>
      <c r="BO232" s="1" t="s">
        <v>332</v>
      </c>
      <c r="BP232" s="1" t="s">
        <v>333</v>
      </c>
      <c r="BQ232" s="1" t="s">
        <v>334</v>
      </c>
      <c r="BR232" s="1" t="s">
        <v>335</v>
      </c>
      <c r="BS232" s="1" t="s">
        <v>336</v>
      </c>
      <c r="BT232" s="1" t="s">
        <v>337</v>
      </c>
      <c r="BU232" s="1" t="s">
        <v>338</v>
      </c>
      <c r="BV232" s="1" t="s">
        <v>339</v>
      </c>
      <c r="BW232" s="1" t="s">
        <v>340</v>
      </c>
      <c r="BX232" s="1" t="s">
        <v>341</v>
      </c>
      <c r="BY232" s="1" t="s">
        <v>342</v>
      </c>
      <c r="BZ232" s="1" t="s">
        <v>343</v>
      </c>
      <c r="CA232" s="1" t="s">
        <v>390</v>
      </c>
    </row>
    <row r="233" spans="40:79" x14ac:dyDescent="0.3">
      <c r="AO233" s="77"/>
      <c r="AP233" s="77"/>
      <c r="AQ233" s="20">
        <v>4</v>
      </c>
      <c r="AR233" t="s">
        <v>3</v>
      </c>
      <c r="AS233" t="s">
        <v>5</v>
      </c>
      <c r="AT233" t="s">
        <v>4</v>
      </c>
      <c r="AU233" t="s">
        <v>5</v>
      </c>
      <c r="AV233" t="s">
        <v>5</v>
      </c>
      <c r="AW233" t="s">
        <v>5</v>
      </c>
      <c r="AX233" t="s">
        <v>5</v>
      </c>
      <c r="AY233" t="s">
        <v>2</v>
      </c>
      <c r="AZ233" t="s">
        <v>2</v>
      </c>
      <c r="BA233" t="s">
        <v>4</v>
      </c>
      <c r="BB233" t="s">
        <v>4</v>
      </c>
      <c r="BC233" t="s">
        <v>5</v>
      </c>
      <c r="BD233" t="s">
        <v>2</v>
      </c>
      <c r="BE233" t="s">
        <v>3</v>
      </c>
      <c r="BF233" t="s">
        <v>5</v>
      </c>
      <c r="BG233" t="s">
        <v>5</v>
      </c>
      <c r="BH233" t="s">
        <v>2</v>
      </c>
      <c r="BI233" t="s">
        <v>5</v>
      </c>
      <c r="BJ233" t="s">
        <v>5</v>
      </c>
      <c r="BK233" t="s">
        <v>4</v>
      </c>
      <c r="BL233" t="s">
        <v>4</v>
      </c>
      <c r="BM233" t="s">
        <v>2</v>
      </c>
      <c r="BN233" t="s">
        <v>3</v>
      </c>
      <c r="BO233" t="s">
        <v>4</v>
      </c>
      <c r="BP233" t="s">
        <v>4</v>
      </c>
      <c r="BQ233" t="s">
        <v>4</v>
      </c>
      <c r="BR233" t="s">
        <v>4</v>
      </c>
      <c r="BS233" t="s">
        <v>4</v>
      </c>
      <c r="BT233" t="s">
        <v>4</v>
      </c>
      <c r="BU233" t="s">
        <v>3</v>
      </c>
      <c r="BV233" t="s">
        <v>4</v>
      </c>
      <c r="BW233" t="s">
        <v>3</v>
      </c>
      <c r="BX233" t="s">
        <v>4</v>
      </c>
      <c r="BY233" t="s">
        <v>4</v>
      </c>
      <c r="BZ233" t="s">
        <v>4</v>
      </c>
      <c r="CA233" t="s">
        <v>3</v>
      </c>
    </row>
    <row r="234" spans="40:79" x14ac:dyDescent="0.3">
      <c r="AO234" s="67" t="s">
        <v>504</v>
      </c>
      <c r="AP234" s="67"/>
      <c r="AQ234">
        <f>PRODUCT('Data Training 1'!AW22,'Data Training 1'!AT32,'Data Training 1'!AT40,'Data Training 1'!AT43,'Data Training 1'!AT52,'Data Training 1'!AT58,'Data Training 1'!AT64,'Data Training 1'!AT70,'Data Training 1'!AT75,'Data Training 1'!AT81,'Data Training 1'!AT85,'Data Training 1'!AT91,'Data Training 1'!AT100,'Data Training 1'!AT105,'Data Training 1'!AT110,'Data Training 1'!AT118,'Data Training 1'!AT124,'Data Training 1'!AT129,'Data Training 1'!AT136,'Data Training 1'!AT142,'Data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35" spans="40:79" x14ac:dyDescent="0.3">
      <c r="AO235" s="67" t="s">
        <v>505</v>
      </c>
      <c r="AP235" s="67"/>
      <c r="AQ235">
        <f>PRODUCT('Data Training 1'!AW23,'Data Training 1'!AU32,'Data Training 1'!AU40,'Data Training 1'!AU43,'Data Training 1'!AU52,'Data Training 1'!AU58,'Data Training 1'!AU64,'Data Training 1'!AU70,'Data Training 1'!AU75,'Data Training 1'!AU81,'Data Training 1'!AU85,'Data Training 1'!AU91,'Data Training 1'!AU100,'Data Training 1'!AU105,'Data Training 1'!AU110,'Data Training 1'!AU118,'Data Training 1'!AU124,'Data Training 1'!AU129,'Data Training 1'!AU136,'Data Training 1'!AU142,'Data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36" spans="40:79" x14ac:dyDescent="0.3">
      <c r="AO236" s="67" t="s">
        <v>506</v>
      </c>
      <c r="AP236" s="67"/>
      <c r="AQ236">
        <f>PRODUCT('Data Training 1'!AW24,'Data Training 1'!AV32,'Data Training 1'!AV40,'Data Training 1'!AV43,'Data Training 1'!AV52,'Data Training 1'!AV58,'Data Training 1'!AV64,'Data Training 1'!AV70,'Data Training 1'!AV75,'Data Training 1'!AV81,'Data Training 1'!AV85,'Data Training 1'!AV91,'Data Training 1'!AV100,'Data Training 1'!AV105,'Data Training 1'!AV110,'Data Training 1'!AV118,'Data Training 1'!AV124,'Data Training 1'!AV129,'Data Training 1'!AV136,'Data Training 1'!AV142,'Data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37" spans="40:79" x14ac:dyDescent="0.3">
      <c r="AO237" s="67" t="s">
        <v>507</v>
      </c>
      <c r="AP237" s="67"/>
      <c r="AQ237">
        <f>PRODUCT('Data Training 1'!AW25,'Data Training 1'!AW32,'Data Training 1'!AW40,'Data Training 1'!AW43,'Data Training 1'!AW52,'Data Training 1'!AW58,'Data Training 1'!AW64,'Data Training 1'!AW70,'Data Training 1'!AW75,'Data Training 1'!AW81,'Data Training 1'!AW85,'Data Training 1'!AW91,'Data Training 1'!AW100,'Data Training 1'!AW105,'Data Training 1'!AW110,'Data Training 1'!AW118,'Data Training 1'!AW124,'Data Training 1'!AW129,'Data Training 1'!AW136,'Data Training 1'!AW142,'Data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8.0449200341484734E-10</v>
      </c>
    </row>
    <row r="238" spans="40:79" x14ac:dyDescent="0.3">
      <c r="AO238" s="67" t="s">
        <v>508</v>
      </c>
      <c r="AP238" s="67"/>
      <c r="AQ238">
        <f>PRODUCT('Data Training 1'!AW26,'Data Training 1'!AX32,'Data Training 1'!AX40,'Data Training 1'!AX43,'Data Training 1'!AX52,'Data Training 1'!AX58,'Data Training 1'!AX64,'Data Training 1'!AX70,'Data Training 1'!AX75,'Data Training 1'!AX81,'Data Training 1'!AX85,'Data Training 1'!AX91,'Data Training 1'!AX100,'Data Training 1'!AX105,'Data Training 1'!AX110,'Data Training 1'!AX118,'Data Training 1'!AX124,'Data Training 1'!AX129,'Data Training 1'!AX136,'Data Training 1'!AX142,'Data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239" spans="40:79" x14ac:dyDescent="0.3">
      <c r="AO239" s="67" t="s">
        <v>509</v>
      </c>
      <c r="AP239" s="67"/>
      <c r="AQ239">
        <f>PRODUCT('Data Training 1'!AW27,'Data Training 1'!AY32,'Data Training 1'!AY40,'Data Training 1'!AY43,'Data Training 1'!AY52,'Data Training 1'!AY58,'Data Training 1'!AY64,'Data Training 1'!AY70,'Data Training 1'!AY75,'Data Training 1'!AY81,'Data Training 1'!AY85,'Data Training 1'!AY91,'Data Training 1'!AY100,'Data Training 1'!AY105,'Data Training 1'!AY110,'Data Training 1'!AY118,'Data Training 1'!AY124,'Data Training 1'!AY129,'Data Training 1'!AY136,'Data Training 1'!AY142,'Data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240" spans="40:79" x14ac:dyDescent="0.3">
      <c r="AO240" s="76" t="s">
        <v>437</v>
      </c>
      <c r="AP240" s="76"/>
      <c r="AQ240" t="s">
        <v>296</v>
      </c>
      <c r="AR240" s="74" t="s">
        <v>438</v>
      </c>
      <c r="AS240" s="74"/>
      <c r="AT240" s="74"/>
    </row>
    <row r="242" spans="40:79" x14ac:dyDescent="0.3">
      <c r="AO242" s="77" t="s">
        <v>324</v>
      </c>
      <c r="AP242" s="77"/>
      <c r="AQ242" s="20" t="s">
        <v>64</v>
      </c>
      <c r="AR242" s="1" t="s">
        <v>43</v>
      </c>
      <c r="AS242" s="1" t="s">
        <v>44</v>
      </c>
      <c r="AT242" s="1" t="s">
        <v>45</v>
      </c>
      <c r="AU242" s="1" t="s">
        <v>46</v>
      </c>
      <c r="AV242" s="1" t="s">
        <v>47</v>
      </c>
      <c r="AW242" s="1" t="s">
        <v>48</v>
      </c>
      <c r="AX242" s="1" t="s">
        <v>49</v>
      </c>
      <c r="AY242" s="1" t="s">
        <v>50</v>
      </c>
      <c r="AZ242" s="1" t="s">
        <v>51</v>
      </c>
      <c r="BA242" s="1" t="s">
        <v>52</v>
      </c>
      <c r="BB242" s="1" t="s">
        <v>53</v>
      </c>
      <c r="BC242" s="1" t="s">
        <v>54</v>
      </c>
      <c r="BD242" s="1" t="s">
        <v>55</v>
      </c>
      <c r="BE242" s="1" t="s">
        <v>56</v>
      </c>
      <c r="BF242" s="1" t="s">
        <v>57</v>
      </c>
      <c r="BG242" s="1" t="s">
        <v>58</v>
      </c>
      <c r="BH242" s="1" t="s">
        <v>59</v>
      </c>
      <c r="BI242" s="1" t="s">
        <v>60</v>
      </c>
      <c r="BJ242" s="1" t="s">
        <v>61</v>
      </c>
      <c r="BK242" s="1" t="s">
        <v>62</v>
      </c>
      <c r="BL242" s="1" t="s">
        <v>63</v>
      </c>
      <c r="BM242" s="1" t="s">
        <v>330</v>
      </c>
      <c r="BN242" s="1" t="s">
        <v>331</v>
      </c>
      <c r="BO242" s="1" t="s">
        <v>332</v>
      </c>
      <c r="BP242" s="1" t="s">
        <v>333</v>
      </c>
      <c r="BQ242" s="1" t="s">
        <v>334</v>
      </c>
      <c r="BR242" s="1" t="s">
        <v>335</v>
      </c>
      <c r="BS242" s="1" t="s">
        <v>336</v>
      </c>
      <c r="BT242" s="1" t="s">
        <v>337</v>
      </c>
      <c r="BU242" s="1" t="s">
        <v>338</v>
      </c>
      <c r="BV242" s="1" t="s">
        <v>339</v>
      </c>
      <c r="BW242" s="1" t="s">
        <v>340</v>
      </c>
      <c r="BX242" s="1" t="s">
        <v>341</v>
      </c>
      <c r="BY242" s="1" t="s">
        <v>342</v>
      </c>
      <c r="BZ242" s="1" t="s">
        <v>343</v>
      </c>
      <c r="CA242" s="1" t="s">
        <v>390</v>
      </c>
    </row>
    <row r="243" spans="40:79" x14ac:dyDescent="0.3">
      <c r="AN243">
        <v>25</v>
      </c>
      <c r="AO243" s="77"/>
      <c r="AP243" s="77"/>
      <c r="AQ243" s="20">
        <v>5</v>
      </c>
      <c r="AR243" t="s">
        <v>5</v>
      </c>
      <c r="AS243" t="s">
        <v>3</v>
      </c>
      <c r="AT243" t="s">
        <v>3</v>
      </c>
      <c r="AU243" t="s">
        <v>5</v>
      </c>
      <c r="AV243" t="s">
        <v>5</v>
      </c>
      <c r="AW243" t="s">
        <v>5</v>
      </c>
      <c r="AX243" t="s">
        <v>5</v>
      </c>
      <c r="AY243" t="s">
        <v>2</v>
      </c>
      <c r="AZ243" t="s">
        <v>2</v>
      </c>
      <c r="BA243" t="s">
        <v>5</v>
      </c>
      <c r="BB243" t="s">
        <v>3</v>
      </c>
      <c r="BC243" t="s">
        <v>2</v>
      </c>
      <c r="BD243" t="s">
        <v>5</v>
      </c>
      <c r="BE243" t="s">
        <v>2</v>
      </c>
      <c r="BF243" t="s">
        <v>3</v>
      </c>
      <c r="BG243" t="s">
        <v>5</v>
      </c>
      <c r="BH243" t="s">
        <v>5</v>
      </c>
      <c r="BI243" t="s">
        <v>5</v>
      </c>
      <c r="BJ243" t="s">
        <v>5</v>
      </c>
      <c r="BK243" t="s">
        <v>3</v>
      </c>
      <c r="BL243" t="s">
        <v>4</v>
      </c>
      <c r="BM243" t="s">
        <v>2</v>
      </c>
      <c r="BN243" t="s">
        <v>3</v>
      </c>
      <c r="BO243" t="s">
        <v>4</v>
      </c>
      <c r="BP243" t="s">
        <v>4</v>
      </c>
      <c r="BQ243" t="s">
        <v>4</v>
      </c>
      <c r="BR243" t="s">
        <v>4</v>
      </c>
      <c r="BS243" t="s">
        <v>4</v>
      </c>
      <c r="BT243" t="s">
        <v>4</v>
      </c>
      <c r="BU243" t="s">
        <v>3</v>
      </c>
      <c r="BV243" t="s">
        <v>4</v>
      </c>
      <c r="BW243" t="s">
        <v>3</v>
      </c>
      <c r="BX243" t="s">
        <v>4</v>
      </c>
      <c r="BY243" t="s">
        <v>4</v>
      </c>
      <c r="BZ243" t="s">
        <v>4</v>
      </c>
      <c r="CA243" t="s">
        <v>3</v>
      </c>
    </row>
    <row r="244" spans="40:79" x14ac:dyDescent="0.3">
      <c r="AO244" s="67" t="s">
        <v>504</v>
      </c>
      <c r="AP244" s="67"/>
      <c r="AQ244">
        <f>'Data Training 1'!AW22*'Data Training 1'!AT34*'Data Training 1'!AT38*'Data Training 1'!AT44*'Data Training 1'!AT52*'Data Training 1'!AT58*'Data Training 1'!AT64*'Data Training 1'!AT70*'Data Training 1'!AT75*'Data Training 1'!AT81*'Data Training 1'!AT88*'Data Training 1'!AT92*'Data Training 1'!AT99*'Data Training 1'!AT106*'Data Training 1'!AT111*'Data Training 1'!AT116*'Data Training 1'!AT124*'Data Training 1'!AT130*'Data Training 1'!AT136*'Data Training 1'!AT142*'Data Training 1'!AT146*'Data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45" spans="40:79" x14ac:dyDescent="0.3">
      <c r="AO245" s="67" t="s">
        <v>505</v>
      </c>
      <c r="AP245" s="67"/>
      <c r="AQ245">
        <f>'Data Training 1'!AW23*'Data Training 1'!AU34*'Data Training 1'!AU38*'Data Training 1'!AU44*'Data Training 1'!AU52*'Data Training 1'!AU58*'Data Training 1'!AU64*'Data Training 1'!AU70*'Data Training 1'!AU75*'Data Training 1'!AU81*'Data Training 1'!AU88*'Data Training 1'!AU92*'Data Training 1'!AU99*'Data Training 1'!AU106*'Data Training 1'!AU111*'Data Training 1'!AU116*'Data Training 1'!AU124*'Data Training 1'!AU130*'Data Training 1'!AU136*'Data Training 1'!AU142*'Data Training 1'!AU146*'Data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46" spans="40:79" x14ac:dyDescent="0.3">
      <c r="AO246" s="67" t="s">
        <v>506</v>
      </c>
      <c r="AP246" s="67"/>
      <c r="AQ246">
        <f>'Data Training 1'!AW24*'Data Training 1'!AV34*'Data Training 1'!AV38*'Data Training 1'!AV44*'Data Training 1'!AV52*'Data Training 1'!AV58*'Data Training 1'!AV64*'Data Training 1'!AV70*'Data Training 1'!AV75*'Data Training 1'!AV81*'Data Training 1'!AV88*'Data Training 1'!AV92*'Data Training 1'!AV99*'Data Training 1'!AV106*'Data Training 1'!AV111*'Data Training 1'!AV116*'Data Training 1'!AV124*'Data Training 1'!AV130*'Data Training 1'!AV136*'Data Training 1'!AV142*'Data Training 1'!AV146*'Data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47" spans="40:79" x14ac:dyDescent="0.3">
      <c r="AO247" s="67" t="s">
        <v>507</v>
      </c>
      <c r="AP247" s="67"/>
      <c r="AQ247">
        <f>'Data Training 1'!AW25*'Data Training 1'!AW34*'Data Training 1'!AW38*'Data Training 1'!AW44*'Data Training 1'!AW52*'Data Training 1'!AW58*'Data Training 1'!AW64*'Data Training 1'!AW70*'Data Training 1'!AW75*'Data Training 1'!AW81*'Data Training 1'!AW88*'Data Training 1'!AW92*'Data Training 1'!AW99*'Data Training 1'!AW106*'Data Training 1'!AW111*'Data Training 1'!AW116*'Data Training 1'!AW124*'Data Training 1'!AW130*'Data Training 1'!AW136*'Data Training 1'!AW142*'Data Training 1'!AW146*'Data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1.2515597024553842E-7</v>
      </c>
    </row>
    <row r="248" spans="40:79" x14ac:dyDescent="0.3">
      <c r="AO248" s="67" t="s">
        <v>508</v>
      </c>
      <c r="AP248" s="67"/>
      <c r="AQ248">
        <f>'Data Training 1'!AW26*'Data Training 1'!AX34*'Data Training 1'!AX38*'Data Training 1'!AX44*'Data Training 1'!AX52*'Data Training 1'!AX58*'Data Training 1'!AX64*'Data Training 1'!AX70*'Data Training 1'!AX75*'Data Training 1'!AX81*'Data Training 1'!AX88*'Data Training 1'!AX92*'Data Training 1'!AX99*'Data Training 1'!AX106*'Data Training 1'!AX111*'Data Training 1'!AX116*'Data Training 1'!AX124*'Data Training 1'!AX130*'Data Training 1'!AX136*'Data Training 1'!AX142*'Data Training 1'!AX146*'Data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2.1264687979151626E-8</v>
      </c>
    </row>
    <row r="249" spans="40:79" x14ac:dyDescent="0.3">
      <c r="AO249" s="67" t="s">
        <v>509</v>
      </c>
      <c r="AP249" s="67"/>
      <c r="AQ249">
        <f>'Data Training 1'!AW27*'Data Training 1'!AY34*'Data Training 1'!AY38*'Data Training 1'!AY44*'Data Training 1'!AY52*'Data Training 1'!AY58*'Data Training 1'!AY64*'Data Training 1'!AY70*'Data Training 1'!AY75*'Data Training 1'!AY81*'Data Training 1'!AY88*'Data Training 1'!AY92*'Data Training 1'!AY99*'Data Training 1'!AY106*'Data Training 1'!AY111*'Data Training 1'!AY116*'Data Training 1'!AY124*'Data Training 1'!AY130*'Data Training 1'!AY136*'Data Training 1'!AY142*'Data Training 1'!AY146*'Data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7.5634343952512571E-11</v>
      </c>
    </row>
    <row r="250" spans="40:79" x14ac:dyDescent="0.3">
      <c r="AO250" s="76" t="s">
        <v>437</v>
      </c>
      <c r="AP250" s="76"/>
      <c r="AQ250" t="s">
        <v>298</v>
      </c>
      <c r="AR250" s="84" t="s">
        <v>514</v>
      </c>
      <c r="AS250" s="84"/>
      <c r="AT250" s="84"/>
    </row>
    <row r="252" spans="40:79" x14ac:dyDescent="0.3">
      <c r="AN252">
        <v>26</v>
      </c>
      <c r="AO252" s="77" t="s">
        <v>503</v>
      </c>
      <c r="AP252" s="77"/>
      <c r="AQ252" s="20" t="s">
        <v>64</v>
      </c>
      <c r="AR252" s="1" t="s">
        <v>43</v>
      </c>
      <c r="AS252" s="1" t="s">
        <v>44</v>
      </c>
      <c r="AT252" s="1" t="s">
        <v>45</v>
      </c>
      <c r="AU252" s="1" t="s">
        <v>46</v>
      </c>
      <c r="AV252" s="1" t="s">
        <v>47</v>
      </c>
      <c r="AW252" s="1" t="s">
        <v>48</v>
      </c>
      <c r="AX252" s="1" t="s">
        <v>49</v>
      </c>
      <c r="AY252" s="1" t="s">
        <v>50</v>
      </c>
      <c r="AZ252" s="1" t="s">
        <v>51</v>
      </c>
      <c r="BA252" s="1" t="s">
        <v>52</v>
      </c>
      <c r="BB252" s="1" t="s">
        <v>53</v>
      </c>
      <c r="BC252" s="1" t="s">
        <v>54</v>
      </c>
      <c r="BD252" s="1" t="s">
        <v>55</v>
      </c>
      <c r="BE252" s="1" t="s">
        <v>56</v>
      </c>
      <c r="BF252" s="1" t="s">
        <v>57</v>
      </c>
      <c r="BG252" s="1" t="s">
        <v>58</v>
      </c>
      <c r="BH252" s="1" t="s">
        <v>59</v>
      </c>
      <c r="BI252" s="1" t="s">
        <v>60</v>
      </c>
      <c r="BJ252" s="1" t="s">
        <v>61</v>
      </c>
      <c r="BK252" s="1" t="s">
        <v>62</v>
      </c>
      <c r="BL252" s="1" t="s">
        <v>63</v>
      </c>
      <c r="BM252" s="1" t="s">
        <v>330</v>
      </c>
      <c r="BN252" s="1" t="s">
        <v>331</v>
      </c>
      <c r="BO252" s="1" t="s">
        <v>332</v>
      </c>
      <c r="BP252" s="1" t="s">
        <v>333</v>
      </c>
      <c r="BQ252" s="1" t="s">
        <v>334</v>
      </c>
      <c r="BR252" s="1" t="s">
        <v>335</v>
      </c>
      <c r="BS252" s="1" t="s">
        <v>336</v>
      </c>
      <c r="BT252" s="1" t="s">
        <v>337</v>
      </c>
      <c r="BU252" s="1" t="s">
        <v>338</v>
      </c>
      <c r="BV252" s="1" t="s">
        <v>339</v>
      </c>
      <c r="BW252" s="1" t="s">
        <v>340</v>
      </c>
      <c r="BX252" s="1" t="s">
        <v>341</v>
      </c>
      <c r="BY252" s="1" t="s">
        <v>342</v>
      </c>
      <c r="BZ252" s="1" t="s">
        <v>343</v>
      </c>
      <c r="CA252" s="1" t="s">
        <v>390</v>
      </c>
    </row>
    <row r="253" spans="40:79" x14ac:dyDescent="0.3">
      <c r="AO253" s="77"/>
      <c r="AP253" s="77"/>
      <c r="AQ253" s="20">
        <v>5</v>
      </c>
      <c r="AR253" t="s">
        <v>5</v>
      </c>
      <c r="AS253" t="s">
        <v>3</v>
      </c>
      <c r="AT253" t="s">
        <v>5</v>
      </c>
      <c r="AU253" t="s">
        <v>5</v>
      </c>
      <c r="AV253" t="s">
        <v>5</v>
      </c>
      <c r="AW253" t="s">
        <v>5</v>
      </c>
      <c r="AX253" t="s">
        <v>5</v>
      </c>
      <c r="AY253" t="s">
        <v>2</v>
      </c>
      <c r="AZ253" t="s">
        <v>2</v>
      </c>
      <c r="BA253" t="s">
        <v>4</v>
      </c>
      <c r="BB253" t="s">
        <v>4</v>
      </c>
      <c r="BC253" t="s">
        <v>3</v>
      </c>
      <c r="BD253" t="s">
        <v>5</v>
      </c>
      <c r="BE253" t="s">
        <v>2</v>
      </c>
      <c r="BF253" t="s">
        <v>5</v>
      </c>
      <c r="BG253" t="s">
        <v>2</v>
      </c>
      <c r="BH253" t="s">
        <v>2</v>
      </c>
      <c r="BI253" t="s">
        <v>5</v>
      </c>
      <c r="BJ253" t="s">
        <v>4</v>
      </c>
      <c r="BK253" t="s">
        <v>3</v>
      </c>
      <c r="BL253" t="s">
        <v>3</v>
      </c>
      <c r="BM253" t="s">
        <v>4</v>
      </c>
      <c r="BN253" t="s">
        <v>3</v>
      </c>
      <c r="BO253" t="s">
        <v>4</v>
      </c>
      <c r="BP253" t="s">
        <v>4</v>
      </c>
      <c r="BQ253" t="s">
        <v>4</v>
      </c>
      <c r="BR253" t="s">
        <v>4</v>
      </c>
      <c r="BS253" t="s">
        <v>4</v>
      </c>
      <c r="BT253" t="s">
        <v>3</v>
      </c>
      <c r="BU253" t="s">
        <v>3</v>
      </c>
      <c r="BV253" t="s">
        <v>4</v>
      </c>
      <c r="BW253" t="s">
        <v>3</v>
      </c>
      <c r="BX253" t="s">
        <v>4</v>
      </c>
      <c r="BY253" t="s">
        <v>4</v>
      </c>
      <c r="BZ253" t="s">
        <v>4</v>
      </c>
      <c r="CA253" t="s">
        <v>3</v>
      </c>
    </row>
    <row r="254" spans="40:79" x14ac:dyDescent="0.3">
      <c r="AO254" s="67" t="s">
        <v>504</v>
      </c>
      <c r="AP254" s="67"/>
      <c r="AQ254">
        <f>'Data Training 1'!AW22*'Data Training 1'!AT34*'Data Training 1'!AT38*'Data Training 1'!AT46*'Data Training 1'!AT52*'Data Training 1'!AT58*'Data Training 1'!AT64*'Data Training 1'!AT70*'Data Training 1'!AT75*'Data Training 1'!AT81*'Data Training 1'!AT85*'Data Training 1'!AT91*'Data Training 1'!AT98*'Data Training 1'!AT106*'Data Training 1'!AT111*'Data Training 1'!AT118*'Data Training 1'!AT123*'Data Training 1'!AT129*'Data Training 1'!AT136*'Data Training 1'!AT139*'Data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55" spans="40:79" x14ac:dyDescent="0.3">
      <c r="AO255" s="67" t="s">
        <v>505</v>
      </c>
      <c r="AP255" s="67"/>
      <c r="AQ255">
        <f>'Data Training 1'!AW23*'Data Training 1'!AU34*'Data Training 1'!AU38*'Data Training 1'!AU46*'Data Training 1'!AU52*'Data Training 1'!AU58*'Data Training 1'!AU64*'Data Training 1'!AU70*'Data Training 1'!AU75*'Data Training 1'!AU81*'Data Training 1'!AU85*'Data Training 1'!AU91*'Data Training 1'!AU98*'Data Training 1'!AU106*'Data Training 1'!AU111*'Data Training 1'!AU118*'Data Training 1'!AU123*'Data Training 1'!AU129*'Data Training 1'!AU136*'Data Training 1'!AU139*'Data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56" spans="40:79" x14ac:dyDescent="0.3">
      <c r="AO256" s="67" t="s">
        <v>506</v>
      </c>
      <c r="AP256" s="67"/>
      <c r="AQ256">
        <f>'Data Training 1'!AW24*'Data Training 1'!AV34*'Data Training 1'!AV38*'Data Training 1'!AV46*'Data Training 1'!AV52*'Data Training 1'!AV58*'Data Training 1'!AV64*'Data Training 1'!AV70*'Data Training 1'!AV75*'Data Training 1'!AV81*'Data Training 1'!AV85*'Data Training 1'!AV91*'Data Training 1'!AV98*'Data Training 1'!AV106*'Data Training 1'!AV111*'Data Training 1'!AV118*'Data Training 1'!AV123*'Data Training 1'!AV129*'Data Training 1'!AV136*'Data Training 1'!AV139*'Data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57" spans="40:79" x14ac:dyDescent="0.3">
      <c r="AO257" s="67" t="s">
        <v>507</v>
      </c>
      <c r="AP257" s="67"/>
      <c r="AQ257">
        <f>'Data Training 1'!AW25*'Data Training 1'!AW34*'Data Training 1'!AW38*'Data Training 1'!AW46*'Data Training 1'!AW52*'Data Training 1'!AW58*'Data Training 1'!AW64*'Data Training 1'!AW70*'Data Training 1'!AW75*'Data Training 1'!AW81*'Data Training 1'!AW85*'Data Training 1'!AW91*'Data Training 1'!AW98*'Data Training 1'!AW106*'Data Training 1'!AW111*'Data Training 1'!AW118*'Data Training 1'!AW123*'Data Training 1'!AW129*'Data Training 1'!AW136*'Data Training 1'!AW139*'Data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0</v>
      </c>
    </row>
    <row r="258" spans="40:79" x14ac:dyDescent="0.3">
      <c r="AO258" s="67" t="s">
        <v>508</v>
      </c>
      <c r="AP258" s="67"/>
      <c r="AQ258">
        <f>'Data Training 1'!AW26*'Data Training 1'!AX34*'Data Training 1'!AX38*'Data Training 1'!AX46*'Data Training 1'!AX52*'Data Training 1'!AX58*'Data Training 1'!AX64*'Data Training 1'!AX70*'Data Training 1'!AX75*'Data Training 1'!AX81*'Data Training 1'!AX85*'Data Training 1'!AX91*'Data Training 1'!AX98*'Data Training 1'!AX106*'Data Training 1'!AX111*'Data Training 1'!AX118*'Data Training 1'!AX123*'Data Training 1'!AX129*'Data Training 1'!AX136*'Data Training 1'!AX139*'Data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9.0646533889302756E-11</v>
      </c>
    </row>
    <row r="259" spans="40:79" x14ac:dyDescent="0.3">
      <c r="AO259" s="67" t="s">
        <v>509</v>
      </c>
      <c r="AP259" s="67"/>
      <c r="AQ259">
        <f>'Data Training 1'!AW27*'Data Training 1'!AY34*'Data Training 1'!AY38*'Data Training 1'!AY46*'Data Training 1'!AY52*'Data Training 1'!AY58*'Data Training 1'!AY64*'Data Training 1'!AY70*'Data Training 1'!AY75*'Data Training 1'!AY81*'Data Training 1'!AY85*'Data Training 1'!AY91*'Data Training 1'!AY98*'Data Training 1'!AY106*'Data Training 1'!AY111*'Data Training 1'!AY118*'Data Training 1'!AY123*'Data Training 1'!AY129*'Data Training 1'!AY136*'Data Training 1'!AY139*'Data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60" spans="40:79" x14ac:dyDescent="0.3">
      <c r="AO260" s="76" t="s">
        <v>437</v>
      </c>
      <c r="AP260" s="76"/>
      <c r="AQ260" t="s">
        <v>297</v>
      </c>
      <c r="AR260" s="74" t="s">
        <v>438</v>
      </c>
      <c r="AS260" s="74"/>
      <c r="AT260" s="74"/>
    </row>
    <row r="262" spans="40:79" x14ac:dyDescent="0.3">
      <c r="AN262">
        <v>27</v>
      </c>
      <c r="AO262" s="77" t="s">
        <v>326</v>
      </c>
      <c r="AP262" s="77"/>
      <c r="AQ262" s="20" t="s">
        <v>64</v>
      </c>
      <c r="AR262" s="1" t="s">
        <v>43</v>
      </c>
      <c r="AS262" s="1" t="s">
        <v>44</v>
      </c>
      <c r="AT262" s="1" t="s">
        <v>45</v>
      </c>
      <c r="AU262" s="1" t="s">
        <v>46</v>
      </c>
      <c r="AV262" s="1" t="s">
        <v>47</v>
      </c>
      <c r="AW262" s="1" t="s">
        <v>48</v>
      </c>
      <c r="AX262" s="1" t="s">
        <v>49</v>
      </c>
      <c r="AY262" s="1" t="s">
        <v>50</v>
      </c>
      <c r="AZ262" s="1" t="s">
        <v>51</v>
      </c>
      <c r="BA262" s="1" t="s">
        <v>52</v>
      </c>
      <c r="BB262" s="1" t="s">
        <v>53</v>
      </c>
      <c r="BC262" s="1" t="s">
        <v>54</v>
      </c>
      <c r="BD262" s="1" t="s">
        <v>55</v>
      </c>
      <c r="BE262" s="1" t="s">
        <v>56</v>
      </c>
      <c r="BF262" s="1" t="s">
        <v>57</v>
      </c>
      <c r="BG262" s="1" t="s">
        <v>58</v>
      </c>
      <c r="BH262" s="1" t="s">
        <v>59</v>
      </c>
      <c r="BI262" s="1" t="s">
        <v>60</v>
      </c>
      <c r="BJ262" s="1" t="s">
        <v>61</v>
      </c>
      <c r="BK262" s="1" t="s">
        <v>62</v>
      </c>
      <c r="BL262" s="1" t="s">
        <v>63</v>
      </c>
      <c r="BM262" s="1" t="s">
        <v>330</v>
      </c>
      <c r="BN262" s="1" t="s">
        <v>331</v>
      </c>
      <c r="BO262" s="1" t="s">
        <v>332</v>
      </c>
      <c r="BP262" s="1" t="s">
        <v>333</v>
      </c>
      <c r="BQ262" s="1" t="s">
        <v>334</v>
      </c>
      <c r="BR262" s="1" t="s">
        <v>335</v>
      </c>
      <c r="BS262" s="1" t="s">
        <v>336</v>
      </c>
      <c r="BT262" s="1" t="s">
        <v>337</v>
      </c>
      <c r="BU262" s="1" t="s">
        <v>338</v>
      </c>
      <c r="BV262" s="1" t="s">
        <v>339</v>
      </c>
      <c r="BW262" s="1" t="s">
        <v>340</v>
      </c>
      <c r="BX262" s="1" t="s">
        <v>341</v>
      </c>
      <c r="BY262" s="1" t="s">
        <v>342</v>
      </c>
      <c r="BZ262" s="1" t="s">
        <v>343</v>
      </c>
      <c r="CA262" s="1" t="s">
        <v>390</v>
      </c>
    </row>
    <row r="263" spans="40:79" x14ac:dyDescent="0.3">
      <c r="AO263" s="77"/>
      <c r="AP263" s="77"/>
      <c r="AQ263" s="20">
        <v>5</v>
      </c>
      <c r="AR263" t="s">
        <v>5</v>
      </c>
      <c r="AS263" t="s">
        <v>5</v>
      </c>
      <c r="AT263" t="s">
        <v>2</v>
      </c>
      <c r="AU263" t="s">
        <v>5</v>
      </c>
      <c r="AV263" t="s">
        <v>5</v>
      </c>
      <c r="AW263" t="s">
        <v>3</v>
      </c>
      <c r="AX263" t="s">
        <v>5</v>
      </c>
      <c r="AY263" t="s">
        <v>2</v>
      </c>
      <c r="AZ263" t="s">
        <v>2</v>
      </c>
      <c r="BA263" t="s">
        <v>2</v>
      </c>
      <c r="BB263" t="s">
        <v>2</v>
      </c>
      <c r="BC263" t="s">
        <v>2</v>
      </c>
      <c r="BD263" t="s">
        <v>2</v>
      </c>
      <c r="BE263" t="s">
        <v>3</v>
      </c>
      <c r="BF263" t="s">
        <v>3</v>
      </c>
      <c r="BG263" t="s">
        <v>5</v>
      </c>
      <c r="BH263" t="s">
        <v>5</v>
      </c>
      <c r="BI263" t="s">
        <v>5</v>
      </c>
      <c r="BJ263" t="s">
        <v>5</v>
      </c>
      <c r="BK263" t="s">
        <v>3</v>
      </c>
      <c r="BL263" t="s">
        <v>3</v>
      </c>
      <c r="BM263" t="s">
        <v>2</v>
      </c>
      <c r="BN263" t="s">
        <v>3</v>
      </c>
      <c r="BO263" t="s">
        <v>4</v>
      </c>
      <c r="BP263" t="s">
        <v>4</v>
      </c>
      <c r="BQ263" t="s">
        <v>4</v>
      </c>
      <c r="BR263" t="s">
        <v>4</v>
      </c>
      <c r="BS263" t="s">
        <v>4</v>
      </c>
      <c r="BT263" t="s">
        <v>3</v>
      </c>
      <c r="BU263" t="s">
        <v>3</v>
      </c>
      <c r="BV263" t="s">
        <v>4</v>
      </c>
      <c r="BW263" t="s">
        <v>3</v>
      </c>
      <c r="BX263" t="s">
        <v>3</v>
      </c>
      <c r="BY263" t="s">
        <v>4</v>
      </c>
      <c r="BZ263" t="s">
        <v>3</v>
      </c>
      <c r="CA263" t="s">
        <v>3</v>
      </c>
    </row>
    <row r="264" spans="40:79" x14ac:dyDescent="0.3">
      <c r="AO264" s="67" t="s">
        <v>504</v>
      </c>
      <c r="AP264" s="67"/>
      <c r="AQ264">
        <f>'Data Training 1'!AW22*'Data Training 1'!AT34*'Data Training 1'!AT40*'Data Training 1'!AT45*'Data Training 1'!AT52*'Data Training 1'!AT58*'Data Training 1'!AT62*'Data Training 1'!AT70*'Data Training 1'!AT75*'Data Training 1'!AT81*'Data Training 1'!AT87*'Data Training 1'!AT93*'Data Training 1'!AT99*'Data Training 1'!AT105*'Data Training 1'!AT110*'Data Training 1'!AT116*'Data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265" spans="40:79" x14ac:dyDescent="0.3">
      <c r="AO265" s="67" t="s">
        <v>505</v>
      </c>
      <c r="AP265" s="67"/>
      <c r="AQ265">
        <f>'Data Training 1'!AW23*'Data Training 1'!AU34*'Data Training 1'!AU40*'Data Training 1'!AU45*'Data Training 1'!AU52*'Data Training 1'!AU58*'Data Training 1'!AU62*'Data Training 1'!AU70*'Data Training 1'!AU75*'Data Training 1'!AU81*'Data Training 1'!AU87*'Data Training 1'!AU93*'Data Training 1'!AU99*'Data Training 1'!AU105*'Data Training 1'!AU110*'Data Training 1'!AU116*'Data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266" spans="40:79" x14ac:dyDescent="0.3">
      <c r="AO266" s="67" t="s">
        <v>506</v>
      </c>
      <c r="AP266" s="67"/>
      <c r="AQ266">
        <f>'Data Training 1'!AW24*'Data Training 1'!AV34*'Data Training 1'!AV40*'Data Training 1'!AV45*'Data Training 1'!AV52*'Data Training 1'!AV58*'Data Training 1'!AV62*'Data Training 1'!AV70*'Data Training 1'!AV75*'Data Training 1'!AV81*'Data Training 1'!AV87*'Data Training 1'!AV93*'Data Training 1'!AV99*'Data Training 1'!AV105*'Data Training 1'!AV110*'Data Training 1'!AV116*'Data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267" spans="40:79" x14ac:dyDescent="0.3">
      <c r="AO267" s="67" t="s">
        <v>507</v>
      </c>
      <c r="AP267" s="67"/>
      <c r="AQ267">
        <f>'Data Training 1'!AW25*'Data Training 1'!AW34*'Data Training 1'!AW40*'Data Training 1'!AW45*'Data Training 1'!AW52*'Data Training 1'!AW58*'Data Training 1'!AW62*'Data Training 1'!AW70*'Data Training 1'!AW75*'Data Training 1'!AW81*'Data Training 1'!AW87*'Data Training 1'!AW93*'Data Training 1'!AW99*'Data Training 1'!AW105*'Data Training 1'!AW110*'Data Training 1'!AW116*'Data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0</v>
      </c>
    </row>
    <row r="268" spans="40:79" x14ac:dyDescent="0.3">
      <c r="AO268" s="67" t="s">
        <v>508</v>
      </c>
      <c r="AP268" s="67"/>
      <c r="AQ268">
        <f>'Data Training 1'!AW26*'Data Training 1'!AX34*'Data Training 1'!AX40*'Data Training 1'!AX45*'Data Training 1'!AX52*'Data Training 1'!AX58*'Data Training 1'!AX62*'Data Training 1'!AX70*'Data Training 1'!AX75*'Data Training 1'!AX81*'Data Training 1'!AX87*'Data Training 1'!AX93*'Data Training 1'!AX99*'Data Training 1'!AX105*'Data Training 1'!AX110*'Data Training 1'!AX116*'Data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3.0513742317022442E-9</v>
      </c>
    </row>
    <row r="269" spans="40:79" x14ac:dyDescent="0.3">
      <c r="AO269" s="67" t="s">
        <v>509</v>
      </c>
      <c r="AP269" s="67"/>
      <c r="AQ269">
        <f>'Data Training 1'!AW27*'Data Training 1'!AY34*'Data Training 1'!AY40*'Data Training 1'!AY45*'Data Training 1'!AY52*'Data Training 1'!AY58*'Data Training 1'!AY62*'Data Training 1'!AY70*'Data Training 1'!AY75*'Data Training 1'!AY81*'Data Training 1'!AY87*'Data Training 1'!AY93*'Data Training 1'!AY99*'Data Training 1'!AY105*'Data Training 1'!AY110*'Data Training 1'!AY116*'Data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8.1855350597957332E-13</v>
      </c>
    </row>
    <row r="270" spans="40:79" x14ac:dyDescent="0.3">
      <c r="AO270" s="76" t="s">
        <v>437</v>
      </c>
      <c r="AP270" s="76"/>
      <c r="AQ270" t="s">
        <v>298</v>
      </c>
      <c r="AR270" s="84" t="s">
        <v>514</v>
      </c>
      <c r="AS270" s="84"/>
      <c r="AT270" s="84"/>
    </row>
    <row r="272" spans="40:79" x14ac:dyDescent="0.3">
      <c r="AN272">
        <v>28</v>
      </c>
      <c r="AO272" s="77" t="s">
        <v>479</v>
      </c>
      <c r="AP272" s="77"/>
      <c r="AQ272" s="20" t="s">
        <v>64</v>
      </c>
      <c r="AR272" s="1" t="s">
        <v>43</v>
      </c>
      <c r="AS272" s="1" t="s">
        <v>44</v>
      </c>
      <c r="AT272" s="1" t="s">
        <v>45</v>
      </c>
      <c r="AU272" s="1" t="s">
        <v>46</v>
      </c>
      <c r="AV272" s="1" t="s">
        <v>47</v>
      </c>
      <c r="AW272" s="1" t="s">
        <v>48</v>
      </c>
      <c r="AX272" s="1" t="s">
        <v>49</v>
      </c>
      <c r="AY272" s="1" t="s">
        <v>50</v>
      </c>
      <c r="AZ272" s="1" t="s">
        <v>51</v>
      </c>
      <c r="BA272" s="1" t="s">
        <v>52</v>
      </c>
      <c r="BB272" s="1" t="s">
        <v>53</v>
      </c>
      <c r="BC272" s="1" t="s">
        <v>54</v>
      </c>
      <c r="BD272" s="1" t="s">
        <v>55</v>
      </c>
      <c r="BE272" s="1" t="s">
        <v>56</v>
      </c>
      <c r="BF272" s="1" t="s">
        <v>57</v>
      </c>
      <c r="BG272" s="1" t="s">
        <v>58</v>
      </c>
      <c r="BH272" s="1" t="s">
        <v>59</v>
      </c>
      <c r="BI272" s="1" t="s">
        <v>60</v>
      </c>
      <c r="BJ272" s="1" t="s">
        <v>61</v>
      </c>
      <c r="BK272" s="1" t="s">
        <v>62</v>
      </c>
      <c r="BL272" s="1" t="s">
        <v>63</v>
      </c>
      <c r="BM272" s="1" t="s">
        <v>330</v>
      </c>
      <c r="BN272" s="1" t="s">
        <v>331</v>
      </c>
      <c r="BO272" s="1" t="s">
        <v>332</v>
      </c>
      <c r="BP272" s="1" t="s">
        <v>333</v>
      </c>
      <c r="BQ272" s="1" t="s">
        <v>334</v>
      </c>
      <c r="BR272" s="1" t="s">
        <v>335</v>
      </c>
      <c r="BS272" s="1" t="s">
        <v>336</v>
      </c>
      <c r="BT272" s="1" t="s">
        <v>337</v>
      </c>
      <c r="BU272" s="1" t="s">
        <v>338</v>
      </c>
      <c r="BV272" s="1" t="s">
        <v>339</v>
      </c>
      <c r="BW272" s="1" t="s">
        <v>340</v>
      </c>
      <c r="BX272" s="1" t="s">
        <v>341</v>
      </c>
      <c r="BY272" s="1" t="s">
        <v>342</v>
      </c>
      <c r="BZ272" s="1" t="s">
        <v>343</v>
      </c>
      <c r="CA272" s="1" t="s">
        <v>390</v>
      </c>
    </row>
    <row r="273" spans="40:79" x14ac:dyDescent="0.3">
      <c r="AO273" s="77"/>
      <c r="AP273" s="77"/>
      <c r="AQ273" s="20">
        <v>5</v>
      </c>
      <c r="AR273" t="s">
        <v>2</v>
      </c>
      <c r="AS273" t="s">
        <v>3</v>
      </c>
      <c r="AT273" t="s">
        <v>5</v>
      </c>
      <c r="AU273" t="s">
        <v>5</v>
      </c>
      <c r="AV273" t="s">
        <v>5</v>
      </c>
      <c r="AW273" t="s">
        <v>5</v>
      </c>
      <c r="AX273" t="s">
        <v>5</v>
      </c>
      <c r="AY273" t="s">
        <v>2</v>
      </c>
      <c r="AZ273" t="s">
        <v>3</v>
      </c>
      <c r="BA273" t="s">
        <v>3</v>
      </c>
      <c r="BB273" t="s">
        <v>5</v>
      </c>
      <c r="BC273" t="s">
        <v>2</v>
      </c>
      <c r="BD273" t="s">
        <v>5</v>
      </c>
      <c r="BE273" t="s">
        <v>2</v>
      </c>
      <c r="BF273" t="s">
        <v>2</v>
      </c>
      <c r="BG273" t="s">
        <v>5</v>
      </c>
      <c r="BH273" t="s">
        <v>5</v>
      </c>
      <c r="BI273" t="s">
        <v>5</v>
      </c>
      <c r="BJ273" t="s">
        <v>3</v>
      </c>
      <c r="BK273" t="s">
        <v>3</v>
      </c>
      <c r="BL273" t="s">
        <v>4</v>
      </c>
      <c r="BM273" t="s">
        <v>2</v>
      </c>
      <c r="BN273" t="s">
        <v>3</v>
      </c>
      <c r="BO273" t="s">
        <v>4</v>
      </c>
      <c r="BP273" t="s">
        <v>4</v>
      </c>
      <c r="BQ273" t="s">
        <v>4</v>
      </c>
      <c r="BR273" t="s">
        <v>4</v>
      </c>
      <c r="BS273" t="s">
        <v>4</v>
      </c>
      <c r="BT273" t="s">
        <v>3</v>
      </c>
      <c r="BU273" t="s">
        <v>3</v>
      </c>
      <c r="BV273" t="s">
        <v>4</v>
      </c>
      <c r="BW273" t="s">
        <v>3</v>
      </c>
      <c r="BX273" t="s">
        <v>4</v>
      </c>
      <c r="BY273" t="s">
        <v>4</v>
      </c>
      <c r="BZ273" t="s">
        <v>4</v>
      </c>
      <c r="CA273" t="s">
        <v>3</v>
      </c>
    </row>
    <row r="274" spans="40:79" x14ac:dyDescent="0.3">
      <c r="AO274" s="67" t="s">
        <v>504</v>
      </c>
      <c r="AP274" s="67"/>
      <c r="AQ274">
        <f>PRODUCT('Data Training 1'!AW22,'Data Training 1'!AT33,'Data Training 1'!AT38,'Data Training 1'!AT46,'Data Training 1'!AT52,'Data Training 1'!AT58,'Data Training 1'!AT64,'Data Training 1'!AT70,'Data Training 1'!AT75,'Data Training 1'!AT80,'Data Training 1'!AT86,'Data Training 1'!AT94,'Data Training 1'!AT99,'Data Training 1'!AT106,'Data Training 1'!AT111,'Data Training 1'!AT117,'Data Training 1'!AT124,'Data Training 1'!AT130,'Data Training 1'!AT136,'Data Training 1'!AT140,'Data Training 1'!AT146,'Data Training 1'!AT151,'Data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75" spans="40:79" x14ac:dyDescent="0.3">
      <c r="AO275" s="67" t="s">
        <v>505</v>
      </c>
      <c r="AP275" s="67"/>
      <c r="AQ275">
        <f>PRODUCT('Data Training 1'!AW23,'Data Training 1'!AU33,'Data Training 1'!AU38,'Data Training 1'!AU46,'Data Training 1'!AU52,'Data Training 1'!AU58,'Data Training 1'!AU64,'Data Training 1'!AU70,'Data Training 1'!AU75,'Data Training 1'!AU80,'Data Training 1'!AU86,'Data Training 1'!AU94,'Data Training 1'!AU99,'Data Training 1'!AU106,'Data Training 1'!AU111,'Data Training 1'!AU117,'Data Training 1'!AU124,'Data Training 1'!AU130,'Data Training 1'!AU136,'Data Training 1'!AU140,'Data Training 1'!AU146,'Data Training 1'!AU151,'Data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76" spans="40:79" x14ac:dyDescent="0.3">
      <c r="AO276" s="67" t="s">
        <v>506</v>
      </c>
      <c r="AP276" s="67"/>
      <c r="AQ276">
        <f>PRODUCT('Data Training 1'!AW24,'Data Training 1'!AV33,'Data Training 1'!AV38,'Data Training 1'!AV46,'Data Training 1'!AV52,'Data Training 1'!AV58,'Data Training 1'!AV64,'Data Training 1'!AV70,'Data Training 1'!AV75,'Data Training 1'!AV80,'Data Training 1'!AV86,'Data Training 1'!AV94,'Data Training 1'!AV99,'Data Training 1'!AV106,'Data Training 1'!AV111,'Data Training 1'!AV117,'Data Training 1'!AV124,'Data Training 1'!AV130,'Data Training 1'!AV136,'Data Training 1'!AV140,'Data Training 1'!AV146,'Data Training 1'!AV151,'Data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77" spans="40:79" x14ac:dyDescent="0.3">
      <c r="AO277" s="67" t="s">
        <v>507</v>
      </c>
      <c r="AP277" s="67"/>
      <c r="AQ277">
        <f>PRODUCT('Data Training 1'!AW25,'Data Training 1'!AW33,'Data Training 1'!AW38,'Data Training 1'!AW46,'Data Training 1'!AW52,'Data Training 1'!AW58,'Data Training 1'!AW64,'Data Training 1'!AW70,'Data Training 1'!AW75,'Data Training 1'!AW80,'Data Training 1'!AW86,'Data Training 1'!AW94,'Data Training 1'!AW99,'Data Training 1'!AW106,'Data Training 1'!AW111,'Data Training 1'!AW117,'Data Training 1'!AW124,'Data Training 1'!AW130,'Data Training 1'!AW136,'Data Training 1'!AW140,'Data Training 1'!AW146,'Data Training 1'!AW151,'Data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1.7168171501445595E-10</v>
      </c>
    </row>
    <row r="278" spans="40:79" x14ac:dyDescent="0.3">
      <c r="AO278" s="67" t="s">
        <v>508</v>
      </c>
      <c r="AP278" s="67"/>
      <c r="AQ278" s="43">
        <f>PRODUCT('Data Training 1'!AW26,'Data Training 1'!AX33,'Data Training 1'!AX38,'Data Training 1'!AX46,'Data Training 1'!AX52,'Data Training 1'!AX58,'Data Training 1'!AX64,'Data Training 1'!AX70,'Data Training 1'!AX75,'Data Training 1'!AX80,'Data Training 1'!AX86,'Data Training 1'!AX94,'Data Training 1'!AX99,'Data Training 1'!AX106,'Data Training 1'!AX111,'Data Training 1'!AX117,'Data Training 1'!AX124,'Data Training 1'!AX130,'Data Training 1'!AX136,'Data Training 1'!AX140,'Data Training 1'!AX146,'Data Training 1'!AX151,'Data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8.8998415091315388E-11</v>
      </c>
    </row>
    <row r="279" spans="40:79" x14ac:dyDescent="0.3">
      <c r="AO279" s="67" t="s">
        <v>509</v>
      </c>
      <c r="AP279" s="67"/>
      <c r="AQ279">
        <f>PRODUCT('Data Training 1'!AW27,'Data Training 1'!AY33,'Data Training 1'!AY38,'Data Training 1'!AY46,'Data Training 1'!AY52,'Data Training 1'!AY58,'Data Training 1'!AY64,'Data Training 1'!AY70,'Data Training 1'!AY75,'Data Training 1'!AY80,'Data Training 1'!AY86,'Data Training 1'!AY94,'Data Training 1'!AY99,'Data Training 1'!AY106,'Data Training 1'!AY111,'Data Training 1'!AY117,'Data Training 1'!AY124,'Data Training 1'!AY130,'Data Training 1'!AY136,'Data Training 1'!AY140,'Data Training 1'!AY146,'Data Training 1'!AY151,'Data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80" spans="40:79" x14ac:dyDescent="0.3">
      <c r="AO280" s="76" t="s">
        <v>437</v>
      </c>
      <c r="AP280" s="76"/>
      <c r="AQ280" t="s">
        <v>297</v>
      </c>
      <c r="AR280" s="74" t="s">
        <v>438</v>
      </c>
      <c r="AS280" s="74"/>
      <c r="AT280" s="74"/>
    </row>
    <row r="282" spans="40:79" x14ac:dyDescent="0.3">
      <c r="AN282">
        <v>29</v>
      </c>
      <c r="AO282" s="77" t="s">
        <v>480</v>
      </c>
      <c r="AP282" s="77"/>
      <c r="AQ282" s="20" t="s">
        <v>64</v>
      </c>
      <c r="AR282" s="1" t="s">
        <v>43</v>
      </c>
      <c r="AS282" s="1" t="s">
        <v>44</v>
      </c>
      <c r="AT282" s="1" t="s">
        <v>45</v>
      </c>
      <c r="AU282" s="1" t="s">
        <v>46</v>
      </c>
      <c r="AV282" s="1" t="s">
        <v>47</v>
      </c>
      <c r="AW282" s="1" t="s">
        <v>48</v>
      </c>
      <c r="AX282" s="1" t="s">
        <v>49</v>
      </c>
      <c r="AY282" s="1" t="s">
        <v>50</v>
      </c>
      <c r="AZ282" s="1" t="s">
        <v>51</v>
      </c>
      <c r="BA282" s="1" t="s">
        <v>52</v>
      </c>
      <c r="BB282" s="1" t="s">
        <v>53</v>
      </c>
      <c r="BC282" s="1" t="s">
        <v>54</v>
      </c>
      <c r="BD282" s="1" t="s">
        <v>55</v>
      </c>
      <c r="BE282" s="1" t="s">
        <v>56</v>
      </c>
      <c r="BF282" s="1" t="s">
        <v>57</v>
      </c>
      <c r="BG282" s="1" t="s">
        <v>58</v>
      </c>
      <c r="BH282" s="1" t="s">
        <v>59</v>
      </c>
      <c r="BI282" s="1" t="s">
        <v>60</v>
      </c>
      <c r="BJ282" s="1" t="s">
        <v>61</v>
      </c>
      <c r="BK282" s="1" t="s">
        <v>62</v>
      </c>
      <c r="BL282" s="1" t="s">
        <v>63</v>
      </c>
      <c r="BM282" s="1" t="s">
        <v>330</v>
      </c>
      <c r="BN282" s="1" t="s">
        <v>331</v>
      </c>
      <c r="BO282" s="1" t="s">
        <v>332</v>
      </c>
      <c r="BP282" s="1" t="s">
        <v>333</v>
      </c>
      <c r="BQ282" s="1" t="s">
        <v>334</v>
      </c>
      <c r="BR282" s="1" t="s">
        <v>335</v>
      </c>
      <c r="BS282" s="1" t="s">
        <v>336</v>
      </c>
      <c r="BT282" s="1" t="s">
        <v>337</v>
      </c>
      <c r="BU282" s="1" t="s">
        <v>338</v>
      </c>
      <c r="BV282" s="1" t="s">
        <v>339</v>
      </c>
      <c r="BW282" s="1" t="s">
        <v>340</v>
      </c>
      <c r="BX282" s="1" t="s">
        <v>341</v>
      </c>
      <c r="BY282" s="1" t="s">
        <v>342</v>
      </c>
      <c r="BZ282" s="1" t="s">
        <v>343</v>
      </c>
      <c r="CA282" s="1" t="s">
        <v>390</v>
      </c>
    </row>
    <row r="283" spans="40:79" x14ac:dyDescent="0.3">
      <c r="AO283" s="77"/>
      <c r="AP283" s="77"/>
      <c r="AQ283" s="20">
        <v>5</v>
      </c>
      <c r="AR283" t="s">
        <v>2</v>
      </c>
      <c r="AS283" t="s">
        <v>3</v>
      </c>
      <c r="AT283" t="s">
        <v>4</v>
      </c>
      <c r="AU283" t="s">
        <v>5</v>
      </c>
      <c r="AV283" t="s">
        <v>5</v>
      </c>
      <c r="AW283" t="s">
        <v>3</v>
      </c>
      <c r="AX283" t="s">
        <v>5</v>
      </c>
      <c r="AY283" t="s">
        <v>2</v>
      </c>
      <c r="AZ283" t="s">
        <v>3</v>
      </c>
      <c r="BA283" t="s">
        <v>2</v>
      </c>
      <c r="BB283" t="s">
        <v>2</v>
      </c>
      <c r="BC283" t="s">
        <v>5</v>
      </c>
      <c r="BD283" t="s">
        <v>5</v>
      </c>
      <c r="BE283" t="s">
        <v>2</v>
      </c>
      <c r="BF283" t="s">
        <v>5</v>
      </c>
      <c r="BG283" t="s">
        <v>5</v>
      </c>
      <c r="BH283" t="s">
        <v>3</v>
      </c>
      <c r="BI283" t="s">
        <v>5</v>
      </c>
      <c r="BJ283" t="s">
        <v>2</v>
      </c>
      <c r="BK283" t="s">
        <v>4</v>
      </c>
      <c r="BL283" t="s">
        <v>4</v>
      </c>
      <c r="BM283" t="s">
        <v>2</v>
      </c>
      <c r="BN283" t="s">
        <v>3</v>
      </c>
      <c r="BO283" t="s">
        <v>4</v>
      </c>
      <c r="BP283" t="s">
        <v>4</v>
      </c>
      <c r="BQ283" t="s">
        <v>4</v>
      </c>
      <c r="BR283" t="s">
        <v>4</v>
      </c>
      <c r="BS283" t="s">
        <v>4</v>
      </c>
      <c r="BT283" t="s">
        <v>4</v>
      </c>
      <c r="BU283" t="s">
        <v>3</v>
      </c>
      <c r="BV283" t="s">
        <v>4</v>
      </c>
      <c r="BW283" t="s">
        <v>3</v>
      </c>
      <c r="BX283" t="s">
        <v>4</v>
      </c>
      <c r="BY283" t="s">
        <v>4</v>
      </c>
      <c r="BZ283" t="s">
        <v>3</v>
      </c>
      <c r="CA283" t="s">
        <v>3</v>
      </c>
    </row>
    <row r="284" spans="40:79" x14ac:dyDescent="0.3">
      <c r="AO284" s="67" t="s">
        <v>504</v>
      </c>
      <c r="AP284" s="67"/>
      <c r="AQ284">
        <f>PRODUCT('Data Training 1'!AW22,'Data Training 1'!AT33,'Data Training 1'!AT38,'Data Training 1'!AT43,'Data Training 1'!AT52,'Data Training 1'!AT58,'Data Training 1'!AT62,'Data Training 1'!AT70,'Data Training 1'!AT75,'Data Training 1'!AT80,'Data Training 1'!AT87,'Data Training 1'!AT93,'Data Training 1'!AT100,'Data Training 1'!AT106,'Data Training 1'!AT111,'Data Training 1'!AT118,'Data Training 1'!AT124,'Data Training 1'!AT128,'Data Training 1'!AT136,'Data Training 1'!AT141,'Data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85" spans="40:79" x14ac:dyDescent="0.3">
      <c r="AO285" s="67" t="s">
        <v>505</v>
      </c>
      <c r="AP285" s="67"/>
      <c r="AQ285">
        <f>PRODUCT('Data Training 1'!AW23,'Data Training 1'!AU33,'Data Training 1'!AU38,'Data Training 1'!AU43,'Data Training 1'!AU52,'Data Training 1'!AU58,'Data Training 1'!AU62,'Data Training 1'!AU70,'Data Training 1'!AU75,'Data Training 1'!AU80,'Data Training 1'!AU87,'Data Training 1'!AU93,'Data Training 1'!AU100,'Data Training 1'!AU106,'Data Training 1'!AU111,'Data Training 1'!AU118,'Data Training 1'!AU124,'Data Training 1'!AU128,'Data Training 1'!AU136,'Data Training 1'!AU141,'Data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86" spans="40:79" x14ac:dyDescent="0.3">
      <c r="AO286" s="67" t="s">
        <v>506</v>
      </c>
      <c r="AP286" s="67"/>
      <c r="AQ286">
        <f>PRODUCT('Data Training 1'!AW24,'Data Training 1'!AV33,'Data Training 1'!AV38,'Data Training 1'!AV43,'Data Training 1'!AV52,'Data Training 1'!AV58,'Data Training 1'!AV62,'Data Training 1'!AV70,'Data Training 1'!AV75,'Data Training 1'!AV80,'Data Training 1'!AV87,'Data Training 1'!AV93,'Data Training 1'!AV100,'Data Training 1'!AV106,'Data Training 1'!AV111,'Data Training 1'!AV118,'Data Training 1'!AV124,'Data Training 1'!AV128,'Data Training 1'!AV136,'Data Training 1'!AV141,'Data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87" spans="40:79" x14ac:dyDescent="0.3">
      <c r="AO287" s="67" t="s">
        <v>507</v>
      </c>
      <c r="AP287" s="67"/>
      <c r="AQ287">
        <f>PRODUCT('Data Training 1'!AW25,'Data Training 1'!AW33,'Data Training 1'!AW38,'Data Training 1'!AW43,'Data Training 1'!AW52,'Data Training 1'!AW58,'Data Training 1'!AW62,'Data Training 1'!AW70,'Data Training 1'!AW75,'Data Training 1'!AW80,'Data Training 1'!AW87,'Data Training 1'!AW93,'Data Training 1'!AW100,'Data Training 1'!AW106,'Data Training 1'!AW111,'Data Training 1'!AW118,'Data Training 1'!AW124,'Data Training 1'!AW128,'Data Training 1'!AW136,'Data Training 1'!AW141,'Data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288" spans="40:79" x14ac:dyDescent="0.3">
      <c r="AO288" s="67" t="s">
        <v>508</v>
      </c>
      <c r="AP288" s="67"/>
      <c r="AQ288">
        <f>PRODUCT('Data Training 1'!AW26,'Data Training 1'!AX33,'Data Training 1'!AX38,'Data Training 1'!AX43,'Data Training 1'!AX52,'Data Training 1'!AX58,'Data Training 1'!AX62,'Data Training 1'!AX70,'Data Training 1'!AX75,'Data Training 1'!AX80,'Data Training 1'!AX87,'Data Training 1'!AX93,'Data Training 1'!AX100,'Data Training 1'!AX106,'Data Training 1'!AX111,'Data Training 1'!AX118,'Data Training 1'!AX124,'Data Training 1'!AX128,'Data Training 1'!AX136,'Data Training 1'!AX141,'Data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3.0998087433165655E-11</v>
      </c>
    </row>
    <row r="289" spans="40:79" x14ac:dyDescent="0.3">
      <c r="AO289" s="67" t="s">
        <v>509</v>
      </c>
      <c r="AP289" s="67"/>
      <c r="AQ289">
        <f>PRODUCT('Data Training 1'!AW27,'Data Training 1'!AY33,'Data Training 1'!AY38,'Data Training 1'!AY43,'Data Training 1'!AY52,'Data Training 1'!AY58,'Data Training 1'!AY62,'Data Training 1'!AY70,'Data Training 1'!AY75,'Data Training 1'!AY80,'Data Training 1'!AY87,'Data Training 1'!AY93,'Data Training 1'!AY100,'Data Training 1'!AY106,'Data Training 1'!AY111,'Data Training 1'!AY118,'Data Training 1'!AY124,'Data Training 1'!AY128,'Data Training 1'!AY136,'Data Training 1'!AY141,'Data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90" spans="40:79" x14ac:dyDescent="0.3">
      <c r="AO290" s="76" t="s">
        <v>437</v>
      </c>
      <c r="AP290" s="76"/>
      <c r="AQ290" t="s">
        <v>297</v>
      </c>
      <c r="AR290" s="74" t="s">
        <v>438</v>
      </c>
      <c r="AS290" s="74"/>
      <c r="AT290" s="74"/>
    </row>
    <row r="291" spans="40:79" x14ac:dyDescent="0.3">
      <c r="AO291" s="41"/>
      <c r="AP291" s="41"/>
    </row>
    <row r="292" spans="40:79" x14ac:dyDescent="0.3">
      <c r="AN292">
        <v>30</v>
      </c>
      <c r="AO292" s="77" t="s">
        <v>495</v>
      </c>
      <c r="AP292" s="77"/>
      <c r="AQ292" s="20" t="s">
        <v>64</v>
      </c>
      <c r="AR292" s="1" t="s">
        <v>43</v>
      </c>
      <c r="AS292" s="1" t="s">
        <v>44</v>
      </c>
      <c r="AT292" s="1" t="s">
        <v>45</v>
      </c>
      <c r="AU292" s="1" t="s">
        <v>46</v>
      </c>
      <c r="AV292" s="1" t="s">
        <v>47</v>
      </c>
      <c r="AW292" s="1" t="s">
        <v>48</v>
      </c>
      <c r="AX292" s="1" t="s">
        <v>49</v>
      </c>
      <c r="AY292" s="1" t="s">
        <v>50</v>
      </c>
      <c r="AZ292" s="1" t="s">
        <v>51</v>
      </c>
      <c r="BA292" s="1" t="s">
        <v>52</v>
      </c>
      <c r="BB292" s="1" t="s">
        <v>53</v>
      </c>
      <c r="BC292" s="1" t="s">
        <v>54</v>
      </c>
      <c r="BD292" s="1" t="s">
        <v>55</v>
      </c>
      <c r="BE292" s="1" t="s">
        <v>56</v>
      </c>
      <c r="BF292" s="1" t="s">
        <v>57</v>
      </c>
      <c r="BG292" s="1" t="s">
        <v>58</v>
      </c>
      <c r="BH292" s="1" t="s">
        <v>59</v>
      </c>
      <c r="BI292" s="1" t="s">
        <v>60</v>
      </c>
      <c r="BJ292" s="1" t="s">
        <v>61</v>
      </c>
      <c r="BK292" s="1" t="s">
        <v>62</v>
      </c>
      <c r="BL292" s="1" t="s">
        <v>63</v>
      </c>
      <c r="BM292" s="1" t="s">
        <v>330</v>
      </c>
      <c r="BN292" s="1" t="s">
        <v>331</v>
      </c>
      <c r="BO292" s="1" t="s">
        <v>332</v>
      </c>
      <c r="BP292" s="1" t="s">
        <v>333</v>
      </c>
      <c r="BQ292" s="1" t="s">
        <v>334</v>
      </c>
      <c r="BR292" s="1" t="s">
        <v>335</v>
      </c>
      <c r="BS292" s="1" t="s">
        <v>336</v>
      </c>
      <c r="BT292" s="1" t="s">
        <v>337</v>
      </c>
      <c r="BU292" s="1" t="s">
        <v>338</v>
      </c>
      <c r="BV292" s="1" t="s">
        <v>339</v>
      </c>
      <c r="BW292" s="1" t="s">
        <v>340</v>
      </c>
      <c r="BX292" s="1" t="s">
        <v>341</v>
      </c>
      <c r="BY292" s="1" t="s">
        <v>342</v>
      </c>
      <c r="BZ292" s="1" t="s">
        <v>343</v>
      </c>
      <c r="CA292" s="1" t="s">
        <v>390</v>
      </c>
    </row>
    <row r="293" spans="40:79" x14ac:dyDescent="0.3">
      <c r="AO293" s="77"/>
      <c r="AP293" s="77"/>
      <c r="AQ293" s="20">
        <v>5</v>
      </c>
      <c r="AR293" t="s">
        <v>5</v>
      </c>
      <c r="AS293" t="s">
        <v>5</v>
      </c>
      <c r="AT293" t="s">
        <v>3</v>
      </c>
      <c r="AU293" t="s">
        <v>5</v>
      </c>
      <c r="AV293" t="s">
        <v>5</v>
      </c>
      <c r="AW293" t="s">
        <v>5</v>
      </c>
      <c r="AX293" t="s">
        <v>5</v>
      </c>
      <c r="AY293" t="s">
        <v>2</v>
      </c>
      <c r="AZ293" t="s">
        <v>2</v>
      </c>
      <c r="BA293" t="s">
        <v>5</v>
      </c>
      <c r="BB293" t="s">
        <v>2</v>
      </c>
      <c r="BC293" t="s">
        <v>2</v>
      </c>
      <c r="BD293" t="s">
        <v>4</v>
      </c>
      <c r="BE293" t="s">
        <v>3</v>
      </c>
      <c r="BF293" t="s">
        <v>2</v>
      </c>
      <c r="BG293" t="s">
        <v>5</v>
      </c>
      <c r="BH293" t="s">
        <v>5</v>
      </c>
      <c r="BI293" t="s">
        <v>5</v>
      </c>
      <c r="BJ293" t="s">
        <v>3</v>
      </c>
      <c r="BK293" t="s">
        <v>3</v>
      </c>
      <c r="BL293" t="s">
        <v>3</v>
      </c>
      <c r="BM293" t="s">
        <v>4</v>
      </c>
      <c r="BN293" t="s">
        <v>3</v>
      </c>
      <c r="BO293" t="s">
        <v>4</v>
      </c>
      <c r="BP293" t="s">
        <v>4</v>
      </c>
      <c r="BQ293" t="s">
        <v>4</v>
      </c>
      <c r="BR293" t="s">
        <v>4</v>
      </c>
      <c r="BS293" t="s">
        <v>4</v>
      </c>
      <c r="BT293" t="s">
        <v>3</v>
      </c>
      <c r="BU293" t="s">
        <v>3</v>
      </c>
      <c r="BV293" t="s">
        <v>4</v>
      </c>
      <c r="BW293" t="s">
        <v>3</v>
      </c>
      <c r="BX293" t="s">
        <v>4</v>
      </c>
      <c r="BY293" t="s">
        <v>4</v>
      </c>
      <c r="BZ293" t="s">
        <v>3</v>
      </c>
      <c r="CA293" t="s">
        <v>3</v>
      </c>
    </row>
    <row r="294" spans="40:79" x14ac:dyDescent="0.3">
      <c r="AO294" s="67" t="s">
        <v>504</v>
      </c>
      <c r="AP294" s="67"/>
      <c r="AQ294" s="43">
        <f>PRODUCT('Data Training 1'!AW22,'Data Training 1'!AT34,'Data Training 1'!AT40,'Data Training 1'!AT44,'Data Training 1'!AT52,'Data Training 1'!AT58,'Data Training 1'!AT64,'Data Training 1'!AT70,'Data Training 1'!AT75,'Data Training 1'!AT81,'Data Training 1'!AT88,'Data Training 1'!AT93,'Data Training 1'!AT99,'Data Training 1'!AT103,'Data Training 1'!AT110,'Data Training 1'!AT117,'Data Training 1'!AT124,'Data Training 1'!AT130,'Data Training 1'!AT136,'Data Training 1'!AT140,'Data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1'!AT212,'Data Training 1'!AT216)</f>
        <v>0</v>
      </c>
    </row>
    <row r="295" spans="40:79" x14ac:dyDescent="0.3">
      <c r="AO295" s="67" t="s">
        <v>505</v>
      </c>
      <c r="AP295" s="67"/>
      <c r="AQ295" s="43">
        <f>PRODUCT('Data Training 1'!AW23,'Data Training 1'!AU34,'Data Training 1'!AU40,'Data Training 1'!AU44,'Data Training 1'!AU52,'Data Training 1'!AU58,'Data Training 1'!AU64,'Data Training 1'!AU70,'Data Training 1'!AU75,'Data Training 1'!AU81,'Data Training 1'!AU88,'Data Training 1'!AU93,'Data Training 1'!AU99,'Data Training 1'!AU103,'Data Training 1'!AU110,'Data Training 1'!AU117,'Data Training 1'!AU124,'Data Training 1'!AU130,'Data Training 1'!AU136,'Data Training 1'!AU140,'Data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1'!AU212,'Data Training 1'!AU216)</f>
        <v>0</v>
      </c>
    </row>
    <row r="296" spans="40:79" x14ac:dyDescent="0.3">
      <c r="AO296" s="67" t="s">
        <v>506</v>
      </c>
      <c r="AP296" s="67"/>
      <c r="AQ296" s="43">
        <f>PRODUCT('Data Training 1'!AW24,'Data Training 1'!AV34,'Data Training 1'!AV40,'Data Training 1'!AV44,'Data Training 1'!AV52,'Data Training 1'!AV58,'Data Training 1'!AV64,'Data Training 1'!AV70,'Data Training 1'!AV75,'Data Training 1'!AV81,'Data Training 1'!AV88,'Data Training 1'!AV93,'Data Training 1'!AV99,'Data Training 1'!AV103,'Data Training 1'!AV110,'Data Training 1'!AV117,'Data Training 1'!AV124,'Data Training 1'!AV130,'Data Training 1'!AV136,'Data Training 1'!AV140,'Data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1'!AV212,'Data Training 1'!AV216)</f>
        <v>0</v>
      </c>
    </row>
    <row r="297" spans="40:79" x14ac:dyDescent="0.3">
      <c r="AO297" s="67" t="s">
        <v>507</v>
      </c>
      <c r="AP297" s="67"/>
      <c r="AQ297" s="43">
        <f>PRODUCT('Data Training 1'!AW25,'Data Training 1'!AW34,'Data Training 1'!AW40,'Data Training 1'!AW44,'Data Training 1'!AW52,'Data Training 1'!AW58,'Data Training 1'!AW64,'Data Training 1'!AW70,'Data Training 1'!AW75,'Data Training 1'!AW81,'Data Training 1'!AW88,'Data Training 1'!AW93,'Data Training 1'!AW99,'Data Training 1'!AW103,'Data Training 1'!AW110,'Data Training 1'!AW117,'Data Training 1'!AW124,'Data Training 1'!AW130,'Data Training 1'!AW136,'Data Training 1'!AW140,'Data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1'!AW212,'Data Training 1'!AW216)</f>
        <v>0</v>
      </c>
    </row>
    <row r="298" spans="40:79" x14ac:dyDescent="0.3">
      <c r="AO298" s="67" t="s">
        <v>508</v>
      </c>
      <c r="AP298" s="67"/>
      <c r="AQ298" s="43">
        <f>PRODUCT('Data Training 1'!AW26,'Data Training 1'!AX34,'Data Training 1'!AX40,'Data Training 1'!AX44,'Data Training 1'!AX52,'Data Training 1'!AX58,'Data Training 1'!AX64,'Data Training 1'!AX70,'Data Training 1'!AX75,'Data Training 1'!AX81,'Data Training 1'!AX88,'Data Training 1'!AX93,'Data Training 1'!AX99,'Data Training 1'!AX103,'Data Training 1'!AX110,'Data Training 1'!AX117,'Data Training 1'!AX124,'Data Training 1'!AX130,'Data Training 1'!AX136,'Data Training 1'!AX140,'Data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1'!AX212,'Data Training 1'!AX216)</f>
        <v>3.1078811619189511E-9</v>
      </c>
    </row>
    <row r="299" spans="40:79" x14ac:dyDescent="0.3">
      <c r="AO299" s="67" t="s">
        <v>509</v>
      </c>
      <c r="AP299" s="67"/>
      <c r="AQ299" s="43">
        <f>PRODUCT('Data Training 1'!AW27,'Data Training 1'!AY34,'Data Training 1'!AY40,'Data Training 1'!AY44,'Data Training 1'!AY52,'Data Training 1'!AY58,'Data Training 1'!AY64,'Data Training 1'!AY70,'Data Training 1'!AY75,'Data Training 1'!AY81,'Data Training 1'!AY88,'Data Training 1'!AY93,'Data Training 1'!AY99,'Data Training 1'!AY103,'Data Training 1'!AY110,'Data Training 1'!AY117,'Data Training 1'!AY124,'Data Training 1'!AY130,'Data Training 1'!AY136,'Data Training 1'!AY140,'Data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1'!AY212,'Data Training 1'!AY216)</f>
        <v>0</v>
      </c>
    </row>
    <row r="300" spans="40:79" x14ac:dyDescent="0.3">
      <c r="AO300" s="76" t="s">
        <v>437</v>
      </c>
      <c r="AP300" s="76"/>
      <c r="AQ300" t="s">
        <v>297</v>
      </c>
      <c r="AR300" s="74" t="s">
        <v>438</v>
      </c>
      <c r="AS300" s="74"/>
      <c r="AT300" s="74"/>
    </row>
    <row r="301" spans="40:79" x14ac:dyDescent="0.3">
      <c r="AO301" s="41"/>
      <c r="AP301" s="41"/>
    </row>
    <row r="302" spans="40:79" x14ac:dyDescent="0.3">
      <c r="AN302">
        <v>31</v>
      </c>
      <c r="AO302" s="66" t="s">
        <v>430</v>
      </c>
      <c r="AP302" s="66"/>
      <c r="AQ302" s="20" t="s">
        <v>64</v>
      </c>
      <c r="AR302" s="1" t="s">
        <v>43</v>
      </c>
      <c r="AS302" s="1" t="s">
        <v>44</v>
      </c>
      <c r="AT302" s="1" t="s">
        <v>45</v>
      </c>
      <c r="AU302" s="1" t="s">
        <v>46</v>
      </c>
      <c r="AV302" s="1" t="s">
        <v>47</v>
      </c>
      <c r="AW302" s="1" t="s">
        <v>48</v>
      </c>
      <c r="AX302" s="1" t="s">
        <v>49</v>
      </c>
      <c r="AY302" s="1" t="s">
        <v>50</v>
      </c>
      <c r="AZ302" s="1" t="s">
        <v>51</v>
      </c>
      <c r="BA302" s="1" t="s">
        <v>52</v>
      </c>
      <c r="BB302" s="1" t="s">
        <v>53</v>
      </c>
      <c r="BC302" s="1" t="s">
        <v>54</v>
      </c>
      <c r="BD302" s="1" t="s">
        <v>55</v>
      </c>
      <c r="BE302" s="1" t="s">
        <v>56</v>
      </c>
      <c r="BF302" s="1" t="s">
        <v>57</v>
      </c>
      <c r="BG302" s="1" t="s">
        <v>58</v>
      </c>
      <c r="BH302" s="1" t="s">
        <v>59</v>
      </c>
      <c r="BI302" s="1" t="s">
        <v>60</v>
      </c>
      <c r="BJ302" s="1" t="s">
        <v>61</v>
      </c>
      <c r="BK302" s="1" t="s">
        <v>62</v>
      </c>
      <c r="BL302" s="1" t="s">
        <v>63</v>
      </c>
      <c r="BM302" s="1" t="s">
        <v>330</v>
      </c>
      <c r="BN302" s="1" t="s">
        <v>331</v>
      </c>
      <c r="BO302" s="1" t="s">
        <v>332</v>
      </c>
      <c r="BP302" s="1" t="s">
        <v>333</v>
      </c>
      <c r="BQ302" s="1" t="s">
        <v>334</v>
      </c>
      <c r="BR302" s="1" t="s">
        <v>335</v>
      </c>
      <c r="BS302" s="1" t="s">
        <v>336</v>
      </c>
      <c r="BT302" s="1" t="s">
        <v>337</v>
      </c>
      <c r="BU302" s="1" t="s">
        <v>338</v>
      </c>
      <c r="BV302" s="1" t="s">
        <v>339</v>
      </c>
      <c r="BW302" s="1" t="s">
        <v>340</v>
      </c>
      <c r="BX302" s="1" t="s">
        <v>341</v>
      </c>
      <c r="BY302" s="1" t="s">
        <v>342</v>
      </c>
      <c r="BZ302" s="1" t="s">
        <v>343</v>
      </c>
      <c r="CA302" s="1" t="s">
        <v>390</v>
      </c>
    </row>
    <row r="303" spans="40:79" x14ac:dyDescent="0.3">
      <c r="AO303" s="66"/>
      <c r="AP303" s="66"/>
      <c r="AQ303" s="20">
        <v>6</v>
      </c>
      <c r="AR303" t="s">
        <v>5</v>
      </c>
      <c r="AS303" t="s">
        <v>5</v>
      </c>
      <c r="AT303" t="s">
        <v>3</v>
      </c>
      <c r="AU303" t="s">
        <v>5</v>
      </c>
      <c r="AV303" t="s">
        <v>5</v>
      </c>
      <c r="AW303" t="s">
        <v>5</v>
      </c>
      <c r="AX303" t="s">
        <v>5</v>
      </c>
      <c r="AY303" t="s">
        <v>2</v>
      </c>
      <c r="AZ303" t="s">
        <v>2</v>
      </c>
      <c r="BA303" t="s">
        <v>4</v>
      </c>
      <c r="BB303" t="s">
        <v>4</v>
      </c>
      <c r="BC303" t="s">
        <v>4</v>
      </c>
      <c r="BD303" t="s">
        <v>5</v>
      </c>
      <c r="BE303" t="s">
        <v>4</v>
      </c>
      <c r="BF303" t="s">
        <v>5</v>
      </c>
      <c r="BG303" t="s">
        <v>5</v>
      </c>
      <c r="BH303" t="s">
        <v>5</v>
      </c>
      <c r="BI303" t="s">
        <v>5</v>
      </c>
      <c r="BJ303" t="s">
        <v>3</v>
      </c>
      <c r="BK303" t="s">
        <v>5</v>
      </c>
      <c r="BL303" t="s">
        <v>2</v>
      </c>
      <c r="BM303" t="s">
        <v>2</v>
      </c>
      <c r="BN303" t="s">
        <v>3</v>
      </c>
      <c r="BO303" t="s">
        <v>4</v>
      </c>
      <c r="BP303" t="s">
        <v>4</v>
      </c>
      <c r="BQ303" t="s">
        <v>4</v>
      </c>
      <c r="BR303" t="s">
        <v>4</v>
      </c>
      <c r="BS303" t="s">
        <v>4</v>
      </c>
      <c r="BT303" t="s">
        <v>4</v>
      </c>
      <c r="BU303" t="s">
        <v>3</v>
      </c>
      <c r="BV303" t="s">
        <v>4</v>
      </c>
      <c r="BW303" t="s">
        <v>3</v>
      </c>
      <c r="BX303" t="s">
        <v>3</v>
      </c>
      <c r="BY303" t="s">
        <v>4</v>
      </c>
      <c r="BZ303" t="s">
        <v>3</v>
      </c>
      <c r="CA303" t="s">
        <v>3</v>
      </c>
    </row>
    <row r="304" spans="40:79" x14ac:dyDescent="0.3">
      <c r="AO304" s="67" t="s">
        <v>504</v>
      </c>
      <c r="AP304" s="67"/>
      <c r="AQ304">
        <f>'Data Training 1'!AW22*'Data Training 1'!AT34*'Data Training 1'!AT40*'Data Training 1'!AT44*'Data Training 1'!AT52*'Data Training 1'!AT58*'Data Training 1'!AT64*'Data Training 1'!AT70*'Data Training 1'!AT75*'Data Training 1'!AT81*'Data Training 1'!AT85*'Data Training 1'!AT91*'Data Training 1'!AT97*'Data Training 1'!AT106*'Data Training 1'!AT109*'Data Training 1'!AT124*'Data Training 1'!AT118*'Data Training 1'!AT130*'Data Training 1'!AT136*'Data Training 1'!AT140*'Data Training 1'!AT148*'Data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05" spans="40:79" x14ac:dyDescent="0.3">
      <c r="AO305" s="67" t="s">
        <v>505</v>
      </c>
      <c r="AP305" s="67"/>
      <c r="AQ305">
        <f>'Data Training 1'!AW23*'Data Training 1'!AU34*'Data Training 1'!AU40*'Data Training 1'!AU44*'Data Training 1'!AU52*'Data Training 1'!AU58*'Data Training 1'!AU64*'Data Training 1'!AU70*'Data Training 1'!AU75*'Data Training 1'!AU81*'Data Training 1'!AU85*'Data Training 1'!AU91*'Data Training 1'!AU97*'Data Training 1'!AU106*'Data Training 1'!AU109*'Data Training 1'!AU124*'Data Training 1'!AU118*'Data Training 1'!AU130*'Data Training 1'!AU136*'Data Training 1'!AU140*'Data Training 1'!AU148*'Data Training 1'!AU153*'Data Training 1'!AU159*'Data Training 1'!AU164*'Data Training 1'!AU167*'Data Training 1'!AU171*'Data Training 1'!AU175*'Data Training 1'!AU179*'Data Training 1'!AU183*'Data Training 1'!AU187*'Data Training 1'!AU192*'Data Training 1'!AU195*'Data Training 1'!AU200*'Data Training 1'!AU204*'Data Training 1'!AU207*'Data Training 1'!AU212*'Data Training 1'!AU216</f>
        <v>0</v>
      </c>
    </row>
    <row r="306" spans="40:79" x14ac:dyDescent="0.3">
      <c r="AO306" s="67" t="s">
        <v>506</v>
      </c>
      <c r="AP306" s="67"/>
      <c r="AQ306">
        <f>'Data Training 1'!AW24*'Data Training 1'!AV34*'Data Training 1'!AV40*'Data Training 1'!AV44*'Data Training 1'!AV52*'Data Training 1'!AV58*'Data Training 1'!AV64*'Data Training 1'!AV70*'Data Training 1'!AV75*'Data Training 1'!AV81*'Data Training 1'!AV85*'Data Training 1'!AV91*'Data Training 1'!AV97*'Data Training 1'!AV106*'Data Training 1'!AV109*'Data Training 1'!AV124*'Data Training 1'!AV118*'Data Training 1'!AV130*'Data Training 1'!AV136*'Data Training 1'!AV140*'Data Training 1'!AV148*'Data Training 1'!AV153*'Data Training 1'!AV159*'Data Training 1'!AV164*'Data Training 1'!AV167*'Data Training 1'!AV171*'Data Training 1'!AV175*'Data Training 1'!AV179*'Data Training 1'!AV183*'Data Training 1'!AV187*'Data Training 1'!AV192*'Data Training 1'!AV195*'Data Training 1'!AV200*'Data Training 1'!AV204*'Data Training 1'!AV207*'Data Training 1'!AV212*'Data Training 1'!AV216</f>
        <v>0</v>
      </c>
    </row>
    <row r="307" spans="40:79" x14ac:dyDescent="0.3">
      <c r="AO307" s="67" t="s">
        <v>507</v>
      </c>
      <c r="AP307" s="67"/>
      <c r="AQ307">
        <f>'Data Training 1'!AW25*'Data Training 1'!AW34*'Data Training 1'!AW40*'Data Training 1'!AW44*'Data Training 1'!AW52*'Data Training 1'!AW58*'Data Training 1'!AW64*'Data Training 1'!AW70*'Data Training 1'!AW75*'Data Training 1'!AW81*'Data Training 1'!AW85*'Data Training 1'!AW91*'Data Training 1'!AW97*'Data Training 1'!AW106*'Data Training 1'!AW109*'Data Training 1'!AW124*'Data Training 1'!AW118*'Data Training 1'!AW130*'Data Training 1'!AW136*'Data Training 1'!AW140*'Data Training 1'!AW148*'Data Training 1'!AW153*'Data Training 1'!AW159*'Data Training 1'!AW164*'Data Training 1'!AW167*'Data Training 1'!AW171*'Data Training 1'!AW175*'Data Training 1'!AW179*'Data Training 1'!AW183*'Data Training 1'!AW187*'Data Training 1'!AW192*'Data Training 1'!AW195*'Data Training 1'!AW200*'Data Training 1'!AW204*'Data Training 1'!AW207*'Data Training 1'!AW212*'Data Training 1'!AW216</f>
        <v>0</v>
      </c>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40:79" x14ac:dyDescent="0.3">
      <c r="AO308" s="67" t="s">
        <v>508</v>
      </c>
      <c r="AP308" s="67"/>
      <c r="AQ308">
        <f>'Data Training 1'!AW26*'Data Training 1'!AX34*'Data Training 1'!AX40*'Data Training 1'!AX44*'Data Training 1'!AX52*'Data Training 1'!AX58*'Data Training 1'!AX64*'Data Training 1'!AX70*'Data Training 1'!AX75*'Data Training 1'!AX81*'Data Training 1'!AX85*'Data Training 1'!AX91*'Data Training 1'!AX97*'Data Training 1'!AX106*'Data Training 1'!AX109*'Data Training 1'!AX124*'Data Training 1'!AX118*'Data Training 1'!AX130*'Data Training 1'!AX136*'Data Training 1'!AX140*'Data Training 1'!AX148*'Data Training 1'!AX153*'Data Training 1'!AX159*'Data Training 1'!AX164*'Data Training 1'!AX167*'Data Training 1'!AX171*'Data Training 1'!AX175*'Data Training 1'!AX179*'Data Training 1'!AX183*'Data Training 1'!AX187*'Data Training 1'!AX192*'Data Training 1'!AX195*'Data Training 1'!AX200*'Data Training 1'!AX204*'Data Training 1'!AX207*'Data Training 1'!AX212*'Data Training 1'!AX216</f>
        <v>0</v>
      </c>
    </row>
    <row r="309" spans="40:79" x14ac:dyDescent="0.3">
      <c r="AO309" s="67" t="s">
        <v>509</v>
      </c>
      <c r="AP309" s="67"/>
      <c r="AQ309">
        <f>'Data Training 1'!AW27*'Data Training 1'!AY34*'Data Training 1'!AY40*'Data Training 1'!AY44*'Data Training 1'!AY52*'Data Training 1'!AY58*'Data Training 1'!AY64*'Data Training 1'!AY70*'Data Training 1'!AY75*'Data Training 1'!AY81*'Data Training 1'!AY85*'Data Training 1'!AY91*'Data Training 1'!AY97*'Data Training 1'!AY106*'Data Training 1'!AY109*'Data Training 1'!AY124*'Data Training 1'!AY118*'Data Training 1'!AY130*'Data Training 1'!AY136*'Data Training 1'!AY140*'Data Training 1'!AY148*'Data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8.0676633549346722E-10</v>
      </c>
    </row>
    <row r="310" spans="40:79" x14ac:dyDescent="0.3">
      <c r="AO310" s="76" t="s">
        <v>437</v>
      </c>
      <c r="AP310" s="76"/>
      <c r="AQ310" t="s">
        <v>298</v>
      </c>
      <c r="AR310" s="74" t="s">
        <v>438</v>
      </c>
      <c r="AS310" s="74"/>
      <c r="AT310" s="74"/>
    </row>
    <row r="312" spans="40:79" x14ac:dyDescent="0.3">
      <c r="AN312">
        <v>32</v>
      </c>
      <c r="AO312" s="77" t="s">
        <v>327</v>
      </c>
      <c r="AP312" s="77"/>
      <c r="AQ312" s="20" t="s">
        <v>64</v>
      </c>
      <c r="AR312" s="1" t="s">
        <v>43</v>
      </c>
      <c r="AS312" s="1" t="s">
        <v>44</v>
      </c>
      <c r="AT312" s="1" t="s">
        <v>45</v>
      </c>
      <c r="AU312" s="1" t="s">
        <v>46</v>
      </c>
      <c r="AV312" s="1" t="s">
        <v>47</v>
      </c>
      <c r="AW312" s="1" t="s">
        <v>48</v>
      </c>
      <c r="AX312" s="1" t="s">
        <v>49</v>
      </c>
      <c r="AY312" s="1" t="s">
        <v>50</v>
      </c>
      <c r="AZ312" s="1" t="s">
        <v>51</v>
      </c>
      <c r="BA312" s="1" t="s">
        <v>52</v>
      </c>
      <c r="BB312" s="1" t="s">
        <v>53</v>
      </c>
      <c r="BC312" s="1" t="s">
        <v>54</v>
      </c>
      <c r="BD312" s="1" t="s">
        <v>55</v>
      </c>
      <c r="BE312" s="1" t="s">
        <v>56</v>
      </c>
      <c r="BF312" s="1" t="s">
        <v>57</v>
      </c>
      <c r="BG312" s="1" t="s">
        <v>58</v>
      </c>
      <c r="BH312" s="1" t="s">
        <v>59</v>
      </c>
      <c r="BI312" s="1" t="s">
        <v>60</v>
      </c>
      <c r="BJ312" s="1" t="s">
        <v>61</v>
      </c>
      <c r="BK312" s="1" t="s">
        <v>62</v>
      </c>
      <c r="BL312" s="1" t="s">
        <v>63</v>
      </c>
      <c r="BM312" s="1" t="s">
        <v>330</v>
      </c>
      <c r="BN312" s="1" t="s">
        <v>331</v>
      </c>
      <c r="BO312" s="1" t="s">
        <v>332</v>
      </c>
      <c r="BP312" s="1" t="s">
        <v>333</v>
      </c>
      <c r="BQ312" s="1" t="s">
        <v>334</v>
      </c>
      <c r="BR312" s="1" t="s">
        <v>335</v>
      </c>
      <c r="BS312" s="1" t="s">
        <v>336</v>
      </c>
      <c r="BT312" s="1" t="s">
        <v>337</v>
      </c>
      <c r="BU312" s="1" t="s">
        <v>338</v>
      </c>
      <c r="BV312" s="1" t="s">
        <v>339</v>
      </c>
      <c r="BW312" s="1" t="s">
        <v>340</v>
      </c>
      <c r="BX312" s="1" t="s">
        <v>341</v>
      </c>
      <c r="BY312" s="1" t="s">
        <v>342</v>
      </c>
      <c r="BZ312" s="1" t="s">
        <v>343</v>
      </c>
      <c r="CA312" s="1" t="s">
        <v>390</v>
      </c>
    </row>
    <row r="313" spans="40:79" x14ac:dyDescent="0.3">
      <c r="AO313" s="77"/>
      <c r="AP313" s="77"/>
      <c r="AQ313" s="20">
        <v>6</v>
      </c>
      <c r="AR313" t="s">
        <v>4</v>
      </c>
      <c r="AS313" t="s">
        <v>5</v>
      </c>
      <c r="AT313" t="s">
        <v>2</v>
      </c>
      <c r="AU313" t="s">
        <v>5</v>
      </c>
      <c r="AV313" t="s">
        <v>5</v>
      </c>
      <c r="AW313" t="s">
        <v>5</v>
      </c>
      <c r="AX313" t="s">
        <v>2</v>
      </c>
      <c r="AY313" t="s">
        <v>2</v>
      </c>
      <c r="AZ313" t="s">
        <v>2</v>
      </c>
      <c r="BA313" t="s">
        <v>4</v>
      </c>
      <c r="BB313" t="s">
        <v>2</v>
      </c>
      <c r="BC313" t="s">
        <v>5</v>
      </c>
      <c r="BD313" t="s">
        <v>5</v>
      </c>
      <c r="BE313" t="s">
        <v>4</v>
      </c>
      <c r="BF313" t="s">
        <v>5</v>
      </c>
      <c r="BG313" t="s">
        <v>5</v>
      </c>
      <c r="BH313" t="s">
        <v>5</v>
      </c>
      <c r="BI313" t="s">
        <v>5</v>
      </c>
      <c r="BJ313" t="s">
        <v>5</v>
      </c>
      <c r="BK313" t="s">
        <v>4</v>
      </c>
      <c r="BL313" t="s">
        <v>3</v>
      </c>
      <c r="BM313" t="s">
        <v>2</v>
      </c>
      <c r="BN313" t="s">
        <v>3</v>
      </c>
      <c r="BO313" t="s">
        <v>4</v>
      </c>
      <c r="BP313" t="s">
        <v>4</v>
      </c>
      <c r="BQ313" t="s">
        <v>4</v>
      </c>
      <c r="BR313" t="s">
        <v>3</v>
      </c>
      <c r="BS313" t="s">
        <v>4</v>
      </c>
      <c r="BT313" t="s">
        <v>3</v>
      </c>
      <c r="BU313" t="s">
        <v>3</v>
      </c>
      <c r="BV313" t="s">
        <v>3</v>
      </c>
      <c r="BW313" t="s">
        <v>3</v>
      </c>
      <c r="BX313" t="s">
        <v>3</v>
      </c>
      <c r="BY313" t="s">
        <v>3</v>
      </c>
      <c r="BZ313" t="s">
        <v>3</v>
      </c>
      <c r="CA313" t="s">
        <v>3</v>
      </c>
    </row>
    <row r="314" spans="40:79" x14ac:dyDescent="0.3">
      <c r="AO314" s="67" t="s">
        <v>504</v>
      </c>
      <c r="AP314" s="67"/>
      <c r="AQ314">
        <f>'Data Training 1'!AW22*'Data Training 1'!AT31*'Data Training 1'!AT40*'Data Training 1'!AT45*'Data Training 1'!AT52*'Data Training 1'!AT58*'Data Training 1'!AT64*'Data Training 1'!AT69*'Data Training 1'!AT75*'Data Training 1'!AT81*'Data Training 1'!AT85*'Data Training 1'!AT93*'Data Training 1'!AT100*'Data Training 1'!AT106*'Data Training 1'!AT109*'Data Training 1'!AT118*'Data Training 1'!AT124*'Data Training 1'!AT130*'Data Training 1'!AT136*'Data Training 1'!AT142*'Data Training 1'!AT145*'Data Training 1'!AT152*'Data Training 1'!AT159*'Data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15" spans="40:79" x14ac:dyDescent="0.3">
      <c r="AO315" s="67" t="s">
        <v>505</v>
      </c>
      <c r="AP315" s="67"/>
      <c r="AQ315">
        <f>'Data Training 1'!AW23*'Data Training 1'!AU31*'Data Training 1'!AU40*'Data Training 1'!AU45*'Data Training 1'!AU52*'Data Training 1'!AU58*'Data Training 1'!AU64*'Data Training 1'!AU69*'Data Training 1'!AU75*'Data Training 1'!AU81*'Data Training 1'!AU85*'Data Training 1'!AU93*'Data Training 1'!AU100*'Data Training 1'!AU106*'Data Training 1'!AU109*'Data Training 1'!AU118*'Data Training 1'!AU124*'Data Training 1'!AU130*'Data Training 1'!AU136*'Data Training 1'!AU142*'Data Training 1'!AU145*'Data Training 1'!AU152*'Data Training 1'!AU159*'Data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16" spans="40:79" x14ac:dyDescent="0.3">
      <c r="AO316" s="67" t="s">
        <v>506</v>
      </c>
      <c r="AP316" s="67"/>
      <c r="AQ316">
        <f>'Data Training 1'!AW24*'Data Training 1'!AV31*'Data Training 1'!AV40*'Data Training 1'!AV45*'Data Training 1'!AV52*'Data Training 1'!AV58*'Data Training 1'!AV64*'Data Training 1'!AV69*'Data Training 1'!AV75*'Data Training 1'!AV81*'Data Training 1'!AV85*'Data Training 1'!AV93*'Data Training 1'!AV100*'Data Training 1'!AV106*'Data Training 1'!AV109*'Data Training 1'!AV118*'Data Training 1'!AV124*'Data Training 1'!AV130*'Data Training 1'!AV136*'Data Training 1'!AV142*'Data Training 1'!AV145*'Data Training 1'!AV152*'Data Training 1'!AV159*'Data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17" spans="40:79" x14ac:dyDescent="0.3">
      <c r="AO317" s="67" t="s">
        <v>507</v>
      </c>
      <c r="AP317" s="67"/>
      <c r="AQ317">
        <f>'Data Training 1'!AW25*'Data Training 1'!AW31*'Data Training 1'!AW40*'Data Training 1'!AW45*'Data Training 1'!AW52*'Data Training 1'!AW58*'Data Training 1'!AW64*'Data Training 1'!AW69*'Data Training 1'!AW75*'Data Training 1'!AW81*'Data Training 1'!AW85*'Data Training 1'!AW93*'Data Training 1'!AW100*'Data Training 1'!AW106*'Data Training 1'!AW109*'Data Training 1'!AW118*'Data Training 1'!AW124*'Data Training 1'!AW130*'Data Training 1'!AW136*'Data Training 1'!AW142*'Data Training 1'!AW145*'Data Training 1'!AW152*'Data Training 1'!AW159*'Data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18" spans="40:79" x14ac:dyDescent="0.3">
      <c r="AO318" s="67" t="s">
        <v>508</v>
      </c>
      <c r="AP318" s="67"/>
      <c r="AQ318">
        <f>'Data Training 1'!AW26*'Data Training 1'!AX31*'Data Training 1'!AX40*'Data Training 1'!AX45*'Data Training 1'!AX52*'Data Training 1'!AX58*'Data Training 1'!AX64*'Data Training 1'!AX69*'Data Training 1'!AX75*'Data Training 1'!AX81*'Data Training 1'!AX85*'Data Training 1'!AX93*'Data Training 1'!AX100*'Data Training 1'!AX106*'Data Training 1'!AX109*'Data Training 1'!AX118*'Data Training 1'!AX124*'Data Training 1'!AX130*'Data Training 1'!AX136*'Data Training 1'!AX142*'Data Training 1'!AX145*'Data Training 1'!AX152*'Data Training 1'!AX159*'Data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19" spans="40:79" x14ac:dyDescent="0.3">
      <c r="AO319" s="67" t="s">
        <v>509</v>
      </c>
      <c r="AP319" s="67"/>
      <c r="AQ319">
        <f>'Data Training 1'!AW27*'Data Training 1'!AY31*'Data Training 1'!AY40*'Data Training 1'!AY45*'Data Training 1'!AY52*'Data Training 1'!AY58*'Data Training 1'!AY64*'Data Training 1'!AY69*'Data Training 1'!AY75*'Data Training 1'!AY81*'Data Training 1'!AY85*'Data Training 1'!AY93*'Data Training 1'!AY100*'Data Training 1'!AY106*'Data Training 1'!AY109*'Data Training 1'!AY118*'Data Training 1'!AY124*'Data Training 1'!AY130*'Data Training 1'!AY136*'Data Training 1'!AY142*'Data Training 1'!AY145*'Data Training 1'!AY152*'Data Training 1'!AY159*'Data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1.6408277097135984E-12</v>
      </c>
    </row>
    <row r="320" spans="40:79" x14ac:dyDescent="0.3">
      <c r="AO320" s="76" t="s">
        <v>437</v>
      </c>
      <c r="AP320" s="76"/>
      <c r="AQ320" t="s">
        <v>298</v>
      </c>
      <c r="AR320" s="74" t="s">
        <v>438</v>
      </c>
      <c r="AS320" s="74"/>
      <c r="AT320" s="74"/>
    </row>
    <row r="322" spans="40:79" x14ac:dyDescent="0.3">
      <c r="AN322">
        <v>33</v>
      </c>
      <c r="AO322" s="77" t="s">
        <v>328</v>
      </c>
      <c r="AP322" s="77"/>
      <c r="AQ322" s="20" t="s">
        <v>64</v>
      </c>
      <c r="AR322" s="1" t="s">
        <v>43</v>
      </c>
      <c r="AS322" s="1" t="s">
        <v>44</v>
      </c>
      <c r="AT322" s="1" t="s">
        <v>45</v>
      </c>
      <c r="AU322" s="1" t="s">
        <v>46</v>
      </c>
      <c r="AV322" s="1" t="s">
        <v>47</v>
      </c>
      <c r="AW322" s="1" t="s">
        <v>48</v>
      </c>
      <c r="AX322" s="1" t="s">
        <v>49</v>
      </c>
      <c r="AY322" s="1" t="s">
        <v>50</v>
      </c>
      <c r="AZ322" s="1" t="s">
        <v>51</v>
      </c>
      <c r="BA322" s="1" t="s">
        <v>52</v>
      </c>
      <c r="BB322" s="1" t="s">
        <v>53</v>
      </c>
      <c r="BC322" s="1" t="s">
        <v>54</v>
      </c>
      <c r="BD322" s="1" t="s">
        <v>55</v>
      </c>
      <c r="BE322" s="1" t="s">
        <v>56</v>
      </c>
      <c r="BF322" s="1" t="s">
        <v>57</v>
      </c>
      <c r="BG322" s="1" t="s">
        <v>58</v>
      </c>
      <c r="BH322" s="1" t="s">
        <v>59</v>
      </c>
      <c r="BI322" s="1" t="s">
        <v>60</v>
      </c>
      <c r="BJ322" s="1" t="s">
        <v>61</v>
      </c>
      <c r="BK322" s="1" t="s">
        <v>62</v>
      </c>
      <c r="BL322" s="1" t="s">
        <v>63</v>
      </c>
      <c r="BM322" s="1" t="s">
        <v>330</v>
      </c>
      <c r="BN322" s="1" t="s">
        <v>331</v>
      </c>
      <c r="BO322" s="1" t="s">
        <v>332</v>
      </c>
      <c r="BP322" s="1" t="s">
        <v>333</v>
      </c>
      <c r="BQ322" s="1" t="s">
        <v>334</v>
      </c>
      <c r="BR322" s="1" t="s">
        <v>335</v>
      </c>
      <c r="BS322" s="1" t="s">
        <v>336</v>
      </c>
      <c r="BT322" s="1" t="s">
        <v>337</v>
      </c>
      <c r="BU322" s="1" t="s">
        <v>338</v>
      </c>
      <c r="BV322" s="1" t="s">
        <v>339</v>
      </c>
      <c r="BW322" s="1" t="s">
        <v>340</v>
      </c>
      <c r="BX322" s="1" t="s">
        <v>341</v>
      </c>
      <c r="BY322" s="1" t="s">
        <v>342</v>
      </c>
      <c r="BZ322" s="1" t="s">
        <v>343</v>
      </c>
      <c r="CA322" s="1" t="s">
        <v>390</v>
      </c>
    </row>
    <row r="323" spans="40:79" x14ac:dyDescent="0.3">
      <c r="AO323" s="77"/>
      <c r="AP323" s="77"/>
      <c r="AQ323" s="20">
        <v>6</v>
      </c>
      <c r="AR323" t="s">
        <v>5</v>
      </c>
      <c r="AS323" t="s">
        <v>5</v>
      </c>
      <c r="AT323" t="s">
        <v>3</v>
      </c>
      <c r="AU323" t="s">
        <v>2</v>
      </c>
      <c r="AV323" t="s">
        <v>5</v>
      </c>
      <c r="AW323" t="s">
        <v>5</v>
      </c>
      <c r="AX323" t="s">
        <v>5</v>
      </c>
      <c r="AY323" t="s">
        <v>5</v>
      </c>
      <c r="AZ323" t="s">
        <v>2</v>
      </c>
      <c r="BA323" t="s">
        <v>4</v>
      </c>
      <c r="BB323" t="s">
        <v>4</v>
      </c>
      <c r="BC323" t="s">
        <v>2</v>
      </c>
      <c r="BD323" t="s">
        <v>5</v>
      </c>
      <c r="BE323" t="s">
        <v>2</v>
      </c>
      <c r="BF323" t="s">
        <v>2</v>
      </c>
      <c r="BG323" t="s">
        <v>5</v>
      </c>
      <c r="BH323" t="s">
        <v>3</v>
      </c>
      <c r="BI323" t="s">
        <v>5</v>
      </c>
      <c r="BJ323" t="s">
        <v>3</v>
      </c>
      <c r="BK323" t="s">
        <v>2</v>
      </c>
      <c r="BL323" t="s">
        <v>2</v>
      </c>
      <c r="BM323" t="s">
        <v>5</v>
      </c>
      <c r="BN323" t="s">
        <v>3</v>
      </c>
      <c r="BO323" t="s">
        <v>4</v>
      </c>
      <c r="BP323" t="s">
        <v>4</v>
      </c>
      <c r="BQ323" t="s">
        <v>4</v>
      </c>
      <c r="BR323" t="s">
        <v>3</v>
      </c>
      <c r="BS323" t="s">
        <v>4</v>
      </c>
      <c r="BT323" t="s">
        <v>3</v>
      </c>
      <c r="BU323" t="s">
        <v>3</v>
      </c>
      <c r="BV323" t="s">
        <v>3</v>
      </c>
      <c r="BW323" t="s">
        <v>3</v>
      </c>
      <c r="BX323" t="s">
        <v>3</v>
      </c>
      <c r="BY323" t="s">
        <v>3</v>
      </c>
      <c r="BZ323" t="s">
        <v>3</v>
      </c>
      <c r="CA323" t="s">
        <v>3</v>
      </c>
    </row>
    <row r="324" spans="40:79" x14ac:dyDescent="0.3">
      <c r="AO324" s="67" t="s">
        <v>504</v>
      </c>
      <c r="AP324" s="67"/>
      <c r="AQ324">
        <f>'Data Training 1'!AW22*'Data Training 1'!AT34*'Data Training 1'!AT40*'Data Training 1'!AT44*'Data Training 1'!AT51*'Data Training 1'!AT58*'Data Training 1'!AT64*'Data Training 1'!AT70*'Data Training 1'!AT76*'Data Training 1'!AT81*'Data Training 1'!AT85*'Data Training 1'!AT91*'Data Training 1'!AT99*'Data Training 1'!AT106*'Data Training 1'!AT111*'Data Training 1'!AT117*'Data Training 1'!AT124*'Data Training 1'!AT128*'Data Training 1'!AT136*'Data Training 1'!AT140*'Data Training 1'!AT147*'Data Training 1'!AT153*'Data Training 1'!AT160*'Data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25" spans="40:79" x14ac:dyDescent="0.3">
      <c r="AO325" s="67" t="s">
        <v>505</v>
      </c>
      <c r="AP325" s="67"/>
      <c r="AQ325">
        <f>'Data Training 1'!AW23*'Data Training 1'!AU34*'Data Training 1'!AU40*'Data Training 1'!AU44*'Data Training 1'!AU51*'Data Training 1'!AU58*'Data Training 1'!AU64*'Data Training 1'!AU70*'Data Training 1'!AU76*'Data Training 1'!AU81*'Data Training 1'!AU85*'Data Training 1'!AU91*'Data Training 1'!AU99*'Data Training 1'!AU106*'Data Training 1'!AU111*'Data Training 1'!AU117*'Data Training 1'!AU124*'Data Training 1'!AU128*'Data Training 1'!AU136*'Data Training 1'!AU140*'Data Training 1'!AU147*'Data Training 1'!AU153*'Data Training 1'!AU160*'Data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26" spans="40:79" x14ac:dyDescent="0.3">
      <c r="AO326" s="67" t="s">
        <v>506</v>
      </c>
      <c r="AP326" s="67"/>
      <c r="AQ326">
        <f>'Data Training 1'!AW24*'Data Training 1'!AV34*'Data Training 1'!AV40*'Data Training 1'!AV44*'Data Training 1'!AV51*'Data Training 1'!AV58*'Data Training 1'!AV64*'Data Training 1'!AV70*'Data Training 1'!AV76*'Data Training 1'!AV81*'Data Training 1'!AV85*'Data Training 1'!AV91*'Data Training 1'!AV99*'Data Training 1'!AV106*'Data Training 1'!AV111*'Data Training 1'!AV117*'Data Training 1'!AV124*'Data Training 1'!AV128*'Data Training 1'!AV136*'Data Training 1'!AV140*'Data Training 1'!AV147*'Data Training 1'!AV153*'Data Training 1'!AV160*'Data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27" spans="40:79" x14ac:dyDescent="0.3">
      <c r="AO327" s="67" t="s">
        <v>507</v>
      </c>
      <c r="AP327" s="67"/>
      <c r="AQ327">
        <f>'Data Training 1'!AW25*'Data Training 1'!AW34*'Data Training 1'!AW40*'Data Training 1'!AW44*'Data Training 1'!AW51*'Data Training 1'!AW58*'Data Training 1'!AW64*'Data Training 1'!AW70*'Data Training 1'!AW76*'Data Training 1'!AW81*'Data Training 1'!AW85*'Data Training 1'!AW91*'Data Training 1'!AW99*'Data Training 1'!AW106*'Data Training 1'!AW111*'Data Training 1'!AW117*'Data Training 1'!AW124*'Data Training 1'!AW128*'Data Training 1'!AW136*'Data Training 1'!AW140*'Data Training 1'!AW147*'Data Training 1'!AW153*'Data Training 1'!AW160*'Data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28" spans="40:79" x14ac:dyDescent="0.3">
      <c r="AO328" s="67" t="s">
        <v>508</v>
      </c>
      <c r="AP328" s="67"/>
      <c r="AQ328">
        <f>'Data Training 1'!AW26*'Data Training 1'!AX34*'Data Training 1'!AX40*'Data Training 1'!AX44*'Data Training 1'!AX51*'Data Training 1'!AX58*'Data Training 1'!AX64*'Data Training 1'!AX70*'Data Training 1'!AX76*'Data Training 1'!AX81*'Data Training 1'!AX85*'Data Training 1'!AX91*'Data Training 1'!AX99*'Data Training 1'!AX106*'Data Training 1'!AX111*'Data Training 1'!AX117*'Data Training 1'!AX124*'Data Training 1'!AX128*'Data Training 1'!AX136*'Data Training 1'!AX140*'Data Training 1'!AX147*'Data Training 1'!AX153*'Data Training 1'!AX160*'Data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29" spans="40:79" x14ac:dyDescent="0.3">
      <c r="AO329" s="67" t="s">
        <v>509</v>
      </c>
      <c r="AP329" s="67"/>
      <c r="AQ329">
        <f>'Data Training 1'!AW27*'Data Training 1'!AY34*'Data Training 1'!AY40*'Data Training 1'!AY44*'Data Training 1'!AY51*'Data Training 1'!AY58*'Data Training 1'!AY64*'Data Training 1'!AY70*'Data Training 1'!AY76*'Data Training 1'!AY81*'Data Training 1'!AY85*'Data Training 1'!AY91*'Data Training 1'!AY99*'Data Training 1'!AY106*'Data Training 1'!AY111*'Data Training 1'!AY117*'Data Training 1'!AY124*'Data Training 1'!AY128*'Data Training 1'!AY136*'Data Training 1'!AY140*'Data Training 1'!AY147*'Data Training 1'!AY153*'Data Training 1'!AY160*'Data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4.2092742272595132E-14</v>
      </c>
    </row>
    <row r="330" spans="40:79" x14ac:dyDescent="0.3">
      <c r="AO330" s="76" t="s">
        <v>437</v>
      </c>
      <c r="AP330" s="76"/>
      <c r="AQ330" t="s">
        <v>298</v>
      </c>
      <c r="AR330" s="74" t="s">
        <v>438</v>
      </c>
      <c r="AS330" s="74"/>
      <c r="AT330" s="74"/>
    </row>
    <row r="332" spans="40:79" x14ac:dyDescent="0.3">
      <c r="AN332">
        <v>34</v>
      </c>
      <c r="AO332" s="77" t="s">
        <v>475</v>
      </c>
      <c r="AP332" s="77"/>
      <c r="AQ332" s="20" t="s">
        <v>64</v>
      </c>
      <c r="AR332" s="1" t="s">
        <v>43</v>
      </c>
      <c r="AS332" s="1" t="s">
        <v>44</v>
      </c>
      <c r="AT332" s="1" t="s">
        <v>45</v>
      </c>
      <c r="AU332" s="1" t="s">
        <v>46</v>
      </c>
      <c r="AV332" s="1" t="s">
        <v>47</v>
      </c>
      <c r="AW332" s="1" t="s">
        <v>48</v>
      </c>
      <c r="AX332" s="1" t="s">
        <v>49</v>
      </c>
      <c r="AY332" s="1" t="s">
        <v>50</v>
      </c>
      <c r="AZ332" s="1" t="s">
        <v>51</v>
      </c>
      <c r="BA332" s="1" t="s">
        <v>52</v>
      </c>
      <c r="BB332" s="1" t="s">
        <v>53</v>
      </c>
      <c r="BC332" s="1" t="s">
        <v>54</v>
      </c>
      <c r="BD332" s="1" t="s">
        <v>55</v>
      </c>
      <c r="BE332" s="1" t="s">
        <v>56</v>
      </c>
      <c r="BF332" s="1" t="s">
        <v>57</v>
      </c>
      <c r="BG332" s="1" t="s">
        <v>58</v>
      </c>
      <c r="BH332" s="1" t="s">
        <v>59</v>
      </c>
      <c r="BI332" s="1" t="s">
        <v>60</v>
      </c>
      <c r="BJ332" s="1" t="s">
        <v>61</v>
      </c>
      <c r="BK332" s="1" t="s">
        <v>62</v>
      </c>
      <c r="BL332" s="1" t="s">
        <v>63</v>
      </c>
      <c r="BM332" s="1" t="s">
        <v>330</v>
      </c>
      <c r="BN332" s="1" t="s">
        <v>331</v>
      </c>
      <c r="BO332" s="1" t="s">
        <v>332</v>
      </c>
      <c r="BP332" s="1" t="s">
        <v>333</v>
      </c>
      <c r="BQ332" s="1" t="s">
        <v>334</v>
      </c>
      <c r="BR332" s="1" t="s">
        <v>335</v>
      </c>
      <c r="BS332" s="1" t="s">
        <v>336</v>
      </c>
      <c r="BT332" s="1" t="s">
        <v>337</v>
      </c>
      <c r="BU332" s="1" t="s">
        <v>338</v>
      </c>
      <c r="BV332" s="1" t="s">
        <v>339</v>
      </c>
      <c r="BW332" s="1" t="s">
        <v>340</v>
      </c>
      <c r="BX332" s="1" t="s">
        <v>341</v>
      </c>
      <c r="BY332" s="1" t="s">
        <v>342</v>
      </c>
      <c r="BZ332" s="1" t="s">
        <v>343</v>
      </c>
      <c r="CA332" s="1" t="s">
        <v>390</v>
      </c>
    </row>
    <row r="333" spans="40:79" x14ac:dyDescent="0.3">
      <c r="AO333" s="77"/>
      <c r="AP333" s="77"/>
      <c r="AQ333" s="20">
        <v>6</v>
      </c>
      <c r="AR333" t="s">
        <v>5</v>
      </c>
      <c r="AS333" t="s">
        <v>5</v>
      </c>
      <c r="AT333" t="s">
        <v>2</v>
      </c>
      <c r="AU333" t="s">
        <v>5</v>
      </c>
      <c r="AV333" t="s">
        <v>5</v>
      </c>
      <c r="AW333" t="s">
        <v>5</v>
      </c>
      <c r="AX333" t="s">
        <v>5</v>
      </c>
      <c r="AY333" t="s">
        <v>5</v>
      </c>
      <c r="AZ333" t="s">
        <v>2</v>
      </c>
      <c r="BA333" t="s">
        <v>4</v>
      </c>
      <c r="BB333" t="s">
        <v>4</v>
      </c>
      <c r="BC333" t="s">
        <v>5</v>
      </c>
      <c r="BD333" t="s">
        <v>2</v>
      </c>
      <c r="BE333" t="s">
        <v>3</v>
      </c>
      <c r="BF333" t="s">
        <v>5</v>
      </c>
      <c r="BG333" t="s">
        <v>5</v>
      </c>
      <c r="BH333" t="s">
        <v>3</v>
      </c>
      <c r="BI333" t="s">
        <v>5</v>
      </c>
      <c r="BJ333" t="s">
        <v>5</v>
      </c>
      <c r="BK333" t="s">
        <v>4</v>
      </c>
      <c r="BL333" t="s">
        <v>3</v>
      </c>
      <c r="BM333" t="s">
        <v>2</v>
      </c>
      <c r="BN333" t="s">
        <v>3</v>
      </c>
      <c r="BO333" t="s">
        <v>4</v>
      </c>
      <c r="BP333" t="s">
        <v>4</v>
      </c>
      <c r="BQ333" t="s">
        <v>3</v>
      </c>
      <c r="BR333" t="s">
        <v>4</v>
      </c>
      <c r="BS333" t="s">
        <v>4</v>
      </c>
      <c r="BT333" t="s">
        <v>4</v>
      </c>
      <c r="BU333" t="s">
        <v>3</v>
      </c>
      <c r="BV333" t="s">
        <v>4</v>
      </c>
      <c r="BW333" t="s">
        <v>3</v>
      </c>
      <c r="BX333" t="s">
        <v>4</v>
      </c>
      <c r="BY333" t="s">
        <v>4</v>
      </c>
      <c r="BZ333" t="s">
        <v>4</v>
      </c>
      <c r="CA333" t="s">
        <v>3</v>
      </c>
    </row>
    <row r="334" spans="40:79" x14ac:dyDescent="0.3">
      <c r="AO334" s="67" t="s">
        <v>504</v>
      </c>
      <c r="AP334" s="67"/>
      <c r="AQ334">
        <f>PRODUCT('Data Training 1'!AW22,'Data Training 1'!AT34,'Data Training 1'!AT40,'Data Training 1'!AT45,'Data Training 1'!AT52,'Data Training 1'!AT58,'Data Training 1'!AT64,'Data Training 1'!AT70,'Data Training 1'!AT76,'Data Training 1'!AT81,'Data Training 1'!AT85,'Data Training 1'!AT91,'Data Training 1'!AT100,'Data Training 1'!AT105,'Data Training 1'!AT110,'Data Training 1'!AT118,'Data Training 1'!AT124,'Data Training 1'!AT128,'Data Training 1'!AT136,'Data Training 1'!AT142,'Data Training 1'!AT145,'Data Training 1'!AT152,'Data Training 1'!AT159,'Data Training 1'!AT164,'Data Training 1'!AT167,'Data Training 1'!AT171,'Data Training 1'!AT176,'Data Training 1'!AT179,'Data Training 1'!AT183,'Data Training 1'!AT187,'Data Training 1'!AT192,'Data Training 1'!AT195,'Data Training 1'!AT200,'Data Training 1'!AT203,'Data Training 1'!AT207,'Data Training 1'!AT211,'Data Training 1'!AT216)</f>
        <v>0</v>
      </c>
    </row>
    <row r="335" spans="40:79" x14ac:dyDescent="0.3">
      <c r="AO335" s="67" t="s">
        <v>505</v>
      </c>
      <c r="AP335" s="67"/>
      <c r="AQ335" s="43">
        <f>PRODUCT('Data Training 1'!AW23,'Data Training 1'!AU34,'Data Training 1'!AU40,'Data Training 1'!AU45,'Data Training 1'!AU52,'Data Training 1'!AU58,'Data Training 1'!AU64,'Data Training 1'!AU70,'Data Training 1'!AU76,'Data Training 1'!AU81,'Data Training 1'!AU85,'Data Training 1'!AU91,'Data Training 1'!AU100,'Data Training 1'!AU105,'Data Training 1'!AU110,'Data Training 1'!AU118,'Data Training 1'!AU124,'Data Training 1'!AU128,'Data Training 1'!AU136,'Data Training 1'!AU142,'Data Training 1'!AU145,'Data Training 1'!AU152,'Data Training 1'!AU159,'Data Training 1'!AU164,'Data Training 1'!AU167,'Data Training 1'!AU171,'Data Training 1'!AU176,'Data Training 1'!AU179,'Data Training 1'!AU183,'Data Training 1'!AU187,'Data Training 1'!AU192,'Data Training 1'!AU195,'Data Training 1'!AU200,'Data Training 1'!AU203,'Data Training 1'!AU207,'Data Training 1'!AU211,'Data Training 1'!AU216)</f>
        <v>0</v>
      </c>
    </row>
    <row r="336" spans="40:79" x14ac:dyDescent="0.3">
      <c r="AO336" s="67" t="s">
        <v>506</v>
      </c>
      <c r="AP336" s="67"/>
      <c r="AQ336" s="43">
        <f>PRODUCT('Data Training 1'!AW24,'Data Training 1'!AV34,'Data Training 1'!AV40,'Data Training 1'!AV45,'Data Training 1'!AV52,'Data Training 1'!AV58,'Data Training 1'!AV64,'Data Training 1'!AV70,'Data Training 1'!AV76,'Data Training 1'!AV81,'Data Training 1'!AV85,'Data Training 1'!AV91,'Data Training 1'!AV100,'Data Training 1'!AV105,'Data Training 1'!AV110,'Data Training 1'!AV118,'Data Training 1'!AV124,'Data Training 1'!AV128,'Data Training 1'!AV136,'Data Training 1'!AV142,'Data Training 1'!AV145,'Data Training 1'!AV152,'Data Training 1'!AV159,'Data Training 1'!AV164,'Data Training 1'!AV167,'Data Training 1'!AV171,'Data Training 1'!AV176,'Data Training 1'!AV179,'Data Training 1'!AV183,'Data Training 1'!AV187,'Data Training 1'!AV192,'Data Training 1'!AV195,'Data Training 1'!AV200,'Data Training 1'!AV203,'Data Training 1'!AV207,'Data Training 1'!AV211,'Data Training 1'!AV216)</f>
        <v>0</v>
      </c>
    </row>
    <row r="337" spans="40:79" x14ac:dyDescent="0.3">
      <c r="AO337" s="67" t="s">
        <v>507</v>
      </c>
      <c r="AP337" s="67"/>
      <c r="AQ337" s="43">
        <f>PRODUCT('Data Training 1'!AW25,'Data Training 1'!AW34,'Data Training 1'!AW40,'Data Training 1'!AW45,'Data Training 1'!AW52,'Data Training 1'!AW58,'Data Training 1'!AW64,'Data Training 1'!AW70,'Data Training 1'!AW76,'Data Training 1'!AW81,'Data Training 1'!AW85,'Data Training 1'!AW91,'Data Training 1'!AW100,'Data Training 1'!AW105,'Data Training 1'!AW110,'Data Training 1'!AW118,'Data Training 1'!AW124,'Data Training 1'!AW128,'Data Training 1'!AW136,'Data Training 1'!AW142,'Data Training 1'!AW145,'Data Training 1'!AW152,'Data Training 1'!AW159,'Data Training 1'!AW164,'Data Training 1'!AW167,'Data Training 1'!AW171,'Data Training 1'!AW176,'Data Training 1'!AW179,'Data Training 1'!AW183,'Data Training 1'!AW187,'Data Training 1'!AW192,'Data Training 1'!AW195,'Data Training 1'!AW200,'Data Training 1'!AW203,'Data Training 1'!AW207,'Data Training 1'!AW211,'Data Training 1'!AW216)</f>
        <v>0</v>
      </c>
    </row>
    <row r="338" spans="40:79" x14ac:dyDescent="0.3">
      <c r="AO338" s="67" t="s">
        <v>508</v>
      </c>
      <c r="AP338" s="67"/>
      <c r="AQ338" s="43">
        <f>PRODUCT('Data Training 1'!AW26,'Data Training 1'!AX34,'Data Training 1'!AX40,'Data Training 1'!AX45,'Data Training 1'!AX52,'Data Training 1'!AX58,'Data Training 1'!AX64,'Data Training 1'!AX70,'Data Training 1'!AX76,'Data Training 1'!AX81,'Data Training 1'!AX85,'Data Training 1'!AX91,'Data Training 1'!AX100,'Data Training 1'!AX105,'Data Training 1'!AX110,'Data Training 1'!AX118,'Data Training 1'!AX124,'Data Training 1'!AX128,'Data Training 1'!AX136,'Data Training 1'!AX142,'Data Training 1'!AX145,'Data Training 1'!AX152,'Data Training 1'!AX159,'Data Training 1'!AX164,'Data Training 1'!AX167,'Data Training 1'!AX171,'Data Training 1'!AX176,'Data Training 1'!AX179,'Data Training 1'!AX183,'Data Training 1'!AX187,'Data Training 1'!AX192,'Data Training 1'!AX195,'Data Training 1'!AX200,'Data Training 1'!AX203,'Data Training 1'!AX207,'Data Training 1'!AX211,'Data Training 1'!AX216)</f>
        <v>0</v>
      </c>
    </row>
    <row r="339" spans="40:79" x14ac:dyDescent="0.3">
      <c r="AO339" s="67" t="s">
        <v>509</v>
      </c>
      <c r="AP339" s="67"/>
      <c r="AQ339" s="43">
        <f>PRODUCT('Data Training 1'!AW27,'Data Training 1'!AY34,'Data Training 1'!AY40,'Data Training 1'!AY45,'Data Training 1'!AY52,'Data Training 1'!AY58,'Data Training 1'!AY64,'Data Training 1'!AY70,'Data Training 1'!AY76,'Data Training 1'!AY81,'Data Training 1'!AY85,'Data Training 1'!AY91,'Data Training 1'!AY100,'Data Training 1'!AY105,'Data Training 1'!AY110,'Data Training 1'!AY118,'Data Training 1'!AY124,'Data Training 1'!AY128,'Data Training 1'!AY136,'Data Training 1'!AY142,'Data Training 1'!AY145,'Data Training 1'!AY152,'Data Training 1'!AY159,'Data Training 1'!AY164,'Data Training 1'!AY167,'Data Training 1'!AY171,'Data Training 1'!AY176,'Data Training 1'!AY179,'Data Training 1'!AY183,'Data Training 1'!AY187,'Data Training 1'!AY192,'Data Training 1'!AY195,'Data Training 1'!AY200,'Data Training 1'!AY203,'Data Training 1'!AY207,'Data Training 1'!AY211,'Data Training 1'!AY216)</f>
        <v>2.7381160477354036E-10</v>
      </c>
    </row>
    <row r="340" spans="40:79" x14ac:dyDescent="0.3">
      <c r="AO340" s="76" t="s">
        <v>437</v>
      </c>
      <c r="AP340" s="76"/>
      <c r="AQ340" t="s">
        <v>298</v>
      </c>
      <c r="AR340" s="74" t="s">
        <v>438</v>
      </c>
      <c r="AS340" s="74"/>
      <c r="AT340" s="74"/>
    </row>
    <row r="342" spans="40:79" x14ac:dyDescent="0.3">
      <c r="AN342">
        <v>35</v>
      </c>
      <c r="AO342" s="77" t="s">
        <v>477</v>
      </c>
      <c r="AP342" s="77"/>
      <c r="AQ342" s="20" t="s">
        <v>64</v>
      </c>
      <c r="AR342" s="1" t="s">
        <v>43</v>
      </c>
      <c r="AS342" s="1" t="s">
        <v>44</v>
      </c>
      <c r="AT342" s="1" t="s">
        <v>45</v>
      </c>
      <c r="AU342" s="1" t="s">
        <v>46</v>
      </c>
      <c r="AV342" s="1" t="s">
        <v>47</v>
      </c>
      <c r="AW342" s="1" t="s">
        <v>48</v>
      </c>
      <c r="AX342" s="1" t="s">
        <v>49</v>
      </c>
      <c r="AY342" s="1" t="s">
        <v>50</v>
      </c>
      <c r="AZ342" s="1" t="s">
        <v>51</v>
      </c>
      <c r="BA342" s="1" t="s">
        <v>52</v>
      </c>
      <c r="BB342" s="1" t="s">
        <v>53</v>
      </c>
      <c r="BC342" s="1" t="s">
        <v>54</v>
      </c>
      <c r="BD342" s="1" t="s">
        <v>55</v>
      </c>
      <c r="BE342" s="1" t="s">
        <v>56</v>
      </c>
      <c r="BF342" s="1" t="s">
        <v>57</v>
      </c>
      <c r="BG342" s="1" t="s">
        <v>58</v>
      </c>
      <c r="BH342" s="1" t="s">
        <v>59</v>
      </c>
      <c r="BI342" s="1" t="s">
        <v>60</v>
      </c>
      <c r="BJ342" s="1" t="s">
        <v>61</v>
      </c>
      <c r="BK342" s="1" t="s">
        <v>62</v>
      </c>
      <c r="BL342" s="1" t="s">
        <v>63</v>
      </c>
      <c r="BM342" s="1" t="s">
        <v>330</v>
      </c>
      <c r="BN342" s="1" t="s">
        <v>331</v>
      </c>
      <c r="BO342" s="1" t="s">
        <v>332</v>
      </c>
      <c r="BP342" s="1" t="s">
        <v>333</v>
      </c>
      <c r="BQ342" s="1" t="s">
        <v>334</v>
      </c>
      <c r="BR342" s="1" t="s">
        <v>335</v>
      </c>
      <c r="BS342" s="1" t="s">
        <v>336</v>
      </c>
      <c r="BT342" s="1" t="s">
        <v>337</v>
      </c>
      <c r="BU342" s="1" t="s">
        <v>338</v>
      </c>
      <c r="BV342" s="1" t="s">
        <v>339</v>
      </c>
      <c r="BW342" s="1" t="s">
        <v>340</v>
      </c>
      <c r="BX342" s="1" t="s">
        <v>341</v>
      </c>
      <c r="BY342" s="1" t="s">
        <v>342</v>
      </c>
      <c r="BZ342" s="1" t="s">
        <v>343</v>
      </c>
      <c r="CA342" s="1" t="s">
        <v>390</v>
      </c>
    </row>
    <row r="343" spans="40:79" x14ac:dyDescent="0.3">
      <c r="AO343" s="77"/>
      <c r="AP343" s="77"/>
      <c r="AQ343" s="20">
        <v>6</v>
      </c>
      <c r="AR343" t="s">
        <v>5</v>
      </c>
      <c r="AS343" t="s">
        <v>5</v>
      </c>
      <c r="AT343" t="s">
        <v>3</v>
      </c>
      <c r="AU343" t="s">
        <v>5</v>
      </c>
      <c r="AV343" t="s">
        <v>5</v>
      </c>
      <c r="AW343" t="s">
        <v>5</v>
      </c>
      <c r="AX343" t="s">
        <v>5</v>
      </c>
      <c r="AY343" t="s">
        <v>2</v>
      </c>
      <c r="AZ343" t="s">
        <v>2</v>
      </c>
      <c r="BA343" t="s">
        <v>2</v>
      </c>
      <c r="BB343" t="s">
        <v>2</v>
      </c>
      <c r="BC343" t="s">
        <v>3</v>
      </c>
      <c r="BD343" t="s">
        <v>5</v>
      </c>
      <c r="BE343" t="s">
        <v>3</v>
      </c>
      <c r="BF343" t="s">
        <v>3</v>
      </c>
      <c r="BG343" t="s">
        <v>5</v>
      </c>
      <c r="BH343" t="s">
        <v>5</v>
      </c>
      <c r="BI343" t="s">
        <v>5</v>
      </c>
      <c r="BJ343" t="s">
        <v>2</v>
      </c>
      <c r="BK343" t="s">
        <v>3</v>
      </c>
      <c r="BL343" t="s">
        <v>4</v>
      </c>
      <c r="BM343" t="s">
        <v>4</v>
      </c>
      <c r="BN343" t="s">
        <v>3</v>
      </c>
      <c r="BO343" t="s">
        <v>4</v>
      </c>
      <c r="BP343" t="s">
        <v>4</v>
      </c>
      <c r="BQ343" t="s">
        <v>4</v>
      </c>
      <c r="BR343" t="s">
        <v>3</v>
      </c>
      <c r="BS343" t="s">
        <v>4</v>
      </c>
      <c r="BT343" t="s">
        <v>4</v>
      </c>
      <c r="BU343" t="s">
        <v>3</v>
      </c>
      <c r="BV343" t="s">
        <v>3</v>
      </c>
      <c r="BW343" t="s">
        <v>3</v>
      </c>
      <c r="BX343" t="s">
        <v>3</v>
      </c>
      <c r="BY343" t="s">
        <v>3</v>
      </c>
      <c r="BZ343" t="s">
        <v>3</v>
      </c>
      <c r="CA343" t="s">
        <v>3</v>
      </c>
    </row>
    <row r="344" spans="40:79" x14ac:dyDescent="0.3">
      <c r="AO344" s="67" t="s">
        <v>504</v>
      </c>
      <c r="AP344" s="67"/>
      <c r="AQ344" s="43">
        <f>PRODUCT('Data Training 1'!AW22,'Data Training 1'!AT34,'Data Training 1'!AT40,'Data Training 1'!AT44,'Data Training 1'!AT52,'Data Training 1'!AT58,'Data Training 1'!AT64,'Data Training 1'!AT70,'Data Training 1'!AT75,'Data Training 1'!AT81,'Data Training 1'!AT87,'Data Training 1'!AT93,'Data Training 1'!AT98,'Data Training 1'!AT106,'Data Training 1'!AT110,'Data Training 1'!AT116,'Data Training 1'!AT124,'Data Training 1'!AT130,'Data Training 1'!AT136,'Data Training 1'!AT141,'Data Training 1'!AT146,'Data Training 1'!AT151,'Data Training 1'!AT157,'Data Training 1'!AT164,'Data Training 1'!AT167,'Data Training 1'!AT171,'Data Training 1'!AT175,'Data Training 1'!AT180,'Data Training 1'!AT183,'Data Training 1'!AT187,'Data Training 1'!AT192,'Data Training 1'!AT196,'Data Training 1'!AT200,'Data Training 1'!AT204,'Data Training 1'!AT208,'Data Training 1'!AT212,'Data Training 1'!AT216)</f>
        <v>0</v>
      </c>
    </row>
    <row r="345" spans="40:79" x14ac:dyDescent="0.3">
      <c r="AO345" s="67" t="s">
        <v>505</v>
      </c>
      <c r="AP345" s="67"/>
      <c r="AQ345" s="43">
        <f>PRODUCT('Data Training 1'!AW23,'Data Training 1'!AU34,'Data Training 1'!AU40,'Data Training 1'!AU44,'Data Training 1'!AU52,'Data Training 1'!AU58,'Data Training 1'!AU64,'Data Training 1'!AU70,'Data Training 1'!AU75,'Data Training 1'!AU81,'Data Training 1'!AU87,'Data Training 1'!AU93,'Data Training 1'!AU98,'Data Training 1'!AU106,'Data Training 1'!AU110,'Data Training 1'!AU116,'Data Training 1'!AU124,'Data Training 1'!AU130,'Data Training 1'!AU136,'Data Training 1'!AU141,'Data Training 1'!AU146,'Data Training 1'!AU151,'Data Training 1'!AU157,'Data Training 1'!AU164,'Data Training 1'!AU167,'Data Training 1'!AU171,'Data Training 1'!AU175,'Data Training 1'!AU180,'Data Training 1'!AU183,'Data Training 1'!AU187,'Data Training 1'!AU192,'Data Training 1'!AU196,'Data Training 1'!AU200,'Data Training 1'!AU204,'Data Training 1'!AU208,'Data Training 1'!AU212,'Data Training 1'!AU216)</f>
        <v>0</v>
      </c>
    </row>
    <row r="346" spans="40:79" x14ac:dyDescent="0.3">
      <c r="AO346" s="67" t="s">
        <v>506</v>
      </c>
      <c r="AP346" s="67"/>
      <c r="AQ346" s="43">
        <f>PRODUCT('Data Training 1'!AW24,'Data Training 1'!AV34,'Data Training 1'!AV40,'Data Training 1'!AV44,'Data Training 1'!AV52,'Data Training 1'!AV58,'Data Training 1'!AV64,'Data Training 1'!AV70,'Data Training 1'!AV75,'Data Training 1'!AV81,'Data Training 1'!AV87,'Data Training 1'!AV93,'Data Training 1'!AV98,'Data Training 1'!AV106,'Data Training 1'!AV110,'Data Training 1'!AV116,'Data Training 1'!AV124,'Data Training 1'!AV130,'Data Training 1'!AV136,'Data Training 1'!AV141,'Data Training 1'!AV146,'Data Training 1'!AV151,'Data Training 1'!AV157,'Data Training 1'!AV164,'Data Training 1'!AV167,'Data Training 1'!AV171,'Data Training 1'!AV175,'Data Training 1'!AV180,'Data Training 1'!AV183,'Data Training 1'!AV187,'Data Training 1'!AV192,'Data Training 1'!AV196,'Data Training 1'!AV200,'Data Training 1'!AV204,'Data Training 1'!AV208,'Data Training 1'!AV212,'Data Training 1'!AV216)</f>
        <v>0</v>
      </c>
    </row>
    <row r="347" spans="40:79" x14ac:dyDescent="0.3">
      <c r="AO347" s="67" t="s">
        <v>507</v>
      </c>
      <c r="AP347" s="67"/>
      <c r="AQ347">
        <f>PRODUCT('Data Training 1'!AW25,'Data Training 1'!AW34,'Data Training 1'!AW40,'Data Training 1'!AW44,'Data Training 1'!AW52,'Data Training 1'!AW58,'Data Training 1'!AW64,'Data Training 1'!AW70,'Data Training 1'!AW75,'Data Training 1'!AW81,'Data Training 1'!AW87,'Data Training 1'!AW93,'Data Training 1'!AW98,'Data Training 1'!AW106,'Data Training 1'!AW110,'Data Training 1'!AW116,'Data Training 1'!AW124,'Data Training 1'!AW130,'Data Training 1'!AW136,'Data Training 1'!AW141,'Data Training 1'!AW146,'Data Training 1'!AW151,'Data Training 1'!AW157,'Data Training 1'!AW164,'Data Training 1'!AW167,'Data Training 1'!AW171,'Data Training 1'!AW175,'Data Training 1'!AW180,'Data Training 1'!AW183,'Data Training 1'!AW187,'Data Training 1'!AW192,'Data Training 1'!AW196,'Data Training 1'!AW200,'Data Training 1'!AW204,'Data Training 1'!AW208,'Data Training 1'!AW212,'Data Training 1'!AW216)</f>
        <v>0</v>
      </c>
    </row>
    <row r="348" spans="40:79" x14ac:dyDescent="0.3">
      <c r="AO348" s="67" t="s">
        <v>508</v>
      </c>
      <c r="AP348" s="67"/>
      <c r="AQ348" s="43">
        <f>PRODUCT('Data Training 1'!AW26,'Data Training 1'!AX34,'Data Training 1'!AX40,'Data Training 1'!AX44,'Data Training 1'!AX52,'Data Training 1'!AX58,'Data Training 1'!AX64,'Data Training 1'!AX70,'Data Training 1'!AX75,'Data Training 1'!AX81,'Data Training 1'!AX87,'Data Training 1'!AX93,'Data Training 1'!AX98,'Data Training 1'!AX106,'Data Training 1'!AX110,'Data Training 1'!AX116,'Data Training 1'!AX124,'Data Training 1'!AX130,'Data Training 1'!AX136,'Data Training 1'!AX141,'Data Training 1'!AX146,'Data Training 1'!AX151,'Data Training 1'!AX157,'Data Training 1'!AX164,'Data Training 1'!AX167,'Data Training 1'!AX171,'Data Training 1'!AX175,'Data Training 1'!AX180,'Data Training 1'!AX183,'Data Training 1'!AX187,'Data Training 1'!AX192,'Data Training 1'!AX196,'Data Training 1'!AX200,'Data Training 1'!AX204,'Data Training 1'!AX208,'Data Training 1'!AX212,'Data Training 1'!AX216)</f>
        <v>0</v>
      </c>
    </row>
    <row r="349" spans="40:79" x14ac:dyDescent="0.3">
      <c r="AO349" s="67" t="s">
        <v>509</v>
      </c>
      <c r="AP349" s="67"/>
      <c r="AQ349" s="43">
        <f>PRODUCT('Data Training 1'!AW27,'Data Training 1'!AY34,'Data Training 1'!AY40,'Data Training 1'!AY44,'Data Training 1'!AY52,'Data Training 1'!AY58,'Data Training 1'!AY64,'Data Training 1'!AY70,'Data Training 1'!AY75,'Data Training 1'!AY81,'Data Training 1'!AY87,'Data Training 1'!AY93,'Data Training 1'!AY98,'Data Training 1'!AY106,'Data Training 1'!AY110,'Data Training 1'!AY116,'Data Training 1'!AY124,'Data Training 1'!AY130,'Data Training 1'!AY136,'Data Training 1'!AY141,'Data Training 1'!AY146,'Data Training 1'!AY151,'Data Training 1'!AY157,'Data Training 1'!AY164,'Data Training 1'!AY167,'Data Training 1'!AY171,'Data Training 1'!AY175,'Data Training 1'!AY180,'Data Training 1'!AY183,'Data Training 1'!AY187,'Data Training 1'!AY192,'Data Training 1'!AY196,'Data Training 1'!AY200,'Data Training 1'!AY204,'Data Training 1'!AY208,'Data Training 1'!AY212,'Data Training 1'!AY216)</f>
        <v>1.7859349221372509E-13</v>
      </c>
    </row>
    <row r="350" spans="40:79" x14ac:dyDescent="0.3">
      <c r="AO350" s="76" t="s">
        <v>437</v>
      </c>
      <c r="AP350" s="76"/>
      <c r="AQ350" t="s">
        <v>298</v>
      </c>
      <c r="AR350" s="74" t="s">
        <v>438</v>
      </c>
      <c r="AS350" s="74"/>
      <c r="AT350" s="74"/>
    </row>
    <row r="352" spans="40:79" x14ac:dyDescent="0.3">
      <c r="AN352">
        <v>36</v>
      </c>
      <c r="AO352" s="77" t="s">
        <v>488</v>
      </c>
      <c r="AP352" s="77"/>
      <c r="AQ352" s="20" t="s">
        <v>64</v>
      </c>
      <c r="AR352" s="1" t="s">
        <v>43</v>
      </c>
      <c r="AS352" s="1" t="s">
        <v>44</v>
      </c>
      <c r="AT352" s="1" t="s">
        <v>45</v>
      </c>
      <c r="AU352" s="1" t="s">
        <v>46</v>
      </c>
      <c r="AV352" s="1" t="s">
        <v>47</v>
      </c>
      <c r="AW352" s="1" t="s">
        <v>48</v>
      </c>
      <c r="AX352" s="1" t="s">
        <v>49</v>
      </c>
      <c r="AY352" s="1" t="s">
        <v>50</v>
      </c>
      <c r="AZ352" s="1" t="s">
        <v>51</v>
      </c>
      <c r="BA352" s="1" t="s">
        <v>52</v>
      </c>
      <c r="BB352" s="1" t="s">
        <v>53</v>
      </c>
      <c r="BC352" s="1" t="s">
        <v>54</v>
      </c>
      <c r="BD352" s="1" t="s">
        <v>55</v>
      </c>
      <c r="BE352" s="1" t="s">
        <v>56</v>
      </c>
      <c r="BF352" s="1" t="s">
        <v>57</v>
      </c>
      <c r="BG352" s="1" t="s">
        <v>58</v>
      </c>
      <c r="BH352" s="1" t="s">
        <v>59</v>
      </c>
      <c r="BI352" s="1" t="s">
        <v>60</v>
      </c>
      <c r="BJ352" s="1" t="s">
        <v>61</v>
      </c>
      <c r="BK352" s="1" t="s">
        <v>62</v>
      </c>
      <c r="BL352" s="1" t="s">
        <v>63</v>
      </c>
      <c r="BM352" s="1" t="s">
        <v>330</v>
      </c>
      <c r="BN352" s="1" t="s">
        <v>331</v>
      </c>
      <c r="BO352" s="1" t="s">
        <v>332</v>
      </c>
      <c r="BP352" s="1" t="s">
        <v>333</v>
      </c>
      <c r="BQ352" s="1" t="s">
        <v>334</v>
      </c>
      <c r="BR352" s="1" t="s">
        <v>335</v>
      </c>
      <c r="BS352" s="1" t="s">
        <v>336</v>
      </c>
      <c r="BT352" s="1" t="s">
        <v>337</v>
      </c>
      <c r="BU352" s="1" t="s">
        <v>338</v>
      </c>
      <c r="BV352" s="1" t="s">
        <v>339</v>
      </c>
      <c r="BW352" s="1" t="s">
        <v>340</v>
      </c>
      <c r="BX352" s="1" t="s">
        <v>341</v>
      </c>
      <c r="BY352" s="1" t="s">
        <v>342</v>
      </c>
      <c r="BZ352" s="1" t="s">
        <v>343</v>
      </c>
      <c r="CA352" s="1" t="s">
        <v>390</v>
      </c>
    </row>
    <row r="353" spans="41:79" x14ac:dyDescent="0.3">
      <c r="AO353" s="77"/>
      <c r="AP353" s="77"/>
      <c r="AQ353" s="20">
        <v>6</v>
      </c>
      <c r="AR353" t="s">
        <v>5</v>
      </c>
      <c r="AS353" t="s">
        <v>5</v>
      </c>
      <c r="AT353" t="s">
        <v>4</v>
      </c>
      <c r="AU353" t="s">
        <v>5</v>
      </c>
      <c r="AV353" t="s">
        <v>5</v>
      </c>
      <c r="AW353" t="s">
        <v>5</v>
      </c>
      <c r="AX353" t="s">
        <v>5</v>
      </c>
      <c r="AY353" t="s">
        <v>2</v>
      </c>
      <c r="AZ353" t="s">
        <v>3</v>
      </c>
      <c r="BA353" t="s">
        <v>4</v>
      </c>
      <c r="BB353" t="s">
        <v>3</v>
      </c>
      <c r="BC353" t="s">
        <v>5</v>
      </c>
      <c r="BD353" t="s">
        <v>5</v>
      </c>
      <c r="BE353" t="s">
        <v>3</v>
      </c>
      <c r="BF353" t="s">
        <v>5</v>
      </c>
      <c r="BG353" t="s">
        <v>5</v>
      </c>
      <c r="BH353" t="s">
        <v>3</v>
      </c>
      <c r="BI353" t="s">
        <v>5</v>
      </c>
      <c r="BJ353" t="s">
        <v>3</v>
      </c>
      <c r="BK353" t="s">
        <v>4</v>
      </c>
      <c r="BL353" t="s">
        <v>2</v>
      </c>
      <c r="BM353" t="s">
        <v>2</v>
      </c>
      <c r="BN353" t="s">
        <v>3</v>
      </c>
      <c r="BO353" t="s">
        <v>4</v>
      </c>
      <c r="BP353" t="s">
        <v>4</v>
      </c>
      <c r="BQ353" t="s">
        <v>4</v>
      </c>
      <c r="BR353" t="s">
        <v>4</v>
      </c>
      <c r="BS353" t="s">
        <v>4</v>
      </c>
      <c r="BT353" t="s">
        <v>4</v>
      </c>
      <c r="BU353" t="s">
        <v>3</v>
      </c>
      <c r="BV353" t="s">
        <v>4</v>
      </c>
      <c r="BW353" t="s">
        <v>3</v>
      </c>
      <c r="BX353" t="s">
        <v>3</v>
      </c>
      <c r="BY353" t="s">
        <v>4</v>
      </c>
      <c r="BZ353" t="s">
        <v>3</v>
      </c>
      <c r="CA353" t="s">
        <v>3</v>
      </c>
    </row>
    <row r="354" spans="41:79" x14ac:dyDescent="0.3">
      <c r="AO354" s="67" t="s">
        <v>504</v>
      </c>
      <c r="AP354" s="67"/>
      <c r="AQ354">
        <f>PRODUCT('Data Training 1'!AW22,'Data Training 1'!AT34,'Data Training 1'!AT40,'Data Training 1'!AT43,'Data Training 1'!AT52,'Data Training 1'!AT58,'Data Training 1'!AT64,'Data Training 1'!AT70,'Data Training 1'!AT75,'Data Training 1'!AT80,'Data Training 1'!AT85,'Data Training 1'!AT92,'Data Training 1'!AT100,'Data Training 1'!AT106,'Data Training 1'!AT110,'Data Training 1'!AT118,'Data Training 1'!AT124,'Data Training 1'!AT128,'Data Training 1'!AT136,'Data Training 1'!AT140,'Data Training 1'!AT145,'Data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55" spans="41:79" x14ac:dyDescent="0.3">
      <c r="AO355" s="67" t="s">
        <v>505</v>
      </c>
      <c r="AP355" s="67"/>
      <c r="AQ355" s="43">
        <f>PRODUCT('Data Training 1'!AW23,'Data Training 1'!AU34,'Data Training 1'!AU40,'Data Training 1'!AU43,'Data Training 1'!AU52,'Data Training 1'!AU58,'Data Training 1'!AU64,'Data Training 1'!AU70,'Data Training 1'!AU75,'Data Training 1'!AU80,'Data Training 1'!AU85,'Data Training 1'!AU92,'Data Training 1'!AU100,'Data Training 1'!AU106,'Data Training 1'!AU110,'Data Training 1'!AU118,'Data Training 1'!AU124,'Data Training 1'!AU128,'Data Training 1'!AU136,'Data Training 1'!AU140,'Data Training 1'!AU145,'Data Training 1'!AU153,'Data Training 1'!AU159,'Data Training 1'!AU163,'Data Training 1'!AU167,'Data Training 1'!AU171,'Data Training 1'!AU175,'Data Training 1'!AU179,'Data Training 1'!AU183,'Data Training 1'!AU187,'Data Training 1'!AU192,'Data Training 1'!AU195,'Data Training 1'!AU200,'Data Training 1'!AU204,'Data Training 1'!AU207,'Data Training 1'!AU212,'Data Training 1'!AU216)</f>
        <v>0</v>
      </c>
    </row>
    <row r="356" spans="41:79" x14ac:dyDescent="0.3">
      <c r="AO356" s="67" t="s">
        <v>506</v>
      </c>
      <c r="AP356" s="67"/>
      <c r="AQ356" s="43">
        <f>PRODUCT('Data Training 1'!AW24,'Data Training 1'!AV34,'Data Training 1'!AV40,'Data Training 1'!AV43,'Data Training 1'!AV52,'Data Training 1'!AV58,'Data Training 1'!AV64,'Data Training 1'!AV70,'Data Training 1'!AV75,'Data Training 1'!AV80,'Data Training 1'!AV85,'Data Training 1'!AV92,'Data Training 1'!AV100,'Data Training 1'!AV106,'Data Training 1'!AV110,'Data Training 1'!AV118,'Data Training 1'!AV124,'Data Training 1'!AV128,'Data Training 1'!AV136,'Data Training 1'!AV140,'Data Training 1'!AV145,'Data Training 1'!AV153,'Data Training 1'!AV159,'Data Training 1'!AV163,'Data Training 1'!AV167,'Data Training 1'!AV171,'Data Training 1'!AV175,'Data Training 1'!AV179,'Data Training 1'!AV183,'Data Training 1'!AV187,'Data Training 1'!AV192,'Data Training 1'!AV195,'Data Training 1'!AV200,'Data Training 1'!AV204,'Data Training 1'!AV207,'Data Training 1'!AV212,'Data Training 1'!AV216)</f>
        <v>0</v>
      </c>
    </row>
    <row r="357" spans="41:79" x14ac:dyDescent="0.3">
      <c r="AO357" s="67" t="s">
        <v>507</v>
      </c>
      <c r="AP357" s="67"/>
      <c r="AQ357" s="43">
        <f>PRODUCT('Data Training 1'!AW25,'Data Training 1'!AW34,'Data Training 1'!AW40,'Data Training 1'!AW43,'Data Training 1'!AW52,'Data Training 1'!AW58,'Data Training 1'!AW64,'Data Training 1'!AW70,'Data Training 1'!AW75,'Data Training 1'!AW80,'Data Training 1'!AW85,'Data Training 1'!AW92,'Data Training 1'!AW100,'Data Training 1'!AW106,'Data Training 1'!AW110,'Data Training 1'!AW118,'Data Training 1'!AW124,'Data Training 1'!AW128,'Data Training 1'!AW136,'Data Training 1'!AW140,'Data Training 1'!AW145,'Data Training 1'!AW153,'Data Training 1'!AW159,'Data Training 1'!AW163,'Data Training 1'!AW167,'Data Training 1'!AW171,'Data Training 1'!AW175,'Data Training 1'!AW179,'Data Training 1'!AW183,'Data Training 1'!AW187,'Data Training 1'!AW192,'Data Training 1'!AW195,'Data Training 1'!AW200,'Data Training 1'!AW204,'Data Training 1'!AW207,'Data Training 1'!AW212,'Data Training 1'!AW216)</f>
        <v>0</v>
      </c>
    </row>
    <row r="358" spans="41:79" x14ac:dyDescent="0.3">
      <c r="AO358" s="67" t="s">
        <v>508</v>
      </c>
      <c r="AP358" s="67"/>
      <c r="AQ358" s="43">
        <f>PRODUCT('Data Training 1'!AW26,'Data Training 1'!AX34,'Data Training 1'!AX40,'Data Training 1'!AX43,'Data Training 1'!AX52,'Data Training 1'!AX58,'Data Training 1'!AX64,'Data Training 1'!AX70,'Data Training 1'!AX75,'Data Training 1'!AX80,'Data Training 1'!AX85,'Data Training 1'!AX92,'Data Training 1'!AX100,'Data Training 1'!AX106,'Data Training 1'!AX110,'Data Training 1'!AX118,'Data Training 1'!AX124,'Data Training 1'!AX128,'Data Training 1'!AX136,'Data Training 1'!AX140,'Data Training 1'!AX145,'Data Training 1'!AX153,'Data Training 1'!AX159,'Data Training 1'!AX163,'Data Training 1'!AX167,'Data Training 1'!AX171,'Data Training 1'!AX175,'Data Training 1'!AX179,'Data Training 1'!AX183,'Data Training 1'!AX187,'Data Training 1'!AX192,'Data Training 1'!AX195,'Data Training 1'!AX200,'Data Training 1'!AX204,'Data Training 1'!AX207,'Data Training 1'!AX212,'Data Training 1'!AX216)</f>
        <v>0</v>
      </c>
    </row>
    <row r="359" spans="41:79" x14ac:dyDescent="0.3">
      <c r="AO359" s="67" t="s">
        <v>509</v>
      </c>
      <c r="AP359" s="67"/>
      <c r="AQ359" s="43">
        <f>PRODUCT('Data Training 1'!AW27,'Data Training 1'!AY34,'Data Training 1'!AY40,'Data Training 1'!AY43,'Data Training 1'!AY52,'Data Training 1'!AY58,'Data Training 1'!AY64,'Data Training 1'!AY70,'Data Training 1'!AY75,'Data Training 1'!AY80,'Data Training 1'!AY85,'Data Training 1'!AY92,'Data Training 1'!AY100,'Data Training 1'!AY106,'Data Training 1'!AY110,'Data Training 1'!AY118,'Data Training 1'!AY124,'Data Training 1'!AY128,'Data Training 1'!AY136,'Data Training 1'!AY140,'Data Training 1'!AY145,'Data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2.9043588077764822E-9</v>
      </c>
    </row>
    <row r="360" spans="41:79" x14ac:dyDescent="0.3">
      <c r="AO360" s="76" t="s">
        <v>437</v>
      </c>
      <c r="AP360" s="76"/>
      <c r="AQ360" t="s">
        <v>298</v>
      </c>
      <c r="AR360" s="74" t="s">
        <v>438</v>
      </c>
      <c r="AS360" s="74"/>
      <c r="AT360" s="74"/>
    </row>
    <row r="362" spans="41:79" x14ac:dyDescent="0.3">
      <c r="AO362" s="85"/>
      <c r="AP362" s="85"/>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spans="41:79" x14ac:dyDescent="0.3">
      <c r="AO363" s="85"/>
      <c r="AP363" s="85"/>
    </row>
    <row r="364" spans="41:79" x14ac:dyDescent="0.3">
      <c r="AO364" s="67"/>
      <c r="AP364" s="67"/>
    </row>
    <row r="365" spans="41:79" x14ac:dyDescent="0.3">
      <c r="AO365" s="67"/>
      <c r="AP365" s="67"/>
    </row>
    <row r="366" spans="41:79" x14ac:dyDescent="0.3">
      <c r="AO366" s="67"/>
      <c r="AP366" s="67"/>
      <c r="AQ366" s="43"/>
    </row>
    <row r="367" spans="41:79" x14ac:dyDescent="0.3">
      <c r="AO367" s="67"/>
      <c r="AP367" s="67"/>
      <c r="AQ367" s="43"/>
    </row>
    <row r="368" spans="41:79" x14ac:dyDescent="0.3">
      <c r="AO368" s="67"/>
      <c r="AP368" s="67"/>
      <c r="AQ368" s="43"/>
    </row>
    <row r="369" spans="41:79" x14ac:dyDescent="0.3">
      <c r="AO369" s="67"/>
      <c r="AP369" s="67"/>
      <c r="AQ369" s="43"/>
    </row>
    <row r="370" spans="41:79" x14ac:dyDescent="0.3">
      <c r="AO370" s="67"/>
      <c r="AP370" s="67"/>
      <c r="AR370" s="67"/>
      <c r="AS370" s="67"/>
      <c r="AT370" s="67"/>
    </row>
    <row r="372" spans="41:79" x14ac:dyDescent="0.3">
      <c r="AO372" s="85"/>
      <c r="AP372" s="85"/>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spans="41:79" x14ac:dyDescent="0.3">
      <c r="AO373" s="85"/>
      <c r="AP373" s="85"/>
    </row>
    <row r="374" spans="41:79" x14ac:dyDescent="0.3">
      <c r="AO374" s="67"/>
      <c r="AP374" s="67"/>
      <c r="AQ374" s="43"/>
    </row>
    <row r="375" spans="41:79" x14ac:dyDescent="0.3">
      <c r="AO375" s="67"/>
      <c r="AP375" s="67"/>
      <c r="AQ375" s="43"/>
    </row>
    <row r="376" spans="41:79" x14ac:dyDescent="0.3">
      <c r="AO376" s="67"/>
      <c r="AP376" s="67"/>
      <c r="AQ376" s="43"/>
    </row>
    <row r="377" spans="41:79" x14ac:dyDescent="0.3">
      <c r="AO377" s="67"/>
      <c r="AP377" s="67"/>
      <c r="AQ377" s="43"/>
    </row>
    <row r="378" spans="41:79" x14ac:dyDescent="0.3">
      <c r="AO378" s="67"/>
      <c r="AP378" s="67"/>
      <c r="AQ378" s="43"/>
    </row>
    <row r="379" spans="41:79" x14ac:dyDescent="0.3">
      <c r="AO379" s="67"/>
      <c r="AP379" s="67"/>
      <c r="AQ379" s="43"/>
    </row>
    <row r="380" spans="41:79" x14ac:dyDescent="0.3">
      <c r="AO380" s="67"/>
      <c r="AP380" s="67"/>
      <c r="AR380" s="67"/>
      <c r="AS380" s="67"/>
      <c r="AT380" s="67"/>
    </row>
    <row r="382" spans="41:79" x14ac:dyDescent="0.3">
      <c r="AO382" s="85"/>
      <c r="AP382" s="85"/>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spans="41:79" x14ac:dyDescent="0.3">
      <c r="AO383" s="85"/>
      <c r="AP383" s="85"/>
    </row>
    <row r="384" spans="41:79" x14ac:dyDescent="0.3">
      <c r="AO384" s="67"/>
      <c r="AP384" s="67"/>
      <c r="AQ384" s="43"/>
    </row>
    <row r="385" spans="41:79" x14ac:dyDescent="0.3">
      <c r="AO385" s="67"/>
      <c r="AP385" s="67"/>
      <c r="AQ385" s="43"/>
    </row>
    <row r="386" spans="41:79" x14ac:dyDescent="0.3">
      <c r="AO386" s="67"/>
      <c r="AP386" s="67"/>
      <c r="AQ386" s="43"/>
    </row>
    <row r="387" spans="41:79" x14ac:dyDescent="0.3">
      <c r="AO387" s="67"/>
      <c r="AP387" s="67"/>
      <c r="AQ387" s="43"/>
    </row>
    <row r="388" spans="41:79" x14ac:dyDescent="0.3">
      <c r="AO388" s="67"/>
      <c r="AP388" s="67"/>
      <c r="AQ388" s="43"/>
    </row>
    <row r="389" spans="41:79" x14ac:dyDescent="0.3">
      <c r="AO389" s="67"/>
      <c r="AP389" s="67"/>
      <c r="AQ389" s="43"/>
    </row>
    <row r="390" spans="41:79" x14ac:dyDescent="0.3">
      <c r="AO390" s="67"/>
      <c r="AP390" s="67"/>
      <c r="AR390" s="67"/>
      <c r="AS390" s="67"/>
      <c r="AT390" s="67"/>
    </row>
    <row r="392" spans="41:79" x14ac:dyDescent="0.3">
      <c r="AO392" s="85"/>
      <c r="AP392" s="85"/>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spans="41:79" x14ac:dyDescent="0.3">
      <c r="AO393" s="85"/>
      <c r="AP393" s="85"/>
    </row>
    <row r="394" spans="41:79" x14ac:dyDescent="0.3">
      <c r="AO394" s="67"/>
      <c r="AP394" s="67"/>
      <c r="AQ394" s="43"/>
    </row>
    <row r="395" spans="41:79" x14ac:dyDescent="0.3">
      <c r="AO395" s="67"/>
      <c r="AP395" s="67"/>
      <c r="AQ395" s="43"/>
    </row>
    <row r="396" spans="41:79" x14ac:dyDescent="0.3">
      <c r="AO396" s="67"/>
      <c r="AP396" s="67"/>
      <c r="AQ396" s="43"/>
    </row>
    <row r="397" spans="41:79" x14ac:dyDescent="0.3">
      <c r="AO397" s="67"/>
      <c r="AP397" s="67"/>
      <c r="AQ397" s="43"/>
    </row>
    <row r="398" spans="41:79" x14ac:dyDescent="0.3">
      <c r="AO398" s="67"/>
      <c r="AP398" s="67"/>
      <c r="AQ398" s="43"/>
    </row>
    <row r="399" spans="41:79" x14ac:dyDescent="0.3">
      <c r="AO399" s="67"/>
      <c r="AP399" s="67"/>
      <c r="AQ399" s="43"/>
    </row>
    <row r="400" spans="41:79" x14ac:dyDescent="0.3">
      <c r="AO400" s="67"/>
      <c r="AP400" s="67"/>
      <c r="AR400" s="67"/>
      <c r="AS400" s="67"/>
      <c r="AT400" s="67"/>
    </row>
    <row r="402" spans="41:79" x14ac:dyDescent="0.3">
      <c r="AO402" s="85"/>
      <c r="AP402" s="85"/>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spans="41:79" x14ac:dyDescent="0.3">
      <c r="AO403" s="85"/>
      <c r="AP403" s="85"/>
    </row>
    <row r="404" spans="41:79" x14ac:dyDescent="0.3">
      <c r="AO404" s="67"/>
      <c r="AP404" s="67"/>
      <c r="AQ404" s="43"/>
    </row>
    <row r="405" spans="41:79" x14ac:dyDescent="0.3">
      <c r="AO405" s="67"/>
      <c r="AP405" s="67"/>
      <c r="AQ405" s="43"/>
    </row>
    <row r="406" spans="41:79" x14ac:dyDescent="0.3">
      <c r="AO406" s="67"/>
      <c r="AP406" s="67"/>
      <c r="AQ406" s="43"/>
    </row>
    <row r="407" spans="41:79" x14ac:dyDescent="0.3">
      <c r="AO407" s="67"/>
      <c r="AP407" s="67"/>
      <c r="AQ407" s="43"/>
    </row>
    <row r="408" spans="41:79" x14ac:dyDescent="0.3">
      <c r="AO408" s="67"/>
      <c r="AP408" s="67"/>
      <c r="AQ408" s="43"/>
    </row>
    <row r="409" spans="41:79" x14ac:dyDescent="0.3">
      <c r="AO409" s="67"/>
      <c r="AP409" s="67"/>
      <c r="AQ409" s="43"/>
    </row>
    <row r="410" spans="41:79" x14ac:dyDescent="0.3">
      <c r="AO410" s="67"/>
      <c r="AP410" s="67"/>
      <c r="AR410" s="67"/>
      <c r="AS410" s="67"/>
      <c r="AT410" s="67"/>
    </row>
    <row r="412" spans="41:79" x14ac:dyDescent="0.3">
      <c r="AO412" s="85"/>
      <c r="AP412" s="85"/>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spans="41:79" x14ac:dyDescent="0.3">
      <c r="AO413" s="85"/>
      <c r="AP413" s="85"/>
    </row>
    <row r="414" spans="41:79" x14ac:dyDescent="0.3">
      <c r="AO414" s="67"/>
      <c r="AP414" s="67"/>
      <c r="AQ414" s="43"/>
    </row>
    <row r="415" spans="41:79" x14ac:dyDescent="0.3">
      <c r="AO415" s="67"/>
      <c r="AP415" s="67"/>
      <c r="AQ415" s="43"/>
    </row>
    <row r="416" spans="41:79" x14ac:dyDescent="0.3">
      <c r="AO416" s="67"/>
      <c r="AP416" s="67"/>
      <c r="AQ416" s="43"/>
    </row>
    <row r="417" spans="41:79" x14ac:dyDescent="0.3">
      <c r="AO417" s="67"/>
      <c r="AP417" s="67"/>
      <c r="AQ417" s="43"/>
    </row>
    <row r="418" spans="41:79" x14ac:dyDescent="0.3">
      <c r="AO418" s="67"/>
      <c r="AP418" s="67"/>
      <c r="AQ418" s="43"/>
    </row>
    <row r="419" spans="41:79" x14ac:dyDescent="0.3">
      <c r="AO419" s="67"/>
      <c r="AP419" s="67"/>
      <c r="AQ419" s="43"/>
    </row>
    <row r="420" spans="41:79" x14ac:dyDescent="0.3">
      <c r="AO420" s="67"/>
      <c r="AP420" s="67"/>
      <c r="AR420" s="67"/>
      <c r="AS420" s="67"/>
      <c r="AT420" s="67"/>
    </row>
    <row r="422" spans="41:79" x14ac:dyDescent="0.3">
      <c r="AO422" s="85"/>
      <c r="AP422" s="85"/>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spans="41:79" x14ac:dyDescent="0.3">
      <c r="AO423" s="85"/>
      <c r="AP423" s="85"/>
    </row>
    <row r="424" spans="41:79" x14ac:dyDescent="0.3">
      <c r="AO424" s="67"/>
      <c r="AP424" s="67"/>
      <c r="AQ424" s="43"/>
    </row>
    <row r="425" spans="41:79" x14ac:dyDescent="0.3">
      <c r="AO425" s="67"/>
      <c r="AP425" s="67"/>
      <c r="AQ425" s="43"/>
    </row>
    <row r="426" spans="41:79" x14ac:dyDescent="0.3">
      <c r="AO426" s="67"/>
      <c r="AP426" s="67"/>
      <c r="AQ426" s="43"/>
    </row>
    <row r="427" spans="41:79" x14ac:dyDescent="0.3">
      <c r="AO427" s="67"/>
      <c r="AP427" s="67"/>
      <c r="AQ427" s="43"/>
    </row>
    <row r="428" spans="41:79" x14ac:dyDescent="0.3">
      <c r="AO428" s="67"/>
      <c r="AP428" s="67"/>
      <c r="AQ428" s="43"/>
    </row>
    <row r="429" spans="41:79" x14ac:dyDescent="0.3">
      <c r="AO429" s="67"/>
      <c r="AP429" s="67"/>
      <c r="AQ429" s="43"/>
    </row>
    <row r="430" spans="41:79" x14ac:dyDescent="0.3">
      <c r="AO430" s="67"/>
      <c r="AP430" s="67"/>
      <c r="AR430" s="67"/>
      <c r="AS430" s="67"/>
      <c r="AT430" s="67"/>
    </row>
    <row r="432" spans="41:79" x14ac:dyDescent="0.3">
      <c r="AO432" s="85"/>
      <c r="AP432" s="85"/>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spans="41:79" x14ac:dyDescent="0.3">
      <c r="AO433" s="85"/>
      <c r="AP433" s="85"/>
    </row>
    <row r="434" spans="41:79" x14ac:dyDescent="0.3">
      <c r="AO434" s="67"/>
      <c r="AP434" s="67"/>
      <c r="AQ434" s="43"/>
    </row>
    <row r="435" spans="41:79" x14ac:dyDescent="0.3">
      <c r="AO435" s="67"/>
      <c r="AP435" s="67"/>
    </row>
    <row r="436" spans="41:79" x14ac:dyDescent="0.3">
      <c r="AO436" s="67"/>
      <c r="AP436" s="67"/>
    </row>
    <row r="437" spans="41:79" x14ac:dyDescent="0.3">
      <c r="AO437" s="67"/>
      <c r="AP437" s="67"/>
    </row>
    <row r="438" spans="41:79" x14ac:dyDescent="0.3">
      <c r="AO438" s="67"/>
      <c r="AP438" s="67"/>
    </row>
    <row r="439" spans="41:79" x14ac:dyDescent="0.3">
      <c r="AO439" s="67"/>
      <c r="AP439" s="67"/>
    </row>
    <row r="440" spans="41:79" x14ac:dyDescent="0.3">
      <c r="AO440" s="67"/>
      <c r="AP440" s="67"/>
      <c r="AR440" s="67"/>
      <c r="AS440" s="67"/>
      <c r="AT440" s="67"/>
    </row>
    <row r="442" spans="41:79" x14ac:dyDescent="0.3">
      <c r="AO442" s="85"/>
      <c r="AP442" s="85"/>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spans="41:79" x14ac:dyDescent="0.3">
      <c r="AO443" s="85"/>
      <c r="AP443" s="85"/>
    </row>
    <row r="444" spans="41:79" x14ac:dyDescent="0.3">
      <c r="AO444" s="67"/>
      <c r="AP444" s="67"/>
    </row>
    <row r="445" spans="41:79" x14ac:dyDescent="0.3">
      <c r="AO445" s="67"/>
      <c r="AP445" s="67"/>
    </row>
    <row r="446" spans="41:79" x14ac:dyDescent="0.3">
      <c r="AO446" s="67"/>
      <c r="AP446" s="67"/>
    </row>
    <row r="447" spans="41:79" x14ac:dyDescent="0.3">
      <c r="AO447" s="67"/>
      <c r="AP447" s="67"/>
    </row>
    <row r="448" spans="41:79" x14ac:dyDescent="0.3">
      <c r="AO448" s="67"/>
      <c r="AP448" s="67"/>
    </row>
    <row r="449" spans="41:79" x14ac:dyDescent="0.3">
      <c r="AO449" s="67"/>
      <c r="AP449" s="67"/>
    </row>
    <row r="450" spans="41:79" x14ac:dyDescent="0.3">
      <c r="AO450" s="67"/>
      <c r="AP450" s="67"/>
      <c r="AR450" s="67"/>
      <c r="AS450" s="67"/>
      <c r="AT450" s="67"/>
    </row>
    <row r="451" spans="41:79" x14ac:dyDescent="0.3">
      <c r="AO451" s="67"/>
      <c r="AP451" s="67"/>
    </row>
    <row r="452" spans="41:79" x14ac:dyDescent="0.3">
      <c r="AO452" s="85"/>
      <c r="AP452" s="85"/>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spans="41:79" x14ac:dyDescent="0.3">
      <c r="AO453" s="85"/>
      <c r="AP453" s="85"/>
    </row>
    <row r="454" spans="41:79" x14ac:dyDescent="0.3">
      <c r="AO454" s="67"/>
      <c r="AP454" s="67"/>
      <c r="AQ454" s="43"/>
    </row>
    <row r="455" spans="41:79" x14ac:dyDescent="0.3">
      <c r="AO455" s="67"/>
      <c r="AP455" s="67"/>
    </row>
    <row r="456" spans="41:79" x14ac:dyDescent="0.3">
      <c r="AO456" s="67"/>
      <c r="AP456" s="67"/>
    </row>
    <row r="457" spans="41:79" x14ac:dyDescent="0.3">
      <c r="AO457" s="67"/>
      <c r="AP457" s="67"/>
    </row>
    <row r="458" spans="41:79" x14ac:dyDescent="0.3">
      <c r="AO458" s="67"/>
      <c r="AP458" s="67"/>
    </row>
    <row r="459" spans="41:79" x14ac:dyDescent="0.3">
      <c r="AO459" s="67"/>
      <c r="AP459" s="67"/>
    </row>
    <row r="460" spans="41:79" x14ac:dyDescent="0.3">
      <c r="AO460" s="67"/>
      <c r="AP460" s="67"/>
      <c r="AR460" s="67"/>
      <c r="AS460" s="67"/>
      <c r="AT460" s="67"/>
    </row>
    <row r="462" spans="41:79" x14ac:dyDescent="0.3">
      <c r="AO462" s="85"/>
      <c r="AP462" s="85"/>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spans="41:79" x14ac:dyDescent="0.3">
      <c r="AO463" s="85"/>
      <c r="AP463" s="85"/>
    </row>
    <row r="464" spans="41:79" x14ac:dyDescent="0.3">
      <c r="AO464" s="67"/>
      <c r="AP464" s="67"/>
    </row>
    <row r="465" spans="41:79" x14ac:dyDescent="0.3">
      <c r="AO465" s="67"/>
      <c r="AP465" s="67"/>
    </row>
    <row r="466" spans="41:79" x14ac:dyDescent="0.3">
      <c r="AO466" s="67"/>
      <c r="AP466" s="67"/>
    </row>
    <row r="467" spans="41:79" x14ac:dyDescent="0.3">
      <c r="AO467" s="67"/>
      <c r="AP467" s="67"/>
    </row>
    <row r="468" spans="41:79" x14ac:dyDescent="0.3">
      <c r="AO468" s="67"/>
      <c r="AP468" s="67"/>
    </row>
    <row r="469" spans="41:79" x14ac:dyDescent="0.3">
      <c r="AO469" s="67"/>
      <c r="AP469" s="67"/>
    </row>
    <row r="470" spans="41:79" x14ac:dyDescent="0.3">
      <c r="AO470" s="67"/>
      <c r="AP470" s="67"/>
      <c r="AR470" s="67"/>
      <c r="AS470" s="67"/>
      <c r="AT470" s="67"/>
    </row>
    <row r="471" spans="41:79" x14ac:dyDescent="0.3">
      <c r="AO471" s="41"/>
      <c r="AP471" s="41"/>
    </row>
    <row r="472" spans="41:79" x14ac:dyDescent="0.3">
      <c r="AO472" s="85"/>
      <c r="AP472" s="85"/>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spans="41:79" x14ac:dyDescent="0.3">
      <c r="AO473" s="85"/>
      <c r="AP473" s="85"/>
    </row>
    <row r="474" spans="41:79" x14ac:dyDescent="0.3">
      <c r="AO474" s="67"/>
      <c r="AP474" s="67"/>
      <c r="AQ474" s="43"/>
    </row>
    <row r="475" spans="41:79" x14ac:dyDescent="0.3">
      <c r="AO475" s="67"/>
      <c r="AP475" s="67"/>
    </row>
    <row r="476" spans="41:79" x14ac:dyDescent="0.3">
      <c r="AO476" s="67"/>
      <c r="AP476" s="67"/>
    </row>
    <row r="477" spans="41:79" x14ac:dyDescent="0.3">
      <c r="AO477" s="67"/>
      <c r="AP477" s="67"/>
    </row>
    <row r="478" spans="41:79" x14ac:dyDescent="0.3">
      <c r="AO478" s="67"/>
      <c r="AP478" s="67"/>
    </row>
    <row r="479" spans="41:79" x14ac:dyDescent="0.3">
      <c r="AO479" s="67"/>
      <c r="AP479" s="67"/>
    </row>
    <row r="480" spans="41:79" x14ac:dyDescent="0.3">
      <c r="AO480" s="67"/>
      <c r="AP480" s="67"/>
      <c r="AR480" s="67"/>
      <c r="AS480" s="67"/>
      <c r="AT480" s="67"/>
    </row>
    <row r="482" spans="41:79" x14ac:dyDescent="0.3">
      <c r="AO482" s="72"/>
      <c r="AP482" s="7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spans="41:79" x14ac:dyDescent="0.3">
      <c r="AO483" s="72"/>
      <c r="AP483" s="72"/>
    </row>
    <row r="484" spans="41:79" x14ac:dyDescent="0.3">
      <c r="AO484" s="67"/>
      <c r="AP484" s="67"/>
      <c r="AQ484" s="43"/>
    </row>
    <row r="485" spans="41:79" x14ac:dyDescent="0.3">
      <c r="AO485" s="67"/>
      <c r="AP485" s="67"/>
    </row>
    <row r="486" spans="41:79" x14ac:dyDescent="0.3">
      <c r="AO486" s="67"/>
      <c r="AP486" s="67"/>
    </row>
    <row r="487" spans="41:79" x14ac:dyDescent="0.3">
      <c r="AO487" s="67"/>
      <c r="AP487" s="67"/>
    </row>
    <row r="488" spans="41:79" x14ac:dyDescent="0.3">
      <c r="AO488" s="67"/>
      <c r="AP488" s="67"/>
    </row>
    <row r="489" spans="41:79" x14ac:dyDescent="0.3">
      <c r="AO489" s="67"/>
      <c r="AP489" s="67"/>
    </row>
    <row r="490" spans="41:79" x14ac:dyDescent="0.3">
      <c r="AO490" s="67"/>
      <c r="AP490" s="67"/>
      <c r="AR490" s="67"/>
      <c r="AS490" s="67"/>
      <c r="AT490" s="67"/>
    </row>
    <row r="492" spans="41:79" x14ac:dyDescent="0.3">
      <c r="AO492" s="72"/>
      <c r="AP492" s="7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spans="41:79" x14ac:dyDescent="0.3">
      <c r="AO493" s="72"/>
      <c r="AP493" s="72"/>
    </row>
    <row r="494" spans="41:79" x14ac:dyDescent="0.3">
      <c r="AO494" s="67"/>
      <c r="AP494" s="67"/>
      <c r="AQ494" s="43"/>
    </row>
    <row r="495" spans="41:79" x14ac:dyDescent="0.3">
      <c r="AO495" s="67"/>
      <c r="AP495" s="67"/>
    </row>
    <row r="496" spans="41:79" x14ac:dyDescent="0.3">
      <c r="AO496" s="67"/>
      <c r="AP496" s="67"/>
    </row>
    <row r="497" spans="41:79" x14ac:dyDescent="0.3">
      <c r="AO497" s="67"/>
      <c r="AP497" s="67"/>
    </row>
    <row r="498" spans="41:79" x14ac:dyDescent="0.3">
      <c r="AO498" s="67"/>
      <c r="AP498" s="67"/>
    </row>
    <row r="499" spans="41:79" x14ac:dyDescent="0.3">
      <c r="AO499" s="67"/>
      <c r="AP499" s="67"/>
    </row>
    <row r="500" spans="41:79" x14ac:dyDescent="0.3">
      <c r="AO500" s="67"/>
      <c r="AP500" s="67"/>
      <c r="AR500" s="67"/>
      <c r="AS500" s="67"/>
      <c r="AT500" s="67"/>
    </row>
    <row r="502" spans="41:79" x14ac:dyDescent="0.3">
      <c r="AO502" s="72"/>
      <c r="AP502" s="7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spans="41:79" x14ac:dyDescent="0.3">
      <c r="AO503" s="72"/>
      <c r="AP503" s="72"/>
    </row>
    <row r="504" spans="41:79" x14ac:dyDescent="0.3">
      <c r="AO504" s="67"/>
      <c r="AP504" s="67"/>
      <c r="AQ504" s="43"/>
    </row>
    <row r="505" spans="41:79" x14ac:dyDescent="0.3">
      <c r="AO505" s="67"/>
      <c r="AP505" s="67"/>
    </row>
    <row r="506" spans="41:79" x14ac:dyDescent="0.3">
      <c r="AO506" s="67"/>
      <c r="AP506" s="67"/>
    </row>
    <row r="507" spans="41:79" x14ac:dyDescent="0.3">
      <c r="AO507" s="67"/>
      <c r="AP507" s="67"/>
    </row>
    <row r="508" spans="41:79" x14ac:dyDescent="0.3">
      <c r="AO508" s="67"/>
      <c r="AP508" s="67"/>
    </row>
    <row r="509" spans="41:79" x14ac:dyDescent="0.3">
      <c r="AO509" s="67"/>
      <c r="AP509" s="67"/>
    </row>
    <row r="510" spans="41:79" x14ac:dyDescent="0.3">
      <c r="AO510" s="67"/>
      <c r="AP510" s="67"/>
      <c r="AR510" s="67"/>
      <c r="AS510" s="67"/>
      <c r="AT510" s="67"/>
    </row>
    <row r="512" spans="41:79" x14ac:dyDescent="0.3">
      <c r="AO512" s="72"/>
      <c r="AP512" s="7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spans="41:79" x14ac:dyDescent="0.3">
      <c r="AO513" s="72"/>
      <c r="AP513" s="72"/>
    </row>
    <row r="514" spans="41:79" x14ac:dyDescent="0.3">
      <c r="AO514" s="67"/>
      <c r="AP514" s="67"/>
      <c r="AQ514" s="43"/>
    </row>
    <row r="515" spans="41:79" x14ac:dyDescent="0.3">
      <c r="AO515" s="67"/>
      <c r="AP515" s="67"/>
    </row>
    <row r="516" spans="41:79" x14ac:dyDescent="0.3">
      <c r="AO516" s="67"/>
      <c r="AP516" s="67"/>
    </row>
    <row r="517" spans="41:79" x14ac:dyDescent="0.3">
      <c r="AO517" s="67"/>
      <c r="AP517" s="67"/>
    </row>
    <row r="518" spans="41:79" x14ac:dyDescent="0.3">
      <c r="AO518" s="67"/>
      <c r="AP518" s="67"/>
    </row>
    <row r="519" spans="41:79" x14ac:dyDescent="0.3">
      <c r="AO519" s="67"/>
      <c r="AP519" s="67"/>
    </row>
    <row r="520" spans="41:79" x14ac:dyDescent="0.3">
      <c r="AO520" s="67"/>
      <c r="AP520" s="67"/>
      <c r="AR520" s="67"/>
      <c r="AS520" s="67"/>
      <c r="AT520" s="67"/>
    </row>
    <row r="522" spans="41:79" x14ac:dyDescent="0.3">
      <c r="AO522" s="72"/>
      <c r="AP522" s="7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spans="41:79" x14ac:dyDescent="0.3">
      <c r="AO523" s="72"/>
      <c r="AP523" s="72"/>
    </row>
    <row r="524" spans="41:79" x14ac:dyDescent="0.3">
      <c r="AO524" s="67"/>
      <c r="AP524" s="67"/>
    </row>
    <row r="525" spans="41:79" x14ac:dyDescent="0.3">
      <c r="AO525" s="67"/>
      <c r="AP525" s="67"/>
    </row>
    <row r="526" spans="41:79" x14ac:dyDescent="0.3">
      <c r="AO526" s="67"/>
      <c r="AP526" s="67"/>
    </row>
    <row r="527" spans="41:79" x14ac:dyDescent="0.3">
      <c r="AO527" s="67"/>
      <c r="AP527" s="67"/>
    </row>
    <row r="528" spans="41:79" x14ac:dyDescent="0.3">
      <c r="AO528" s="67"/>
      <c r="AP528" s="67"/>
    </row>
    <row r="529" spans="41:79" x14ac:dyDescent="0.3">
      <c r="AO529" s="67"/>
      <c r="AP529" s="67"/>
    </row>
    <row r="530" spans="41:79" x14ac:dyDescent="0.3">
      <c r="AO530" s="67"/>
      <c r="AP530" s="67"/>
      <c r="AR530" s="67"/>
      <c r="AS530" s="67"/>
      <c r="AT530" s="67"/>
    </row>
    <row r="532" spans="41:79" x14ac:dyDescent="0.3">
      <c r="AO532" s="72"/>
      <c r="AP532" s="7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spans="41:79" x14ac:dyDescent="0.3">
      <c r="AO533" s="72"/>
      <c r="AP533" s="72"/>
    </row>
    <row r="534" spans="41:79" x14ac:dyDescent="0.3">
      <c r="AO534" s="67"/>
      <c r="AP534" s="67"/>
      <c r="AQ534" s="43"/>
    </row>
    <row r="535" spans="41:79" x14ac:dyDescent="0.3">
      <c r="AO535" s="67"/>
      <c r="AP535" s="67"/>
    </row>
    <row r="536" spans="41:79" x14ac:dyDescent="0.3">
      <c r="AO536" s="67"/>
      <c r="AP536" s="67"/>
    </row>
    <row r="537" spans="41:79" x14ac:dyDescent="0.3">
      <c r="AO537" s="67"/>
      <c r="AP537" s="67"/>
    </row>
    <row r="538" spans="41:79" x14ac:dyDescent="0.3">
      <c r="AO538" s="67"/>
      <c r="AP538" s="67"/>
    </row>
    <row r="539" spans="41:79" x14ac:dyDescent="0.3">
      <c r="AO539" s="67"/>
      <c r="AP539" s="67"/>
    </row>
    <row r="540" spans="41:79" x14ac:dyDescent="0.3">
      <c r="AO540" s="67"/>
      <c r="AP540" s="67"/>
      <c r="AR540" s="67"/>
      <c r="AS540" s="67"/>
      <c r="AT540" s="67"/>
    </row>
  </sheetData>
  <autoFilter ref="A1:AM37" xr:uid="{3FC22DF5-C6DB-47A0-BC69-DF494CFD8C72}"/>
  <mergeCells count="461">
    <mergeCell ref="AO535:AP535"/>
    <mergeCell ref="AO536:AP536"/>
    <mergeCell ref="AO537:AP537"/>
    <mergeCell ref="AO538:AP538"/>
    <mergeCell ref="AO539:AP539"/>
    <mergeCell ref="AO540:AP540"/>
    <mergeCell ref="AR540:AT540"/>
    <mergeCell ref="AR530:AT530"/>
    <mergeCell ref="AR510:AT510"/>
    <mergeCell ref="AO525:AP525"/>
    <mergeCell ref="AO526:AP526"/>
    <mergeCell ref="AO527:AP527"/>
    <mergeCell ref="AO528:AP528"/>
    <mergeCell ref="AO529:AP529"/>
    <mergeCell ref="AO530:AP530"/>
    <mergeCell ref="AR520:AT520"/>
    <mergeCell ref="AO532:AP533"/>
    <mergeCell ref="AO534:AP534"/>
    <mergeCell ref="AO514:AP514"/>
    <mergeCell ref="AO515:AP515"/>
    <mergeCell ref="AO516:AP516"/>
    <mergeCell ref="AO517:AP517"/>
    <mergeCell ref="AO518:AP518"/>
    <mergeCell ref="AO519:AP519"/>
    <mergeCell ref="AO520:AP520"/>
    <mergeCell ref="AO522:AP523"/>
    <mergeCell ref="AO524:AP524"/>
    <mergeCell ref="AO504:AP504"/>
    <mergeCell ref="AO505:AP505"/>
    <mergeCell ref="AO506:AP506"/>
    <mergeCell ref="AO507:AP507"/>
    <mergeCell ref="AO508:AP508"/>
    <mergeCell ref="AO509:AP509"/>
    <mergeCell ref="AO510:AP510"/>
    <mergeCell ref="AR500:AT500"/>
    <mergeCell ref="AO512:AP513"/>
    <mergeCell ref="AO492:AP493"/>
    <mergeCell ref="AO494:AP494"/>
    <mergeCell ref="AO495:AP495"/>
    <mergeCell ref="AO496:AP496"/>
    <mergeCell ref="AO497:AP497"/>
    <mergeCell ref="AO498:AP498"/>
    <mergeCell ref="AO499:AP499"/>
    <mergeCell ref="AO500:AP500"/>
    <mergeCell ref="AO502:AP503"/>
    <mergeCell ref="AO485:AP485"/>
    <mergeCell ref="AO486:AP486"/>
    <mergeCell ref="AO487:AP487"/>
    <mergeCell ref="AO488:AP488"/>
    <mergeCell ref="AO489:AP489"/>
    <mergeCell ref="AO490:AP490"/>
    <mergeCell ref="AR470:AT470"/>
    <mergeCell ref="AR490:AT490"/>
    <mergeCell ref="AO474:AP474"/>
    <mergeCell ref="AO475:AP475"/>
    <mergeCell ref="AO476:AP476"/>
    <mergeCell ref="AO477:AP477"/>
    <mergeCell ref="AO478:AP478"/>
    <mergeCell ref="AO479:AP479"/>
    <mergeCell ref="AO480:AP480"/>
    <mergeCell ref="AO482:AP483"/>
    <mergeCell ref="AO484:AP484"/>
    <mergeCell ref="AR480:AT480"/>
    <mergeCell ref="AO462:AP463"/>
    <mergeCell ref="AO472:AP473"/>
    <mergeCell ref="AO464:AP464"/>
    <mergeCell ref="AO465:AP465"/>
    <mergeCell ref="AO466:AP466"/>
    <mergeCell ref="AO467:AP467"/>
    <mergeCell ref="AO468:AP468"/>
    <mergeCell ref="AO469:AP469"/>
    <mergeCell ref="AO470:AP470"/>
    <mergeCell ref="AO452:AP453"/>
    <mergeCell ref="AO454:AP454"/>
    <mergeCell ref="AO455:AP455"/>
    <mergeCell ref="AO456:AP456"/>
    <mergeCell ref="AO457:AP457"/>
    <mergeCell ref="AO458:AP458"/>
    <mergeCell ref="AO459:AP459"/>
    <mergeCell ref="AO460:AP460"/>
    <mergeCell ref="AR460:AT460"/>
    <mergeCell ref="AO444:AP444"/>
    <mergeCell ref="AO445:AP445"/>
    <mergeCell ref="AO446:AP446"/>
    <mergeCell ref="AO447:AP447"/>
    <mergeCell ref="AO448:AP448"/>
    <mergeCell ref="AO449:AP449"/>
    <mergeCell ref="AO450:AP450"/>
    <mergeCell ref="AO451:AP451"/>
    <mergeCell ref="AR450:AT450"/>
    <mergeCell ref="AO434:AP434"/>
    <mergeCell ref="AO435:AP435"/>
    <mergeCell ref="AO436:AP436"/>
    <mergeCell ref="AO437:AP437"/>
    <mergeCell ref="AO438:AP438"/>
    <mergeCell ref="AO439:AP439"/>
    <mergeCell ref="AO440:AP440"/>
    <mergeCell ref="AO442:AP443"/>
    <mergeCell ref="AR440:AT440"/>
    <mergeCell ref="AO424:AP424"/>
    <mergeCell ref="AO425:AP425"/>
    <mergeCell ref="AO426:AP426"/>
    <mergeCell ref="AO427:AP427"/>
    <mergeCell ref="AO428:AP428"/>
    <mergeCell ref="AO429:AP429"/>
    <mergeCell ref="AO430:AP430"/>
    <mergeCell ref="AR430:AT430"/>
    <mergeCell ref="AO432:AP433"/>
    <mergeCell ref="AO414:AP414"/>
    <mergeCell ref="AO415:AP415"/>
    <mergeCell ref="AO416:AP416"/>
    <mergeCell ref="AO417:AP417"/>
    <mergeCell ref="AO418:AP418"/>
    <mergeCell ref="AO419:AP419"/>
    <mergeCell ref="AO420:AP420"/>
    <mergeCell ref="AR420:AT420"/>
    <mergeCell ref="AO422:AP423"/>
    <mergeCell ref="AO404:AP404"/>
    <mergeCell ref="AO405:AP405"/>
    <mergeCell ref="AO406:AP406"/>
    <mergeCell ref="AO407:AP407"/>
    <mergeCell ref="AO408:AP408"/>
    <mergeCell ref="AO409:AP409"/>
    <mergeCell ref="AO410:AP410"/>
    <mergeCell ref="AR410:AT410"/>
    <mergeCell ref="AO412:AP413"/>
    <mergeCell ref="AO394:AP394"/>
    <mergeCell ref="AO395:AP395"/>
    <mergeCell ref="AO396:AP396"/>
    <mergeCell ref="AO397:AP397"/>
    <mergeCell ref="AO398:AP398"/>
    <mergeCell ref="AO399:AP399"/>
    <mergeCell ref="AO400:AP400"/>
    <mergeCell ref="AR400:AT400"/>
    <mergeCell ref="AO402:AP403"/>
    <mergeCell ref="AO384:AP384"/>
    <mergeCell ref="AO385:AP385"/>
    <mergeCell ref="AO386:AP386"/>
    <mergeCell ref="AO387:AP387"/>
    <mergeCell ref="AO388:AP388"/>
    <mergeCell ref="AO389:AP389"/>
    <mergeCell ref="AO390:AP390"/>
    <mergeCell ref="AR390:AT390"/>
    <mergeCell ref="AO392:AP393"/>
    <mergeCell ref="AO374:AP374"/>
    <mergeCell ref="AO375:AP375"/>
    <mergeCell ref="AO376:AP376"/>
    <mergeCell ref="AO377:AP377"/>
    <mergeCell ref="AO378:AP378"/>
    <mergeCell ref="AO379:AP379"/>
    <mergeCell ref="AO380:AP380"/>
    <mergeCell ref="AR380:AT380"/>
    <mergeCell ref="AO382:AP383"/>
    <mergeCell ref="AO364:AP364"/>
    <mergeCell ref="AO365:AP365"/>
    <mergeCell ref="AO366:AP366"/>
    <mergeCell ref="AO367:AP367"/>
    <mergeCell ref="AO368:AP368"/>
    <mergeCell ref="AO369:AP369"/>
    <mergeCell ref="AO370:AP370"/>
    <mergeCell ref="AR370:AT370"/>
    <mergeCell ref="AO372:AP373"/>
    <mergeCell ref="AO355:AP355"/>
    <mergeCell ref="AO356:AP356"/>
    <mergeCell ref="AO357:AP357"/>
    <mergeCell ref="AO358:AP358"/>
    <mergeCell ref="AO359:AP359"/>
    <mergeCell ref="AO360:AP360"/>
    <mergeCell ref="AR350:AT350"/>
    <mergeCell ref="AR360:AT360"/>
    <mergeCell ref="AO362:AP363"/>
    <mergeCell ref="AO344:AP344"/>
    <mergeCell ref="AO345:AP345"/>
    <mergeCell ref="AO346:AP346"/>
    <mergeCell ref="AO347:AP347"/>
    <mergeCell ref="AO348:AP348"/>
    <mergeCell ref="AO349:AP349"/>
    <mergeCell ref="AO350:AP350"/>
    <mergeCell ref="AO352:AP353"/>
    <mergeCell ref="AO354:AP354"/>
    <mergeCell ref="AO342:AP343"/>
    <mergeCell ref="AR300:AT300"/>
    <mergeCell ref="AO332:AP333"/>
    <mergeCell ref="AO334:AP334"/>
    <mergeCell ref="AO335:AP335"/>
    <mergeCell ref="AO336:AP336"/>
    <mergeCell ref="AO337:AP337"/>
    <mergeCell ref="AO338:AP338"/>
    <mergeCell ref="AO339:AP339"/>
    <mergeCell ref="AO340:AP340"/>
    <mergeCell ref="AR340:AT340"/>
    <mergeCell ref="AO305:AP305"/>
    <mergeCell ref="AO306:AP306"/>
    <mergeCell ref="AO307:AP307"/>
    <mergeCell ref="AO308:AP308"/>
    <mergeCell ref="AO309:AP309"/>
    <mergeCell ref="AO310:AP310"/>
    <mergeCell ref="AR310:AT310"/>
    <mergeCell ref="AO314:AP314"/>
    <mergeCell ref="AO315:AP315"/>
    <mergeCell ref="AO327:AP327"/>
    <mergeCell ref="AO328:AP328"/>
    <mergeCell ref="AO329:AP329"/>
    <mergeCell ref="AO330:AP330"/>
    <mergeCell ref="AO272:AP273"/>
    <mergeCell ref="AO274:AP274"/>
    <mergeCell ref="AO275:AP275"/>
    <mergeCell ref="AO276:AP276"/>
    <mergeCell ref="AO277:AP277"/>
    <mergeCell ref="AO278:AP278"/>
    <mergeCell ref="AO279:AP279"/>
    <mergeCell ref="AO256:AP256"/>
    <mergeCell ref="AO257:AP257"/>
    <mergeCell ref="AO258:AP258"/>
    <mergeCell ref="AO259:AP259"/>
    <mergeCell ref="AO260:AP260"/>
    <mergeCell ref="AO250:AP250"/>
    <mergeCell ref="AR250:AT250"/>
    <mergeCell ref="AO252:AP253"/>
    <mergeCell ref="AO240:AP240"/>
    <mergeCell ref="AR240:AT240"/>
    <mergeCell ref="AO254:AP254"/>
    <mergeCell ref="AO255:AP255"/>
    <mergeCell ref="AR260:AT260"/>
    <mergeCell ref="AO270:AP270"/>
    <mergeCell ref="AR270:AT270"/>
    <mergeCell ref="AO264:AP264"/>
    <mergeCell ref="AO265:AP265"/>
    <mergeCell ref="AO266:AP266"/>
    <mergeCell ref="AO267:AP267"/>
    <mergeCell ref="AO268:AP268"/>
    <mergeCell ref="AO269:AP269"/>
    <mergeCell ref="AO244:AP244"/>
    <mergeCell ref="AO245:AP245"/>
    <mergeCell ref="AO246:AP246"/>
    <mergeCell ref="AO247:AP247"/>
    <mergeCell ref="AO248:AP248"/>
    <mergeCell ref="AO249:AP249"/>
    <mergeCell ref="AR230:AT230"/>
    <mergeCell ref="AO232:AP233"/>
    <mergeCell ref="AO234:AP234"/>
    <mergeCell ref="AO235:AP235"/>
    <mergeCell ref="AO236:AP236"/>
    <mergeCell ref="AO237:AP237"/>
    <mergeCell ref="AO238:AP238"/>
    <mergeCell ref="AO239:AP239"/>
    <mergeCell ref="AO242:AP243"/>
    <mergeCell ref="AO230:AP230"/>
    <mergeCell ref="AR220:AT220"/>
    <mergeCell ref="AO222:AP223"/>
    <mergeCell ref="AO224:AP224"/>
    <mergeCell ref="AO225:AP225"/>
    <mergeCell ref="AO226:AP226"/>
    <mergeCell ref="AO227:AP227"/>
    <mergeCell ref="AO228:AP228"/>
    <mergeCell ref="AO229:AP229"/>
    <mergeCell ref="AO190:AP190"/>
    <mergeCell ref="AR190:AT190"/>
    <mergeCell ref="AR200:AT200"/>
    <mergeCell ref="AO220:AP220"/>
    <mergeCell ref="AR180:AT180"/>
    <mergeCell ref="AO184:AP184"/>
    <mergeCell ref="AO185:AP185"/>
    <mergeCell ref="AO186:AP186"/>
    <mergeCell ref="AR210:AT210"/>
    <mergeCell ref="AO212:AP213"/>
    <mergeCell ref="AO214:AP214"/>
    <mergeCell ref="AO209:AP209"/>
    <mergeCell ref="AO194:AP194"/>
    <mergeCell ref="AO195:AP195"/>
    <mergeCell ref="AO196:AP196"/>
    <mergeCell ref="AO197:AP197"/>
    <mergeCell ref="AO198:AP198"/>
    <mergeCell ref="AO199:AP199"/>
    <mergeCell ref="AO204:AP204"/>
    <mergeCell ref="AO205:AP205"/>
    <mergeCell ref="AO206:AP206"/>
    <mergeCell ref="AO207:AP207"/>
    <mergeCell ref="AO208:AP208"/>
    <mergeCell ref="AO180:AP180"/>
    <mergeCell ref="AR170:AT170"/>
    <mergeCell ref="AO172:AP173"/>
    <mergeCell ref="AO174:AP174"/>
    <mergeCell ref="AO175:AP175"/>
    <mergeCell ref="AO176:AP176"/>
    <mergeCell ref="AR160:AT160"/>
    <mergeCell ref="AO162:AP163"/>
    <mergeCell ref="AO166:AP166"/>
    <mergeCell ref="AO167:AP167"/>
    <mergeCell ref="AO168:AP168"/>
    <mergeCell ref="AO164:AP164"/>
    <mergeCell ref="AO165:AP165"/>
    <mergeCell ref="AO160:AP160"/>
    <mergeCell ref="AO169:AP169"/>
    <mergeCell ref="AO170:AP170"/>
    <mergeCell ref="AR150:AT150"/>
    <mergeCell ref="AO152:AP153"/>
    <mergeCell ref="AO156:AP156"/>
    <mergeCell ref="AO157:AP157"/>
    <mergeCell ref="AO158:AP158"/>
    <mergeCell ref="AR140:AT140"/>
    <mergeCell ref="AO146:AP146"/>
    <mergeCell ref="AO147:AP147"/>
    <mergeCell ref="AO148:AP148"/>
    <mergeCell ref="AO149:AP149"/>
    <mergeCell ref="AO130:AP130"/>
    <mergeCell ref="AR130:AT130"/>
    <mergeCell ref="AO136:AP136"/>
    <mergeCell ref="AO137:AP137"/>
    <mergeCell ref="AO138:AP138"/>
    <mergeCell ref="AO122:AP123"/>
    <mergeCell ref="AO126:AP126"/>
    <mergeCell ref="AO127:AP127"/>
    <mergeCell ref="AO128:AP128"/>
    <mergeCell ref="AO129:AP129"/>
    <mergeCell ref="AO117:AP117"/>
    <mergeCell ref="AO118:AP118"/>
    <mergeCell ref="AO119:AP119"/>
    <mergeCell ref="AO120:AP120"/>
    <mergeCell ref="AR120:AT120"/>
    <mergeCell ref="AR100:AT100"/>
    <mergeCell ref="AO110:AP110"/>
    <mergeCell ref="AR110:AT110"/>
    <mergeCell ref="AO112:AP113"/>
    <mergeCell ref="AO116:AP116"/>
    <mergeCell ref="AO106:AP106"/>
    <mergeCell ref="AO107:AP107"/>
    <mergeCell ref="AO108:AP108"/>
    <mergeCell ref="AO109:AP109"/>
    <mergeCell ref="AO100:AP100"/>
    <mergeCell ref="AO292:AP293"/>
    <mergeCell ref="AO312:AP313"/>
    <mergeCell ref="AO322:AP323"/>
    <mergeCell ref="AO2:AP3"/>
    <mergeCell ref="AO12:AP13"/>
    <mergeCell ref="AO22:AP23"/>
    <mergeCell ref="AO62:AP63"/>
    <mergeCell ref="AO72:AP73"/>
    <mergeCell ref="AO82:AP83"/>
    <mergeCell ref="AO92:AP93"/>
    <mergeCell ref="AO96:AP96"/>
    <mergeCell ref="AO97:AP97"/>
    <mergeCell ref="AO98:AP98"/>
    <mergeCell ref="AO99:AP99"/>
    <mergeCell ref="AO84:AP84"/>
    <mergeCell ref="AO102:AP103"/>
    <mergeCell ref="AO132:AP133"/>
    <mergeCell ref="AO142:AP143"/>
    <mergeCell ref="AO182:AP183"/>
    <mergeCell ref="AO192:AP193"/>
    <mergeCell ref="AO139:AP139"/>
    <mergeCell ref="AO140:AP140"/>
    <mergeCell ref="AO150:AP150"/>
    <mergeCell ref="AO159:AP159"/>
    <mergeCell ref="AO9:AP9"/>
    <mergeCell ref="AO10:AP10"/>
    <mergeCell ref="AR10:AT10"/>
    <mergeCell ref="AO14:AP14"/>
    <mergeCell ref="AO4:AP4"/>
    <mergeCell ref="AO5:AP5"/>
    <mergeCell ref="AO6:AP6"/>
    <mergeCell ref="AO7:AP7"/>
    <mergeCell ref="AO8:AP8"/>
    <mergeCell ref="AO16:AP16"/>
    <mergeCell ref="AO15:AP15"/>
    <mergeCell ref="AO20:AP20"/>
    <mergeCell ref="AR20:AT20"/>
    <mergeCell ref="AO24:AP24"/>
    <mergeCell ref="AO30:AP30"/>
    <mergeCell ref="AR30:AT30"/>
    <mergeCell ref="AO32:AP33"/>
    <mergeCell ref="AO34:AP34"/>
    <mergeCell ref="AO35:AP35"/>
    <mergeCell ref="AO36:AP36"/>
    <mergeCell ref="AO37:AP37"/>
    <mergeCell ref="AO38:AP38"/>
    <mergeCell ref="AO39:AP39"/>
    <mergeCell ref="AO40:AP40"/>
    <mergeCell ref="AR40:AT40"/>
    <mergeCell ref="AO42:AP43"/>
    <mergeCell ref="AO44:AP44"/>
    <mergeCell ref="AO45:AP45"/>
    <mergeCell ref="AO46:AP46"/>
    <mergeCell ref="AO47:AP47"/>
    <mergeCell ref="AO48:AP48"/>
    <mergeCell ref="AO49:AP49"/>
    <mergeCell ref="AO50:AP50"/>
    <mergeCell ref="AR50:AT50"/>
    <mergeCell ref="AO52:AP53"/>
    <mergeCell ref="AO54:AP54"/>
    <mergeCell ref="AO55:AP55"/>
    <mergeCell ref="AO56:AP56"/>
    <mergeCell ref="AO57:AP57"/>
    <mergeCell ref="AO58:AP58"/>
    <mergeCell ref="AO59:AP59"/>
    <mergeCell ref="AO60:AP60"/>
    <mergeCell ref="AR60:AT60"/>
    <mergeCell ref="AO66:AP66"/>
    <mergeCell ref="AO67:AP67"/>
    <mergeCell ref="AR80:AT80"/>
    <mergeCell ref="AO86:AP86"/>
    <mergeCell ref="AO87:AP87"/>
    <mergeCell ref="AO88:AP88"/>
    <mergeCell ref="AO89:AP89"/>
    <mergeCell ref="AO68:AP68"/>
    <mergeCell ref="AO69:AP69"/>
    <mergeCell ref="AO70:AP70"/>
    <mergeCell ref="AR70:AT70"/>
    <mergeCell ref="AO76:AP76"/>
    <mergeCell ref="AO77:AP77"/>
    <mergeCell ref="AO78:AP78"/>
    <mergeCell ref="AO79:AP79"/>
    <mergeCell ref="AO80:AP80"/>
    <mergeCell ref="AO286:AP286"/>
    <mergeCell ref="AO287:AP287"/>
    <mergeCell ref="AO288:AP288"/>
    <mergeCell ref="AO289:AP289"/>
    <mergeCell ref="AO290:AP290"/>
    <mergeCell ref="AR290:AT290"/>
    <mergeCell ref="AO280:AP280"/>
    <mergeCell ref="AO90:AP90"/>
    <mergeCell ref="AR90:AT90"/>
    <mergeCell ref="AO177:AP177"/>
    <mergeCell ref="AO178:AP178"/>
    <mergeCell ref="AO179:AP179"/>
    <mergeCell ref="AO202:AP203"/>
    <mergeCell ref="AO262:AP263"/>
    <mergeCell ref="AO210:AP210"/>
    <mergeCell ref="AO217:AP217"/>
    <mergeCell ref="AO218:AP218"/>
    <mergeCell ref="AO219:AP219"/>
    <mergeCell ref="AO187:AP187"/>
    <mergeCell ref="AO188:AP188"/>
    <mergeCell ref="AO189:AP189"/>
    <mergeCell ref="AO200:AP200"/>
    <mergeCell ref="AO215:AP215"/>
    <mergeCell ref="AO216:AP216"/>
    <mergeCell ref="AO1:CA1"/>
    <mergeCell ref="AR330:AT330"/>
    <mergeCell ref="AO316:AP316"/>
    <mergeCell ref="AO317:AP317"/>
    <mergeCell ref="AO318:AP318"/>
    <mergeCell ref="AO319:AP319"/>
    <mergeCell ref="AO320:AP320"/>
    <mergeCell ref="AR320:AT320"/>
    <mergeCell ref="AO324:AP324"/>
    <mergeCell ref="AO325:AP325"/>
    <mergeCell ref="AO326:AP326"/>
    <mergeCell ref="AO294:AP294"/>
    <mergeCell ref="AO295:AP295"/>
    <mergeCell ref="AO296:AP296"/>
    <mergeCell ref="AO297:AP297"/>
    <mergeCell ref="AO298:AP298"/>
    <mergeCell ref="AO299:AP299"/>
    <mergeCell ref="AO300:AP300"/>
    <mergeCell ref="AO302:AP303"/>
    <mergeCell ref="AO304:AP304"/>
    <mergeCell ref="AR280:AT280"/>
    <mergeCell ref="AO282:AP283"/>
    <mergeCell ref="AO284:AP284"/>
    <mergeCell ref="AO285:AP285"/>
  </mergeCells>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4BD9-727F-417C-B144-007A78DD617F}">
  <dimension ref="A1:V40"/>
  <sheetViews>
    <sheetView topLeftCell="A21" workbookViewId="0">
      <selection activeCell="N33" sqref="N33"/>
    </sheetView>
  </sheetViews>
  <sheetFormatPr defaultRowHeight="14.4" x14ac:dyDescent="0.3"/>
  <cols>
    <col min="1" max="1" width="3.44140625" bestFit="1" customWidth="1"/>
    <col min="2" max="3" width="12" bestFit="1" customWidth="1"/>
    <col min="7" max="7" width="11" bestFit="1" customWidth="1"/>
    <col min="8" max="8" width="10.44140625" bestFit="1" customWidth="1"/>
    <col min="10" max="10" width="10.77734375" bestFit="1" customWidth="1"/>
    <col min="15" max="21" width="9" bestFit="1" customWidth="1"/>
  </cols>
  <sheetData>
    <row r="1" spans="1:22" x14ac:dyDescent="0.3">
      <c r="A1" s="27" t="s">
        <v>288</v>
      </c>
      <c r="B1" s="27" t="s">
        <v>303</v>
      </c>
      <c r="C1" s="27" t="s">
        <v>304</v>
      </c>
      <c r="D1" s="27" t="s">
        <v>305</v>
      </c>
      <c r="E1" s="27" t="s">
        <v>306</v>
      </c>
      <c r="F1" s="27" t="s">
        <v>307</v>
      </c>
      <c r="G1" s="27" t="s">
        <v>308</v>
      </c>
      <c r="H1" s="45" t="s">
        <v>440</v>
      </c>
      <c r="I1" s="45" t="s">
        <v>329</v>
      </c>
      <c r="J1" s="45" t="s">
        <v>299</v>
      </c>
    </row>
    <row r="2" spans="1:22" x14ac:dyDescent="0.3">
      <c r="A2" s="6">
        <f>ROW()-1</f>
        <v>1</v>
      </c>
      <c r="B2" s="24">
        <f>'Data Training 1'!AW22*'Data Training 1'!AT31*'Data Training 1'!AT40*'Data Training 1'!AT44*'Data Training 1'!AT52*'Data Training 1'!AT58*'Data Training 1'!AT64*'Data Training 1'!AT69*'Data Training 1'!AT75*'Data Training 1'!AT81*'Data Training 1'!AT87*'Data Training 1'!AT92*'Data Training 1'!AT100*'Data Training 1'!AT106*'Data Training 1'!AT110*'Data Training 1'!AT116*'Data Training 1'!AT124*'Data Training 1'!AT130*'Data Training 1'!AT136*'Data Training 1'!AT141*'Data Training 1'!AT145*'Data Training 1'!AT151*'Data Training 1'!AT159*'Data Training 1'!AT163*'Data Training 1'!AT167*'Data Training 1'!AT171*'Data Training 1'!AT175*'Data Training 1'!AT179*'Data Training 1'!AT183*'Data Training 1'!AT187*'Data Training 1'!AT192*'Data Training 1'!AT195*'Data Training 1'!AT200*'Data Training 1'!AT203*'Data Training 1'!AT207*'Data Training 1'!AT211*'Data Training 1'!AT216</f>
        <v>6.5677962001668513E-11</v>
      </c>
      <c r="C2" s="6">
        <v>0</v>
      </c>
      <c r="D2" s="6">
        <f>'Data Training 1'!AW24*'Data Training 1'!AV31*'Data Training 1'!AV40*'Data Training 1'!AV44*'Data Training 1'!AV52*'Data Training 1'!AV58*'Data Training 1'!AV64*'Data Training 1'!AV69*'Data Training 1'!AV75*'Data Training 1'!AV81*'Data Training 1'!AV87*'Data Training 1'!AV92*'Data Training 1'!AV100*'Data Training 1'!AV106*'Data Training 1'!AV110*'Data Training 1'!AV116*'Data Training 1'!AV124*'Data Training 1'!AV130*'Data Training 1'!AV136*'Data Training 1'!AV141*'Data Training 1'!AV145*'Data Training 1'!AV151*'Data Training 1'!AV159*'Data Training 1'!AV163*'Data Training 1'!AV167*'Data Training 1'!AV171*'Data Training 1'!AV175*'Data Training 1'!AV179*'Data Training 1'!AV183*'Data Training 1'!AV187*'Data Training 1'!AV192*'Data Training 1'!AV195*'Data Training 1'!AV200*'Data Training 1'!AV203*'Data Training 1'!AV207*'Data Training 1'!AV211*'Data Training 1'!AV216</f>
        <v>1.7783571249682544E-10</v>
      </c>
      <c r="E2" s="6">
        <v>0</v>
      </c>
      <c r="F2" s="6">
        <v>0</v>
      </c>
      <c r="G2" s="6">
        <v>0</v>
      </c>
      <c r="H2" s="6" t="s">
        <v>303</v>
      </c>
      <c r="I2" s="6" t="s">
        <v>303</v>
      </c>
      <c r="J2" s="6" t="s">
        <v>286</v>
      </c>
      <c r="N2" s="111" t="s">
        <v>520</v>
      </c>
      <c r="O2" s="111"/>
      <c r="P2" s="111"/>
      <c r="Q2" s="111"/>
      <c r="R2" s="111"/>
      <c r="S2" s="111"/>
      <c r="T2" s="111"/>
      <c r="U2" s="111"/>
    </row>
    <row r="3" spans="1:22" x14ac:dyDescent="0.3">
      <c r="A3" s="6">
        <f t="shared" ref="A3:A37" si="0">ROW()-1</f>
        <v>2</v>
      </c>
      <c r="B3" s="6">
        <f>'Data Training 1'!AW22*'Data Training 1'!AT33*'Data Training 1'!AT38*'Data Training 1'!AT43*'Data Training 1'!AT52*'Data Training 1'!AT58*'Data Training 1'!AT64*'Data Training 1'!AT70*'Data Training 1'!AT75*'Data Training 1'!AT80*'Data Training 1'!AT86*'Data Training 1'!AT91*'Data Training 1'!AT98*'Data Training 1'!AT106*'Data Training 1'!AT110*'Data Training 1'!AT116*'Data Training 1'!AT124*'Data Training 1'!AT130*'Data Training 1'!AT136*'Data Training 1'!AT141*'Data Training 1'!AT145*'Data Training 1'!AT152*'Data Training 1'!AT159*'Data Training 1'!AT164*'Data Training 1'!AT167*'Data Training 1'!AT171*'Data Training 1'!AT175*'Data Training 1'!AT179*'Data Training 1'!AT183*'Data Training 1'!AT187*'Data Training 1'!AT191*'Data Training 1'!AT195*'Data Training 1'!AT199*'Data Training 1'!AT203*'Data Training 1'!AT207*'Data Training 1'!AT212*'Data Training 1'!AT216</f>
        <v>4.0019047788917473E-9</v>
      </c>
      <c r="C3" s="46">
        <f>'Data Training 1'!AW23*'Data Training 1'!AU33*'Data Training 1'!AU38*'Data Training 1'!AU43*'Data Training 1'!AU52*'Data Training 1'!AU58*'Data Training 1'!AU64*'Data Training 1'!AU70*'Data Training 1'!AU75*'Data Training 1'!AU80*'Data Training 1'!AU86*'Data Training 1'!AU91*'Data Training 1'!AU98*'Data Training 1'!AU106*'Data Training 1'!AU110*'Data Training 1'!AU116*'Data Training 1'!AU124*'Data Training 1'!AU130*'Data Training 1'!AU136*'Data Training 1'!AU141*'Data Training 1'!AU145*'Data Training 1'!AU152*'Data Training 1'!AU159*'Data Training 1'!AU164*'Data Training 1'!AU167*'Data Training 1'!AU171*'Data Training 1'!AU175*'Data Training 1'!AU179*'Data Training 1'!AU183*'Data Training 1'!AU187*'Data Training 1'!AU191*'Data Training 1'!AU195*'Data Training 1'!AU199*'Data Training 1'!AU203*'Data Training 1'!AU207*'Data Training 1'!AU212*'Data Training 1'!AU216</f>
        <v>5.1357777995777438E-12</v>
      </c>
      <c r="D3" s="6">
        <v>0</v>
      </c>
      <c r="E3" s="6">
        <v>0</v>
      </c>
      <c r="F3" s="6">
        <v>0</v>
      </c>
      <c r="G3" s="6">
        <v>0</v>
      </c>
      <c r="H3" s="46" t="s">
        <v>303</v>
      </c>
      <c r="I3" s="46" t="s">
        <v>304</v>
      </c>
      <c r="J3" s="46" t="s">
        <v>287</v>
      </c>
      <c r="N3" s="112" t="s">
        <v>301</v>
      </c>
      <c r="O3" s="112" t="s">
        <v>299</v>
      </c>
      <c r="P3" s="112"/>
      <c r="Q3" s="112"/>
      <c r="R3" s="112"/>
      <c r="S3" s="112"/>
      <c r="T3" s="112"/>
      <c r="U3" s="113" t="s">
        <v>302</v>
      </c>
    </row>
    <row r="4" spans="1:22" x14ac:dyDescent="0.3">
      <c r="A4" s="6">
        <f t="shared" si="0"/>
        <v>3</v>
      </c>
      <c r="B4" s="24">
        <f>'Data Training 1'!AW22*'Data Training 1'!AT33*'Data Training 1'!AT40*'Data Training 1'!AT44*'Data Training 1'!AT52*'Data Training 1'!AT58*'Data Training 1'!AT62*'Data Training 1'!AT69*'Data Training 1'!AT75*'Data Training 1'!AT81*'Data Training 1'!AT86*'Data Training 1'!AT91*'Data Training 1'!AT100*'Data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1'!AT188*'Data Training 1'!AT192*'Data Training 1'!AT195*'Data Training 1'!AT199*'Data Training 1'!AT203*'Data Training 1'!AT207*'Data Training 1'!AT211*'Data Training 1'!AT216</f>
        <v>2.251071438126609E-10</v>
      </c>
      <c r="C4" s="6">
        <v>0</v>
      </c>
      <c r="D4" s="6">
        <v>0</v>
      </c>
      <c r="E4" s="6">
        <v>0</v>
      </c>
      <c r="F4" s="6">
        <v>0</v>
      </c>
      <c r="G4" s="6">
        <v>0</v>
      </c>
      <c r="H4" s="6" t="s">
        <v>303</v>
      </c>
      <c r="I4" s="6" t="s">
        <v>303</v>
      </c>
      <c r="J4" s="6" t="s">
        <v>286</v>
      </c>
      <c r="N4" s="112"/>
      <c r="O4" s="6" t="s">
        <v>303</v>
      </c>
      <c r="P4" s="6" t="s">
        <v>304</v>
      </c>
      <c r="Q4" s="6" t="s">
        <v>305</v>
      </c>
      <c r="R4" s="6" t="s">
        <v>306</v>
      </c>
      <c r="S4" s="6" t="s">
        <v>307</v>
      </c>
      <c r="T4" s="6" t="s">
        <v>308</v>
      </c>
      <c r="U4" s="114"/>
    </row>
    <row r="5" spans="1:22" x14ac:dyDescent="0.3">
      <c r="A5" s="6">
        <f t="shared" si="0"/>
        <v>4</v>
      </c>
      <c r="B5" s="24">
        <f>'Data Training 1'!AW22*'Data Training 1'!AT34*'Data Training 1'!AT38*'Data Training 1'!AT45*'Data Training 1'!AT50*'Data Training 1'!AT58*'Data Training 1'!AT64*'Data Training 1'!AT70*'Data Training 1'!AT75*'Data Training 1'!AT81*'Data Training 1'!AT87*'Data Training 1'!AT93*'Data Training 1'!AT100*'Data Training 1'!AT106*'Data Training 1'!AT110*'Data Training 1'!AT116*'Data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1'!AT192*'Data Training 1'!AT195*'Data Training 1'!AT200*'Data Training 1'!AT204*'Data Training 1'!AT207*'Data Training 1'!AT211*'Data Training 1'!AT216</f>
        <v>4.1700293334392697E-11</v>
      </c>
      <c r="C5" s="6">
        <f>'Data Training 1'!AW23*'Data Training 1'!AU34*'Data Training 1'!AU38*'Data Training 1'!AU45*'Data Training 1'!AU50*'Data Training 1'!AU58*'Data Training 1'!AU64*'Data Training 1'!AU70*'Data Training 1'!AU75*'Data Training 1'!AU81*'Data Training 1'!AU87*'Data Training 1'!AU93*'Data Training 1'!AU100*'Data Training 1'!AU106*'Data Training 1'!AU110*'Data Training 1'!AU116*'Data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1'!AU192*'Data Training 1'!AU195*'Data Training 1'!AU200*'Data Training 1'!AU204*'Data Training 1'!AU207*'Data Training 1'!AU211*'Data Training 1'!AU216</f>
        <v>1.9564867807915214E-11</v>
      </c>
      <c r="D5" s="6">
        <v>0</v>
      </c>
      <c r="E5" s="6">
        <v>0</v>
      </c>
      <c r="F5" s="6">
        <v>0</v>
      </c>
      <c r="G5" s="6">
        <v>0</v>
      </c>
      <c r="H5" s="6" t="s">
        <v>303</v>
      </c>
      <c r="I5" s="6" t="s">
        <v>303</v>
      </c>
      <c r="J5" s="6" t="s">
        <v>286</v>
      </c>
      <c r="N5" s="6" t="s">
        <v>303</v>
      </c>
      <c r="O5" s="7">
        <v>4</v>
      </c>
      <c r="P5" s="6">
        <v>2</v>
      </c>
      <c r="Q5" s="6">
        <v>0</v>
      </c>
      <c r="R5" s="6">
        <v>0</v>
      </c>
      <c r="S5" s="6">
        <v>0</v>
      </c>
      <c r="T5" s="6">
        <v>0</v>
      </c>
      <c r="U5" s="24">
        <f t="shared" ref="U5:U11" si="1">SUM(O5:T5)</f>
        <v>6</v>
      </c>
    </row>
    <row r="6" spans="1:22" x14ac:dyDescent="0.3">
      <c r="A6" s="6">
        <f t="shared" si="0"/>
        <v>5</v>
      </c>
      <c r="B6" s="24">
        <f>'Data Training 1'!AW22*'Data Training 1'!AT34*'Data Training 1'!AT38*'Data Training 1'!AT43*'Data Training 1'!AT50*'Data Training 1'!AT58*'Data Training 1'!AT64*'Data Training 1'!AT70*'Data Training 1'!AT75*'Data Training 1'!AT80*'Data Training 1'!AT86*'Data Training 1'!AT93*'Data Training 1'!AT97*'Data Training 1'!AT106*'Data Training 1'!AT110*'Data Training 1'!AT117*'Data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1'!AT191*'Data Training 1'!AT195*'Data Training 1'!AT199*'Data Training 1'!AT203*'Data Training 1'!AT207*'Data Training 1'!AT211*'Data Training 1'!AT216</f>
        <v>5.1044703812394785E-11</v>
      </c>
      <c r="C6" s="6">
        <f>'Data Training 1'!AW23*'Data Training 1'!AU34*'Data Training 1'!AU38*'Data Training 1'!AU43*'Data Training 1'!AU50*'Data Training 1'!AU58*'Data Training 1'!AU64*'Data Training 1'!AU70*'Data Training 1'!AU75*'Data Training 1'!AU80*'Data Training 1'!AU86*'Data Training 1'!AU93*'Data Training 1'!AU97*'Data Training 1'!AU106*'Data Training 1'!AU110*'Data Training 1'!AU117*'Data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1'!AU191*'Data Training 1'!AU195*'Data Training 1'!AU199*'Data Training 1'!AU203*'Data Training 1'!AU207*'Data Training 1'!AU211*'Data Training 1'!AU216</f>
        <v>4.4267983727000085E-12</v>
      </c>
      <c r="D6" s="6">
        <v>0</v>
      </c>
      <c r="E6" s="6">
        <v>0</v>
      </c>
      <c r="F6" s="6">
        <v>0</v>
      </c>
      <c r="G6" s="6">
        <v>0</v>
      </c>
      <c r="H6" s="6" t="s">
        <v>303</v>
      </c>
      <c r="I6" s="6" t="s">
        <v>303</v>
      </c>
      <c r="J6" s="6" t="s">
        <v>286</v>
      </c>
      <c r="N6" s="6" t="s">
        <v>304</v>
      </c>
      <c r="O6" s="6">
        <v>0</v>
      </c>
      <c r="P6" s="7">
        <v>6</v>
      </c>
      <c r="Q6" s="6">
        <v>0</v>
      </c>
      <c r="R6" s="6">
        <v>0</v>
      </c>
      <c r="S6" s="6">
        <v>0</v>
      </c>
      <c r="T6" s="6">
        <v>0</v>
      </c>
      <c r="U6" s="24">
        <f t="shared" si="1"/>
        <v>6</v>
      </c>
    </row>
    <row r="7" spans="1:22" x14ac:dyDescent="0.3">
      <c r="A7" s="6">
        <f t="shared" si="0"/>
        <v>6</v>
      </c>
      <c r="B7" s="6">
        <f>'Data Training 1'!AW22*'Data Training 1'!AT34*'Data Training 1'!AT38*'Data Training 1'!AT45*'Data Training 1'!AT50*'Data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1'!AT139*'Data Training 1'!AT145*'Data Training 1'!AT151*'Data Training 1'!AT157*'Data Training 1'!AT164*'Data Training 1'!AT168*'Data Training 1'!AT172*'Data Training 1'!AT175*'Data Training 1'!AT179*'Data Training 1'!AT183*'Data Training 1'!AT187*'Data Training 1'!AT192*'Data Training 1'!AT195*'Data Training 1'!AT200*'Data Training 1'!AT203*'Data Training 1'!AT207*'Data Training 1'!AT212*'Data Training 1'!AT216</f>
        <v>1.0294015268832943E-10</v>
      </c>
      <c r="C7" s="46">
        <f>'Data Training 1'!AW23*'Data Training 1'!AU34*'Data Training 1'!AU38*'Data Training 1'!AU45*'Data Training 1'!AU50*'Data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1'!AU139*'Data Training 1'!AU145*'Data Training 1'!AU151*'Data Training 1'!AU157*'Data Training 1'!AU164*'Data Training 1'!AU168*'Data Training 1'!AU172*'Data Training 1'!AU175*'Data Training 1'!AU179*'Data Training 1'!AU183*'Data Training 1'!AU187*'Data Training 1'!AU192*'Data Training 1'!AU195*'Data Training 1'!AU200*'Data Training 1'!AU203*'Data Training 1'!AU207*'Data Training 1'!AU212*'Data Training 1'!AU216</f>
        <v>3.4238518663851623E-11</v>
      </c>
      <c r="D7" s="6">
        <v>0</v>
      </c>
      <c r="E7" s="6">
        <v>0</v>
      </c>
      <c r="F7" s="6">
        <v>0</v>
      </c>
      <c r="G7" s="6">
        <v>0</v>
      </c>
      <c r="H7" s="46" t="s">
        <v>303</v>
      </c>
      <c r="I7" s="46" t="s">
        <v>304</v>
      </c>
      <c r="J7" s="46" t="s">
        <v>287</v>
      </c>
      <c r="N7" s="6" t="s">
        <v>305</v>
      </c>
      <c r="O7" s="6">
        <v>0</v>
      </c>
      <c r="P7" s="6">
        <v>0</v>
      </c>
      <c r="Q7" s="7">
        <v>6</v>
      </c>
      <c r="R7" s="6">
        <v>0</v>
      </c>
      <c r="S7" s="6">
        <v>0</v>
      </c>
      <c r="T7" s="6">
        <v>0</v>
      </c>
      <c r="U7" s="24">
        <f t="shared" si="1"/>
        <v>6</v>
      </c>
    </row>
    <row r="8" spans="1:22" x14ac:dyDescent="0.3">
      <c r="A8" s="6">
        <f t="shared" si="0"/>
        <v>7</v>
      </c>
      <c r="B8" s="6">
        <v>0</v>
      </c>
      <c r="C8" s="24">
        <f>'Data Training 1'!AW23*'Data Training 1'!AU34*'Data Training 1'!AU38*'Data Training 1'!AU43*'Data Training 1'!AU50*'Data Training 1'!AU58*'Data Training 1'!AU64*'Data Training 1'!AU68*'Data Training 1'!AU73*'Data Training 1'!AU80*'Data Training 1'!AU86*'Data Training 1'!AU91*'Data Training 1'!AU97*'Data Training 1'!AU106*'Data Training 1'!AU110*'Data Training 1'!AU115*'Data Training 1'!AU124*'Data Training 1'!AU130*'Data Training 1'!AU136*'Data Training 1'!AU140*'Data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3.2954574213957171E-11</v>
      </c>
      <c r="D8" s="6">
        <v>0</v>
      </c>
      <c r="E8" s="6">
        <v>0</v>
      </c>
      <c r="F8" s="6">
        <v>0</v>
      </c>
      <c r="G8" s="6">
        <v>0</v>
      </c>
      <c r="H8" s="6" t="s">
        <v>304</v>
      </c>
      <c r="I8" s="6" t="s">
        <v>304</v>
      </c>
      <c r="J8" s="6" t="s">
        <v>286</v>
      </c>
      <c r="N8" s="6" t="s">
        <v>306</v>
      </c>
      <c r="O8" s="6">
        <v>0</v>
      </c>
      <c r="P8" s="6">
        <v>0</v>
      </c>
      <c r="Q8" s="6">
        <v>0</v>
      </c>
      <c r="R8" s="7">
        <v>5</v>
      </c>
      <c r="S8" s="6">
        <v>0</v>
      </c>
      <c r="T8" s="6">
        <v>1</v>
      </c>
      <c r="U8" s="24">
        <f t="shared" si="1"/>
        <v>6</v>
      </c>
    </row>
    <row r="9" spans="1:22" x14ac:dyDescent="0.3">
      <c r="A9" s="6">
        <f t="shared" si="0"/>
        <v>8</v>
      </c>
      <c r="B9" s="6">
        <v>0</v>
      </c>
      <c r="C9" s="24">
        <f>'Data Training 1'!AW23*'Data Training 1'!AU34*'Data Training 1'!AU40*'Data Training 1'!AU44*'Data Training 1'!AU52*'Data Training 1'!AU58*'Data Training 1'!AU64*'Data Training 1'!AU69*'Data Training 1'!AU75*'Data Training 1'!AU80*'Data Training 1'!AU87*'Data Training 1'!AU93*'Data Training 1'!AU98*'Data Training 1'!AU106*'Data Training 1'!AU110*'Data Training 1'!AU115*'Data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1'!AU212*'Data Training 1'!AU215</f>
        <v>6.9333000294299511E-10</v>
      </c>
      <c r="D9" s="6">
        <v>0</v>
      </c>
      <c r="E9" s="6">
        <v>0</v>
      </c>
      <c r="F9" s="6">
        <v>0</v>
      </c>
      <c r="G9" s="6">
        <v>0</v>
      </c>
      <c r="H9" s="6" t="s">
        <v>304</v>
      </c>
      <c r="I9" s="6" t="s">
        <v>304</v>
      </c>
      <c r="J9" s="6" t="s">
        <v>286</v>
      </c>
      <c r="N9" s="6" t="s">
        <v>307</v>
      </c>
      <c r="O9" s="6">
        <v>0</v>
      </c>
      <c r="P9" s="6">
        <v>0</v>
      </c>
      <c r="Q9" s="6">
        <v>0</v>
      </c>
      <c r="R9" s="6">
        <v>0</v>
      </c>
      <c r="S9" s="7">
        <v>4</v>
      </c>
      <c r="T9" s="6">
        <v>2</v>
      </c>
      <c r="U9" s="24">
        <f t="shared" si="1"/>
        <v>6</v>
      </c>
    </row>
    <row r="10" spans="1:22" x14ac:dyDescent="0.3">
      <c r="A10" s="6">
        <f t="shared" si="0"/>
        <v>9</v>
      </c>
      <c r="B10" s="6">
        <f>'Data Training 1'!AW22*'Data Training 1'!AT31*'Data Training 1'!AT40*'Data Training 1'!AT44*'Data Training 1'!AT52*'Data Training 1'!AT58*'Data Training 1'!AT64*'Data Training 1'!AT70*'Data Training 1'!AT75*'Data Training 1'!AT80*'Data Training 1'!AT87*'Data Training 1'!AT92*'Data Training 1'!AT99*'Data Training 1'!AT106*'Data Training 1'!AT110*'Data Training 1'!AT116*'Data Training 1'!AT124*'Data Training 1'!AT130*'Data Training 1'!AT136*'Data Training 1'!AT139*'Data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1'!AT211*'Data Training 1'!AT216</f>
        <v>2.0380070633245011E-9</v>
      </c>
      <c r="C10" s="24">
        <f>'Data Training 1'!AW23*'Data Training 1'!AU31*'Data Training 1'!AU40*'Data Training 1'!AU44*'Data Training 1'!AU52*'Data Training 1'!AU58*'Data Training 1'!AU64*'Data Training 1'!AU70*'Data Training 1'!AU75*'Data Training 1'!AU80*'Data Training 1'!AU87*'Data Training 1'!AU92*'Data Training 1'!AU99*'Data Training 1'!AU106*'Data Training 1'!AU110*'Data Training 1'!AU116*'Data Training 1'!AU124*'Data Training 1'!AU130*'Data Training 1'!AU136*'Data Training 1'!AU139*'Data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1'!AU211*'Data Training 1'!AU216</f>
        <v>9.8056671844795027E-9</v>
      </c>
      <c r="D10" s="6">
        <f>'Data Training 1'!AW24*'Data Training 1'!AV31*'Data Training 1'!AV40*'Data Training 1'!AV44*'Data Training 1'!AV52*'Data Training 1'!AV58*'Data Training 1'!AV64*'Data Training 1'!AV70*'Data Training 1'!AV75*'Data Training 1'!AV80*'Data Training 1'!AV87*'Data Training 1'!AV92*'Data Training 1'!AV99*'Data Training 1'!AV106*'Data Training 1'!AV110*'Data Training 1'!AV116*'Data Training 1'!AV124*'Data Training 1'!AV130*'Data Training 1'!AV136*'Data Training 1'!AV139*'Data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1'!AV211*'Data Training 1'!AV216</f>
        <v>2.2132924675319188E-9</v>
      </c>
      <c r="E10" s="6">
        <v>0</v>
      </c>
      <c r="F10" s="6">
        <v>0</v>
      </c>
      <c r="G10" s="6">
        <f>'Data Training 1'!AW27*'Data Training 1'!AY31*'Data Training 1'!AY40*'Data Training 1'!AY44*'Data Training 1'!AY52*'Data Training 1'!AY58*'Data Training 1'!AY64*'Data Training 1'!AY70*'Data Training 1'!AY75*'Data Training 1'!AY80*'Data Training 1'!AY87*'Data Training 1'!AY92*'Data Training 1'!AY99*'Data Training 1'!AY106*'Data Training 1'!AY110*'Data Training 1'!AY116*'Data Training 1'!AY124*'Data Training 1'!AY130*'Data Training 1'!AY136*'Data Training 1'!AY139*'Data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1'!AY211*'Data Training 1'!AY216</f>
        <v>2.0169158387336675E-12</v>
      </c>
      <c r="H10" s="6" t="s">
        <v>304</v>
      </c>
      <c r="I10" s="6" t="s">
        <v>304</v>
      </c>
      <c r="J10" s="6" t="s">
        <v>286</v>
      </c>
      <c r="N10" s="6" t="s">
        <v>308</v>
      </c>
      <c r="O10" s="6">
        <v>0</v>
      </c>
      <c r="P10" s="6">
        <v>0</v>
      </c>
      <c r="Q10" s="6">
        <v>0</v>
      </c>
      <c r="R10" s="6">
        <v>0</v>
      </c>
      <c r="S10" s="6">
        <v>0</v>
      </c>
      <c r="T10" s="7">
        <v>6</v>
      </c>
      <c r="U10" s="24">
        <f t="shared" si="1"/>
        <v>6</v>
      </c>
    </row>
    <row r="11" spans="1:22" x14ac:dyDescent="0.3">
      <c r="A11" s="6">
        <f t="shared" si="0"/>
        <v>10</v>
      </c>
      <c r="B11" s="6">
        <f>'Data Training 1'!AW22*'Data Training 1'!AT33*'Data Training 1'!AT38*'Data Training 1'!AT45*'Data Training 1'!AT52*'Data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1'!AT142*'Data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1.3725353691777255E-8</v>
      </c>
      <c r="C11" s="24">
        <f>'Data Training 1'!AW23*'Data Training 1'!AU33*'Data Training 1'!AU38*'Data Training 1'!AU45*'Data Training 1'!AU52*'Data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1'!AU142*'Data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4.8207834278703075E-9</v>
      </c>
      <c r="D11" s="6">
        <v>0</v>
      </c>
      <c r="E11" s="6">
        <v>0</v>
      </c>
      <c r="F11" s="6">
        <f>'Data Training 1'!AW26*'Data Training 1'!AX33*'Data Training 1'!AX38*'Data Training 1'!AX45*'Data Training 1'!AX52*'Data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1'!AX142*'Data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4.1330783244220867E-10</v>
      </c>
      <c r="G11" s="6">
        <v>0</v>
      </c>
      <c r="H11" s="6" t="s">
        <v>304</v>
      </c>
      <c r="I11" s="6" t="s">
        <v>304</v>
      </c>
      <c r="J11" s="6" t="s">
        <v>286</v>
      </c>
      <c r="N11" s="24" t="s">
        <v>302</v>
      </c>
      <c r="O11" s="24">
        <f t="shared" ref="O11:T11" si="2">SUM(O5:O10)</f>
        <v>4</v>
      </c>
      <c r="P11" s="24">
        <f t="shared" si="2"/>
        <v>8</v>
      </c>
      <c r="Q11" s="24">
        <f t="shared" si="2"/>
        <v>6</v>
      </c>
      <c r="R11" s="24">
        <f t="shared" si="2"/>
        <v>5</v>
      </c>
      <c r="S11" s="24">
        <f t="shared" si="2"/>
        <v>4</v>
      </c>
      <c r="T11" s="24">
        <f t="shared" si="2"/>
        <v>9</v>
      </c>
      <c r="U11" s="24">
        <f t="shared" si="1"/>
        <v>36</v>
      </c>
      <c r="V11" s="47"/>
    </row>
    <row r="12" spans="1:22" x14ac:dyDescent="0.3">
      <c r="A12" s="6">
        <f t="shared" si="0"/>
        <v>11</v>
      </c>
      <c r="B12" s="6">
        <v>0</v>
      </c>
      <c r="C12" s="24">
        <f>'Data Training 1'!AW23*'Data Training 1'!AU31*'Data Training 1'!AU40*'Data Training 1'!AU46*'Data Training 1'!AU52*'Data Training 1'!AU58*'Data Training 1'!AU64*'Data Training 1'!AU70*'Data Training 1'!AU75*'Data Training 1'!AU80*'Data Training 1'!AU85*'Data Training 1'!AU91*'Data Training 1'!AU99*'Data Training 1'!AU106*'Data Training 1'!AU109*'Data Training 1'!AU117*'Data Training 1'!AU124*'Data Training 1'!AU129*'Data Training 1'!AU136*'Data Training 1'!AU142*'Data Training 1'!AU147*'Data Training 1'!AU151*'Data Training 1'!AU157*'Data Training 1'!AU164*'Data Training 1'!AU167*'Data Training 1'!AU171*'Data Training 1'!AU175*'Data Training 1'!AU179*'Data Training 1'!AU183*'Data Training 1'!AU187*'Data Training 1'!AU191*'Data Training 1'!AU195*'Data Training 1'!AU199*'Data Training 1'!AU203*'Data Training 1'!AU207*'Data Training 1'!AU211*'Data Training 1'!AU216</f>
        <v>5.9917407661740348E-11</v>
      </c>
      <c r="D12" s="6">
        <v>0</v>
      </c>
      <c r="E12" s="6">
        <v>0</v>
      </c>
      <c r="F12" s="6">
        <v>0</v>
      </c>
      <c r="G12" s="6">
        <f>'Data Training 1'!AW27*'Data Training 1'!AY31*'Data Training 1'!AY40*'Data Training 1'!AY46*'Data Training 1'!AY52*'Data Training 1'!AY58*'Data Training 1'!AY64*'Data Training 1'!AY70*'Data Training 1'!AY75*'Data Training 1'!AY80*'Data Training 1'!AY85*'Data Training 1'!AY91*'Data Training 1'!AY99*'Data Training 1'!AY106*'Data Training 1'!AY109*'Data Training 1'!AY117*'Data Training 1'!AY124*'Data Training 1'!AY129*'Data Training 1'!AY136*'Data Training 1'!AY142*'Data Training 1'!AY147*'Data Training 1'!AY151*'Data Training 1'!AY157*'Data Training 1'!AY164*'Data Training 1'!AY167*'Data Training 1'!AY171*'Data Training 1'!AY175*'Data Training 1'!AY179*'Data Training 1'!AY183*'Data Training 1'!AY187*'Data Training 1'!AY191*'Data Training 1'!AY195*'Data Training 1'!AY199*'Data Training 1'!AY203*'Data Training 1'!AY207*'Data Training 1'!AY211*'Data Training 1'!AY216</f>
        <v>1.0756884473246228E-12</v>
      </c>
      <c r="H12" s="6" t="s">
        <v>304</v>
      </c>
      <c r="I12" s="6" t="s">
        <v>304</v>
      </c>
      <c r="J12" s="6" t="s">
        <v>286</v>
      </c>
    </row>
    <row r="13" spans="1:22" x14ac:dyDescent="0.3">
      <c r="A13" s="6">
        <f t="shared" si="0"/>
        <v>12</v>
      </c>
      <c r="B13" s="6">
        <v>0</v>
      </c>
      <c r="C13" s="24">
        <f>'Data Training 1'!AW23*'Data Training 1'!AU31*'Data Training 1'!AU40*'Data Training 1'!AU44*'Data Training 1'!AU51*'Data Training 1'!AU58*'Data Training 1'!AU64*'Data Training 1'!AU70*'Data Training 1'!AU75*'Data Training 1'!AU81*'Data Training 1'!AU86*'Data Training 1'!AU91*'Data Training 1'!AU99*'Data Training 1'!AU106*'Data Training 1'!AU110*'Data Training 1'!AU115*'Data Training 1'!AU124*'Data Training 1'!AU130*'Data Training 1'!AU136*'Data Training 1'!AU139*'Data Training 1'!AU145*'Data Training 1'!AU152*'Data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1'!AU215</f>
        <v>3.209127442193292E-9</v>
      </c>
      <c r="D13" s="6">
        <v>0</v>
      </c>
      <c r="E13" s="6">
        <v>0</v>
      </c>
      <c r="F13" s="6">
        <v>0</v>
      </c>
      <c r="G13" s="6">
        <v>0</v>
      </c>
      <c r="H13" s="6" t="s">
        <v>304</v>
      </c>
      <c r="I13" s="6" t="s">
        <v>304</v>
      </c>
      <c r="J13" s="6" t="s">
        <v>286</v>
      </c>
      <c r="N13" s="103" t="s">
        <v>434</v>
      </c>
      <c r="O13" s="104"/>
      <c r="P13" s="104"/>
      <c r="Q13" s="105"/>
      <c r="R13" s="115">
        <f>J38/J40</f>
        <v>0.86111111111111116</v>
      </c>
    </row>
    <row r="14" spans="1:22" x14ac:dyDescent="0.3">
      <c r="A14" s="6">
        <f t="shared" si="0"/>
        <v>13</v>
      </c>
      <c r="B1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c r="C14" s="6">
        <f>'Data Training 1'!AW23*'Data Training 1'!AU33*'Data Training 1'!AU38*'Data Training 1'!AU44*'Data Training 1'!AU51*'Data Training 1'!AU58*'Data Training 1'!AU64*'Data Training 1'!AU70*'Data Training 1'!AU75*'Data Training 1'!AU80*'Data Training 1'!AU86*'Data Training 1'!AU92*'Data Training 1'!AU99*'Data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2.4903281738360657E-9</v>
      </c>
      <c r="D14" s="24">
        <f>'Data Training 1'!AW24*'Data Training 1'!AV33*'Data Training 1'!AV38*'Data Training 1'!AV44*'Data Training 1'!AV51*'Data Training 1'!AV58*'Data Training 1'!AV64*'Data Training 1'!AV70*'Data Training 1'!AV75*'Data Training 1'!AV80*'Data Training 1'!AV86*'Data Training 1'!AV92*'Data Training 1'!AV99*'Data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5.5332311688297959E-8</v>
      </c>
      <c r="E14" s="6">
        <f>'Data Training 1'!AW25*'Data Training 1'!AW33*'Data Training 1'!AW38*'Data Training 1'!AW44*'Data Training 1'!AW51*'Data Training 1'!AW58*'Data Training 1'!AW64*'Data Training 1'!AW70*'Data Training 1'!AW75*'Data Training 1'!AW80*'Data Training 1'!AW86*'Data Training 1'!AW92*'Data Training 1'!AW99*'Data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5.0285880902225259E-9</v>
      </c>
      <c r="F14" s="6">
        <v>0</v>
      </c>
      <c r="G14" s="6">
        <v>0</v>
      </c>
      <c r="H14" s="6" t="s">
        <v>305</v>
      </c>
      <c r="I14" s="6" t="s">
        <v>305</v>
      </c>
      <c r="J14" s="6" t="s">
        <v>286</v>
      </c>
      <c r="N14" s="106" t="s">
        <v>310</v>
      </c>
      <c r="O14" s="107"/>
      <c r="P14" s="107"/>
      <c r="Q14" s="108"/>
      <c r="R14" s="116"/>
    </row>
    <row r="15" spans="1:22" x14ac:dyDescent="0.3">
      <c r="A15" s="6">
        <f t="shared" si="0"/>
        <v>14</v>
      </c>
      <c r="B15" s="6">
        <v>0</v>
      </c>
      <c r="C15" s="6">
        <v>0</v>
      </c>
      <c r="D15" s="24">
        <f>'Data Training 1'!AW24*'Data Training 1'!AV33*'Data Training 1'!AV38*'Data Training 1'!AV44*'Data Training 1'!AV51*'Data Training 1'!AV58*'Data Training 1'!AV63*'Data Training 1'!AV70*'Data Training 1'!AV75*'Data Training 1'!AV80*'Data Training 1'!AV85*'Data Training 1'!AV91*'Data Training 1'!AV100*'Data Training 1'!AV106*'Data Training 1'!AV109*'Data Training 1'!AV118*'Data Training 1'!AV124*'Data Training 1'!AV130*'Data Training 1'!AV136*'Data Training 1'!AV142*'Data Training 1'!AV145*'Data Training 1'!AV152*'Data Training 1'!AV157*'Data Training 1'!AV163*'Data Training 1'!AV167*'Data Training 1'!AV171*'Data Training 1'!AV175*'Data Training 1'!AV179*'Data Training 1'!AV183*'Data Training 1'!AV187*'Data Training 1'!AV191*'Data Training 1'!AV195*'Data Training 1'!AV200*'Data Training 1'!AV203*'Data Training 1'!AV207*'Data Training 1'!AV212*'Data Training 1'!AV215</f>
        <v>7.1134284998730203E-11</v>
      </c>
      <c r="E15" s="6">
        <v>0</v>
      </c>
      <c r="F15" s="6">
        <v>0</v>
      </c>
      <c r="G15" s="6">
        <v>0</v>
      </c>
      <c r="H15" s="6" t="s">
        <v>305</v>
      </c>
      <c r="I15" s="6" t="s">
        <v>305</v>
      </c>
      <c r="J15" s="6" t="s">
        <v>286</v>
      </c>
    </row>
    <row r="16" spans="1:22" x14ac:dyDescent="0.3">
      <c r="A16" s="6">
        <f t="shared" si="0"/>
        <v>15</v>
      </c>
      <c r="B16" s="6">
        <f>'Data Training 1'!AW22*'Data Training 1'!AT33*'Data Training 1'!AT38*'Data Training 1'!AT44*'Data Training 1'!AT52*'Data Training 1'!AT58*'Data Training 1'!AT64*'Data Training 1'!AT69*'Data Training 1'!AT75*'Data Training 1'!AT80*'Data Training 1'!AT86*'Data Training 1'!AT91*'Data Training 1'!AT100*'Data Training 1'!AT105*'Data Training 1'!AT110*'Data Training 1'!AT117*'Data Training 1'!AT124*'Data Training 1'!AT130*'Data Training 1'!AT136*'Data Training 1'!AT142*'Data Training 1'!AT145*'Data Training 1'!AT152*'Data Training 1'!AT158*'Data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5.3364175153629977E-10</v>
      </c>
      <c r="C16" s="6">
        <v>0</v>
      </c>
      <c r="D16" s="24">
        <f>'Data Training 1'!AW24*'Data Training 1'!AV33*'Data Training 1'!AV38*'Data Training 1'!AV44*'Data Training 1'!AV52*'Data Training 1'!AV58*'Data Training 1'!AV64*'Data Training 1'!AV69*'Data Training 1'!AV75*'Data Training 1'!AV80*'Data Training 1'!AV86*'Data Training 1'!AV91*'Data Training 1'!AV100*'Data Training 1'!AV105*'Data Training 1'!AV110*'Data Training 1'!AV117*'Data Training 1'!AV124*'Data Training 1'!AV130*'Data Training 1'!AV136*'Data Training 1'!AV142*'Data Training 1'!AV145*'Data Training 1'!AV152*'Data Training 1'!AV158*'Data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5.5891223927573679E-8</v>
      </c>
      <c r="E16" s="6">
        <v>0</v>
      </c>
      <c r="F16" s="6">
        <f>'Data Training 1'!AW26*'Data Training 1'!AX33*'Data Training 1'!AX38*'Data Training 1'!AX44*'Data Training 1'!AX52*'Data Training 1'!AX58*'Data Training 1'!AX64*'Data Training 1'!AX69*'Data Training 1'!AX75*'Data Training 1'!AX80*'Data Training 1'!AX86*'Data Training 1'!AX91*'Data Training 1'!AX100*'Data Training 1'!AX105*'Data Training 1'!AX110*'Data Training 1'!AX117*'Data Training 1'!AX124*'Data Training 1'!AX130*'Data Training 1'!AX136*'Data Training 1'!AX142*'Data Training 1'!AX145*'Data Training 1'!AX152*'Data Training 1'!AX158*'Data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3.9362650708781791E-11</v>
      </c>
      <c r="G16" s="6">
        <v>0</v>
      </c>
      <c r="H16" s="6" t="s">
        <v>305</v>
      </c>
      <c r="I16" s="6" t="s">
        <v>305</v>
      </c>
      <c r="J16" s="6" t="s">
        <v>286</v>
      </c>
      <c r="N16" s="117" t="s">
        <v>442</v>
      </c>
      <c r="O16" s="117"/>
      <c r="P16" s="117"/>
      <c r="Q16" s="117"/>
      <c r="R16" s="117"/>
      <c r="S16" s="117"/>
    </row>
    <row r="17" spans="1:21" x14ac:dyDescent="0.3">
      <c r="A17" s="6">
        <f t="shared" si="0"/>
        <v>16</v>
      </c>
      <c r="B17" s="6">
        <v>0</v>
      </c>
      <c r="C17" s="6">
        <v>0</v>
      </c>
      <c r="D17" s="24">
        <f>'Data Training 1'!AW24*'Data Training 1'!AV33*'Data Training 1'!AV40*'Data Training 1'!AV44*'Data Training 1'!AV50*'Data Training 1'!AV58*'Data Training 1'!AV64*'Data Training 1'!AV69*'Data Training 1'!AV75*'Data Training 1'!AV80*'Data Training 1'!AV85*'Data Training 1'!AV91*'Data Training 1'!AV100*'Data Training 1'!AV104*'Data Training 1'!AV110*'Data Training 1'!AV117*'Data Training 1'!AV124*'Data Training 1'!AV128*'Data Training 1'!AV135*'Data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2.1898000192009295E-11</v>
      </c>
      <c r="E17" s="6">
        <v>0</v>
      </c>
      <c r="F17" s="6">
        <v>0</v>
      </c>
      <c r="G17" s="6">
        <v>0</v>
      </c>
      <c r="H17" s="6" t="s">
        <v>305</v>
      </c>
      <c r="I17" s="6" t="s">
        <v>305</v>
      </c>
      <c r="J17" s="6" t="s">
        <v>286</v>
      </c>
      <c r="N17" s="117" t="s">
        <v>443</v>
      </c>
      <c r="O17" s="117"/>
      <c r="P17" s="117"/>
      <c r="Q17" s="117"/>
      <c r="R17" s="117"/>
      <c r="S17" s="117"/>
    </row>
    <row r="18" spans="1:21" x14ac:dyDescent="0.3">
      <c r="A18" s="6">
        <f t="shared" si="0"/>
        <v>17</v>
      </c>
      <c r="B18" s="6">
        <v>0</v>
      </c>
      <c r="C18" s="6">
        <v>0</v>
      </c>
      <c r="D18" s="24">
        <f>'Data Training 1'!AW24*'Data Training 1'!AV31*'Data Training 1'!AV38*'Data Training 1'!AV46*'Data Training 1'!AV52*'Data Training 1'!AV58*'Data Training 1'!AV64*'Data Training 1'!AV70*'Data Training 1'!AV75*'Data Training 1'!AV80*'Data Training 1'!AV86*'Data Training 1'!AV93*'Data Training 1'!AV99*'Data Training 1'!AV106*'Data Training 1'!AV110*'Data Training 1'!AV117*'Data Training 1'!AV123*'Data Training 1'!AV130*'Data Training 1'!AV136*'Data Training 1'!AV142*'Data Training 1'!AV146*'Data Training 1'!AV154*'Data Training 1'!AV160*'Data Training 1'!AV163*'Data Training 1'!AV167*'Data Training 1'!AV171*'Data Training 1'!AV175*'Data Training 1'!AV179*'Data Training 1'!AV183*'Data Training 1'!AV187*'Data Training 1'!AV192*'Data Training 1'!AV195*'Data Training 1'!AV200*'Data Training 1'!AV203*'Data Training 1'!AV207*'Data Training 1'!AV212*'Data Training 1'!AV216</f>
        <v>2.1170918154383975E-13</v>
      </c>
      <c r="E18" s="6">
        <v>0</v>
      </c>
      <c r="F18" s="6">
        <v>0</v>
      </c>
      <c r="G18" s="6">
        <v>0</v>
      </c>
      <c r="H18" s="6" t="s">
        <v>305</v>
      </c>
      <c r="I18" s="6" t="s">
        <v>305</v>
      </c>
      <c r="J18" s="6" t="s">
        <v>286</v>
      </c>
      <c r="N18" s="27" t="s">
        <v>441</v>
      </c>
      <c r="O18" s="27" t="s">
        <v>444</v>
      </c>
      <c r="P18" s="7" t="s">
        <v>445</v>
      </c>
      <c r="Q18" s="78" t="s">
        <v>446</v>
      </c>
      <c r="R18" s="78"/>
      <c r="S18" s="27" t="s">
        <v>309</v>
      </c>
    </row>
    <row r="19" spans="1:21" x14ac:dyDescent="0.3">
      <c r="A19" s="6">
        <f t="shared" si="0"/>
        <v>18</v>
      </c>
      <c r="B19" s="6">
        <v>0</v>
      </c>
      <c r="C19" s="6">
        <v>0</v>
      </c>
      <c r="D19" s="24">
        <f>PRODUCT('Data Training 1'!AW24,'Data Training 1'!AV34,'Data Training 1'!AV37,'Data Training 1'!AV43,'Data Training 1'!AV52,'Data Training 1'!AV58,'Data Training 1'!AV64,'Data Training 1'!AV70,'Data Training 1'!AV75,'Data Training 1'!AV81,'Data Training 1'!AV86,'Data Training 1'!AV91,'Data Training 1'!AV99,'Data Training 1'!AV105,'Data Training 1'!AV111,'Data Training 1'!AV118,'Data Training 1'!AV124,'Data Training 1'!AV128,'Data Training 1'!AV134,'Data Training 1'!AV141,'Data Training 1'!AV145,'Data Training 1'!AV154,'Data Training 1'!AV158,'Data Training 1'!AV164,'Data Training 1'!AV168,'Data Training 1'!AV172,'Data Training 1'!AV175,'Data Training 1'!AV179,'Data Training 1'!AV183,'Data Training 1'!AV187,'Data Training 1'!AV192,'Data Training 1'!AV195,'Data Training 1'!AV199,'Data Training 1'!AV203,'Data Training 1'!AV207,'Data Training 1'!AV211,'Data Training 1'!AV216)</f>
        <v>7.3319197071459694E-15</v>
      </c>
      <c r="E19" s="6">
        <v>0</v>
      </c>
      <c r="F19" s="6">
        <v>0</v>
      </c>
      <c r="G19" s="6">
        <v>0</v>
      </c>
      <c r="H19" s="6" t="s">
        <v>305</v>
      </c>
      <c r="I19" s="6" t="s">
        <v>305</v>
      </c>
      <c r="J19" s="6" t="s">
        <v>286</v>
      </c>
      <c r="N19" s="6" t="s">
        <v>303</v>
      </c>
      <c r="O19" s="6">
        <v>4</v>
      </c>
      <c r="P19" s="6">
        <v>2</v>
      </c>
      <c r="Q19" s="80">
        <f t="shared" ref="Q19:Q24" si="3">SUM(O19:P19)</f>
        <v>6</v>
      </c>
      <c r="R19" s="80"/>
      <c r="S19" s="26">
        <f>O19/Q19</f>
        <v>0.66666666666666663</v>
      </c>
    </row>
    <row r="20" spans="1:21" x14ac:dyDescent="0.3">
      <c r="A20" s="6">
        <f t="shared" si="0"/>
        <v>19</v>
      </c>
      <c r="B20" s="6">
        <f>'Data Training 1'!AW22*'Data Training 1'!AT32*'Data Training 1'!AT38*'Data Training 1'!AT44*'Data Training 1'!AT52*'Data Training 1'!AT58*'Data Training 1'!AT64*'Data Training 1'!AT70*'Data Training 1'!AT75*'Data Training 1'!AT81*'Data Training 1'!AT86*'Data Training 1'!AT92*'Data Training 1'!AT100*'Data Training 1'!AT106*'Data Training 1'!AT110*'Data Training 1'!AT117*'Data Training 1'!AT124*'Data Training 1'!AT130*'Data Training 1'!AT136*'Data Training 1'!AT139*'Data Training 1'!AT145*'Data Training 1'!AT151*'Data Training 1'!AT159*'Data Training 1'!AT164*'Data Training 1'!AT167*'Data Training 1'!AT171*'Data Training 1'!AT175*'Data Training 1'!AT179*'Data Training 1'!AT183*'Data Training 1'!AT188*'Data Training 1'!AT192*'Data Training 1'!AT195*'Data Training 1'!AT200*'Data Training 1'!AT204*'Data Training 1'!AT207*'Data Training 1'!AT211*'Data Training 1'!AT216</f>
        <v>4.5491229092064758E-10</v>
      </c>
      <c r="C20" s="6">
        <v>0</v>
      </c>
      <c r="D20" s="6">
        <v>0</v>
      </c>
      <c r="E20" s="24">
        <f>'Data Training 1'!AW22*'Data Training 1'!AW32*'Data Training 1'!AW38*'Data Training 1'!AW44*'Data Training 1'!AW52*'Data Training 1'!AW58*'Data Training 1'!AW64*'Data Training 1'!AW70*'Data Training 1'!AW75*'Data Training 1'!AW81*'Data Training 1'!AW86*'Data Training 1'!AW92*'Data Training 1'!AW100*'Data Training 1'!AW106*'Data Training 1'!AW110*'Data Training 1'!AW117*'Data Training 1'!AW124*'Data Training 1'!AW130*'Data Training 1'!AW136*'Data Training 1'!AW139*'Data Training 1'!AW145*'Data Training 1'!AW151*'Data Training 1'!AW159*'Data Training 1'!AW164*'Data Training 1'!AW167*'Data Training 1'!AW171*'Data Training 1'!AW175*'Data Training 1'!AW179*'Data Training 1'!AW183*'Data Training 1'!AW188*'Data Training 1'!AW192*'Data Training 1'!AW195*'Data Training 1'!AW200*'Data Training 1'!AW204*'Data Training 1'!AW207*'Data Training 1'!AW211*'Data Training 1'!AW216</f>
        <v>6.0839707758247844E-8</v>
      </c>
      <c r="F20" s="6">
        <v>0</v>
      </c>
      <c r="G20" s="6">
        <v>0</v>
      </c>
      <c r="H20" s="6" t="s">
        <v>306</v>
      </c>
      <c r="I20" s="6" t="s">
        <v>306</v>
      </c>
      <c r="J20" s="6" t="s">
        <v>286</v>
      </c>
      <c r="N20" s="6" t="s">
        <v>304</v>
      </c>
      <c r="O20" s="6">
        <v>6</v>
      </c>
      <c r="P20" s="6">
        <v>0</v>
      </c>
      <c r="Q20" s="80">
        <f t="shared" si="3"/>
        <v>6</v>
      </c>
      <c r="R20" s="80"/>
      <c r="S20" s="26">
        <f t="shared" ref="S20:S24" si="4">O20/Q20</f>
        <v>1</v>
      </c>
    </row>
    <row r="21" spans="1:21" x14ac:dyDescent="0.3">
      <c r="A21" s="6">
        <f t="shared" si="0"/>
        <v>20</v>
      </c>
      <c r="B21" s="6">
        <v>0</v>
      </c>
      <c r="C21" s="6">
        <v>0</v>
      </c>
      <c r="D21" s="6">
        <v>0</v>
      </c>
      <c r="E21" s="24">
        <f>'Data Training 1'!AW25*'Data Training 1'!AW34*'Data Training 1'!AW40*'Data Training 1'!AW45*'Data Training 1'!AW52*'Data Training 1'!AW58*'Data Training 1'!AW64*'Data Training 1'!AW70*'Data Training 1'!AW75*'Data Training 1'!AW81*'Data Training 1'!AW87*'Data Training 1'!AW92*'Data Training 1'!AW100*'Data Training 1'!AW106*'Data Training 1'!AW111*'Data Training 1'!AW117*'Data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5.9125080425896835E-8</v>
      </c>
      <c r="F21" s="6">
        <f>'Data Training 1'!AW26*'Data Training 1'!AX34*'Data Training 1'!AX40*'Data Training 1'!AX45*'Data Training 1'!AX52*'Data Training 1'!AX58*'Data Training 1'!AX64*'Data Training 1'!AX70*'Data Training 1'!AX75*'Data Training 1'!AX81*'Data Training 1'!AX87*'Data Training 1'!AX92*'Data Training 1'!AX100*'Data Training 1'!AX106*'Data Training 1'!AX111*'Data Training 1'!AX117*'Data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3.7379334338352473E-8</v>
      </c>
      <c r="G21" s="6">
        <f>'Data Training 1'!AW27*'Data Training 1'!AY34*'Data Training 1'!AY40*'Data Training 1'!AY45*'Data Training 1'!AY52*'Data Training 1'!AY58*'Data Training 1'!AY64*'Data Training 1'!AY70*'Data Training 1'!AY75*'Data Training 1'!AY81*'Data Training 1'!AY87*'Data Training 1'!AY92*'Data Training 1'!AY100*'Data Training 1'!AY106*'Data Training 1'!AY111*'Data Training 1'!AY117*'Data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2.4311039127593316E-10</v>
      </c>
      <c r="H21" s="6" t="s">
        <v>306</v>
      </c>
      <c r="I21" s="6" t="s">
        <v>306</v>
      </c>
      <c r="J21" s="6" t="s">
        <v>286</v>
      </c>
      <c r="N21" s="6" t="s">
        <v>305</v>
      </c>
      <c r="O21" s="6">
        <v>6</v>
      </c>
      <c r="P21" s="6">
        <v>0</v>
      </c>
      <c r="Q21" s="80">
        <f t="shared" si="3"/>
        <v>6</v>
      </c>
      <c r="R21" s="80"/>
      <c r="S21" s="26">
        <f t="shared" si="4"/>
        <v>1</v>
      </c>
    </row>
    <row r="22" spans="1:21" x14ac:dyDescent="0.3">
      <c r="A22" s="6">
        <f t="shared" si="0"/>
        <v>21</v>
      </c>
      <c r="B22" s="6">
        <v>0</v>
      </c>
      <c r="C22" s="6">
        <v>0</v>
      </c>
      <c r="D22" s="6">
        <v>0</v>
      </c>
      <c r="E22" s="24">
        <f>'Data Training 1'!AW25*'Data Training 1'!AW34*'Data Training 1'!AW38*'Data Training 1'!AW45*'Data Training 1'!AW52*'Data Training 1'!AW58*'Data Training 1'!AW64*'Data Training 1'!AW69*'Data Training 1'!AW75*'Data Training 1'!AW80*'Data Training 1'!AW86*'Data Training 1'!AW92*'Data Training 1'!AW97*'Data Training 1'!AW105*'Data Training 1'!AW111*'Data Training 1'!AW116*'Data Training 1'!AW124*'Data Training 1'!AW129*'Data Training 1'!AW135*'Data Training 1'!AW142*'Data Training 1'!AW146*'Data Training 1'!AW153*'Data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1.7102295990961887E-13</v>
      </c>
      <c r="F22" s="6">
        <v>0</v>
      </c>
      <c r="G22" s="6">
        <f>'Data Training 1'!AW27*'Data Training 1'!AY34*'Data Training 1'!AY38*'Data Training 1'!AY45*'Data Training 1'!AY52*'Data Training 1'!AY58*'Data Training 1'!AY64*'Data Training 1'!AY69*'Data Training 1'!AY75*'Data Training 1'!AY80*'Data Training 1'!AY86*'Data Training 1'!AY92*'Data Training 1'!AY97*'Data Training 1'!AY105*'Data Training 1'!AY111*'Data Training 1'!AY116*'Data Training 1'!AY124*'Data Training 1'!AY129*'Data Training 1'!AY135*'Data Training 1'!AY142*'Data Training 1'!AY146*'Data Training 1'!AY153*'Data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1.0504769993404522E-13</v>
      </c>
      <c r="H22" s="6" t="s">
        <v>306</v>
      </c>
      <c r="I22" s="6" t="s">
        <v>306</v>
      </c>
      <c r="J22" s="6" t="s">
        <v>286</v>
      </c>
      <c r="N22" s="6" t="s">
        <v>306</v>
      </c>
      <c r="O22" s="6">
        <v>5</v>
      </c>
      <c r="P22" s="6">
        <v>1</v>
      </c>
      <c r="Q22" s="80">
        <f t="shared" si="3"/>
        <v>6</v>
      </c>
      <c r="R22" s="80"/>
      <c r="S22" s="26">
        <f t="shared" si="4"/>
        <v>0.83333333333333337</v>
      </c>
    </row>
    <row r="23" spans="1:21" x14ac:dyDescent="0.3">
      <c r="A23" s="6">
        <f t="shared" si="0"/>
        <v>22</v>
      </c>
      <c r="B23" s="6">
        <v>0</v>
      </c>
      <c r="C23" s="6">
        <v>0</v>
      </c>
      <c r="D23" s="6">
        <v>0</v>
      </c>
      <c r="E23" s="6">
        <v>0</v>
      </c>
      <c r="F23" s="6">
        <v>0</v>
      </c>
      <c r="G23" s="46">
        <f>PRODUCT('Data Training 1'!AW27,'Data Training 1'!AY34,'Data Training 1'!AY40,'Data Training 1'!AY45,'Data Training 1'!AY52,'Data Training 1'!AY58,'Data Training 1'!AY64,'Data Training 1'!AY70,'Data Training 1'!AY75,'Data Training 1'!AY80,'Data Training 1'!AY85,'Data Training 1'!AY91,'Data Training 1'!AY98,'Data Training 1'!AY105,'Data Training 1'!AY111,'Data Training 1'!AY116,'Data Training 1'!AY124,'Data Training 1'!AY128,'Data Training 1'!AY135,'Data Training 1'!AY142,'Data Training 1'!AY146,'Data Training 1'!AY151,'Data Training 1'!AY157,'Data Training 1'!AY164,'Data Training 1'!AY167,'Data Training 1'!AY171,'Data Training 1'!AY175,'Data Training 1'!AY179,'Data Training 1'!AY183,'Data Training 1'!AY187,'Data Training 1'!AY192,'Data Training 1'!AY196,'Data Training 1'!AY200,'Data Training 1'!AY203,'Data Training 1'!AY207,'Data Training 1'!AY212,'Data Training 1'!AY216)</f>
        <v>4.5273082799857859E-13</v>
      </c>
      <c r="H23" s="46" t="s">
        <v>306</v>
      </c>
      <c r="I23" s="46" t="s">
        <v>308</v>
      </c>
      <c r="J23" s="46" t="s">
        <v>287</v>
      </c>
      <c r="N23" s="6" t="s">
        <v>307</v>
      </c>
      <c r="O23" s="6">
        <v>4</v>
      </c>
      <c r="P23" s="6">
        <v>2</v>
      </c>
      <c r="Q23" s="80">
        <f t="shared" si="3"/>
        <v>6</v>
      </c>
      <c r="R23" s="80"/>
      <c r="S23" s="26">
        <f t="shared" si="4"/>
        <v>0.66666666666666663</v>
      </c>
    </row>
    <row r="24" spans="1:21" x14ac:dyDescent="0.3">
      <c r="A24" s="6">
        <f t="shared" si="0"/>
        <v>23</v>
      </c>
      <c r="B24" s="6">
        <v>0</v>
      </c>
      <c r="C24" s="6">
        <v>0</v>
      </c>
      <c r="D24" s="6">
        <v>0</v>
      </c>
      <c r="E24" s="24">
        <f>PRODUCT('Data Training 1'!AW25,'Data Training 1'!AW33,'Data Training 1'!AW40,'Data Training 1'!AW45,'Data Training 1'!AW52,'Data Training 1'!AW58,'Data Training 1'!AW64,'Data Training 1'!AW70,'Data Training 1'!AW75,'Data Training 1'!AW81,'Data Training 1'!AW87,'Data Training 1'!AW94,'Data Training 1'!AW97,'Data Training 1'!AW106,'Data Training 1'!AW111,'Data Training 1'!AW115,'Data Training 1'!AW124,'Data Training 1'!AW130,'Data Training 1'!AW136,'Data Training 1'!AW139,'Data Training 1'!AW146,'Data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1.6555022519251112E-10</v>
      </c>
      <c r="F24" s="6">
        <v>0</v>
      </c>
      <c r="G24" s="6">
        <v>0</v>
      </c>
      <c r="H24" s="6" t="s">
        <v>306</v>
      </c>
      <c r="I24" s="6" t="s">
        <v>306</v>
      </c>
      <c r="J24" s="6" t="s">
        <v>286</v>
      </c>
      <c r="N24" s="28" t="s">
        <v>308</v>
      </c>
      <c r="O24" s="28">
        <v>6</v>
      </c>
      <c r="P24" s="28">
        <v>0</v>
      </c>
      <c r="Q24" s="102">
        <f t="shared" si="3"/>
        <v>6</v>
      </c>
      <c r="R24" s="102"/>
      <c r="S24" s="29">
        <f t="shared" si="4"/>
        <v>1</v>
      </c>
    </row>
    <row r="25" spans="1:21" x14ac:dyDescent="0.3">
      <c r="A25" s="6">
        <f t="shared" si="0"/>
        <v>24</v>
      </c>
      <c r="B25" s="6">
        <v>0</v>
      </c>
      <c r="C25" s="6">
        <v>0</v>
      </c>
      <c r="D25" s="6">
        <v>0</v>
      </c>
      <c r="E25" s="24">
        <f>PRODUCT('Data Training 1'!AW25,'Data Training 1'!AW32,'Data Training 1'!AW40,'Data Training 1'!AW43,'Data Training 1'!AW52,'Data Training 1'!AW58,'Data Training 1'!AW64,'Data Training 1'!AW70,'Data Training 1'!AW75,'Data Training 1'!AW81,'Data Training 1'!AW85,'Data Training 1'!AW91,'Data Training 1'!AW100,'Data Training 1'!AW105,'Data Training 1'!AW110,'Data Training 1'!AW118,'Data Training 1'!AW124,'Data Training 1'!AW129,'Data Training 1'!AW136,'Data Training 1'!AW142,'Data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8.0449200341484734E-10</v>
      </c>
      <c r="F25" s="6">
        <v>0</v>
      </c>
      <c r="G25" s="6">
        <v>0</v>
      </c>
      <c r="H25" s="6" t="s">
        <v>306</v>
      </c>
      <c r="I25" s="6" t="s">
        <v>306</v>
      </c>
      <c r="J25" s="6" t="s">
        <v>286</v>
      </c>
      <c r="N25" s="89" t="s">
        <v>447</v>
      </c>
      <c r="O25" s="89"/>
      <c r="P25" s="89"/>
      <c r="Q25" s="89"/>
      <c r="R25" s="89"/>
      <c r="S25" s="48">
        <f>SUM(S19:S24)/6</f>
        <v>0.86111111111111116</v>
      </c>
      <c r="T25" s="5"/>
      <c r="U25" s="5"/>
    </row>
    <row r="26" spans="1:21" x14ac:dyDescent="0.3">
      <c r="A26" s="6">
        <f t="shared" si="0"/>
        <v>25</v>
      </c>
      <c r="B26" s="6">
        <v>0</v>
      </c>
      <c r="C26" s="6">
        <v>0</v>
      </c>
      <c r="D26" s="6">
        <v>0</v>
      </c>
      <c r="E26" s="6">
        <f>'Data Training 1'!AW25*'Data Training 1'!AW34*'Data Training 1'!AW38*'Data Training 1'!AW44*'Data Training 1'!AW52*'Data Training 1'!AW58*'Data Training 1'!AW64*'Data Training 1'!AW70*'Data Training 1'!AW75*'Data Training 1'!AW81*'Data Training 1'!AW88*'Data Training 1'!AW92*'Data Training 1'!AW99*'Data Training 1'!AW106*'Data Training 1'!AW111*'Data Training 1'!AW116*'Data Training 1'!AW124*'Data Training 1'!AW130*'Data Training 1'!AW136*'Data Training 1'!AW142*'Data Training 1'!AW146*'Data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1.2515597024553842E-7</v>
      </c>
      <c r="F26" s="6">
        <f>'Data Training 1'!AW26*'Data Training 1'!AX34*'Data Training 1'!AX38*'Data Training 1'!AX44*'Data Training 1'!AX52*'Data Training 1'!AX58*'Data Training 1'!AX64*'Data Training 1'!AX70*'Data Training 1'!AX75*'Data Training 1'!AX81*'Data Training 1'!AX88*'Data Training 1'!AX92*'Data Training 1'!AX99*'Data Training 1'!AX106*'Data Training 1'!AX111*'Data Training 1'!AX116*'Data Training 1'!AX124*'Data Training 1'!AX130*'Data Training 1'!AX136*'Data Training 1'!AX142*'Data Training 1'!AX146*'Data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2.1264687979151626E-8</v>
      </c>
      <c r="G26" s="46">
        <f>'Data Training 1'!AW27*'Data Training 1'!AY34*'Data Training 1'!AY38*'Data Training 1'!AY44*'Data Training 1'!AY52*'Data Training 1'!AY58*'Data Training 1'!AY64*'Data Training 1'!AY70*'Data Training 1'!AY75*'Data Training 1'!AY81*'Data Training 1'!AY88*'Data Training 1'!AY92*'Data Training 1'!AY99*'Data Training 1'!AY106*'Data Training 1'!AY111*'Data Training 1'!AY116*'Data Training 1'!AY124*'Data Training 1'!AY130*'Data Training 1'!AY136*'Data Training 1'!AY142*'Data Training 1'!AY146*'Data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7.5634343952512571E-11</v>
      </c>
      <c r="H26" s="46" t="s">
        <v>307</v>
      </c>
      <c r="I26" s="46" t="s">
        <v>308</v>
      </c>
      <c r="J26" s="46" t="s">
        <v>287</v>
      </c>
    </row>
    <row r="27" spans="1:21" x14ac:dyDescent="0.3">
      <c r="A27" s="6">
        <f t="shared" si="0"/>
        <v>26</v>
      </c>
      <c r="B27" s="6">
        <v>0</v>
      </c>
      <c r="C27" s="6">
        <v>0</v>
      </c>
      <c r="D27" s="6">
        <v>0</v>
      </c>
      <c r="E27" s="6">
        <v>0</v>
      </c>
      <c r="F27" s="24">
        <f>'Data Training 1'!AW26*'Data Training 1'!AX34*'Data Training 1'!AX38*'Data Training 1'!AX46*'Data Training 1'!AX52*'Data Training 1'!AX58*'Data Training 1'!AX64*'Data Training 1'!AX70*'Data Training 1'!AX75*'Data Training 1'!AX81*'Data Training 1'!AX85*'Data Training 1'!AX91*'Data Training 1'!AX98*'Data Training 1'!AX106*'Data Training 1'!AX111*'Data Training 1'!AX118*'Data Training 1'!AX123*'Data Training 1'!AX129*'Data Training 1'!AX136*'Data Training 1'!AX139*'Data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9.0646533889302756E-11</v>
      </c>
      <c r="G27" s="6">
        <v>0</v>
      </c>
      <c r="H27" s="6" t="s">
        <v>307</v>
      </c>
      <c r="I27" s="6" t="s">
        <v>307</v>
      </c>
      <c r="J27" s="6" t="s">
        <v>286</v>
      </c>
      <c r="N27" s="103" t="s">
        <v>435</v>
      </c>
      <c r="O27" s="104"/>
      <c r="P27" s="104"/>
      <c r="Q27" s="104"/>
      <c r="R27" s="104"/>
      <c r="S27" s="105"/>
    </row>
    <row r="28" spans="1:21" x14ac:dyDescent="0.3">
      <c r="A28" s="6">
        <f t="shared" si="0"/>
        <v>27</v>
      </c>
      <c r="B28" s="6">
        <v>0</v>
      </c>
      <c r="C28" s="6">
        <v>0</v>
      </c>
      <c r="D28" s="6">
        <v>0</v>
      </c>
      <c r="E28" s="6">
        <v>0</v>
      </c>
      <c r="F28" s="6">
        <f>'Data Training 1'!AW26*'Data Training 1'!AX34*'Data Training 1'!AX40*'Data Training 1'!AX45*'Data Training 1'!AX52*'Data Training 1'!AX58*'Data Training 1'!AX62*'Data Training 1'!AX70*'Data Training 1'!AX75*'Data Training 1'!AX81*'Data Training 1'!AX87*'Data Training 1'!AX93*'Data Training 1'!AX99*'Data Training 1'!AX105*'Data Training 1'!AX110*'Data Training 1'!AX116*'Data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3.0513742317022442E-9</v>
      </c>
      <c r="G28" s="46">
        <f>'Data Training 1'!AW27*'Data Training 1'!AY34*'Data Training 1'!AY40*'Data Training 1'!AY45*'Data Training 1'!AY52*'Data Training 1'!AY58*'Data Training 1'!AY62*'Data Training 1'!AY70*'Data Training 1'!AY75*'Data Training 1'!AY81*'Data Training 1'!AY87*'Data Training 1'!AY93*'Data Training 1'!AY99*'Data Training 1'!AY105*'Data Training 1'!AY110*'Data Training 1'!AY116*'Data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8.1855350597957332E-13</v>
      </c>
      <c r="H28" s="46" t="s">
        <v>307</v>
      </c>
      <c r="I28" s="46" t="s">
        <v>308</v>
      </c>
      <c r="J28" s="46" t="s">
        <v>287</v>
      </c>
      <c r="N28" s="106" t="s">
        <v>311</v>
      </c>
      <c r="O28" s="107"/>
      <c r="P28" s="107"/>
      <c r="Q28" s="107"/>
      <c r="R28" s="107"/>
      <c r="S28" s="108"/>
    </row>
    <row r="29" spans="1:21" x14ac:dyDescent="0.3">
      <c r="A29" s="6">
        <f t="shared" si="0"/>
        <v>28</v>
      </c>
      <c r="B29" s="6">
        <v>0</v>
      </c>
      <c r="C29" s="6">
        <v>0</v>
      </c>
      <c r="D29" s="6">
        <v>0</v>
      </c>
      <c r="E29" s="6">
        <f>PRODUCT('Data Training 1'!AW25,'Data Training 1'!AW33,'Data Training 1'!AW38,'Data Training 1'!AW46,'Data Training 1'!AW52,'Data Training 1'!AW58,'Data Training 1'!AW64,'Data Training 1'!AW70,'Data Training 1'!AW75,'Data Training 1'!AW80,'Data Training 1'!AW86,'Data Training 1'!AW94,'Data Training 1'!AW99,'Data Training 1'!AW106,'Data Training 1'!AW111,'Data Training 1'!AW117,'Data Training 1'!AW124,'Data Training 1'!AW130,'Data Training 1'!AW136,'Data Training 1'!AW140,'Data Training 1'!AW146,'Data Training 1'!AW151,'Data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1.7168171501445595E-10</v>
      </c>
      <c r="F29" s="24">
        <f>PRODUCT('Data Training 1'!AW26,'Data Training 1'!AX33,'Data Training 1'!AX38,'Data Training 1'!AX46,'Data Training 1'!AX52,'Data Training 1'!AX58,'Data Training 1'!AX64,'Data Training 1'!AX70,'Data Training 1'!AX75,'Data Training 1'!AX80,'Data Training 1'!AX86,'Data Training 1'!AX94,'Data Training 1'!AX99,'Data Training 1'!AX106,'Data Training 1'!AX111,'Data Training 1'!AX117,'Data Training 1'!AX124,'Data Training 1'!AX130,'Data Training 1'!AX136,'Data Training 1'!AX140,'Data Training 1'!AX146,'Data Training 1'!AX151,'Data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8.8998415091315388E-11</v>
      </c>
      <c r="G29" s="6">
        <v>0</v>
      </c>
      <c r="H29" s="6" t="s">
        <v>307</v>
      </c>
      <c r="I29" s="6" t="s">
        <v>307</v>
      </c>
      <c r="J29" s="6" t="s">
        <v>286</v>
      </c>
      <c r="N29" s="38" t="s">
        <v>441</v>
      </c>
      <c r="O29" s="38" t="s">
        <v>444</v>
      </c>
      <c r="P29" s="39" t="s">
        <v>448</v>
      </c>
      <c r="Q29" s="109" t="s">
        <v>312</v>
      </c>
      <c r="R29" s="110"/>
      <c r="S29" s="38" t="s">
        <v>521</v>
      </c>
    </row>
    <row r="30" spans="1:21" x14ac:dyDescent="0.3">
      <c r="A30" s="6">
        <f t="shared" si="0"/>
        <v>29</v>
      </c>
      <c r="B30" s="6">
        <v>0</v>
      </c>
      <c r="C30" s="6">
        <v>0</v>
      </c>
      <c r="D30" s="6">
        <v>0</v>
      </c>
      <c r="E30" s="6">
        <v>0</v>
      </c>
      <c r="F30" s="24">
        <f>PRODUCT('Data Training 1'!AW26,'Data Training 1'!AX33,'Data Training 1'!AX38,'Data Training 1'!AX43,'Data Training 1'!AX52,'Data Training 1'!AX58,'Data Training 1'!AX62,'Data Training 1'!AX70,'Data Training 1'!AX75,'Data Training 1'!AX80,'Data Training 1'!AX87,'Data Training 1'!AX93,'Data Training 1'!AX100,'Data Training 1'!AX106,'Data Training 1'!AX111,'Data Training 1'!AX118,'Data Training 1'!AX124,'Data Training 1'!AX128,'Data Training 1'!AX136,'Data Training 1'!AX141,'Data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3.0998087433165655E-11</v>
      </c>
      <c r="G30" s="6">
        <v>0</v>
      </c>
      <c r="H30" s="6" t="s">
        <v>307</v>
      </c>
      <c r="I30" s="6" t="s">
        <v>307</v>
      </c>
      <c r="J30" s="6" t="s">
        <v>286</v>
      </c>
      <c r="N30" s="6" t="s">
        <v>303</v>
      </c>
      <c r="O30" s="6">
        <v>4</v>
      </c>
      <c r="P30" s="6">
        <v>0</v>
      </c>
      <c r="Q30" s="99">
        <f t="shared" ref="Q30:Q35" si="5">SUM(O30:P30)</f>
        <v>4</v>
      </c>
      <c r="R30" s="101"/>
      <c r="S30" s="26">
        <f>O30/Q30</f>
        <v>1</v>
      </c>
    </row>
    <row r="31" spans="1:21" x14ac:dyDescent="0.3">
      <c r="A31" s="6">
        <f t="shared" si="0"/>
        <v>30</v>
      </c>
      <c r="B31" s="6">
        <v>0</v>
      </c>
      <c r="C31" s="6">
        <v>0</v>
      </c>
      <c r="D31" s="6">
        <v>0</v>
      </c>
      <c r="E31" s="6">
        <v>0</v>
      </c>
      <c r="F31" s="24">
        <f>PRODUCT('Data Training 1'!AW26,'Data Training 1'!AX34,'Data Training 1'!AX40,'Data Training 1'!AX44,'Data Training 1'!AX52,'Data Training 1'!AX58,'Data Training 1'!AX64,'Data Training 1'!AX70,'Data Training 1'!AX75,'Data Training 1'!AX81,'Data Training 1'!AX88,'Data Training 1'!AX93,'Data Training 1'!AX99,'Data Training 1'!AX103,'Data Training 1'!AX110,'Data Training 1'!AX117,'Data Training 1'!AX124,'Data Training 1'!AX130,'Data Training 1'!AX136,'Data Training 1'!AX140,'Data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1'!AX212,'Data Training 1'!AX216)</f>
        <v>3.1078811619189511E-9</v>
      </c>
      <c r="G31" s="6">
        <v>0</v>
      </c>
      <c r="H31" s="6" t="s">
        <v>307</v>
      </c>
      <c r="I31" s="6" t="s">
        <v>307</v>
      </c>
      <c r="J31" s="6" t="s">
        <v>286</v>
      </c>
      <c r="N31" s="6" t="s">
        <v>304</v>
      </c>
      <c r="O31" s="6">
        <v>6</v>
      </c>
      <c r="P31" s="6">
        <v>2</v>
      </c>
      <c r="Q31" s="99">
        <f t="shared" si="5"/>
        <v>8</v>
      </c>
      <c r="R31" s="101"/>
      <c r="S31" s="26">
        <f t="shared" ref="S31:S35" si="6">O31/Q31</f>
        <v>0.75</v>
      </c>
    </row>
    <row r="32" spans="1:21" x14ac:dyDescent="0.3">
      <c r="A32" s="6">
        <f t="shared" si="0"/>
        <v>31</v>
      </c>
      <c r="B32" s="6">
        <v>0</v>
      </c>
      <c r="C32" s="6">
        <v>0</v>
      </c>
      <c r="D32" s="6">
        <v>0</v>
      </c>
      <c r="E32" s="6">
        <v>0</v>
      </c>
      <c r="F32" s="6">
        <v>0</v>
      </c>
      <c r="G32" s="24">
        <f>'Data Training 1'!AW27*'Data Training 1'!AY34*'Data Training 1'!AY40*'Data Training 1'!AY44*'Data Training 1'!AY52*'Data Training 1'!AY58*'Data Training 1'!AY64*'Data Training 1'!AY70*'Data Training 1'!AY75*'Data Training 1'!AY81*'Data Training 1'!AY85*'Data Training 1'!AY91*'Data Training 1'!AY97*'Data Training 1'!AY106*'Data Training 1'!AY109*'Data Training 1'!AY124*'Data Training 1'!AY118*'Data Training 1'!AY130*'Data Training 1'!AY136*'Data Training 1'!AY140*'Data Training 1'!AY148*'Data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8.0676633549346722E-10</v>
      </c>
      <c r="H32" s="6" t="s">
        <v>308</v>
      </c>
      <c r="I32" s="6" t="s">
        <v>308</v>
      </c>
      <c r="J32" s="6" t="s">
        <v>286</v>
      </c>
      <c r="N32" s="6" t="s">
        <v>305</v>
      </c>
      <c r="O32" s="6">
        <v>6</v>
      </c>
      <c r="P32" s="6">
        <v>0</v>
      </c>
      <c r="Q32" s="99">
        <f t="shared" si="5"/>
        <v>6</v>
      </c>
      <c r="R32" s="101"/>
      <c r="S32" s="26">
        <f t="shared" si="6"/>
        <v>1</v>
      </c>
    </row>
    <row r="33" spans="1:19" x14ac:dyDescent="0.3">
      <c r="A33" s="6">
        <f t="shared" si="0"/>
        <v>32</v>
      </c>
      <c r="B33" s="6">
        <v>0</v>
      </c>
      <c r="C33" s="6">
        <v>0</v>
      </c>
      <c r="D33" s="6">
        <v>0</v>
      </c>
      <c r="E33" s="6">
        <v>0</v>
      </c>
      <c r="F33" s="6">
        <v>0</v>
      </c>
      <c r="G33" s="24">
        <f>'Data Training 1'!AW27*'Data Training 1'!AY31*'Data Training 1'!AY40*'Data Training 1'!AY45*'Data Training 1'!AY52*'Data Training 1'!AY58*'Data Training 1'!AY64*'Data Training 1'!AY69*'Data Training 1'!AY75*'Data Training 1'!AY81*'Data Training 1'!AY85*'Data Training 1'!AY93*'Data Training 1'!AY100*'Data Training 1'!AY106*'Data Training 1'!AY109*'Data Training 1'!AY118*'Data Training 1'!AY124*'Data Training 1'!AY130*'Data Training 1'!AY136*'Data Training 1'!AY142*'Data Training 1'!AY145*'Data Training 1'!AY152*'Data Training 1'!AY159*'Data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1.6408277097135984E-12</v>
      </c>
      <c r="H33" s="6" t="s">
        <v>308</v>
      </c>
      <c r="I33" s="6" t="s">
        <v>308</v>
      </c>
      <c r="J33" s="6" t="s">
        <v>286</v>
      </c>
      <c r="N33" s="6" t="s">
        <v>306</v>
      </c>
      <c r="O33" s="6">
        <v>5</v>
      </c>
      <c r="P33" s="6">
        <v>0</v>
      </c>
      <c r="Q33" s="99">
        <f t="shared" si="5"/>
        <v>5</v>
      </c>
      <c r="R33" s="101"/>
      <c r="S33" s="26">
        <f t="shared" si="6"/>
        <v>1</v>
      </c>
    </row>
    <row r="34" spans="1:19" x14ac:dyDescent="0.3">
      <c r="A34" s="6">
        <f t="shared" si="0"/>
        <v>33</v>
      </c>
      <c r="B34" s="6">
        <v>0</v>
      </c>
      <c r="C34" s="6">
        <v>0</v>
      </c>
      <c r="D34" s="6">
        <v>0</v>
      </c>
      <c r="E34" s="6">
        <v>0</v>
      </c>
      <c r="F34" s="6">
        <v>0</v>
      </c>
      <c r="G34" s="24">
        <f>'Data Training 1'!AW27*'Data Training 1'!AY34*'Data Training 1'!AY40*'Data Training 1'!AY44*'Data Training 1'!AY51*'Data Training 1'!AY58*'Data Training 1'!AY64*'Data Training 1'!AY70*'Data Training 1'!AY76*'Data Training 1'!AY81*'Data Training 1'!AY85*'Data Training 1'!AY91*'Data Training 1'!AY99*'Data Training 1'!AY106*'Data Training 1'!AY111*'Data Training 1'!AY117*'Data Training 1'!AY124*'Data Training 1'!AY128*'Data Training 1'!AY136*'Data Training 1'!AY140*'Data Training 1'!AY147*'Data Training 1'!AY153*'Data Training 1'!AY160*'Data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4.2092742272595132E-14</v>
      </c>
      <c r="H34" s="6" t="s">
        <v>308</v>
      </c>
      <c r="I34" s="6" t="s">
        <v>308</v>
      </c>
      <c r="J34" s="6" t="s">
        <v>286</v>
      </c>
      <c r="N34" s="6" t="s">
        <v>307</v>
      </c>
      <c r="O34" s="6">
        <v>4</v>
      </c>
      <c r="P34" s="6">
        <v>0</v>
      </c>
      <c r="Q34" s="99">
        <f t="shared" si="5"/>
        <v>4</v>
      </c>
      <c r="R34" s="101"/>
      <c r="S34" s="26">
        <f t="shared" si="6"/>
        <v>1</v>
      </c>
    </row>
    <row r="35" spans="1:19" x14ac:dyDescent="0.3">
      <c r="A35" s="6">
        <f t="shared" si="0"/>
        <v>34</v>
      </c>
      <c r="B35" s="6">
        <v>0</v>
      </c>
      <c r="C35" s="6">
        <v>0</v>
      </c>
      <c r="D35" s="6">
        <v>0</v>
      </c>
      <c r="E35" s="6">
        <v>0</v>
      </c>
      <c r="F35" s="6">
        <v>0</v>
      </c>
      <c r="G35" s="24">
        <f>PRODUCT('Data Training 1'!AW27,'Data Training 1'!AY34,'Data Training 1'!AY40,'Data Training 1'!AY45,'Data Training 1'!AY52,'Data Training 1'!AY58,'Data Training 1'!AY64,'Data Training 1'!AY70,'Data Training 1'!AY76,'Data Training 1'!AY81,'Data Training 1'!AY85,'Data Training 1'!AY91,'Data Training 1'!AY100,'Data Training 1'!AY105,'Data Training 1'!AY110,'Data Training 1'!AY118,'Data Training 1'!AY124,'Data Training 1'!AY128,'Data Training 1'!AY136,'Data Training 1'!AY142,'Data Training 1'!AY145,'Data Training 1'!AY152,'Data Training 1'!AY159,'Data Training 1'!AY164,'Data Training 1'!AY167,'Data Training 1'!AY171,'Data Training 1'!AY176,'Data Training 1'!AY179,'Data Training 1'!AY183,'Data Training 1'!AY187,'Data Training 1'!AY192,'Data Training 1'!AY195,'Data Training 1'!AY200,'Data Training 1'!AY203,'Data Training 1'!AY207,'Data Training 1'!AY211,'Data Training 1'!AY216)</f>
        <v>2.7381160477354036E-10</v>
      </c>
      <c r="H35" s="6" t="s">
        <v>308</v>
      </c>
      <c r="I35" s="6" t="s">
        <v>308</v>
      </c>
      <c r="J35" s="6" t="s">
        <v>286</v>
      </c>
      <c r="N35" s="6" t="s">
        <v>308</v>
      </c>
      <c r="O35" s="6">
        <v>6</v>
      </c>
      <c r="P35" s="6">
        <v>3</v>
      </c>
      <c r="Q35" s="80">
        <f t="shared" si="5"/>
        <v>9</v>
      </c>
      <c r="R35" s="80"/>
      <c r="S35" s="26">
        <f t="shared" si="6"/>
        <v>0.66666666666666663</v>
      </c>
    </row>
    <row r="36" spans="1:19" x14ac:dyDescent="0.3">
      <c r="A36" s="6">
        <f t="shared" si="0"/>
        <v>35</v>
      </c>
      <c r="B36" s="6">
        <v>0</v>
      </c>
      <c r="C36" s="6">
        <v>0</v>
      </c>
      <c r="D36" s="6">
        <v>0</v>
      </c>
      <c r="E36" s="6">
        <v>0</v>
      </c>
      <c r="F36" s="6">
        <v>0</v>
      </c>
      <c r="G36" s="24">
        <f>PRODUCT('Data Training 1'!AW27,'Data Training 1'!AY34,'Data Training 1'!AY40,'Data Training 1'!AY44,'Data Training 1'!AY52,'Data Training 1'!AY58,'Data Training 1'!AY64,'Data Training 1'!AY70,'Data Training 1'!AY75,'Data Training 1'!AY81,'Data Training 1'!AY87,'Data Training 1'!AY93,'Data Training 1'!AY98,'Data Training 1'!AY106,'Data Training 1'!AY110,'Data Training 1'!AY116,'Data Training 1'!AY124,'Data Training 1'!AY130,'Data Training 1'!AY136,'Data Training 1'!AY141,'Data Training 1'!AY146,'Data Training 1'!AY151,'Data Training 1'!AY157,'Data Training 1'!AY164,'Data Training 1'!AY167,'Data Training 1'!AY171,'Data Training 1'!AY175,'Data Training 1'!AY180,'Data Training 1'!AY183,'Data Training 1'!AY187,'Data Training 1'!AY192,'Data Training 1'!AY196,'Data Training 1'!AY200,'Data Training 1'!AY204,'Data Training 1'!AY208,'Data Training 1'!AY212,'Data Training 1'!AY216)</f>
        <v>1.7859349221372509E-13</v>
      </c>
      <c r="H36" s="6" t="s">
        <v>308</v>
      </c>
      <c r="I36" s="6" t="s">
        <v>308</v>
      </c>
      <c r="J36" s="6" t="s">
        <v>286</v>
      </c>
      <c r="N36" s="89" t="s">
        <v>449</v>
      </c>
      <c r="O36" s="89"/>
      <c r="P36" s="89"/>
      <c r="Q36" s="89"/>
      <c r="R36" s="89"/>
      <c r="S36" s="54">
        <f>SUM(S30:S35)/6</f>
        <v>0.90277777777777779</v>
      </c>
    </row>
    <row r="37" spans="1:19" x14ac:dyDescent="0.3">
      <c r="A37" s="6">
        <f t="shared" si="0"/>
        <v>36</v>
      </c>
      <c r="B37" s="6">
        <v>0</v>
      </c>
      <c r="C37" s="6">
        <v>0</v>
      </c>
      <c r="D37" s="6">
        <v>0</v>
      </c>
      <c r="E37" s="6">
        <v>0</v>
      </c>
      <c r="F37" s="6">
        <v>0</v>
      </c>
      <c r="G37" s="24">
        <f>PRODUCT('Data Training 1'!AW27,'Data Training 1'!AY34,'Data Training 1'!AY40,'Data Training 1'!AY43,'Data Training 1'!AY52,'Data Training 1'!AY58,'Data Training 1'!AY64,'Data Training 1'!AY70,'Data Training 1'!AY75,'Data Training 1'!AY80,'Data Training 1'!AY85,'Data Training 1'!AY92,'Data Training 1'!AY100,'Data Training 1'!AY106,'Data Training 1'!AY110,'Data Training 1'!AY118,'Data Training 1'!AY124,'Data Training 1'!AY128,'Data Training 1'!AY136,'Data Training 1'!AY140,'Data Training 1'!AY145,'Data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2.9043588077764822E-9</v>
      </c>
      <c r="H37" s="6" t="s">
        <v>308</v>
      </c>
      <c r="I37" s="6" t="s">
        <v>308</v>
      </c>
      <c r="J37" s="6" t="s">
        <v>286</v>
      </c>
    </row>
    <row r="38" spans="1:19" x14ac:dyDescent="0.3">
      <c r="A38" s="93" t="s">
        <v>518</v>
      </c>
      <c r="B38" s="94"/>
      <c r="C38" s="94"/>
      <c r="D38" s="94"/>
      <c r="E38" s="94"/>
      <c r="F38" s="94"/>
      <c r="G38" s="94"/>
      <c r="H38" s="97" t="s">
        <v>286</v>
      </c>
      <c r="I38" s="98"/>
      <c r="J38" s="10">
        <f>COUNTIF(J2:J37,"Sesuai")</f>
        <v>31</v>
      </c>
      <c r="N38" s="90" t="s">
        <v>522</v>
      </c>
      <c r="O38" s="91"/>
      <c r="P38" s="91"/>
      <c r="Q38" s="91"/>
      <c r="R38" s="92"/>
      <c r="S38" s="48">
        <f>2*((S36*S25)/(S36+S25))</f>
        <v>0.88145231846019256</v>
      </c>
    </row>
    <row r="39" spans="1:19" x14ac:dyDescent="0.3">
      <c r="A39" s="95"/>
      <c r="B39" s="96"/>
      <c r="C39" s="96"/>
      <c r="D39" s="96"/>
      <c r="E39" s="96"/>
      <c r="F39" s="96"/>
      <c r="G39" s="96"/>
      <c r="H39" s="99" t="s">
        <v>485</v>
      </c>
      <c r="I39" s="100"/>
      <c r="J39" s="30">
        <f>COUNTIF(J2:J37,"Tidak Sesuai")</f>
        <v>5</v>
      </c>
    </row>
    <row r="40" spans="1:19" x14ac:dyDescent="0.3">
      <c r="A40" s="86" t="s">
        <v>519</v>
      </c>
      <c r="B40" s="87"/>
      <c r="C40" s="87"/>
      <c r="D40" s="87"/>
      <c r="E40" s="87"/>
      <c r="F40" s="87"/>
      <c r="G40" s="87"/>
      <c r="H40" s="87"/>
      <c r="I40" s="88"/>
      <c r="J40" s="24">
        <f>SUM(J38:J39)</f>
        <v>36</v>
      </c>
    </row>
  </sheetData>
  <mergeCells count="32">
    <mergeCell ref="Q21:R21"/>
    <mergeCell ref="N2:U2"/>
    <mergeCell ref="N3:N4"/>
    <mergeCell ref="O3:T3"/>
    <mergeCell ref="U3:U4"/>
    <mergeCell ref="N13:Q13"/>
    <mergeCell ref="R13:R14"/>
    <mergeCell ref="N14:Q14"/>
    <mergeCell ref="N16:S16"/>
    <mergeCell ref="N17:S17"/>
    <mergeCell ref="Q18:R18"/>
    <mergeCell ref="Q19:R19"/>
    <mergeCell ref="Q20:R20"/>
    <mergeCell ref="Q34:R34"/>
    <mergeCell ref="Q22:R22"/>
    <mergeCell ref="Q23:R23"/>
    <mergeCell ref="Q24:R24"/>
    <mergeCell ref="N25:R25"/>
    <mergeCell ref="N27:S27"/>
    <mergeCell ref="N28:S28"/>
    <mergeCell ref="Q29:R29"/>
    <mergeCell ref="Q30:R30"/>
    <mergeCell ref="Q31:R31"/>
    <mergeCell ref="Q32:R32"/>
    <mergeCell ref="Q33:R33"/>
    <mergeCell ref="A40:I40"/>
    <mergeCell ref="Q35:R35"/>
    <mergeCell ref="N36:R36"/>
    <mergeCell ref="N38:R38"/>
    <mergeCell ref="A38:G39"/>
    <mergeCell ref="H38:I38"/>
    <mergeCell ref="H39:I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F3A8-9DAA-4734-BCDE-0B8962EA2D0E}">
  <dimension ref="A1:AN131"/>
  <sheetViews>
    <sheetView workbookViewId="0">
      <pane ySplit="1" topLeftCell="A77" activePane="bottomLeft" state="frozen"/>
      <selection activeCell="S1" sqref="S1"/>
      <selection pane="bottomLeft" activeCell="Y118" sqref="Y118"/>
    </sheetView>
  </sheetViews>
  <sheetFormatPr defaultRowHeight="14.4" x14ac:dyDescent="0.3"/>
  <cols>
    <col min="2" max="2" width="21.5546875" bestFit="1" customWidth="1"/>
    <col min="4" max="4" width="18" bestFit="1" customWidth="1"/>
  </cols>
  <sheetData>
    <row r="1" spans="1:40" x14ac:dyDescent="0.3">
      <c r="A1" s="56" t="s">
        <v>288</v>
      </c>
      <c r="B1" s="56" t="s">
        <v>0</v>
      </c>
      <c r="C1" s="56" t="s">
        <v>536</v>
      </c>
      <c r="D1" s="56" t="s">
        <v>64</v>
      </c>
      <c r="E1" s="56" t="s">
        <v>43</v>
      </c>
      <c r="F1" s="56" t="s">
        <v>44</v>
      </c>
      <c r="G1" s="56" t="s">
        <v>45</v>
      </c>
      <c r="H1" s="56" t="s">
        <v>46</v>
      </c>
      <c r="I1" s="56" t="s">
        <v>47</v>
      </c>
      <c r="J1" s="56" t="s">
        <v>48</v>
      </c>
      <c r="K1" s="56" t="s">
        <v>49</v>
      </c>
      <c r="L1" s="56" t="s">
        <v>50</v>
      </c>
      <c r="M1" s="56" t="s">
        <v>51</v>
      </c>
      <c r="N1" s="56" t="s">
        <v>52</v>
      </c>
      <c r="O1" s="56" t="s">
        <v>53</v>
      </c>
      <c r="P1" s="56" t="s">
        <v>54</v>
      </c>
      <c r="Q1" s="56" t="s">
        <v>55</v>
      </c>
      <c r="R1" s="56" t="s">
        <v>56</v>
      </c>
      <c r="S1" s="56" t="s">
        <v>57</v>
      </c>
      <c r="T1" s="56" t="s">
        <v>58</v>
      </c>
      <c r="U1" s="56" t="s">
        <v>59</v>
      </c>
      <c r="V1" s="56" t="s">
        <v>60</v>
      </c>
      <c r="W1" s="56" t="s">
        <v>61</v>
      </c>
      <c r="X1" s="56" t="s">
        <v>62</v>
      </c>
      <c r="Y1" s="56" t="s">
        <v>63</v>
      </c>
      <c r="Z1" s="56" t="s">
        <v>330</v>
      </c>
      <c r="AA1" s="56" t="s">
        <v>331</v>
      </c>
      <c r="AB1" s="56" t="s">
        <v>332</v>
      </c>
      <c r="AC1" s="56" t="s">
        <v>333</v>
      </c>
      <c r="AD1" s="56" t="s">
        <v>334</v>
      </c>
      <c r="AE1" s="56" t="s">
        <v>335</v>
      </c>
      <c r="AF1" s="56" t="s">
        <v>336</v>
      </c>
      <c r="AG1" s="56" t="s">
        <v>337</v>
      </c>
      <c r="AH1" s="56" t="s">
        <v>338</v>
      </c>
      <c r="AI1" s="56" t="s">
        <v>339</v>
      </c>
      <c r="AJ1" s="56" t="s">
        <v>340</v>
      </c>
      <c r="AK1" s="56" t="s">
        <v>341</v>
      </c>
      <c r="AL1" s="56" t="s">
        <v>342</v>
      </c>
      <c r="AM1" s="56" t="s">
        <v>343</v>
      </c>
      <c r="AN1" s="56" t="s">
        <v>390</v>
      </c>
    </row>
    <row r="2" spans="1:40" x14ac:dyDescent="0.3">
      <c r="A2" s="119">
        <f t="shared" ref="A2:A65" si="0">ROW()-1</f>
        <v>1</v>
      </c>
      <c r="B2" s="119" t="s">
        <v>1</v>
      </c>
      <c r="C2" s="119" t="s">
        <v>537</v>
      </c>
      <c r="D2" s="119">
        <v>1</v>
      </c>
      <c r="E2" s="119" t="s">
        <v>2</v>
      </c>
      <c r="F2" s="119" t="s">
        <v>3</v>
      </c>
      <c r="G2" s="119" t="s">
        <v>4</v>
      </c>
      <c r="H2" s="119" t="s">
        <v>5</v>
      </c>
      <c r="I2" s="119" t="s">
        <v>5</v>
      </c>
      <c r="J2" s="119" t="s">
        <v>5</v>
      </c>
      <c r="K2" s="119" t="s">
        <v>2</v>
      </c>
      <c r="L2" s="119" t="s">
        <v>2</v>
      </c>
      <c r="M2" s="119" t="s">
        <v>3</v>
      </c>
      <c r="N2" s="119" t="s">
        <v>2</v>
      </c>
      <c r="O2" s="119" t="s">
        <v>4</v>
      </c>
      <c r="P2" s="119" t="s">
        <v>2</v>
      </c>
      <c r="Q2" s="119" t="s">
        <v>5</v>
      </c>
      <c r="R2" s="119" t="s">
        <v>3</v>
      </c>
      <c r="S2" s="119" t="s">
        <v>3</v>
      </c>
      <c r="T2" s="119" t="s">
        <v>5</v>
      </c>
      <c r="U2" s="119" t="s">
        <v>5</v>
      </c>
      <c r="V2" s="119" t="s">
        <v>5</v>
      </c>
      <c r="W2" s="119" t="s">
        <v>2</v>
      </c>
      <c r="X2" s="119" t="s">
        <v>4</v>
      </c>
      <c r="Y2" s="119" t="s">
        <v>3</v>
      </c>
      <c r="Z2" s="119" t="s">
        <v>4</v>
      </c>
      <c r="AA2" s="119" t="s">
        <v>4</v>
      </c>
      <c r="AB2" s="119" t="s">
        <v>4</v>
      </c>
      <c r="AC2" s="119" t="s">
        <v>4</v>
      </c>
      <c r="AD2" s="119" t="s">
        <v>4</v>
      </c>
      <c r="AE2" s="119" t="s">
        <v>4</v>
      </c>
      <c r="AF2" s="119" t="s">
        <v>4</v>
      </c>
      <c r="AG2" s="119" t="s">
        <v>3</v>
      </c>
      <c r="AH2" s="119" t="s">
        <v>4</v>
      </c>
      <c r="AI2" s="119" t="s">
        <v>4</v>
      </c>
      <c r="AJ2" s="119" t="s">
        <v>3</v>
      </c>
      <c r="AK2" s="119" t="s">
        <v>4</v>
      </c>
      <c r="AL2" s="119" t="s">
        <v>4</v>
      </c>
      <c r="AM2" s="119" t="s">
        <v>4</v>
      </c>
      <c r="AN2" s="119" t="s">
        <v>3</v>
      </c>
    </row>
    <row r="3" spans="1:40" x14ac:dyDescent="0.3">
      <c r="A3" s="119">
        <f t="shared" si="0"/>
        <v>2</v>
      </c>
      <c r="B3" s="119" t="s">
        <v>6</v>
      </c>
      <c r="C3" s="119" t="s">
        <v>537</v>
      </c>
      <c r="D3" s="119">
        <v>1</v>
      </c>
      <c r="E3" s="119" t="s">
        <v>5</v>
      </c>
      <c r="F3" s="119" t="s">
        <v>3</v>
      </c>
      <c r="G3" s="119" t="s">
        <v>2</v>
      </c>
      <c r="H3" s="119" t="s">
        <v>3</v>
      </c>
      <c r="I3" s="119" t="s">
        <v>5</v>
      </c>
      <c r="J3" s="119" t="s">
        <v>3</v>
      </c>
      <c r="K3" s="119" t="s">
        <v>5</v>
      </c>
      <c r="L3" s="119" t="s">
        <v>2</v>
      </c>
      <c r="M3" s="119" t="s">
        <v>2</v>
      </c>
      <c r="N3" s="119" t="s">
        <v>3</v>
      </c>
      <c r="O3" s="119" t="s">
        <v>3</v>
      </c>
      <c r="P3" s="119" t="s">
        <v>4</v>
      </c>
      <c r="Q3" s="119" t="s">
        <v>2</v>
      </c>
      <c r="R3" s="119" t="s">
        <v>3</v>
      </c>
      <c r="S3" s="119" t="s">
        <v>4</v>
      </c>
      <c r="T3" s="119" t="s">
        <v>5</v>
      </c>
      <c r="U3" s="119" t="s">
        <v>5</v>
      </c>
      <c r="V3" s="119" t="s">
        <v>5</v>
      </c>
      <c r="W3" s="119" t="s">
        <v>4</v>
      </c>
      <c r="X3" s="119" t="s">
        <v>4</v>
      </c>
      <c r="Y3" s="119" t="s">
        <v>4</v>
      </c>
      <c r="Z3" s="119" t="s">
        <v>5</v>
      </c>
      <c r="AA3" s="119" t="s">
        <v>3</v>
      </c>
      <c r="AB3" s="119" t="s">
        <v>4</v>
      </c>
      <c r="AC3" s="119" t="s">
        <v>4</v>
      </c>
      <c r="AD3" s="119" t="s">
        <v>4</v>
      </c>
      <c r="AE3" s="119" t="s">
        <v>4</v>
      </c>
      <c r="AF3" s="119" t="s">
        <v>4</v>
      </c>
      <c r="AG3" s="119" t="s">
        <v>4</v>
      </c>
      <c r="AH3" s="119" t="s">
        <v>3</v>
      </c>
      <c r="AI3" s="119" t="s">
        <v>4</v>
      </c>
      <c r="AJ3" s="119" t="s">
        <v>3</v>
      </c>
      <c r="AK3" s="119" t="s">
        <v>4</v>
      </c>
      <c r="AL3" s="119" t="s">
        <v>4</v>
      </c>
      <c r="AM3" s="119" t="s">
        <v>4</v>
      </c>
      <c r="AN3" s="119" t="s">
        <v>3</v>
      </c>
    </row>
    <row r="4" spans="1:40" x14ac:dyDescent="0.3">
      <c r="A4" s="119">
        <f t="shared" si="0"/>
        <v>3</v>
      </c>
      <c r="B4" s="119" t="s">
        <v>7</v>
      </c>
      <c r="C4" s="119" t="s">
        <v>537</v>
      </c>
      <c r="D4" s="119">
        <v>1</v>
      </c>
      <c r="E4" s="119" t="s">
        <v>2</v>
      </c>
      <c r="F4" s="119" t="s">
        <v>3</v>
      </c>
      <c r="G4" s="119" t="s">
        <v>4</v>
      </c>
      <c r="H4" s="119" t="s">
        <v>5</v>
      </c>
      <c r="I4" s="119" t="s">
        <v>5</v>
      </c>
      <c r="J4" s="119" t="s">
        <v>5</v>
      </c>
      <c r="K4" s="119" t="s">
        <v>5</v>
      </c>
      <c r="L4" s="119" t="s">
        <v>2</v>
      </c>
      <c r="M4" s="119" t="s">
        <v>3</v>
      </c>
      <c r="N4" s="119" t="s">
        <v>3</v>
      </c>
      <c r="O4" s="119" t="s">
        <v>4</v>
      </c>
      <c r="P4" s="119" t="s">
        <v>3</v>
      </c>
      <c r="Q4" s="119" t="s">
        <v>5</v>
      </c>
      <c r="R4" s="119" t="s">
        <v>3</v>
      </c>
      <c r="S4" s="119" t="s">
        <v>3</v>
      </c>
      <c r="T4" s="119" t="s">
        <v>5</v>
      </c>
      <c r="U4" s="119" t="s">
        <v>5</v>
      </c>
      <c r="V4" s="119" t="s">
        <v>5</v>
      </c>
      <c r="W4" s="119" t="s">
        <v>2</v>
      </c>
      <c r="X4" s="119" t="s">
        <v>4</v>
      </c>
      <c r="Y4" s="119" t="s">
        <v>3</v>
      </c>
      <c r="Z4" s="119" t="s">
        <v>2</v>
      </c>
      <c r="AA4" s="119" t="s">
        <v>3</v>
      </c>
      <c r="AB4" s="119" t="s">
        <v>4</v>
      </c>
      <c r="AC4" s="119" t="s">
        <v>4</v>
      </c>
      <c r="AD4" s="119" t="s">
        <v>4</v>
      </c>
      <c r="AE4" s="119" t="s">
        <v>4</v>
      </c>
      <c r="AF4" s="119" t="s">
        <v>4</v>
      </c>
      <c r="AG4" s="119" t="s">
        <v>4</v>
      </c>
      <c r="AH4" s="119" t="s">
        <v>4</v>
      </c>
      <c r="AI4" s="119" t="s">
        <v>4</v>
      </c>
      <c r="AJ4" s="119" t="s">
        <v>4</v>
      </c>
      <c r="AK4" s="119" t="s">
        <v>4</v>
      </c>
      <c r="AL4" s="119" t="s">
        <v>4</v>
      </c>
      <c r="AM4" s="119" t="s">
        <v>3</v>
      </c>
      <c r="AN4" s="119" t="s">
        <v>3</v>
      </c>
    </row>
    <row r="5" spans="1:40" x14ac:dyDescent="0.3">
      <c r="A5" s="119">
        <f t="shared" si="0"/>
        <v>4</v>
      </c>
      <c r="B5" s="119" t="s">
        <v>8</v>
      </c>
      <c r="C5" s="119" t="s">
        <v>537</v>
      </c>
      <c r="D5" s="119">
        <v>1</v>
      </c>
      <c r="E5" s="119" t="s">
        <v>5</v>
      </c>
      <c r="F5" s="119" t="s">
        <v>2</v>
      </c>
      <c r="G5" s="119" t="s">
        <v>2</v>
      </c>
      <c r="H5" s="119" t="s">
        <v>3</v>
      </c>
      <c r="I5" s="119" t="s">
        <v>5</v>
      </c>
      <c r="J5" s="119" t="s">
        <v>5</v>
      </c>
      <c r="K5" s="119" t="s">
        <v>5</v>
      </c>
      <c r="L5" s="119" t="s">
        <v>2</v>
      </c>
      <c r="M5" s="119" t="s">
        <v>3</v>
      </c>
      <c r="N5" s="119" t="s">
        <v>3</v>
      </c>
      <c r="O5" s="119" t="s">
        <v>4</v>
      </c>
      <c r="P5" s="119" t="s">
        <v>2</v>
      </c>
      <c r="Q5" s="119" t="s">
        <v>5</v>
      </c>
      <c r="R5" s="119" t="s">
        <v>3</v>
      </c>
      <c r="S5" s="119" t="s">
        <v>2</v>
      </c>
      <c r="T5" s="119" t="s">
        <v>5</v>
      </c>
      <c r="U5" s="119" t="s">
        <v>2</v>
      </c>
      <c r="V5" s="119" t="s">
        <v>2</v>
      </c>
      <c r="W5" s="119" t="s">
        <v>3</v>
      </c>
      <c r="X5" s="119" t="s">
        <v>4</v>
      </c>
      <c r="Y5" s="119" t="s">
        <v>3</v>
      </c>
      <c r="Z5" s="119" t="s">
        <v>3</v>
      </c>
      <c r="AA5" s="119" t="s">
        <v>3</v>
      </c>
      <c r="AB5" s="119" t="s">
        <v>4</v>
      </c>
      <c r="AC5" s="119" t="s">
        <v>4</v>
      </c>
      <c r="AD5" s="119" t="s">
        <v>4</v>
      </c>
      <c r="AE5" s="119" t="s">
        <v>4</v>
      </c>
      <c r="AF5" s="119" t="s">
        <v>4</v>
      </c>
      <c r="AG5" s="119" t="s">
        <v>4</v>
      </c>
      <c r="AH5" s="119" t="s">
        <v>3</v>
      </c>
      <c r="AI5" s="119" t="s">
        <v>4</v>
      </c>
      <c r="AJ5" s="119" t="s">
        <v>3</v>
      </c>
      <c r="AK5" s="119" t="s">
        <v>4</v>
      </c>
      <c r="AL5" s="119" t="s">
        <v>4</v>
      </c>
      <c r="AM5" s="119" t="s">
        <v>4</v>
      </c>
      <c r="AN5" s="119" t="s">
        <v>3</v>
      </c>
    </row>
    <row r="6" spans="1:40" x14ac:dyDescent="0.3">
      <c r="A6" s="119">
        <f t="shared" si="0"/>
        <v>5</v>
      </c>
      <c r="B6" s="119" t="s">
        <v>9</v>
      </c>
      <c r="C6" s="119" t="s">
        <v>537</v>
      </c>
      <c r="D6" s="119">
        <v>1</v>
      </c>
      <c r="E6" s="119" t="s">
        <v>2</v>
      </c>
      <c r="F6" s="119" t="s">
        <v>3</v>
      </c>
      <c r="G6" s="119" t="s">
        <v>3</v>
      </c>
      <c r="H6" s="119" t="s">
        <v>5</v>
      </c>
      <c r="I6" s="119" t="s">
        <v>5</v>
      </c>
      <c r="J6" s="119" t="s">
        <v>3</v>
      </c>
      <c r="K6" s="119" t="s">
        <v>2</v>
      </c>
      <c r="L6" s="119" t="s">
        <v>2</v>
      </c>
      <c r="M6" s="119" t="s">
        <v>2</v>
      </c>
      <c r="N6" s="119" t="s">
        <v>3</v>
      </c>
      <c r="O6" s="119" t="s">
        <v>4</v>
      </c>
      <c r="P6" s="119" t="s">
        <v>5</v>
      </c>
      <c r="Q6" s="119" t="s">
        <v>5</v>
      </c>
      <c r="R6" s="119" t="s">
        <v>3</v>
      </c>
      <c r="S6" s="119" t="s">
        <v>3</v>
      </c>
      <c r="T6" s="119" t="s">
        <v>5</v>
      </c>
      <c r="U6" s="119" t="s">
        <v>5</v>
      </c>
      <c r="V6" s="119" t="s">
        <v>5</v>
      </c>
      <c r="W6" s="119" t="s">
        <v>5</v>
      </c>
      <c r="X6" s="119" t="s">
        <v>4</v>
      </c>
      <c r="Y6" s="119" t="s">
        <v>3</v>
      </c>
      <c r="Z6" s="119" t="s">
        <v>2</v>
      </c>
      <c r="AA6" s="119" t="s">
        <v>3</v>
      </c>
      <c r="AB6" s="119" t="s">
        <v>4</v>
      </c>
      <c r="AC6" s="119" t="s">
        <v>4</v>
      </c>
      <c r="AD6" s="119" t="s">
        <v>4</v>
      </c>
      <c r="AE6" s="119" t="s">
        <v>4</v>
      </c>
      <c r="AF6" s="119" t="s">
        <v>4</v>
      </c>
      <c r="AG6" s="119" t="s">
        <v>3</v>
      </c>
      <c r="AH6" s="119" t="s">
        <v>3</v>
      </c>
      <c r="AI6" s="119" t="s">
        <v>4</v>
      </c>
      <c r="AJ6" s="119" t="s">
        <v>4</v>
      </c>
      <c r="AK6" s="119" t="s">
        <v>4</v>
      </c>
      <c r="AL6" s="119" t="s">
        <v>4</v>
      </c>
      <c r="AM6" s="119" t="s">
        <v>4</v>
      </c>
      <c r="AN6" s="119" t="s">
        <v>3</v>
      </c>
    </row>
    <row r="7" spans="1:40" x14ac:dyDescent="0.3">
      <c r="A7" s="119">
        <f t="shared" si="0"/>
        <v>6</v>
      </c>
      <c r="B7" s="119" t="s">
        <v>10</v>
      </c>
      <c r="C7" s="119" t="s">
        <v>537</v>
      </c>
      <c r="D7" s="119">
        <v>1</v>
      </c>
      <c r="E7" s="119" t="s">
        <v>3</v>
      </c>
      <c r="F7" s="119" t="s">
        <v>3</v>
      </c>
      <c r="G7" s="119" t="s">
        <v>2</v>
      </c>
      <c r="H7" s="119" t="s">
        <v>5</v>
      </c>
      <c r="I7" s="119" t="s">
        <v>5</v>
      </c>
      <c r="J7" s="119" t="s">
        <v>3</v>
      </c>
      <c r="K7" s="119" t="s">
        <v>5</v>
      </c>
      <c r="L7" s="119" t="s">
        <v>2</v>
      </c>
      <c r="M7" s="119" t="s">
        <v>2</v>
      </c>
      <c r="N7" s="119" t="s">
        <v>2</v>
      </c>
      <c r="O7" s="119" t="s">
        <v>3</v>
      </c>
      <c r="P7" s="119" t="s">
        <v>3</v>
      </c>
      <c r="Q7" s="119" t="s">
        <v>5</v>
      </c>
      <c r="R7" s="119" t="s">
        <v>3</v>
      </c>
      <c r="S7" s="119" t="s">
        <v>3</v>
      </c>
      <c r="T7" s="119" t="s">
        <v>5</v>
      </c>
      <c r="U7" s="119" t="s">
        <v>5</v>
      </c>
      <c r="V7" s="119" t="s">
        <v>5</v>
      </c>
      <c r="W7" s="119" t="s">
        <v>5</v>
      </c>
      <c r="X7" s="119" t="s">
        <v>4</v>
      </c>
      <c r="Y7" s="119" t="s">
        <v>3</v>
      </c>
      <c r="Z7" s="119" t="s">
        <v>2</v>
      </c>
      <c r="AA7" s="119" t="s">
        <v>3</v>
      </c>
      <c r="AB7" s="119" t="s">
        <v>4</v>
      </c>
      <c r="AC7" s="119" t="s">
        <v>4</v>
      </c>
      <c r="AD7" s="119" t="s">
        <v>4</v>
      </c>
      <c r="AE7" s="119" t="s">
        <v>4</v>
      </c>
      <c r="AF7" s="119" t="s">
        <v>4</v>
      </c>
      <c r="AG7" s="119" t="s">
        <v>4</v>
      </c>
      <c r="AH7" s="119" t="s">
        <v>3</v>
      </c>
      <c r="AI7" s="119" t="s">
        <v>4</v>
      </c>
      <c r="AJ7" s="119" t="s">
        <v>3</v>
      </c>
      <c r="AK7" s="119" t="s">
        <v>4</v>
      </c>
      <c r="AL7" s="119" t="s">
        <v>4</v>
      </c>
      <c r="AM7" s="119" t="s">
        <v>4</v>
      </c>
      <c r="AN7" s="119" t="s">
        <v>3</v>
      </c>
    </row>
    <row r="8" spans="1:40" x14ac:dyDescent="0.3">
      <c r="A8" s="119">
        <f t="shared" si="0"/>
        <v>7</v>
      </c>
      <c r="B8" s="119" t="s">
        <v>255</v>
      </c>
      <c r="C8" s="119" t="s">
        <v>537</v>
      </c>
      <c r="D8" s="119">
        <v>1</v>
      </c>
      <c r="E8" s="119" t="s">
        <v>3</v>
      </c>
      <c r="F8" s="119" t="s">
        <v>3</v>
      </c>
      <c r="G8" s="119" t="s">
        <v>4</v>
      </c>
      <c r="H8" s="119" t="s">
        <v>3</v>
      </c>
      <c r="I8" s="119" t="s">
        <v>5</v>
      </c>
      <c r="J8" s="119" t="s">
        <v>5</v>
      </c>
      <c r="K8" s="119" t="s">
        <v>2</v>
      </c>
      <c r="L8" s="119" t="s">
        <v>2</v>
      </c>
      <c r="M8" s="119" t="s">
        <v>3</v>
      </c>
      <c r="N8" s="119" t="s">
        <v>3</v>
      </c>
      <c r="O8" s="119" t="s">
        <v>4</v>
      </c>
      <c r="P8" s="119" t="s">
        <v>5</v>
      </c>
      <c r="Q8" s="119" t="s">
        <v>5</v>
      </c>
      <c r="R8" s="119" t="s">
        <v>3</v>
      </c>
      <c r="S8" s="119" t="s">
        <v>2</v>
      </c>
      <c r="T8" s="119" t="s">
        <v>2</v>
      </c>
      <c r="U8" s="119" t="s">
        <v>2</v>
      </c>
      <c r="V8" s="119" t="s">
        <v>2</v>
      </c>
      <c r="W8" s="119" t="s">
        <v>5</v>
      </c>
      <c r="X8" s="119" t="s">
        <v>4</v>
      </c>
      <c r="Y8" s="119" t="s">
        <v>4</v>
      </c>
      <c r="Z8" s="119" t="s">
        <v>4</v>
      </c>
      <c r="AA8" s="119" t="s">
        <v>3</v>
      </c>
      <c r="AB8" s="119" t="s">
        <v>4</v>
      </c>
      <c r="AC8" s="119" t="s">
        <v>4</v>
      </c>
      <c r="AD8" s="119" t="s">
        <v>4</v>
      </c>
      <c r="AE8" s="119" t="s">
        <v>4</v>
      </c>
      <c r="AF8" s="119" t="s">
        <v>4</v>
      </c>
      <c r="AG8" s="119" t="s">
        <v>4</v>
      </c>
      <c r="AH8" s="119" t="s">
        <v>3</v>
      </c>
      <c r="AI8" s="119" t="s">
        <v>4</v>
      </c>
      <c r="AJ8" s="119" t="s">
        <v>3</v>
      </c>
      <c r="AK8" s="119" t="s">
        <v>4</v>
      </c>
      <c r="AL8" s="119" t="s">
        <v>4</v>
      </c>
      <c r="AM8" s="119" t="s">
        <v>3</v>
      </c>
      <c r="AN8" s="119" t="s">
        <v>3</v>
      </c>
    </row>
    <row r="9" spans="1:40" x14ac:dyDescent="0.3">
      <c r="A9" s="119">
        <f t="shared" si="0"/>
        <v>8</v>
      </c>
      <c r="B9" s="119" t="s">
        <v>317</v>
      </c>
      <c r="C9" s="119" t="s">
        <v>537</v>
      </c>
      <c r="D9" s="119">
        <v>1</v>
      </c>
      <c r="E9" s="119" t="s">
        <v>4</v>
      </c>
      <c r="F9" s="119" t="s">
        <v>5</v>
      </c>
      <c r="G9" s="119" t="s">
        <v>3</v>
      </c>
      <c r="H9" s="119" t="s">
        <v>5</v>
      </c>
      <c r="I9" s="119" t="s">
        <v>5</v>
      </c>
      <c r="J9" s="119" t="s">
        <v>5</v>
      </c>
      <c r="K9" s="119" t="s">
        <v>2</v>
      </c>
      <c r="L9" s="119" t="s">
        <v>2</v>
      </c>
      <c r="M9" s="119" t="s">
        <v>2</v>
      </c>
      <c r="N9" s="119" t="s">
        <v>2</v>
      </c>
      <c r="O9" s="119" t="s">
        <v>3</v>
      </c>
      <c r="P9" s="119" t="s">
        <v>5</v>
      </c>
      <c r="Q9" s="119" t="s">
        <v>5</v>
      </c>
      <c r="R9" s="119" t="s">
        <v>3</v>
      </c>
      <c r="S9" s="119" t="s">
        <v>3</v>
      </c>
      <c r="T9" s="119" t="s">
        <v>5</v>
      </c>
      <c r="U9" s="119" t="s">
        <v>5</v>
      </c>
      <c r="V9" s="119" t="s">
        <v>5</v>
      </c>
      <c r="W9" s="119" t="s">
        <v>2</v>
      </c>
      <c r="X9" s="119" t="s">
        <v>4</v>
      </c>
      <c r="Y9" s="119" t="s">
        <v>4</v>
      </c>
      <c r="Z9" s="119" t="s">
        <v>2</v>
      </c>
      <c r="AA9" s="119" t="s">
        <v>4</v>
      </c>
      <c r="AB9" s="119" t="s">
        <v>4</v>
      </c>
      <c r="AC9" s="119" t="s">
        <v>4</v>
      </c>
      <c r="AD9" s="119" t="s">
        <v>4</v>
      </c>
      <c r="AE9" s="119" t="s">
        <v>4</v>
      </c>
      <c r="AF9" s="119" t="s">
        <v>4</v>
      </c>
      <c r="AG9" s="119" t="s">
        <v>4</v>
      </c>
      <c r="AH9" s="119" t="s">
        <v>3</v>
      </c>
      <c r="AI9" s="119" t="s">
        <v>4</v>
      </c>
      <c r="AJ9" s="119" t="s">
        <v>3</v>
      </c>
      <c r="AK9" s="119" t="s">
        <v>4</v>
      </c>
      <c r="AL9" s="119" t="s">
        <v>4</v>
      </c>
      <c r="AM9" s="119" t="s">
        <v>4</v>
      </c>
      <c r="AN9" s="119" t="s">
        <v>3</v>
      </c>
    </row>
    <row r="10" spans="1:40" x14ac:dyDescent="0.3">
      <c r="A10" s="119">
        <f t="shared" si="0"/>
        <v>9</v>
      </c>
      <c r="B10" s="119" t="s">
        <v>313</v>
      </c>
      <c r="C10" s="119" t="s">
        <v>537</v>
      </c>
      <c r="D10" s="119">
        <v>1</v>
      </c>
      <c r="E10" s="119" t="s">
        <v>2</v>
      </c>
      <c r="F10" s="119" t="s">
        <v>3</v>
      </c>
      <c r="G10" s="119" t="s">
        <v>4</v>
      </c>
      <c r="H10" s="119" t="s">
        <v>5</v>
      </c>
      <c r="I10" s="119" t="s">
        <v>5</v>
      </c>
      <c r="J10" s="119" t="s">
        <v>5</v>
      </c>
      <c r="K10" s="119" t="s">
        <v>5</v>
      </c>
      <c r="L10" s="119" t="s">
        <v>2</v>
      </c>
      <c r="M10" s="119" t="s">
        <v>3</v>
      </c>
      <c r="N10" s="119" t="s">
        <v>3</v>
      </c>
      <c r="O10" s="119" t="s">
        <v>4</v>
      </c>
      <c r="P10" s="119" t="s">
        <v>3</v>
      </c>
      <c r="Q10" s="119" t="s">
        <v>5</v>
      </c>
      <c r="R10" s="119" t="s">
        <v>3</v>
      </c>
      <c r="S10" s="119" t="s">
        <v>3</v>
      </c>
      <c r="T10" s="119" t="s">
        <v>5</v>
      </c>
      <c r="U10" s="119" t="s">
        <v>5</v>
      </c>
      <c r="V10" s="119" t="s">
        <v>5</v>
      </c>
      <c r="W10" s="119" t="s">
        <v>2</v>
      </c>
      <c r="X10" s="119" t="s">
        <v>4</v>
      </c>
      <c r="Y10" s="119" t="s">
        <v>3</v>
      </c>
      <c r="Z10" s="119" t="s">
        <v>2</v>
      </c>
      <c r="AA10" s="119" t="s">
        <v>3</v>
      </c>
      <c r="AB10" s="119" t="s">
        <v>4</v>
      </c>
      <c r="AC10" s="119" t="s">
        <v>4</v>
      </c>
      <c r="AD10" s="119" t="s">
        <v>4</v>
      </c>
      <c r="AE10" s="119" t="s">
        <v>4</v>
      </c>
      <c r="AF10" s="119" t="s">
        <v>4</v>
      </c>
      <c r="AG10" s="119" t="s">
        <v>4</v>
      </c>
      <c r="AH10" s="119" t="s">
        <v>4</v>
      </c>
      <c r="AI10" s="119" t="s">
        <v>4</v>
      </c>
      <c r="AJ10" s="119" t="s">
        <v>4</v>
      </c>
      <c r="AK10" s="119" t="s">
        <v>4</v>
      </c>
      <c r="AL10" s="119" t="s">
        <v>4</v>
      </c>
      <c r="AM10" s="119" t="s">
        <v>3</v>
      </c>
      <c r="AN10" s="119" t="s">
        <v>3</v>
      </c>
    </row>
    <row r="11" spans="1:40" x14ac:dyDescent="0.3">
      <c r="A11" s="119">
        <f t="shared" si="0"/>
        <v>10</v>
      </c>
      <c r="B11" s="119" t="s">
        <v>316</v>
      </c>
      <c r="C11" s="119" t="s">
        <v>537</v>
      </c>
      <c r="D11" s="119">
        <v>1</v>
      </c>
      <c r="E11" s="119" t="s">
        <v>2</v>
      </c>
      <c r="F11" s="119" t="s">
        <v>5</v>
      </c>
      <c r="G11" s="119" t="s">
        <v>3</v>
      </c>
      <c r="H11" s="119" t="s">
        <v>5</v>
      </c>
      <c r="I11" s="119" t="s">
        <v>5</v>
      </c>
      <c r="J11" s="119" t="s">
        <v>3</v>
      </c>
      <c r="K11" s="119" t="s">
        <v>2</v>
      </c>
      <c r="L11" s="119" t="s">
        <v>2</v>
      </c>
      <c r="M11" s="119" t="s">
        <v>2</v>
      </c>
      <c r="N11" s="119" t="s">
        <v>3</v>
      </c>
      <c r="O11" s="119" t="s">
        <v>4</v>
      </c>
      <c r="P11" s="119" t="s">
        <v>5</v>
      </c>
      <c r="Q11" s="119" t="s">
        <v>5</v>
      </c>
      <c r="R11" s="119" t="s">
        <v>3</v>
      </c>
      <c r="S11" s="119" t="s">
        <v>3</v>
      </c>
      <c r="T11" s="119" t="s">
        <v>5</v>
      </c>
      <c r="U11" s="119" t="s">
        <v>5</v>
      </c>
      <c r="V11" s="119" t="s">
        <v>5</v>
      </c>
      <c r="W11" s="119" t="s">
        <v>5</v>
      </c>
      <c r="X11" s="119" t="s">
        <v>4</v>
      </c>
      <c r="Y11" s="119" t="s">
        <v>3</v>
      </c>
      <c r="Z11" s="119" t="s">
        <v>2</v>
      </c>
      <c r="AA11" s="119" t="s">
        <v>3</v>
      </c>
      <c r="AB11" s="119" t="s">
        <v>4</v>
      </c>
      <c r="AC11" s="119" t="s">
        <v>4</v>
      </c>
      <c r="AD11" s="119" t="s">
        <v>4</v>
      </c>
      <c r="AE11" s="119" t="s">
        <v>4</v>
      </c>
      <c r="AF11" s="119" t="s">
        <v>4</v>
      </c>
      <c r="AG11" s="119" t="s">
        <v>3</v>
      </c>
      <c r="AH11" s="119" t="s">
        <v>3</v>
      </c>
      <c r="AI11" s="119" t="s">
        <v>4</v>
      </c>
      <c r="AJ11" s="119" t="s">
        <v>4</v>
      </c>
      <c r="AK11" s="119" t="s">
        <v>4</v>
      </c>
      <c r="AL11" s="119" t="s">
        <v>4</v>
      </c>
      <c r="AM11" s="119" t="s">
        <v>4</v>
      </c>
      <c r="AN11" s="119" t="s">
        <v>3</v>
      </c>
    </row>
    <row r="12" spans="1:40" x14ac:dyDescent="0.3">
      <c r="A12" s="119">
        <f t="shared" si="0"/>
        <v>11</v>
      </c>
      <c r="B12" s="119" t="s">
        <v>484</v>
      </c>
      <c r="C12" s="119" t="s">
        <v>537</v>
      </c>
      <c r="D12" s="119">
        <v>1</v>
      </c>
      <c r="E12" s="119" t="s">
        <v>5</v>
      </c>
      <c r="F12" s="119" t="s">
        <v>3</v>
      </c>
      <c r="G12" s="119" t="s">
        <v>2</v>
      </c>
      <c r="H12" s="119" t="s">
        <v>3</v>
      </c>
      <c r="I12" s="119" t="s">
        <v>5</v>
      </c>
      <c r="J12" s="119" t="s">
        <v>5</v>
      </c>
      <c r="K12" s="119" t="s">
        <v>5</v>
      </c>
      <c r="L12" s="119" t="s">
        <v>2</v>
      </c>
      <c r="M12" s="119" t="s">
        <v>2</v>
      </c>
      <c r="N12" s="119" t="s">
        <v>2</v>
      </c>
      <c r="O12" s="119" t="s">
        <v>2</v>
      </c>
      <c r="P12" s="119" t="s">
        <v>5</v>
      </c>
      <c r="Q12" s="119" t="s">
        <v>5</v>
      </c>
      <c r="R12" s="119" t="s">
        <v>3</v>
      </c>
      <c r="S12" s="119" t="s">
        <v>3</v>
      </c>
      <c r="T12" s="119" t="s">
        <v>5</v>
      </c>
      <c r="U12" s="119" t="s">
        <v>5</v>
      </c>
      <c r="V12" s="119" t="s">
        <v>5</v>
      </c>
      <c r="W12" s="119" t="s">
        <v>5</v>
      </c>
      <c r="X12" s="119" t="s">
        <v>4</v>
      </c>
      <c r="Y12" s="119" t="s">
        <v>4</v>
      </c>
      <c r="Z12" s="119" t="s">
        <v>4</v>
      </c>
      <c r="AA12" s="119" t="s">
        <v>3</v>
      </c>
      <c r="AB12" s="119" t="s">
        <v>3</v>
      </c>
      <c r="AC12" s="119" t="s">
        <v>3</v>
      </c>
      <c r="AD12" s="119" t="s">
        <v>4</v>
      </c>
      <c r="AE12" s="119" t="s">
        <v>4</v>
      </c>
      <c r="AF12" s="119" t="s">
        <v>4</v>
      </c>
      <c r="AG12" s="119" t="s">
        <v>4</v>
      </c>
      <c r="AH12" s="119" t="s">
        <v>3</v>
      </c>
      <c r="AI12" s="119" t="s">
        <v>4</v>
      </c>
      <c r="AJ12" s="119" t="s">
        <v>3</v>
      </c>
      <c r="AK12" s="119" t="s">
        <v>3</v>
      </c>
      <c r="AL12" s="119" t="s">
        <v>4</v>
      </c>
      <c r="AM12" s="119" t="s">
        <v>4</v>
      </c>
      <c r="AN12" s="119" t="s">
        <v>3</v>
      </c>
    </row>
    <row r="13" spans="1:40" x14ac:dyDescent="0.3">
      <c r="A13" s="119">
        <f t="shared" si="0"/>
        <v>12</v>
      </c>
      <c r="B13" s="119" t="s">
        <v>460</v>
      </c>
      <c r="C13" s="119" t="s">
        <v>537</v>
      </c>
      <c r="D13" s="119">
        <v>1</v>
      </c>
      <c r="E13" s="119" t="s">
        <v>5</v>
      </c>
      <c r="F13" s="119" t="s">
        <v>3</v>
      </c>
      <c r="G13" s="119" t="s">
        <v>4</v>
      </c>
      <c r="H13" s="119" t="s">
        <v>3</v>
      </c>
      <c r="I13" s="119" t="s">
        <v>5</v>
      </c>
      <c r="J13" s="119" t="s">
        <v>5</v>
      </c>
      <c r="K13" s="119" t="s">
        <v>5</v>
      </c>
      <c r="L13" s="119" t="s">
        <v>2</v>
      </c>
      <c r="M13" s="119" t="s">
        <v>3</v>
      </c>
      <c r="N13" s="119" t="s">
        <v>3</v>
      </c>
      <c r="O13" s="119" t="s">
        <v>2</v>
      </c>
      <c r="P13" s="119" t="s">
        <v>4</v>
      </c>
      <c r="Q13" s="119" t="s">
        <v>5</v>
      </c>
      <c r="R13" s="119" t="s">
        <v>3</v>
      </c>
      <c r="S13" s="119" t="s">
        <v>2</v>
      </c>
      <c r="T13" s="119" t="s">
        <v>5</v>
      </c>
      <c r="U13" s="119" t="s">
        <v>5</v>
      </c>
      <c r="V13" s="119" t="s">
        <v>5</v>
      </c>
      <c r="W13" s="119" t="s">
        <v>5</v>
      </c>
      <c r="X13" s="119" t="s">
        <v>4</v>
      </c>
      <c r="Y13" s="119" t="s">
        <v>4</v>
      </c>
      <c r="Z13" s="119" t="s">
        <v>4</v>
      </c>
      <c r="AA13" s="119" t="s">
        <v>3</v>
      </c>
      <c r="AB13" s="119" t="s">
        <v>3</v>
      </c>
      <c r="AC13" s="119" t="s">
        <v>3</v>
      </c>
      <c r="AD13" s="119" t="s">
        <v>4</v>
      </c>
      <c r="AE13" s="119" t="s">
        <v>4</v>
      </c>
      <c r="AF13" s="119" t="s">
        <v>4</v>
      </c>
      <c r="AG13" s="119" t="s">
        <v>4</v>
      </c>
      <c r="AH13" s="119" t="s">
        <v>4</v>
      </c>
      <c r="AI13" s="119" t="s">
        <v>4</v>
      </c>
      <c r="AJ13" s="119" t="s">
        <v>4</v>
      </c>
      <c r="AK13" s="119" t="s">
        <v>4</v>
      </c>
      <c r="AL13" s="119" t="s">
        <v>4</v>
      </c>
      <c r="AM13" s="119" t="s">
        <v>4</v>
      </c>
      <c r="AN13" s="119" t="s">
        <v>3</v>
      </c>
    </row>
    <row r="14" spans="1:40" x14ac:dyDescent="0.3">
      <c r="A14" s="119">
        <f t="shared" si="0"/>
        <v>13</v>
      </c>
      <c r="B14" s="119" t="s">
        <v>483</v>
      </c>
      <c r="C14" s="119" t="s">
        <v>537</v>
      </c>
      <c r="D14" s="119">
        <v>1</v>
      </c>
      <c r="E14" s="119" t="s">
        <v>5</v>
      </c>
      <c r="F14" s="119" t="s">
        <v>3</v>
      </c>
      <c r="G14" s="119" t="s">
        <v>2</v>
      </c>
      <c r="H14" s="119" t="s">
        <v>3</v>
      </c>
      <c r="I14" s="119" t="s">
        <v>5</v>
      </c>
      <c r="J14" s="119" t="s">
        <v>5</v>
      </c>
      <c r="K14" s="119" t="s">
        <v>5</v>
      </c>
      <c r="L14" s="119" t="s">
        <v>2</v>
      </c>
      <c r="M14" s="119" t="s">
        <v>3</v>
      </c>
      <c r="N14" s="119" t="s">
        <v>3</v>
      </c>
      <c r="O14" s="119" t="s">
        <v>2</v>
      </c>
      <c r="P14" s="119" t="s">
        <v>5</v>
      </c>
      <c r="Q14" s="119" t="s">
        <v>5</v>
      </c>
      <c r="R14" s="119" t="s">
        <v>3</v>
      </c>
      <c r="S14" s="119" t="s">
        <v>2</v>
      </c>
      <c r="T14" s="119" t="s">
        <v>5</v>
      </c>
      <c r="U14" s="119" t="s">
        <v>5</v>
      </c>
      <c r="V14" s="119" t="s">
        <v>5</v>
      </c>
      <c r="W14" s="119" t="s">
        <v>4</v>
      </c>
      <c r="X14" s="119" t="s">
        <v>4</v>
      </c>
      <c r="Y14" s="119" t="s">
        <v>4</v>
      </c>
      <c r="Z14" s="119" t="s">
        <v>4</v>
      </c>
      <c r="AA14" s="119" t="s">
        <v>3</v>
      </c>
      <c r="AB14" s="119" t="s">
        <v>3</v>
      </c>
      <c r="AC14" s="119" t="s">
        <v>3</v>
      </c>
      <c r="AD14" s="119" t="s">
        <v>4</v>
      </c>
      <c r="AE14" s="119" t="s">
        <v>4</v>
      </c>
      <c r="AF14" s="119" t="s">
        <v>4</v>
      </c>
      <c r="AG14" s="119" t="s">
        <v>4</v>
      </c>
      <c r="AH14" s="119" t="s">
        <v>3</v>
      </c>
      <c r="AI14" s="119" t="s">
        <v>4</v>
      </c>
      <c r="AJ14" s="119" t="s">
        <v>3</v>
      </c>
      <c r="AK14" s="119" t="s">
        <v>4</v>
      </c>
      <c r="AL14" s="119" t="s">
        <v>4</v>
      </c>
      <c r="AM14" s="119" t="s">
        <v>3</v>
      </c>
      <c r="AN14" s="119" t="s">
        <v>3</v>
      </c>
    </row>
    <row r="15" spans="1:40" x14ac:dyDescent="0.3">
      <c r="A15" s="119">
        <f t="shared" si="0"/>
        <v>14</v>
      </c>
      <c r="B15" s="119" t="s">
        <v>314</v>
      </c>
      <c r="C15" s="119" t="s">
        <v>537</v>
      </c>
      <c r="D15" s="119">
        <v>2</v>
      </c>
      <c r="E15" s="119" t="s">
        <v>5</v>
      </c>
      <c r="F15" s="119" t="s">
        <v>3</v>
      </c>
      <c r="G15" s="119" t="s">
        <v>4</v>
      </c>
      <c r="H15" s="119" t="s">
        <v>3</v>
      </c>
      <c r="I15" s="119" t="s">
        <v>5</v>
      </c>
      <c r="J15" s="119" t="s">
        <v>5</v>
      </c>
      <c r="K15" s="119" t="s">
        <v>3</v>
      </c>
      <c r="L15" s="119" t="s">
        <v>4</v>
      </c>
      <c r="M15" s="119" t="s">
        <v>3</v>
      </c>
      <c r="N15" s="119" t="s">
        <v>3</v>
      </c>
      <c r="O15" s="119" t="s">
        <v>4</v>
      </c>
      <c r="P15" s="119" t="s">
        <v>4</v>
      </c>
      <c r="Q15" s="119" t="s">
        <v>5</v>
      </c>
      <c r="R15" s="119" t="s">
        <v>3</v>
      </c>
      <c r="S15" s="119" t="s">
        <v>4</v>
      </c>
      <c r="T15" s="119" t="s">
        <v>5</v>
      </c>
      <c r="U15" s="119" t="s">
        <v>5</v>
      </c>
      <c r="V15" s="119" t="s">
        <v>5</v>
      </c>
      <c r="W15" s="119" t="s">
        <v>3</v>
      </c>
      <c r="X15" s="119" t="s">
        <v>4</v>
      </c>
      <c r="Y15" s="119" t="s">
        <v>4</v>
      </c>
      <c r="Z15" s="119" t="s">
        <v>4</v>
      </c>
      <c r="AA15" s="119" t="s">
        <v>3</v>
      </c>
      <c r="AB15" s="119" t="s">
        <v>4</v>
      </c>
      <c r="AC15" s="119" t="s">
        <v>4</v>
      </c>
      <c r="AD15" s="119" t="s">
        <v>4</v>
      </c>
      <c r="AE15" s="119" t="s">
        <v>4</v>
      </c>
      <c r="AF15" s="119" t="s">
        <v>4</v>
      </c>
      <c r="AG15" s="119" t="s">
        <v>4</v>
      </c>
      <c r="AH15" s="119" t="s">
        <v>3</v>
      </c>
      <c r="AI15" s="119" t="s">
        <v>4</v>
      </c>
      <c r="AJ15" s="119" t="s">
        <v>3</v>
      </c>
      <c r="AK15" s="119" t="s">
        <v>4</v>
      </c>
      <c r="AL15" s="119" t="s">
        <v>4</v>
      </c>
      <c r="AM15" s="119" t="s">
        <v>4</v>
      </c>
      <c r="AN15" s="119" t="s">
        <v>3</v>
      </c>
    </row>
    <row r="16" spans="1:40" x14ac:dyDescent="0.3">
      <c r="A16" s="119">
        <f t="shared" si="0"/>
        <v>15</v>
      </c>
      <c r="B16" s="119" t="s">
        <v>315</v>
      </c>
      <c r="C16" s="119" t="s">
        <v>537</v>
      </c>
      <c r="D16" s="119">
        <v>2</v>
      </c>
      <c r="E16" s="119" t="s">
        <v>5</v>
      </c>
      <c r="F16" s="119" t="s">
        <v>5</v>
      </c>
      <c r="G16" s="119" t="s">
        <v>3</v>
      </c>
      <c r="H16" s="119" t="s">
        <v>5</v>
      </c>
      <c r="I16" s="119" t="s">
        <v>5</v>
      </c>
      <c r="J16" s="119" t="s">
        <v>5</v>
      </c>
      <c r="K16" s="119" t="s">
        <v>2</v>
      </c>
      <c r="L16" s="119" t="s">
        <v>2</v>
      </c>
      <c r="M16" s="119" t="s">
        <v>3</v>
      </c>
      <c r="N16" s="119" t="s">
        <v>2</v>
      </c>
      <c r="O16" s="119" t="s">
        <v>2</v>
      </c>
      <c r="P16" s="119" t="s">
        <v>3</v>
      </c>
      <c r="Q16" s="119" t="s">
        <v>5</v>
      </c>
      <c r="R16" s="119" t="s">
        <v>3</v>
      </c>
      <c r="S16" s="119" t="s">
        <v>4</v>
      </c>
      <c r="T16" s="119" t="s">
        <v>5</v>
      </c>
      <c r="U16" s="119" t="s">
        <v>5</v>
      </c>
      <c r="V16" s="119" t="s">
        <v>5</v>
      </c>
      <c r="W16" s="119" t="s">
        <v>5</v>
      </c>
      <c r="X16" s="119" t="s">
        <v>4</v>
      </c>
      <c r="Y16" s="119" t="s">
        <v>3</v>
      </c>
      <c r="Z16" s="119" t="s">
        <v>2</v>
      </c>
      <c r="AA16" s="119" t="s">
        <v>3</v>
      </c>
      <c r="AB16" s="119" t="s">
        <v>4</v>
      </c>
      <c r="AC16" s="119" t="s">
        <v>4</v>
      </c>
      <c r="AD16" s="119" t="s">
        <v>4</v>
      </c>
      <c r="AE16" s="119" t="s">
        <v>4</v>
      </c>
      <c r="AF16" s="119" t="s">
        <v>4</v>
      </c>
      <c r="AG16" s="119" t="s">
        <v>4</v>
      </c>
      <c r="AH16" s="119" t="s">
        <v>3</v>
      </c>
      <c r="AI16" s="119" t="s">
        <v>4</v>
      </c>
      <c r="AJ16" s="119" t="s">
        <v>4</v>
      </c>
      <c r="AK16" s="119" t="s">
        <v>4</v>
      </c>
      <c r="AL16" s="119" t="s">
        <v>4</v>
      </c>
      <c r="AM16" s="119" t="s">
        <v>3</v>
      </c>
      <c r="AN16" s="119" t="s">
        <v>4</v>
      </c>
    </row>
    <row r="17" spans="1:40" x14ac:dyDescent="0.3">
      <c r="A17" s="119">
        <f t="shared" si="0"/>
        <v>16</v>
      </c>
      <c r="B17" s="119" t="s">
        <v>13</v>
      </c>
      <c r="C17" s="119" t="s">
        <v>537</v>
      </c>
      <c r="D17" s="119">
        <v>2</v>
      </c>
      <c r="E17" s="119" t="s">
        <v>5</v>
      </c>
      <c r="F17" s="119" t="s">
        <v>5</v>
      </c>
      <c r="G17" s="119" t="s">
        <v>2</v>
      </c>
      <c r="H17" s="119" t="s">
        <v>2</v>
      </c>
      <c r="I17" s="119" t="s">
        <v>5</v>
      </c>
      <c r="J17" s="119" t="s">
        <v>5</v>
      </c>
      <c r="K17" s="119" t="s">
        <v>2</v>
      </c>
      <c r="L17" s="119" t="s">
        <v>2</v>
      </c>
      <c r="M17" s="119" t="s">
        <v>2</v>
      </c>
      <c r="N17" s="119" t="s">
        <v>4</v>
      </c>
      <c r="O17" s="119" t="s">
        <v>4</v>
      </c>
      <c r="P17" s="119" t="s">
        <v>4</v>
      </c>
      <c r="Q17" s="119" t="s">
        <v>5</v>
      </c>
      <c r="R17" s="119" t="s">
        <v>4</v>
      </c>
      <c r="S17" s="119" t="s">
        <v>5</v>
      </c>
      <c r="T17" s="119" t="s">
        <v>5</v>
      </c>
      <c r="U17" s="119" t="s">
        <v>5</v>
      </c>
      <c r="V17" s="119" t="s">
        <v>5</v>
      </c>
      <c r="W17" s="119" t="s">
        <v>5</v>
      </c>
      <c r="X17" s="119" t="s">
        <v>4</v>
      </c>
      <c r="Y17" s="119" t="s">
        <v>3</v>
      </c>
      <c r="Z17" s="119" t="s">
        <v>2</v>
      </c>
      <c r="AA17" s="119" t="s">
        <v>3</v>
      </c>
      <c r="AB17" s="119" t="s">
        <v>4</v>
      </c>
      <c r="AC17" s="119" t="s">
        <v>4</v>
      </c>
      <c r="AD17" s="119" t="s">
        <v>4</v>
      </c>
      <c r="AE17" s="119" t="s">
        <v>4</v>
      </c>
      <c r="AF17" s="119" t="s">
        <v>4</v>
      </c>
      <c r="AG17" s="119" t="s">
        <v>4</v>
      </c>
      <c r="AH17" s="119" t="s">
        <v>4</v>
      </c>
      <c r="AI17" s="119" t="s">
        <v>4</v>
      </c>
      <c r="AJ17" s="119" t="s">
        <v>3</v>
      </c>
      <c r="AK17" s="119" t="s">
        <v>4</v>
      </c>
      <c r="AL17" s="119" t="s">
        <v>4</v>
      </c>
      <c r="AM17" s="119" t="s">
        <v>4</v>
      </c>
      <c r="AN17" s="119" t="s">
        <v>4</v>
      </c>
    </row>
    <row r="18" spans="1:40" x14ac:dyDescent="0.3">
      <c r="A18" s="119">
        <f t="shared" si="0"/>
        <v>17</v>
      </c>
      <c r="B18" s="119" t="s">
        <v>14</v>
      </c>
      <c r="C18" s="119" t="s">
        <v>537</v>
      </c>
      <c r="D18" s="119">
        <v>2</v>
      </c>
      <c r="E18" s="119" t="s">
        <v>5</v>
      </c>
      <c r="F18" s="119" t="s">
        <v>5</v>
      </c>
      <c r="G18" s="119" t="s">
        <v>3</v>
      </c>
      <c r="H18" s="119" t="s">
        <v>5</v>
      </c>
      <c r="I18" s="119" t="s">
        <v>5</v>
      </c>
      <c r="J18" s="119" t="s">
        <v>5</v>
      </c>
      <c r="K18" s="119" t="s">
        <v>5</v>
      </c>
      <c r="L18" s="119" t="s">
        <v>2</v>
      </c>
      <c r="M18" s="119" t="s">
        <v>2</v>
      </c>
      <c r="N18" s="119" t="s">
        <v>4</v>
      </c>
      <c r="O18" s="119" t="s">
        <v>4</v>
      </c>
      <c r="P18" s="119" t="s">
        <v>2</v>
      </c>
      <c r="Q18" s="119" t="s">
        <v>5</v>
      </c>
      <c r="R18" s="119" t="s">
        <v>4</v>
      </c>
      <c r="S18" s="119" t="s">
        <v>2</v>
      </c>
      <c r="T18" s="119" t="s">
        <v>5</v>
      </c>
      <c r="U18" s="119" t="s">
        <v>3</v>
      </c>
      <c r="V18" s="119" t="s">
        <v>4</v>
      </c>
      <c r="W18" s="119" t="s">
        <v>5</v>
      </c>
      <c r="X18" s="119" t="s">
        <v>2</v>
      </c>
      <c r="Y18" s="119" t="s">
        <v>4</v>
      </c>
      <c r="Z18" s="119" t="s">
        <v>4</v>
      </c>
      <c r="AA18" s="119" t="s">
        <v>3</v>
      </c>
      <c r="AB18" s="119" t="s">
        <v>4</v>
      </c>
      <c r="AC18" s="119" t="s">
        <v>4</v>
      </c>
      <c r="AD18" s="119" t="s">
        <v>4</v>
      </c>
      <c r="AE18" s="119" t="s">
        <v>4</v>
      </c>
      <c r="AF18" s="119" t="s">
        <v>4</v>
      </c>
      <c r="AG18" s="119" t="s">
        <v>4</v>
      </c>
      <c r="AH18" s="119" t="s">
        <v>3</v>
      </c>
      <c r="AI18" s="119" t="s">
        <v>4</v>
      </c>
      <c r="AJ18" s="119" t="s">
        <v>3</v>
      </c>
      <c r="AK18" s="119" t="s">
        <v>4</v>
      </c>
      <c r="AL18" s="119" t="s">
        <v>4</v>
      </c>
      <c r="AM18" s="119" t="s">
        <v>4</v>
      </c>
      <c r="AN18" s="119" t="s">
        <v>3</v>
      </c>
    </row>
    <row r="19" spans="1:40" x14ac:dyDescent="0.3">
      <c r="A19" s="119">
        <f t="shared" si="0"/>
        <v>18</v>
      </c>
      <c r="B19" s="119" t="s">
        <v>15</v>
      </c>
      <c r="C19" s="119" t="s">
        <v>537</v>
      </c>
      <c r="D19" s="119">
        <v>2</v>
      </c>
      <c r="E19" s="119" t="s">
        <v>2</v>
      </c>
      <c r="F19" s="119" t="s">
        <v>5</v>
      </c>
      <c r="G19" s="119" t="s">
        <v>4</v>
      </c>
      <c r="H19" s="119" t="s">
        <v>5</v>
      </c>
      <c r="I19" s="119" t="s">
        <v>5</v>
      </c>
      <c r="J19" s="119" t="s">
        <v>5</v>
      </c>
      <c r="K19" s="119" t="s">
        <v>2</v>
      </c>
      <c r="L19" s="119" t="s">
        <v>2</v>
      </c>
      <c r="M19" s="119" t="s">
        <v>3</v>
      </c>
      <c r="N19" s="119" t="s">
        <v>4</v>
      </c>
      <c r="O19" s="119" t="s">
        <v>4</v>
      </c>
      <c r="P19" s="119" t="s">
        <v>5</v>
      </c>
      <c r="Q19" s="119" t="s">
        <v>5</v>
      </c>
      <c r="R19" s="119" t="s">
        <v>4</v>
      </c>
      <c r="S19" s="119" t="s">
        <v>5</v>
      </c>
      <c r="T19" s="119" t="s">
        <v>5</v>
      </c>
      <c r="U19" s="119" t="s">
        <v>2</v>
      </c>
      <c r="V19" s="119" t="s">
        <v>5</v>
      </c>
      <c r="W19" s="119" t="s">
        <v>5</v>
      </c>
      <c r="X19" s="119" t="s">
        <v>4</v>
      </c>
      <c r="Y19" s="119" t="s">
        <v>4</v>
      </c>
      <c r="Z19" s="119" t="s">
        <v>4</v>
      </c>
      <c r="AA19" s="119" t="s">
        <v>3</v>
      </c>
      <c r="AB19" s="119" t="s">
        <v>4</v>
      </c>
      <c r="AC19" s="119" t="s">
        <v>4</v>
      </c>
      <c r="AD19" s="119" t="s">
        <v>4</v>
      </c>
      <c r="AE19" s="119" t="s">
        <v>4</v>
      </c>
      <c r="AF19" s="119" t="s">
        <v>4</v>
      </c>
      <c r="AG19" s="119" t="s">
        <v>4</v>
      </c>
      <c r="AH19" s="119" t="s">
        <v>3</v>
      </c>
      <c r="AI19" s="119" t="s">
        <v>4</v>
      </c>
      <c r="AJ19" s="119" t="s">
        <v>3</v>
      </c>
      <c r="AK19" s="119" t="s">
        <v>4</v>
      </c>
      <c r="AL19" s="119" t="s">
        <v>4</v>
      </c>
      <c r="AM19" s="119" t="s">
        <v>4</v>
      </c>
      <c r="AN19" s="119" t="s">
        <v>3</v>
      </c>
    </row>
    <row r="20" spans="1:40" x14ac:dyDescent="0.3">
      <c r="A20" s="119">
        <f t="shared" si="0"/>
        <v>19</v>
      </c>
      <c r="B20" s="119" t="s">
        <v>16</v>
      </c>
      <c r="C20" s="119" t="s">
        <v>537</v>
      </c>
      <c r="D20" s="119">
        <v>2</v>
      </c>
      <c r="E20" s="119" t="s">
        <v>5</v>
      </c>
      <c r="F20" s="119" t="s">
        <v>5</v>
      </c>
      <c r="G20" s="119" t="s">
        <v>3</v>
      </c>
      <c r="H20" s="119" t="s">
        <v>5</v>
      </c>
      <c r="I20" s="119" t="s">
        <v>5</v>
      </c>
      <c r="J20" s="119" t="s">
        <v>5</v>
      </c>
      <c r="K20" s="119" t="s">
        <v>2</v>
      </c>
      <c r="L20" s="119" t="s">
        <v>2</v>
      </c>
      <c r="M20" s="119" t="s">
        <v>3</v>
      </c>
      <c r="N20" s="119" t="s">
        <v>2</v>
      </c>
      <c r="O20" s="119" t="s">
        <v>2</v>
      </c>
      <c r="P20" s="119" t="s">
        <v>3</v>
      </c>
      <c r="Q20" s="119" t="s">
        <v>5</v>
      </c>
      <c r="R20" s="119" t="s">
        <v>3</v>
      </c>
      <c r="S20" s="119" t="s">
        <v>4</v>
      </c>
      <c r="T20" s="119" t="s">
        <v>5</v>
      </c>
      <c r="U20" s="119" t="s">
        <v>5</v>
      </c>
      <c r="V20" s="119" t="s">
        <v>5</v>
      </c>
      <c r="W20" s="119" t="s">
        <v>5</v>
      </c>
      <c r="X20" s="119" t="s">
        <v>4</v>
      </c>
      <c r="Y20" s="119" t="s">
        <v>4</v>
      </c>
      <c r="Z20" s="119" t="s">
        <v>2</v>
      </c>
      <c r="AA20" s="119" t="s">
        <v>3</v>
      </c>
      <c r="AB20" s="119" t="s">
        <v>4</v>
      </c>
      <c r="AC20" s="119" t="s">
        <v>4</v>
      </c>
      <c r="AD20" s="119" t="s">
        <v>4</v>
      </c>
      <c r="AE20" s="119" t="s">
        <v>4</v>
      </c>
      <c r="AF20" s="119" t="s">
        <v>4</v>
      </c>
      <c r="AG20" s="119" t="s">
        <v>4</v>
      </c>
      <c r="AH20" s="119" t="s">
        <v>3</v>
      </c>
      <c r="AI20" s="119" t="s">
        <v>4</v>
      </c>
      <c r="AJ20" s="119" t="s">
        <v>4</v>
      </c>
      <c r="AK20" s="119" t="s">
        <v>4</v>
      </c>
      <c r="AL20" s="119" t="s">
        <v>4</v>
      </c>
      <c r="AM20" s="119" t="s">
        <v>3</v>
      </c>
      <c r="AN20" s="119" t="s">
        <v>4</v>
      </c>
    </row>
    <row r="21" spans="1:40" x14ac:dyDescent="0.3">
      <c r="A21" s="119">
        <f t="shared" si="0"/>
        <v>20</v>
      </c>
      <c r="B21" s="119" t="s">
        <v>259</v>
      </c>
      <c r="C21" s="119" t="s">
        <v>537</v>
      </c>
      <c r="D21" s="119">
        <v>2</v>
      </c>
      <c r="E21" s="119" t="s">
        <v>4</v>
      </c>
      <c r="F21" s="119" t="s">
        <v>5</v>
      </c>
      <c r="G21" s="119" t="s">
        <v>2</v>
      </c>
      <c r="H21" s="119" t="s">
        <v>5</v>
      </c>
      <c r="I21" s="119" t="s">
        <v>5</v>
      </c>
      <c r="J21" s="119" t="s">
        <v>5</v>
      </c>
      <c r="K21" s="119" t="s">
        <v>5</v>
      </c>
      <c r="L21" s="119" t="s">
        <v>2</v>
      </c>
      <c r="M21" s="119" t="s">
        <v>3</v>
      </c>
      <c r="N21" s="119" t="s">
        <v>2</v>
      </c>
      <c r="O21" s="119" t="s">
        <v>3</v>
      </c>
      <c r="P21" s="119" t="s">
        <v>5</v>
      </c>
      <c r="Q21" s="119" t="s">
        <v>5</v>
      </c>
      <c r="R21" s="119" t="s">
        <v>3</v>
      </c>
      <c r="S21" s="119" t="s">
        <v>3</v>
      </c>
      <c r="T21" s="119" t="s">
        <v>5</v>
      </c>
      <c r="U21" s="119" t="s">
        <v>5</v>
      </c>
      <c r="V21" s="119" t="s">
        <v>5</v>
      </c>
      <c r="W21" s="119" t="s">
        <v>5</v>
      </c>
      <c r="X21" s="119" t="s">
        <v>4</v>
      </c>
      <c r="Y21" s="119" t="s">
        <v>3</v>
      </c>
      <c r="Z21" s="119" t="s">
        <v>2</v>
      </c>
      <c r="AA21" s="119" t="s">
        <v>3</v>
      </c>
      <c r="AB21" s="119" t="s">
        <v>4</v>
      </c>
      <c r="AC21" s="119" t="s">
        <v>4</v>
      </c>
      <c r="AD21" s="119" t="s">
        <v>4</v>
      </c>
      <c r="AE21" s="119" t="s">
        <v>4</v>
      </c>
      <c r="AF21" s="119" t="s">
        <v>4</v>
      </c>
      <c r="AG21" s="119" t="s">
        <v>4</v>
      </c>
      <c r="AH21" s="119" t="s">
        <v>3</v>
      </c>
      <c r="AI21" s="119" t="s">
        <v>4</v>
      </c>
      <c r="AJ21" s="119" t="s">
        <v>3</v>
      </c>
      <c r="AK21" s="119" t="s">
        <v>4</v>
      </c>
      <c r="AL21" s="119" t="s">
        <v>4</v>
      </c>
      <c r="AM21" s="119" t="s">
        <v>3</v>
      </c>
      <c r="AN21" s="119" t="s">
        <v>3</v>
      </c>
    </row>
    <row r="22" spans="1:40" x14ac:dyDescent="0.3">
      <c r="A22" s="119">
        <f t="shared" si="0"/>
        <v>21</v>
      </c>
      <c r="B22" s="119" t="s">
        <v>260</v>
      </c>
      <c r="C22" s="119" t="s">
        <v>537</v>
      </c>
      <c r="D22" s="119">
        <v>2</v>
      </c>
      <c r="E22" s="119" t="s">
        <v>3</v>
      </c>
      <c r="F22" s="119" t="s">
        <v>5</v>
      </c>
      <c r="G22" s="119" t="s">
        <v>3</v>
      </c>
      <c r="H22" s="119" t="s">
        <v>5</v>
      </c>
      <c r="I22" s="119" t="s">
        <v>5</v>
      </c>
      <c r="J22" s="119" t="s">
        <v>5</v>
      </c>
      <c r="K22" s="119" t="s">
        <v>2</v>
      </c>
      <c r="L22" s="119" t="s">
        <v>2</v>
      </c>
      <c r="M22" s="119" t="s">
        <v>2</v>
      </c>
      <c r="N22" s="119" t="s">
        <v>2</v>
      </c>
      <c r="O22" s="119" t="s">
        <v>2</v>
      </c>
      <c r="P22" s="119" t="s">
        <v>2</v>
      </c>
      <c r="Q22" s="119" t="s">
        <v>5</v>
      </c>
      <c r="R22" s="119" t="s">
        <v>3</v>
      </c>
      <c r="S22" s="119" t="s">
        <v>3</v>
      </c>
      <c r="T22" s="119" t="s">
        <v>5</v>
      </c>
      <c r="U22" s="119" t="s">
        <v>5</v>
      </c>
      <c r="V22" s="119" t="s">
        <v>5</v>
      </c>
      <c r="W22" s="119" t="s">
        <v>5</v>
      </c>
      <c r="X22" s="119" t="s">
        <v>4</v>
      </c>
      <c r="Y22" s="119" t="s">
        <v>4</v>
      </c>
      <c r="Z22" s="119" t="s">
        <v>4</v>
      </c>
      <c r="AA22" s="119" t="s">
        <v>3</v>
      </c>
      <c r="AB22" s="119" t="s">
        <v>4</v>
      </c>
      <c r="AC22" s="119" t="s">
        <v>4</v>
      </c>
      <c r="AD22" s="119" t="s">
        <v>4</v>
      </c>
      <c r="AE22" s="119" t="s">
        <v>4</v>
      </c>
      <c r="AF22" s="119" t="s">
        <v>4</v>
      </c>
      <c r="AG22" s="119" t="s">
        <v>4</v>
      </c>
      <c r="AH22" s="119" t="s">
        <v>3</v>
      </c>
      <c r="AI22" s="119" t="s">
        <v>4</v>
      </c>
      <c r="AJ22" s="119" t="s">
        <v>3</v>
      </c>
      <c r="AK22" s="119" t="s">
        <v>4</v>
      </c>
      <c r="AL22" s="119" t="s">
        <v>4</v>
      </c>
      <c r="AM22" s="119" t="s">
        <v>4</v>
      </c>
      <c r="AN22" s="119" t="s">
        <v>3</v>
      </c>
    </row>
    <row r="23" spans="1:40" x14ac:dyDescent="0.3">
      <c r="A23" s="119">
        <f t="shared" si="0"/>
        <v>22</v>
      </c>
      <c r="B23" s="119" t="s">
        <v>261</v>
      </c>
      <c r="C23" s="119" t="s">
        <v>537</v>
      </c>
      <c r="D23" s="119">
        <v>2</v>
      </c>
      <c r="E23" s="119" t="s">
        <v>5</v>
      </c>
      <c r="F23" s="119" t="s">
        <v>3</v>
      </c>
      <c r="G23" s="119" t="s">
        <v>2</v>
      </c>
      <c r="H23" s="119" t="s">
        <v>2</v>
      </c>
      <c r="I23" s="119" t="s">
        <v>5</v>
      </c>
      <c r="J23" s="119" t="s">
        <v>5</v>
      </c>
      <c r="K23" s="119" t="s">
        <v>5</v>
      </c>
      <c r="L23" s="119" t="s">
        <v>2</v>
      </c>
      <c r="M23" s="119" t="s">
        <v>2</v>
      </c>
      <c r="N23" s="119" t="s">
        <v>2</v>
      </c>
      <c r="O23" s="119" t="s">
        <v>3</v>
      </c>
      <c r="P23" s="119" t="s">
        <v>2</v>
      </c>
      <c r="Q23" s="119" t="s">
        <v>5</v>
      </c>
      <c r="R23" s="119" t="s">
        <v>3</v>
      </c>
      <c r="S23" s="119" t="s">
        <v>2</v>
      </c>
      <c r="T23" s="119" t="s">
        <v>5</v>
      </c>
      <c r="U23" s="119" t="s">
        <v>2</v>
      </c>
      <c r="V23" s="119" t="s">
        <v>2</v>
      </c>
      <c r="W23" s="119" t="s">
        <v>2</v>
      </c>
      <c r="X23" s="119" t="s">
        <v>4</v>
      </c>
      <c r="Y23" s="119" t="s">
        <v>4</v>
      </c>
      <c r="Z23" s="119" t="s">
        <v>4</v>
      </c>
      <c r="AA23" s="119" t="s">
        <v>3</v>
      </c>
      <c r="AB23" s="119" t="s">
        <v>4</v>
      </c>
      <c r="AC23" s="119" t="s">
        <v>4</v>
      </c>
      <c r="AD23" s="119" t="s">
        <v>4</v>
      </c>
      <c r="AE23" s="119" t="s">
        <v>4</v>
      </c>
      <c r="AF23" s="119" t="s">
        <v>4</v>
      </c>
      <c r="AG23" s="119" t="s">
        <v>4</v>
      </c>
      <c r="AH23" s="119" t="s">
        <v>3</v>
      </c>
      <c r="AI23" s="119" t="s">
        <v>4</v>
      </c>
      <c r="AJ23" s="119" t="s">
        <v>3</v>
      </c>
      <c r="AK23" s="119" t="s">
        <v>4</v>
      </c>
      <c r="AL23" s="119" t="s">
        <v>4</v>
      </c>
      <c r="AM23" s="119" t="s">
        <v>3</v>
      </c>
      <c r="AN23" s="119" t="s">
        <v>3</v>
      </c>
    </row>
    <row r="24" spans="1:40" x14ac:dyDescent="0.3">
      <c r="A24" s="119">
        <f t="shared" si="0"/>
        <v>23</v>
      </c>
      <c r="B24" s="119" t="s">
        <v>262</v>
      </c>
      <c r="C24" s="119" t="s">
        <v>537</v>
      </c>
      <c r="D24" s="119">
        <v>2</v>
      </c>
      <c r="E24" s="119" t="s">
        <v>4</v>
      </c>
      <c r="F24" s="119" t="s">
        <v>5</v>
      </c>
      <c r="G24" s="119" t="s">
        <v>3</v>
      </c>
      <c r="H24" s="119" t="s">
        <v>5</v>
      </c>
      <c r="I24" s="119" t="s">
        <v>5</v>
      </c>
      <c r="J24" s="119" t="s">
        <v>5</v>
      </c>
      <c r="K24" s="119" t="s">
        <v>5</v>
      </c>
      <c r="L24" s="119" t="s">
        <v>2</v>
      </c>
      <c r="M24" s="119" t="s">
        <v>3</v>
      </c>
      <c r="N24" s="119" t="s">
        <v>2</v>
      </c>
      <c r="O24" s="119" t="s">
        <v>3</v>
      </c>
      <c r="P24" s="119" t="s">
        <v>2</v>
      </c>
      <c r="Q24" s="119" t="s">
        <v>5</v>
      </c>
      <c r="R24" s="119" t="s">
        <v>3</v>
      </c>
      <c r="S24" s="119" t="s">
        <v>3</v>
      </c>
      <c r="T24" s="119" t="s">
        <v>5</v>
      </c>
      <c r="U24" s="119" t="s">
        <v>5</v>
      </c>
      <c r="V24" s="119" t="s">
        <v>5</v>
      </c>
      <c r="W24" s="119" t="s">
        <v>3</v>
      </c>
      <c r="X24" s="119" t="s">
        <v>4</v>
      </c>
      <c r="Y24" s="119" t="s">
        <v>4</v>
      </c>
      <c r="Z24" s="119" t="s">
        <v>2</v>
      </c>
      <c r="AA24" s="119" t="s">
        <v>3</v>
      </c>
      <c r="AB24" s="119" t="s">
        <v>4</v>
      </c>
      <c r="AC24" s="119" t="s">
        <v>4</v>
      </c>
      <c r="AD24" s="119" t="s">
        <v>4</v>
      </c>
      <c r="AE24" s="119" t="s">
        <v>4</v>
      </c>
      <c r="AF24" s="119" t="s">
        <v>4</v>
      </c>
      <c r="AG24" s="119" t="s">
        <v>4</v>
      </c>
      <c r="AH24" s="119" t="s">
        <v>3</v>
      </c>
      <c r="AI24" s="119" t="s">
        <v>4</v>
      </c>
      <c r="AJ24" s="119" t="s">
        <v>4</v>
      </c>
      <c r="AK24" s="119" t="s">
        <v>4</v>
      </c>
      <c r="AL24" s="119" t="s">
        <v>4</v>
      </c>
      <c r="AM24" s="119" t="s">
        <v>4</v>
      </c>
      <c r="AN24" s="119" t="s">
        <v>3</v>
      </c>
    </row>
    <row r="25" spans="1:40" x14ac:dyDescent="0.3">
      <c r="A25" s="119">
        <f t="shared" si="0"/>
        <v>24</v>
      </c>
      <c r="B25" s="119" t="s">
        <v>461</v>
      </c>
      <c r="C25" s="119" t="s">
        <v>537</v>
      </c>
      <c r="D25" s="119">
        <v>2</v>
      </c>
      <c r="E25" s="119" t="s">
        <v>5</v>
      </c>
      <c r="F25" s="119" t="s">
        <v>5</v>
      </c>
      <c r="G25" s="119" t="s">
        <v>2</v>
      </c>
      <c r="H25" s="119" t="s">
        <v>2</v>
      </c>
      <c r="I25" s="119" t="s">
        <v>5</v>
      </c>
      <c r="J25" s="119" t="s">
        <v>3</v>
      </c>
      <c r="K25" s="119" t="s">
        <v>2</v>
      </c>
      <c r="L25" s="119" t="s">
        <v>2</v>
      </c>
      <c r="M25" s="119" t="s">
        <v>3</v>
      </c>
      <c r="N25" s="119" t="s">
        <v>3</v>
      </c>
      <c r="O25" s="119" t="s">
        <v>4</v>
      </c>
      <c r="P25" s="119" t="s">
        <v>5</v>
      </c>
      <c r="Q25" s="119" t="s">
        <v>5</v>
      </c>
      <c r="R25" s="119" t="s">
        <v>4</v>
      </c>
      <c r="S25" s="119" t="s">
        <v>5</v>
      </c>
      <c r="T25" s="119" t="s">
        <v>5</v>
      </c>
      <c r="U25" s="119" t="s">
        <v>2</v>
      </c>
      <c r="V25" s="119" t="s">
        <v>5</v>
      </c>
      <c r="W25" s="119" t="s">
        <v>5</v>
      </c>
      <c r="X25" s="119" t="s">
        <v>3</v>
      </c>
      <c r="Y25" s="119" t="s">
        <v>4</v>
      </c>
      <c r="Z25" s="119" t="s">
        <v>2</v>
      </c>
      <c r="AA25" s="119" t="s">
        <v>3</v>
      </c>
      <c r="AB25" s="119" t="s">
        <v>3</v>
      </c>
      <c r="AC25" s="119" t="s">
        <v>4</v>
      </c>
      <c r="AD25" s="119" t="s">
        <v>4</v>
      </c>
      <c r="AE25" s="119" t="s">
        <v>4</v>
      </c>
      <c r="AF25" s="119" t="s">
        <v>4</v>
      </c>
      <c r="AG25" s="119" t="s">
        <v>4</v>
      </c>
      <c r="AH25" s="119" t="s">
        <v>3</v>
      </c>
      <c r="AI25" s="119" t="s">
        <v>4</v>
      </c>
      <c r="AJ25" s="119" t="s">
        <v>3</v>
      </c>
      <c r="AK25" s="119" t="s">
        <v>4</v>
      </c>
      <c r="AL25" s="119" t="s">
        <v>4</v>
      </c>
      <c r="AM25" s="119" t="s">
        <v>3</v>
      </c>
      <c r="AN25" s="119" t="s">
        <v>3</v>
      </c>
    </row>
    <row r="26" spans="1:40" x14ac:dyDescent="0.3">
      <c r="A26" s="119">
        <f t="shared" si="0"/>
        <v>25</v>
      </c>
      <c r="B26" s="119" t="s">
        <v>462</v>
      </c>
      <c r="C26" s="119" t="s">
        <v>537</v>
      </c>
      <c r="D26" s="119">
        <v>2</v>
      </c>
      <c r="E26" s="119" t="s">
        <v>5</v>
      </c>
      <c r="F26" s="119" t="s">
        <v>3</v>
      </c>
      <c r="G26" s="119" t="s">
        <v>5</v>
      </c>
      <c r="H26" s="119" t="s">
        <v>5</v>
      </c>
      <c r="I26" s="119" t="s">
        <v>5</v>
      </c>
      <c r="J26" s="119" t="s">
        <v>5</v>
      </c>
      <c r="K26" s="119" t="s">
        <v>5</v>
      </c>
      <c r="L26" s="119" t="s">
        <v>2</v>
      </c>
      <c r="M26" s="119" t="s">
        <v>3</v>
      </c>
      <c r="N26" s="119" t="s">
        <v>3</v>
      </c>
      <c r="O26" s="119" t="s">
        <v>3</v>
      </c>
      <c r="P26" s="119" t="s">
        <v>5</v>
      </c>
      <c r="Q26" s="119" t="s">
        <v>5</v>
      </c>
      <c r="R26" s="119" t="s">
        <v>3</v>
      </c>
      <c r="S26" s="119" t="s">
        <v>5</v>
      </c>
      <c r="T26" s="119" t="s">
        <v>5</v>
      </c>
      <c r="U26" s="119" t="s">
        <v>5</v>
      </c>
      <c r="V26" s="119" t="s">
        <v>5</v>
      </c>
      <c r="W26" s="119" t="s">
        <v>5</v>
      </c>
      <c r="X26" s="119" t="s">
        <v>3</v>
      </c>
      <c r="Y26" s="119" t="s">
        <v>4</v>
      </c>
      <c r="Z26" s="119" t="s">
        <v>4</v>
      </c>
      <c r="AA26" s="119" t="s">
        <v>3</v>
      </c>
      <c r="AB26" s="119" t="s">
        <v>3</v>
      </c>
      <c r="AC26" s="119" t="s">
        <v>3</v>
      </c>
      <c r="AD26" s="119" t="s">
        <v>4</v>
      </c>
      <c r="AE26" s="119" t="s">
        <v>4</v>
      </c>
      <c r="AF26" s="119" t="s">
        <v>4</v>
      </c>
      <c r="AG26" s="119" t="s">
        <v>4</v>
      </c>
      <c r="AH26" s="119" t="s">
        <v>3</v>
      </c>
      <c r="AI26" s="119" t="s">
        <v>4</v>
      </c>
      <c r="AJ26" s="119" t="s">
        <v>4</v>
      </c>
      <c r="AK26" s="119" t="s">
        <v>3</v>
      </c>
      <c r="AL26" s="119" t="s">
        <v>4</v>
      </c>
      <c r="AM26" s="119" t="s">
        <v>4</v>
      </c>
      <c r="AN26" s="119" t="s">
        <v>3</v>
      </c>
    </row>
    <row r="27" spans="1:40" x14ac:dyDescent="0.3">
      <c r="A27" s="119">
        <f t="shared" si="0"/>
        <v>26</v>
      </c>
      <c r="B27" s="119" t="s">
        <v>491</v>
      </c>
      <c r="C27" s="119" t="s">
        <v>537</v>
      </c>
      <c r="D27" s="119">
        <v>2</v>
      </c>
      <c r="E27" s="119" t="s">
        <v>3</v>
      </c>
      <c r="F27" s="119" t="s">
        <v>3</v>
      </c>
      <c r="G27" s="119" t="s">
        <v>3</v>
      </c>
      <c r="H27" s="119" t="s">
        <v>2</v>
      </c>
      <c r="I27" s="119" t="s">
        <v>5</v>
      </c>
      <c r="J27" s="119" t="s">
        <v>5</v>
      </c>
      <c r="K27" s="119" t="s">
        <v>2</v>
      </c>
      <c r="L27" s="119" t="s">
        <v>2</v>
      </c>
      <c r="M27" s="119" t="s">
        <v>2</v>
      </c>
      <c r="N27" s="119" t="s">
        <v>4</v>
      </c>
      <c r="O27" s="119" t="s">
        <v>4</v>
      </c>
      <c r="P27" s="119" t="s">
        <v>4</v>
      </c>
      <c r="Q27" s="119" t="s">
        <v>5</v>
      </c>
      <c r="R27" s="119" t="s">
        <v>4</v>
      </c>
      <c r="S27" s="119" t="s">
        <v>5</v>
      </c>
      <c r="T27" s="119" t="s">
        <v>5</v>
      </c>
      <c r="U27" s="119" t="s">
        <v>5</v>
      </c>
      <c r="V27" s="119" t="s">
        <v>5</v>
      </c>
      <c r="W27" s="119" t="s">
        <v>4</v>
      </c>
      <c r="X27" s="119" t="s">
        <v>4</v>
      </c>
      <c r="Y27" s="119" t="s">
        <v>3</v>
      </c>
      <c r="Z27" s="119" t="s">
        <v>2</v>
      </c>
      <c r="AA27" s="119" t="s">
        <v>3</v>
      </c>
      <c r="AB27" s="119" t="s">
        <v>4</v>
      </c>
      <c r="AC27" s="119" t="s">
        <v>4</v>
      </c>
      <c r="AD27" s="119" t="s">
        <v>4</v>
      </c>
      <c r="AE27" s="119" t="s">
        <v>4</v>
      </c>
      <c r="AF27" s="119" t="s">
        <v>4</v>
      </c>
      <c r="AG27" s="119" t="s">
        <v>4</v>
      </c>
      <c r="AH27" s="119" t="s">
        <v>4</v>
      </c>
      <c r="AI27" s="119" t="s">
        <v>4</v>
      </c>
      <c r="AJ27" s="119" t="s">
        <v>3</v>
      </c>
      <c r="AK27" s="119" t="s">
        <v>4</v>
      </c>
      <c r="AL27" s="119" t="s">
        <v>4</v>
      </c>
      <c r="AM27" s="119" t="s">
        <v>4</v>
      </c>
      <c r="AN27" s="119" t="s">
        <v>3</v>
      </c>
    </row>
    <row r="28" spans="1:40" x14ac:dyDescent="0.3">
      <c r="A28" s="119">
        <f t="shared" si="0"/>
        <v>27</v>
      </c>
      <c r="B28" s="119" t="s">
        <v>17</v>
      </c>
      <c r="C28" s="119" t="s">
        <v>537</v>
      </c>
      <c r="D28" s="119">
        <v>3</v>
      </c>
      <c r="E28" s="119" t="s">
        <v>5</v>
      </c>
      <c r="F28" s="119" t="s">
        <v>3</v>
      </c>
      <c r="G28" s="119" t="s">
        <v>3</v>
      </c>
      <c r="H28" s="119" t="s">
        <v>5</v>
      </c>
      <c r="I28" s="119" t="s">
        <v>5</v>
      </c>
      <c r="J28" s="119" t="s">
        <v>5</v>
      </c>
      <c r="K28" s="119" t="s">
        <v>2</v>
      </c>
      <c r="L28" s="119" t="s">
        <v>2</v>
      </c>
      <c r="M28" s="119" t="s">
        <v>3</v>
      </c>
      <c r="N28" s="119" t="s">
        <v>3</v>
      </c>
      <c r="O28" s="119" t="s">
        <v>4</v>
      </c>
      <c r="P28" s="119" t="s">
        <v>5</v>
      </c>
      <c r="Q28" s="119" t="s">
        <v>2</v>
      </c>
      <c r="R28" s="119" t="s">
        <v>3</v>
      </c>
      <c r="S28" s="119" t="s">
        <v>2</v>
      </c>
      <c r="T28" s="119" t="s">
        <v>5</v>
      </c>
      <c r="U28" s="119" t="s">
        <v>5</v>
      </c>
      <c r="V28" s="119" t="s">
        <v>5</v>
      </c>
      <c r="W28" s="119" t="s">
        <v>5</v>
      </c>
      <c r="X28" s="119" t="s">
        <v>4</v>
      </c>
      <c r="Y28" s="119" t="s">
        <v>3</v>
      </c>
      <c r="Z28" s="119" t="s">
        <v>3</v>
      </c>
      <c r="AA28" s="119" t="s">
        <v>3</v>
      </c>
      <c r="AB28" s="119" t="s">
        <v>4</v>
      </c>
      <c r="AC28" s="119" t="s">
        <v>4</v>
      </c>
      <c r="AD28" s="119" t="s">
        <v>4</v>
      </c>
      <c r="AE28" s="119" t="s">
        <v>4</v>
      </c>
      <c r="AF28" s="119" t="s">
        <v>4</v>
      </c>
      <c r="AG28" s="119" t="s">
        <v>4</v>
      </c>
      <c r="AH28" s="119" t="s">
        <v>3</v>
      </c>
      <c r="AI28" s="119" t="s">
        <v>4</v>
      </c>
      <c r="AJ28" s="119" t="s">
        <v>3</v>
      </c>
      <c r="AK28" s="119" t="s">
        <v>4</v>
      </c>
      <c r="AL28" s="119" t="s">
        <v>4</v>
      </c>
      <c r="AM28" s="119" t="s">
        <v>4</v>
      </c>
      <c r="AN28" s="119" t="s">
        <v>3</v>
      </c>
    </row>
    <row r="29" spans="1:40" x14ac:dyDescent="0.3">
      <c r="A29" s="119">
        <f t="shared" si="0"/>
        <v>28</v>
      </c>
      <c r="B29" s="119" t="s">
        <v>18</v>
      </c>
      <c r="C29" s="119" t="s">
        <v>537</v>
      </c>
      <c r="D29" s="119">
        <v>3</v>
      </c>
      <c r="E29" s="119" t="s">
        <v>5</v>
      </c>
      <c r="F29" s="119" t="s">
        <v>4</v>
      </c>
      <c r="G29" s="119" t="s">
        <v>4</v>
      </c>
      <c r="H29" s="119" t="s">
        <v>3</v>
      </c>
      <c r="I29" s="119" t="s">
        <v>5</v>
      </c>
      <c r="J29" s="119" t="s">
        <v>5</v>
      </c>
      <c r="K29" s="119" t="s">
        <v>5</v>
      </c>
      <c r="L29" s="119" t="s">
        <v>2</v>
      </c>
      <c r="M29" s="119" t="s">
        <v>2</v>
      </c>
      <c r="N29" s="119" t="s">
        <v>3</v>
      </c>
      <c r="O29" s="119" t="s">
        <v>4</v>
      </c>
      <c r="P29" s="119" t="s">
        <v>2</v>
      </c>
      <c r="Q29" s="119" t="s">
        <v>2</v>
      </c>
      <c r="R29" s="119" t="s">
        <v>2</v>
      </c>
      <c r="S29" s="119" t="s">
        <v>5</v>
      </c>
      <c r="T29" s="119" t="s">
        <v>5</v>
      </c>
      <c r="U29" s="119" t="s">
        <v>3</v>
      </c>
      <c r="V29" s="119" t="s">
        <v>3</v>
      </c>
      <c r="W29" s="119" t="s">
        <v>2</v>
      </c>
      <c r="X29" s="119" t="s">
        <v>4</v>
      </c>
      <c r="Y29" s="119" t="s">
        <v>5</v>
      </c>
      <c r="Z29" s="119" t="s">
        <v>3</v>
      </c>
      <c r="AA29" s="119" t="s">
        <v>3</v>
      </c>
      <c r="AB29" s="119" t="s">
        <v>3</v>
      </c>
      <c r="AC29" s="119" t="s">
        <v>3</v>
      </c>
      <c r="AD29" s="119" t="s">
        <v>4</v>
      </c>
      <c r="AE29" s="119" t="s">
        <v>4</v>
      </c>
      <c r="AF29" s="119" t="s">
        <v>4</v>
      </c>
      <c r="AG29" s="119" t="s">
        <v>4</v>
      </c>
      <c r="AH29" s="119" t="s">
        <v>3</v>
      </c>
      <c r="AI29" s="119" t="s">
        <v>4</v>
      </c>
      <c r="AJ29" s="119" t="s">
        <v>4</v>
      </c>
      <c r="AK29" s="119" t="s">
        <v>4</v>
      </c>
      <c r="AL29" s="119" t="s">
        <v>4</v>
      </c>
      <c r="AM29" s="119" t="s">
        <v>4</v>
      </c>
      <c r="AN29" s="119" t="s">
        <v>3</v>
      </c>
    </row>
    <row r="30" spans="1:40" x14ac:dyDescent="0.3">
      <c r="A30" s="119">
        <f t="shared" si="0"/>
        <v>29</v>
      </c>
      <c r="B30" s="119" t="s">
        <v>19</v>
      </c>
      <c r="C30" s="119" t="s">
        <v>537</v>
      </c>
      <c r="D30" s="119">
        <v>3</v>
      </c>
      <c r="E30" s="119" t="s">
        <v>5</v>
      </c>
      <c r="F30" s="119" t="s">
        <v>5</v>
      </c>
      <c r="G30" s="119" t="s">
        <v>4</v>
      </c>
      <c r="H30" s="119" t="s">
        <v>5</v>
      </c>
      <c r="I30" s="119" t="s">
        <v>5</v>
      </c>
      <c r="J30" s="119" t="s">
        <v>2</v>
      </c>
      <c r="K30" s="119" t="s">
        <v>5</v>
      </c>
      <c r="L30" s="119" t="s">
        <v>2</v>
      </c>
      <c r="M30" s="119" t="s">
        <v>3</v>
      </c>
      <c r="N30" s="119" t="s">
        <v>4</v>
      </c>
      <c r="O30" s="119" t="s">
        <v>4</v>
      </c>
      <c r="P30" s="119" t="s">
        <v>2</v>
      </c>
      <c r="Q30" s="119" t="s">
        <v>5</v>
      </c>
      <c r="R30" s="119" t="s">
        <v>5</v>
      </c>
      <c r="S30" s="119" t="s">
        <v>5</v>
      </c>
      <c r="T30" s="119" t="s">
        <v>5</v>
      </c>
      <c r="U30" s="119" t="s">
        <v>5</v>
      </c>
      <c r="V30" s="119" t="s">
        <v>5</v>
      </c>
      <c r="W30" s="119" t="s">
        <v>4</v>
      </c>
      <c r="X30" s="119" t="s">
        <v>4</v>
      </c>
      <c r="Y30" s="119" t="s">
        <v>4</v>
      </c>
      <c r="Z30" s="119" t="s">
        <v>5</v>
      </c>
      <c r="AA30" s="119" t="s">
        <v>3</v>
      </c>
      <c r="AB30" s="119" t="s">
        <v>4</v>
      </c>
      <c r="AC30" s="119" t="s">
        <v>4</v>
      </c>
      <c r="AD30" s="119" t="s">
        <v>4</v>
      </c>
      <c r="AE30" s="119" t="s">
        <v>4</v>
      </c>
      <c r="AF30" s="119" t="s">
        <v>4</v>
      </c>
      <c r="AG30" s="119" t="s">
        <v>4</v>
      </c>
      <c r="AH30" s="119" t="s">
        <v>3</v>
      </c>
      <c r="AI30" s="119" t="s">
        <v>4</v>
      </c>
      <c r="AJ30" s="119" t="s">
        <v>3</v>
      </c>
      <c r="AK30" s="119" t="s">
        <v>4</v>
      </c>
      <c r="AL30" s="119" t="s">
        <v>4</v>
      </c>
      <c r="AM30" s="119" t="s">
        <v>4</v>
      </c>
      <c r="AN30" s="119" t="s">
        <v>3</v>
      </c>
    </row>
    <row r="31" spans="1:40" x14ac:dyDescent="0.3">
      <c r="A31" s="119">
        <f t="shared" si="0"/>
        <v>30</v>
      </c>
      <c r="B31" s="119" t="s">
        <v>20</v>
      </c>
      <c r="C31" s="119" t="s">
        <v>537</v>
      </c>
      <c r="D31" s="119">
        <v>3</v>
      </c>
      <c r="E31" s="119" t="s">
        <v>2</v>
      </c>
      <c r="F31" s="119" t="s">
        <v>3</v>
      </c>
      <c r="G31" s="119" t="s">
        <v>3</v>
      </c>
      <c r="H31" s="119" t="s">
        <v>2</v>
      </c>
      <c r="I31" s="119" t="s">
        <v>5</v>
      </c>
      <c r="J31" s="119" t="s">
        <v>2</v>
      </c>
      <c r="K31" s="119" t="s">
        <v>5</v>
      </c>
      <c r="L31" s="119" t="s">
        <v>2</v>
      </c>
      <c r="M31" s="119" t="s">
        <v>3</v>
      </c>
      <c r="N31" s="119" t="s">
        <v>4</v>
      </c>
      <c r="O31" s="119" t="s">
        <v>4</v>
      </c>
      <c r="P31" s="119" t="s">
        <v>5</v>
      </c>
      <c r="Q31" s="119" t="s">
        <v>5</v>
      </c>
      <c r="R31" s="119" t="s">
        <v>4</v>
      </c>
      <c r="S31" s="119" t="s">
        <v>5</v>
      </c>
      <c r="T31" s="119" t="s">
        <v>5</v>
      </c>
      <c r="U31" s="119" t="s">
        <v>5</v>
      </c>
      <c r="V31" s="119" t="s">
        <v>5</v>
      </c>
      <c r="W31" s="119" t="s">
        <v>5</v>
      </c>
      <c r="X31" s="119" t="s">
        <v>4</v>
      </c>
      <c r="Y31" s="119" t="s">
        <v>4</v>
      </c>
      <c r="Z31" s="119" t="s">
        <v>4</v>
      </c>
      <c r="AA31" s="119" t="s">
        <v>4</v>
      </c>
      <c r="AB31" s="119" t="s">
        <v>4</v>
      </c>
      <c r="AC31" s="119" t="s">
        <v>4</v>
      </c>
      <c r="AD31" s="119" t="s">
        <v>4</v>
      </c>
      <c r="AE31" s="119" t="s">
        <v>4</v>
      </c>
      <c r="AF31" s="119" t="s">
        <v>4</v>
      </c>
      <c r="AG31" s="119" t="s">
        <v>4</v>
      </c>
      <c r="AH31" s="119" t="s">
        <v>4</v>
      </c>
      <c r="AI31" s="119" t="s">
        <v>4</v>
      </c>
      <c r="AJ31" s="119" t="s">
        <v>3</v>
      </c>
      <c r="AK31" s="119" t="s">
        <v>4</v>
      </c>
      <c r="AL31" s="119" t="s">
        <v>4</v>
      </c>
      <c r="AM31" s="119" t="s">
        <v>3</v>
      </c>
      <c r="AN31" s="119" t="s">
        <v>4</v>
      </c>
    </row>
    <row r="32" spans="1:40" x14ac:dyDescent="0.3">
      <c r="A32" s="119">
        <f t="shared" si="0"/>
        <v>31</v>
      </c>
      <c r="B32" s="119" t="s">
        <v>21</v>
      </c>
      <c r="C32" s="119" t="s">
        <v>537</v>
      </c>
      <c r="D32" s="119">
        <v>3</v>
      </c>
      <c r="E32" s="119" t="s">
        <v>2</v>
      </c>
      <c r="F32" s="119" t="s">
        <v>5</v>
      </c>
      <c r="G32" s="119" t="s">
        <v>3</v>
      </c>
      <c r="H32" s="119" t="s">
        <v>5</v>
      </c>
      <c r="I32" s="119" t="s">
        <v>5</v>
      </c>
      <c r="J32" s="119" t="s">
        <v>5</v>
      </c>
      <c r="K32" s="119" t="s">
        <v>5</v>
      </c>
      <c r="L32" s="119" t="s">
        <v>2</v>
      </c>
      <c r="M32" s="119" t="s">
        <v>2</v>
      </c>
      <c r="N32" s="119" t="s">
        <v>3</v>
      </c>
      <c r="O32" s="119" t="s">
        <v>4</v>
      </c>
      <c r="P32" s="119" t="s">
        <v>2</v>
      </c>
      <c r="Q32" s="119" t="s">
        <v>5</v>
      </c>
      <c r="R32" s="119" t="s">
        <v>3</v>
      </c>
      <c r="S32" s="119" t="s">
        <v>3</v>
      </c>
      <c r="T32" s="119" t="s">
        <v>5</v>
      </c>
      <c r="U32" s="119" t="s">
        <v>5</v>
      </c>
      <c r="V32" s="119" t="s">
        <v>5</v>
      </c>
      <c r="W32" s="119" t="s">
        <v>5</v>
      </c>
      <c r="X32" s="119" t="s">
        <v>4</v>
      </c>
      <c r="Y32" s="119" t="s">
        <v>2</v>
      </c>
      <c r="Z32" s="119" t="s">
        <v>2</v>
      </c>
      <c r="AA32" s="119" t="s">
        <v>3</v>
      </c>
      <c r="AB32" s="119" t="s">
        <v>4</v>
      </c>
      <c r="AC32" s="119" t="s">
        <v>4</v>
      </c>
      <c r="AD32" s="119" t="s">
        <v>4</v>
      </c>
      <c r="AE32" s="119" t="s">
        <v>4</v>
      </c>
      <c r="AF32" s="119" t="s">
        <v>4</v>
      </c>
      <c r="AG32" s="119" t="s">
        <v>4</v>
      </c>
      <c r="AH32" s="119" t="s">
        <v>3</v>
      </c>
      <c r="AI32" s="119" t="s">
        <v>4</v>
      </c>
      <c r="AJ32" s="119" t="s">
        <v>3</v>
      </c>
      <c r="AK32" s="119" t="s">
        <v>4</v>
      </c>
      <c r="AL32" s="119" t="s">
        <v>4</v>
      </c>
      <c r="AM32" s="119" t="s">
        <v>4</v>
      </c>
      <c r="AN32" s="119" t="s">
        <v>3</v>
      </c>
    </row>
    <row r="33" spans="1:40" x14ac:dyDescent="0.3">
      <c r="A33" s="119">
        <f t="shared" si="0"/>
        <v>32</v>
      </c>
      <c r="B33" s="119" t="s">
        <v>22</v>
      </c>
      <c r="C33" s="119" t="s">
        <v>537</v>
      </c>
      <c r="D33" s="119">
        <v>3</v>
      </c>
      <c r="E33" s="119" t="s">
        <v>4</v>
      </c>
      <c r="F33" s="119" t="s">
        <v>5</v>
      </c>
      <c r="G33" s="119" t="s">
        <v>3</v>
      </c>
      <c r="H33" s="119" t="s">
        <v>5</v>
      </c>
      <c r="I33" s="119" t="s">
        <v>5</v>
      </c>
      <c r="J33" s="119" t="s">
        <v>5</v>
      </c>
      <c r="K33" s="119" t="s">
        <v>5</v>
      </c>
      <c r="L33" s="119" t="s">
        <v>2</v>
      </c>
      <c r="M33" s="119" t="s">
        <v>3</v>
      </c>
      <c r="N33" s="119" t="s">
        <v>2</v>
      </c>
      <c r="O33" s="119" t="s">
        <v>2</v>
      </c>
      <c r="P33" s="119" t="s">
        <v>5</v>
      </c>
      <c r="Q33" s="119" t="s">
        <v>3</v>
      </c>
      <c r="R33" s="119" t="s">
        <v>3</v>
      </c>
      <c r="S33" s="119" t="s">
        <v>2</v>
      </c>
      <c r="T33" s="119" t="s">
        <v>5</v>
      </c>
      <c r="U33" s="119" t="s">
        <v>2</v>
      </c>
      <c r="V33" s="119" t="s">
        <v>2</v>
      </c>
      <c r="W33" s="119" t="s">
        <v>5</v>
      </c>
      <c r="X33" s="119" t="s">
        <v>4</v>
      </c>
      <c r="Y33" s="119" t="s">
        <v>3</v>
      </c>
      <c r="Z33" s="119" t="s">
        <v>2</v>
      </c>
      <c r="AA33" s="119" t="s">
        <v>3</v>
      </c>
      <c r="AB33" s="119" t="s">
        <v>4</v>
      </c>
      <c r="AC33" s="119" t="s">
        <v>4</v>
      </c>
      <c r="AD33" s="119" t="s">
        <v>4</v>
      </c>
      <c r="AE33" s="119" t="s">
        <v>4</v>
      </c>
      <c r="AF33" s="119" t="s">
        <v>4</v>
      </c>
      <c r="AG33" s="119" t="s">
        <v>4</v>
      </c>
      <c r="AH33" s="119" t="s">
        <v>3</v>
      </c>
      <c r="AI33" s="119" t="s">
        <v>4</v>
      </c>
      <c r="AJ33" s="119" t="s">
        <v>3</v>
      </c>
      <c r="AK33" s="119" t="s">
        <v>4</v>
      </c>
      <c r="AL33" s="119" t="s">
        <v>4</v>
      </c>
      <c r="AM33" s="119" t="s">
        <v>3</v>
      </c>
      <c r="AN33" s="119" t="s">
        <v>3</v>
      </c>
    </row>
    <row r="34" spans="1:40" x14ac:dyDescent="0.3">
      <c r="A34" s="119">
        <f t="shared" si="0"/>
        <v>33</v>
      </c>
      <c r="B34" s="119" t="s">
        <v>263</v>
      </c>
      <c r="C34" s="119" t="s">
        <v>537</v>
      </c>
      <c r="D34" s="119">
        <v>3</v>
      </c>
      <c r="E34" s="119" t="s">
        <v>2</v>
      </c>
      <c r="F34" s="119" t="s">
        <v>5</v>
      </c>
      <c r="G34" s="119" t="s">
        <v>3</v>
      </c>
      <c r="H34" s="119" t="s">
        <v>5</v>
      </c>
      <c r="I34" s="119" t="s">
        <v>5</v>
      </c>
      <c r="J34" s="119" t="s">
        <v>5</v>
      </c>
      <c r="K34" s="119" t="s">
        <v>5</v>
      </c>
      <c r="L34" s="119" t="s">
        <v>2</v>
      </c>
      <c r="M34" s="119" t="s">
        <v>2</v>
      </c>
      <c r="N34" s="119" t="s">
        <v>2</v>
      </c>
      <c r="O34" s="119" t="s">
        <v>3</v>
      </c>
      <c r="P34" s="119" t="s">
        <v>5</v>
      </c>
      <c r="Q34" s="119" t="s">
        <v>5</v>
      </c>
      <c r="R34" s="119" t="s">
        <v>3</v>
      </c>
      <c r="S34" s="119" t="s">
        <v>2</v>
      </c>
      <c r="T34" s="119" t="s">
        <v>2</v>
      </c>
      <c r="U34" s="119" t="s">
        <v>5</v>
      </c>
      <c r="V34" s="119" t="s">
        <v>5</v>
      </c>
      <c r="W34" s="119" t="s">
        <v>2</v>
      </c>
      <c r="X34" s="119" t="s">
        <v>4</v>
      </c>
      <c r="Y34" s="119" t="s">
        <v>2</v>
      </c>
      <c r="Z34" s="119" t="s">
        <v>2</v>
      </c>
      <c r="AA34" s="119" t="s">
        <v>3</v>
      </c>
      <c r="AB34" s="119" t="s">
        <v>4</v>
      </c>
      <c r="AC34" s="119" t="s">
        <v>4</v>
      </c>
      <c r="AD34" s="119" t="s">
        <v>4</v>
      </c>
      <c r="AE34" s="119" t="s">
        <v>4</v>
      </c>
      <c r="AF34" s="119" t="s">
        <v>4</v>
      </c>
      <c r="AG34" s="119" t="s">
        <v>4</v>
      </c>
      <c r="AH34" s="119" t="s">
        <v>3</v>
      </c>
      <c r="AI34" s="119" t="s">
        <v>4</v>
      </c>
      <c r="AJ34" s="119" t="s">
        <v>3</v>
      </c>
      <c r="AK34" s="119" t="s">
        <v>4</v>
      </c>
      <c r="AL34" s="119" t="s">
        <v>4</v>
      </c>
      <c r="AM34" s="119" t="s">
        <v>4</v>
      </c>
      <c r="AN34" s="119" t="s">
        <v>3</v>
      </c>
    </row>
    <row r="35" spans="1:40" x14ac:dyDescent="0.3">
      <c r="A35" s="119">
        <f t="shared" si="0"/>
        <v>34</v>
      </c>
      <c r="B35" s="119" t="s">
        <v>264</v>
      </c>
      <c r="C35" s="119" t="s">
        <v>537</v>
      </c>
      <c r="D35" s="119">
        <v>3</v>
      </c>
      <c r="E35" s="119" t="s">
        <v>5</v>
      </c>
      <c r="F35" s="119" t="s">
        <v>3</v>
      </c>
      <c r="G35" s="119" t="s">
        <v>3</v>
      </c>
      <c r="H35" s="119" t="s">
        <v>5</v>
      </c>
      <c r="I35" s="119" t="s">
        <v>5</v>
      </c>
      <c r="J35" s="119" t="s">
        <v>5</v>
      </c>
      <c r="K35" s="119" t="s">
        <v>5</v>
      </c>
      <c r="L35" s="119" t="s">
        <v>2</v>
      </c>
      <c r="M35" s="119" t="s">
        <v>2</v>
      </c>
      <c r="N35" s="119" t="s">
        <v>3</v>
      </c>
      <c r="O35" s="119" t="s">
        <v>3</v>
      </c>
      <c r="P35" s="119" t="s">
        <v>2</v>
      </c>
      <c r="Q35" s="119" t="s">
        <v>5</v>
      </c>
      <c r="R35" s="119" t="s">
        <v>3</v>
      </c>
      <c r="S35" s="119" t="s">
        <v>3</v>
      </c>
      <c r="T35" s="119" t="s">
        <v>2</v>
      </c>
      <c r="U35" s="119" t="s">
        <v>5</v>
      </c>
      <c r="V35" s="119" t="s">
        <v>5</v>
      </c>
      <c r="W35" s="119" t="s">
        <v>5</v>
      </c>
      <c r="X35" s="119" t="s">
        <v>4</v>
      </c>
      <c r="Y35" s="119" t="s">
        <v>3</v>
      </c>
      <c r="Z35" s="119" t="s">
        <v>2</v>
      </c>
      <c r="AA35" s="119" t="s">
        <v>3</v>
      </c>
      <c r="AB35" s="119" t="s">
        <v>4</v>
      </c>
      <c r="AC35" s="119" t="s">
        <v>4</v>
      </c>
      <c r="AD35" s="119" t="s">
        <v>4</v>
      </c>
      <c r="AE35" s="119" t="s">
        <v>4</v>
      </c>
      <c r="AF35" s="119" t="s">
        <v>4</v>
      </c>
      <c r="AG35" s="119" t="s">
        <v>4</v>
      </c>
      <c r="AH35" s="119" t="s">
        <v>3</v>
      </c>
      <c r="AI35" s="119" t="s">
        <v>4</v>
      </c>
      <c r="AJ35" s="119" t="s">
        <v>4</v>
      </c>
      <c r="AK35" s="119" t="s">
        <v>4</v>
      </c>
      <c r="AL35" s="119" t="s">
        <v>4</v>
      </c>
      <c r="AM35" s="119" t="s">
        <v>3</v>
      </c>
      <c r="AN35" s="119" t="s">
        <v>3</v>
      </c>
    </row>
    <row r="36" spans="1:40" x14ac:dyDescent="0.3">
      <c r="A36" s="119">
        <f t="shared" si="0"/>
        <v>35</v>
      </c>
      <c r="B36" s="119" t="s">
        <v>265</v>
      </c>
      <c r="C36" s="119" t="s">
        <v>537</v>
      </c>
      <c r="D36" s="119">
        <v>3</v>
      </c>
      <c r="E36" s="119" t="s">
        <v>5</v>
      </c>
      <c r="F36" s="119" t="s">
        <v>3</v>
      </c>
      <c r="G36" s="119" t="s">
        <v>3</v>
      </c>
      <c r="H36" s="119" t="s">
        <v>2</v>
      </c>
      <c r="I36" s="119" t="s">
        <v>5</v>
      </c>
      <c r="J36" s="119" t="s">
        <v>5</v>
      </c>
      <c r="K36" s="119" t="s">
        <v>5</v>
      </c>
      <c r="L36" s="119" t="s">
        <v>2</v>
      </c>
      <c r="M36" s="119" t="s">
        <v>3</v>
      </c>
      <c r="N36" s="119" t="s">
        <v>3</v>
      </c>
      <c r="O36" s="119" t="s">
        <v>3</v>
      </c>
      <c r="P36" s="119" t="s">
        <v>2</v>
      </c>
      <c r="Q36" s="119" t="s">
        <v>5</v>
      </c>
      <c r="R36" s="119" t="s">
        <v>3</v>
      </c>
      <c r="S36" s="119" t="s">
        <v>3</v>
      </c>
      <c r="T36" s="119" t="s">
        <v>5</v>
      </c>
      <c r="U36" s="119" t="s">
        <v>5</v>
      </c>
      <c r="V36" s="119" t="s">
        <v>5</v>
      </c>
      <c r="W36" s="119" t="s">
        <v>5</v>
      </c>
      <c r="X36" s="119" t="s">
        <v>4</v>
      </c>
      <c r="Y36" s="119" t="s">
        <v>3</v>
      </c>
      <c r="Z36" s="119" t="s">
        <v>2</v>
      </c>
      <c r="AA36" s="119" t="s">
        <v>3</v>
      </c>
      <c r="AB36" s="119" t="s">
        <v>4</v>
      </c>
      <c r="AC36" s="119" t="s">
        <v>4</v>
      </c>
      <c r="AD36" s="119" t="s">
        <v>4</v>
      </c>
      <c r="AE36" s="119" t="s">
        <v>4</v>
      </c>
      <c r="AF36" s="119" t="s">
        <v>4</v>
      </c>
      <c r="AG36" s="119" t="s">
        <v>4</v>
      </c>
      <c r="AH36" s="119" t="s">
        <v>3</v>
      </c>
      <c r="AI36" s="119" t="s">
        <v>4</v>
      </c>
      <c r="AJ36" s="119" t="s">
        <v>3</v>
      </c>
      <c r="AK36" s="119" t="s">
        <v>4</v>
      </c>
      <c r="AL36" s="119" t="s">
        <v>4</v>
      </c>
      <c r="AM36" s="119" t="s">
        <v>3</v>
      </c>
      <c r="AN36" s="119" t="s">
        <v>3</v>
      </c>
    </row>
    <row r="37" spans="1:40" x14ac:dyDescent="0.3">
      <c r="A37" s="119">
        <f t="shared" si="0"/>
        <v>36</v>
      </c>
      <c r="B37" s="119" t="s">
        <v>266</v>
      </c>
      <c r="C37" s="119" t="s">
        <v>537</v>
      </c>
      <c r="D37" s="119">
        <v>3</v>
      </c>
      <c r="E37" s="119" t="s">
        <v>5</v>
      </c>
      <c r="F37" s="119" t="s">
        <v>3</v>
      </c>
      <c r="G37" s="119" t="s">
        <v>3</v>
      </c>
      <c r="H37" s="119" t="s">
        <v>5</v>
      </c>
      <c r="I37" s="119" t="s">
        <v>5</v>
      </c>
      <c r="J37" s="119" t="s">
        <v>5</v>
      </c>
      <c r="K37" s="119" t="s">
        <v>2</v>
      </c>
      <c r="L37" s="119" t="s">
        <v>2</v>
      </c>
      <c r="M37" s="119" t="s">
        <v>3</v>
      </c>
      <c r="N37" s="119" t="s">
        <v>4</v>
      </c>
      <c r="O37" s="119" t="s">
        <v>4</v>
      </c>
      <c r="P37" s="119" t="s">
        <v>5</v>
      </c>
      <c r="Q37" s="119" t="s">
        <v>2</v>
      </c>
      <c r="R37" s="119" t="s">
        <v>3</v>
      </c>
      <c r="S37" s="119" t="s">
        <v>2</v>
      </c>
      <c r="T37" s="119" t="s">
        <v>5</v>
      </c>
      <c r="U37" s="119" t="s">
        <v>5</v>
      </c>
      <c r="V37" s="119" t="s">
        <v>5</v>
      </c>
      <c r="W37" s="119" t="s">
        <v>5</v>
      </c>
      <c r="X37" s="119" t="s">
        <v>4</v>
      </c>
      <c r="Y37" s="119" t="s">
        <v>3</v>
      </c>
      <c r="Z37" s="119" t="s">
        <v>3</v>
      </c>
      <c r="AA37" s="119" t="s">
        <v>3</v>
      </c>
      <c r="AB37" s="119" t="s">
        <v>4</v>
      </c>
      <c r="AC37" s="119" t="s">
        <v>4</v>
      </c>
      <c r="AD37" s="119" t="s">
        <v>4</v>
      </c>
      <c r="AE37" s="119" t="s">
        <v>4</v>
      </c>
      <c r="AF37" s="119" t="s">
        <v>4</v>
      </c>
      <c r="AG37" s="119" t="s">
        <v>4</v>
      </c>
      <c r="AH37" s="119" t="s">
        <v>3</v>
      </c>
      <c r="AI37" s="119" t="s">
        <v>4</v>
      </c>
      <c r="AJ37" s="119" t="s">
        <v>4</v>
      </c>
      <c r="AK37" s="119" t="s">
        <v>4</v>
      </c>
      <c r="AL37" s="119" t="s">
        <v>4</v>
      </c>
      <c r="AM37" s="119" t="s">
        <v>4</v>
      </c>
      <c r="AN37" s="119" t="s">
        <v>3</v>
      </c>
    </row>
    <row r="38" spans="1:40" x14ac:dyDescent="0.3">
      <c r="A38" s="119">
        <f t="shared" si="0"/>
        <v>37</v>
      </c>
      <c r="B38" s="119" t="s">
        <v>465</v>
      </c>
      <c r="C38" s="119" t="s">
        <v>537</v>
      </c>
      <c r="D38" s="119">
        <v>3</v>
      </c>
      <c r="E38" s="119" t="s">
        <v>5</v>
      </c>
      <c r="F38" s="119" t="s">
        <v>5</v>
      </c>
      <c r="G38" s="119" t="s">
        <v>5</v>
      </c>
      <c r="H38" s="119" t="s">
        <v>5</v>
      </c>
      <c r="I38" s="119" t="s">
        <v>5</v>
      </c>
      <c r="J38" s="119" t="s">
        <v>5</v>
      </c>
      <c r="K38" s="119" t="s">
        <v>5</v>
      </c>
      <c r="L38" s="119" t="s">
        <v>2</v>
      </c>
      <c r="M38" s="119" t="s">
        <v>2</v>
      </c>
      <c r="N38" s="119" t="s">
        <v>2</v>
      </c>
      <c r="O38" s="119" t="s">
        <v>5</v>
      </c>
      <c r="P38" s="119" t="s">
        <v>2</v>
      </c>
      <c r="Q38" s="119" t="s">
        <v>2</v>
      </c>
      <c r="R38" s="119" t="s">
        <v>2</v>
      </c>
      <c r="S38" s="119" t="s">
        <v>2</v>
      </c>
      <c r="T38" s="119" t="s">
        <v>5</v>
      </c>
      <c r="U38" s="119" t="s">
        <v>5</v>
      </c>
      <c r="V38" s="119" t="s">
        <v>5</v>
      </c>
      <c r="W38" s="119" t="s">
        <v>5</v>
      </c>
      <c r="X38" s="119" t="s">
        <v>3</v>
      </c>
      <c r="Y38" s="119" t="s">
        <v>4</v>
      </c>
      <c r="Z38" s="119" t="s">
        <v>4</v>
      </c>
      <c r="AA38" s="119" t="s">
        <v>3</v>
      </c>
      <c r="AB38" s="119" t="s">
        <v>4</v>
      </c>
      <c r="AC38" s="119" t="s">
        <v>3</v>
      </c>
      <c r="AD38" s="119" t="s">
        <v>4</v>
      </c>
      <c r="AE38" s="119" t="s">
        <v>4</v>
      </c>
      <c r="AF38" s="119" t="s">
        <v>4</v>
      </c>
      <c r="AG38" s="119" t="s">
        <v>4</v>
      </c>
      <c r="AH38" s="119" t="s">
        <v>4</v>
      </c>
      <c r="AI38" s="119" t="s">
        <v>4</v>
      </c>
      <c r="AJ38" s="119" t="s">
        <v>3</v>
      </c>
      <c r="AK38" s="119" t="s">
        <v>4</v>
      </c>
      <c r="AL38" s="119" t="s">
        <v>4</v>
      </c>
      <c r="AM38" s="119" t="s">
        <v>4</v>
      </c>
      <c r="AN38" s="119" t="s">
        <v>3</v>
      </c>
    </row>
    <row r="39" spans="1:40" x14ac:dyDescent="0.3">
      <c r="A39" s="119">
        <f t="shared" si="0"/>
        <v>38</v>
      </c>
      <c r="B39" s="119" t="s">
        <v>466</v>
      </c>
      <c r="C39" s="119" t="s">
        <v>537</v>
      </c>
      <c r="D39" s="119">
        <v>3</v>
      </c>
      <c r="E39" s="119" t="s">
        <v>5</v>
      </c>
      <c r="F39" s="119" t="s">
        <v>3</v>
      </c>
      <c r="G39" s="119" t="s">
        <v>3</v>
      </c>
      <c r="H39" s="119" t="s">
        <v>5</v>
      </c>
      <c r="I39" s="119" t="s">
        <v>5</v>
      </c>
      <c r="J39" s="119" t="s">
        <v>5</v>
      </c>
      <c r="K39" s="119" t="s">
        <v>5</v>
      </c>
      <c r="L39" s="119" t="s">
        <v>2</v>
      </c>
      <c r="M39" s="119" t="s">
        <v>3</v>
      </c>
      <c r="N39" s="119" t="s">
        <v>3</v>
      </c>
      <c r="O39" s="119" t="s">
        <v>4</v>
      </c>
      <c r="P39" s="119" t="s">
        <v>5</v>
      </c>
      <c r="Q39" s="119" t="s">
        <v>2</v>
      </c>
      <c r="R39" s="119" t="s">
        <v>3</v>
      </c>
      <c r="S39" s="119" t="s">
        <v>5</v>
      </c>
      <c r="T39" s="119" t="s">
        <v>5</v>
      </c>
      <c r="U39" s="119" t="s">
        <v>5</v>
      </c>
      <c r="V39" s="119" t="s">
        <v>5</v>
      </c>
      <c r="W39" s="119" t="s">
        <v>4</v>
      </c>
      <c r="X39" s="119" t="s">
        <v>4</v>
      </c>
      <c r="Y39" s="119" t="s">
        <v>4</v>
      </c>
      <c r="Z39" s="119" t="s">
        <v>2</v>
      </c>
      <c r="AA39" s="119" t="s">
        <v>3</v>
      </c>
      <c r="AB39" s="119" t="s">
        <v>4</v>
      </c>
      <c r="AC39" s="119" t="s">
        <v>4</v>
      </c>
      <c r="AD39" s="119" t="s">
        <v>4</v>
      </c>
      <c r="AE39" s="119" t="s">
        <v>4</v>
      </c>
      <c r="AF39" s="119" t="s">
        <v>4</v>
      </c>
      <c r="AG39" s="119" t="s">
        <v>4</v>
      </c>
      <c r="AH39" s="119" t="s">
        <v>3</v>
      </c>
      <c r="AI39" s="119" t="s">
        <v>4</v>
      </c>
      <c r="AJ39" s="119" t="s">
        <v>3</v>
      </c>
      <c r="AK39" s="119" t="s">
        <v>4</v>
      </c>
      <c r="AL39" s="119" t="s">
        <v>4</v>
      </c>
      <c r="AM39" s="119" t="s">
        <v>4</v>
      </c>
      <c r="AN39" s="119" t="s">
        <v>4</v>
      </c>
    </row>
    <row r="40" spans="1:40" x14ac:dyDescent="0.3">
      <c r="A40" s="119">
        <f t="shared" si="0"/>
        <v>39</v>
      </c>
      <c r="B40" s="119" t="s">
        <v>493</v>
      </c>
      <c r="C40" s="119" t="s">
        <v>537</v>
      </c>
      <c r="D40" s="119">
        <v>3</v>
      </c>
      <c r="E40" s="119" t="s">
        <v>2</v>
      </c>
      <c r="F40" s="119" t="s">
        <v>5</v>
      </c>
      <c r="G40" s="119" t="s">
        <v>3</v>
      </c>
      <c r="H40" s="119" t="s">
        <v>2</v>
      </c>
      <c r="I40" s="119" t="s">
        <v>5</v>
      </c>
      <c r="J40" s="119" t="s">
        <v>5</v>
      </c>
      <c r="K40" s="119" t="s">
        <v>5</v>
      </c>
      <c r="L40" s="119" t="s">
        <v>2</v>
      </c>
      <c r="M40" s="119" t="s">
        <v>3</v>
      </c>
      <c r="N40" s="119" t="s">
        <v>4</v>
      </c>
      <c r="O40" s="119" t="s">
        <v>4</v>
      </c>
      <c r="P40" s="119" t="s">
        <v>5</v>
      </c>
      <c r="Q40" s="119" t="s">
        <v>5</v>
      </c>
      <c r="R40" s="119" t="s">
        <v>4</v>
      </c>
      <c r="S40" s="119" t="s">
        <v>5</v>
      </c>
      <c r="T40" s="119" t="s">
        <v>5</v>
      </c>
      <c r="U40" s="119" t="s">
        <v>5</v>
      </c>
      <c r="V40" s="119" t="s">
        <v>5</v>
      </c>
      <c r="W40" s="119" t="s">
        <v>5</v>
      </c>
      <c r="X40" s="119" t="s">
        <v>4</v>
      </c>
      <c r="Y40" s="119" t="s">
        <v>4</v>
      </c>
      <c r="Z40" s="119" t="s">
        <v>4</v>
      </c>
      <c r="AA40" s="119" t="s">
        <v>4</v>
      </c>
      <c r="AB40" s="119" t="s">
        <v>4</v>
      </c>
      <c r="AC40" s="119" t="s">
        <v>4</v>
      </c>
      <c r="AD40" s="119" t="s">
        <v>4</v>
      </c>
      <c r="AE40" s="119" t="s">
        <v>4</v>
      </c>
      <c r="AF40" s="119" t="s">
        <v>4</v>
      </c>
      <c r="AG40" s="119" t="s">
        <v>4</v>
      </c>
      <c r="AH40" s="119" t="s">
        <v>4</v>
      </c>
      <c r="AI40" s="119" t="s">
        <v>4</v>
      </c>
      <c r="AJ40" s="119" t="s">
        <v>3</v>
      </c>
      <c r="AK40" s="119" t="s">
        <v>4</v>
      </c>
      <c r="AL40" s="119" t="s">
        <v>4</v>
      </c>
      <c r="AM40" s="119" t="s">
        <v>3</v>
      </c>
      <c r="AN40" s="119" t="s">
        <v>4</v>
      </c>
    </row>
    <row r="41" spans="1:40" x14ac:dyDescent="0.3">
      <c r="A41" s="119">
        <f t="shared" si="0"/>
        <v>40</v>
      </c>
      <c r="B41" s="119" t="s">
        <v>23</v>
      </c>
      <c r="C41" s="119" t="s">
        <v>537</v>
      </c>
      <c r="D41" s="119">
        <v>4</v>
      </c>
      <c r="E41" s="119" t="s">
        <v>3</v>
      </c>
      <c r="F41" s="119" t="s">
        <v>3</v>
      </c>
      <c r="G41" s="119" t="s">
        <v>4</v>
      </c>
      <c r="H41" s="119" t="s">
        <v>2</v>
      </c>
      <c r="I41" s="119" t="s">
        <v>5</v>
      </c>
      <c r="J41" s="119" t="s">
        <v>5</v>
      </c>
      <c r="K41" s="119" t="s">
        <v>5</v>
      </c>
      <c r="L41" s="119" t="s">
        <v>2</v>
      </c>
      <c r="M41" s="119" t="s">
        <v>2</v>
      </c>
      <c r="N41" s="119" t="s">
        <v>2</v>
      </c>
      <c r="O41" s="119" t="s">
        <v>5</v>
      </c>
      <c r="P41" s="119" t="s">
        <v>2</v>
      </c>
      <c r="Q41" s="119" t="s">
        <v>5</v>
      </c>
      <c r="R41" s="119" t="s">
        <v>3</v>
      </c>
      <c r="S41" s="119" t="s">
        <v>3</v>
      </c>
      <c r="T41" s="119" t="s">
        <v>5</v>
      </c>
      <c r="U41" s="119" t="s">
        <v>5</v>
      </c>
      <c r="V41" s="119" t="s">
        <v>5</v>
      </c>
      <c r="W41" s="119" t="s">
        <v>5</v>
      </c>
      <c r="X41" s="119" t="s">
        <v>4</v>
      </c>
      <c r="Y41" s="119" t="s">
        <v>4</v>
      </c>
      <c r="Z41" s="119" t="s">
        <v>2</v>
      </c>
      <c r="AA41" s="119" t="s">
        <v>3</v>
      </c>
      <c r="AB41" s="119" t="s">
        <v>4</v>
      </c>
      <c r="AC41" s="119" t="s">
        <v>4</v>
      </c>
      <c r="AD41" s="119" t="s">
        <v>4</v>
      </c>
      <c r="AE41" s="119" t="s">
        <v>4</v>
      </c>
      <c r="AF41" s="119" t="s">
        <v>4</v>
      </c>
      <c r="AG41" s="119" t="s">
        <v>4</v>
      </c>
      <c r="AH41" s="119" t="s">
        <v>3</v>
      </c>
      <c r="AI41" s="119" t="s">
        <v>4</v>
      </c>
      <c r="AJ41" s="119" t="s">
        <v>3</v>
      </c>
      <c r="AK41" s="119" t="s">
        <v>3</v>
      </c>
      <c r="AL41" s="119" t="s">
        <v>4</v>
      </c>
      <c r="AM41" s="119" t="s">
        <v>3</v>
      </c>
      <c r="AN41" s="119" t="s">
        <v>3</v>
      </c>
    </row>
    <row r="42" spans="1:40" x14ac:dyDescent="0.3">
      <c r="A42" s="119">
        <f t="shared" si="0"/>
        <v>41</v>
      </c>
      <c r="B42" s="119" t="s">
        <v>24</v>
      </c>
      <c r="C42" s="119" t="s">
        <v>537</v>
      </c>
      <c r="D42" s="119">
        <v>4</v>
      </c>
      <c r="E42" s="119" t="s">
        <v>5</v>
      </c>
      <c r="F42" s="119" t="s">
        <v>3</v>
      </c>
      <c r="G42" s="119" t="s">
        <v>3</v>
      </c>
      <c r="H42" s="119" t="s">
        <v>5</v>
      </c>
      <c r="I42" s="119" t="s">
        <v>5</v>
      </c>
      <c r="J42" s="119" t="s">
        <v>5</v>
      </c>
      <c r="K42" s="119" t="s">
        <v>5</v>
      </c>
      <c r="L42" s="119" t="s">
        <v>2</v>
      </c>
      <c r="M42" s="119" t="s">
        <v>2</v>
      </c>
      <c r="N42" s="119" t="s">
        <v>5</v>
      </c>
      <c r="O42" s="119" t="s">
        <v>3</v>
      </c>
      <c r="P42" s="119" t="s">
        <v>4</v>
      </c>
      <c r="Q42" s="119" t="s">
        <v>5</v>
      </c>
      <c r="R42" s="119" t="s">
        <v>3</v>
      </c>
      <c r="S42" s="119" t="s">
        <v>5</v>
      </c>
      <c r="T42" s="119" t="s">
        <v>5</v>
      </c>
      <c r="U42" s="119" t="s">
        <v>5</v>
      </c>
      <c r="V42" s="119" t="s">
        <v>5</v>
      </c>
      <c r="W42" s="119" t="s">
        <v>5</v>
      </c>
      <c r="X42" s="119" t="s">
        <v>4</v>
      </c>
      <c r="Y42" s="119" t="s">
        <v>4</v>
      </c>
      <c r="Z42" s="119" t="s">
        <v>4</v>
      </c>
      <c r="AA42" s="119" t="s">
        <v>3</v>
      </c>
      <c r="AB42" s="119" t="s">
        <v>4</v>
      </c>
      <c r="AC42" s="119" t="s">
        <v>4</v>
      </c>
      <c r="AD42" s="119" t="s">
        <v>4</v>
      </c>
      <c r="AE42" s="119" t="s">
        <v>4</v>
      </c>
      <c r="AF42" s="119" t="s">
        <v>4</v>
      </c>
      <c r="AG42" s="119" t="s">
        <v>4</v>
      </c>
      <c r="AH42" s="119" t="s">
        <v>3</v>
      </c>
      <c r="AI42" s="119" t="s">
        <v>4</v>
      </c>
      <c r="AJ42" s="119" t="s">
        <v>3</v>
      </c>
      <c r="AK42" s="119" t="s">
        <v>4</v>
      </c>
      <c r="AL42" s="119" t="s">
        <v>4</v>
      </c>
      <c r="AM42" s="119" t="s">
        <v>4</v>
      </c>
      <c r="AN42" s="119" t="s">
        <v>3</v>
      </c>
    </row>
    <row r="43" spans="1:40" x14ac:dyDescent="0.3">
      <c r="A43" s="119">
        <f t="shared" si="0"/>
        <v>42</v>
      </c>
      <c r="B43" s="119" t="s">
        <v>25</v>
      </c>
      <c r="C43" s="119" t="s">
        <v>537</v>
      </c>
      <c r="D43" s="119">
        <v>4</v>
      </c>
      <c r="E43" s="119" t="s">
        <v>5</v>
      </c>
      <c r="F43" s="119" t="s">
        <v>5</v>
      </c>
      <c r="G43" s="119" t="s">
        <v>5</v>
      </c>
      <c r="H43" s="119" t="s">
        <v>5</v>
      </c>
      <c r="I43" s="119" t="s">
        <v>5</v>
      </c>
      <c r="J43" s="119" t="s">
        <v>5</v>
      </c>
      <c r="K43" s="119" t="s">
        <v>5</v>
      </c>
      <c r="L43" s="119" t="s">
        <v>2</v>
      </c>
      <c r="M43" s="119" t="s">
        <v>5</v>
      </c>
      <c r="N43" s="119" t="s">
        <v>5</v>
      </c>
      <c r="O43" s="119" t="s">
        <v>3</v>
      </c>
      <c r="P43" s="119" t="s">
        <v>5</v>
      </c>
      <c r="Q43" s="119" t="s">
        <v>5</v>
      </c>
      <c r="R43" s="119" t="s">
        <v>2</v>
      </c>
      <c r="S43" s="119" t="s">
        <v>2</v>
      </c>
      <c r="T43" s="119" t="s">
        <v>5</v>
      </c>
      <c r="U43" s="119" t="s">
        <v>5</v>
      </c>
      <c r="V43" s="119" t="s">
        <v>5</v>
      </c>
      <c r="W43" s="119" t="s">
        <v>5</v>
      </c>
      <c r="X43" s="119" t="s">
        <v>4</v>
      </c>
      <c r="Y43" s="119" t="s">
        <v>3</v>
      </c>
      <c r="Z43" s="119" t="s">
        <v>2</v>
      </c>
      <c r="AA43" s="119" t="s">
        <v>3</v>
      </c>
      <c r="AB43" s="119" t="s">
        <v>4</v>
      </c>
      <c r="AC43" s="119" t="s">
        <v>4</v>
      </c>
      <c r="AD43" s="119" t="s">
        <v>4</v>
      </c>
      <c r="AE43" s="119" t="s">
        <v>4</v>
      </c>
      <c r="AF43" s="119" t="s">
        <v>4</v>
      </c>
      <c r="AG43" s="119" t="s">
        <v>4</v>
      </c>
      <c r="AH43" s="119" t="s">
        <v>3</v>
      </c>
      <c r="AI43" s="119" t="s">
        <v>4</v>
      </c>
      <c r="AJ43" s="119" t="s">
        <v>3</v>
      </c>
      <c r="AK43" s="119" t="s">
        <v>4</v>
      </c>
      <c r="AL43" s="119" t="s">
        <v>4</v>
      </c>
      <c r="AM43" s="119" t="s">
        <v>3</v>
      </c>
      <c r="AN43" s="119" t="s">
        <v>3</v>
      </c>
    </row>
    <row r="44" spans="1:40" x14ac:dyDescent="0.3">
      <c r="A44" s="119">
        <f t="shared" si="0"/>
        <v>43</v>
      </c>
      <c r="B44" s="119" t="s">
        <v>26</v>
      </c>
      <c r="C44" s="119" t="s">
        <v>537</v>
      </c>
      <c r="D44" s="119">
        <v>4</v>
      </c>
      <c r="E44" s="119" t="s">
        <v>3</v>
      </c>
      <c r="F44" s="119" t="s">
        <v>3</v>
      </c>
      <c r="G44" s="119" t="s">
        <v>3</v>
      </c>
      <c r="H44" s="119" t="s">
        <v>5</v>
      </c>
      <c r="I44" s="119" t="s">
        <v>5</v>
      </c>
      <c r="J44" s="119" t="s">
        <v>5</v>
      </c>
      <c r="K44" s="119" t="s">
        <v>5</v>
      </c>
      <c r="L44" s="119" t="s">
        <v>2</v>
      </c>
      <c r="M44" s="119" t="s">
        <v>2</v>
      </c>
      <c r="N44" s="119" t="s">
        <v>4</v>
      </c>
      <c r="O44" s="119" t="s">
        <v>4</v>
      </c>
      <c r="P44" s="119" t="s">
        <v>5</v>
      </c>
      <c r="Q44" s="119" t="s">
        <v>5</v>
      </c>
      <c r="R44" s="119" t="s">
        <v>3</v>
      </c>
      <c r="S44" s="119" t="s">
        <v>2</v>
      </c>
      <c r="T44" s="119" t="s">
        <v>5</v>
      </c>
      <c r="U44" s="119" t="s">
        <v>5</v>
      </c>
      <c r="V44" s="119" t="s">
        <v>5</v>
      </c>
      <c r="W44" s="119" t="s">
        <v>4</v>
      </c>
      <c r="X44" s="119" t="s">
        <v>4</v>
      </c>
      <c r="Y44" s="119" t="s">
        <v>3</v>
      </c>
      <c r="Z44" s="119" t="s">
        <v>4</v>
      </c>
      <c r="AA44" s="119" t="s">
        <v>3</v>
      </c>
      <c r="AB44" s="119" t="s">
        <v>4</v>
      </c>
      <c r="AC44" s="119" t="s">
        <v>4</v>
      </c>
      <c r="AD44" s="119" t="s">
        <v>4</v>
      </c>
      <c r="AE44" s="119" t="s">
        <v>4</v>
      </c>
      <c r="AF44" s="119" t="s">
        <v>4</v>
      </c>
      <c r="AG44" s="119" t="s">
        <v>3</v>
      </c>
      <c r="AH44" s="119" t="s">
        <v>3</v>
      </c>
      <c r="AI44" s="119" t="s">
        <v>4</v>
      </c>
      <c r="AJ44" s="119" t="s">
        <v>3</v>
      </c>
      <c r="AK44" s="119" t="s">
        <v>4</v>
      </c>
      <c r="AL44" s="119" t="s">
        <v>4</v>
      </c>
      <c r="AM44" s="119" t="s">
        <v>4</v>
      </c>
      <c r="AN44" s="119" t="s">
        <v>3</v>
      </c>
    </row>
    <row r="45" spans="1:40" x14ac:dyDescent="0.3">
      <c r="A45" s="119">
        <f t="shared" si="0"/>
        <v>44</v>
      </c>
      <c r="B45" s="119" t="s">
        <v>27</v>
      </c>
      <c r="C45" s="119" t="s">
        <v>537</v>
      </c>
      <c r="D45" s="119">
        <v>4</v>
      </c>
      <c r="E45" s="119" t="s">
        <v>5</v>
      </c>
      <c r="F45" s="119" t="s">
        <v>3</v>
      </c>
      <c r="G45" s="119" t="s">
        <v>4</v>
      </c>
      <c r="H45" s="119" t="s">
        <v>3</v>
      </c>
      <c r="I45" s="119" t="s">
        <v>5</v>
      </c>
      <c r="J45" s="119" t="s">
        <v>5</v>
      </c>
      <c r="K45" s="119" t="s">
        <v>5</v>
      </c>
      <c r="L45" s="119" t="s">
        <v>2</v>
      </c>
      <c r="M45" s="119" t="s">
        <v>3</v>
      </c>
      <c r="N45" s="119" t="s">
        <v>3</v>
      </c>
      <c r="O45" s="119" t="s">
        <v>4</v>
      </c>
      <c r="P45" s="119" t="s">
        <v>5</v>
      </c>
      <c r="Q45" s="119" t="s">
        <v>4</v>
      </c>
      <c r="R45" s="119" t="s">
        <v>2</v>
      </c>
      <c r="S45" s="119" t="s">
        <v>5</v>
      </c>
      <c r="T45" s="119" t="s">
        <v>5</v>
      </c>
      <c r="U45" s="119" t="s">
        <v>5</v>
      </c>
      <c r="V45" s="119" t="s">
        <v>5</v>
      </c>
      <c r="W45" s="119" t="s">
        <v>4</v>
      </c>
      <c r="X45" s="119" t="s">
        <v>4</v>
      </c>
      <c r="Y45" s="119" t="s">
        <v>4</v>
      </c>
      <c r="Z45" s="119" t="s">
        <v>2</v>
      </c>
      <c r="AA45" s="119" t="s">
        <v>3</v>
      </c>
      <c r="AB45" s="119" t="s">
        <v>4</v>
      </c>
      <c r="AC45" s="119" t="s">
        <v>4</v>
      </c>
      <c r="AD45" s="119" t="s">
        <v>4</v>
      </c>
      <c r="AE45" s="119" t="s">
        <v>4</v>
      </c>
      <c r="AF45" s="119" t="s">
        <v>4</v>
      </c>
      <c r="AG45" s="119" t="s">
        <v>4</v>
      </c>
      <c r="AH45" s="119" t="s">
        <v>4</v>
      </c>
      <c r="AI45" s="119" t="s">
        <v>4</v>
      </c>
      <c r="AJ45" s="119" t="s">
        <v>3</v>
      </c>
      <c r="AK45" s="119" t="s">
        <v>4</v>
      </c>
      <c r="AL45" s="119" t="s">
        <v>4</v>
      </c>
      <c r="AM45" s="119" t="s">
        <v>4</v>
      </c>
      <c r="AN45" s="119" t="s">
        <v>3</v>
      </c>
    </row>
    <row r="46" spans="1:40" x14ac:dyDescent="0.3">
      <c r="A46" s="119">
        <f t="shared" si="0"/>
        <v>45</v>
      </c>
      <c r="B46" s="119" t="s">
        <v>28</v>
      </c>
      <c r="C46" s="119" t="s">
        <v>537</v>
      </c>
      <c r="D46" s="119">
        <v>4</v>
      </c>
      <c r="E46" s="119" t="s">
        <v>5</v>
      </c>
      <c r="F46" s="119" t="s">
        <v>3</v>
      </c>
      <c r="G46" s="119" t="s">
        <v>2</v>
      </c>
      <c r="H46" s="119" t="s">
        <v>5</v>
      </c>
      <c r="I46" s="119" t="s">
        <v>5</v>
      </c>
      <c r="J46" s="119" t="s">
        <v>5</v>
      </c>
      <c r="K46" s="119" t="s">
        <v>2</v>
      </c>
      <c r="L46" s="119" t="s">
        <v>2</v>
      </c>
      <c r="M46" s="119" t="s">
        <v>3</v>
      </c>
      <c r="N46" s="119" t="s">
        <v>3</v>
      </c>
      <c r="O46" s="119" t="s">
        <v>3</v>
      </c>
      <c r="P46" s="119" t="s">
        <v>3</v>
      </c>
      <c r="Q46" s="119" t="s">
        <v>2</v>
      </c>
      <c r="R46" s="119" t="s">
        <v>2</v>
      </c>
      <c r="S46" s="119" t="s">
        <v>2</v>
      </c>
      <c r="T46" s="119" t="s">
        <v>5</v>
      </c>
      <c r="U46" s="119" t="s">
        <v>2</v>
      </c>
      <c r="V46" s="119" t="s">
        <v>2</v>
      </c>
      <c r="W46" s="119" t="s">
        <v>5</v>
      </c>
      <c r="X46" s="119" t="s">
        <v>3</v>
      </c>
      <c r="Y46" s="119" t="s">
        <v>2</v>
      </c>
      <c r="Z46" s="119" t="s">
        <v>2</v>
      </c>
      <c r="AA46" s="119" t="s">
        <v>3</v>
      </c>
      <c r="AB46" s="119" t="s">
        <v>4</v>
      </c>
      <c r="AC46" s="119" t="s">
        <v>4</v>
      </c>
      <c r="AD46" s="119" t="s">
        <v>4</v>
      </c>
      <c r="AE46" s="119" t="s">
        <v>4</v>
      </c>
      <c r="AF46" s="119" t="s">
        <v>4</v>
      </c>
      <c r="AG46" s="119" t="s">
        <v>4</v>
      </c>
      <c r="AH46" s="119" t="s">
        <v>3</v>
      </c>
      <c r="AI46" s="119" t="s">
        <v>4</v>
      </c>
      <c r="AJ46" s="119" t="s">
        <v>3</v>
      </c>
      <c r="AK46" s="119" t="s">
        <v>4</v>
      </c>
      <c r="AL46" s="119" t="s">
        <v>4</v>
      </c>
      <c r="AM46" s="119" t="s">
        <v>4</v>
      </c>
      <c r="AN46" s="119" t="s">
        <v>3</v>
      </c>
    </row>
    <row r="47" spans="1:40" x14ac:dyDescent="0.3">
      <c r="A47" s="119">
        <f t="shared" si="0"/>
        <v>46</v>
      </c>
      <c r="B47" s="119" t="s">
        <v>267</v>
      </c>
      <c r="C47" s="119" t="s">
        <v>537</v>
      </c>
      <c r="D47" s="119">
        <v>4</v>
      </c>
      <c r="E47" s="119" t="s">
        <v>5</v>
      </c>
      <c r="F47" s="119" t="s">
        <v>3</v>
      </c>
      <c r="G47" s="119" t="s">
        <v>3</v>
      </c>
      <c r="H47" s="119" t="s">
        <v>2</v>
      </c>
      <c r="I47" s="119" t="s">
        <v>5</v>
      </c>
      <c r="J47" s="119" t="s">
        <v>5</v>
      </c>
      <c r="K47" s="119" t="s">
        <v>5</v>
      </c>
      <c r="L47" s="119" t="s">
        <v>2</v>
      </c>
      <c r="M47" s="119" t="s">
        <v>2</v>
      </c>
      <c r="N47" s="119" t="s">
        <v>2</v>
      </c>
      <c r="O47" s="119" t="s">
        <v>3</v>
      </c>
      <c r="P47" s="119" t="s">
        <v>5</v>
      </c>
      <c r="Q47" s="119" t="s">
        <v>5</v>
      </c>
      <c r="R47" s="119" t="s">
        <v>2</v>
      </c>
      <c r="S47" s="119" t="s">
        <v>2</v>
      </c>
      <c r="T47" s="119" t="s">
        <v>5</v>
      </c>
      <c r="U47" s="119" t="s">
        <v>5</v>
      </c>
      <c r="V47" s="119" t="s">
        <v>5</v>
      </c>
      <c r="W47" s="119" t="s">
        <v>5</v>
      </c>
      <c r="X47" s="119" t="s">
        <v>3</v>
      </c>
      <c r="Y47" s="119" t="s">
        <v>3</v>
      </c>
      <c r="Z47" s="119" t="s">
        <v>2</v>
      </c>
      <c r="AA47" s="119" t="s">
        <v>3</v>
      </c>
      <c r="AB47" s="119" t="s">
        <v>4</v>
      </c>
      <c r="AC47" s="119" t="s">
        <v>4</v>
      </c>
      <c r="AD47" s="119" t="s">
        <v>4</v>
      </c>
      <c r="AE47" s="119" t="s">
        <v>4</v>
      </c>
      <c r="AF47" s="119" t="s">
        <v>4</v>
      </c>
      <c r="AG47" s="119" t="s">
        <v>3</v>
      </c>
      <c r="AH47" s="119" t="s">
        <v>3</v>
      </c>
      <c r="AI47" s="119" t="s">
        <v>4</v>
      </c>
      <c r="AJ47" s="119" t="s">
        <v>3</v>
      </c>
      <c r="AK47" s="119" t="s">
        <v>4</v>
      </c>
      <c r="AL47" s="119" t="s">
        <v>4</v>
      </c>
      <c r="AM47" s="119" t="s">
        <v>3</v>
      </c>
      <c r="AN47" s="119" t="s">
        <v>3</v>
      </c>
    </row>
    <row r="48" spans="1:40" x14ac:dyDescent="0.3">
      <c r="A48" s="119">
        <f t="shared" si="0"/>
        <v>47</v>
      </c>
      <c r="B48" s="119" t="s">
        <v>268</v>
      </c>
      <c r="C48" s="119" t="s">
        <v>537</v>
      </c>
      <c r="D48" s="119">
        <v>4</v>
      </c>
      <c r="E48" s="119" t="s">
        <v>2</v>
      </c>
      <c r="F48" s="119" t="s">
        <v>3</v>
      </c>
      <c r="G48" s="119" t="s">
        <v>3</v>
      </c>
      <c r="H48" s="119" t="s">
        <v>5</v>
      </c>
      <c r="I48" s="119" t="s">
        <v>5</v>
      </c>
      <c r="J48" s="119" t="s">
        <v>5</v>
      </c>
      <c r="K48" s="119" t="s">
        <v>5</v>
      </c>
      <c r="L48" s="119" t="s">
        <v>2</v>
      </c>
      <c r="M48" s="119" t="s">
        <v>2</v>
      </c>
      <c r="N48" s="119" t="s">
        <v>4</v>
      </c>
      <c r="O48" s="119" t="s">
        <v>4</v>
      </c>
      <c r="P48" s="119" t="s">
        <v>4</v>
      </c>
      <c r="Q48" s="119" t="s">
        <v>5</v>
      </c>
      <c r="R48" s="119" t="s">
        <v>3</v>
      </c>
      <c r="S48" s="119" t="s">
        <v>4</v>
      </c>
      <c r="T48" s="119" t="s">
        <v>5</v>
      </c>
      <c r="U48" s="119" t="s">
        <v>5</v>
      </c>
      <c r="V48" s="119" t="s">
        <v>5</v>
      </c>
      <c r="W48" s="119" t="s">
        <v>4</v>
      </c>
      <c r="X48" s="119" t="s">
        <v>4</v>
      </c>
      <c r="Y48" s="119" t="s">
        <v>3</v>
      </c>
      <c r="Z48" s="119" t="s">
        <v>2</v>
      </c>
      <c r="AA48" s="119" t="s">
        <v>3</v>
      </c>
      <c r="AB48" s="119" t="s">
        <v>4</v>
      </c>
      <c r="AC48" s="119" t="s">
        <v>4</v>
      </c>
      <c r="AD48" s="119" t="s">
        <v>4</v>
      </c>
      <c r="AE48" s="119" t="s">
        <v>3</v>
      </c>
      <c r="AF48" s="119" t="s">
        <v>4</v>
      </c>
      <c r="AG48" s="119" t="s">
        <v>4</v>
      </c>
      <c r="AH48" s="119" t="s">
        <v>3</v>
      </c>
      <c r="AI48" s="119" t="s">
        <v>4</v>
      </c>
      <c r="AJ48" s="119" t="s">
        <v>3</v>
      </c>
      <c r="AK48" s="119" t="s">
        <v>3</v>
      </c>
      <c r="AL48" s="119" t="s">
        <v>4</v>
      </c>
      <c r="AM48" s="119" t="s">
        <v>4</v>
      </c>
      <c r="AN48" s="119" t="s">
        <v>3</v>
      </c>
    </row>
    <row r="49" spans="1:40" x14ac:dyDescent="0.3">
      <c r="A49" s="119">
        <f t="shared" si="0"/>
        <v>48</v>
      </c>
      <c r="B49" s="119" t="s">
        <v>269</v>
      </c>
      <c r="C49" s="119" t="s">
        <v>537</v>
      </c>
      <c r="D49" s="119">
        <v>4</v>
      </c>
      <c r="E49" s="119" t="s">
        <v>3</v>
      </c>
      <c r="F49" s="119" t="s">
        <v>3</v>
      </c>
      <c r="G49" s="119" t="s">
        <v>4</v>
      </c>
      <c r="H49" s="119" t="s">
        <v>2</v>
      </c>
      <c r="I49" s="119" t="s">
        <v>5</v>
      </c>
      <c r="J49" s="119" t="s">
        <v>5</v>
      </c>
      <c r="K49" s="119" t="s">
        <v>5</v>
      </c>
      <c r="L49" s="119" t="s">
        <v>2</v>
      </c>
      <c r="M49" s="119" t="s">
        <v>2</v>
      </c>
      <c r="N49" s="119" t="s">
        <v>2</v>
      </c>
      <c r="O49" s="119" t="s">
        <v>5</v>
      </c>
      <c r="P49" s="119" t="s">
        <v>2</v>
      </c>
      <c r="Q49" s="119" t="s">
        <v>5</v>
      </c>
      <c r="R49" s="119" t="s">
        <v>3</v>
      </c>
      <c r="S49" s="119" t="s">
        <v>3</v>
      </c>
      <c r="T49" s="119" t="s">
        <v>5</v>
      </c>
      <c r="U49" s="119" t="s">
        <v>5</v>
      </c>
      <c r="V49" s="119" t="s">
        <v>5</v>
      </c>
      <c r="W49" s="119" t="s">
        <v>5</v>
      </c>
      <c r="X49" s="119" t="s">
        <v>4</v>
      </c>
      <c r="Y49" s="119" t="s">
        <v>4</v>
      </c>
      <c r="Z49" s="119" t="s">
        <v>2</v>
      </c>
      <c r="AA49" s="119" t="s">
        <v>3</v>
      </c>
      <c r="AB49" s="119" t="s">
        <v>4</v>
      </c>
      <c r="AC49" s="119" t="s">
        <v>4</v>
      </c>
      <c r="AD49" s="119" t="s">
        <v>4</v>
      </c>
      <c r="AE49" s="119" t="s">
        <v>3</v>
      </c>
      <c r="AF49" s="119" t="s">
        <v>4</v>
      </c>
      <c r="AG49" s="119" t="s">
        <v>4</v>
      </c>
      <c r="AH49" s="119" t="s">
        <v>3</v>
      </c>
      <c r="AI49" s="119" t="s">
        <v>4</v>
      </c>
      <c r="AJ49" s="119" t="s">
        <v>3</v>
      </c>
      <c r="AK49" s="119" t="s">
        <v>3</v>
      </c>
      <c r="AL49" s="119" t="s">
        <v>4</v>
      </c>
      <c r="AM49" s="119" t="s">
        <v>3</v>
      </c>
      <c r="AN49" s="119" t="s">
        <v>3</v>
      </c>
    </row>
    <row r="50" spans="1:40" x14ac:dyDescent="0.3">
      <c r="A50" s="119">
        <f t="shared" si="0"/>
        <v>49</v>
      </c>
      <c r="B50" s="119" t="s">
        <v>270</v>
      </c>
      <c r="C50" s="119" t="s">
        <v>537</v>
      </c>
      <c r="D50" s="119">
        <v>4</v>
      </c>
      <c r="E50" s="119" t="s">
        <v>5</v>
      </c>
      <c r="F50" s="119" t="s">
        <v>3</v>
      </c>
      <c r="G50" s="119" t="s">
        <v>2</v>
      </c>
      <c r="H50" s="119" t="s">
        <v>5</v>
      </c>
      <c r="I50" s="119" t="s">
        <v>5</v>
      </c>
      <c r="J50" s="119" t="s">
        <v>5</v>
      </c>
      <c r="K50" s="119" t="s">
        <v>5</v>
      </c>
      <c r="L50" s="119" t="s">
        <v>2</v>
      </c>
      <c r="M50" s="119" t="s">
        <v>2</v>
      </c>
      <c r="N50" s="119" t="s">
        <v>2</v>
      </c>
      <c r="O50" s="119" t="s">
        <v>3</v>
      </c>
      <c r="P50" s="119" t="s">
        <v>5</v>
      </c>
      <c r="Q50" s="119" t="s">
        <v>5</v>
      </c>
      <c r="R50" s="119" t="s">
        <v>2</v>
      </c>
      <c r="S50" s="119" t="s">
        <v>2</v>
      </c>
      <c r="T50" s="119" t="s">
        <v>5</v>
      </c>
      <c r="U50" s="119" t="s">
        <v>5</v>
      </c>
      <c r="V50" s="119" t="s">
        <v>5</v>
      </c>
      <c r="W50" s="119" t="s">
        <v>5</v>
      </c>
      <c r="X50" s="119" t="s">
        <v>3</v>
      </c>
      <c r="Y50" s="119" t="s">
        <v>3</v>
      </c>
      <c r="Z50" s="119" t="s">
        <v>2</v>
      </c>
      <c r="AA50" s="119" t="s">
        <v>3</v>
      </c>
      <c r="AB50" s="119" t="s">
        <v>4</v>
      </c>
      <c r="AC50" s="119" t="s">
        <v>4</v>
      </c>
      <c r="AD50" s="119" t="s">
        <v>4</v>
      </c>
      <c r="AE50" s="119" t="s">
        <v>4</v>
      </c>
      <c r="AF50" s="119" t="s">
        <v>4</v>
      </c>
      <c r="AG50" s="119" t="s">
        <v>3</v>
      </c>
      <c r="AH50" s="119" t="s">
        <v>3</v>
      </c>
      <c r="AI50" s="119" t="s">
        <v>4</v>
      </c>
      <c r="AJ50" s="119" t="s">
        <v>3</v>
      </c>
      <c r="AK50" s="119" t="s">
        <v>3</v>
      </c>
      <c r="AL50" s="119" t="s">
        <v>4</v>
      </c>
      <c r="AM50" s="119" t="s">
        <v>3</v>
      </c>
      <c r="AN50" s="119" t="s">
        <v>3</v>
      </c>
    </row>
    <row r="51" spans="1:40" x14ac:dyDescent="0.3">
      <c r="A51" s="119">
        <f t="shared" si="0"/>
        <v>50</v>
      </c>
      <c r="B51" s="119" t="s">
        <v>469</v>
      </c>
      <c r="C51" s="119" t="s">
        <v>537</v>
      </c>
      <c r="D51" s="119">
        <v>4</v>
      </c>
      <c r="E51" s="119" t="s">
        <v>5</v>
      </c>
      <c r="F51" s="119" t="s">
        <v>5</v>
      </c>
      <c r="G51" s="119" t="s">
        <v>2</v>
      </c>
      <c r="H51" s="119" t="s">
        <v>3</v>
      </c>
      <c r="I51" s="119" t="s">
        <v>5</v>
      </c>
      <c r="J51" s="119" t="s">
        <v>5</v>
      </c>
      <c r="K51" s="119" t="s">
        <v>5</v>
      </c>
      <c r="L51" s="119" t="s">
        <v>2</v>
      </c>
      <c r="M51" s="119" t="s">
        <v>3</v>
      </c>
      <c r="N51" s="119" t="s">
        <v>3</v>
      </c>
      <c r="O51" s="119" t="s">
        <v>5</v>
      </c>
      <c r="P51" s="119" t="s">
        <v>2</v>
      </c>
      <c r="Q51" s="119" t="s">
        <v>5</v>
      </c>
      <c r="R51" s="119" t="s">
        <v>3</v>
      </c>
      <c r="S51" s="119" t="s">
        <v>2</v>
      </c>
      <c r="T51" s="119" t="s">
        <v>5</v>
      </c>
      <c r="U51" s="119" t="s">
        <v>5</v>
      </c>
      <c r="V51" s="119" t="s">
        <v>5</v>
      </c>
      <c r="W51" s="119" t="s">
        <v>5</v>
      </c>
      <c r="X51" s="119" t="s">
        <v>3</v>
      </c>
      <c r="Y51" s="119" t="s">
        <v>4</v>
      </c>
      <c r="Z51" s="119" t="s">
        <v>4</v>
      </c>
      <c r="AA51" s="119" t="s">
        <v>3</v>
      </c>
      <c r="AB51" s="119" t="s">
        <v>4</v>
      </c>
      <c r="AC51" s="119" t="s">
        <v>4</v>
      </c>
      <c r="AD51" s="119" t="s">
        <v>4</v>
      </c>
      <c r="AE51" s="119" t="s">
        <v>4</v>
      </c>
      <c r="AF51" s="119" t="s">
        <v>4</v>
      </c>
      <c r="AG51" s="119" t="s">
        <v>4</v>
      </c>
      <c r="AH51" s="119" t="s">
        <v>3</v>
      </c>
      <c r="AI51" s="119" t="s">
        <v>4</v>
      </c>
      <c r="AJ51" s="119" t="s">
        <v>3</v>
      </c>
      <c r="AK51" s="119" t="s">
        <v>4</v>
      </c>
      <c r="AL51" s="119" t="s">
        <v>4</v>
      </c>
      <c r="AM51" s="119" t="s">
        <v>3</v>
      </c>
      <c r="AN51" s="119" t="s">
        <v>3</v>
      </c>
    </row>
    <row r="52" spans="1:40" x14ac:dyDescent="0.3">
      <c r="A52" s="119">
        <f t="shared" si="0"/>
        <v>51</v>
      </c>
      <c r="B52" s="119" t="s">
        <v>470</v>
      </c>
      <c r="C52" s="119" t="s">
        <v>537</v>
      </c>
      <c r="D52" s="119">
        <v>4</v>
      </c>
      <c r="E52" s="119" t="s">
        <v>5</v>
      </c>
      <c r="F52" s="119" t="s">
        <v>5</v>
      </c>
      <c r="G52" s="119" t="s">
        <v>5</v>
      </c>
      <c r="H52" s="119" t="s">
        <v>5</v>
      </c>
      <c r="I52" s="119" t="s">
        <v>5</v>
      </c>
      <c r="J52" s="119" t="s">
        <v>5</v>
      </c>
      <c r="K52" s="119" t="s">
        <v>5</v>
      </c>
      <c r="L52" s="119" t="s">
        <v>2</v>
      </c>
      <c r="M52" s="119" t="s">
        <v>2</v>
      </c>
      <c r="N52" s="119" t="s">
        <v>2</v>
      </c>
      <c r="O52" s="119" t="s">
        <v>3</v>
      </c>
      <c r="P52" s="119" t="s">
        <v>3</v>
      </c>
      <c r="Q52" s="119" t="s">
        <v>5</v>
      </c>
      <c r="R52" s="119" t="s">
        <v>3</v>
      </c>
      <c r="S52" s="119" t="s">
        <v>3</v>
      </c>
      <c r="T52" s="119" t="s">
        <v>5</v>
      </c>
      <c r="U52" s="119" t="s">
        <v>5</v>
      </c>
      <c r="V52" s="119" t="s">
        <v>5</v>
      </c>
      <c r="W52" s="119" t="s">
        <v>5</v>
      </c>
      <c r="X52" s="119" t="s">
        <v>4</v>
      </c>
      <c r="Y52" s="119" t="s">
        <v>4</v>
      </c>
      <c r="Z52" s="119" t="s">
        <v>2</v>
      </c>
      <c r="AA52" s="119" t="s">
        <v>3</v>
      </c>
      <c r="AB52" s="119" t="s">
        <v>3</v>
      </c>
      <c r="AC52" s="119" t="s">
        <v>3</v>
      </c>
      <c r="AD52" s="119" t="s">
        <v>4</v>
      </c>
      <c r="AE52" s="119" t="s">
        <v>4</v>
      </c>
      <c r="AF52" s="119" t="s">
        <v>4</v>
      </c>
      <c r="AG52" s="119" t="s">
        <v>4</v>
      </c>
      <c r="AH52" s="119" t="s">
        <v>3</v>
      </c>
      <c r="AI52" s="119" t="s">
        <v>4</v>
      </c>
      <c r="AJ52" s="119" t="s">
        <v>3</v>
      </c>
      <c r="AK52" s="119" t="s">
        <v>3</v>
      </c>
      <c r="AL52" s="119" t="s">
        <v>4</v>
      </c>
      <c r="AM52" s="119" t="s">
        <v>4</v>
      </c>
      <c r="AN52" s="119" t="s">
        <v>3</v>
      </c>
    </row>
    <row r="53" spans="1:40" x14ac:dyDescent="0.3">
      <c r="A53" s="119">
        <f t="shared" si="0"/>
        <v>52</v>
      </c>
      <c r="B53" s="119" t="s">
        <v>487</v>
      </c>
      <c r="C53" s="119" t="s">
        <v>537</v>
      </c>
      <c r="D53" s="119">
        <v>4</v>
      </c>
      <c r="E53" s="119" t="s">
        <v>5</v>
      </c>
      <c r="F53" s="119" t="s">
        <v>5</v>
      </c>
      <c r="G53" s="119" t="s">
        <v>4</v>
      </c>
      <c r="H53" s="119" t="s">
        <v>5</v>
      </c>
      <c r="I53" s="119" t="s">
        <v>5</v>
      </c>
      <c r="J53" s="119" t="s">
        <v>5</v>
      </c>
      <c r="K53" s="119" t="s">
        <v>5</v>
      </c>
      <c r="L53" s="119" t="s">
        <v>2</v>
      </c>
      <c r="M53" s="119" t="s">
        <v>2</v>
      </c>
      <c r="N53" s="119" t="s">
        <v>4</v>
      </c>
      <c r="O53" s="119" t="s">
        <v>4</v>
      </c>
      <c r="P53" s="119" t="s">
        <v>4</v>
      </c>
      <c r="Q53" s="119" t="s">
        <v>5</v>
      </c>
      <c r="R53" s="119" t="s">
        <v>4</v>
      </c>
      <c r="S53" s="119" t="s">
        <v>5</v>
      </c>
      <c r="T53" s="119" t="s">
        <v>5</v>
      </c>
      <c r="U53" s="119" t="s">
        <v>3</v>
      </c>
      <c r="V53" s="119" t="s">
        <v>5</v>
      </c>
      <c r="W53" s="119" t="s">
        <v>3</v>
      </c>
      <c r="X53" s="119" t="s">
        <v>4</v>
      </c>
      <c r="Y53" s="119" t="s">
        <v>4</v>
      </c>
      <c r="Z53" s="119" t="s">
        <v>2</v>
      </c>
      <c r="AA53" s="119" t="s">
        <v>3</v>
      </c>
      <c r="AB53" s="119" t="s">
        <v>4</v>
      </c>
      <c r="AC53" s="119" t="s">
        <v>4</v>
      </c>
      <c r="AD53" s="119" t="s">
        <v>4</v>
      </c>
      <c r="AE53" s="119" t="s">
        <v>4</v>
      </c>
      <c r="AF53" s="119" t="s">
        <v>4</v>
      </c>
      <c r="AG53" s="119" t="s">
        <v>3</v>
      </c>
      <c r="AH53" s="119" t="s">
        <v>3</v>
      </c>
      <c r="AI53" s="119" t="s">
        <v>4</v>
      </c>
      <c r="AJ53" s="119" t="s">
        <v>3</v>
      </c>
      <c r="AK53" s="119" t="s">
        <v>4</v>
      </c>
      <c r="AL53" s="119" t="s">
        <v>4</v>
      </c>
      <c r="AM53" s="119" t="s">
        <v>4</v>
      </c>
      <c r="AN53" s="119" t="s">
        <v>3</v>
      </c>
    </row>
    <row r="54" spans="1:40" x14ac:dyDescent="0.3">
      <c r="A54" s="119">
        <f t="shared" si="0"/>
        <v>53</v>
      </c>
      <c r="B54" s="119" t="s">
        <v>29</v>
      </c>
      <c r="C54" s="119" t="s">
        <v>537</v>
      </c>
      <c r="D54" s="119">
        <v>5</v>
      </c>
      <c r="E54" s="119" t="s">
        <v>5</v>
      </c>
      <c r="F54" s="119" t="s">
        <v>3</v>
      </c>
      <c r="G54" s="119" t="s">
        <v>5</v>
      </c>
      <c r="H54" s="119" t="s">
        <v>5</v>
      </c>
      <c r="I54" s="119" t="s">
        <v>5</v>
      </c>
      <c r="J54" s="119" t="s">
        <v>5</v>
      </c>
      <c r="K54" s="119" t="s">
        <v>5</v>
      </c>
      <c r="L54" s="119" t="s">
        <v>2</v>
      </c>
      <c r="M54" s="119" t="s">
        <v>2</v>
      </c>
      <c r="N54" s="119" t="s">
        <v>4</v>
      </c>
      <c r="O54" s="119" t="s">
        <v>4</v>
      </c>
      <c r="P54" s="119" t="s">
        <v>3</v>
      </c>
      <c r="Q54" s="119" t="s">
        <v>5</v>
      </c>
      <c r="R54" s="119" t="s">
        <v>2</v>
      </c>
      <c r="S54" s="119" t="s">
        <v>5</v>
      </c>
      <c r="T54" s="119" t="s">
        <v>2</v>
      </c>
      <c r="U54" s="119" t="s">
        <v>2</v>
      </c>
      <c r="V54" s="119" t="s">
        <v>5</v>
      </c>
      <c r="W54" s="119" t="s">
        <v>4</v>
      </c>
      <c r="X54" s="119" t="s">
        <v>3</v>
      </c>
      <c r="Y54" s="119" t="s">
        <v>3</v>
      </c>
      <c r="Z54" s="119" t="s">
        <v>4</v>
      </c>
      <c r="AA54" s="119" t="s">
        <v>3</v>
      </c>
      <c r="AB54" s="119" t="s">
        <v>4</v>
      </c>
      <c r="AC54" s="119" t="s">
        <v>4</v>
      </c>
      <c r="AD54" s="119" t="s">
        <v>4</v>
      </c>
      <c r="AE54" s="119" t="s">
        <v>4</v>
      </c>
      <c r="AF54" s="119" t="s">
        <v>4</v>
      </c>
      <c r="AG54" s="119" t="s">
        <v>4</v>
      </c>
      <c r="AH54" s="119" t="s">
        <v>3</v>
      </c>
      <c r="AI54" s="119" t="s">
        <v>4</v>
      </c>
      <c r="AJ54" s="119" t="s">
        <v>3</v>
      </c>
      <c r="AK54" s="119" t="s">
        <v>4</v>
      </c>
      <c r="AL54" s="119" t="s">
        <v>4</v>
      </c>
      <c r="AM54" s="119" t="s">
        <v>4</v>
      </c>
      <c r="AN54" s="119" t="s">
        <v>3</v>
      </c>
    </row>
    <row r="55" spans="1:40" x14ac:dyDescent="0.3">
      <c r="A55" s="119">
        <f t="shared" si="0"/>
        <v>54</v>
      </c>
      <c r="B55" s="119" t="s">
        <v>30</v>
      </c>
      <c r="C55" s="119" t="s">
        <v>537</v>
      </c>
      <c r="D55" s="119">
        <v>5</v>
      </c>
      <c r="E55" s="119" t="s">
        <v>2</v>
      </c>
      <c r="F55" s="119" t="s">
        <v>5</v>
      </c>
      <c r="G55" s="119" t="s">
        <v>3</v>
      </c>
      <c r="H55" s="119" t="s">
        <v>5</v>
      </c>
      <c r="I55" s="119" t="s">
        <v>5</v>
      </c>
      <c r="J55" s="119" t="s">
        <v>3</v>
      </c>
      <c r="K55" s="119" t="s">
        <v>5</v>
      </c>
      <c r="L55" s="119" t="s">
        <v>2</v>
      </c>
      <c r="M55" s="119" t="s">
        <v>2</v>
      </c>
      <c r="N55" s="119" t="s">
        <v>5</v>
      </c>
      <c r="O55" s="119" t="s">
        <v>2</v>
      </c>
      <c r="P55" s="119" t="s">
        <v>2</v>
      </c>
      <c r="Q55" s="119" t="s">
        <v>4</v>
      </c>
      <c r="R55" s="119" t="s">
        <v>3</v>
      </c>
      <c r="S55" s="119" t="s">
        <v>2</v>
      </c>
      <c r="T55" s="119" t="s">
        <v>5</v>
      </c>
      <c r="U55" s="119" t="s">
        <v>5</v>
      </c>
      <c r="V55" s="119" t="s">
        <v>5</v>
      </c>
      <c r="W55" s="119" t="s">
        <v>3</v>
      </c>
      <c r="X55" s="119" t="s">
        <v>3</v>
      </c>
      <c r="Y55" s="119" t="s">
        <v>3</v>
      </c>
      <c r="Z55" s="119" t="s">
        <v>4</v>
      </c>
      <c r="AA55" s="119" t="s">
        <v>3</v>
      </c>
      <c r="AB55" s="119" t="s">
        <v>4</v>
      </c>
      <c r="AC55" s="119" t="s">
        <v>4</v>
      </c>
      <c r="AD55" s="119" t="s">
        <v>4</v>
      </c>
      <c r="AE55" s="119" t="s">
        <v>4</v>
      </c>
      <c r="AF55" s="119" t="s">
        <v>4</v>
      </c>
      <c r="AG55" s="119" t="s">
        <v>3</v>
      </c>
      <c r="AH55" s="119" t="s">
        <v>4</v>
      </c>
      <c r="AI55" s="119" t="s">
        <v>4</v>
      </c>
      <c r="AJ55" s="119" t="s">
        <v>3</v>
      </c>
      <c r="AK55" s="119" t="s">
        <v>4</v>
      </c>
      <c r="AL55" s="119" t="s">
        <v>4</v>
      </c>
      <c r="AM55" s="119" t="s">
        <v>4</v>
      </c>
      <c r="AN55" s="119" t="s">
        <v>3</v>
      </c>
    </row>
    <row r="56" spans="1:40" x14ac:dyDescent="0.3">
      <c r="A56" s="119">
        <f t="shared" si="0"/>
        <v>55</v>
      </c>
      <c r="B56" s="119" t="s">
        <v>31</v>
      </c>
      <c r="C56" s="119" t="s">
        <v>537</v>
      </c>
      <c r="D56" s="119">
        <v>5</v>
      </c>
      <c r="E56" s="119" t="s">
        <v>4</v>
      </c>
      <c r="F56" s="119" t="s">
        <v>5</v>
      </c>
      <c r="G56" s="119" t="s">
        <v>2</v>
      </c>
      <c r="H56" s="119" t="s">
        <v>5</v>
      </c>
      <c r="I56" s="119" t="s">
        <v>5</v>
      </c>
      <c r="J56" s="119" t="s">
        <v>5</v>
      </c>
      <c r="K56" s="119" t="s">
        <v>2</v>
      </c>
      <c r="L56" s="119" t="s">
        <v>2</v>
      </c>
      <c r="M56" s="119" t="s">
        <v>2</v>
      </c>
      <c r="N56" s="119" t="s">
        <v>4</v>
      </c>
      <c r="O56" s="119" t="s">
        <v>4</v>
      </c>
      <c r="P56" s="119" t="s">
        <v>4</v>
      </c>
      <c r="Q56" s="119" t="s">
        <v>5</v>
      </c>
      <c r="R56" s="119" t="s">
        <v>4</v>
      </c>
      <c r="S56" s="119" t="s">
        <v>5</v>
      </c>
      <c r="T56" s="119" t="s">
        <v>5</v>
      </c>
      <c r="U56" s="119" t="s">
        <v>5</v>
      </c>
      <c r="V56" s="119" t="s">
        <v>5</v>
      </c>
      <c r="W56" s="119" t="s">
        <v>5</v>
      </c>
      <c r="X56" s="119" t="s">
        <v>4</v>
      </c>
      <c r="Y56" s="119" t="s">
        <v>3</v>
      </c>
      <c r="Z56" s="119" t="s">
        <v>3</v>
      </c>
      <c r="AA56" s="119" t="s">
        <v>3</v>
      </c>
      <c r="AB56" s="119" t="s">
        <v>4</v>
      </c>
      <c r="AC56" s="119" t="s">
        <v>4</v>
      </c>
      <c r="AD56" s="119" t="s">
        <v>4</v>
      </c>
      <c r="AE56" s="119" t="s">
        <v>4</v>
      </c>
      <c r="AF56" s="119" t="s">
        <v>4</v>
      </c>
      <c r="AG56" s="119" t="s">
        <v>4</v>
      </c>
      <c r="AH56" s="119" t="s">
        <v>3</v>
      </c>
      <c r="AI56" s="119" t="s">
        <v>4</v>
      </c>
      <c r="AJ56" s="119" t="s">
        <v>3</v>
      </c>
      <c r="AK56" s="119" t="s">
        <v>4</v>
      </c>
      <c r="AL56" s="119" t="s">
        <v>4</v>
      </c>
      <c r="AM56" s="119" t="s">
        <v>4</v>
      </c>
      <c r="AN56" s="119" t="s">
        <v>3</v>
      </c>
    </row>
    <row r="57" spans="1:40" x14ac:dyDescent="0.3">
      <c r="A57" s="119">
        <f t="shared" si="0"/>
        <v>56</v>
      </c>
      <c r="B57" s="119" t="s">
        <v>32</v>
      </c>
      <c r="C57" s="119" t="s">
        <v>537</v>
      </c>
      <c r="D57" s="119">
        <v>5</v>
      </c>
      <c r="E57" s="119" t="s">
        <v>5</v>
      </c>
      <c r="F57" s="119" t="s">
        <v>3</v>
      </c>
      <c r="G57" s="119" t="s">
        <v>3</v>
      </c>
      <c r="H57" s="119" t="s">
        <v>5</v>
      </c>
      <c r="I57" s="119" t="s">
        <v>5</v>
      </c>
      <c r="J57" s="119" t="s">
        <v>5</v>
      </c>
      <c r="K57" s="119" t="s">
        <v>5</v>
      </c>
      <c r="L57" s="119" t="s">
        <v>2</v>
      </c>
      <c r="M57" s="119" t="s">
        <v>4</v>
      </c>
      <c r="N57" s="119" t="s">
        <v>4</v>
      </c>
      <c r="O57" s="119" t="s">
        <v>4</v>
      </c>
      <c r="P57" s="119" t="s">
        <v>5</v>
      </c>
      <c r="Q57" s="119" t="s">
        <v>2</v>
      </c>
      <c r="R57" s="119" t="s">
        <v>4</v>
      </c>
      <c r="S57" s="119" t="s">
        <v>5</v>
      </c>
      <c r="T57" s="119" t="s">
        <v>5</v>
      </c>
      <c r="U57" s="119" t="s">
        <v>3</v>
      </c>
      <c r="V57" s="119" t="s">
        <v>3</v>
      </c>
      <c r="W57" s="119" t="s">
        <v>3</v>
      </c>
      <c r="X57" s="119" t="s">
        <v>4</v>
      </c>
      <c r="Y57" s="119" t="s">
        <v>3</v>
      </c>
      <c r="Z57" s="119" t="s">
        <v>2</v>
      </c>
      <c r="AA57" s="119" t="s">
        <v>3</v>
      </c>
      <c r="AB57" s="119" t="s">
        <v>4</v>
      </c>
      <c r="AC57" s="119" t="s">
        <v>4</v>
      </c>
      <c r="AD57" s="119" t="s">
        <v>4</v>
      </c>
      <c r="AE57" s="119" t="s">
        <v>4</v>
      </c>
      <c r="AF57" s="119" t="s">
        <v>4</v>
      </c>
      <c r="AG57" s="119" t="s">
        <v>4</v>
      </c>
      <c r="AH57" s="119" t="s">
        <v>3</v>
      </c>
      <c r="AI57" s="119" t="s">
        <v>4</v>
      </c>
      <c r="AJ57" s="119" t="s">
        <v>3</v>
      </c>
      <c r="AK57" s="119" t="s">
        <v>4</v>
      </c>
      <c r="AL57" s="119" t="s">
        <v>4</v>
      </c>
      <c r="AM57" s="119" t="s">
        <v>4</v>
      </c>
      <c r="AN57" s="119" t="s">
        <v>3</v>
      </c>
    </row>
    <row r="58" spans="1:40" x14ac:dyDescent="0.3">
      <c r="A58" s="119">
        <f t="shared" si="0"/>
        <v>57</v>
      </c>
      <c r="B58" s="119" t="s">
        <v>33</v>
      </c>
      <c r="C58" s="119" t="s">
        <v>537</v>
      </c>
      <c r="D58" s="119">
        <v>5</v>
      </c>
      <c r="E58" s="119" t="s">
        <v>5</v>
      </c>
      <c r="F58" s="119" t="s">
        <v>3</v>
      </c>
      <c r="G58" s="119" t="s">
        <v>4</v>
      </c>
      <c r="H58" s="119" t="s">
        <v>5</v>
      </c>
      <c r="I58" s="119" t="s">
        <v>5</v>
      </c>
      <c r="J58" s="119" t="s">
        <v>3</v>
      </c>
      <c r="K58" s="119" t="s">
        <v>5</v>
      </c>
      <c r="L58" s="119" t="s">
        <v>2</v>
      </c>
      <c r="M58" s="119" t="s">
        <v>3</v>
      </c>
      <c r="N58" s="119" t="s">
        <v>2</v>
      </c>
      <c r="O58" s="119" t="s">
        <v>2</v>
      </c>
      <c r="P58" s="119" t="s">
        <v>5</v>
      </c>
      <c r="Q58" s="119" t="s">
        <v>5</v>
      </c>
      <c r="R58" s="119" t="s">
        <v>2</v>
      </c>
      <c r="S58" s="119" t="s">
        <v>5</v>
      </c>
      <c r="T58" s="119" t="s">
        <v>5</v>
      </c>
      <c r="U58" s="119" t="s">
        <v>3</v>
      </c>
      <c r="V58" s="119" t="s">
        <v>5</v>
      </c>
      <c r="W58" s="119" t="s">
        <v>2</v>
      </c>
      <c r="X58" s="119" t="s">
        <v>4</v>
      </c>
      <c r="Y58" s="119" t="s">
        <v>4</v>
      </c>
      <c r="Z58" s="119" t="s">
        <v>2</v>
      </c>
      <c r="AA58" s="119" t="s">
        <v>3</v>
      </c>
      <c r="AB58" s="119" t="s">
        <v>4</v>
      </c>
      <c r="AC58" s="119" t="s">
        <v>4</v>
      </c>
      <c r="AD58" s="119" t="s">
        <v>4</v>
      </c>
      <c r="AE58" s="119" t="s">
        <v>4</v>
      </c>
      <c r="AF58" s="119" t="s">
        <v>4</v>
      </c>
      <c r="AG58" s="119" t="s">
        <v>4</v>
      </c>
      <c r="AH58" s="119" t="s">
        <v>3</v>
      </c>
      <c r="AI58" s="119" t="s">
        <v>4</v>
      </c>
      <c r="AJ58" s="119" t="s">
        <v>3</v>
      </c>
      <c r="AK58" s="119" t="s">
        <v>4</v>
      </c>
      <c r="AL58" s="119" t="s">
        <v>4</v>
      </c>
      <c r="AM58" s="119" t="s">
        <v>3</v>
      </c>
      <c r="AN58" s="119" t="s">
        <v>3</v>
      </c>
    </row>
    <row r="59" spans="1:40" x14ac:dyDescent="0.3">
      <c r="A59" s="119">
        <f t="shared" si="0"/>
        <v>58</v>
      </c>
      <c r="B59" s="119" t="s">
        <v>34</v>
      </c>
      <c r="C59" s="119" t="s">
        <v>537</v>
      </c>
      <c r="D59" s="119">
        <v>5</v>
      </c>
      <c r="E59" s="119" t="s">
        <v>5</v>
      </c>
      <c r="F59" s="119" t="s">
        <v>5</v>
      </c>
      <c r="G59" s="119" t="s">
        <v>3</v>
      </c>
      <c r="H59" s="119" t="s">
        <v>5</v>
      </c>
      <c r="I59" s="119" t="s">
        <v>5</v>
      </c>
      <c r="J59" s="119" t="s">
        <v>3</v>
      </c>
      <c r="K59" s="119" t="s">
        <v>5</v>
      </c>
      <c r="L59" s="119" t="s">
        <v>2</v>
      </c>
      <c r="M59" s="119" t="s">
        <v>4</v>
      </c>
      <c r="N59" s="119" t="s">
        <v>4</v>
      </c>
      <c r="O59" s="119" t="s">
        <v>4</v>
      </c>
      <c r="P59" s="119" t="s">
        <v>5</v>
      </c>
      <c r="Q59" s="119" t="s">
        <v>2</v>
      </c>
      <c r="R59" s="119" t="s">
        <v>4</v>
      </c>
      <c r="S59" s="119" t="s">
        <v>5</v>
      </c>
      <c r="T59" s="119" t="s">
        <v>5</v>
      </c>
      <c r="U59" s="119" t="s">
        <v>2</v>
      </c>
      <c r="V59" s="119" t="s">
        <v>5</v>
      </c>
      <c r="W59" s="119" t="s">
        <v>5</v>
      </c>
      <c r="X59" s="119" t="s">
        <v>3</v>
      </c>
      <c r="Y59" s="119" t="s">
        <v>3</v>
      </c>
      <c r="Z59" s="119" t="s">
        <v>4</v>
      </c>
      <c r="AA59" s="119" t="s">
        <v>3</v>
      </c>
      <c r="AB59" s="119" t="s">
        <v>4</v>
      </c>
      <c r="AC59" s="119" t="s">
        <v>4</v>
      </c>
      <c r="AD59" s="119" t="s">
        <v>4</v>
      </c>
      <c r="AE59" s="119" t="s">
        <v>4</v>
      </c>
      <c r="AF59" s="119" t="s">
        <v>4</v>
      </c>
      <c r="AG59" s="119" t="s">
        <v>4</v>
      </c>
      <c r="AH59" s="119" t="s">
        <v>4</v>
      </c>
      <c r="AI59" s="119" t="s">
        <v>4</v>
      </c>
      <c r="AJ59" s="119" t="s">
        <v>3</v>
      </c>
      <c r="AK59" s="119" t="s">
        <v>4</v>
      </c>
      <c r="AL59" s="119" t="s">
        <v>4</v>
      </c>
      <c r="AM59" s="119" t="s">
        <v>3</v>
      </c>
      <c r="AN59" s="119" t="s">
        <v>3</v>
      </c>
    </row>
    <row r="60" spans="1:40" x14ac:dyDescent="0.3">
      <c r="A60" s="119">
        <f t="shared" si="0"/>
        <v>59</v>
      </c>
      <c r="B60" s="119" t="s">
        <v>271</v>
      </c>
      <c r="C60" s="119" t="s">
        <v>537</v>
      </c>
      <c r="D60" s="119">
        <v>5</v>
      </c>
      <c r="E60" s="119" t="s">
        <v>5</v>
      </c>
      <c r="F60" s="119" t="s">
        <v>3</v>
      </c>
      <c r="G60" s="119" t="s">
        <v>2</v>
      </c>
      <c r="H60" s="119" t="s">
        <v>5</v>
      </c>
      <c r="I60" s="119" t="s">
        <v>5</v>
      </c>
      <c r="J60" s="119" t="s">
        <v>5</v>
      </c>
      <c r="K60" s="119" t="s">
        <v>5</v>
      </c>
      <c r="L60" s="119" t="s">
        <v>2</v>
      </c>
      <c r="M60" s="119" t="s">
        <v>2</v>
      </c>
      <c r="N60" s="119" t="s">
        <v>2</v>
      </c>
      <c r="O60" s="119" t="s">
        <v>3</v>
      </c>
      <c r="P60" s="119" t="s">
        <v>2</v>
      </c>
      <c r="Q60" s="119" t="s">
        <v>5</v>
      </c>
      <c r="R60" s="119" t="s">
        <v>2</v>
      </c>
      <c r="S60" s="119" t="s">
        <v>2</v>
      </c>
      <c r="T60" s="119" t="s">
        <v>5</v>
      </c>
      <c r="U60" s="119" t="s">
        <v>5</v>
      </c>
      <c r="V60" s="119" t="s">
        <v>5</v>
      </c>
      <c r="W60" s="119" t="s">
        <v>5</v>
      </c>
      <c r="X60" s="119" t="s">
        <v>3</v>
      </c>
      <c r="Y60" s="119" t="s">
        <v>3</v>
      </c>
      <c r="Z60" s="119" t="s">
        <v>2</v>
      </c>
      <c r="AA60" s="119" t="s">
        <v>3</v>
      </c>
      <c r="AB60" s="119" t="s">
        <v>4</v>
      </c>
      <c r="AC60" s="119" t="s">
        <v>4</v>
      </c>
      <c r="AD60" s="119" t="s">
        <v>4</v>
      </c>
      <c r="AE60" s="119" t="s">
        <v>4</v>
      </c>
      <c r="AF60" s="119" t="s">
        <v>4</v>
      </c>
      <c r="AG60" s="119" t="s">
        <v>3</v>
      </c>
      <c r="AH60" s="119" t="s">
        <v>3</v>
      </c>
      <c r="AI60" s="119" t="s">
        <v>4</v>
      </c>
      <c r="AJ60" s="119" t="s">
        <v>3</v>
      </c>
      <c r="AK60" s="119" t="s">
        <v>4</v>
      </c>
      <c r="AL60" s="119" t="s">
        <v>4</v>
      </c>
      <c r="AM60" s="119" t="s">
        <v>3</v>
      </c>
      <c r="AN60" s="119" t="s">
        <v>3</v>
      </c>
    </row>
    <row r="61" spans="1:40" x14ac:dyDescent="0.3">
      <c r="A61" s="119">
        <f t="shared" si="0"/>
        <v>60</v>
      </c>
      <c r="B61" s="119" t="s">
        <v>272</v>
      </c>
      <c r="C61" s="119" t="s">
        <v>537</v>
      </c>
      <c r="D61" s="119">
        <v>5</v>
      </c>
      <c r="E61" s="119" t="s">
        <v>5</v>
      </c>
      <c r="F61" s="119" t="s">
        <v>5</v>
      </c>
      <c r="G61" s="119" t="s">
        <v>2</v>
      </c>
      <c r="H61" s="119" t="s">
        <v>5</v>
      </c>
      <c r="I61" s="119" t="s">
        <v>5</v>
      </c>
      <c r="J61" s="119" t="s">
        <v>3</v>
      </c>
      <c r="K61" s="119" t="s">
        <v>5</v>
      </c>
      <c r="L61" s="119" t="s">
        <v>2</v>
      </c>
      <c r="M61" s="119" t="s">
        <v>2</v>
      </c>
      <c r="N61" s="119" t="s">
        <v>2</v>
      </c>
      <c r="O61" s="119" t="s">
        <v>2</v>
      </c>
      <c r="P61" s="119" t="s">
        <v>2</v>
      </c>
      <c r="Q61" s="119" t="s">
        <v>2</v>
      </c>
      <c r="R61" s="119" t="s">
        <v>3</v>
      </c>
      <c r="S61" s="119" t="s">
        <v>3</v>
      </c>
      <c r="T61" s="119" t="s">
        <v>5</v>
      </c>
      <c r="U61" s="119" t="s">
        <v>5</v>
      </c>
      <c r="V61" s="119" t="s">
        <v>5</v>
      </c>
      <c r="W61" s="119" t="s">
        <v>5</v>
      </c>
      <c r="X61" s="119" t="s">
        <v>3</v>
      </c>
      <c r="Y61" s="119" t="s">
        <v>3</v>
      </c>
      <c r="Z61" s="119" t="s">
        <v>2</v>
      </c>
      <c r="AA61" s="119" t="s">
        <v>3</v>
      </c>
      <c r="AB61" s="119" t="s">
        <v>4</v>
      </c>
      <c r="AC61" s="119" t="s">
        <v>4</v>
      </c>
      <c r="AD61" s="119" t="s">
        <v>4</v>
      </c>
      <c r="AE61" s="119" t="s">
        <v>4</v>
      </c>
      <c r="AF61" s="119" t="s">
        <v>4</v>
      </c>
      <c r="AG61" s="119" t="s">
        <v>3</v>
      </c>
      <c r="AH61" s="119" t="s">
        <v>3</v>
      </c>
      <c r="AI61" s="119" t="s">
        <v>4</v>
      </c>
      <c r="AJ61" s="119" t="s">
        <v>3</v>
      </c>
      <c r="AK61" s="119" t="s">
        <v>3</v>
      </c>
      <c r="AL61" s="119" t="s">
        <v>4</v>
      </c>
      <c r="AM61" s="119" t="s">
        <v>3</v>
      </c>
      <c r="AN61" s="119" t="s">
        <v>3</v>
      </c>
    </row>
    <row r="62" spans="1:40" x14ac:dyDescent="0.3">
      <c r="A62" s="119">
        <f t="shared" si="0"/>
        <v>61</v>
      </c>
      <c r="B62" s="119" t="s">
        <v>273</v>
      </c>
      <c r="C62" s="119" t="s">
        <v>537</v>
      </c>
      <c r="D62" s="119">
        <v>5</v>
      </c>
      <c r="E62" s="119" t="s">
        <v>5</v>
      </c>
      <c r="F62" s="119" t="s">
        <v>5</v>
      </c>
      <c r="G62" s="119" t="s">
        <v>2</v>
      </c>
      <c r="H62" s="119" t="s">
        <v>5</v>
      </c>
      <c r="I62" s="119" t="s">
        <v>5</v>
      </c>
      <c r="J62" s="119" t="s">
        <v>3</v>
      </c>
      <c r="K62" s="119" t="s">
        <v>5</v>
      </c>
      <c r="L62" s="119" t="s">
        <v>2</v>
      </c>
      <c r="M62" s="119" t="s">
        <v>3</v>
      </c>
      <c r="N62" s="119" t="s">
        <v>5</v>
      </c>
      <c r="O62" s="119" t="s">
        <v>2</v>
      </c>
      <c r="P62" s="119" t="s">
        <v>5</v>
      </c>
      <c r="Q62" s="119" t="s">
        <v>5</v>
      </c>
      <c r="R62" s="119" t="s">
        <v>2</v>
      </c>
      <c r="S62" s="119" t="s">
        <v>2</v>
      </c>
      <c r="T62" s="119" t="s">
        <v>5</v>
      </c>
      <c r="U62" s="119" t="s">
        <v>5</v>
      </c>
      <c r="V62" s="119" t="s">
        <v>5</v>
      </c>
      <c r="W62" s="119" t="s">
        <v>5</v>
      </c>
      <c r="X62" s="119" t="s">
        <v>3</v>
      </c>
      <c r="Y62" s="119" t="s">
        <v>3</v>
      </c>
      <c r="Z62" s="119" t="s">
        <v>2</v>
      </c>
      <c r="AA62" s="119" t="s">
        <v>3</v>
      </c>
      <c r="AB62" s="119" t="s">
        <v>4</v>
      </c>
      <c r="AC62" s="119" t="s">
        <v>4</v>
      </c>
      <c r="AD62" s="119" t="s">
        <v>4</v>
      </c>
      <c r="AE62" s="119" t="s">
        <v>4</v>
      </c>
      <c r="AF62" s="119" t="s">
        <v>4</v>
      </c>
      <c r="AG62" s="119" t="s">
        <v>4</v>
      </c>
      <c r="AH62" s="119" t="s">
        <v>3</v>
      </c>
      <c r="AI62" s="119" t="s">
        <v>4</v>
      </c>
      <c r="AJ62" s="119" t="s">
        <v>3</v>
      </c>
      <c r="AK62" s="119" t="s">
        <v>3</v>
      </c>
      <c r="AL62" s="119" t="s">
        <v>4</v>
      </c>
      <c r="AM62" s="119" t="s">
        <v>4</v>
      </c>
      <c r="AN62" s="119" t="s">
        <v>3</v>
      </c>
    </row>
    <row r="63" spans="1:40" x14ac:dyDescent="0.3">
      <c r="A63" s="119">
        <f t="shared" si="0"/>
        <v>62</v>
      </c>
      <c r="B63" s="119" t="s">
        <v>274</v>
      </c>
      <c r="C63" s="119" t="s">
        <v>537</v>
      </c>
      <c r="D63" s="119">
        <v>5</v>
      </c>
      <c r="E63" s="119" t="s">
        <v>5</v>
      </c>
      <c r="F63" s="119" t="s">
        <v>3</v>
      </c>
      <c r="G63" s="119" t="s">
        <v>3</v>
      </c>
      <c r="H63" s="119" t="s">
        <v>5</v>
      </c>
      <c r="I63" s="119" t="s">
        <v>5</v>
      </c>
      <c r="J63" s="119" t="s">
        <v>5</v>
      </c>
      <c r="K63" s="119" t="s">
        <v>5</v>
      </c>
      <c r="L63" s="119" t="s">
        <v>2</v>
      </c>
      <c r="M63" s="119" t="s">
        <v>2</v>
      </c>
      <c r="N63" s="119" t="s">
        <v>5</v>
      </c>
      <c r="O63" s="119" t="s">
        <v>3</v>
      </c>
      <c r="P63" s="119" t="s">
        <v>2</v>
      </c>
      <c r="Q63" s="119" t="s">
        <v>5</v>
      </c>
      <c r="R63" s="119" t="s">
        <v>2</v>
      </c>
      <c r="S63" s="119" t="s">
        <v>3</v>
      </c>
      <c r="T63" s="119" t="s">
        <v>5</v>
      </c>
      <c r="U63" s="119" t="s">
        <v>5</v>
      </c>
      <c r="V63" s="119" t="s">
        <v>5</v>
      </c>
      <c r="W63" s="119" t="s">
        <v>5</v>
      </c>
      <c r="X63" s="119" t="s">
        <v>3</v>
      </c>
      <c r="Y63" s="119" t="s">
        <v>3</v>
      </c>
      <c r="Z63" s="119" t="s">
        <v>2</v>
      </c>
      <c r="AA63" s="119" t="s">
        <v>3</v>
      </c>
      <c r="AB63" s="119" t="s">
        <v>4</v>
      </c>
      <c r="AC63" s="119" t="s">
        <v>4</v>
      </c>
      <c r="AD63" s="119" t="s">
        <v>4</v>
      </c>
      <c r="AE63" s="119" t="s">
        <v>4</v>
      </c>
      <c r="AF63" s="119" t="s">
        <v>4</v>
      </c>
      <c r="AG63" s="119" t="s">
        <v>4</v>
      </c>
      <c r="AH63" s="119" t="s">
        <v>3</v>
      </c>
      <c r="AI63" s="119" t="s">
        <v>4</v>
      </c>
      <c r="AJ63" s="119" t="s">
        <v>3</v>
      </c>
      <c r="AK63" s="119" t="s">
        <v>4</v>
      </c>
      <c r="AL63" s="119" t="s">
        <v>4</v>
      </c>
      <c r="AM63" s="119" t="s">
        <v>4</v>
      </c>
      <c r="AN63" s="119" t="s">
        <v>3</v>
      </c>
    </row>
    <row r="64" spans="1:40" x14ac:dyDescent="0.3">
      <c r="A64" s="119">
        <f t="shared" si="0"/>
        <v>63</v>
      </c>
      <c r="B64" s="119" t="s">
        <v>473</v>
      </c>
      <c r="C64" s="119" t="s">
        <v>537</v>
      </c>
      <c r="D64" s="119">
        <v>5</v>
      </c>
      <c r="E64" s="119" t="s">
        <v>5</v>
      </c>
      <c r="F64" s="119" t="s">
        <v>3</v>
      </c>
      <c r="G64" s="119" t="s">
        <v>5</v>
      </c>
      <c r="H64" s="119" t="s">
        <v>5</v>
      </c>
      <c r="I64" s="119" t="s">
        <v>5</v>
      </c>
      <c r="J64" s="119" t="s">
        <v>5</v>
      </c>
      <c r="K64" s="119" t="s">
        <v>5</v>
      </c>
      <c r="L64" s="119" t="s">
        <v>2</v>
      </c>
      <c r="M64" s="119" t="s">
        <v>3</v>
      </c>
      <c r="N64" s="119" t="s">
        <v>3</v>
      </c>
      <c r="O64" s="119" t="s">
        <v>5</v>
      </c>
      <c r="P64" s="119" t="s">
        <v>2</v>
      </c>
      <c r="Q64" s="119" t="s">
        <v>5</v>
      </c>
      <c r="R64" s="119" t="s">
        <v>2</v>
      </c>
      <c r="S64" s="119" t="s">
        <v>2</v>
      </c>
      <c r="T64" s="119" t="s">
        <v>5</v>
      </c>
      <c r="U64" s="119" t="s">
        <v>5</v>
      </c>
      <c r="V64" s="119" t="s">
        <v>5</v>
      </c>
      <c r="W64" s="119" t="s">
        <v>3</v>
      </c>
      <c r="X64" s="119" t="s">
        <v>3</v>
      </c>
      <c r="Y64" s="119" t="s">
        <v>4</v>
      </c>
      <c r="Z64" s="119" t="s">
        <v>4</v>
      </c>
      <c r="AA64" s="119" t="s">
        <v>3</v>
      </c>
      <c r="AB64" s="119" t="s">
        <v>4</v>
      </c>
      <c r="AC64" s="119" t="s">
        <v>4</v>
      </c>
      <c r="AD64" s="119" t="s">
        <v>4</v>
      </c>
      <c r="AE64" s="119" t="s">
        <v>4</v>
      </c>
      <c r="AF64" s="119" t="s">
        <v>4</v>
      </c>
      <c r="AG64" s="119" t="s">
        <v>3</v>
      </c>
      <c r="AH64" s="119" t="s">
        <v>3</v>
      </c>
      <c r="AI64" s="119" t="s">
        <v>4</v>
      </c>
      <c r="AJ64" s="119" t="s">
        <v>3</v>
      </c>
      <c r="AK64" s="119" t="s">
        <v>4</v>
      </c>
      <c r="AL64" s="119" t="s">
        <v>4</v>
      </c>
      <c r="AM64" s="119" t="s">
        <v>3</v>
      </c>
      <c r="AN64" s="119" t="s">
        <v>3</v>
      </c>
    </row>
    <row r="65" spans="1:40" x14ac:dyDescent="0.3">
      <c r="A65" s="119">
        <f t="shared" si="0"/>
        <v>64</v>
      </c>
      <c r="B65" s="119" t="s">
        <v>478</v>
      </c>
      <c r="C65" s="119" t="s">
        <v>537</v>
      </c>
      <c r="D65" s="119">
        <v>5</v>
      </c>
      <c r="E65" s="119" t="s">
        <v>5</v>
      </c>
      <c r="F65" s="119" t="s">
        <v>5</v>
      </c>
      <c r="G65" s="119" t="s">
        <v>2</v>
      </c>
      <c r="H65" s="119" t="s">
        <v>5</v>
      </c>
      <c r="I65" s="119" t="s">
        <v>5</v>
      </c>
      <c r="J65" s="119" t="s">
        <v>3</v>
      </c>
      <c r="K65" s="119" t="s">
        <v>5</v>
      </c>
      <c r="L65" s="119" t="s">
        <v>2</v>
      </c>
      <c r="M65" s="119" t="s">
        <v>3</v>
      </c>
      <c r="N65" s="119" t="s">
        <v>5</v>
      </c>
      <c r="O65" s="119" t="s">
        <v>2</v>
      </c>
      <c r="P65" s="119" t="s">
        <v>5</v>
      </c>
      <c r="Q65" s="119" t="s">
        <v>5</v>
      </c>
      <c r="R65" s="119" t="s">
        <v>2</v>
      </c>
      <c r="S65" s="119" t="s">
        <v>2</v>
      </c>
      <c r="T65" s="119" t="s">
        <v>5</v>
      </c>
      <c r="U65" s="119" t="s">
        <v>5</v>
      </c>
      <c r="V65" s="119" t="s">
        <v>5</v>
      </c>
      <c r="W65" s="119" t="s">
        <v>5</v>
      </c>
      <c r="X65" s="119" t="s">
        <v>3</v>
      </c>
      <c r="Y65" s="119" t="s">
        <v>3</v>
      </c>
      <c r="Z65" s="119" t="s">
        <v>2</v>
      </c>
      <c r="AA65" s="119" t="s">
        <v>3</v>
      </c>
      <c r="AB65" s="119" t="s">
        <v>4</v>
      </c>
      <c r="AC65" s="119" t="s">
        <v>4</v>
      </c>
      <c r="AD65" s="119" t="s">
        <v>4</v>
      </c>
      <c r="AE65" s="119" t="s">
        <v>4</v>
      </c>
      <c r="AF65" s="119" t="s">
        <v>4</v>
      </c>
      <c r="AG65" s="119" t="s">
        <v>4</v>
      </c>
      <c r="AH65" s="119" t="s">
        <v>3</v>
      </c>
      <c r="AI65" s="119" t="s">
        <v>4</v>
      </c>
      <c r="AJ65" s="119" t="s">
        <v>3</v>
      </c>
      <c r="AK65" s="119" t="s">
        <v>4</v>
      </c>
      <c r="AL65" s="119" t="s">
        <v>4</v>
      </c>
      <c r="AM65" s="119" t="s">
        <v>3</v>
      </c>
      <c r="AN65" s="119" t="s">
        <v>3</v>
      </c>
    </row>
    <row r="66" spans="1:40" x14ac:dyDescent="0.3">
      <c r="A66" s="119">
        <f t="shared" ref="A66:A115" si="1">ROW()-1</f>
        <v>65</v>
      </c>
      <c r="B66" s="119" t="s">
        <v>494</v>
      </c>
      <c r="C66" s="119" t="s">
        <v>537</v>
      </c>
      <c r="D66" s="119">
        <v>5</v>
      </c>
      <c r="E66" s="119" t="s">
        <v>2</v>
      </c>
      <c r="F66" s="119" t="s">
        <v>5</v>
      </c>
      <c r="G66" s="119" t="s">
        <v>2</v>
      </c>
      <c r="H66" s="119" t="s">
        <v>5</v>
      </c>
      <c r="I66" s="119" t="s">
        <v>5</v>
      </c>
      <c r="J66" s="119" t="s">
        <v>5</v>
      </c>
      <c r="K66" s="119" t="s">
        <v>2</v>
      </c>
      <c r="L66" s="119" t="s">
        <v>2</v>
      </c>
      <c r="M66" s="119" t="s">
        <v>2</v>
      </c>
      <c r="N66" s="119" t="s">
        <v>4</v>
      </c>
      <c r="O66" s="119" t="s">
        <v>4</v>
      </c>
      <c r="P66" s="119" t="s">
        <v>4</v>
      </c>
      <c r="Q66" s="119" t="s">
        <v>5</v>
      </c>
      <c r="R66" s="119" t="s">
        <v>4</v>
      </c>
      <c r="S66" s="119" t="s">
        <v>5</v>
      </c>
      <c r="T66" s="119" t="s">
        <v>5</v>
      </c>
      <c r="U66" s="119" t="s">
        <v>5</v>
      </c>
      <c r="V66" s="119" t="s">
        <v>5</v>
      </c>
      <c r="W66" s="119" t="s">
        <v>5</v>
      </c>
      <c r="X66" s="119" t="s">
        <v>4</v>
      </c>
      <c r="Y66" s="119" t="s">
        <v>3</v>
      </c>
      <c r="Z66" s="119" t="s">
        <v>3</v>
      </c>
      <c r="AA66" s="119" t="s">
        <v>3</v>
      </c>
      <c r="AB66" s="119" t="s">
        <v>4</v>
      </c>
      <c r="AC66" s="119" t="s">
        <v>4</v>
      </c>
      <c r="AD66" s="119" t="s">
        <v>4</v>
      </c>
      <c r="AE66" s="119" t="s">
        <v>4</v>
      </c>
      <c r="AF66" s="119" t="s">
        <v>3</v>
      </c>
      <c r="AG66" s="119" t="s">
        <v>3</v>
      </c>
      <c r="AH66" s="119" t="s">
        <v>3</v>
      </c>
      <c r="AI66" s="119" t="s">
        <v>4</v>
      </c>
      <c r="AJ66" s="119" t="s">
        <v>3</v>
      </c>
      <c r="AK66" s="119" t="s">
        <v>4</v>
      </c>
      <c r="AL66" s="119" t="s">
        <v>4</v>
      </c>
      <c r="AM66" s="119" t="s">
        <v>4</v>
      </c>
      <c r="AN66" s="119" t="s">
        <v>3</v>
      </c>
    </row>
    <row r="67" spans="1:40" x14ac:dyDescent="0.3">
      <c r="A67" s="119">
        <f t="shared" si="1"/>
        <v>66</v>
      </c>
      <c r="B67" s="119" t="s">
        <v>35</v>
      </c>
      <c r="C67" s="119" t="s">
        <v>537</v>
      </c>
      <c r="D67" s="120">
        <v>6</v>
      </c>
      <c r="E67" s="119" t="s">
        <v>5</v>
      </c>
      <c r="F67" s="119" t="s">
        <v>3</v>
      </c>
      <c r="G67" s="119" t="s">
        <v>3</v>
      </c>
      <c r="H67" s="119" t="s">
        <v>5</v>
      </c>
      <c r="I67" s="119" t="s">
        <v>5</v>
      </c>
      <c r="J67" s="119" t="s">
        <v>5</v>
      </c>
      <c r="K67" s="119" t="s">
        <v>5</v>
      </c>
      <c r="L67" s="119" t="s">
        <v>5</v>
      </c>
      <c r="M67" s="119" t="s">
        <v>2</v>
      </c>
      <c r="N67" s="119" t="s">
        <v>3</v>
      </c>
      <c r="O67" s="119" t="s">
        <v>2</v>
      </c>
      <c r="P67" s="119" t="s">
        <v>3</v>
      </c>
      <c r="Q67" s="119" t="s">
        <v>2</v>
      </c>
      <c r="R67" s="119" t="s">
        <v>2</v>
      </c>
      <c r="S67" s="119" t="s">
        <v>3</v>
      </c>
      <c r="T67" s="119" t="s">
        <v>5</v>
      </c>
      <c r="U67" s="119" t="s">
        <v>2</v>
      </c>
      <c r="V67" s="119" t="s">
        <v>5</v>
      </c>
      <c r="W67" s="119" t="s">
        <v>3</v>
      </c>
      <c r="X67" s="119" t="s">
        <v>3</v>
      </c>
      <c r="Y67" s="119" t="s">
        <v>3</v>
      </c>
      <c r="Z67" s="119" t="s">
        <v>2</v>
      </c>
      <c r="AA67" s="119" t="s">
        <v>3</v>
      </c>
      <c r="AB67" s="119" t="s">
        <v>4</v>
      </c>
      <c r="AC67" s="119" t="s">
        <v>4</v>
      </c>
      <c r="AD67" s="119" t="s">
        <v>3</v>
      </c>
      <c r="AE67" s="119" t="s">
        <v>4</v>
      </c>
      <c r="AF67" s="119" t="s">
        <v>4</v>
      </c>
      <c r="AG67" s="119" t="s">
        <v>3</v>
      </c>
      <c r="AH67" s="119" t="s">
        <v>3</v>
      </c>
      <c r="AI67" s="119" t="s">
        <v>4</v>
      </c>
      <c r="AJ67" s="119" t="s">
        <v>3</v>
      </c>
      <c r="AK67" s="119" t="s">
        <v>4</v>
      </c>
      <c r="AL67" s="119" t="s">
        <v>4</v>
      </c>
      <c r="AM67" s="119" t="s">
        <v>3</v>
      </c>
      <c r="AN67" s="119" t="s">
        <v>3</v>
      </c>
    </row>
    <row r="68" spans="1:40" x14ac:dyDescent="0.3">
      <c r="A68" s="119">
        <f t="shared" si="1"/>
        <v>67</v>
      </c>
      <c r="B68" s="119" t="s">
        <v>36</v>
      </c>
      <c r="C68" s="119" t="s">
        <v>537</v>
      </c>
      <c r="D68" s="120">
        <v>6</v>
      </c>
      <c r="E68" s="119" t="s">
        <v>5</v>
      </c>
      <c r="F68" s="119" t="s">
        <v>5</v>
      </c>
      <c r="G68" s="119" t="s">
        <v>5</v>
      </c>
      <c r="H68" s="119" t="s">
        <v>5</v>
      </c>
      <c r="I68" s="119" t="s">
        <v>5</v>
      </c>
      <c r="J68" s="119" t="s">
        <v>5</v>
      </c>
      <c r="K68" s="119" t="s">
        <v>5</v>
      </c>
      <c r="L68" s="119" t="s">
        <v>2</v>
      </c>
      <c r="M68" s="119" t="s">
        <v>4</v>
      </c>
      <c r="N68" s="119" t="s">
        <v>4</v>
      </c>
      <c r="O68" s="119" t="s">
        <v>4</v>
      </c>
      <c r="P68" s="119" t="s">
        <v>5</v>
      </c>
      <c r="Q68" s="119" t="s">
        <v>5</v>
      </c>
      <c r="R68" s="119" t="s">
        <v>3</v>
      </c>
      <c r="S68" s="119" t="s">
        <v>5</v>
      </c>
      <c r="T68" s="119" t="s">
        <v>5</v>
      </c>
      <c r="U68" s="119" t="s">
        <v>2</v>
      </c>
      <c r="V68" s="119" t="s">
        <v>5</v>
      </c>
      <c r="W68" s="119" t="s">
        <v>3</v>
      </c>
      <c r="X68" s="119" t="s">
        <v>3</v>
      </c>
      <c r="Y68" s="119" t="s">
        <v>3</v>
      </c>
      <c r="Z68" s="119" t="s">
        <v>2</v>
      </c>
      <c r="AA68" s="119" t="s">
        <v>3</v>
      </c>
      <c r="AB68" s="119" t="s">
        <v>4</v>
      </c>
      <c r="AC68" s="119" t="s">
        <v>4</v>
      </c>
      <c r="AD68" s="119" t="s">
        <v>4</v>
      </c>
      <c r="AE68" s="119" t="s">
        <v>4</v>
      </c>
      <c r="AF68" s="119" t="s">
        <v>3</v>
      </c>
      <c r="AG68" s="119" t="s">
        <v>3</v>
      </c>
      <c r="AH68" s="119" t="s">
        <v>3</v>
      </c>
      <c r="AI68" s="119" t="s">
        <v>4</v>
      </c>
      <c r="AJ68" s="119" t="s">
        <v>3</v>
      </c>
      <c r="AK68" s="119" t="s">
        <v>3</v>
      </c>
      <c r="AL68" s="119" t="s">
        <v>3</v>
      </c>
      <c r="AM68" s="119" t="s">
        <v>3</v>
      </c>
      <c r="AN68" s="119" t="s">
        <v>3</v>
      </c>
    </row>
    <row r="69" spans="1:40" x14ac:dyDescent="0.3">
      <c r="A69" s="119">
        <f t="shared" si="1"/>
        <v>68</v>
      </c>
      <c r="B69" s="119" t="s">
        <v>37</v>
      </c>
      <c r="C69" s="119" t="s">
        <v>537</v>
      </c>
      <c r="D69" s="120">
        <v>6</v>
      </c>
      <c r="E69" s="119" t="s">
        <v>5</v>
      </c>
      <c r="F69" s="119" t="s">
        <v>3</v>
      </c>
      <c r="G69" s="119" t="s">
        <v>2</v>
      </c>
      <c r="H69" s="119" t="s">
        <v>5</v>
      </c>
      <c r="I69" s="119" t="s">
        <v>5</v>
      </c>
      <c r="J69" s="119" t="s">
        <v>5</v>
      </c>
      <c r="K69" s="119" t="s">
        <v>5</v>
      </c>
      <c r="L69" s="119" t="s">
        <v>2</v>
      </c>
      <c r="M69" s="119" t="s">
        <v>2</v>
      </c>
      <c r="N69" s="119" t="s">
        <v>4</v>
      </c>
      <c r="O69" s="119" t="s">
        <v>4</v>
      </c>
      <c r="P69" s="119" t="s">
        <v>5</v>
      </c>
      <c r="Q69" s="119" t="s">
        <v>5</v>
      </c>
      <c r="R69" s="119" t="s">
        <v>4</v>
      </c>
      <c r="S69" s="119" t="s">
        <v>5</v>
      </c>
      <c r="T69" s="119" t="s">
        <v>5</v>
      </c>
      <c r="U69" s="119" t="s">
        <v>2</v>
      </c>
      <c r="V69" s="119" t="s">
        <v>5</v>
      </c>
      <c r="W69" s="119" t="s">
        <v>5</v>
      </c>
      <c r="X69" s="119" t="s">
        <v>4</v>
      </c>
      <c r="Y69" s="119" t="s">
        <v>3</v>
      </c>
      <c r="Z69" s="119" t="s">
        <v>2</v>
      </c>
      <c r="AA69" s="119" t="s">
        <v>3</v>
      </c>
      <c r="AB69" s="119" t="s">
        <v>3</v>
      </c>
      <c r="AC69" s="119" t="s">
        <v>4</v>
      </c>
      <c r="AD69" s="119" t="s">
        <v>4</v>
      </c>
      <c r="AE69" s="119" t="s">
        <v>4</v>
      </c>
      <c r="AF69" s="119" t="s">
        <v>4</v>
      </c>
      <c r="AG69" s="119" t="s">
        <v>4</v>
      </c>
      <c r="AH69" s="119" t="s">
        <v>3</v>
      </c>
      <c r="AI69" s="119" t="s">
        <v>4</v>
      </c>
      <c r="AJ69" s="119" t="s">
        <v>3</v>
      </c>
      <c r="AK69" s="119" t="s">
        <v>4</v>
      </c>
      <c r="AL69" s="119" t="s">
        <v>4</v>
      </c>
      <c r="AM69" s="119" t="s">
        <v>4</v>
      </c>
      <c r="AN69" s="119" t="s">
        <v>3</v>
      </c>
    </row>
    <row r="70" spans="1:40" x14ac:dyDescent="0.3">
      <c r="A70" s="119">
        <f t="shared" si="1"/>
        <v>69</v>
      </c>
      <c r="B70" s="119" t="s">
        <v>38</v>
      </c>
      <c r="C70" s="119" t="s">
        <v>537</v>
      </c>
      <c r="D70" s="120">
        <v>6</v>
      </c>
      <c r="E70" s="119" t="s">
        <v>5</v>
      </c>
      <c r="F70" s="119" t="s">
        <v>3</v>
      </c>
      <c r="G70" s="119" t="s">
        <v>5</v>
      </c>
      <c r="H70" s="119" t="s">
        <v>5</v>
      </c>
      <c r="I70" s="119" t="s">
        <v>5</v>
      </c>
      <c r="J70" s="119" t="s">
        <v>5</v>
      </c>
      <c r="K70" s="119" t="s">
        <v>5</v>
      </c>
      <c r="L70" s="119" t="s">
        <v>2</v>
      </c>
      <c r="M70" s="119" t="s">
        <v>2</v>
      </c>
      <c r="N70" s="119" t="s">
        <v>4</v>
      </c>
      <c r="O70" s="119" t="s">
        <v>3</v>
      </c>
      <c r="P70" s="119" t="s">
        <v>5</v>
      </c>
      <c r="Q70" s="119" t="s">
        <v>2</v>
      </c>
      <c r="R70" s="119" t="s">
        <v>3</v>
      </c>
      <c r="S70" s="119" t="s">
        <v>2</v>
      </c>
      <c r="T70" s="119" t="s">
        <v>5</v>
      </c>
      <c r="U70" s="119" t="s">
        <v>5</v>
      </c>
      <c r="V70" s="119" t="s">
        <v>5</v>
      </c>
      <c r="W70" s="119" t="s">
        <v>5</v>
      </c>
      <c r="X70" s="119" t="s">
        <v>2</v>
      </c>
      <c r="Y70" s="119" t="s">
        <v>2</v>
      </c>
      <c r="Z70" s="119" t="s">
        <v>2</v>
      </c>
      <c r="AA70" s="119" t="s">
        <v>3</v>
      </c>
      <c r="AB70" s="119" t="s">
        <v>4</v>
      </c>
      <c r="AC70" s="119" t="s">
        <v>4</v>
      </c>
      <c r="AD70" s="119" t="s">
        <v>4</v>
      </c>
      <c r="AE70" s="119" t="s">
        <v>4</v>
      </c>
      <c r="AF70" s="119" t="s">
        <v>4</v>
      </c>
      <c r="AG70" s="119" t="s">
        <v>3</v>
      </c>
      <c r="AH70" s="119" t="s">
        <v>4</v>
      </c>
      <c r="AI70" s="119" t="s">
        <v>4</v>
      </c>
      <c r="AJ70" s="119" t="s">
        <v>4</v>
      </c>
      <c r="AK70" s="119" t="s">
        <v>4</v>
      </c>
      <c r="AL70" s="119" t="s">
        <v>4</v>
      </c>
      <c r="AM70" s="119" t="s">
        <v>4</v>
      </c>
      <c r="AN70" s="119" t="s">
        <v>3</v>
      </c>
    </row>
    <row r="71" spans="1:40" x14ac:dyDescent="0.3">
      <c r="A71" s="119">
        <f t="shared" si="1"/>
        <v>70</v>
      </c>
      <c r="B71" s="119" t="s">
        <v>254</v>
      </c>
      <c r="C71" s="119" t="s">
        <v>537</v>
      </c>
      <c r="D71" s="120">
        <v>6</v>
      </c>
      <c r="E71" s="119" t="s">
        <v>4</v>
      </c>
      <c r="F71" s="119" t="s">
        <v>5</v>
      </c>
      <c r="G71" s="119" t="s">
        <v>2</v>
      </c>
      <c r="H71" s="119" t="s">
        <v>5</v>
      </c>
      <c r="I71" s="119" t="s">
        <v>5</v>
      </c>
      <c r="J71" s="119" t="s">
        <v>5</v>
      </c>
      <c r="K71" s="119" t="s">
        <v>2</v>
      </c>
      <c r="L71" s="119" t="s">
        <v>2</v>
      </c>
      <c r="M71" s="119" t="s">
        <v>2</v>
      </c>
      <c r="N71" s="119" t="s">
        <v>4</v>
      </c>
      <c r="O71" s="119" t="s">
        <v>3</v>
      </c>
      <c r="P71" s="119" t="s">
        <v>5</v>
      </c>
      <c r="Q71" s="119" t="s">
        <v>5</v>
      </c>
      <c r="R71" s="119" t="s">
        <v>4</v>
      </c>
      <c r="S71" s="119" t="s">
        <v>5</v>
      </c>
      <c r="T71" s="119" t="s">
        <v>5</v>
      </c>
      <c r="U71" s="119" t="s">
        <v>5</v>
      </c>
      <c r="V71" s="119" t="s">
        <v>5</v>
      </c>
      <c r="W71" s="119" t="s">
        <v>5</v>
      </c>
      <c r="X71" s="119" t="s">
        <v>4</v>
      </c>
      <c r="Y71" s="119" t="s">
        <v>3</v>
      </c>
      <c r="Z71" s="119" t="s">
        <v>2</v>
      </c>
      <c r="AA71" s="119" t="s">
        <v>3</v>
      </c>
      <c r="AB71" s="119" t="s">
        <v>4</v>
      </c>
      <c r="AC71" s="119" t="s">
        <v>4</v>
      </c>
      <c r="AD71" s="119" t="s">
        <v>4</v>
      </c>
      <c r="AE71" s="119" t="s">
        <v>3</v>
      </c>
      <c r="AF71" s="119" t="s">
        <v>4</v>
      </c>
      <c r="AG71" s="119" t="s">
        <v>3</v>
      </c>
      <c r="AH71" s="119" t="s">
        <v>3</v>
      </c>
      <c r="AI71" s="119" t="s">
        <v>3</v>
      </c>
      <c r="AJ71" s="119" t="s">
        <v>3</v>
      </c>
      <c r="AK71" s="119" t="s">
        <v>3</v>
      </c>
      <c r="AL71" s="119" t="s">
        <v>3</v>
      </c>
      <c r="AM71" s="119" t="s">
        <v>3</v>
      </c>
      <c r="AN71" s="119" t="s">
        <v>3</v>
      </c>
    </row>
    <row r="72" spans="1:40" x14ac:dyDescent="0.3">
      <c r="A72" s="119">
        <f t="shared" si="1"/>
        <v>71</v>
      </c>
      <c r="B72" s="119" t="s">
        <v>253</v>
      </c>
      <c r="C72" s="119" t="s">
        <v>537</v>
      </c>
      <c r="D72" s="120">
        <v>6</v>
      </c>
      <c r="E72" s="119" t="s">
        <v>5</v>
      </c>
      <c r="F72" s="119" t="s">
        <v>5</v>
      </c>
      <c r="G72" s="119" t="s">
        <v>3</v>
      </c>
      <c r="H72" s="119" t="s">
        <v>2</v>
      </c>
      <c r="I72" s="119" t="s">
        <v>5</v>
      </c>
      <c r="J72" s="119" t="s">
        <v>5</v>
      </c>
      <c r="K72" s="119" t="s">
        <v>5</v>
      </c>
      <c r="L72" s="119" t="s">
        <v>5</v>
      </c>
      <c r="M72" s="119" t="s">
        <v>2</v>
      </c>
      <c r="N72" s="119" t="s">
        <v>4</v>
      </c>
      <c r="O72" s="119" t="s">
        <v>4</v>
      </c>
      <c r="P72" s="119" t="s">
        <v>2</v>
      </c>
      <c r="Q72" s="119" t="s">
        <v>5</v>
      </c>
      <c r="R72" s="119" t="s">
        <v>2</v>
      </c>
      <c r="S72" s="119" t="s">
        <v>2</v>
      </c>
      <c r="T72" s="119" t="s">
        <v>5</v>
      </c>
      <c r="U72" s="119" t="s">
        <v>3</v>
      </c>
      <c r="V72" s="119" t="s">
        <v>5</v>
      </c>
      <c r="W72" s="119" t="s">
        <v>3</v>
      </c>
      <c r="X72" s="119" t="s">
        <v>2</v>
      </c>
      <c r="Y72" s="119" t="s">
        <v>2</v>
      </c>
      <c r="Z72" s="119" t="s">
        <v>5</v>
      </c>
      <c r="AA72" s="119" t="s">
        <v>3</v>
      </c>
      <c r="AB72" s="119" t="s">
        <v>4</v>
      </c>
      <c r="AC72" s="119" t="s">
        <v>4</v>
      </c>
      <c r="AD72" s="119" t="s">
        <v>4</v>
      </c>
      <c r="AE72" s="119" t="s">
        <v>3</v>
      </c>
      <c r="AF72" s="119" t="s">
        <v>4</v>
      </c>
      <c r="AG72" s="119" t="s">
        <v>3</v>
      </c>
      <c r="AH72" s="119" t="s">
        <v>3</v>
      </c>
      <c r="AI72" s="119" t="s">
        <v>3</v>
      </c>
      <c r="AJ72" s="119" t="s">
        <v>3</v>
      </c>
      <c r="AK72" s="119" t="s">
        <v>3</v>
      </c>
      <c r="AL72" s="119" t="s">
        <v>3</v>
      </c>
      <c r="AM72" s="119" t="s">
        <v>4</v>
      </c>
      <c r="AN72" s="119" t="s">
        <v>3</v>
      </c>
    </row>
    <row r="73" spans="1:40" x14ac:dyDescent="0.3">
      <c r="A73" s="119">
        <f t="shared" si="1"/>
        <v>72</v>
      </c>
      <c r="B73" s="119" t="s">
        <v>275</v>
      </c>
      <c r="C73" s="119" t="s">
        <v>537</v>
      </c>
      <c r="D73" s="120">
        <v>6</v>
      </c>
      <c r="E73" s="119" t="s">
        <v>5</v>
      </c>
      <c r="F73" s="119" t="s">
        <v>3</v>
      </c>
      <c r="G73" s="119" t="s">
        <v>3</v>
      </c>
      <c r="H73" s="119" t="s">
        <v>5</v>
      </c>
      <c r="I73" s="119" t="s">
        <v>5</v>
      </c>
      <c r="J73" s="119" t="s">
        <v>5</v>
      </c>
      <c r="K73" s="119" t="s">
        <v>5</v>
      </c>
      <c r="L73" s="119" t="s">
        <v>2</v>
      </c>
      <c r="M73" s="119" t="s">
        <v>2</v>
      </c>
      <c r="N73" s="119" t="s">
        <v>5</v>
      </c>
      <c r="O73" s="119" t="s">
        <v>3</v>
      </c>
      <c r="P73" s="119" t="s">
        <v>5</v>
      </c>
      <c r="Q73" s="119" t="s">
        <v>5</v>
      </c>
      <c r="R73" s="119" t="s">
        <v>3</v>
      </c>
      <c r="S73" s="119" t="s">
        <v>2</v>
      </c>
      <c r="T73" s="119" t="s">
        <v>5</v>
      </c>
      <c r="U73" s="119" t="s">
        <v>5</v>
      </c>
      <c r="V73" s="119" t="s">
        <v>5</v>
      </c>
      <c r="W73" s="119" t="s">
        <v>5</v>
      </c>
      <c r="X73" s="119" t="s">
        <v>4</v>
      </c>
      <c r="Y73" s="119" t="s">
        <v>4</v>
      </c>
      <c r="Z73" s="119" t="s">
        <v>4</v>
      </c>
      <c r="AA73" s="119" t="s">
        <v>3</v>
      </c>
      <c r="AB73" s="119" t="s">
        <v>4</v>
      </c>
      <c r="AC73" s="119" t="s">
        <v>4</v>
      </c>
      <c r="AD73" s="119" t="s">
        <v>4</v>
      </c>
      <c r="AE73" s="119" t="s">
        <v>4</v>
      </c>
      <c r="AF73" s="119" t="s">
        <v>4</v>
      </c>
      <c r="AG73" s="119" t="s">
        <v>4</v>
      </c>
      <c r="AH73" s="119" t="s">
        <v>3</v>
      </c>
      <c r="AI73" s="119" t="s">
        <v>4</v>
      </c>
      <c r="AJ73" s="119" t="s">
        <v>3</v>
      </c>
      <c r="AK73" s="119" t="s">
        <v>3</v>
      </c>
      <c r="AL73" s="119" t="s">
        <v>3</v>
      </c>
      <c r="AM73" s="119" t="s">
        <v>4</v>
      </c>
      <c r="AN73" s="119" t="s">
        <v>3</v>
      </c>
    </row>
    <row r="74" spans="1:40" x14ac:dyDescent="0.3">
      <c r="A74" s="119">
        <f t="shared" si="1"/>
        <v>73</v>
      </c>
      <c r="B74" s="119" t="s">
        <v>276</v>
      </c>
      <c r="C74" s="119" t="s">
        <v>537</v>
      </c>
      <c r="D74" s="120">
        <v>6</v>
      </c>
      <c r="E74" s="119" t="s">
        <v>5</v>
      </c>
      <c r="F74" s="119" t="s">
        <v>5</v>
      </c>
      <c r="G74" s="119" t="s">
        <v>5</v>
      </c>
      <c r="H74" s="119" t="s">
        <v>5</v>
      </c>
      <c r="I74" s="119" t="s">
        <v>5</v>
      </c>
      <c r="J74" s="119" t="s">
        <v>5</v>
      </c>
      <c r="K74" s="119" t="s">
        <v>5</v>
      </c>
      <c r="L74" s="119" t="s">
        <v>2</v>
      </c>
      <c r="M74" s="119" t="s">
        <v>3</v>
      </c>
      <c r="N74" s="119" t="s">
        <v>5</v>
      </c>
      <c r="O74" s="119" t="s">
        <v>4</v>
      </c>
      <c r="P74" s="119" t="s">
        <v>5</v>
      </c>
      <c r="Q74" s="119" t="s">
        <v>2</v>
      </c>
      <c r="R74" s="119" t="s">
        <v>2</v>
      </c>
      <c r="S74" s="119" t="s">
        <v>2</v>
      </c>
      <c r="T74" s="119" t="s">
        <v>5</v>
      </c>
      <c r="U74" s="119" t="s">
        <v>3</v>
      </c>
      <c r="V74" s="119" t="s">
        <v>5</v>
      </c>
      <c r="W74" s="119" t="s">
        <v>5</v>
      </c>
      <c r="X74" s="119" t="s">
        <v>3</v>
      </c>
      <c r="Y74" s="119" t="s">
        <v>2</v>
      </c>
      <c r="Z74" s="119" t="s">
        <v>2</v>
      </c>
      <c r="AA74" s="119" t="s">
        <v>3</v>
      </c>
      <c r="AB74" s="119" t="s">
        <v>4</v>
      </c>
      <c r="AC74" s="119" t="s">
        <v>4</v>
      </c>
      <c r="AD74" s="119" t="s">
        <v>4</v>
      </c>
      <c r="AE74" s="119" t="s">
        <v>4</v>
      </c>
      <c r="AF74" s="119" t="s">
        <v>4</v>
      </c>
      <c r="AG74" s="119" t="s">
        <v>4</v>
      </c>
      <c r="AH74" s="119" t="s">
        <v>4</v>
      </c>
      <c r="AI74" s="119" t="s">
        <v>4</v>
      </c>
      <c r="AJ74" s="119" t="s">
        <v>3</v>
      </c>
      <c r="AK74" s="119" t="s">
        <v>3</v>
      </c>
      <c r="AL74" s="119" t="s">
        <v>4</v>
      </c>
      <c r="AM74" s="119" t="s">
        <v>4</v>
      </c>
      <c r="AN74" s="119" t="s">
        <v>3</v>
      </c>
    </row>
    <row r="75" spans="1:40" x14ac:dyDescent="0.3">
      <c r="A75" s="119">
        <f t="shared" si="1"/>
        <v>74</v>
      </c>
      <c r="B75" s="119" t="s">
        <v>277</v>
      </c>
      <c r="C75" s="119" t="s">
        <v>537</v>
      </c>
      <c r="D75" s="120">
        <v>6</v>
      </c>
      <c r="E75" s="119" t="s">
        <v>5</v>
      </c>
      <c r="F75" s="119" t="s">
        <v>3</v>
      </c>
      <c r="G75" s="119" t="s">
        <v>4</v>
      </c>
      <c r="H75" s="119" t="s">
        <v>5</v>
      </c>
      <c r="I75" s="119" t="s">
        <v>5</v>
      </c>
      <c r="J75" s="119" t="s">
        <v>3</v>
      </c>
      <c r="K75" s="119" t="s">
        <v>2</v>
      </c>
      <c r="L75" s="119" t="s">
        <v>2</v>
      </c>
      <c r="M75" s="119" t="s">
        <v>3</v>
      </c>
      <c r="N75" s="119" t="s">
        <v>3</v>
      </c>
      <c r="O75" s="119" t="s">
        <v>4</v>
      </c>
      <c r="P75" s="119" t="s">
        <v>5</v>
      </c>
      <c r="Q75" s="119" t="s">
        <v>5</v>
      </c>
      <c r="R75" s="119" t="s">
        <v>3</v>
      </c>
      <c r="S75" s="119" t="s">
        <v>5</v>
      </c>
      <c r="T75" s="119" t="s">
        <v>5</v>
      </c>
      <c r="U75" s="119" t="s">
        <v>5</v>
      </c>
      <c r="V75" s="119" t="s">
        <v>5</v>
      </c>
      <c r="W75" s="119" t="s">
        <v>4</v>
      </c>
      <c r="X75" s="119" t="s">
        <v>4</v>
      </c>
      <c r="Y75" s="119" t="s">
        <v>3</v>
      </c>
      <c r="Z75" s="119" t="s">
        <v>4</v>
      </c>
      <c r="AA75" s="119" t="s">
        <v>3</v>
      </c>
      <c r="AB75" s="119" t="s">
        <v>3</v>
      </c>
      <c r="AC75" s="119" t="s">
        <v>3</v>
      </c>
      <c r="AD75" s="119" t="s">
        <v>4</v>
      </c>
      <c r="AE75" s="119" t="s">
        <v>4</v>
      </c>
      <c r="AF75" s="119" t="s">
        <v>4</v>
      </c>
      <c r="AG75" s="119" t="s">
        <v>4</v>
      </c>
      <c r="AH75" s="119" t="s">
        <v>4</v>
      </c>
      <c r="AI75" s="119" t="s">
        <v>4</v>
      </c>
      <c r="AJ75" s="119" t="s">
        <v>4</v>
      </c>
      <c r="AK75" s="119" t="s">
        <v>4</v>
      </c>
      <c r="AL75" s="119" t="s">
        <v>4</v>
      </c>
      <c r="AM75" s="119" t="s">
        <v>4</v>
      </c>
      <c r="AN75" s="119" t="s">
        <v>4</v>
      </c>
    </row>
    <row r="76" spans="1:40" x14ac:dyDescent="0.3">
      <c r="A76" s="119">
        <f t="shared" si="1"/>
        <v>75</v>
      </c>
      <c r="B76" s="119" t="s">
        <v>278</v>
      </c>
      <c r="C76" s="119" t="s">
        <v>537</v>
      </c>
      <c r="D76" s="120">
        <v>6</v>
      </c>
      <c r="E76" s="119" t="s">
        <v>5</v>
      </c>
      <c r="F76" s="119" t="s">
        <v>5</v>
      </c>
      <c r="G76" s="119" t="s">
        <v>3</v>
      </c>
      <c r="H76" s="119" t="s">
        <v>5</v>
      </c>
      <c r="I76" s="119" t="s">
        <v>5</v>
      </c>
      <c r="J76" s="119" t="s">
        <v>5</v>
      </c>
      <c r="K76" s="119" t="s">
        <v>5</v>
      </c>
      <c r="L76" s="119" t="s">
        <v>2</v>
      </c>
      <c r="M76" s="119" t="s">
        <v>2</v>
      </c>
      <c r="N76" s="119" t="s">
        <v>4</v>
      </c>
      <c r="O76" s="119" t="s">
        <v>4</v>
      </c>
      <c r="P76" s="119" t="s">
        <v>4</v>
      </c>
      <c r="Q76" s="119" t="s">
        <v>5</v>
      </c>
      <c r="R76" s="119" t="s">
        <v>4</v>
      </c>
      <c r="S76" s="119" t="s">
        <v>5</v>
      </c>
      <c r="T76" s="119" t="s">
        <v>5</v>
      </c>
      <c r="U76" s="119" t="s">
        <v>5</v>
      </c>
      <c r="V76" s="119" t="s">
        <v>5</v>
      </c>
      <c r="W76" s="119" t="s">
        <v>3</v>
      </c>
      <c r="X76" s="119" t="s">
        <v>5</v>
      </c>
      <c r="Y76" s="119" t="s">
        <v>2</v>
      </c>
      <c r="Z76" s="119" t="s">
        <v>4</v>
      </c>
      <c r="AA76" s="119" t="s">
        <v>3</v>
      </c>
      <c r="AB76" s="119" t="s">
        <v>4</v>
      </c>
      <c r="AC76" s="119" t="s">
        <v>4</v>
      </c>
      <c r="AD76" s="119" t="s">
        <v>4</v>
      </c>
      <c r="AE76" s="119" t="s">
        <v>4</v>
      </c>
      <c r="AF76" s="119" t="s">
        <v>4</v>
      </c>
      <c r="AG76" s="119" t="s">
        <v>4</v>
      </c>
      <c r="AH76" s="119" t="s">
        <v>3</v>
      </c>
      <c r="AI76" s="119" t="s">
        <v>4</v>
      </c>
      <c r="AJ76" s="119" t="s">
        <v>3</v>
      </c>
      <c r="AK76" s="119" t="s">
        <v>3</v>
      </c>
      <c r="AL76" s="119" t="s">
        <v>4</v>
      </c>
      <c r="AM76" s="119" t="s">
        <v>4</v>
      </c>
      <c r="AN76" s="119" t="s">
        <v>3</v>
      </c>
    </row>
    <row r="77" spans="1:40" x14ac:dyDescent="0.3">
      <c r="A77" s="119">
        <f t="shared" si="1"/>
        <v>76</v>
      </c>
      <c r="B77" s="119" t="s">
        <v>474</v>
      </c>
      <c r="C77" s="119" t="s">
        <v>537</v>
      </c>
      <c r="D77" s="119">
        <v>6</v>
      </c>
      <c r="E77" s="119" t="s">
        <v>5</v>
      </c>
      <c r="F77" s="119" t="s">
        <v>5</v>
      </c>
      <c r="G77" s="119" t="s">
        <v>3</v>
      </c>
      <c r="H77" s="119" t="s">
        <v>5</v>
      </c>
      <c r="I77" s="119" t="s">
        <v>5</v>
      </c>
      <c r="J77" s="119" t="s">
        <v>5</v>
      </c>
      <c r="K77" s="119" t="s">
        <v>2</v>
      </c>
      <c r="L77" s="119" t="s">
        <v>2</v>
      </c>
      <c r="M77" s="119" t="s">
        <v>2</v>
      </c>
      <c r="N77" s="119" t="s">
        <v>2</v>
      </c>
      <c r="O77" s="119" t="s">
        <v>4</v>
      </c>
      <c r="P77" s="119" t="s">
        <v>5</v>
      </c>
      <c r="Q77" s="119" t="s">
        <v>2</v>
      </c>
      <c r="R77" s="119" t="s">
        <v>3</v>
      </c>
      <c r="S77" s="119" t="s">
        <v>3</v>
      </c>
      <c r="T77" s="119" t="s">
        <v>5</v>
      </c>
      <c r="U77" s="119" t="s">
        <v>3</v>
      </c>
      <c r="V77" s="119" t="s">
        <v>2</v>
      </c>
      <c r="W77" s="119" t="s">
        <v>3</v>
      </c>
      <c r="X77" s="119" t="s">
        <v>4</v>
      </c>
      <c r="Y77" s="119" t="s">
        <v>4</v>
      </c>
      <c r="Z77" s="119" t="s">
        <v>4</v>
      </c>
      <c r="AA77" s="119" t="s">
        <v>3</v>
      </c>
      <c r="AB77" s="119" t="s">
        <v>4</v>
      </c>
      <c r="AC77" s="119" t="s">
        <v>4</v>
      </c>
      <c r="AD77" s="119" t="s">
        <v>4</v>
      </c>
      <c r="AE77" s="119" t="s">
        <v>4</v>
      </c>
      <c r="AF77" s="119" t="s">
        <v>4</v>
      </c>
      <c r="AG77" s="119" t="s">
        <v>4</v>
      </c>
      <c r="AH77" s="119" t="s">
        <v>3</v>
      </c>
      <c r="AI77" s="119" t="s">
        <v>4</v>
      </c>
      <c r="AJ77" s="119" t="s">
        <v>3</v>
      </c>
      <c r="AK77" s="119" t="s">
        <v>4</v>
      </c>
      <c r="AL77" s="119" t="s">
        <v>3</v>
      </c>
      <c r="AM77" s="119" t="s">
        <v>3</v>
      </c>
      <c r="AN77" s="119" t="s">
        <v>3</v>
      </c>
    </row>
    <row r="78" spans="1:40" x14ac:dyDescent="0.3">
      <c r="A78" s="119">
        <f t="shared" si="1"/>
        <v>77</v>
      </c>
      <c r="B78" s="119" t="s">
        <v>476</v>
      </c>
      <c r="C78" s="119" t="s">
        <v>537</v>
      </c>
      <c r="D78" s="119">
        <v>6</v>
      </c>
      <c r="E78" s="119" t="s">
        <v>5</v>
      </c>
      <c r="F78" s="119" t="s">
        <v>5</v>
      </c>
      <c r="G78" s="119" t="s">
        <v>5</v>
      </c>
      <c r="H78" s="119" t="s">
        <v>5</v>
      </c>
      <c r="I78" s="119" t="s">
        <v>5</v>
      </c>
      <c r="J78" s="119" t="s">
        <v>5</v>
      </c>
      <c r="K78" s="119" t="s">
        <v>5</v>
      </c>
      <c r="L78" s="119" t="s">
        <v>2</v>
      </c>
      <c r="M78" s="119" t="s">
        <v>3</v>
      </c>
      <c r="N78" s="119" t="s">
        <v>3</v>
      </c>
      <c r="O78" s="119" t="s">
        <v>4</v>
      </c>
      <c r="P78" s="119" t="s">
        <v>3</v>
      </c>
      <c r="Q78" s="119" t="s">
        <v>5</v>
      </c>
      <c r="R78" s="119" t="s">
        <v>3</v>
      </c>
      <c r="S78" s="119" t="s">
        <v>3</v>
      </c>
      <c r="T78" s="119" t="s">
        <v>5</v>
      </c>
      <c r="U78" s="119" t="s">
        <v>3</v>
      </c>
      <c r="V78" s="119" t="s">
        <v>5</v>
      </c>
      <c r="W78" s="119" t="s">
        <v>4</v>
      </c>
      <c r="X78" s="119" t="s">
        <v>2</v>
      </c>
      <c r="Y78" s="119" t="s">
        <v>5</v>
      </c>
      <c r="Z78" s="119" t="s">
        <v>4</v>
      </c>
      <c r="AA78" s="119" t="s">
        <v>3</v>
      </c>
      <c r="AB78" s="119" t="s">
        <v>4</v>
      </c>
      <c r="AC78" s="119" t="s">
        <v>4</v>
      </c>
      <c r="AD78" s="119" t="s">
        <v>4</v>
      </c>
      <c r="AE78" s="119" t="s">
        <v>4</v>
      </c>
      <c r="AF78" s="119" t="s">
        <v>3</v>
      </c>
      <c r="AG78" s="119" t="s">
        <v>4</v>
      </c>
      <c r="AH78" s="119" t="s">
        <v>3</v>
      </c>
      <c r="AI78" s="119" t="s">
        <v>4</v>
      </c>
      <c r="AJ78" s="119" t="s">
        <v>3</v>
      </c>
      <c r="AK78" s="119" t="s">
        <v>4</v>
      </c>
      <c r="AL78" s="119" t="s">
        <v>3</v>
      </c>
      <c r="AM78" s="119" t="s">
        <v>3</v>
      </c>
      <c r="AN78" s="119" t="s">
        <v>3</v>
      </c>
    </row>
    <row r="79" spans="1:40" x14ac:dyDescent="0.3">
      <c r="A79" s="119">
        <f t="shared" si="1"/>
        <v>78</v>
      </c>
      <c r="B79" s="119" t="s">
        <v>489</v>
      </c>
      <c r="C79" s="119" t="s">
        <v>537</v>
      </c>
      <c r="D79" s="119">
        <v>6</v>
      </c>
      <c r="E79" s="119" t="s">
        <v>5</v>
      </c>
      <c r="F79" s="119" t="s">
        <v>5</v>
      </c>
      <c r="G79" s="119" t="s">
        <v>4</v>
      </c>
      <c r="H79" s="119" t="s">
        <v>5</v>
      </c>
      <c r="I79" s="119" t="s">
        <v>5</v>
      </c>
      <c r="J79" s="119" t="s">
        <v>3</v>
      </c>
      <c r="K79" s="119" t="s">
        <v>5</v>
      </c>
      <c r="L79" s="119" t="s">
        <v>2</v>
      </c>
      <c r="M79" s="119" t="s">
        <v>2</v>
      </c>
      <c r="N79" s="119" t="s">
        <v>4</v>
      </c>
      <c r="O79" s="119" t="s">
        <v>3</v>
      </c>
      <c r="P79" s="119" t="s">
        <v>5</v>
      </c>
      <c r="Q79" s="119" t="s">
        <v>5</v>
      </c>
      <c r="R79" s="119" t="s">
        <v>4</v>
      </c>
      <c r="S79" s="119" t="s">
        <v>5</v>
      </c>
      <c r="T79" s="119" t="s">
        <v>5</v>
      </c>
      <c r="U79" s="119" t="s">
        <v>5</v>
      </c>
      <c r="V79" s="119" t="s">
        <v>5</v>
      </c>
      <c r="W79" s="119" t="s">
        <v>2</v>
      </c>
      <c r="X79" s="119" t="s">
        <v>4</v>
      </c>
      <c r="Y79" s="119" t="s">
        <v>5</v>
      </c>
      <c r="Z79" s="119" t="s">
        <v>2</v>
      </c>
      <c r="AA79" s="119" t="s">
        <v>3</v>
      </c>
      <c r="AB79" s="119" t="s">
        <v>4</v>
      </c>
      <c r="AC79" s="119" t="s">
        <v>4</v>
      </c>
      <c r="AD79" s="119" t="s">
        <v>4</v>
      </c>
      <c r="AE79" s="119" t="s">
        <v>4</v>
      </c>
      <c r="AF79" s="119" t="s">
        <v>4</v>
      </c>
      <c r="AG79" s="119" t="s">
        <v>4</v>
      </c>
      <c r="AH79" s="119" t="s">
        <v>3</v>
      </c>
      <c r="AI79" s="119" t="s">
        <v>4</v>
      </c>
      <c r="AJ79" s="119" t="s">
        <v>4</v>
      </c>
      <c r="AK79" s="119" t="s">
        <v>4</v>
      </c>
      <c r="AL79" s="119" t="s">
        <v>3</v>
      </c>
      <c r="AM79" s="119" t="s">
        <v>4</v>
      </c>
      <c r="AN79" s="119" t="s">
        <v>3</v>
      </c>
    </row>
    <row r="80" spans="1:40" x14ac:dyDescent="0.3">
      <c r="A80" s="119">
        <f t="shared" si="1"/>
        <v>79</v>
      </c>
      <c r="B80" s="119" t="s">
        <v>256</v>
      </c>
      <c r="C80" s="119" t="s">
        <v>538</v>
      </c>
      <c r="D80" s="119">
        <v>1</v>
      </c>
      <c r="E80" s="119" t="s">
        <v>3</v>
      </c>
      <c r="F80" s="119" t="s">
        <v>5</v>
      </c>
      <c r="G80" s="119" t="s">
        <v>3</v>
      </c>
      <c r="H80" s="119" t="s">
        <v>5</v>
      </c>
      <c r="I80" s="119" t="s">
        <v>5</v>
      </c>
      <c r="J80" s="119" t="s">
        <v>5</v>
      </c>
      <c r="K80" s="119" t="s">
        <v>5</v>
      </c>
      <c r="L80" s="119" t="s">
        <v>2</v>
      </c>
      <c r="M80" s="119" t="s">
        <v>3</v>
      </c>
      <c r="N80" s="119" t="s">
        <v>3</v>
      </c>
      <c r="O80" s="119" t="s">
        <v>3</v>
      </c>
      <c r="P80" s="119" t="s">
        <v>4</v>
      </c>
      <c r="Q80" s="119" t="s">
        <v>5</v>
      </c>
      <c r="R80" s="119" t="s">
        <v>3</v>
      </c>
      <c r="S80" s="119" t="s">
        <v>4</v>
      </c>
      <c r="T80" s="119" t="s">
        <v>5</v>
      </c>
      <c r="U80" s="119" t="s">
        <v>5</v>
      </c>
      <c r="V80" s="119" t="s">
        <v>5</v>
      </c>
      <c r="W80" s="119" t="s">
        <v>3</v>
      </c>
      <c r="X80" s="119" t="s">
        <v>4</v>
      </c>
      <c r="Y80" s="119" t="s">
        <v>3</v>
      </c>
      <c r="Z80" s="119" t="s">
        <v>2</v>
      </c>
      <c r="AA80" s="119" t="s">
        <v>3</v>
      </c>
      <c r="AB80" s="119" t="s">
        <v>4</v>
      </c>
      <c r="AC80" s="119" t="s">
        <v>4</v>
      </c>
      <c r="AD80" s="119" t="s">
        <v>4</v>
      </c>
      <c r="AE80" s="119" t="s">
        <v>4</v>
      </c>
      <c r="AF80" s="119" t="s">
        <v>4</v>
      </c>
      <c r="AG80" s="119" t="s">
        <v>4</v>
      </c>
      <c r="AH80" s="119" t="s">
        <v>3</v>
      </c>
      <c r="AI80" s="119" t="s">
        <v>4</v>
      </c>
      <c r="AJ80" s="119" t="s">
        <v>3</v>
      </c>
      <c r="AK80" s="119" t="s">
        <v>4</v>
      </c>
      <c r="AL80" s="119" t="s">
        <v>4</v>
      </c>
      <c r="AM80" s="119" t="s">
        <v>4</v>
      </c>
      <c r="AN80" s="119" t="s">
        <v>3</v>
      </c>
    </row>
    <row r="81" spans="1:40" x14ac:dyDescent="0.3">
      <c r="A81" s="119">
        <f t="shared" si="1"/>
        <v>80</v>
      </c>
      <c r="B81" s="119" t="s">
        <v>257</v>
      </c>
      <c r="C81" s="119" t="s">
        <v>538</v>
      </c>
      <c r="D81" s="119">
        <v>1</v>
      </c>
      <c r="E81" s="119" t="s">
        <v>3</v>
      </c>
      <c r="F81" s="119" t="s">
        <v>3</v>
      </c>
      <c r="G81" s="119" t="s">
        <v>2</v>
      </c>
      <c r="H81" s="119" t="s">
        <v>3</v>
      </c>
      <c r="I81" s="119" t="s">
        <v>5</v>
      </c>
      <c r="J81" s="119" t="s">
        <v>5</v>
      </c>
      <c r="K81" s="119" t="s">
        <v>5</v>
      </c>
      <c r="L81" s="119" t="s">
        <v>2</v>
      </c>
      <c r="M81" s="119" t="s">
        <v>2</v>
      </c>
      <c r="N81" s="119" t="s">
        <v>2</v>
      </c>
      <c r="O81" s="119" t="s">
        <v>3</v>
      </c>
      <c r="P81" s="119" t="s">
        <v>2</v>
      </c>
      <c r="Q81" s="119" t="s">
        <v>5</v>
      </c>
      <c r="R81" s="119" t="s">
        <v>3</v>
      </c>
      <c r="S81" s="119" t="s">
        <v>3</v>
      </c>
      <c r="T81" s="119" t="s">
        <v>5</v>
      </c>
      <c r="U81" s="119" t="s">
        <v>5</v>
      </c>
      <c r="V81" s="119" t="s">
        <v>5</v>
      </c>
      <c r="W81" s="119" t="s">
        <v>2</v>
      </c>
      <c r="X81" s="119" t="s">
        <v>4</v>
      </c>
      <c r="Y81" s="119" t="s">
        <v>3</v>
      </c>
      <c r="Z81" s="119" t="s">
        <v>4</v>
      </c>
      <c r="AA81" s="119" t="s">
        <v>3</v>
      </c>
      <c r="AB81" s="119" t="s">
        <v>4</v>
      </c>
      <c r="AC81" s="119" t="s">
        <v>4</v>
      </c>
      <c r="AD81" s="119" t="s">
        <v>4</v>
      </c>
      <c r="AE81" s="119" t="s">
        <v>4</v>
      </c>
      <c r="AF81" s="119" t="s">
        <v>4</v>
      </c>
      <c r="AG81" s="119" t="s">
        <v>4</v>
      </c>
      <c r="AH81" s="119" t="s">
        <v>3</v>
      </c>
      <c r="AI81" s="119" t="s">
        <v>4</v>
      </c>
      <c r="AJ81" s="119" t="s">
        <v>3</v>
      </c>
      <c r="AK81" s="119" t="s">
        <v>4</v>
      </c>
      <c r="AL81" s="119" t="s">
        <v>4</v>
      </c>
      <c r="AM81" s="119" t="s">
        <v>4</v>
      </c>
      <c r="AN81" s="119" t="s">
        <v>3</v>
      </c>
    </row>
    <row r="82" spans="1:40" x14ac:dyDescent="0.3">
      <c r="A82" s="119">
        <f t="shared" si="1"/>
        <v>81</v>
      </c>
      <c r="B82" s="119" t="s">
        <v>258</v>
      </c>
      <c r="C82" s="119" t="s">
        <v>538</v>
      </c>
      <c r="D82" s="119">
        <v>1</v>
      </c>
      <c r="E82" s="119" t="s">
        <v>3</v>
      </c>
      <c r="F82" s="119" t="s">
        <v>5</v>
      </c>
      <c r="G82" s="119" t="s">
        <v>2</v>
      </c>
      <c r="H82" s="119" t="s">
        <v>5</v>
      </c>
      <c r="I82" s="119" t="s">
        <v>5</v>
      </c>
      <c r="J82" s="119" t="s">
        <v>5</v>
      </c>
      <c r="K82" s="119" t="s">
        <v>5</v>
      </c>
      <c r="L82" s="119" t="s">
        <v>2</v>
      </c>
      <c r="M82" s="119" t="s">
        <v>3</v>
      </c>
      <c r="N82" s="119" t="s">
        <v>3</v>
      </c>
      <c r="O82" s="119" t="s">
        <v>2</v>
      </c>
      <c r="P82" s="119" t="s">
        <v>4</v>
      </c>
      <c r="Q82" s="119" t="s">
        <v>2</v>
      </c>
      <c r="R82" s="119" t="s">
        <v>3</v>
      </c>
      <c r="S82" s="119" t="s">
        <v>4</v>
      </c>
      <c r="T82" s="119" t="s">
        <v>2</v>
      </c>
      <c r="U82" s="119" t="s">
        <v>2</v>
      </c>
      <c r="V82" s="119" t="s">
        <v>2</v>
      </c>
      <c r="W82" s="119" t="s">
        <v>5</v>
      </c>
      <c r="X82" s="119" t="s">
        <v>4</v>
      </c>
      <c r="Y82" s="119" t="s">
        <v>4</v>
      </c>
      <c r="Z82" s="119" t="s">
        <v>2</v>
      </c>
      <c r="AA82" s="119" t="s">
        <v>3</v>
      </c>
      <c r="AB82" s="119" t="s">
        <v>4</v>
      </c>
      <c r="AC82" s="119" t="s">
        <v>4</v>
      </c>
      <c r="AD82" s="119" t="s">
        <v>4</v>
      </c>
      <c r="AE82" s="119" t="s">
        <v>4</v>
      </c>
      <c r="AF82" s="119" t="s">
        <v>4</v>
      </c>
      <c r="AG82" s="119" t="s">
        <v>4</v>
      </c>
      <c r="AH82" s="119" t="s">
        <v>3</v>
      </c>
      <c r="AI82" s="119" t="s">
        <v>4</v>
      </c>
      <c r="AJ82" s="119" t="s">
        <v>3</v>
      </c>
      <c r="AK82" s="119" t="s">
        <v>4</v>
      </c>
      <c r="AL82" s="119" t="s">
        <v>4</v>
      </c>
      <c r="AM82" s="119" t="s">
        <v>4</v>
      </c>
      <c r="AN82" s="119" t="s">
        <v>3</v>
      </c>
    </row>
    <row r="83" spans="1:40" x14ac:dyDescent="0.3">
      <c r="A83" s="119">
        <f t="shared" si="1"/>
        <v>82</v>
      </c>
      <c r="B83" s="119" t="s">
        <v>457</v>
      </c>
      <c r="C83" s="119" t="s">
        <v>538</v>
      </c>
      <c r="D83" s="119">
        <v>1</v>
      </c>
      <c r="E83" s="119" t="s">
        <v>4</v>
      </c>
      <c r="F83" s="119" t="s">
        <v>2</v>
      </c>
      <c r="G83" s="119" t="s">
        <v>3</v>
      </c>
      <c r="H83" s="119" t="s">
        <v>3</v>
      </c>
      <c r="I83" s="119" t="s">
        <v>5</v>
      </c>
      <c r="J83" s="119" t="s">
        <v>5</v>
      </c>
      <c r="K83" s="119" t="s">
        <v>5</v>
      </c>
      <c r="L83" s="119" t="s">
        <v>2</v>
      </c>
      <c r="M83" s="119" t="s">
        <v>3</v>
      </c>
      <c r="N83" s="119" t="s">
        <v>3</v>
      </c>
      <c r="O83" s="119" t="s">
        <v>4</v>
      </c>
      <c r="P83" s="119" t="s">
        <v>2</v>
      </c>
      <c r="Q83" s="119" t="s">
        <v>5</v>
      </c>
      <c r="R83" s="119" t="s">
        <v>3</v>
      </c>
      <c r="S83" s="119" t="s">
        <v>3</v>
      </c>
      <c r="T83" s="119" t="s">
        <v>5</v>
      </c>
      <c r="U83" s="119" t="s">
        <v>5</v>
      </c>
      <c r="V83" s="119" t="s">
        <v>5</v>
      </c>
      <c r="W83" s="119" t="s">
        <v>4</v>
      </c>
      <c r="X83" s="119" t="s">
        <v>4</v>
      </c>
      <c r="Y83" s="119" t="s">
        <v>4</v>
      </c>
      <c r="Z83" s="119" t="s">
        <v>4</v>
      </c>
      <c r="AA83" s="119" t="s">
        <v>3</v>
      </c>
      <c r="AB83" s="119" t="s">
        <v>3</v>
      </c>
      <c r="AC83" s="119" t="s">
        <v>3</v>
      </c>
      <c r="AD83" s="119" t="s">
        <v>4</v>
      </c>
      <c r="AE83" s="119" t="s">
        <v>4</v>
      </c>
      <c r="AF83" s="119" t="s">
        <v>4</v>
      </c>
      <c r="AG83" s="119" t="s">
        <v>4</v>
      </c>
      <c r="AH83" s="119" t="s">
        <v>3</v>
      </c>
      <c r="AI83" s="119" t="s">
        <v>4</v>
      </c>
      <c r="AJ83" s="119" t="s">
        <v>3</v>
      </c>
      <c r="AK83" s="119" t="s">
        <v>4</v>
      </c>
      <c r="AL83" s="119" t="s">
        <v>4</v>
      </c>
      <c r="AM83" s="119" t="s">
        <v>4</v>
      </c>
      <c r="AN83" s="119" t="s">
        <v>3</v>
      </c>
    </row>
    <row r="84" spans="1:40" x14ac:dyDescent="0.3">
      <c r="A84" s="119">
        <f t="shared" si="1"/>
        <v>83</v>
      </c>
      <c r="B84" s="119" t="s">
        <v>458</v>
      </c>
      <c r="C84" s="119" t="s">
        <v>538</v>
      </c>
      <c r="D84" s="119">
        <v>1</v>
      </c>
      <c r="E84" s="119" t="s">
        <v>5</v>
      </c>
      <c r="F84" s="119" t="s">
        <v>3</v>
      </c>
      <c r="G84" s="119" t="s">
        <v>4</v>
      </c>
      <c r="H84" s="119" t="s">
        <v>5</v>
      </c>
      <c r="I84" s="119" t="s">
        <v>5</v>
      </c>
      <c r="J84" s="119" t="s">
        <v>5</v>
      </c>
      <c r="K84" s="119" t="s">
        <v>5</v>
      </c>
      <c r="L84" s="119" t="s">
        <v>2</v>
      </c>
      <c r="M84" s="119" t="s">
        <v>2</v>
      </c>
      <c r="N84" s="119" t="s">
        <v>3</v>
      </c>
      <c r="O84" s="119" t="s">
        <v>3</v>
      </c>
      <c r="P84" s="119" t="s">
        <v>2</v>
      </c>
      <c r="Q84" s="119" t="s">
        <v>2</v>
      </c>
      <c r="R84" s="119" t="s">
        <v>3</v>
      </c>
      <c r="S84" s="119" t="s">
        <v>2</v>
      </c>
      <c r="T84" s="119" t="s">
        <v>5</v>
      </c>
      <c r="U84" s="119" t="s">
        <v>2</v>
      </c>
      <c r="V84" s="119" t="s">
        <v>5</v>
      </c>
      <c r="W84" s="119" t="s">
        <v>5</v>
      </c>
      <c r="X84" s="119" t="s">
        <v>4</v>
      </c>
      <c r="Y84" s="119" t="s">
        <v>4</v>
      </c>
      <c r="Z84" s="119" t="s">
        <v>2</v>
      </c>
      <c r="AA84" s="119" t="s">
        <v>3</v>
      </c>
      <c r="AB84" s="119" t="s">
        <v>3</v>
      </c>
      <c r="AC84" s="119" t="s">
        <v>3</v>
      </c>
      <c r="AD84" s="119" t="s">
        <v>4</v>
      </c>
      <c r="AE84" s="119" t="s">
        <v>4</v>
      </c>
      <c r="AF84" s="119" t="s">
        <v>4</v>
      </c>
      <c r="AG84" s="119" t="s">
        <v>4</v>
      </c>
      <c r="AH84" s="119" t="s">
        <v>3</v>
      </c>
      <c r="AI84" s="119" t="s">
        <v>4</v>
      </c>
      <c r="AJ84" s="119" t="s">
        <v>3</v>
      </c>
      <c r="AK84" s="119" t="s">
        <v>4</v>
      </c>
      <c r="AL84" s="119" t="s">
        <v>4</v>
      </c>
      <c r="AM84" s="119" t="s">
        <v>3</v>
      </c>
      <c r="AN84" s="119" t="s">
        <v>3</v>
      </c>
    </row>
    <row r="85" spans="1:40" x14ac:dyDescent="0.3">
      <c r="A85" s="119">
        <f t="shared" si="1"/>
        <v>84</v>
      </c>
      <c r="B85" s="119" t="s">
        <v>459</v>
      </c>
      <c r="C85" s="119" t="s">
        <v>538</v>
      </c>
      <c r="D85" s="119">
        <v>1</v>
      </c>
      <c r="E85" s="119" t="s">
        <v>5</v>
      </c>
      <c r="F85" s="119" t="s">
        <v>5</v>
      </c>
      <c r="G85" s="119" t="s">
        <v>4</v>
      </c>
      <c r="H85" s="119" t="s">
        <v>5</v>
      </c>
      <c r="I85" s="119" t="s">
        <v>5</v>
      </c>
      <c r="J85" s="119" t="s">
        <v>5</v>
      </c>
      <c r="K85" s="119" t="s">
        <v>5</v>
      </c>
      <c r="L85" s="119" t="s">
        <v>2</v>
      </c>
      <c r="M85" s="119" t="s">
        <v>3</v>
      </c>
      <c r="N85" s="119" t="s">
        <v>4</v>
      </c>
      <c r="O85" s="119" t="s">
        <v>3</v>
      </c>
      <c r="P85" s="119" t="s">
        <v>3</v>
      </c>
      <c r="Q85" s="119" t="s">
        <v>5</v>
      </c>
      <c r="R85" s="119" t="s">
        <v>3</v>
      </c>
      <c r="S85" s="119" t="s">
        <v>3</v>
      </c>
      <c r="T85" s="119" t="s">
        <v>5</v>
      </c>
      <c r="U85" s="119" t="s">
        <v>3</v>
      </c>
      <c r="V85" s="119" t="s">
        <v>2</v>
      </c>
      <c r="W85" s="119" t="s">
        <v>5</v>
      </c>
      <c r="X85" s="119" t="s">
        <v>4</v>
      </c>
      <c r="Y85" s="119" t="s">
        <v>3</v>
      </c>
      <c r="Z85" s="119" t="s">
        <v>2</v>
      </c>
      <c r="AA85" s="119" t="s">
        <v>3</v>
      </c>
      <c r="AB85" s="119" t="s">
        <v>3</v>
      </c>
      <c r="AC85" s="119" t="s">
        <v>3</v>
      </c>
      <c r="AD85" s="119" t="s">
        <v>4</v>
      </c>
      <c r="AE85" s="119" t="s">
        <v>4</v>
      </c>
      <c r="AF85" s="119" t="s">
        <v>4</v>
      </c>
      <c r="AG85" s="119" t="s">
        <v>4</v>
      </c>
      <c r="AH85" s="119" t="s">
        <v>3</v>
      </c>
      <c r="AI85" s="119" t="s">
        <v>4</v>
      </c>
      <c r="AJ85" s="119" t="s">
        <v>3</v>
      </c>
      <c r="AK85" s="119" t="s">
        <v>3</v>
      </c>
      <c r="AL85" s="119" t="s">
        <v>4</v>
      </c>
      <c r="AM85" s="119" t="s">
        <v>4</v>
      </c>
      <c r="AN85" s="119" t="s">
        <v>3</v>
      </c>
    </row>
    <row r="86" spans="1:40" x14ac:dyDescent="0.3">
      <c r="A86" s="119">
        <f t="shared" si="1"/>
        <v>85</v>
      </c>
      <c r="B86" s="119" t="s">
        <v>11</v>
      </c>
      <c r="C86" s="119" t="s">
        <v>538</v>
      </c>
      <c r="D86" s="119">
        <v>2</v>
      </c>
      <c r="E86" s="119" t="s">
        <v>4</v>
      </c>
      <c r="F86" s="119" t="s">
        <v>5</v>
      </c>
      <c r="G86" s="119" t="s">
        <v>3</v>
      </c>
      <c r="H86" s="119" t="s">
        <v>3</v>
      </c>
      <c r="I86" s="119" t="s">
        <v>5</v>
      </c>
      <c r="J86" s="119" t="s">
        <v>5</v>
      </c>
      <c r="K86" s="119" t="s">
        <v>5</v>
      </c>
      <c r="L86" s="119" t="s">
        <v>2</v>
      </c>
      <c r="M86" s="119" t="s">
        <v>2</v>
      </c>
      <c r="N86" s="119" t="s">
        <v>3</v>
      </c>
      <c r="O86" s="119" t="s">
        <v>4</v>
      </c>
      <c r="P86" s="119" t="s">
        <v>2</v>
      </c>
      <c r="Q86" s="119" t="s">
        <v>5</v>
      </c>
      <c r="R86" s="119" t="s">
        <v>3</v>
      </c>
      <c r="S86" s="119" t="s">
        <v>4</v>
      </c>
      <c r="T86" s="119" t="s">
        <v>5</v>
      </c>
      <c r="U86" s="119" t="s">
        <v>5</v>
      </c>
      <c r="V86" s="119" t="s">
        <v>5</v>
      </c>
      <c r="W86" s="119" t="s">
        <v>4</v>
      </c>
      <c r="X86" s="119" t="s">
        <v>4</v>
      </c>
      <c r="Y86" s="119" t="s">
        <v>4</v>
      </c>
      <c r="Z86" s="119" t="s">
        <v>4</v>
      </c>
      <c r="AA86" s="119" t="s">
        <v>3</v>
      </c>
      <c r="AB86" s="119" t="s">
        <v>4</v>
      </c>
      <c r="AC86" s="119" t="s">
        <v>4</v>
      </c>
      <c r="AD86" s="119" t="s">
        <v>4</v>
      </c>
      <c r="AE86" s="119" t="s">
        <v>4</v>
      </c>
      <c r="AF86" s="119" t="s">
        <v>4</v>
      </c>
      <c r="AG86" s="119" t="s">
        <v>4</v>
      </c>
      <c r="AH86" s="119" t="s">
        <v>3</v>
      </c>
      <c r="AI86" s="119" t="s">
        <v>4</v>
      </c>
      <c r="AJ86" s="119" t="s">
        <v>4</v>
      </c>
      <c r="AK86" s="119" t="s">
        <v>4</v>
      </c>
      <c r="AL86" s="119" t="s">
        <v>4</v>
      </c>
      <c r="AM86" s="119" t="s">
        <v>3</v>
      </c>
      <c r="AN86" s="119" t="s">
        <v>3</v>
      </c>
    </row>
    <row r="87" spans="1:40" x14ac:dyDescent="0.3">
      <c r="A87" s="119">
        <f t="shared" si="1"/>
        <v>86</v>
      </c>
      <c r="B87" s="119" t="s">
        <v>12</v>
      </c>
      <c r="C87" s="119" t="s">
        <v>538</v>
      </c>
      <c r="D87" s="119">
        <v>2</v>
      </c>
      <c r="E87" s="119" t="s">
        <v>5</v>
      </c>
      <c r="F87" s="119" t="s">
        <v>3</v>
      </c>
      <c r="G87" s="119" t="s">
        <v>4</v>
      </c>
      <c r="H87" s="119" t="s">
        <v>3</v>
      </c>
      <c r="I87" s="119" t="s">
        <v>5</v>
      </c>
      <c r="J87" s="119" t="s">
        <v>5</v>
      </c>
      <c r="K87" s="119" t="s">
        <v>3</v>
      </c>
      <c r="L87" s="119" t="s">
        <v>4</v>
      </c>
      <c r="M87" s="119" t="s">
        <v>3</v>
      </c>
      <c r="N87" s="119" t="s">
        <v>3</v>
      </c>
      <c r="O87" s="119" t="s">
        <v>4</v>
      </c>
      <c r="P87" s="119" t="s">
        <v>4</v>
      </c>
      <c r="Q87" s="119" t="s">
        <v>5</v>
      </c>
      <c r="R87" s="119" t="s">
        <v>3</v>
      </c>
      <c r="S87" s="119" t="s">
        <v>4</v>
      </c>
      <c r="T87" s="119" t="s">
        <v>5</v>
      </c>
      <c r="U87" s="119" t="s">
        <v>5</v>
      </c>
      <c r="V87" s="119" t="s">
        <v>5</v>
      </c>
      <c r="W87" s="119" t="s">
        <v>4</v>
      </c>
      <c r="X87" s="119" t="s">
        <v>4</v>
      </c>
      <c r="Y87" s="119" t="s">
        <v>4</v>
      </c>
      <c r="Z87" s="119" t="s">
        <v>4</v>
      </c>
      <c r="AA87" s="119" t="s">
        <v>3</v>
      </c>
      <c r="AB87" s="119" t="s">
        <v>4</v>
      </c>
      <c r="AC87" s="119" t="s">
        <v>4</v>
      </c>
      <c r="AD87" s="119" t="s">
        <v>4</v>
      </c>
      <c r="AE87" s="119" t="s">
        <v>4</v>
      </c>
      <c r="AF87" s="119" t="s">
        <v>4</v>
      </c>
      <c r="AG87" s="119" t="s">
        <v>4</v>
      </c>
      <c r="AH87" s="119" t="s">
        <v>3</v>
      </c>
      <c r="AI87" s="119" t="s">
        <v>4</v>
      </c>
      <c r="AJ87" s="119" t="s">
        <v>3</v>
      </c>
      <c r="AK87" s="119" t="s">
        <v>4</v>
      </c>
      <c r="AL87" s="119" t="s">
        <v>4</v>
      </c>
      <c r="AM87" s="119" t="s">
        <v>4</v>
      </c>
      <c r="AN87" s="119" t="s">
        <v>3</v>
      </c>
    </row>
    <row r="88" spans="1:40" x14ac:dyDescent="0.3">
      <c r="A88" s="119">
        <f t="shared" si="1"/>
        <v>87</v>
      </c>
      <c r="B88" s="119" t="s">
        <v>318</v>
      </c>
      <c r="C88" s="119" t="s">
        <v>538</v>
      </c>
      <c r="D88" s="119">
        <v>2</v>
      </c>
      <c r="E88" s="119" t="s">
        <v>4</v>
      </c>
      <c r="F88" s="119" t="s">
        <v>5</v>
      </c>
      <c r="G88" s="119" t="s">
        <v>3</v>
      </c>
      <c r="H88" s="119" t="s">
        <v>5</v>
      </c>
      <c r="I88" s="119" t="s">
        <v>5</v>
      </c>
      <c r="J88" s="119" t="s">
        <v>5</v>
      </c>
      <c r="K88" s="119" t="s">
        <v>5</v>
      </c>
      <c r="L88" s="119" t="s">
        <v>2</v>
      </c>
      <c r="M88" s="119" t="s">
        <v>3</v>
      </c>
      <c r="N88" s="119" t="s">
        <v>2</v>
      </c>
      <c r="O88" s="119" t="s">
        <v>3</v>
      </c>
      <c r="P88" s="119" t="s">
        <v>2</v>
      </c>
      <c r="Q88" s="119" t="s">
        <v>5</v>
      </c>
      <c r="R88" s="119" t="s">
        <v>3</v>
      </c>
      <c r="S88" s="119" t="s">
        <v>3</v>
      </c>
      <c r="T88" s="119" t="s">
        <v>5</v>
      </c>
      <c r="U88" s="119" t="s">
        <v>5</v>
      </c>
      <c r="V88" s="119" t="s">
        <v>5</v>
      </c>
      <c r="W88" s="119" t="s">
        <v>4</v>
      </c>
      <c r="X88" s="119" t="s">
        <v>4</v>
      </c>
      <c r="Y88" s="119" t="s">
        <v>3</v>
      </c>
      <c r="Z88" s="119" t="s">
        <v>2</v>
      </c>
      <c r="AA88" s="119" t="s">
        <v>3</v>
      </c>
      <c r="AB88" s="119" t="s">
        <v>4</v>
      </c>
      <c r="AC88" s="119" t="s">
        <v>4</v>
      </c>
      <c r="AD88" s="119" t="s">
        <v>4</v>
      </c>
      <c r="AE88" s="119" t="s">
        <v>4</v>
      </c>
      <c r="AF88" s="119" t="s">
        <v>4</v>
      </c>
      <c r="AG88" s="119" t="s">
        <v>4</v>
      </c>
      <c r="AH88" s="119" t="s">
        <v>3</v>
      </c>
      <c r="AI88" s="119" t="s">
        <v>4</v>
      </c>
      <c r="AJ88" s="119" t="s">
        <v>4</v>
      </c>
      <c r="AK88" s="119" t="s">
        <v>4</v>
      </c>
      <c r="AL88" s="119" t="s">
        <v>4</v>
      </c>
      <c r="AM88" s="119" t="s">
        <v>4</v>
      </c>
      <c r="AN88" s="119" t="s">
        <v>3</v>
      </c>
    </row>
    <row r="89" spans="1:40" x14ac:dyDescent="0.3">
      <c r="A89" s="119">
        <f t="shared" si="1"/>
        <v>88</v>
      </c>
      <c r="B89" s="119" t="s">
        <v>463</v>
      </c>
      <c r="C89" s="119" t="s">
        <v>538</v>
      </c>
      <c r="D89" s="119">
        <v>2</v>
      </c>
      <c r="E89" s="119" t="s">
        <v>2</v>
      </c>
      <c r="F89" s="119" t="s">
        <v>3</v>
      </c>
      <c r="G89" s="119" t="s">
        <v>2</v>
      </c>
      <c r="H89" s="119" t="s">
        <v>5</v>
      </c>
      <c r="I89" s="119" t="s">
        <v>5</v>
      </c>
      <c r="J89" s="119" t="s">
        <v>5</v>
      </c>
      <c r="K89" s="119" t="s">
        <v>5</v>
      </c>
      <c r="L89" s="119" t="s">
        <v>2</v>
      </c>
      <c r="M89" s="119" t="s">
        <v>3</v>
      </c>
      <c r="N89" s="119" t="s">
        <v>3</v>
      </c>
      <c r="O89" s="119" t="s">
        <v>2</v>
      </c>
      <c r="P89" s="119" t="s">
        <v>5</v>
      </c>
      <c r="Q89" s="119" t="s">
        <v>5</v>
      </c>
      <c r="R89" s="119" t="s">
        <v>3</v>
      </c>
      <c r="S89" s="119" t="s">
        <v>2</v>
      </c>
      <c r="T89" s="119" t="s">
        <v>5</v>
      </c>
      <c r="U89" s="119" t="s">
        <v>5</v>
      </c>
      <c r="V89" s="119" t="s">
        <v>5</v>
      </c>
      <c r="W89" s="119" t="s">
        <v>5</v>
      </c>
      <c r="X89" s="119" t="s">
        <v>4</v>
      </c>
      <c r="Y89" s="119" t="s">
        <v>4</v>
      </c>
      <c r="Z89" s="119" t="s">
        <v>4</v>
      </c>
      <c r="AA89" s="119" t="s">
        <v>3</v>
      </c>
      <c r="AB89" s="119" t="s">
        <v>4</v>
      </c>
      <c r="AC89" s="119" t="s">
        <v>4</v>
      </c>
      <c r="AD89" s="119" t="s">
        <v>4</v>
      </c>
      <c r="AE89" s="119" t="s">
        <v>4</v>
      </c>
      <c r="AF89" s="119" t="s">
        <v>4</v>
      </c>
      <c r="AG89" s="119" t="s">
        <v>4</v>
      </c>
      <c r="AH89" s="119" t="s">
        <v>3</v>
      </c>
      <c r="AI89" s="119" t="s">
        <v>4</v>
      </c>
      <c r="AJ89" s="119" t="s">
        <v>3</v>
      </c>
      <c r="AK89" s="119" t="s">
        <v>4</v>
      </c>
      <c r="AL89" s="119" t="s">
        <v>4</v>
      </c>
      <c r="AM89" s="119" t="s">
        <v>4</v>
      </c>
      <c r="AN89" s="119" t="s">
        <v>3</v>
      </c>
    </row>
    <row r="90" spans="1:40" x14ac:dyDescent="0.3">
      <c r="A90" s="119">
        <f t="shared" si="1"/>
        <v>89</v>
      </c>
      <c r="B90" s="119" t="s">
        <v>464</v>
      </c>
      <c r="C90" s="119" t="s">
        <v>538</v>
      </c>
      <c r="D90" s="119">
        <v>2</v>
      </c>
      <c r="E90" s="119" t="s">
        <v>4</v>
      </c>
      <c r="F90" s="119" t="s">
        <v>5</v>
      </c>
      <c r="G90" s="119" t="s">
        <v>5</v>
      </c>
      <c r="H90" s="119" t="s">
        <v>5</v>
      </c>
      <c r="I90" s="119" t="s">
        <v>5</v>
      </c>
      <c r="J90" s="119" t="s">
        <v>5</v>
      </c>
      <c r="K90" s="119" t="s">
        <v>5</v>
      </c>
      <c r="L90" s="119" t="s">
        <v>2</v>
      </c>
      <c r="M90" s="119" t="s">
        <v>3</v>
      </c>
      <c r="N90" s="119" t="s">
        <v>4</v>
      </c>
      <c r="O90" s="119" t="s">
        <v>4</v>
      </c>
      <c r="P90" s="119" t="s">
        <v>2</v>
      </c>
      <c r="Q90" s="119" t="s">
        <v>5</v>
      </c>
      <c r="R90" s="119" t="s">
        <v>4</v>
      </c>
      <c r="S90" s="119" t="s">
        <v>2</v>
      </c>
      <c r="T90" s="119" t="s">
        <v>5</v>
      </c>
      <c r="U90" s="119" t="s">
        <v>2</v>
      </c>
      <c r="V90" s="119" t="s">
        <v>5</v>
      </c>
      <c r="W90" s="119" t="s">
        <v>5</v>
      </c>
      <c r="X90" s="119" t="s">
        <v>2</v>
      </c>
      <c r="Y90" s="119" t="s">
        <v>4</v>
      </c>
      <c r="Z90" s="119" t="s">
        <v>4</v>
      </c>
      <c r="AA90" s="119" t="s">
        <v>3</v>
      </c>
      <c r="AB90" s="119" t="s">
        <v>4</v>
      </c>
      <c r="AC90" s="119" t="s">
        <v>4</v>
      </c>
      <c r="AD90" s="119" t="s">
        <v>4</v>
      </c>
      <c r="AE90" s="119" t="s">
        <v>4</v>
      </c>
      <c r="AF90" s="119" t="s">
        <v>4</v>
      </c>
      <c r="AG90" s="119" t="s">
        <v>4</v>
      </c>
      <c r="AH90" s="119" t="s">
        <v>4</v>
      </c>
      <c r="AI90" s="119" t="s">
        <v>4</v>
      </c>
      <c r="AJ90" s="119" t="s">
        <v>4</v>
      </c>
      <c r="AK90" s="119" t="s">
        <v>4</v>
      </c>
      <c r="AL90" s="119" t="s">
        <v>4</v>
      </c>
      <c r="AM90" s="119" t="s">
        <v>4</v>
      </c>
      <c r="AN90" s="119" t="s">
        <v>3</v>
      </c>
    </row>
    <row r="91" spans="1:40" x14ac:dyDescent="0.3">
      <c r="A91" s="119">
        <f t="shared" si="1"/>
        <v>90</v>
      </c>
      <c r="B91" s="119" t="s">
        <v>490</v>
      </c>
      <c r="C91" s="119" t="s">
        <v>538</v>
      </c>
      <c r="D91" s="119">
        <v>2</v>
      </c>
      <c r="E91" s="119" t="s">
        <v>4</v>
      </c>
      <c r="F91" s="119" t="s">
        <v>5</v>
      </c>
      <c r="G91" s="119" t="s">
        <v>3</v>
      </c>
      <c r="H91" s="119" t="s">
        <v>2</v>
      </c>
      <c r="I91" s="119" t="s">
        <v>5</v>
      </c>
      <c r="J91" s="119" t="s">
        <v>5</v>
      </c>
      <c r="K91" s="119" t="s">
        <v>5</v>
      </c>
      <c r="L91" s="119" t="s">
        <v>2</v>
      </c>
      <c r="M91" s="119" t="s">
        <v>2</v>
      </c>
      <c r="N91" s="119" t="s">
        <v>3</v>
      </c>
      <c r="O91" s="119" t="s">
        <v>4</v>
      </c>
      <c r="P91" s="119" t="s">
        <v>2</v>
      </c>
      <c r="Q91" s="119" t="s">
        <v>5</v>
      </c>
      <c r="R91" s="119" t="s">
        <v>3</v>
      </c>
      <c r="S91" s="119" t="s">
        <v>4</v>
      </c>
      <c r="T91" s="119" t="s">
        <v>5</v>
      </c>
      <c r="U91" s="119" t="s">
        <v>5</v>
      </c>
      <c r="V91" s="119" t="s">
        <v>5</v>
      </c>
      <c r="W91" s="119" t="s">
        <v>4</v>
      </c>
      <c r="X91" s="119" t="s">
        <v>4</v>
      </c>
      <c r="Y91" s="119" t="s">
        <v>3</v>
      </c>
      <c r="Z91" s="119" t="s">
        <v>4</v>
      </c>
      <c r="AA91" s="119" t="s">
        <v>3</v>
      </c>
      <c r="AB91" s="119" t="s">
        <v>4</v>
      </c>
      <c r="AC91" s="119" t="s">
        <v>4</v>
      </c>
      <c r="AD91" s="119" t="s">
        <v>4</v>
      </c>
      <c r="AE91" s="119" t="s">
        <v>4</v>
      </c>
      <c r="AF91" s="119" t="s">
        <v>4</v>
      </c>
      <c r="AG91" s="119" t="s">
        <v>4</v>
      </c>
      <c r="AH91" s="119" t="s">
        <v>3</v>
      </c>
      <c r="AI91" s="119" t="s">
        <v>4</v>
      </c>
      <c r="AJ91" s="119" t="s">
        <v>3</v>
      </c>
      <c r="AK91" s="119" t="s">
        <v>4</v>
      </c>
      <c r="AL91" s="119" t="s">
        <v>4</v>
      </c>
      <c r="AM91" s="119" t="s">
        <v>4</v>
      </c>
      <c r="AN91" s="119" t="s">
        <v>4</v>
      </c>
    </row>
    <row r="92" spans="1:40" x14ac:dyDescent="0.3">
      <c r="A92" s="119">
        <f t="shared" si="1"/>
        <v>91</v>
      </c>
      <c r="B92" s="119" t="s">
        <v>319</v>
      </c>
      <c r="C92" s="119" t="s">
        <v>538</v>
      </c>
      <c r="D92" s="119">
        <v>3</v>
      </c>
      <c r="E92" s="119" t="s">
        <v>2</v>
      </c>
      <c r="F92" s="119" t="s">
        <v>3</v>
      </c>
      <c r="G92" s="119" t="s">
        <v>3</v>
      </c>
      <c r="H92" s="119" t="s">
        <v>2</v>
      </c>
      <c r="I92" s="119" t="s">
        <v>5</v>
      </c>
      <c r="J92" s="119" t="s">
        <v>5</v>
      </c>
      <c r="K92" s="119" t="s">
        <v>5</v>
      </c>
      <c r="L92" s="119" t="s">
        <v>2</v>
      </c>
      <c r="M92" s="119" t="s">
        <v>3</v>
      </c>
      <c r="N92" s="119" t="s">
        <v>3</v>
      </c>
      <c r="O92" s="119" t="s">
        <v>3</v>
      </c>
      <c r="P92" s="119" t="s">
        <v>2</v>
      </c>
      <c r="Q92" s="119" t="s">
        <v>5</v>
      </c>
      <c r="R92" s="119" t="s">
        <v>3</v>
      </c>
      <c r="S92" s="119" t="s">
        <v>3</v>
      </c>
      <c r="T92" s="119" t="s">
        <v>5</v>
      </c>
      <c r="U92" s="119" t="s">
        <v>5</v>
      </c>
      <c r="V92" s="119" t="s">
        <v>5</v>
      </c>
      <c r="W92" s="119" t="s">
        <v>5</v>
      </c>
      <c r="X92" s="119" t="s">
        <v>4</v>
      </c>
      <c r="Y92" s="119" t="s">
        <v>3</v>
      </c>
      <c r="Z92" s="119" t="s">
        <v>2</v>
      </c>
      <c r="AA92" s="119" t="s">
        <v>3</v>
      </c>
      <c r="AB92" s="119" t="s">
        <v>4</v>
      </c>
      <c r="AC92" s="119" t="s">
        <v>4</v>
      </c>
      <c r="AD92" s="119" t="s">
        <v>4</v>
      </c>
      <c r="AE92" s="119" t="s">
        <v>4</v>
      </c>
      <c r="AF92" s="119" t="s">
        <v>4</v>
      </c>
      <c r="AG92" s="119" t="s">
        <v>4</v>
      </c>
      <c r="AH92" s="119" t="s">
        <v>3</v>
      </c>
      <c r="AI92" s="119" t="s">
        <v>4</v>
      </c>
      <c r="AJ92" s="119" t="s">
        <v>3</v>
      </c>
      <c r="AK92" s="119" t="s">
        <v>4</v>
      </c>
      <c r="AL92" s="119" t="s">
        <v>4</v>
      </c>
      <c r="AM92" s="119" t="s">
        <v>3</v>
      </c>
      <c r="AN92" s="119" t="s">
        <v>3</v>
      </c>
    </row>
    <row r="93" spans="1:40" x14ac:dyDescent="0.3">
      <c r="A93" s="119">
        <f t="shared" si="1"/>
        <v>92</v>
      </c>
      <c r="B93" s="119" t="s">
        <v>501</v>
      </c>
      <c r="C93" s="119" t="s">
        <v>538</v>
      </c>
      <c r="D93" s="119">
        <v>3</v>
      </c>
      <c r="E93" s="119" t="s">
        <v>2</v>
      </c>
      <c r="F93" s="119" t="s">
        <v>3</v>
      </c>
      <c r="G93" s="119" t="s">
        <v>3</v>
      </c>
      <c r="H93" s="119" t="s">
        <v>2</v>
      </c>
      <c r="I93" s="119" t="s">
        <v>5</v>
      </c>
      <c r="J93" s="119" t="s">
        <v>2</v>
      </c>
      <c r="K93" s="119" t="s">
        <v>5</v>
      </c>
      <c r="L93" s="119" t="s">
        <v>2</v>
      </c>
      <c r="M93" s="119" t="s">
        <v>3</v>
      </c>
      <c r="N93" s="119" t="s">
        <v>4</v>
      </c>
      <c r="O93" s="119" t="s">
        <v>4</v>
      </c>
      <c r="P93" s="119" t="s">
        <v>5</v>
      </c>
      <c r="Q93" s="119" t="s">
        <v>5</v>
      </c>
      <c r="R93" s="119" t="s">
        <v>4</v>
      </c>
      <c r="S93" s="119" t="s">
        <v>5</v>
      </c>
      <c r="T93" s="119" t="s">
        <v>5</v>
      </c>
      <c r="U93" s="119" t="s">
        <v>5</v>
      </c>
      <c r="V93" s="119" t="s">
        <v>5</v>
      </c>
      <c r="W93" s="119" t="s">
        <v>5</v>
      </c>
      <c r="X93" s="119" t="s">
        <v>4</v>
      </c>
      <c r="Y93" s="119" t="s">
        <v>3</v>
      </c>
      <c r="Z93" s="119" t="s">
        <v>4</v>
      </c>
      <c r="AA93" s="119" t="s">
        <v>4</v>
      </c>
      <c r="AB93" s="119" t="s">
        <v>4</v>
      </c>
      <c r="AC93" s="119" t="s">
        <v>4</v>
      </c>
      <c r="AD93" s="119" t="s">
        <v>4</v>
      </c>
      <c r="AE93" s="119" t="s">
        <v>4</v>
      </c>
      <c r="AF93" s="119" t="s">
        <v>4</v>
      </c>
      <c r="AG93" s="119" t="s">
        <v>4</v>
      </c>
      <c r="AH93" s="119" t="s">
        <v>4</v>
      </c>
      <c r="AI93" s="119" t="s">
        <v>4</v>
      </c>
      <c r="AJ93" s="119" t="s">
        <v>3</v>
      </c>
      <c r="AK93" s="119" t="s">
        <v>4</v>
      </c>
      <c r="AL93" s="119" t="s">
        <v>4</v>
      </c>
      <c r="AM93" s="119" t="s">
        <v>3</v>
      </c>
      <c r="AN93" s="119" t="s">
        <v>4</v>
      </c>
    </row>
    <row r="94" spans="1:40" x14ac:dyDescent="0.3">
      <c r="A94" s="119">
        <f t="shared" si="1"/>
        <v>93</v>
      </c>
      <c r="B94" s="119" t="s">
        <v>320</v>
      </c>
      <c r="C94" s="119" t="s">
        <v>538</v>
      </c>
      <c r="D94" s="119">
        <v>3</v>
      </c>
      <c r="E94" s="119" t="s">
        <v>2</v>
      </c>
      <c r="F94" s="119" t="s">
        <v>3</v>
      </c>
      <c r="G94" s="119" t="s">
        <v>3</v>
      </c>
      <c r="H94" s="119" t="s">
        <v>5</v>
      </c>
      <c r="I94" s="119" t="s">
        <v>5</v>
      </c>
      <c r="J94" s="119" t="s">
        <v>5</v>
      </c>
      <c r="K94" s="119" t="s">
        <v>2</v>
      </c>
      <c r="L94" s="119" t="s">
        <v>2</v>
      </c>
      <c r="M94" s="119" t="s">
        <v>3</v>
      </c>
      <c r="N94" s="119" t="s">
        <v>3</v>
      </c>
      <c r="O94" s="119" t="s">
        <v>4</v>
      </c>
      <c r="P94" s="119" t="s">
        <v>5</v>
      </c>
      <c r="Q94" s="119" t="s">
        <v>2</v>
      </c>
      <c r="R94" s="119" t="s">
        <v>3</v>
      </c>
      <c r="S94" s="119" t="s">
        <v>2</v>
      </c>
      <c r="T94" s="119" t="s">
        <v>5</v>
      </c>
      <c r="U94" s="119" t="s">
        <v>5</v>
      </c>
      <c r="V94" s="119" t="s">
        <v>5</v>
      </c>
      <c r="W94" s="119" t="s">
        <v>5</v>
      </c>
      <c r="X94" s="119" t="s">
        <v>4</v>
      </c>
      <c r="Y94" s="119" t="s">
        <v>3</v>
      </c>
      <c r="Z94" s="119" t="s">
        <v>3</v>
      </c>
      <c r="AA94" s="119" t="s">
        <v>3</v>
      </c>
      <c r="AB94" s="119" t="s">
        <v>4</v>
      </c>
      <c r="AC94" s="119" t="s">
        <v>4</v>
      </c>
      <c r="AD94" s="119" t="s">
        <v>4</v>
      </c>
      <c r="AE94" s="119" t="s">
        <v>4</v>
      </c>
      <c r="AF94" s="119" t="s">
        <v>4</v>
      </c>
      <c r="AG94" s="119" t="s">
        <v>4</v>
      </c>
      <c r="AH94" s="119" t="s">
        <v>3</v>
      </c>
      <c r="AI94" s="119" t="s">
        <v>4</v>
      </c>
      <c r="AJ94" s="119" t="s">
        <v>3</v>
      </c>
      <c r="AK94" s="119" t="s">
        <v>4</v>
      </c>
      <c r="AL94" s="119" t="s">
        <v>4</v>
      </c>
      <c r="AM94" s="119" t="s">
        <v>3</v>
      </c>
      <c r="AN94" s="119" t="s">
        <v>3</v>
      </c>
    </row>
    <row r="95" spans="1:40" x14ac:dyDescent="0.3">
      <c r="A95" s="119">
        <f t="shared" si="1"/>
        <v>94</v>
      </c>
      <c r="B95" s="119" t="s">
        <v>467</v>
      </c>
      <c r="C95" s="119" t="s">
        <v>538</v>
      </c>
      <c r="D95" s="119">
        <v>3</v>
      </c>
      <c r="E95" s="119" t="s">
        <v>2</v>
      </c>
      <c r="F95" s="119" t="s">
        <v>5</v>
      </c>
      <c r="G95" s="119" t="s">
        <v>3</v>
      </c>
      <c r="H95" s="119" t="s">
        <v>3</v>
      </c>
      <c r="I95" s="119" t="s">
        <v>5</v>
      </c>
      <c r="J95" s="119" t="s">
        <v>5</v>
      </c>
      <c r="K95" s="119" t="s">
        <v>2</v>
      </c>
      <c r="L95" s="119" t="s">
        <v>2</v>
      </c>
      <c r="M95" s="119" t="s">
        <v>3</v>
      </c>
      <c r="N95" s="119" t="s">
        <v>4</v>
      </c>
      <c r="O95" s="119" t="s">
        <v>4</v>
      </c>
      <c r="P95" s="119" t="s">
        <v>5</v>
      </c>
      <c r="Q95" s="119" t="s">
        <v>3</v>
      </c>
      <c r="R95" s="119" t="s">
        <v>3</v>
      </c>
      <c r="S95" s="119" t="s">
        <v>2</v>
      </c>
      <c r="T95" s="119" t="s">
        <v>5</v>
      </c>
      <c r="U95" s="119" t="s">
        <v>3</v>
      </c>
      <c r="V95" s="119" t="s">
        <v>2</v>
      </c>
      <c r="W95" s="119" t="s">
        <v>5</v>
      </c>
      <c r="X95" s="119" t="s">
        <v>4</v>
      </c>
      <c r="Y95" s="119" t="s">
        <v>3</v>
      </c>
      <c r="Z95" s="119" t="s">
        <v>2</v>
      </c>
      <c r="AA95" s="119" t="s">
        <v>3</v>
      </c>
      <c r="AB95" s="119" t="s">
        <v>4</v>
      </c>
      <c r="AC95" s="119" t="s">
        <v>4</v>
      </c>
      <c r="AD95" s="119" t="s">
        <v>4</v>
      </c>
      <c r="AE95" s="119" t="s">
        <v>4</v>
      </c>
      <c r="AF95" s="119" t="s">
        <v>4</v>
      </c>
      <c r="AG95" s="119" t="s">
        <v>4</v>
      </c>
      <c r="AH95" s="119" t="s">
        <v>3</v>
      </c>
      <c r="AI95" s="119" t="s">
        <v>4</v>
      </c>
      <c r="AJ95" s="119" t="s">
        <v>3</v>
      </c>
      <c r="AK95" s="119" t="s">
        <v>4</v>
      </c>
      <c r="AL95" s="119" t="s">
        <v>4</v>
      </c>
      <c r="AM95" s="119" t="s">
        <v>4</v>
      </c>
      <c r="AN95" s="119" t="s">
        <v>3</v>
      </c>
    </row>
    <row r="96" spans="1:40" x14ac:dyDescent="0.3">
      <c r="A96" s="119">
        <f t="shared" si="1"/>
        <v>95</v>
      </c>
      <c r="B96" s="119" t="s">
        <v>468</v>
      </c>
      <c r="C96" s="119" t="s">
        <v>538</v>
      </c>
      <c r="D96" s="119">
        <v>3</v>
      </c>
      <c r="E96" s="119" t="s">
        <v>4</v>
      </c>
      <c r="F96" s="119" t="s">
        <v>3</v>
      </c>
      <c r="G96" s="119" t="s">
        <v>5</v>
      </c>
      <c r="H96" s="119" t="s">
        <v>5</v>
      </c>
      <c r="I96" s="119" t="s">
        <v>5</v>
      </c>
      <c r="J96" s="119" t="s">
        <v>5</v>
      </c>
      <c r="K96" s="119" t="s">
        <v>5</v>
      </c>
      <c r="L96" s="119" t="s">
        <v>2</v>
      </c>
      <c r="M96" s="119" t="s">
        <v>3</v>
      </c>
      <c r="N96" s="119" t="s">
        <v>3</v>
      </c>
      <c r="O96" s="119" t="s">
        <v>2</v>
      </c>
      <c r="P96" s="119" t="s">
        <v>2</v>
      </c>
      <c r="Q96" s="119" t="s">
        <v>5</v>
      </c>
      <c r="R96" s="119" t="s">
        <v>3</v>
      </c>
      <c r="S96" s="119" t="s">
        <v>2</v>
      </c>
      <c r="T96" s="119" t="s">
        <v>2</v>
      </c>
      <c r="U96" s="119" t="s">
        <v>5</v>
      </c>
      <c r="V96" s="119" t="s">
        <v>5</v>
      </c>
      <c r="W96" s="119" t="s">
        <v>5</v>
      </c>
      <c r="X96" s="119" t="s">
        <v>3</v>
      </c>
      <c r="Y96" s="119" t="s">
        <v>5</v>
      </c>
      <c r="Z96" s="119" t="s">
        <v>5</v>
      </c>
      <c r="AA96" s="119" t="s">
        <v>4</v>
      </c>
      <c r="AB96" s="119" t="s">
        <v>4</v>
      </c>
      <c r="AC96" s="119" t="s">
        <v>4</v>
      </c>
      <c r="AD96" s="119" t="s">
        <v>4</v>
      </c>
      <c r="AE96" s="119" t="s">
        <v>4</v>
      </c>
      <c r="AF96" s="119" t="s">
        <v>4</v>
      </c>
      <c r="AG96" s="119" t="s">
        <v>4</v>
      </c>
      <c r="AH96" s="119" t="s">
        <v>3</v>
      </c>
      <c r="AI96" s="119" t="s">
        <v>4</v>
      </c>
      <c r="AJ96" s="119" t="s">
        <v>3</v>
      </c>
      <c r="AK96" s="119" t="s">
        <v>4</v>
      </c>
      <c r="AL96" s="119" t="s">
        <v>4</v>
      </c>
      <c r="AM96" s="119" t="s">
        <v>3</v>
      </c>
      <c r="AN96" s="119" t="s">
        <v>3</v>
      </c>
    </row>
    <row r="97" spans="1:40" x14ac:dyDescent="0.3">
      <c r="A97" s="119">
        <f t="shared" si="1"/>
        <v>96</v>
      </c>
      <c r="B97" s="119" t="s">
        <v>492</v>
      </c>
      <c r="C97" s="119" t="s">
        <v>538</v>
      </c>
      <c r="D97" s="119">
        <v>3</v>
      </c>
      <c r="E97" s="119" t="s">
        <v>5</v>
      </c>
      <c r="F97" s="119" t="s">
        <v>4</v>
      </c>
      <c r="G97" s="119" t="s">
        <v>4</v>
      </c>
      <c r="H97" s="119" t="s">
        <v>5</v>
      </c>
      <c r="I97" s="119" t="s">
        <v>5</v>
      </c>
      <c r="J97" s="119" t="s">
        <v>5</v>
      </c>
      <c r="K97" s="119" t="s">
        <v>5</v>
      </c>
      <c r="L97" s="119" t="s">
        <v>2</v>
      </c>
      <c r="M97" s="119" t="s">
        <v>2</v>
      </c>
      <c r="N97" s="119" t="s">
        <v>3</v>
      </c>
      <c r="O97" s="119" t="s">
        <v>4</v>
      </c>
      <c r="P97" s="119" t="s">
        <v>2</v>
      </c>
      <c r="Q97" s="119" t="s">
        <v>2</v>
      </c>
      <c r="R97" s="119" t="s">
        <v>2</v>
      </c>
      <c r="S97" s="119" t="s">
        <v>5</v>
      </c>
      <c r="T97" s="119" t="s">
        <v>5</v>
      </c>
      <c r="U97" s="119" t="s">
        <v>3</v>
      </c>
      <c r="V97" s="119" t="s">
        <v>3</v>
      </c>
      <c r="W97" s="119" t="s">
        <v>2</v>
      </c>
      <c r="X97" s="119" t="s">
        <v>4</v>
      </c>
      <c r="Y97" s="119" t="s">
        <v>5</v>
      </c>
      <c r="Z97" s="119" t="s">
        <v>3</v>
      </c>
      <c r="AA97" s="119" t="s">
        <v>3</v>
      </c>
      <c r="AB97" s="119" t="s">
        <v>3</v>
      </c>
      <c r="AC97" s="119" t="s">
        <v>3</v>
      </c>
      <c r="AD97" s="119" t="s">
        <v>4</v>
      </c>
      <c r="AE97" s="119" t="s">
        <v>4</v>
      </c>
      <c r="AF97" s="119" t="s">
        <v>4</v>
      </c>
      <c r="AG97" s="119" t="s">
        <v>4</v>
      </c>
      <c r="AH97" s="119" t="s">
        <v>3</v>
      </c>
      <c r="AI97" s="119" t="s">
        <v>4</v>
      </c>
      <c r="AJ97" s="119" t="s">
        <v>4</v>
      </c>
      <c r="AK97" s="119" t="s">
        <v>4</v>
      </c>
      <c r="AL97" s="119" t="s">
        <v>4</v>
      </c>
      <c r="AM97" s="119" t="s">
        <v>4</v>
      </c>
      <c r="AN97" s="119" t="s">
        <v>3</v>
      </c>
    </row>
    <row r="98" spans="1:40" x14ac:dyDescent="0.3">
      <c r="A98" s="119">
        <f t="shared" si="1"/>
        <v>97</v>
      </c>
      <c r="B98" s="119" t="s">
        <v>321</v>
      </c>
      <c r="C98" s="119" t="s">
        <v>538</v>
      </c>
      <c r="D98" s="119">
        <v>4</v>
      </c>
      <c r="E98" s="119" t="s">
        <v>3</v>
      </c>
      <c r="F98" s="119" t="s">
        <v>3</v>
      </c>
      <c r="G98" s="119" t="s">
        <v>3</v>
      </c>
      <c r="H98" s="119" t="s">
        <v>5</v>
      </c>
      <c r="I98" s="119" t="s">
        <v>5</v>
      </c>
      <c r="J98" s="119" t="s">
        <v>5</v>
      </c>
      <c r="K98" s="119" t="s">
        <v>5</v>
      </c>
      <c r="L98" s="119" t="s">
        <v>2</v>
      </c>
      <c r="M98" s="119" t="s">
        <v>2</v>
      </c>
      <c r="N98" s="119" t="s">
        <v>3</v>
      </c>
      <c r="O98" s="119" t="s">
        <v>4</v>
      </c>
      <c r="P98" s="119" t="s">
        <v>5</v>
      </c>
      <c r="Q98" s="119" t="s">
        <v>5</v>
      </c>
      <c r="R98" s="119" t="s">
        <v>3</v>
      </c>
      <c r="S98" s="119" t="s">
        <v>2</v>
      </c>
      <c r="T98" s="119" t="s">
        <v>5</v>
      </c>
      <c r="U98" s="119" t="s">
        <v>5</v>
      </c>
      <c r="V98" s="119" t="s">
        <v>5</v>
      </c>
      <c r="W98" s="119" t="s">
        <v>4</v>
      </c>
      <c r="X98" s="119" t="s">
        <v>4</v>
      </c>
      <c r="Y98" s="119" t="s">
        <v>4</v>
      </c>
      <c r="Z98" s="119" t="s">
        <v>2</v>
      </c>
      <c r="AA98" s="119" t="s">
        <v>3</v>
      </c>
      <c r="AB98" s="119" t="s">
        <v>4</v>
      </c>
      <c r="AC98" s="119" t="s">
        <v>4</v>
      </c>
      <c r="AD98" s="119" t="s">
        <v>4</v>
      </c>
      <c r="AE98" s="119" t="s">
        <v>4</v>
      </c>
      <c r="AF98" s="119" t="s">
        <v>4</v>
      </c>
      <c r="AG98" s="119" t="s">
        <v>3</v>
      </c>
      <c r="AH98" s="119" t="s">
        <v>3</v>
      </c>
      <c r="AI98" s="119" t="s">
        <v>4</v>
      </c>
      <c r="AJ98" s="119" t="s">
        <v>3</v>
      </c>
      <c r="AK98" s="119" t="s">
        <v>3</v>
      </c>
      <c r="AL98" s="119" t="s">
        <v>4</v>
      </c>
      <c r="AM98" s="119" t="s">
        <v>4</v>
      </c>
      <c r="AN98" s="119" t="s">
        <v>3</v>
      </c>
    </row>
    <row r="99" spans="1:40" x14ac:dyDescent="0.3">
      <c r="A99" s="119">
        <f t="shared" si="1"/>
        <v>98</v>
      </c>
      <c r="B99" s="119" t="s">
        <v>322</v>
      </c>
      <c r="C99" s="119" t="s">
        <v>538</v>
      </c>
      <c r="D99" s="119">
        <v>4</v>
      </c>
      <c r="E99" s="119" t="s">
        <v>5</v>
      </c>
      <c r="F99" s="119" t="s">
        <v>5</v>
      </c>
      <c r="G99" s="119" t="s">
        <v>2</v>
      </c>
      <c r="H99" s="119" t="s">
        <v>5</v>
      </c>
      <c r="I99" s="119" t="s">
        <v>5</v>
      </c>
      <c r="J99" s="119" t="s">
        <v>5</v>
      </c>
      <c r="K99" s="119" t="s">
        <v>5</v>
      </c>
      <c r="L99" s="119" t="s">
        <v>2</v>
      </c>
      <c r="M99" s="119" t="s">
        <v>2</v>
      </c>
      <c r="N99" s="119" t="s">
        <v>2</v>
      </c>
      <c r="O99" s="119" t="s">
        <v>3</v>
      </c>
      <c r="P99" s="119" t="s">
        <v>5</v>
      </c>
      <c r="Q99" s="119" t="s">
        <v>5</v>
      </c>
      <c r="R99" s="119" t="s">
        <v>2</v>
      </c>
      <c r="S99" s="119" t="s">
        <v>2</v>
      </c>
      <c r="T99" s="119" t="s">
        <v>5</v>
      </c>
      <c r="U99" s="119" t="s">
        <v>5</v>
      </c>
      <c r="V99" s="119" t="s">
        <v>5</v>
      </c>
      <c r="W99" s="119" t="s">
        <v>5</v>
      </c>
      <c r="X99" s="119" t="s">
        <v>3</v>
      </c>
      <c r="Y99" s="119" t="s">
        <v>3</v>
      </c>
      <c r="Z99" s="119" t="s">
        <v>2</v>
      </c>
      <c r="AA99" s="119" t="s">
        <v>3</v>
      </c>
      <c r="AB99" s="119" t="s">
        <v>4</v>
      </c>
      <c r="AC99" s="119" t="s">
        <v>4</v>
      </c>
      <c r="AD99" s="119" t="s">
        <v>4</v>
      </c>
      <c r="AE99" s="119" t="s">
        <v>4</v>
      </c>
      <c r="AF99" s="119" t="s">
        <v>4</v>
      </c>
      <c r="AG99" s="119" t="s">
        <v>3</v>
      </c>
      <c r="AH99" s="119" t="s">
        <v>3</v>
      </c>
      <c r="AI99" s="119" t="s">
        <v>4</v>
      </c>
      <c r="AJ99" s="119" t="s">
        <v>3</v>
      </c>
      <c r="AK99" s="119" t="s">
        <v>3</v>
      </c>
      <c r="AL99" s="119" t="s">
        <v>4</v>
      </c>
      <c r="AM99" s="119" t="s">
        <v>3</v>
      </c>
      <c r="AN99" s="119" t="s">
        <v>3</v>
      </c>
    </row>
    <row r="100" spans="1:40" x14ac:dyDescent="0.3">
      <c r="A100" s="119">
        <f t="shared" si="1"/>
        <v>99</v>
      </c>
      <c r="B100" s="119" t="s">
        <v>323</v>
      </c>
      <c r="C100" s="119" t="s">
        <v>538</v>
      </c>
      <c r="D100" s="119">
        <v>4</v>
      </c>
      <c r="E100" s="119" t="s">
        <v>5</v>
      </c>
      <c r="F100" s="119" t="s">
        <v>3</v>
      </c>
      <c r="G100" s="119" t="s">
        <v>2</v>
      </c>
      <c r="H100" s="119" t="s">
        <v>5</v>
      </c>
      <c r="I100" s="119" t="s">
        <v>5</v>
      </c>
      <c r="J100" s="119" t="s">
        <v>5</v>
      </c>
      <c r="K100" s="119" t="s">
        <v>2</v>
      </c>
      <c r="L100" s="119" t="s">
        <v>2</v>
      </c>
      <c r="M100" s="119" t="s">
        <v>3</v>
      </c>
      <c r="N100" s="119" t="s">
        <v>3</v>
      </c>
      <c r="O100" s="119" t="s">
        <v>3</v>
      </c>
      <c r="P100" s="119" t="s">
        <v>3</v>
      </c>
      <c r="Q100" s="119" t="s">
        <v>2</v>
      </c>
      <c r="R100" s="119" t="s">
        <v>2</v>
      </c>
      <c r="S100" s="119" t="s">
        <v>2</v>
      </c>
      <c r="T100" s="119" t="s">
        <v>5</v>
      </c>
      <c r="U100" s="119" t="s">
        <v>2</v>
      </c>
      <c r="V100" s="119" t="s">
        <v>2</v>
      </c>
      <c r="W100" s="119" t="s">
        <v>5</v>
      </c>
      <c r="X100" s="119" t="s">
        <v>3</v>
      </c>
      <c r="Y100" s="119" t="s">
        <v>2</v>
      </c>
      <c r="Z100" s="119" t="s">
        <v>2</v>
      </c>
      <c r="AA100" s="119" t="s">
        <v>3</v>
      </c>
      <c r="AB100" s="119" t="s">
        <v>4</v>
      </c>
      <c r="AC100" s="119" t="s">
        <v>4</v>
      </c>
      <c r="AD100" s="119" t="s">
        <v>4</v>
      </c>
      <c r="AE100" s="119" t="s">
        <v>4</v>
      </c>
      <c r="AF100" s="119" t="s">
        <v>4</v>
      </c>
      <c r="AG100" s="119" t="s">
        <v>3</v>
      </c>
      <c r="AH100" s="119" t="s">
        <v>3</v>
      </c>
      <c r="AI100" s="119" t="s">
        <v>4</v>
      </c>
      <c r="AJ100" s="119" t="s">
        <v>3</v>
      </c>
      <c r="AK100" s="119" t="s">
        <v>4</v>
      </c>
      <c r="AL100" s="119" t="s">
        <v>4</v>
      </c>
      <c r="AM100" s="119" t="s">
        <v>4</v>
      </c>
      <c r="AN100" s="119" t="s">
        <v>3</v>
      </c>
    </row>
    <row r="101" spans="1:40" x14ac:dyDescent="0.3">
      <c r="A101" s="119">
        <f t="shared" si="1"/>
        <v>100</v>
      </c>
      <c r="B101" s="119" t="s">
        <v>471</v>
      </c>
      <c r="C101" s="119" t="s">
        <v>538</v>
      </c>
      <c r="D101" s="119">
        <v>4</v>
      </c>
      <c r="E101" s="119" t="s">
        <v>5</v>
      </c>
      <c r="F101" s="119" t="s">
        <v>5</v>
      </c>
      <c r="G101" s="119" t="s">
        <v>2</v>
      </c>
      <c r="H101" s="119" t="s">
        <v>5</v>
      </c>
      <c r="I101" s="119" t="s">
        <v>5</v>
      </c>
      <c r="J101" s="119" t="s">
        <v>5</v>
      </c>
      <c r="K101" s="119" t="s">
        <v>5</v>
      </c>
      <c r="L101" s="119" t="s">
        <v>2</v>
      </c>
      <c r="M101" s="119" t="s">
        <v>3</v>
      </c>
      <c r="N101" s="119" t="s">
        <v>4</v>
      </c>
      <c r="O101" s="119" t="s">
        <v>4</v>
      </c>
      <c r="P101" s="119" t="s">
        <v>3</v>
      </c>
      <c r="Q101" s="119" t="s">
        <v>2</v>
      </c>
      <c r="R101" s="119" t="s">
        <v>2</v>
      </c>
      <c r="S101" s="119" t="s">
        <v>3</v>
      </c>
      <c r="T101" s="119" t="s">
        <v>5</v>
      </c>
      <c r="U101" s="119" t="s">
        <v>3</v>
      </c>
      <c r="V101" s="119" t="s">
        <v>2</v>
      </c>
      <c r="W101" s="119" t="s">
        <v>5</v>
      </c>
      <c r="X101" s="119" t="s">
        <v>3</v>
      </c>
      <c r="Y101" s="119" t="s">
        <v>4</v>
      </c>
      <c r="Z101" s="119" t="s">
        <v>4</v>
      </c>
      <c r="AA101" s="119" t="s">
        <v>3</v>
      </c>
      <c r="AB101" s="119" t="s">
        <v>4</v>
      </c>
      <c r="AC101" s="119" t="s">
        <v>4</v>
      </c>
      <c r="AD101" s="119" t="s">
        <v>4</v>
      </c>
      <c r="AE101" s="119" t="s">
        <v>4</v>
      </c>
      <c r="AF101" s="119" t="s">
        <v>4</v>
      </c>
      <c r="AG101" s="119" t="s">
        <v>4</v>
      </c>
      <c r="AH101" s="119" t="s">
        <v>3</v>
      </c>
      <c r="AI101" s="119" t="s">
        <v>3</v>
      </c>
      <c r="AJ101" s="119" t="s">
        <v>3</v>
      </c>
      <c r="AK101" s="119" t="s">
        <v>4</v>
      </c>
      <c r="AL101" s="119" t="s">
        <v>4</v>
      </c>
      <c r="AM101" s="119" t="s">
        <v>3</v>
      </c>
      <c r="AN101" s="119" t="s">
        <v>3</v>
      </c>
    </row>
    <row r="102" spans="1:40" x14ac:dyDescent="0.3">
      <c r="A102" s="119">
        <f t="shared" si="1"/>
        <v>101</v>
      </c>
      <c r="B102" s="119" t="s">
        <v>472</v>
      </c>
      <c r="C102" s="119" t="s">
        <v>538</v>
      </c>
      <c r="D102" s="119">
        <v>4</v>
      </c>
      <c r="E102" s="119" t="s">
        <v>2</v>
      </c>
      <c r="F102" s="119" t="s">
        <v>5</v>
      </c>
      <c r="G102" s="119" t="s">
        <v>2</v>
      </c>
      <c r="H102" s="119" t="s">
        <v>5</v>
      </c>
      <c r="I102" s="119" t="s">
        <v>5</v>
      </c>
      <c r="J102" s="119" t="s">
        <v>5</v>
      </c>
      <c r="K102" s="119" t="s">
        <v>5</v>
      </c>
      <c r="L102" s="119" t="s">
        <v>2</v>
      </c>
      <c r="M102" s="119" t="s">
        <v>2</v>
      </c>
      <c r="N102" s="119" t="s">
        <v>2</v>
      </c>
      <c r="O102" s="119" t="s">
        <v>5</v>
      </c>
      <c r="P102" s="119" t="s">
        <v>4</v>
      </c>
      <c r="Q102" s="119" t="s">
        <v>5</v>
      </c>
      <c r="R102" s="119" t="s">
        <v>2</v>
      </c>
      <c r="S102" s="119" t="s">
        <v>4</v>
      </c>
      <c r="T102" s="119" t="s">
        <v>5</v>
      </c>
      <c r="U102" s="119" t="s">
        <v>5</v>
      </c>
      <c r="V102" s="119" t="s">
        <v>5</v>
      </c>
      <c r="W102" s="119" t="s">
        <v>4</v>
      </c>
      <c r="X102" s="119" t="s">
        <v>3</v>
      </c>
      <c r="Y102" s="119" t="s">
        <v>4</v>
      </c>
      <c r="Z102" s="119" t="s">
        <v>4</v>
      </c>
      <c r="AA102" s="119" t="s">
        <v>3</v>
      </c>
      <c r="AB102" s="119" t="s">
        <v>4</v>
      </c>
      <c r="AC102" s="119" t="s">
        <v>4</v>
      </c>
      <c r="AD102" s="119" t="s">
        <v>4</v>
      </c>
      <c r="AE102" s="119" t="s">
        <v>4</v>
      </c>
      <c r="AF102" s="119" t="s">
        <v>4</v>
      </c>
      <c r="AG102" s="119" t="s">
        <v>4</v>
      </c>
      <c r="AH102" s="119" t="s">
        <v>3</v>
      </c>
      <c r="AI102" s="119" t="s">
        <v>4</v>
      </c>
      <c r="AJ102" s="119" t="s">
        <v>3</v>
      </c>
      <c r="AK102" s="119" t="s">
        <v>4</v>
      </c>
      <c r="AL102" s="119" t="s">
        <v>4</v>
      </c>
      <c r="AM102" s="119" t="s">
        <v>3</v>
      </c>
      <c r="AN102" s="119" t="s">
        <v>3</v>
      </c>
    </row>
    <row r="103" spans="1:40" x14ac:dyDescent="0.3">
      <c r="A103" s="119">
        <f t="shared" si="1"/>
        <v>102</v>
      </c>
      <c r="B103" s="119" t="s">
        <v>486</v>
      </c>
      <c r="C103" s="119" t="s">
        <v>538</v>
      </c>
      <c r="D103" s="119">
        <v>4</v>
      </c>
      <c r="E103" s="119" t="s">
        <v>3</v>
      </c>
      <c r="F103" s="119" t="s">
        <v>5</v>
      </c>
      <c r="G103" s="119" t="s">
        <v>4</v>
      </c>
      <c r="H103" s="119" t="s">
        <v>5</v>
      </c>
      <c r="I103" s="119" t="s">
        <v>5</v>
      </c>
      <c r="J103" s="119" t="s">
        <v>5</v>
      </c>
      <c r="K103" s="119" t="s">
        <v>5</v>
      </c>
      <c r="L103" s="119" t="s">
        <v>2</v>
      </c>
      <c r="M103" s="119" t="s">
        <v>2</v>
      </c>
      <c r="N103" s="119" t="s">
        <v>4</v>
      </c>
      <c r="O103" s="119" t="s">
        <v>4</v>
      </c>
      <c r="P103" s="119" t="s">
        <v>5</v>
      </c>
      <c r="Q103" s="119" t="s">
        <v>2</v>
      </c>
      <c r="R103" s="119" t="s">
        <v>3</v>
      </c>
      <c r="S103" s="119" t="s">
        <v>5</v>
      </c>
      <c r="T103" s="119" t="s">
        <v>5</v>
      </c>
      <c r="U103" s="119" t="s">
        <v>2</v>
      </c>
      <c r="V103" s="119" t="s">
        <v>5</v>
      </c>
      <c r="W103" s="119" t="s">
        <v>5</v>
      </c>
      <c r="X103" s="119" t="s">
        <v>4</v>
      </c>
      <c r="Y103" s="119" t="s">
        <v>4</v>
      </c>
      <c r="Z103" s="119" t="s">
        <v>2</v>
      </c>
      <c r="AA103" s="119" t="s">
        <v>3</v>
      </c>
      <c r="AB103" s="119" t="s">
        <v>4</v>
      </c>
      <c r="AC103" s="119" t="s">
        <v>4</v>
      </c>
      <c r="AD103" s="119" t="s">
        <v>4</v>
      </c>
      <c r="AE103" s="119" t="s">
        <v>4</v>
      </c>
      <c r="AF103" s="119" t="s">
        <v>4</v>
      </c>
      <c r="AG103" s="119" t="s">
        <v>4</v>
      </c>
      <c r="AH103" s="119" t="s">
        <v>3</v>
      </c>
      <c r="AI103" s="119" t="s">
        <v>4</v>
      </c>
      <c r="AJ103" s="119" t="s">
        <v>3</v>
      </c>
      <c r="AK103" s="119" t="s">
        <v>4</v>
      </c>
      <c r="AL103" s="119" t="s">
        <v>4</v>
      </c>
      <c r="AM103" s="119" t="s">
        <v>4</v>
      </c>
      <c r="AN103" s="119" t="s">
        <v>3</v>
      </c>
    </row>
    <row r="104" spans="1:40" x14ac:dyDescent="0.3">
      <c r="A104" s="119">
        <f t="shared" si="1"/>
        <v>103</v>
      </c>
      <c r="B104" s="119" t="s">
        <v>324</v>
      </c>
      <c r="C104" s="119" t="s">
        <v>538</v>
      </c>
      <c r="D104" s="119">
        <v>5</v>
      </c>
      <c r="E104" s="119" t="s">
        <v>5</v>
      </c>
      <c r="F104" s="119" t="s">
        <v>3</v>
      </c>
      <c r="G104" s="119" t="s">
        <v>3</v>
      </c>
      <c r="H104" s="119" t="s">
        <v>5</v>
      </c>
      <c r="I104" s="119" t="s">
        <v>5</v>
      </c>
      <c r="J104" s="119" t="s">
        <v>5</v>
      </c>
      <c r="K104" s="119" t="s">
        <v>5</v>
      </c>
      <c r="L104" s="119" t="s">
        <v>2</v>
      </c>
      <c r="M104" s="119" t="s">
        <v>2</v>
      </c>
      <c r="N104" s="119" t="s">
        <v>5</v>
      </c>
      <c r="O104" s="119" t="s">
        <v>3</v>
      </c>
      <c r="P104" s="119" t="s">
        <v>2</v>
      </c>
      <c r="Q104" s="119" t="s">
        <v>5</v>
      </c>
      <c r="R104" s="119" t="s">
        <v>2</v>
      </c>
      <c r="S104" s="119" t="s">
        <v>3</v>
      </c>
      <c r="T104" s="119" t="s">
        <v>5</v>
      </c>
      <c r="U104" s="119" t="s">
        <v>5</v>
      </c>
      <c r="V104" s="119" t="s">
        <v>5</v>
      </c>
      <c r="W104" s="119" t="s">
        <v>5</v>
      </c>
      <c r="X104" s="119" t="s">
        <v>3</v>
      </c>
      <c r="Y104" s="119" t="s">
        <v>4</v>
      </c>
      <c r="Z104" s="119" t="s">
        <v>2</v>
      </c>
      <c r="AA104" s="119" t="s">
        <v>3</v>
      </c>
      <c r="AB104" s="119" t="s">
        <v>4</v>
      </c>
      <c r="AC104" s="119" t="s">
        <v>4</v>
      </c>
      <c r="AD104" s="119" t="s">
        <v>4</v>
      </c>
      <c r="AE104" s="119" t="s">
        <v>4</v>
      </c>
      <c r="AF104" s="119" t="s">
        <v>4</v>
      </c>
      <c r="AG104" s="119" t="s">
        <v>4</v>
      </c>
      <c r="AH104" s="119" t="s">
        <v>3</v>
      </c>
      <c r="AI104" s="119" t="s">
        <v>4</v>
      </c>
      <c r="AJ104" s="119" t="s">
        <v>3</v>
      </c>
      <c r="AK104" s="119" t="s">
        <v>4</v>
      </c>
      <c r="AL104" s="119" t="s">
        <v>4</v>
      </c>
      <c r="AM104" s="119" t="s">
        <v>4</v>
      </c>
      <c r="AN104" s="119" t="s">
        <v>3</v>
      </c>
    </row>
    <row r="105" spans="1:40" x14ac:dyDescent="0.3">
      <c r="A105" s="119">
        <f t="shared" si="1"/>
        <v>104</v>
      </c>
      <c r="B105" s="119" t="s">
        <v>325</v>
      </c>
      <c r="C105" s="119" t="s">
        <v>538</v>
      </c>
      <c r="D105" s="119">
        <v>5</v>
      </c>
      <c r="E105" s="119" t="s">
        <v>5</v>
      </c>
      <c r="F105" s="119" t="s">
        <v>3</v>
      </c>
      <c r="G105" s="119" t="s">
        <v>5</v>
      </c>
      <c r="H105" s="119" t="s">
        <v>5</v>
      </c>
      <c r="I105" s="119" t="s">
        <v>5</v>
      </c>
      <c r="J105" s="119" t="s">
        <v>5</v>
      </c>
      <c r="K105" s="119" t="s">
        <v>5</v>
      </c>
      <c r="L105" s="119" t="s">
        <v>2</v>
      </c>
      <c r="M105" s="119" t="s">
        <v>2</v>
      </c>
      <c r="N105" s="119" t="s">
        <v>4</v>
      </c>
      <c r="O105" s="119" t="s">
        <v>4</v>
      </c>
      <c r="P105" s="119" t="s">
        <v>3</v>
      </c>
      <c r="Q105" s="119" t="s">
        <v>5</v>
      </c>
      <c r="R105" s="119" t="s">
        <v>2</v>
      </c>
      <c r="S105" s="119" t="s">
        <v>5</v>
      </c>
      <c r="T105" s="119" t="s">
        <v>2</v>
      </c>
      <c r="U105" s="119" t="s">
        <v>2</v>
      </c>
      <c r="V105" s="119" t="s">
        <v>5</v>
      </c>
      <c r="W105" s="119" t="s">
        <v>4</v>
      </c>
      <c r="X105" s="119" t="s">
        <v>3</v>
      </c>
      <c r="Y105" s="119" t="s">
        <v>3</v>
      </c>
      <c r="Z105" s="119" t="s">
        <v>4</v>
      </c>
      <c r="AA105" s="119" t="s">
        <v>3</v>
      </c>
      <c r="AB105" s="119" t="s">
        <v>4</v>
      </c>
      <c r="AC105" s="119" t="s">
        <v>4</v>
      </c>
      <c r="AD105" s="119" t="s">
        <v>4</v>
      </c>
      <c r="AE105" s="119" t="s">
        <v>4</v>
      </c>
      <c r="AF105" s="119" t="s">
        <v>4</v>
      </c>
      <c r="AG105" s="119" t="s">
        <v>3</v>
      </c>
      <c r="AH105" s="119" t="s">
        <v>3</v>
      </c>
      <c r="AI105" s="119" t="s">
        <v>4</v>
      </c>
      <c r="AJ105" s="119" t="s">
        <v>3</v>
      </c>
      <c r="AK105" s="119" t="s">
        <v>4</v>
      </c>
      <c r="AL105" s="119" t="s">
        <v>4</v>
      </c>
      <c r="AM105" s="119" t="s">
        <v>4</v>
      </c>
      <c r="AN105" s="119" t="s">
        <v>3</v>
      </c>
    </row>
    <row r="106" spans="1:40" x14ac:dyDescent="0.3">
      <c r="A106" s="119">
        <f t="shared" si="1"/>
        <v>105</v>
      </c>
      <c r="B106" s="119" t="s">
        <v>326</v>
      </c>
      <c r="C106" s="119" t="s">
        <v>538</v>
      </c>
      <c r="D106" s="119">
        <v>5</v>
      </c>
      <c r="E106" s="119" t="s">
        <v>5</v>
      </c>
      <c r="F106" s="119" t="s">
        <v>5</v>
      </c>
      <c r="G106" s="119" t="s">
        <v>2</v>
      </c>
      <c r="H106" s="119" t="s">
        <v>5</v>
      </c>
      <c r="I106" s="119" t="s">
        <v>5</v>
      </c>
      <c r="J106" s="119" t="s">
        <v>3</v>
      </c>
      <c r="K106" s="119" t="s">
        <v>5</v>
      </c>
      <c r="L106" s="119" t="s">
        <v>2</v>
      </c>
      <c r="M106" s="119" t="s">
        <v>2</v>
      </c>
      <c r="N106" s="119" t="s">
        <v>2</v>
      </c>
      <c r="O106" s="119" t="s">
        <v>2</v>
      </c>
      <c r="P106" s="119" t="s">
        <v>2</v>
      </c>
      <c r="Q106" s="119" t="s">
        <v>2</v>
      </c>
      <c r="R106" s="119" t="s">
        <v>3</v>
      </c>
      <c r="S106" s="119" t="s">
        <v>3</v>
      </c>
      <c r="T106" s="119" t="s">
        <v>5</v>
      </c>
      <c r="U106" s="119" t="s">
        <v>5</v>
      </c>
      <c r="V106" s="119" t="s">
        <v>5</v>
      </c>
      <c r="W106" s="119" t="s">
        <v>5</v>
      </c>
      <c r="X106" s="119" t="s">
        <v>3</v>
      </c>
      <c r="Y106" s="119" t="s">
        <v>3</v>
      </c>
      <c r="Z106" s="119" t="s">
        <v>2</v>
      </c>
      <c r="AA106" s="119" t="s">
        <v>3</v>
      </c>
      <c r="AB106" s="119" t="s">
        <v>4</v>
      </c>
      <c r="AC106" s="119" t="s">
        <v>4</v>
      </c>
      <c r="AD106" s="119" t="s">
        <v>4</v>
      </c>
      <c r="AE106" s="119" t="s">
        <v>4</v>
      </c>
      <c r="AF106" s="119" t="s">
        <v>4</v>
      </c>
      <c r="AG106" s="119" t="s">
        <v>3</v>
      </c>
      <c r="AH106" s="119" t="s">
        <v>3</v>
      </c>
      <c r="AI106" s="119" t="s">
        <v>4</v>
      </c>
      <c r="AJ106" s="119" t="s">
        <v>3</v>
      </c>
      <c r="AK106" s="119" t="s">
        <v>3</v>
      </c>
      <c r="AL106" s="119" t="s">
        <v>4</v>
      </c>
      <c r="AM106" s="119" t="s">
        <v>3</v>
      </c>
      <c r="AN106" s="119" t="s">
        <v>3</v>
      </c>
    </row>
    <row r="107" spans="1:40" x14ac:dyDescent="0.3">
      <c r="A107" s="119">
        <f t="shared" si="1"/>
        <v>106</v>
      </c>
      <c r="B107" s="119" t="s">
        <v>479</v>
      </c>
      <c r="C107" s="119" t="s">
        <v>538</v>
      </c>
      <c r="D107" s="119">
        <v>5</v>
      </c>
      <c r="E107" s="119" t="s">
        <v>2</v>
      </c>
      <c r="F107" s="119" t="s">
        <v>3</v>
      </c>
      <c r="G107" s="119" t="s">
        <v>5</v>
      </c>
      <c r="H107" s="119" t="s">
        <v>5</v>
      </c>
      <c r="I107" s="119" t="s">
        <v>5</v>
      </c>
      <c r="J107" s="119" t="s">
        <v>5</v>
      </c>
      <c r="K107" s="119" t="s">
        <v>5</v>
      </c>
      <c r="L107" s="119" t="s">
        <v>2</v>
      </c>
      <c r="M107" s="119" t="s">
        <v>3</v>
      </c>
      <c r="N107" s="119" t="s">
        <v>3</v>
      </c>
      <c r="O107" s="119" t="s">
        <v>5</v>
      </c>
      <c r="P107" s="119" t="s">
        <v>2</v>
      </c>
      <c r="Q107" s="119" t="s">
        <v>5</v>
      </c>
      <c r="R107" s="119" t="s">
        <v>2</v>
      </c>
      <c r="S107" s="119" t="s">
        <v>2</v>
      </c>
      <c r="T107" s="119" t="s">
        <v>5</v>
      </c>
      <c r="U107" s="119" t="s">
        <v>5</v>
      </c>
      <c r="V107" s="119" t="s">
        <v>5</v>
      </c>
      <c r="W107" s="119" t="s">
        <v>3</v>
      </c>
      <c r="X107" s="119" t="s">
        <v>3</v>
      </c>
      <c r="Y107" s="119" t="s">
        <v>4</v>
      </c>
      <c r="Z107" s="119" t="s">
        <v>2</v>
      </c>
      <c r="AA107" s="119" t="s">
        <v>3</v>
      </c>
      <c r="AB107" s="119" t="s">
        <v>4</v>
      </c>
      <c r="AC107" s="119" t="s">
        <v>4</v>
      </c>
      <c r="AD107" s="119" t="s">
        <v>4</v>
      </c>
      <c r="AE107" s="119" t="s">
        <v>4</v>
      </c>
      <c r="AF107" s="119" t="s">
        <v>4</v>
      </c>
      <c r="AG107" s="119" t="s">
        <v>3</v>
      </c>
      <c r="AH107" s="119" t="s">
        <v>3</v>
      </c>
      <c r="AI107" s="119" t="s">
        <v>4</v>
      </c>
      <c r="AJ107" s="119" t="s">
        <v>3</v>
      </c>
      <c r="AK107" s="119" t="s">
        <v>4</v>
      </c>
      <c r="AL107" s="119" t="s">
        <v>4</v>
      </c>
      <c r="AM107" s="119" t="s">
        <v>4</v>
      </c>
      <c r="AN107" s="119" t="s">
        <v>3</v>
      </c>
    </row>
    <row r="108" spans="1:40" x14ac:dyDescent="0.3">
      <c r="A108" s="119">
        <f t="shared" si="1"/>
        <v>107</v>
      </c>
      <c r="B108" s="119" t="s">
        <v>480</v>
      </c>
      <c r="C108" s="119" t="s">
        <v>538</v>
      </c>
      <c r="D108" s="119">
        <v>5</v>
      </c>
      <c r="E108" s="119" t="s">
        <v>2</v>
      </c>
      <c r="F108" s="119" t="s">
        <v>3</v>
      </c>
      <c r="G108" s="119" t="s">
        <v>4</v>
      </c>
      <c r="H108" s="119" t="s">
        <v>5</v>
      </c>
      <c r="I108" s="119" t="s">
        <v>5</v>
      </c>
      <c r="J108" s="119" t="s">
        <v>3</v>
      </c>
      <c r="K108" s="119" t="s">
        <v>5</v>
      </c>
      <c r="L108" s="119" t="s">
        <v>2</v>
      </c>
      <c r="M108" s="119" t="s">
        <v>3</v>
      </c>
      <c r="N108" s="119" t="s">
        <v>2</v>
      </c>
      <c r="O108" s="119" t="s">
        <v>2</v>
      </c>
      <c r="P108" s="119" t="s">
        <v>5</v>
      </c>
      <c r="Q108" s="119" t="s">
        <v>5</v>
      </c>
      <c r="R108" s="119" t="s">
        <v>2</v>
      </c>
      <c r="S108" s="119" t="s">
        <v>5</v>
      </c>
      <c r="T108" s="119" t="s">
        <v>5</v>
      </c>
      <c r="U108" s="119" t="s">
        <v>3</v>
      </c>
      <c r="V108" s="119" t="s">
        <v>5</v>
      </c>
      <c r="W108" s="119" t="s">
        <v>2</v>
      </c>
      <c r="X108" s="119" t="s">
        <v>4</v>
      </c>
      <c r="Y108" s="119" t="s">
        <v>4</v>
      </c>
      <c r="Z108" s="119" t="s">
        <v>2</v>
      </c>
      <c r="AA108" s="119" t="s">
        <v>3</v>
      </c>
      <c r="AB108" s="119" t="s">
        <v>4</v>
      </c>
      <c r="AC108" s="119" t="s">
        <v>4</v>
      </c>
      <c r="AD108" s="119" t="s">
        <v>4</v>
      </c>
      <c r="AE108" s="119" t="s">
        <v>4</v>
      </c>
      <c r="AF108" s="119" t="s">
        <v>4</v>
      </c>
      <c r="AG108" s="119" t="s">
        <v>4</v>
      </c>
      <c r="AH108" s="119" t="s">
        <v>3</v>
      </c>
      <c r="AI108" s="119" t="s">
        <v>4</v>
      </c>
      <c r="AJ108" s="119" t="s">
        <v>3</v>
      </c>
      <c r="AK108" s="119" t="s">
        <v>4</v>
      </c>
      <c r="AL108" s="119" t="s">
        <v>4</v>
      </c>
      <c r="AM108" s="119" t="s">
        <v>3</v>
      </c>
      <c r="AN108" s="119" t="s">
        <v>3</v>
      </c>
    </row>
    <row r="109" spans="1:40" x14ac:dyDescent="0.3">
      <c r="A109" s="119">
        <f t="shared" si="1"/>
        <v>108</v>
      </c>
      <c r="B109" s="119" t="s">
        <v>496</v>
      </c>
      <c r="C109" s="119" t="s">
        <v>538</v>
      </c>
      <c r="D109" s="119">
        <v>5</v>
      </c>
      <c r="E109" s="119" t="s">
        <v>5</v>
      </c>
      <c r="F109" s="119" t="s">
        <v>5</v>
      </c>
      <c r="G109" s="119" t="s">
        <v>3</v>
      </c>
      <c r="H109" s="119" t="s">
        <v>5</v>
      </c>
      <c r="I109" s="119" t="s">
        <v>5</v>
      </c>
      <c r="J109" s="119" t="s">
        <v>5</v>
      </c>
      <c r="K109" s="119" t="s">
        <v>5</v>
      </c>
      <c r="L109" s="119" t="s">
        <v>2</v>
      </c>
      <c r="M109" s="119" t="s">
        <v>2</v>
      </c>
      <c r="N109" s="119" t="s">
        <v>5</v>
      </c>
      <c r="O109" s="119" t="s">
        <v>2</v>
      </c>
      <c r="P109" s="119" t="s">
        <v>2</v>
      </c>
      <c r="Q109" s="119" t="s">
        <v>4</v>
      </c>
      <c r="R109" s="119" t="s">
        <v>3</v>
      </c>
      <c r="S109" s="119" t="s">
        <v>2</v>
      </c>
      <c r="T109" s="119" t="s">
        <v>5</v>
      </c>
      <c r="U109" s="119" t="s">
        <v>5</v>
      </c>
      <c r="V109" s="119" t="s">
        <v>5</v>
      </c>
      <c r="W109" s="119" t="s">
        <v>3</v>
      </c>
      <c r="X109" s="119" t="s">
        <v>3</v>
      </c>
      <c r="Y109" s="119" t="s">
        <v>3</v>
      </c>
      <c r="Z109" s="119" t="s">
        <v>4</v>
      </c>
      <c r="AA109" s="119" t="s">
        <v>3</v>
      </c>
      <c r="AB109" s="119" t="s">
        <v>4</v>
      </c>
      <c r="AC109" s="119" t="s">
        <v>4</v>
      </c>
      <c r="AD109" s="119" t="s">
        <v>4</v>
      </c>
      <c r="AE109" s="119" t="s">
        <v>4</v>
      </c>
      <c r="AF109" s="119" t="s">
        <v>4</v>
      </c>
      <c r="AG109" s="119" t="s">
        <v>3</v>
      </c>
      <c r="AH109" s="119" t="s">
        <v>3</v>
      </c>
      <c r="AI109" s="119" t="s">
        <v>4</v>
      </c>
      <c r="AJ109" s="119" t="s">
        <v>3</v>
      </c>
      <c r="AK109" s="119" t="s">
        <v>4</v>
      </c>
      <c r="AL109" s="119" t="s">
        <v>4</v>
      </c>
      <c r="AM109" s="119" t="s">
        <v>3</v>
      </c>
      <c r="AN109" s="119" t="s">
        <v>3</v>
      </c>
    </row>
    <row r="110" spans="1:40" x14ac:dyDescent="0.3">
      <c r="A110" s="119">
        <f t="shared" si="1"/>
        <v>109</v>
      </c>
      <c r="B110" s="119" t="s">
        <v>430</v>
      </c>
      <c r="C110" s="119" t="s">
        <v>538</v>
      </c>
      <c r="D110" s="119">
        <v>6</v>
      </c>
      <c r="E110" s="119" t="s">
        <v>5</v>
      </c>
      <c r="F110" s="119" t="s">
        <v>5</v>
      </c>
      <c r="G110" s="119" t="s">
        <v>3</v>
      </c>
      <c r="H110" s="119" t="s">
        <v>5</v>
      </c>
      <c r="I110" s="119" t="s">
        <v>5</v>
      </c>
      <c r="J110" s="119" t="s">
        <v>5</v>
      </c>
      <c r="K110" s="119" t="s">
        <v>5</v>
      </c>
      <c r="L110" s="119" t="s">
        <v>2</v>
      </c>
      <c r="M110" s="119" t="s">
        <v>2</v>
      </c>
      <c r="N110" s="119" t="s">
        <v>4</v>
      </c>
      <c r="O110" s="119" t="s">
        <v>4</v>
      </c>
      <c r="P110" s="119" t="s">
        <v>4</v>
      </c>
      <c r="Q110" s="119" t="s">
        <v>5</v>
      </c>
      <c r="R110" s="119" t="s">
        <v>4</v>
      </c>
      <c r="S110" s="119" t="s">
        <v>5</v>
      </c>
      <c r="T110" s="119" t="s">
        <v>5</v>
      </c>
      <c r="U110" s="119" t="s">
        <v>5</v>
      </c>
      <c r="V110" s="119" t="s">
        <v>5</v>
      </c>
      <c r="W110" s="119" t="s">
        <v>3</v>
      </c>
      <c r="X110" s="119" t="s">
        <v>5</v>
      </c>
      <c r="Y110" s="119" t="s">
        <v>2</v>
      </c>
      <c r="Z110" s="119" t="s">
        <v>2</v>
      </c>
      <c r="AA110" s="119" t="s">
        <v>3</v>
      </c>
      <c r="AB110" s="119" t="s">
        <v>4</v>
      </c>
      <c r="AC110" s="119" t="s">
        <v>4</v>
      </c>
      <c r="AD110" s="119" t="s">
        <v>4</v>
      </c>
      <c r="AE110" s="119" t="s">
        <v>4</v>
      </c>
      <c r="AF110" s="119" t="s">
        <v>4</v>
      </c>
      <c r="AG110" s="119" t="s">
        <v>4</v>
      </c>
      <c r="AH110" s="119" t="s">
        <v>3</v>
      </c>
      <c r="AI110" s="119" t="s">
        <v>4</v>
      </c>
      <c r="AJ110" s="119" t="s">
        <v>3</v>
      </c>
      <c r="AK110" s="119" t="s">
        <v>3</v>
      </c>
      <c r="AL110" s="119" t="s">
        <v>4</v>
      </c>
      <c r="AM110" s="119" t="s">
        <v>3</v>
      </c>
      <c r="AN110" s="119" t="s">
        <v>3</v>
      </c>
    </row>
    <row r="111" spans="1:40" x14ac:dyDescent="0.3">
      <c r="A111" s="119">
        <f t="shared" si="1"/>
        <v>110</v>
      </c>
      <c r="B111" s="119" t="s">
        <v>327</v>
      </c>
      <c r="C111" s="119" t="s">
        <v>538</v>
      </c>
      <c r="D111" s="119">
        <v>6</v>
      </c>
      <c r="E111" s="119" t="s">
        <v>4</v>
      </c>
      <c r="F111" s="119" t="s">
        <v>5</v>
      </c>
      <c r="G111" s="119" t="s">
        <v>2</v>
      </c>
      <c r="H111" s="119" t="s">
        <v>5</v>
      </c>
      <c r="I111" s="119" t="s">
        <v>5</v>
      </c>
      <c r="J111" s="119" t="s">
        <v>5</v>
      </c>
      <c r="K111" s="119" t="s">
        <v>2</v>
      </c>
      <c r="L111" s="119" t="s">
        <v>2</v>
      </c>
      <c r="M111" s="119" t="s">
        <v>2</v>
      </c>
      <c r="N111" s="119" t="s">
        <v>4</v>
      </c>
      <c r="O111" s="119" t="s">
        <v>2</v>
      </c>
      <c r="P111" s="119" t="s">
        <v>5</v>
      </c>
      <c r="Q111" s="119" t="s">
        <v>5</v>
      </c>
      <c r="R111" s="119" t="s">
        <v>4</v>
      </c>
      <c r="S111" s="119" t="s">
        <v>5</v>
      </c>
      <c r="T111" s="119" t="s">
        <v>5</v>
      </c>
      <c r="U111" s="119" t="s">
        <v>5</v>
      </c>
      <c r="V111" s="119" t="s">
        <v>5</v>
      </c>
      <c r="W111" s="119" t="s">
        <v>5</v>
      </c>
      <c r="X111" s="119" t="s">
        <v>4</v>
      </c>
      <c r="Y111" s="119" t="s">
        <v>3</v>
      </c>
      <c r="Z111" s="119" t="s">
        <v>2</v>
      </c>
      <c r="AA111" s="119" t="s">
        <v>3</v>
      </c>
      <c r="AB111" s="119" t="s">
        <v>4</v>
      </c>
      <c r="AC111" s="119" t="s">
        <v>4</v>
      </c>
      <c r="AD111" s="119" t="s">
        <v>4</v>
      </c>
      <c r="AE111" s="119" t="s">
        <v>3</v>
      </c>
      <c r="AF111" s="119" t="s">
        <v>4</v>
      </c>
      <c r="AG111" s="119" t="s">
        <v>3</v>
      </c>
      <c r="AH111" s="119" t="s">
        <v>3</v>
      </c>
      <c r="AI111" s="119" t="s">
        <v>3</v>
      </c>
      <c r="AJ111" s="119" t="s">
        <v>3</v>
      </c>
      <c r="AK111" s="119" t="s">
        <v>3</v>
      </c>
      <c r="AL111" s="119" t="s">
        <v>3</v>
      </c>
      <c r="AM111" s="119" t="s">
        <v>3</v>
      </c>
      <c r="AN111" s="119" t="s">
        <v>3</v>
      </c>
    </row>
    <row r="112" spans="1:40" x14ac:dyDescent="0.3">
      <c r="A112" s="119">
        <f t="shared" si="1"/>
        <v>111</v>
      </c>
      <c r="B112" s="119" t="s">
        <v>328</v>
      </c>
      <c r="C112" s="119" t="s">
        <v>538</v>
      </c>
      <c r="D112" s="119">
        <v>6</v>
      </c>
      <c r="E112" s="119" t="s">
        <v>5</v>
      </c>
      <c r="F112" s="119" t="s">
        <v>5</v>
      </c>
      <c r="G112" s="119" t="s">
        <v>3</v>
      </c>
      <c r="H112" s="119" t="s">
        <v>2</v>
      </c>
      <c r="I112" s="119" t="s">
        <v>5</v>
      </c>
      <c r="J112" s="119" t="s">
        <v>5</v>
      </c>
      <c r="K112" s="119" t="s">
        <v>5</v>
      </c>
      <c r="L112" s="119" t="s">
        <v>5</v>
      </c>
      <c r="M112" s="119" t="s">
        <v>2</v>
      </c>
      <c r="N112" s="119" t="s">
        <v>4</v>
      </c>
      <c r="O112" s="119" t="s">
        <v>4</v>
      </c>
      <c r="P112" s="119" t="s">
        <v>2</v>
      </c>
      <c r="Q112" s="119" t="s">
        <v>5</v>
      </c>
      <c r="R112" s="119" t="s">
        <v>2</v>
      </c>
      <c r="S112" s="119" t="s">
        <v>2</v>
      </c>
      <c r="T112" s="119" t="s">
        <v>5</v>
      </c>
      <c r="U112" s="119" t="s">
        <v>3</v>
      </c>
      <c r="V112" s="119" t="s">
        <v>5</v>
      </c>
      <c r="W112" s="119" t="s">
        <v>3</v>
      </c>
      <c r="X112" s="119" t="s">
        <v>2</v>
      </c>
      <c r="Y112" s="119" t="s">
        <v>2</v>
      </c>
      <c r="Z112" s="119" t="s">
        <v>5</v>
      </c>
      <c r="AA112" s="119" t="s">
        <v>3</v>
      </c>
      <c r="AB112" s="119" t="s">
        <v>4</v>
      </c>
      <c r="AC112" s="119" t="s">
        <v>4</v>
      </c>
      <c r="AD112" s="119" t="s">
        <v>4</v>
      </c>
      <c r="AE112" s="119" t="s">
        <v>3</v>
      </c>
      <c r="AF112" s="119" t="s">
        <v>4</v>
      </c>
      <c r="AG112" s="119" t="s">
        <v>3</v>
      </c>
      <c r="AH112" s="119" t="s">
        <v>3</v>
      </c>
      <c r="AI112" s="119" t="s">
        <v>3</v>
      </c>
      <c r="AJ112" s="119" t="s">
        <v>3</v>
      </c>
      <c r="AK112" s="119" t="s">
        <v>3</v>
      </c>
      <c r="AL112" s="119" t="s">
        <v>3</v>
      </c>
      <c r="AM112" s="119" t="s">
        <v>3</v>
      </c>
      <c r="AN112" s="119" t="s">
        <v>3</v>
      </c>
    </row>
    <row r="113" spans="1:40" x14ac:dyDescent="0.3">
      <c r="A113" s="119">
        <f t="shared" si="1"/>
        <v>112</v>
      </c>
      <c r="B113" s="119" t="s">
        <v>475</v>
      </c>
      <c r="C113" s="119" t="s">
        <v>538</v>
      </c>
      <c r="D113" s="119">
        <v>6</v>
      </c>
      <c r="E113" s="119" t="s">
        <v>5</v>
      </c>
      <c r="F113" s="119" t="s">
        <v>5</v>
      </c>
      <c r="G113" s="119" t="s">
        <v>2</v>
      </c>
      <c r="H113" s="119" t="s">
        <v>5</v>
      </c>
      <c r="I113" s="119" t="s">
        <v>5</v>
      </c>
      <c r="J113" s="119" t="s">
        <v>5</v>
      </c>
      <c r="K113" s="119" t="s">
        <v>5</v>
      </c>
      <c r="L113" s="119" t="s">
        <v>5</v>
      </c>
      <c r="M113" s="119" t="s">
        <v>2</v>
      </c>
      <c r="N113" s="119" t="s">
        <v>4</v>
      </c>
      <c r="O113" s="119" t="s">
        <v>4</v>
      </c>
      <c r="P113" s="119" t="s">
        <v>5</v>
      </c>
      <c r="Q113" s="119" t="s">
        <v>2</v>
      </c>
      <c r="R113" s="119" t="s">
        <v>3</v>
      </c>
      <c r="S113" s="119" t="s">
        <v>5</v>
      </c>
      <c r="T113" s="119" t="s">
        <v>5</v>
      </c>
      <c r="U113" s="119" t="s">
        <v>3</v>
      </c>
      <c r="V113" s="119" t="s">
        <v>5</v>
      </c>
      <c r="W113" s="119" t="s">
        <v>5</v>
      </c>
      <c r="X113" s="119" t="s">
        <v>4</v>
      </c>
      <c r="Y113" s="119" t="s">
        <v>3</v>
      </c>
      <c r="Z113" s="119" t="s">
        <v>2</v>
      </c>
      <c r="AA113" s="119" t="s">
        <v>3</v>
      </c>
      <c r="AB113" s="119" t="s">
        <v>4</v>
      </c>
      <c r="AC113" s="119" t="s">
        <v>4</v>
      </c>
      <c r="AD113" s="119" t="s">
        <v>3</v>
      </c>
      <c r="AE113" s="119" t="s">
        <v>4</v>
      </c>
      <c r="AF113" s="119" t="s">
        <v>4</v>
      </c>
      <c r="AG113" s="119" t="s">
        <v>4</v>
      </c>
      <c r="AH113" s="119" t="s">
        <v>3</v>
      </c>
      <c r="AI113" s="119" t="s">
        <v>4</v>
      </c>
      <c r="AJ113" s="119" t="s">
        <v>3</v>
      </c>
      <c r="AK113" s="119" t="s">
        <v>4</v>
      </c>
      <c r="AL113" s="119" t="s">
        <v>4</v>
      </c>
      <c r="AM113" s="119" t="s">
        <v>4</v>
      </c>
      <c r="AN113" s="119" t="s">
        <v>3</v>
      </c>
    </row>
    <row r="114" spans="1:40" x14ac:dyDescent="0.3">
      <c r="A114" s="119">
        <f t="shared" si="1"/>
        <v>113</v>
      </c>
      <c r="B114" s="119" t="s">
        <v>477</v>
      </c>
      <c r="C114" s="119" t="s">
        <v>538</v>
      </c>
      <c r="D114" s="119">
        <v>6</v>
      </c>
      <c r="E114" s="119" t="s">
        <v>5</v>
      </c>
      <c r="F114" s="119" t="s">
        <v>5</v>
      </c>
      <c r="G114" s="119" t="s">
        <v>3</v>
      </c>
      <c r="H114" s="119" t="s">
        <v>5</v>
      </c>
      <c r="I114" s="119" t="s">
        <v>5</v>
      </c>
      <c r="J114" s="119" t="s">
        <v>5</v>
      </c>
      <c r="K114" s="119" t="s">
        <v>5</v>
      </c>
      <c r="L114" s="119" t="s">
        <v>2</v>
      </c>
      <c r="M114" s="119" t="s">
        <v>2</v>
      </c>
      <c r="N114" s="119" t="s">
        <v>2</v>
      </c>
      <c r="O114" s="119" t="s">
        <v>2</v>
      </c>
      <c r="P114" s="119" t="s">
        <v>3</v>
      </c>
      <c r="Q114" s="119" t="s">
        <v>5</v>
      </c>
      <c r="R114" s="119" t="s">
        <v>3</v>
      </c>
      <c r="S114" s="119" t="s">
        <v>3</v>
      </c>
      <c r="T114" s="119" t="s">
        <v>5</v>
      </c>
      <c r="U114" s="119" t="s">
        <v>5</v>
      </c>
      <c r="V114" s="119" t="s">
        <v>5</v>
      </c>
      <c r="W114" s="119" t="s">
        <v>2</v>
      </c>
      <c r="X114" s="119" t="s">
        <v>3</v>
      </c>
      <c r="Y114" s="119" t="s">
        <v>4</v>
      </c>
      <c r="Z114" s="119" t="s">
        <v>4</v>
      </c>
      <c r="AA114" s="119" t="s">
        <v>3</v>
      </c>
      <c r="AB114" s="119" t="s">
        <v>4</v>
      </c>
      <c r="AC114" s="119" t="s">
        <v>4</v>
      </c>
      <c r="AD114" s="119" t="s">
        <v>4</v>
      </c>
      <c r="AE114" s="119" t="s">
        <v>3</v>
      </c>
      <c r="AF114" s="119" t="s">
        <v>4</v>
      </c>
      <c r="AG114" s="119" t="s">
        <v>4</v>
      </c>
      <c r="AH114" s="119" t="s">
        <v>3</v>
      </c>
      <c r="AI114" s="119" t="s">
        <v>3</v>
      </c>
      <c r="AJ114" s="119" t="s">
        <v>3</v>
      </c>
      <c r="AK114" s="119" t="s">
        <v>3</v>
      </c>
      <c r="AL114" s="119" t="s">
        <v>3</v>
      </c>
      <c r="AM114" s="119" t="s">
        <v>3</v>
      </c>
      <c r="AN114" s="119" t="s">
        <v>3</v>
      </c>
    </row>
    <row r="115" spans="1:40" x14ac:dyDescent="0.3">
      <c r="A115" s="119">
        <f t="shared" si="1"/>
        <v>114</v>
      </c>
      <c r="B115" s="119" t="s">
        <v>488</v>
      </c>
      <c r="C115" s="119" t="s">
        <v>538</v>
      </c>
      <c r="D115" s="119">
        <v>6</v>
      </c>
      <c r="E115" s="119" t="s">
        <v>5</v>
      </c>
      <c r="F115" s="119" t="s">
        <v>5</v>
      </c>
      <c r="G115" s="119" t="s">
        <v>4</v>
      </c>
      <c r="H115" s="119" t="s">
        <v>5</v>
      </c>
      <c r="I115" s="119" t="s">
        <v>5</v>
      </c>
      <c r="J115" s="119" t="s">
        <v>5</v>
      </c>
      <c r="K115" s="119" t="s">
        <v>5</v>
      </c>
      <c r="L115" s="119" t="s">
        <v>2</v>
      </c>
      <c r="M115" s="119" t="s">
        <v>3</v>
      </c>
      <c r="N115" s="119" t="s">
        <v>4</v>
      </c>
      <c r="O115" s="119" t="s">
        <v>3</v>
      </c>
      <c r="P115" s="119" t="s">
        <v>5</v>
      </c>
      <c r="Q115" s="119" t="s">
        <v>5</v>
      </c>
      <c r="R115" s="119" t="s">
        <v>3</v>
      </c>
      <c r="S115" s="119" t="s">
        <v>5</v>
      </c>
      <c r="T115" s="119" t="s">
        <v>5</v>
      </c>
      <c r="U115" s="119" t="s">
        <v>3</v>
      </c>
      <c r="V115" s="119" t="s">
        <v>5</v>
      </c>
      <c r="W115" s="119" t="s">
        <v>3</v>
      </c>
      <c r="X115" s="119" t="s">
        <v>4</v>
      </c>
      <c r="Y115" s="119" t="s">
        <v>2</v>
      </c>
      <c r="Z115" s="119" t="s">
        <v>2</v>
      </c>
      <c r="AA115" s="119" t="s">
        <v>3</v>
      </c>
      <c r="AB115" s="119" t="s">
        <v>4</v>
      </c>
      <c r="AC115" s="119" t="s">
        <v>4</v>
      </c>
      <c r="AD115" s="119" t="s">
        <v>4</v>
      </c>
      <c r="AE115" s="119" t="s">
        <v>4</v>
      </c>
      <c r="AF115" s="119" t="s">
        <v>4</v>
      </c>
      <c r="AG115" s="119" t="s">
        <v>4</v>
      </c>
      <c r="AH115" s="119" t="s">
        <v>3</v>
      </c>
      <c r="AI115" s="119" t="s">
        <v>4</v>
      </c>
      <c r="AJ115" s="119" t="s">
        <v>3</v>
      </c>
      <c r="AK115" s="119" t="s">
        <v>3</v>
      </c>
      <c r="AL115" s="119" t="s">
        <v>4</v>
      </c>
      <c r="AM115" s="119" t="s">
        <v>3</v>
      </c>
      <c r="AN115" s="119" t="s">
        <v>3</v>
      </c>
    </row>
    <row r="116" spans="1:40" x14ac:dyDescent="0.3">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row>
    <row r="117" spans="1:40" x14ac:dyDescent="0.3">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row>
    <row r="118" spans="1:40" x14ac:dyDescent="0.3">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row>
    <row r="119" spans="1:40" x14ac:dyDescent="0.3">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row>
    <row r="120" spans="1:40" x14ac:dyDescent="0.3">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row>
    <row r="121" spans="1:40" x14ac:dyDescent="0.3">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row>
    <row r="122" spans="1:40" x14ac:dyDescent="0.3">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row>
    <row r="123" spans="1:40" x14ac:dyDescent="0.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row>
    <row r="124" spans="1:40" x14ac:dyDescent="0.3">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row>
    <row r="125" spans="1:40" x14ac:dyDescent="0.3">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row>
    <row r="126" spans="1:40" x14ac:dyDescent="0.3">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row>
    <row r="127" spans="1:40" x14ac:dyDescent="0.3">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row>
    <row r="128" spans="1:40" x14ac:dyDescent="0.3">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row>
    <row r="129" spans="1:40" x14ac:dyDescent="0.3">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row>
    <row r="130" spans="1:40" x14ac:dyDescent="0.3">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row>
    <row r="131" spans="1:40" x14ac:dyDescent="0.3">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DABA-0F44-44A3-9AA4-ECD07E3B4F5E}">
  <dimension ref="A1:DH1338"/>
  <sheetViews>
    <sheetView topLeftCell="AQ10" workbookViewId="0">
      <selection activeCell="B9" sqref="B9"/>
    </sheetView>
  </sheetViews>
  <sheetFormatPr defaultRowHeight="14.4" x14ac:dyDescent="0.3"/>
  <cols>
    <col min="2" max="2" width="30.5546875" bestFit="1" customWidth="1"/>
    <col min="3" max="3" width="18" bestFit="1" customWidth="1"/>
    <col min="40" max="40" width="14" customWidth="1"/>
    <col min="41" max="41" width="6.33203125" customWidth="1"/>
    <col min="42" max="43" width="18.44140625" customWidth="1"/>
    <col min="44" max="44" width="32.5546875" bestFit="1" customWidth="1"/>
    <col min="45" max="45" width="29" bestFit="1" customWidth="1"/>
    <col min="46" max="50" width="19.5546875" bestFit="1" customWidth="1"/>
    <col min="51" max="51" width="25.109375" bestFit="1" customWidth="1"/>
    <col min="52" max="52" width="22.88671875" style="19" bestFit="1" customWidth="1"/>
    <col min="53" max="53" width="5.21875" style="19" bestFit="1" customWidth="1"/>
    <col min="54" max="54" width="7.5546875" style="19" bestFit="1" customWidth="1"/>
    <col min="55" max="55" width="9.33203125" style="19" bestFit="1" customWidth="1"/>
    <col min="56" max="58" width="8.88671875" style="19"/>
    <col min="59" max="59" width="17.44140625" bestFit="1" customWidth="1"/>
    <col min="61" max="61" width="9.77734375" customWidth="1"/>
    <col min="62" max="62" width="10.21875" customWidth="1"/>
    <col min="63" max="63" width="7.5546875" customWidth="1"/>
    <col min="64" max="64" width="10.88671875" bestFit="1" customWidth="1"/>
  </cols>
  <sheetData>
    <row r="1" spans="1:112" s="2" customFormat="1" x14ac:dyDescent="0.3">
      <c r="A1" s="56" t="s">
        <v>288</v>
      </c>
      <c r="B1" s="56" t="s">
        <v>0</v>
      </c>
      <c r="C1" s="56" t="s">
        <v>64</v>
      </c>
      <c r="D1" s="56" t="s">
        <v>43</v>
      </c>
      <c r="E1" s="56" t="s">
        <v>44</v>
      </c>
      <c r="F1" s="56" t="s">
        <v>45</v>
      </c>
      <c r="G1" s="56" t="s">
        <v>46</v>
      </c>
      <c r="H1" s="56" t="s">
        <v>47</v>
      </c>
      <c r="I1" s="56" t="s">
        <v>48</v>
      </c>
      <c r="J1" s="56" t="s">
        <v>49</v>
      </c>
      <c r="K1" s="56" t="s">
        <v>50</v>
      </c>
      <c r="L1" s="56" t="s">
        <v>51</v>
      </c>
      <c r="M1" s="56" t="s">
        <v>52</v>
      </c>
      <c r="N1" s="56" t="s">
        <v>53</v>
      </c>
      <c r="O1" s="56" t="s">
        <v>54</v>
      </c>
      <c r="P1" s="56" t="s">
        <v>55</v>
      </c>
      <c r="Q1" s="56" t="s">
        <v>56</v>
      </c>
      <c r="R1" s="56" t="s">
        <v>57</v>
      </c>
      <c r="S1" s="56" t="s">
        <v>58</v>
      </c>
      <c r="T1" s="56" t="s">
        <v>59</v>
      </c>
      <c r="U1" s="56" t="s">
        <v>60</v>
      </c>
      <c r="V1" s="56" t="s">
        <v>61</v>
      </c>
      <c r="W1" s="56" t="s">
        <v>62</v>
      </c>
      <c r="X1" s="56" t="s">
        <v>63</v>
      </c>
      <c r="Y1" s="56" t="s">
        <v>330</v>
      </c>
      <c r="Z1" s="56" t="s">
        <v>331</v>
      </c>
      <c r="AA1" s="56" t="s">
        <v>332</v>
      </c>
      <c r="AB1" s="56" t="s">
        <v>333</v>
      </c>
      <c r="AC1" s="56" t="s">
        <v>334</v>
      </c>
      <c r="AD1" s="56" t="s">
        <v>335</v>
      </c>
      <c r="AE1" s="56" t="s">
        <v>336</v>
      </c>
      <c r="AF1" s="56" t="s">
        <v>337</v>
      </c>
      <c r="AG1" s="56" t="s">
        <v>338</v>
      </c>
      <c r="AH1" s="56" t="s">
        <v>339</v>
      </c>
      <c r="AI1" s="56" t="s">
        <v>340</v>
      </c>
      <c r="AJ1" s="56" t="s">
        <v>341</v>
      </c>
      <c r="AK1" s="56" t="s">
        <v>342</v>
      </c>
      <c r="AL1" s="56" t="s">
        <v>343</v>
      </c>
      <c r="AM1" s="56" t="s">
        <v>390</v>
      </c>
      <c r="AZ1" s="55"/>
      <c r="BA1" s="55"/>
      <c r="BB1" s="55"/>
      <c r="BC1" s="55"/>
      <c r="BD1" s="55"/>
      <c r="BE1" s="55"/>
      <c r="BF1" s="55"/>
    </row>
    <row r="2" spans="1:112" x14ac:dyDescent="0.3">
      <c r="A2" s="119">
        <f t="shared" ref="A2:A65" si="0">ROW()-1</f>
        <v>1</v>
      </c>
      <c r="B2" s="119" t="s">
        <v>1</v>
      </c>
      <c r="C2" s="119">
        <v>1</v>
      </c>
      <c r="D2" s="119" t="s">
        <v>2</v>
      </c>
      <c r="E2" s="119" t="s">
        <v>3</v>
      </c>
      <c r="F2" s="119" t="s">
        <v>4</v>
      </c>
      <c r="G2" s="119" t="s">
        <v>5</v>
      </c>
      <c r="H2" s="119" t="s">
        <v>5</v>
      </c>
      <c r="I2" s="119" t="s">
        <v>5</v>
      </c>
      <c r="J2" s="119" t="s">
        <v>2</v>
      </c>
      <c r="K2" s="119" t="s">
        <v>2</v>
      </c>
      <c r="L2" s="119" t="s">
        <v>3</v>
      </c>
      <c r="M2" s="119" t="s">
        <v>2</v>
      </c>
      <c r="N2" s="119" t="s">
        <v>4</v>
      </c>
      <c r="O2" s="119" t="s">
        <v>2</v>
      </c>
      <c r="P2" s="119" t="s">
        <v>5</v>
      </c>
      <c r="Q2" s="119" t="s">
        <v>3</v>
      </c>
      <c r="R2" s="119" t="s">
        <v>3</v>
      </c>
      <c r="S2" s="119" t="s">
        <v>5</v>
      </c>
      <c r="T2" s="119" t="s">
        <v>5</v>
      </c>
      <c r="U2" s="119" t="s">
        <v>5</v>
      </c>
      <c r="V2" s="119" t="s">
        <v>2</v>
      </c>
      <c r="W2" s="119" t="s">
        <v>4</v>
      </c>
      <c r="X2" s="119" t="s">
        <v>3</v>
      </c>
      <c r="Y2" s="119" t="s">
        <v>4</v>
      </c>
      <c r="Z2" s="119" t="s">
        <v>4</v>
      </c>
      <c r="AA2" s="119" t="s">
        <v>4</v>
      </c>
      <c r="AB2" s="119" t="s">
        <v>4</v>
      </c>
      <c r="AC2" s="119" t="s">
        <v>4</v>
      </c>
      <c r="AD2" s="119" t="s">
        <v>4</v>
      </c>
      <c r="AE2" s="119" t="s">
        <v>4</v>
      </c>
      <c r="AF2" s="119" t="s">
        <v>3</v>
      </c>
      <c r="AG2" s="119" t="s">
        <v>4</v>
      </c>
      <c r="AH2" s="119" t="s">
        <v>4</v>
      </c>
      <c r="AI2" s="119" t="s">
        <v>3</v>
      </c>
      <c r="AJ2" s="119" t="s">
        <v>4</v>
      </c>
      <c r="AK2" s="119" t="s">
        <v>4</v>
      </c>
      <c r="AL2" s="119" t="s">
        <v>4</v>
      </c>
      <c r="AM2" s="6" t="s">
        <v>3</v>
      </c>
      <c r="BC2" s="154"/>
      <c r="BD2" s="154"/>
      <c r="BE2" s="154"/>
      <c r="BF2" s="154"/>
      <c r="BG2" s="155"/>
      <c r="BH2" s="155"/>
      <c r="BI2" s="156"/>
      <c r="BJ2" s="155"/>
      <c r="BK2" s="155"/>
      <c r="BL2" s="155"/>
      <c r="BM2" s="155"/>
      <c r="BN2" s="155"/>
      <c r="BO2" s="155"/>
      <c r="BP2" s="155"/>
      <c r="BQ2" s="155"/>
      <c r="BR2" s="155"/>
      <c r="BS2" s="155"/>
      <c r="BT2" s="155"/>
      <c r="BU2" s="155"/>
      <c r="BV2" s="155"/>
      <c r="BW2" s="155"/>
      <c r="BX2" s="155"/>
      <c r="BY2" s="155"/>
      <c r="BZ2" s="155"/>
      <c r="CA2" s="155"/>
      <c r="CB2" s="155"/>
      <c r="CC2" s="155"/>
      <c r="CD2" s="155"/>
      <c r="CE2" s="155"/>
      <c r="CF2" s="155"/>
      <c r="CG2" s="155"/>
      <c r="CH2" s="155"/>
      <c r="CI2" s="155"/>
      <c r="CJ2" s="155"/>
      <c r="CK2" s="155"/>
      <c r="CL2" s="155"/>
      <c r="CM2" s="155"/>
      <c r="CN2" s="155"/>
      <c r="CO2" s="155"/>
      <c r="CP2" s="155"/>
      <c r="CQ2" s="155"/>
      <c r="CR2" s="155"/>
      <c r="CS2" s="155"/>
      <c r="CT2" s="155"/>
      <c r="CU2" s="155"/>
      <c r="CV2" s="155"/>
      <c r="CW2" s="155"/>
      <c r="CX2" s="155"/>
      <c r="CY2" s="155"/>
      <c r="CZ2" s="155"/>
      <c r="DA2" s="155"/>
      <c r="DB2" s="155"/>
      <c r="DC2" s="155"/>
      <c r="DD2" s="155"/>
      <c r="DE2" s="155"/>
      <c r="DF2" s="155"/>
      <c r="DG2" s="155"/>
      <c r="DH2" s="155"/>
    </row>
    <row r="3" spans="1:112" x14ac:dyDescent="0.3">
      <c r="A3" s="119">
        <f t="shared" si="0"/>
        <v>2</v>
      </c>
      <c r="B3" s="119" t="s">
        <v>6</v>
      </c>
      <c r="C3" s="119">
        <v>1</v>
      </c>
      <c r="D3" s="119" t="s">
        <v>5</v>
      </c>
      <c r="E3" s="119" t="s">
        <v>3</v>
      </c>
      <c r="F3" s="119" t="s">
        <v>2</v>
      </c>
      <c r="G3" s="119" t="s">
        <v>3</v>
      </c>
      <c r="H3" s="119" t="s">
        <v>5</v>
      </c>
      <c r="I3" s="119" t="s">
        <v>3</v>
      </c>
      <c r="J3" s="119" t="s">
        <v>5</v>
      </c>
      <c r="K3" s="119" t="s">
        <v>2</v>
      </c>
      <c r="L3" s="119" t="s">
        <v>2</v>
      </c>
      <c r="M3" s="119" t="s">
        <v>3</v>
      </c>
      <c r="N3" s="119" t="s">
        <v>3</v>
      </c>
      <c r="O3" s="119" t="s">
        <v>4</v>
      </c>
      <c r="P3" s="119" t="s">
        <v>2</v>
      </c>
      <c r="Q3" s="119" t="s">
        <v>3</v>
      </c>
      <c r="R3" s="119" t="s">
        <v>4</v>
      </c>
      <c r="S3" s="119" t="s">
        <v>5</v>
      </c>
      <c r="T3" s="119" t="s">
        <v>5</v>
      </c>
      <c r="U3" s="119" t="s">
        <v>5</v>
      </c>
      <c r="V3" s="119" t="s">
        <v>4</v>
      </c>
      <c r="W3" s="119" t="s">
        <v>4</v>
      </c>
      <c r="X3" s="119" t="s">
        <v>4</v>
      </c>
      <c r="Y3" s="119" t="s">
        <v>5</v>
      </c>
      <c r="Z3" s="119" t="s">
        <v>3</v>
      </c>
      <c r="AA3" s="119" t="s">
        <v>4</v>
      </c>
      <c r="AB3" s="119" t="s">
        <v>4</v>
      </c>
      <c r="AC3" s="119" t="s">
        <v>4</v>
      </c>
      <c r="AD3" s="119" t="s">
        <v>4</v>
      </c>
      <c r="AE3" s="119" t="s">
        <v>4</v>
      </c>
      <c r="AF3" s="119" t="s">
        <v>4</v>
      </c>
      <c r="AG3" s="119" t="s">
        <v>3</v>
      </c>
      <c r="AH3" s="119" t="s">
        <v>4</v>
      </c>
      <c r="AI3" s="119" t="s">
        <v>3</v>
      </c>
      <c r="AJ3" s="119" t="s">
        <v>4</v>
      </c>
      <c r="AK3" s="119" t="s">
        <v>4</v>
      </c>
      <c r="AL3" s="119" t="s">
        <v>4</v>
      </c>
      <c r="AM3" s="6" t="s">
        <v>3</v>
      </c>
      <c r="AZ3"/>
      <c r="BC3" s="154"/>
      <c r="BD3" s="154"/>
      <c r="BE3" s="157"/>
      <c r="BF3" s="157"/>
      <c r="BG3" s="155"/>
      <c r="BH3" s="158"/>
      <c r="BI3" s="158"/>
      <c r="BJ3" s="158"/>
      <c r="BK3" s="158"/>
      <c r="BL3" s="158"/>
      <c r="BM3" s="158"/>
      <c r="BN3" s="158"/>
      <c r="BO3" s="158"/>
      <c r="BP3" s="158"/>
      <c r="BQ3" s="158"/>
      <c r="BR3" s="158"/>
      <c r="BS3" s="158"/>
      <c r="BT3" s="158"/>
      <c r="BU3" s="158"/>
      <c r="BV3" s="158"/>
      <c r="BW3" s="158"/>
      <c r="BX3" s="158"/>
      <c r="BY3" s="158"/>
      <c r="BZ3" s="158"/>
      <c r="CA3" s="158"/>
      <c r="CB3" s="158"/>
      <c r="CC3" s="158"/>
      <c r="CD3" s="158"/>
      <c r="CE3" s="158"/>
      <c r="CF3" s="158"/>
      <c r="CG3" s="158"/>
      <c r="CH3" s="158"/>
      <c r="CI3" s="158"/>
      <c r="CJ3" s="158"/>
      <c r="CK3" s="158"/>
      <c r="CL3" s="158"/>
      <c r="CM3" s="158"/>
      <c r="CN3" s="158"/>
      <c r="CO3" s="158"/>
      <c r="CP3" s="158"/>
      <c r="CQ3" s="158"/>
      <c r="CR3" s="158"/>
      <c r="CS3" s="158"/>
      <c r="CT3" s="158"/>
      <c r="CU3" s="155"/>
      <c r="CV3" s="155"/>
      <c r="CW3" s="155"/>
      <c r="CX3" s="155"/>
      <c r="CY3" s="155"/>
      <c r="CZ3" s="155"/>
      <c r="DA3" s="155"/>
      <c r="DB3" s="155"/>
      <c r="DC3" s="155"/>
      <c r="DD3" s="155"/>
      <c r="DE3" s="155"/>
      <c r="DF3" s="155"/>
      <c r="DG3" s="155"/>
      <c r="DH3" s="155"/>
    </row>
    <row r="4" spans="1:112" ht="17.399999999999999" customHeight="1" x14ac:dyDescent="0.35">
      <c r="A4" s="119">
        <f t="shared" si="0"/>
        <v>3</v>
      </c>
      <c r="B4" s="119" t="s">
        <v>7</v>
      </c>
      <c r="C4" s="119">
        <v>1</v>
      </c>
      <c r="D4" s="119" t="s">
        <v>2</v>
      </c>
      <c r="E4" s="119" t="s">
        <v>3</v>
      </c>
      <c r="F4" s="119" t="s">
        <v>4</v>
      </c>
      <c r="G4" s="119" t="s">
        <v>5</v>
      </c>
      <c r="H4" s="119" t="s">
        <v>5</v>
      </c>
      <c r="I4" s="119" t="s">
        <v>5</v>
      </c>
      <c r="J4" s="119" t="s">
        <v>5</v>
      </c>
      <c r="K4" s="119" t="s">
        <v>2</v>
      </c>
      <c r="L4" s="119" t="s">
        <v>3</v>
      </c>
      <c r="M4" s="119" t="s">
        <v>3</v>
      </c>
      <c r="N4" s="119" t="s">
        <v>4</v>
      </c>
      <c r="O4" s="119" t="s">
        <v>3</v>
      </c>
      <c r="P4" s="119" t="s">
        <v>5</v>
      </c>
      <c r="Q4" s="119" t="s">
        <v>3</v>
      </c>
      <c r="R4" s="119" t="s">
        <v>3</v>
      </c>
      <c r="S4" s="119" t="s">
        <v>5</v>
      </c>
      <c r="T4" s="119" t="s">
        <v>5</v>
      </c>
      <c r="U4" s="119" t="s">
        <v>5</v>
      </c>
      <c r="V4" s="119" t="s">
        <v>2</v>
      </c>
      <c r="W4" s="119" t="s">
        <v>4</v>
      </c>
      <c r="X4" s="119" t="s">
        <v>3</v>
      </c>
      <c r="Y4" s="119" t="s">
        <v>2</v>
      </c>
      <c r="Z4" s="119" t="s">
        <v>3</v>
      </c>
      <c r="AA4" s="119" t="s">
        <v>4</v>
      </c>
      <c r="AB4" s="119" t="s">
        <v>4</v>
      </c>
      <c r="AC4" s="119" t="s">
        <v>4</v>
      </c>
      <c r="AD4" s="119" t="s">
        <v>4</v>
      </c>
      <c r="AE4" s="119" t="s">
        <v>4</v>
      </c>
      <c r="AF4" s="119" t="s">
        <v>4</v>
      </c>
      <c r="AG4" s="119" t="s">
        <v>4</v>
      </c>
      <c r="AH4" s="119" t="s">
        <v>4</v>
      </c>
      <c r="AI4" s="119" t="s">
        <v>4</v>
      </c>
      <c r="AJ4" s="119" t="s">
        <v>4</v>
      </c>
      <c r="AK4" s="119" t="s">
        <v>4</v>
      </c>
      <c r="AL4" s="119" t="s">
        <v>3</v>
      </c>
      <c r="AM4" s="6" t="s">
        <v>3</v>
      </c>
      <c r="AR4" s="4" t="s">
        <v>39</v>
      </c>
      <c r="AS4" s="4"/>
      <c r="BC4" s="154"/>
      <c r="BD4" s="154"/>
      <c r="BE4" s="157"/>
      <c r="BF4" s="157"/>
      <c r="BG4" s="155"/>
      <c r="BH4" s="155"/>
      <c r="BI4" s="155"/>
      <c r="BJ4" s="155"/>
      <c r="BK4" s="155"/>
      <c r="BL4" s="155"/>
      <c r="BM4" s="155"/>
      <c r="BN4" s="155"/>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c r="CR4" s="155"/>
      <c r="CS4" s="155"/>
      <c r="CT4" s="155"/>
      <c r="CU4" s="155"/>
      <c r="CV4" s="155"/>
      <c r="CW4" s="155"/>
      <c r="CX4" s="155"/>
      <c r="CY4" s="155"/>
      <c r="CZ4" s="155"/>
      <c r="DA4" s="155"/>
      <c r="DB4" s="155"/>
      <c r="DC4" s="155"/>
      <c r="DD4" s="155"/>
      <c r="DE4" s="155"/>
      <c r="DF4" s="155"/>
      <c r="DG4" s="155"/>
      <c r="DH4" s="155"/>
    </row>
    <row r="5" spans="1:112" x14ac:dyDescent="0.3">
      <c r="A5" s="119">
        <f t="shared" si="0"/>
        <v>4</v>
      </c>
      <c r="B5" s="119" t="s">
        <v>8</v>
      </c>
      <c r="C5" s="119">
        <v>1</v>
      </c>
      <c r="D5" s="119" t="s">
        <v>5</v>
      </c>
      <c r="E5" s="119" t="s">
        <v>2</v>
      </c>
      <c r="F5" s="119" t="s">
        <v>2</v>
      </c>
      <c r="G5" s="119" t="s">
        <v>3</v>
      </c>
      <c r="H5" s="119" t="s">
        <v>5</v>
      </c>
      <c r="I5" s="119" t="s">
        <v>5</v>
      </c>
      <c r="J5" s="119" t="s">
        <v>5</v>
      </c>
      <c r="K5" s="119" t="s">
        <v>2</v>
      </c>
      <c r="L5" s="119" t="s">
        <v>3</v>
      </c>
      <c r="M5" s="119" t="s">
        <v>3</v>
      </c>
      <c r="N5" s="119" t="s">
        <v>4</v>
      </c>
      <c r="O5" s="119" t="s">
        <v>2</v>
      </c>
      <c r="P5" s="119" t="s">
        <v>5</v>
      </c>
      <c r="Q5" s="119" t="s">
        <v>3</v>
      </c>
      <c r="R5" s="119" t="s">
        <v>2</v>
      </c>
      <c r="S5" s="119" t="s">
        <v>5</v>
      </c>
      <c r="T5" s="119" t="s">
        <v>2</v>
      </c>
      <c r="U5" s="119" t="s">
        <v>2</v>
      </c>
      <c r="V5" s="119" t="s">
        <v>3</v>
      </c>
      <c r="W5" s="119" t="s">
        <v>4</v>
      </c>
      <c r="X5" s="119" t="s">
        <v>3</v>
      </c>
      <c r="Y5" s="119" t="s">
        <v>3</v>
      </c>
      <c r="Z5" s="119" t="s">
        <v>3</v>
      </c>
      <c r="AA5" s="119" t="s">
        <v>4</v>
      </c>
      <c r="AB5" s="119" t="s">
        <v>4</v>
      </c>
      <c r="AC5" s="119" t="s">
        <v>4</v>
      </c>
      <c r="AD5" s="119" t="s">
        <v>4</v>
      </c>
      <c r="AE5" s="119" t="s">
        <v>4</v>
      </c>
      <c r="AF5" s="119" t="s">
        <v>4</v>
      </c>
      <c r="AG5" s="119" t="s">
        <v>3</v>
      </c>
      <c r="AH5" s="119" t="s">
        <v>4</v>
      </c>
      <c r="AI5" s="119" t="s">
        <v>3</v>
      </c>
      <c r="AJ5" s="119" t="s">
        <v>4</v>
      </c>
      <c r="AK5" s="119" t="s">
        <v>4</v>
      </c>
      <c r="AL5" s="119" t="s">
        <v>4</v>
      </c>
      <c r="AM5" s="6" t="s">
        <v>3</v>
      </c>
      <c r="AT5" s="52" t="s">
        <v>451</v>
      </c>
      <c r="AU5" s="52" t="s">
        <v>452</v>
      </c>
      <c r="AV5" s="19"/>
      <c r="AW5" s="19"/>
      <c r="AX5" s="19"/>
      <c r="AY5" s="19"/>
      <c r="BC5" s="154"/>
      <c r="BD5" s="154"/>
      <c r="BE5" s="154"/>
      <c r="BF5" s="154"/>
      <c r="BG5" s="154"/>
      <c r="BH5" s="155"/>
      <c r="BI5" s="155"/>
      <c r="BJ5" s="155"/>
      <c r="BK5" s="155"/>
      <c r="BL5" s="155"/>
      <c r="BM5" s="155"/>
      <c r="BN5" s="155"/>
      <c r="BO5" s="155"/>
      <c r="BP5" s="155"/>
      <c r="BQ5" s="155"/>
      <c r="BR5" s="155"/>
      <c r="BS5" s="155"/>
      <c r="BT5" s="155"/>
      <c r="BU5" s="155"/>
      <c r="BV5" s="155"/>
      <c r="BW5" s="155"/>
      <c r="BX5" s="155"/>
      <c r="BY5" s="155"/>
      <c r="BZ5" s="155"/>
      <c r="CA5" s="155"/>
      <c r="CB5" s="155"/>
      <c r="CC5" s="155"/>
      <c r="CD5" s="155"/>
      <c r="CE5" s="155"/>
      <c r="CF5" s="155"/>
      <c r="CG5" s="155"/>
      <c r="CH5" s="155"/>
      <c r="CI5" s="155"/>
      <c r="CJ5" s="155"/>
      <c r="CK5" s="155"/>
      <c r="CL5" s="155"/>
      <c r="CM5" s="155"/>
      <c r="CN5" s="155"/>
      <c r="CO5" s="155"/>
      <c r="CP5" s="155"/>
      <c r="CQ5" s="155"/>
      <c r="CR5" s="155"/>
      <c r="CS5" s="155"/>
      <c r="CT5" s="155"/>
      <c r="CU5" s="155"/>
      <c r="CV5" s="155"/>
      <c r="CW5" s="155"/>
      <c r="CX5" s="155"/>
      <c r="CY5" s="155"/>
      <c r="CZ5" s="155"/>
      <c r="DA5" s="155"/>
      <c r="DB5" s="155"/>
      <c r="DC5" s="155"/>
      <c r="DD5" s="155"/>
      <c r="DE5" s="155"/>
      <c r="DF5" s="155"/>
      <c r="DG5" s="155"/>
      <c r="DH5" s="155"/>
    </row>
    <row r="6" spans="1:112" x14ac:dyDescent="0.3">
      <c r="A6" s="119">
        <f t="shared" si="0"/>
        <v>5</v>
      </c>
      <c r="B6" s="119" t="s">
        <v>9</v>
      </c>
      <c r="C6" s="119">
        <v>1</v>
      </c>
      <c r="D6" s="119" t="s">
        <v>2</v>
      </c>
      <c r="E6" s="119" t="s">
        <v>3</v>
      </c>
      <c r="F6" s="119" t="s">
        <v>3</v>
      </c>
      <c r="G6" s="119" t="s">
        <v>5</v>
      </c>
      <c r="H6" s="119" t="s">
        <v>5</v>
      </c>
      <c r="I6" s="119" t="s">
        <v>3</v>
      </c>
      <c r="J6" s="119" t="s">
        <v>2</v>
      </c>
      <c r="K6" s="119" t="s">
        <v>2</v>
      </c>
      <c r="L6" s="119" t="s">
        <v>2</v>
      </c>
      <c r="M6" s="119" t="s">
        <v>3</v>
      </c>
      <c r="N6" s="119" t="s">
        <v>4</v>
      </c>
      <c r="O6" s="119" t="s">
        <v>5</v>
      </c>
      <c r="P6" s="119" t="s">
        <v>5</v>
      </c>
      <c r="Q6" s="119" t="s">
        <v>3</v>
      </c>
      <c r="R6" s="119" t="s">
        <v>3</v>
      </c>
      <c r="S6" s="119" t="s">
        <v>5</v>
      </c>
      <c r="T6" s="119" t="s">
        <v>5</v>
      </c>
      <c r="U6" s="119" t="s">
        <v>5</v>
      </c>
      <c r="V6" s="119" t="s">
        <v>5</v>
      </c>
      <c r="W6" s="119" t="s">
        <v>4</v>
      </c>
      <c r="X6" s="119" t="s">
        <v>3</v>
      </c>
      <c r="Y6" s="119" t="s">
        <v>2</v>
      </c>
      <c r="Z6" s="119" t="s">
        <v>3</v>
      </c>
      <c r="AA6" s="119" t="s">
        <v>4</v>
      </c>
      <c r="AB6" s="119" t="s">
        <v>4</v>
      </c>
      <c r="AC6" s="119" t="s">
        <v>4</v>
      </c>
      <c r="AD6" s="119" t="s">
        <v>4</v>
      </c>
      <c r="AE6" s="119" t="s">
        <v>4</v>
      </c>
      <c r="AF6" s="119" t="s">
        <v>3</v>
      </c>
      <c r="AG6" s="119" t="s">
        <v>3</v>
      </c>
      <c r="AH6" s="119" t="s">
        <v>4</v>
      </c>
      <c r="AI6" s="119" t="s">
        <v>4</v>
      </c>
      <c r="AJ6" s="119" t="s">
        <v>4</v>
      </c>
      <c r="AK6" s="119" t="s">
        <v>4</v>
      </c>
      <c r="AL6" s="119" t="s">
        <v>4</v>
      </c>
      <c r="AM6" s="6" t="s">
        <v>3</v>
      </c>
      <c r="AT6" s="40">
        <f>COUNT(A2:A79)</f>
        <v>78</v>
      </c>
      <c r="AU6" s="40"/>
      <c r="AV6" s="19"/>
      <c r="AW6" s="19"/>
      <c r="AX6" s="19"/>
      <c r="AY6" s="19"/>
      <c r="BC6" s="154"/>
      <c r="BD6" s="154"/>
      <c r="BE6" s="159"/>
      <c r="BF6" s="159"/>
      <c r="BG6" s="155"/>
      <c r="BH6" s="155"/>
      <c r="BI6" s="160"/>
      <c r="BJ6" s="155"/>
      <c r="BK6" s="155"/>
      <c r="BL6" s="155"/>
      <c r="BM6" s="155"/>
      <c r="BN6" s="155"/>
      <c r="BO6" s="155"/>
      <c r="BP6" s="155"/>
      <c r="BQ6" s="155"/>
      <c r="BR6" s="155"/>
      <c r="BS6" s="155"/>
      <c r="BT6" s="155"/>
      <c r="BU6" s="155"/>
      <c r="BV6" s="155"/>
      <c r="BW6" s="155"/>
      <c r="BX6" s="155"/>
      <c r="BY6" s="155"/>
      <c r="BZ6" s="155"/>
      <c r="CA6" s="155"/>
      <c r="CB6" s="155"/>
      <c r="CC6" s="155"/>
      <c r="CD6" s="155"/>
      <c r="CE6" s="155"/>
      <c r="CF6" s="155"/>
      <c r="CG6" s="155"/>
      <c r="CH6" s="155"/>
      <c r="CI6" s="155"/>
      <c r="CJ6" s="155"/>
      <c r="CK6" s="155"/>
      <c r="CL6" s="155"/>
      <c r="CM6" s="155"/>
      <c r="CN6" s="155"/>
      <c r="CO6" s="155"/>
      <c r="CP6" s="155"/>
      <c r="CQ6" s="155"/>
      <c r="CR6" s="155"/>
      <c r="CS6" s="155"/>
      <c r="CT6" s="155"/>
      <c r="CU6" s="155"/>
      <c r="CV6" s="155"/>
      <c r="CW6" s="155"/>
      <c r="CX6" s="155"/>
      <c r="CY6" s="155"/>
      <c r="CZ6" s="155"/>
      <c r="DA6" s="155"/>
      <c r="DB6" s="155"/>
      <c r="DC6" s="155"/>
      <c r="DD6" s="155"/>
      <c r="DE6" s="155"/>
      <c r="DF6" s="155"/>
      <c r="DG6" s="155"/>
      <c r="DH6" s="155"/>
    </row>
    <row r="7" spans="1:112" x14ac:dyDescent="0.3">
      <c r="A7" s="119">
        <f t="shared" si="0"/>
        <v>6</v>
      </c>
      <c r="B7" s="119" t="s">
        <v>10</v>
      </c>
      <c r="C7" s="119">
        <v>1</v>
      </c>
      <c r="D7" s="119" t="s">
        <v>3</v>
      </c>
      <c r="E7" s="119" t="s">
        <v>3</v>
      </c>
      <c r="F7" s="119" t="s">
        <v>2</v>
      </c>
      <c r="G7" s="119" t="s">
        <v>5</v>
      </c>
      <c r="H7" s="119" t="s">
        <v>5</v>
      </c>
      <c r="I7" s="119" t="s">
        <v>3</v>
      </c>
      <c r="J7" s="119" t="s">
        <v>5</v>
      </c>
      <c r="K7" s="119" t="s">
        <v>2</v>
      </c>
      <c r="L7" s="119" t="s">
        <v>2</v>
      </c>
      <c r="M7" s="119" t="s">
        <v>2</v>
      </c>
      <c r="N7" s="119" t="s">
        <v>3</v>
      </c>
      <c r="O7" s="119" t="s">
        <v>3</v>
      </c>
      <c r="P7" s="119" t="s">
        <v>5</v>
      </c>
      <c r="Q7" s="119" t="s">
        <v>3</v>
      </c>
      <c r="R7" s="119" t="s">
        <v>3</v>
      </c>
      <c r="S7" s="119" t="s">
        <v>5</v>
      </c>
      <c r="T7" s="119" t="s">
        <v>5</v>
      </c>
      <c r="U7" s="119" t="s">
        <v>5</v>
      </c>
      <c r="V7" s="119" t="s">
        <v>5</v>
      </c>
      <c r="W7" s="119" t="s">
        <v>4</v>
      </c>
      <c r="X7" s="119" t="s">
        <v>3</v>
      </c>
      <c r="Y7" s="119" t="s">
        <v>2</v>
      </c>
      <c r="Z7" s="119" t="s">
        <v>3</v>
      </c>
      <c r="AA7" s="119" t="s">
        <v>4</v>
      </c>
      <c r="AB7" s="119" t="s">
        <v>4</v>
      </c>
      <c r="AC7" s="119" t="s">
        <v>4</v>
      </c>
      <c r="AD7" s="119" t="s">
        <v>4</v>
      </c>
      <c r="AE7" s="119" t="s">
        <v>4</v>
      </c>
      <c r="AF7" s="119" t="s">
        <v>4</v>
      </c>
      <c r="AG7" s="119" t="s">
        <v>3</v>
      </c>
      <c r="AH7" s="119" t="s">
        <v>4</v>
      </c>
      <c r="AI7" s="119" t="s">
        <v>3</v>
      </c>
      <c r="AJ7" s="119" t="s">
        <v>4</v>
      </c>
      <c r="AK7" s="119" t="s">
        <v>4</v>
      </c>
      <c r="AL7" s="119" t="s">
        <v>4</v>
      </c>
      <c r="AM7" s="6" t="s">
        <v>3</v>
      </c>
      <c r="AV7" s="19"/>
      <c r="AW7" s="19"/>
      <c r="AX7" s="19"/>
      <c r="AY7" s="19"/>
      <c r="BC7" s="154"/>
      <c r="BD7" s="154"/>
      <c r="BE7" s="159"/>
      <c r="BF7" s="159"/>
      <c r="BG7" s="155"/>
      <c r="BH7" s="155"/>
      <c r="BI7" s="155"/>
      <c r="BJ7" s="155"/>
      <c r="BK7" s="155"/>
      <c r="BL7" s="155"/>
      <c r="BM7" s="155"/>
      <c r="BN7" s="155"/>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55"/>
      <c r="CM7" s="155"/>
      <c r="CN7" s="155"/>
      <c r="CO7" s="155"/>
      <c r="CP7" s="155"/>
      <c r="CQ7" s="155"/>
      <c r="CR7" s="155"/>
      <c r="CS7" s="155"/>
      <c r="CT7" s="155"/>
      <c r="CU7" s="155"/>
      <c r="CV7" s="155"/>
      <c r="CW7" s="155"/>
      <c r="CX7" s="155"/>
      <c r="CY7" s="155"/>
      <c r="CZ7" s="155"/>
      <c r="DA7" s="155"/>
      <c r="DB7" s="155"/>
      <c r="DC7" s="155"/>
      <c r="DD7" s="155"/>
      <c r="DE7" s="155"/>
      <c r="DF7" s="155"/>
      <c r="DG7" s="155"/>
      <c r="DH7" s="155"/>
    </row>
    <row r="8" spans="1:112" x14ac:dyDescent="0.3">
      <c r="A8" s="119">
        <f t="shared" si="0"/>
        <v>7</v>
      </c>
      <c r="B8" s="119" t="s">
        <v>255</v>
      </c>
      <c r="C8" s="119">
        <v>1</v>
      </c>
      <c r="D8" s="119" t="s">
        <v>3</v>
      </c>
      <c r="E8" s="119" t="s">
        <v>3</v>
      </c>
      <c r="F8" s="119" t="s">
        <v>4</v>
      </c>
      <c r="G8" s="119" t="s">
        <v>3</v>
      </c>
      <c r="H8" s="119" t="s">
        <v>5</v>
      </c>
      <c r="I8" s="119" t="s">
        <v>5</v>
      </c>
      <c r="J8" s="119" t="s">
        <v>2</v>
      </c>
      <c r="K8" s="119" t="s">
        <v>2</v>
      </c>
      <c r="L8" s="119" t="s">
        <v>3</v>
      </c>
      <c r="M8" s="119" t="s">
        <v>3</v>
      </c>
      <c r="N8" s="119" t="s">
        <v>4</v>
      </c>
      <c r="O8" s="119" t="s">
        <v>5</v>
      </c>
      <c r="P8" s="119" t="s">
        <v>5</v>
      </c>
      <c r="Q8" s="119" t="s">
        <v>3</v>
      </c>
      <c r="R8" s="119" t="s">
        <v>2</v>
      </c>
      <c r="S8" s="119" t="s">
        <v>2</v>
      </c>
      <c r="T8" s="119" t="s">
        <v>2</v>
      </c>
      <c r="U8" s="119" t="s">
        <v>2</v>
      </c>
      <c r="V8" s="119" t="s">
        <v>5</v>
      </c>
      <c r="W8" s="119" t="s">
        <v>4</v>
      </c>
      <c r="X8" s="119" t="s">
        <v>4</v>
      </c>
      <c r="Y8" s="119" t="s">
        <v>4</v>
      </c>
      <c r="Z8" s="119" t="s">
        <v>3</v>
      </c>
      <c r="AA8" s="119" t="s">
        <v>4</v>
      </c>
      <c r="AB8" s="119" t="s">
        <v>4</v>
      </c>
      <c r="AC8" s="119" t="s">
        <v>4</v>
      </c>
      <c r="AD8" s="119" t="s">
        <v>4</v>
      </c>
      <c r="AE8" s="119" t="s">
        <v>4</v>
      </c>
      <c r="AF8" s="119" t="s">
        <v>4</v>
      </c>
      <c r="AG8" s="119" t="s">
        <v>3</v>
      </c>
      <c r="AH8" s="119" t="s">
        <v>4</v>
      </c>
      <c r="AI8" s="119" t="s">
        <v>3</v>
      </c>
      <c r="AJ8" s="119" t="s">
        <v>4</v>
      </c>
      <c r="AK8" s="119" t="s">
        <v>4</v>
      </c>
      <c r="AL8" s="119" t="s">
        <v>3</v>
      </c>
      <c r="AM8" s="6" t="s">
        <v>3</v>
      </c>
      <c r="AT8" s="70" t="s">
        <v>64</v>
      </c>
      <c r="AU8" s="54" t="s">
        <v>303</v>
      </c>
      <c r="AV8" s="54" t="s">
        <v>304</v>
      </c>
      <c r="AW8" s="54" t="s">
        <v>305</v>
      </c>
      <c r="AX8" s="54" t="s">
        <v>306</v>
      </c>
      <c r="AY8" s="54" t="s">
        <v>307</v>
      </c>
      <c r="AZ8" s="54" t="s">
        <v>308</v>
      </c>
      <c r="BC8" s="154"/>
      <c r="BD8" s="154"/>
      <c r="BE8" s="159"/>
      <c r="BF8" s="159"/>
      <c r="BG8" s="155"/>
      <c r="BH8" s="155"/>
      <c r="BI8" s="161"/>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row>
    <row r="9" spans="1:112" x14ac:dyDescent="0.3">
      <c r="A9" s="119">
        <f t="shared" si="0"/>
        <v>8</v>
      </c>
      <c r="B9" s="119" t="s">
        <v>317</v>
      </c>
      <c r="C9" s="119">
        <v>1</v>
      </c>
      <c r="D9" s="119" t="s">
        <v>4</v>
      </c>
      <c r="E9" s="119" t="s">
        <v>5</v>
      </c>
      <c r="F9" s="119" t="s">
        <v>3</v>
      </c>
      <c r="G9" s="119" t="s">
        <v>5</v>
      </c>
      <c r="H9" s="119" t="s">
        <v>5</v>
      </c>
      <c r="I9" s="119" t="s">
        <v>5</v>
      </c>
      <c r="J9" s="119" t="s">
        <v>2</v>
      </c>
      <c r="K9" s="119" t="s">
        <v>2</v>
      </c>
      <c r="L9" s="119" t="s">
        <v>2</v>
      </c>
      <c r="M9" s="119" t="s">
        <v>2</v>
      </c>
      <c r="N9" s="119" t="s">
        <v>3</v>
      </c>
      <c r="O9" s="119" t="s">
        <v>5</v>
      </c>
      <c r="P9" s="119" t="s">
        <v>5</v>
      </c>
      <c r="Q9" s="119" t="s">
        <v>3</v>
      </c>
      <c r="R9" s="119" t="s">
        <v>3</v>
      </c>
      <c r="S9" s="119" t="s">
        <v>5</v>
      </c>
      <c r="T9" s="119" t="s">
        <v>5</v>
      </c>
      <c r="U9" s="119" t="s">
        <v>5</v>
      </c>
      <c r="V9" s="119" t="s">
        <v>2</v>
      </c>
      <c r="W9" s="119" t="s">
        <v>4</v>
      </c>
      <c r="X9" s="119" t="s">
        <v>4</v>
      </c>
      <c r="Y9" s="119" t="s">
        <v>2</v>
      </c>
      <c r="Z9" s="119" t="s">
        <v>4</v>
      </c>
      <c r="AA9" s="119" t="s">
        <v>4</v>
      </c>
      <c r="AB9" s="119" t="s">
        <v>4</v>
      </c>
      <c r="AC9" s="119" t="s">
        <v>4</v>
      </c>
      <c r="AD9" s="119" t="s">
        <v>4</v>
      </c>
      <c r="AE9" s="119" t="s">
        <v>4</v>
      </c>
      <c r="AF9" s="119" t="s">
        <v>4</v>
      </c>
      <c r="AG9" s="119" t="s">
        <v>3</v>
      </c>
      <c r="AH9" s="119" t="s">
        <v>4</v>
      </c>
      <c r="AI9" s="119" t="s">
        <v>3</v>
      </c>
      <c r="AJ9" s="119" t="s">
        <v>4</v>
      </c>
      <c r="AK9" s="119" t="s">
        <v>4</v>
      </c>
      <c r="AL9" s="119" t="s">
        <v>4</v>
      </c>
      <c r="AM9" s="6" t="s">
        <v>3</v>
      </c>
      <c r="AR9" s="67" t="s">
        <v>40</v>
      </c>
      <c r="AS9" s="68"/>
      <c r="AT9" s="71"/>
      <c r="AU9" s="53">
        <f>COUNTIF(C:C,1)</f>
        <v>13</v>
      </c>
      <c r="AV9" s="53">
        <f>COUNTIF(C:C,2)</f>
        <v>13</v>
      </c>
      <c r="AW9" s="53">
        <f>COUNTIF(C:C,3)</f>
        <v>13</v>
      </c>
      <c r="AX9" s="53">
        <f>COUNTIF(C:C,4)</f>
        <v>13</v>
      </c>
      <c r="AY9" s="53">
        <f>COUNTIF(C:C,5)</f>
        <v>13</v>
      </c>
      <c r="AZ9" s="53">
        <f>COUNTIF(C:C,6)</f>
        <v>13</v>
      </c>
      <c r="BC9" s="154"/>
      <c r="BD9" s="154"/>
      <c r="BE9" s="159"/>
      <c r="BF9" s="159"/>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row>
    <row r="10" spans="1:112" x14ac:dyDescent="0.3">
      <c r="A10" s="119">
        <f t="shared" si="0"/>
        <v>9</v>
      </c>
      <c r="B10" s="119" t="s">
        <v>313</v>
      </c>
      <c r="C10" s="119">
        <v>1</v>
      </c>
      <c r="D10" s="119" t="s">
        <v>2</v>
      </c>
      <c r="E10" s="119" t="s">
        <v>3</v>
      </c>
      <c r="F10" s="119" t="s">
        <v>4</v>
      </c>
      <c r="G10" s="119" t="s">
        <v>5</v>
      </c>
      <c r="H10" s="119" t="s">
        <v>5</v>
      </c>
      <c r="I10" s="119" t="s">
        <v>5</v>
      </c>
      <c r="J10" s="119" t="s">
        <v>5</v>
      </c>
      <c r="K10" s="119" t="s">
        <v>2</v>
      </c>
      <c r="L10" s="119" t="s">
        <v>3</v>
      </c>
      <c r="M10" s="119" t="s">
        <v>3</v>
      </c>
      <c r="N10" s="119" t="s">
        <v>4</v>
      </c>
      <c r="O10" s="119" t="s">
        <v>3</v>
      </c>
      <c r="P10" s="119" t="s">
        <v>5</v>
      </c>
      <c r="Q10" s="119" t="s">
        <v>3</v>
      </c>
      <c r="R10" s="119" t="s">
        <v>3</v>
      </c>
      <c r="S10" s="119" t="s">
        <v>5</v>
      </c>
      <c r="T10" s="119" t="s">
        <v>5</v>
      </c>
      <c r="U10" s="119" t="s">
        <v>5</v>
      </c>
      <c r="V10" s="119" t="s">
        <v>2</v>
      </c>
      <c r="W10" s="119" t="s">
        <v>4</v>
      </c>
      <c r="X10" s="119" t="s">
        <v>3</v>
      </c>
      <c r="Y10" s="119" t="s">
        <v>2</v>
      </c>
      <c r="Z10" s="119" t="s">
        <v>3</v>
      </c>
      <c r="AA10" s="119" t="s">
        <v>4</v>
      </c>
      <c r="AB10" s="119" t="s">
        <v>4</v>
      </c>
      <c r="AC10" s="119" t="s">
        <v>4</v>
      </c>
      <c r="AD10" s="119" t="s">
        <v>4</v>
      </c>
      <c r="AE10" s="119" t="s">
        <v>4</v>
      </c>
      <c r="AF10" s="119" t="s">
        <v>4</v>
      </c>
      <c r="AG10" s="119" t="s">
        <v>4</v>
      </c>
      <c r="AH10" s="119" t="s">
        <v>4</v>
      </c>
      <c r="AI10" s="119" t="s">
        <v>4</v>
      </c>
      <c r="AJ10" s="119" t="s">
        <v>4</v>
      </c>
      <c r="AK10" s="119" t="s">
        <v>4</v>
      </c>
      <c r="AL10" s="119" t="s">
        <v>3</v>
      </c>
      <c r="AM10" s="6" t="s">
        <v>3</v>
      </c>
      <c r="AR10" s="69" t="s">
        <v>41</v>
      </c>
      <c r="AS10" s="69"/>
      <c r="AZ10"/>
      <c r="BC10" s="154"/>
      <c r="BD10" s="154"/>
      <c r="BE10" s="159"/>
      <c r="BF10" s="159"/>
      <c r="BG10" s="155"/>
      <c r="BH10" s="155"/>
      <c r="BI10" s="161"/>
      <c r="BJ10" s="155"/>
      <c r="BK10" s="155"/>
      <c r="BL10" s="155"/>
      <c r="BM10" s="155"/>
      <c r="BN10" s="155"/>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row>
    <row r="11" spans="1:112" x14ac:dyDescent="0.3">
      <c r="A11" s="119">
        <f t="shared" si="0"/>
        <v>10</v>
      </c>
      <c r="B11" s="119" t="s">
        <v>316</v>
      </c>
      <c r="C11" s="119">
        <v>1</v>
      </c>
      <c r="D11" s="119" t="s">
        <v>2</v>
      </c>
      <c r="E11" s="119" t="s">
        <v>5</v>
      </c>
      <c r="F11" s="119" t="s">
        <v>3</v>
      </c>
      <c r="G11" s="119" t="s">
        <v>5</v>
      </c>
      <c r="H11" s="119" t="s">
        <v>5</v>
      </c>
      <c r="I11" s="119" t="s">
        <v>3</v>
      </c>
      <c r="J11" s="119" t="s">
        <v>2</v>
      </c>
      <c r="K11" s="119" t="s">
        <v>2</v>
      </c>
      <c r="L11" s="119" t="s">
        <v>2</v>
      </c>
      <c r="M11" s="119" t="s">
        <v>3</v>
      </c>
      <c r="N11" s="119" t="s">
        <v>4</v>
      </c>
      <c r="O11" s="119" t="s">
        <v>5</v>
      </c>
      <c r="P11" s="119" t="s">
        <v>5</v>
      </c>
      <c r="Q11" s="119" t="s">
        <v>3</v>
      </c>
      <c r="R11" s="119" t="s">
        <v>3</v>
      </c>
      <c r="S11" s="119" t="s">
        <v>5</v>
      </c>
      <c r="T11" s="119" t="s">
        <v>5</v>
      </c>
      <c r="U11" s="119" t="s">
        <v>5</v>
      </c>
      <c r="V11" s="119" t="s">
        <v>5</v>
      </c>
      <c r="W11" s="119" t="s">
        <v>4</v>
      </c>
      <c r="X11" s="119" t="s">
        <v>3</v>
      </c>
      <c r="Y11" s="119" t="s">
        <v>2</v>
      </c>
      <c r="Z11" s="119" t="s">
        <v>3</v>
      </c>
      <c r="AA11" s="119" t="s">
        <v>4</v>
      </c>
      <c r="AB11" s="119" t="s">
        <v>4</v>
      </c>
      <c r="AC11" s="119" t="s">
        <v>4</v>
      </c>
      <c r="AD11" s="119" t="s">
        <v>4</v>
      </c>
      <c r="AE11" s="119" t="s">
        <v>4</v>
      </c>
      <c r="AF11" s="119" t="s">
        <v>3</v>
      </c>
      <c r="AG11" s="119" t="s">
        <v>3</v>
      </c>
      <c r="AH11" s="119" t="s">
        <v>4</v>
      </c>
      <c r="AI11" s="119" t="s">
        <v>4</v>
      </c>
      <c r="AJ11" s="119" t="s">
        <v>4</v>
      </c>
      <c r="AK11" s="119" t="s">
        <v>4</v>
      </c>
      <c r="AL11" s="119" t="s">
        <v>4</v>
      </c>
      <c r="AM11" s="6" t="s">
        <v>3</v>
      </c>
      <c r="AR11" s="69" t="s">
        <v>42</v>
      </c>
      <c r="AS11" s="69"/>
      <c r="AZ11"/>
      <c r="BC11" s="154"/>
      <c r="BD11" s="154"/>
      <c r="BE11" s="159"/>
      <c r="BF11" s="159"/>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row>
    <row r="12" spans="1:112" x14ac:dyDescent="0.3">
      <c r="A12" s="119">
        <f t="shared" si="0"/>
        <v>11</v>
      </c>
      <c r="B12" s="119" t="s">
        <v>484</v>
      </c>
      <c r="C12" s="119">
        <v>1</v>
      </c>
      <c r="D12" s="119" t="s">
        <v>5</v>
      </c>
      <c r="E12" s="119" t="s">
        <v>3</v>
      </c>
      <c r="F12" s="119" t="s">
        <v>2</v>
      </c>
      <c r="G12" s="119" t="s">
        <v>3</v>
      </c>
      <c r="H12" s="119" t="s">
        <v>5</v>
      </c>
      <c r="I12" s="119" t="s">
        <v>5</v>
      </c>
      <c r="J12" s="119" t="s">
        <v>5</v>
      </c>
      <c r="K12" s="119" t="s">
        <v>2</v>
      </c>
      <c r="L12" s="119" t="s">
        <v>2</v>
      </c>
      <c r="M12" s="119" t="s">
        <v>2</v>
      </c>
      <c r="N12" s="119" t="s">
        <v>2</v>
      </c>
      <c r="O12" s="119" t="s">
        <v>5</v>
      </c>
      <c r="P12" s="119" t="s">
        <v>5</v>
      </c>
      <c r="Q12" s="119" t="s">
        <v>3</v>
      </c>
      <c r="R12" s="119" t="s">
        <v>3</v>
      </c>
      <c r="S12" s="119" t="s">
        <v>5</v>
      </c>
      <c r="T12" s="119" t="s">
        <v>5</v>
      </c>
      <c r="U12" s="119" t="s">
        <v>5</v>
      </c>
      <c r="V12" s="119" t="s">
        <v>5</v>
      </c>
      <c r="W12" s="119" t="s">
        <v>4</v>
      </c>
      <c r="X12" s="119" t="s">
        <v>4</v>
      </c>
      <c r="Y12" s="119" t="s">
        <v>4</v>
      </c>
      <c r="Z12" s="119" t="s">
        <v>3</v>
      </c>
      <c r="AA12" s="119" t="s">
        <v>3</v>
      </c>
      <c r="AB12" s="119" t="s">
        <v>3</v>
      </c>
      <c r="AC12" s="119" t="s">
        <v>4</v>
      </c>
      <c r="AD12" s="119" t="s">
        <v>4</v>
      </c>
      <c r="AE12" s="119" t="s">
        <v>4</v>
      </c>
      <c r="AF12" s="119" t="s">
        <v>4</v>
      </c>
      <c r="AG12" s="119" t="s">
        <v>3</v>
      </c>
      <c r="AH12" s="119" t="s">
        <v>4</v>
      </c>
      <c r="AI12" s="119" t="s">
        <v>3</v>
      </c>
      <c r="AJ12" s="119" t="s">
        <v>3</v>
      </c>
      <c r="AK12" s="119" t="s">
        <v>4</v>
      </c>
      <c r="AL12" s="119" t="s">
        <v>4</v>
      </c>
      <c r="AM12" s="6" t="s">
        <v>3</v>
      </c>
      <c r="AR12" s="69" t="s">
        <v>453</v>
      </c>
      <c r="AS12" s="69"/>
      <c r="AZ12"/>
      <c r="BC12" s="154"/>
      <c r="BD12" s="154"/>
      <c r="BE12" s="159"/>
      <c r="BF12" s="159"/>
      <c r="BG12" s="155"/>
      <c r="BH12" s="155"/>
      <c r="BI12" s="161"/>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row>
    <row r="13" spans="1:112" x14ac:dyDescent="0.3">
      <c r="A13" s="119">
        <f t="shared" si="0"/>
        <v>12</v>
      </c>
      <c r="B13" s="119" t="s">
        <v>460</v>
      </c>
      <c r="C13" s="119">
        <v>1</v>
      </c>
      <c r="D13" s="119" t="s">
        <v>5</v>
      </c>
      <c r="E13" s="119" t="s">
        <v>3</v>
      </c>
      <c r="F13" s="119" t="s">
        <v>4</v>
      </c>
      <c r="G13" s="119" t="s">
        <v>3</v>
      </c>
      <c r="H13" s="119" t="s">
        <v>5</v>
      </c>
      <c r="I13" s="119" t="s">
        <v>5</v>
      </c>
      <c r="J13" s="119" t="s">
        <v>5</v>
      </c>
      <c r="K13" s="119" t="s">
        <v>2</v>
      </c>
      <c r="L13" s="119" t="s">
        <v>3</v>
      </c>
      <c r="M13" s="119" t="s">
        <v>3</v>
      </c>
      <c r="N13" s="119" t="s">
        <v>2</v>
      </c>
      <c r="O13" s="119" t="s">
        <v>4</v>
      </c>
      <c r="P13" s="119" t="s">
        <v>5</v>
      </c>
      <c r="Q13" s="119" t="s">
        <v>3</v>
      </c>
      <c r="R13" s="119" t="s">
        <v>2</v>
      </c>
      <c r="S13" s="119" t="s">
        <v>5</v>
      </c>
      <c r="T13" s="119" t="s">
        <v>5</v>
      </c>
      <c r="U13" s="119" t="s">
        <v>5</v>
      </c>
      <c r="V13" s="119" t="s">
        <v>5</v>
      </c>
      <c r="W13" s="119" t="s">
        <v>4</v>
      </c>
      <c r="X13" s="119" t="s">
        <v>4</v>
      </c>
      <c r="Y13" s="119" t="s">
        <v>4</v>
      </c>
      <c r="Z13" s="119" t="s">
        <v>3</v>
      </c>
      <c r="AA13" s="119" t="s">
        <v>3</v>
      </c>
      <c r="AB13" s="119" t="s">
        <v>3</v>
      </c>
      <c r="AC13" s="119" t="s">
        <v>4</v>
      </c>
      <c r="AD13" s="119" t="s">
        <v>4</v>
      </c>
      <c r="AE13" s="119" t="s">
        <v>4</v>
      </c>
      <c r="AF13" s="119" t="s">
        <v>4</v>
      </c>
      <c r="AG13" s="119" t="s">
        <v>4</v>
      </c>
      <c r="AH13" s="119" t="s">
        <v>4</v>
      </c>
      <c r="AI13" s="119" t="s">
        <v>4</v>
      </c>
      <c r="AJ13" s="119" t="s">
        <v>4</v>
      </c>
      <c r="AK13" s="119" t="s">
        <v>4</v>
      </c>
      <c r="AL13" s="119" t="s">
        <v>4</v>
      </c>
      <c r="AM13" s="6" t="s">
        <v>3</v>
      </c>
      <c r="AR13" s="69" t="s">
        <v>454</v>
      </c>
      <c r="AS13" s="69"/>
      <c r="AZ13"/>
      <c r="BC13" s="154"/>
      <c r="BD13" s="154"/>
      <c r="BE13" s="154"/>
      <c r="BF13" s="154"/>
      <c r="BG13" s="154"/>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row>
    <row r="14" spans="1:112" x14ac:dyDescent="0.3">
      <c r="A14" s="119">
        <f t="shared" si="0"/>
        <v>13</v>
      </c>
      <c r="B14" s="119" t="s">
        <v>483</v>
      </c>
      <c r="C14" s="119">
        <v>1</v>
      </c>
      <c r="D14" s="119" t="s">
        <v>5</v>
      </c>
      <c r="E14" s="119" t="s">
        <v>3</v>
      </c>
      <c r="F14" s="119" t="s">
        <v>2</v>
      </c>
      <c r="G14" s="119" t="s">
        <v>3</v>
      </c>
      <c r="H14" s="119" t="s">
        <v>5</v>
      </c>
      <c r="I14" s="119" t="s">
        <v>5</v>
      </c>
      <c r="J14" s="119" t="s">
        <v>5</v>
      </c>
      <c r="K14" s="119" t="s">
        <v>2</v>
      </c>
      <c r="L14" s="119" t="s">
        <v>3</v>
      </c>
      <c r="M14" s="119" t="s">
        <v>3</v>
      </c>
      <c r="N14" s="119" t="s">
        <v>2</v>
      </c>
      <c r="O14" s="119" t="s">
        <v>5</v>
      </c>
      <c r="P14" s="119" t="s">
        <v>5</v>
      </c>
      <c r="Q14" s="119" t="s">
        <v>3</v>
      </c>
      <c r="R14" s="119" t="s">
        <v>2</v>
      </c>
      <c r="S14" s="119" t="s">
        <v>5</v>
      </c>
      <c r="T14" s="119" t="s">
        <v>5</v>
      </c>
      <c r="U14" s="119" t="s">
        <v>5</v>
      </c>
      <c r="V14" s="119" t="s">
        <v>4</v>
      </c>
      <c r="W14" s="119" t="s">
        <v>4</v>
      </c>
      <c r="X14" s="119" t="s">
        <v>4</v>
      </c>
      <c r="Y14" s="119" t="s">
        <v>4</v>
      </c>
      <c r="Z14" s="119" t="s">
        <v>3</v>
      </c>
      <c r="AA14" s="119" t="s">
        <v>3</v>
      </c>
      <c r="AB14" s="119" t="s">
        <v>3</v>
      </c>
      <c r="AC14" s="119" t="s">
        <v>4</v>
      </c>
      <c r="AD14" s="119" t="s">
        <v>4</v>
      </c>
      <c r="AE14" s="119" t="s">
        <v>4</v>
      </c>
      <c r="AF14" s="119" t="s">
        <v>4</v>
      </c>
      <c r="AG14" s="119" t="s">
        <v>3</v>
      </c>
      <c r="AH14" s="119" t="s">
        <v>4</v>
      </c>
      <c r="AI14" s="119" t="s">
        <v>3</v>
      </c>
      <c r="AJ14" s="119" t="s">
        <v>4</v>
      </c>
      <c r="AK14" s="119" t="s">
        <v>4</v>
      </c>
      <c r="AL14" s="119" t="s">
        <v>3</v>
      </c>
      <c r="AM14" s="6" t="s">
        <v>3</v>
      </c>
      <c r="AR14" s="69" t="s">
        <v>456</v>
      </c>
      <c r="AS14" s="69"/>
      <c r="AZ14"/>
      <c r="BC14" s="154"/>
      <c r="BD14" s="154"/>
      <c r="BE14" s="157"/>
      <c r="BF14" s="157"/>
      <c r="BG14" s="155"/>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5"/>
      <c r="CS14" s="155"/>
      <c r="CT14" s="155"/>
      <c r="CU14" s="155"/>
      <c r="CV14" s="155"/>
      <c r="CW14" s="155"/>
      <c r="CX14" s="155"/>
      <c r="CY14" s="155"/>
      <c r="CZ14" s="155"/>
      <c r="DA14" s="155"/>
      <c r="DB14" s="155"/>
      <c r="DC14" s="155"/>
      <c r="DD14" s="155"/>
      <c r="DE14" s="155"/>
      <c r="DF14" s="155"/>
      <c r="DG14" s="155"/>
      <c r="DH14" s="155"/>
    </row>
    <row r="15" spans="1:112" x14ac:dyDescent="0.3">
      <c r="A15" s="119">
        <f t="shared" si="0"/>
        <v>14</v>
      </c>
      <c r="B15" s="119" t="s">
        <v>314</v>
      </c>
      <c r="C15" s="119">
        <v>2</v>
      </c>
      <c r="D15" s="119" t="s">
        <v>5</v>
      </c>
      <c r="E15" s="119" t="s">
        <v>3</v>
      </c>
      <c r="F15" s="119" t="s">
        <v>4</v>
      </c>
      <c r="G15" s="119" t="s">
        <v>3</v>
      </c>
      <c r="H15" s="119" t="s">
        <v>5</v>
      </c>
      <c r="I15" s="119" t="s">
        <v>5</v>
      </c>
      <c r="J15" s="119" t="s">
        <v>3</v>
      </c>
      <c r="K15" s="119" t="s">
        <v>4</v>
      </c>
      <c r="L15" s="119" t="s">
        <v>3</v>
      </c>
      <c r="M15" s="119" t="s">
        <v>3</v>
      </c>
      <c r="N15" s="119" t="s">
        <v>4</v>
      </c>
      <c r="O15" s="119" t="s">
        <v>4</v>
      </c>
      <c r="P15" s="119" t="s">
        <v>5</v>
      </c>
      <c r="Q15" s="119" t="s">
        <v>3</v>
      </c>
      <c r="R15" s="119" t="s">
        <v>4</v>
      </c>
      <c r="S15" s="119" t="s">
        <v>5</v>
      </c>
      <c r="T15" s="119" t="s">
        <v>5</v>
      </c>
      <c r="U15" s="119" t="s">
        <v>5</v>
      </c>
      <c r="V15" s="119" t="s">
        <v>3</v>
      </c>
      <c r="W15" s="119" t="s">
        <v>4</v>
      </c>
      <c r="X15" s="119" t="s">
        <v>4</v>
      </c>
      <c r="Y15" s="119" t="s">
        <v>4</v>
      </c>
      <c r="Z15" s="119" t="s">
        <v>3</v>
      </c>
      <c r="AA15" s="119" t="s">
        <v>4</v>
      </c>
      <c r="AB15" s="119" t="s">
        <v>4</v>
      </c>
      <c r="AC15" s="119" t="s">
        <v>4</v>
      </c>
      <c r="AD15" s="119" t="s">
        <v>4</v>
      </c>
      <c r="AE15" s="119" t="s">
        <v>4</v>
      </c>
      <c r="AF15" s="119" t="s">
        <v>4</v>
      </c>
      <c r="AG15" s="119" t="s">
        <v>3</v>
      </c>
      <c r="AH15" s="119" t="s">
        <v>4</v>
      </c>
      <c r="AI15" s="119" t="s">
        <v>3</v>
      </c>
      <c r="AJ15" s="119" t="s">
        <v>4</v>
      </c>
      <c r="AK15" s="119" t="s">
        <v>4</v>
      </c>
      <c r="AL15" s="119" t="s">
        <v>4</v>
      </c>
      <c r="AM15" s="6" t="s">
        <v>3</v>
      </c>
      <c r="AR15" s="69" t="s">
        <v>455</v>
      </c>
      <c r="AS15" s="69"/>
      <c r="AZ15"/>
      <c r="BC15" s="154"/>
      <c r="BD15" s="154"/>
      <c r="BE15" s="157"/>
      <c r="BF15" s="157"/>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row>
    <row r="16" spans="1:112" x14ac:dyDescent="0.3">
      <c r="A16" s="119">
        <f t="shared" si="0"/>
        <v>15</v>
      </c>
      <c r="B16" s="119" t="s">
        <v>315</v>
      </c>
      <c r="C16" s="119">
        <v>2</v>
      </c>
      <c r="D16" s="119" t="s">
        <v>5</v>
      </c>
      <c r="E16" s="119" t="s">
        <v>5</v>
      </c>
      <c r="F16" s="119" t="s">
        <v>3</v>
      </c>
      <c r="G16" s="119" t="s">
        <v>5</v>
      </c>
      <c r="H16" s="119" t="s">
        <v>5</v>
      </c>
      <c r="I16" s="119" t="s">
        <v>5</v>
      </c>
      <c r="J16" s="119" t="s">
        <v>2</v>
      </c>
      <c r="K16" s="119" t="s">
        <v>2</v>
      </c>
      <c r="L16" s="119" t="s">
        <v>3</v>
      </c>
      <c r="M16" s="119" t="s">
        <v>2</v>
      </c>
      <c r="N16" s="119" t="s">
        <v>2</v>
      </c>
      <c r="O16" s="119" t="s">
        <v>3</v>
      </c>
      <c r="P16" s="119" t="s">
        <v>5</v>
      </c>
      <c r="Q16" s="119" t="s">
        <v>3</v>
      </c>
      <c r="R16" s="119" t="s">
        <v>4</v>
      </c>
      <c r="S16" s="119" t="s">
        <v>5</v>
      </c>
      <c r="T16" s="119" t="s">
        <v>5</v>
      </c>
      <c r="U16" s="119" t="s">
        <v>5</v>
      </c>
      <c r="V16" s="119" t="s">
        <v>5</v>
      </c>
      <c r="W16" s="119" t="s">
        <v>4</v>
      </c>
      <c r="X16" s="119" t="s">
        <v>3</v>
      </c>
      <c r="Y16" s="119" t="s">
        <v>2</v>
      </c>
      <c r="Z16" s="119" t="s">
        <v>3</v>
      </c>
      <c r="AA16" s="119" t="s">
        <v>4</v>
      </c>
      <c r="AB16" s="119" t="s">
        <v>4</v>
      </c>
      <c r="AC16" s="119" t="s">
        <v>4</v>
      </c>
      <c r="AD16" s="119" t="s">
        <v>4</v>
      </c>
      <c r="AE16" s="119" t="s">
        <v>4</v>
      </c>
      <c r="AF16" s="119" t="s">
        <v>4</v>
      </c>
      <c r="AG16" s="119" t="s">
        <v>3</v>
      </c>
      <c r="AH16" s="119" t="s">
        <v>4</v>
      </c>
      <c r="AI16" s="119" t="s">
        <v>4</v>
      </c>
      <c r="AJ16" s="119" t="s">
        <v>4</v>
      </c>
      <c r="AK16" s="119" t="s">
        <v>4</v>
      </c>
      <c r="AL16" s="119" t="s">
        <v>3</v>
      </c>
      <c r="AM16" s="6" t="s">
        <v>4</v>
      </c>
      <c r="AZ16"/>
      <c r="BC16" s="154"/>
      <c r="BD16" s="154"/>
      <c r="BE16" s="154"/>
      <c r="BF16" s="154"/>
      <c r="BG16" s="154"/>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row>
    <row r="17" spans="1:112" x14ac:dyDescent="0.3">
      <c r="A17" s="119">
        <f t="shared" si="0"/>
        <v>16</v>
      </c>
      <c r="B17" s="119" t="s">
        <v>13</v>
      </c>
      <c r="C17" s="119">
        <v>2</v>
      </c>
      <c r="D17" s="119" t="s">
        <v>5</v>
      </c>
      <c r="E17" s="119" t="s">
        <v>5</v>
      </c>
      <c r="F17" s="119" t="s">
        <v>2</v>
      </c>
      <c r="G17" s="119" t="s">
        <v>2</v>
      </c>
      <c r="H17" s="119" t="s">
        <v>5</v>
      </c>
      <c r="I17" s="119" t="s">
        <v>5</v>
      </c>
      <c r="J17" s="119" t="s">
        <v>2</v>
      </c>
      <c r="K17" s="119" t="s">
        <v>2</v>
      </c>
      <c r="L17" s="119" t="s">
        <v>2</v>
      </c>
      <c r="M17" s="119" t="s">
        <v>4</v>
      </c>
      <c r="N17" s="119" t="s">
        <v>4</v>
      </c>
      <c r="O17" s="119" t="s">
        <v>4</v>
      </c>
      <c r="P17" s="119" t="s">
        <v>5</v>
      </c>
      <c r="Q17" s="119" t="s">
        <v>4</v>
      </c>
      <c r="R17" s="119" t="s">
        <v>5</v>
      </c>
      <c r="S17" s="119" t="s">
        <v>5</v>
      </c>
      <c r="T17" s="119" t="s">
        <v>5</v>
      </c>
      <c r="U17" s="119" t="s">
        <v>5</v>
      </c>
      <c r="V17" s="119" t="s">
        <v>5</v>
      </c>
      <c r="W17" s="119" t="s">
        <v>4</v>
      </c>
      <c r="X17" s="119" t="s">
        <v>3</v>
      </c>
      <c r="Y17" s="119" t="s">
        <v>2</v>
      </c>
      <c r="Z17" s="119" t="s">
        <v>3</v>
      </c>
      <c r="AA17" s="119" t="s">
        <v>4</v>
      </c>
      <c r="AB17" s="119" t="s">
        <v>4</v>
      </c>
      <c r="AC17" s="119" t="s">
        <v>4</v>
      </c>
      <c r="AD17" s="119" t="s">
        <v>4</v>
      </c>
      <c r="AE17" s="119" t="s">
        <v>4</v>
      </c>
      <c r="AF17" s="119" t="s">
        <v>4</v>
      </c>
      <c r="AG17" s="119" t="s">
        <v>4</v>
      </c>
      <c r="AH17" s="119" t="s">
        <v>4</v>
      </c>
      <c r="AI17" s="119" t="s">
        <v>3</v>
      </c>
      <c r="AJ17" s="119" t="s">
        <v>4</v>
      </c>
      <c r="AK17" s="119" t="s">
        <v>4</v>
      </c>
      <c r="AL17" s="119" t="s">
        <v>4</v>
      </c>
      <c r="AM17" s="6" t="s">
        <v>4</v>
      </c>
      <c r="BC17" s="154"/>
      <c r="BD17" s="154"/>
      <c r="BE17" s="159"/>
      <c r="BF17" s="159"/>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row>
    <row r="18" spans="1:112" x14ac:dyDescent="0.3">
      <c r="A18" s="119">
        <f t="shared" si="0"/>
        <v>17</v>
      </c>
      <c r="B18" s="119" t="s">
        <v>14</v>
      </c>
      <c r="C18" s="119">
        <v>2</v>
      </c>
      <c r="D18" s="119" t="s">
        <v>5</v>
      </c>
      <c r="E18" s="119" t="s">
        <v>5</v>
      </c>
      <c r="F18" s="119" t="s">
        <v>3</v>
      </c>
      <c r="G18" s="119" t="s">
        <v>5</v>
      </c>
      <c r="H18" s="119" t="s">
        <v>5</v>
      </c>
      <c r="I18" s="119" t="s">
        <v>5</v>
      </c>
      <c r="J18" s="119" t="s">
        <v>5</v>
      </c>
      <c r="K18" s="119" t="s">
        <v>2</v>
      </c>
      <c r="L18" s="119" t="s">
        <v>2</v>
      </c>
      <c r="M18" s="119" t="s">
        <v>4</v>
      </c>
      <c r="N18" s="119" t="s">
        <v>4</v>
      </c>
      <c r="O18" s="119" t="s">
        <v>2</v>
      </c>
      <c r="P18" s="119" t="s">
        <v>5</v>
      </c>
      <c r="Q18" s="119" t="s">
        <v>4</v>
      </c>
      <c r="R18" s="119" t="s">
        <v>2</v>
      </c>
      <c r="S18" s="119" t="s">
        <v>5</v>
      </c>
      <c r="T18" s="119" t="s">
        <v>3</v>
      </c>
      <c r="U18" s="119" t="s">
        <v>4</v>
      </c>
      <c r="V18" s="119" t="s">
        <v>5</v>
      </c>
      <c r="W18" s="119" t="s">
        <v>2</v>
      </c>
      <c r="X18" s="119" t="s">
        <v>4</v>
      </c>
      <c r="Y18" s="119" t="s">
        <v>4</v>
      </c>
      <c r="Z18" s="119" t="s">
        <v>3</v>
      </c>
      <c r="AA18" s="119" t="s">
        <v>4</v>
      </c>
      <c r="AB18" s="119" t="s">
        <v>4</v>
      </c>
      <c r="AC18" s="119" t="s">
        <v>4</v>
      </c>
      <c r="AD18" s="119" t="s">
        <v>4</v>
      </c>
      <c r="AE18" s="119" t="s">
        <v>4</v>
      </c>
      <c r="AF18" s="119" t="s">
        <v>4</v>
      </c>
      <c r="AG18" s="119" t="s">
        <v>3</v>
      </c>
      <c r="AH18" s="119" t="s">
        <v>4</v>
      </c>
      <c r="AI18" s="119" t="s">
        <v>3</v>
      </c>
      <c r="AJ18" s="119" t="s">
        <v>4</v>
      </c>
      <c r="AK18" s="119" t="s">
        <v>4</v>
      </c>
      <c r="AL18" s="119" t="s">
        <v>4</v>
      </c>
      <c r="AM18" s="6" t="s">
        <v>3</v>
      </c>
      <c r="AZ18"/>
      <c r="BC18" s="154"/>
      <c r="BD18" s="154"/>
      <c r="BE18" s="159"/>
      <c r="BF18" s="159"/>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row>
    <row r="19" spans="1:112" x14ac:dyDescent="0.3">
      <c r="A19" s="119">
        <f t="shared" si="0"/>
        <v>18</v>
      </c>
      <c r="B19" s="119" t="s">
        <v>15</v>
      </c>
      <c r="C19" s="119">
        <v>2</v>
      </c>
      <c r="D19" s="119" t="s">
        <v>2</v>
      </c>
      <c r="E19" s="119" t="s">
        <v>5</v>
      </c>
      <c r="F19" s="119" t="s">
        <v>4</v>
      </c>
      <c r="G19" s="119" t="s">
        <v>5</v>
      </c>
      <c r="H19" s="119" t="s">
        <v>5</v>
      </c>
      <c r="I19" s="119" t="s">
        <v>5</v>
      </c>
      <c r="J19" s="119" t="s">
        <v>2</v>
      </c>
      <c r="K19" s="119" t="s">
        <v>2</v>
      </c>
      <c r="L19" s="119" t="s">
        <v>3</v>
      </c>
      <c r="M19" s="119" t="s">
        <v>4</v>
      </c>
      <c r="N19" s="119" t="s">
        <v>4</v>
      </c>
      <c r="O19" s="119" t="s">
        <v>5</v>
      </c>
      <c r="P19" s="119" t="s">
        <v>5</v>
      </c>
      <c r="Q19" s="119" t="s">
        <v>4</v>
      </c>
      <c r="R19" s="119" t="s">
        <v>5</v>
      </c>
      <c r="S19" s="119" t="s">
        <v>5</v>
      </c>
      <c r="T19" s="119" t="s">
        <v>2</v>
      </c>
      <c r="U19" s="119" t="s">
        <v>5</v>
      </c>
      <c r="V19" s="119" t="s">
        <v>5</v>
      </c>
      <c r="W19" s="119" t="s">
        <v>4</v>
      </c>
      <c r="X19" s="119" t="s">
        <v>4</v>
      </c>
      <c r="Y19" s="119" t="s">
        <v>4</v>
      </c>
      <c r="Z19" s="119" t="s">
        <v>3</v>
      </c>
      <c r="AA19" s="119" t="s">
        <v>4</v>
      </c>
      <c r="AB19" s="119" t="s">
        <v>4</v>
      </c>
      <c r="AC19" s="119" t="s">
        <v>4</v>
      </c>
      <c r="AD19" s="119" t="s">
        <v>4</v>
      </c>
      <c r="AE19" s="119" t="s">
        <v>4</v>
      </c>
      <c r="AF19" s="119" t="s">
        <v>4</v>
      </c>
      <c r="AG19" s="119" t="s">
        <v>3</v>
      </c>
      <c r="AH19" s="119" t="s">
        <v>4</v>
      </c>
      <c r="AI19" s="119" t="s">
        <v>3</v>
      </c>
      <c r="AJ19" s="119" t="s">
        <v>4</v>
      </c>
      <c r="AK19" s="119" t="s">
        <v>4</v>
      </c>
      <c r="AL19" s="119" t="s">
        <v>4</v>
      </c>
      <c r="AM19" s="6" t="s">
        <v>3</v>
      </c>
      <c r="AZ19"/>
      <c r="BC19" s="154"/>
      <c r="BD19" s="154"/>
      <c r="BE19" s="159"/>
      <c r="BF19" s="159"/>
      <c r="BG19" s="155"/>
      <c r="BH19" s="155"/>
      <c r="BI19" s="162"/>
      <c r="BJ19" s="155"/>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5"/>
      <c r="CV19" s="155"/>
      <c r="CW19" s="155"/>
      <c r="CX19" s="155"/>
      <c r="CY19" s="155"/>
      <c r="CZ19" s="155"/>
      <c r="DA19" s="155"/>
      <c r="DB19" s="155"/>
      <c r="DC19" s="155"/>
      <c r="DD19" s="155"/>
      <c r="DE19" s="155"/>
      <c r="DF19" s="155"/>
      <c r="DG19" s="155"/>
      <c r="DH19" s="155"/>
    </row>
    <row r="20" spans="1:112" x14ac:dyDescent="0.3">
      <c r="A20" s="119">
        <f t="shared" si="0"/>
        <v>19</v>
      </c>
      <c r="B20" s="119" t="s">
        <v>16</v>
      </c>
      <c r="C20" s="119">
        <v>2</v>
      </c>
      <c r="D20" s="119" t="s">
        <v>5</v>
      </c>
      <c r="E20" s="119" t="s">
        <v>5</v>
      </c>
      <c r="F20" s="119" t="s">
        <v>3</v>
      </c>
      <c r="G20" s="119" t="s">
        <v>5</v>
      </c>
      <c r="H20" s="119" t="s">
        <v>5</v>
      </c>
      <c r="I20" s="119" t="s">
        <v>5</v>
      </c>
      <c r="J20" s="119" t="s">
        <v>2</v>
      </c>
      <c r="K20" s="119" t="s">
        <v>2</v>
      </c>
      <c r="L20" s="119" t="s">
        <v>3</v>
      </c>
      <c r="M20" s="119" t="s">
        <v>2</v>
      </c>
      <c r="N20" s="119" t="s">
        <v>2</v>
      </c>
      <c r="O20" s="119" t="s">
        <v>3</v>
      </c>
      <c r="P20" s="119" t="s">
        <v>5</v>
      </c>
      <c r="Q20" s="119" t="s">
        <v>3</v>
      </c>
      <c r="R20" s="119" t="s">
        <v>4</v>
      </c>
      <c r="S20" s="119" t="s">
        <v>5</v>
      </c>
      <c r="T20" s="119" t="s">
        <v>5</v>
      </c>
      <c r="U20" s="119" t="s">
        <v>5</v>
      </c>
      <c r="V20" s="119" t="s">
        <v>5</v>
      </c>
      <c r="W20" s="119" t="s">
        <v>4</v>
      </c>
      <c r="X20" s="119" t="s">
        <v>4</v>
      </c>
      <c r="Y20" s="119" t="s">
        <v>2</v>
      </c>
      <c r="Z20" s="119" t="s">
        <v>3</v>
      </c>
      <c r="AA20" s="119" t="s">
        <v>4</v>
      </c>
      <c r="AB20" s="119" t="s">
        <v>4</v>
      </c>
      <c r="AC20" s="119" t="s">
        <v>4</v>
      </c>
      <c r="AD20" s="119" t="s">
        <v>4</v>
      </c>
      <c r="AE20" s="119" t="s">
        <v>4</v>
      </c>
      <c r="AF20" s="119" t="s">
        <v>4</v>
      </c>
      <c r="AG20" s="119" t="s">
        <v>3</v>
      </c>
      <c r="AH20" s="119" t="s">
        <v>4</v>
      </c>
      <c r="AI20" s="119" t="s">
        <v>4</v>
      </c>
      <c r="AJ20" s="119" t="s">
        <v>4</v>
      </c>
      <c r="AK20" s="119" t="s">
        <v>4</v>
      </c>
      <c r="AL20" s="119" t="s">
        <v>3</v>
      </c>
      <c r="AM20" s="6" t="s">
        <v>4</v>
      </c>
      <c r="AZ20"/>
      <c r="BC20" s="154"/>
      <c r="BD20" s="154"/>
      <c r="BE20" s="159"/>
      <c r="BF20" s="159"/>
      <c r="BG20" s="155"/>
      <c r="BH20" s="155"/>
      <c r="BI20" s="162"/>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row>
    <row r="21" spans="1:112" x14ac:dyDescent="0.3">
      <c r="A21" s="119">
        <f t="shared" si="0"/>
        <v>20</v>
      </c>
      <c r="B21" s="119" t="s">
        <v>259</v>
      </c>
      <c r="C21" s="119">
        <v>2</v>
      </c>
      <c r="D21" s="119" t="s">
        <v>4</v>
      </c>
      <c r="E21" s="119" t="s">
        <v>5</v>
      </c>
      <c r="F21" s="119" t="s">
        <v>2</v>
      </c>
      <c r="G21" s="119" t="s">
        <v>5</v>
      </c>
      <c r="H21" s="119" t="s">
        <v>5</v>
      </c>
      <c r="I21" s="119" t="s">
        <v>5</v>
      </c>
      <c r="J21" s="119" t="s">
        <v>5</v>
      </c>
      <c r="K21" s="119" t="s">
        <v>2</v>
      </c>
      <c r="L21" s="119" t="s">
        <v>3</v>
      </c>
      <c r="M21" s="119" t="s">
        <v>2</v>
      </c>
      <c r="N21" s="119" t="s">
        <v>3</v>
      </c>
      <c r="O21" s="119" t="s">
        <v>5</v>
      </c>
      <c r="P21" s="119" t="s">
        <v>5</v>
      </c>
      <c r="Q21" s="119" t="s">
        <v>3</v>
      </c>
      <c r="R21" s="119" t="s">
        <v>3</v>
      </c>
      <c r="S21" s="119" t="s">
        <v>5</v>
      </c>
      <c r="T21" s="119" t="s">
        <v>5</v>
      </c>
      <c r="U21" s="119" t="s">
        <v>5</v>
      </c>
      <c r="V21" s="119" t="s">
        <v>5</v>
      </c>
      <c r="W21" s="119" t="s">
        <v>4</v>
      </c>
      <c r="X21" s="119" t="s">
        <v>3</v>
      </c>
      <c r="Y21" s="119" t="s">
        <v>2</v>
      </c>
      <c r="Z21" s="119" t="s">
        <v>3</v>
      </c>
      <c r="AA21" s="119" t="s">
        <v>4</v>
      </c>
      <c r="AB21" s="119" t="s">
        <v>4</v>
      </c>
      <c r="AC21" s="119" t="s">
        <v>4</v>
      </c>
      <c r="AD21" s="119" t="s">
        <v>4</v>
      </c>
      <c r="AE21" s="119" t="s">
        <v>4</v>
      </c>
      <c r="AF21" s="119" t="s">
        <v>4</v>
      </c>
      <c r="AG21" s="119" t="s">
        <v>3</v>
      </c>
      <c r="AH21" s="119" t="s">
        <v>4</v>
      </c>
      <c r="AI21" s="119" t="s">
        <v>3</v>
      </c>
      <c r="AJ21" s="119" t="s">
        <v>4</v>
      </c>
      <c r="AK21" s="119" t="s">
        <v>4</v>
      </c>
      <c r="AL21" s="119" t="s">
        <v>3</v>
      </c>
      <c r="AM21" s="6" t="s">
        <v>3</v>
      </c>
      <c r="AR21" s="5" t="s">
        <v>450</v>
      </c>
      <c r="AS21" s="5"/>
      <c r="AZ21"/>
      <c r="BC21" s="154"/>
      <c r="BD21" s="154"/>
      <c r="BE21" s="159"/>
      <c r="BF21" s="159"/>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row>
    <row r="22" spans="1:112" x14ac:dyDescent="0.3">
      <c r="A22" s="119">
        <f t="shared" si="0"/>
        <v>21</v>
      </c>
      <c r="B22" s="119" t="s">
        <v>260</v>
      </c>
      <c r="C22" s="119">
        <v>2</v>
      </c>
      <c r="D22" s="119" t="s">
        <v>3</v>
      </c>
      <c r="E22" s="119" t="s">
        <v>5</v>
      </c>
      <c r="F22" s="119" t="s">
        <v>3</v>
      </c>
      <c r="G22" s="119" t="s">
        <v>5</v>
      </c>
      <c r="H22" s="119" t="s">
        <v>5</v>
      </c>
      <c r="I22" s="119" t="s">
        <v>5</v>
      </c>
      <c r="J22" s="119" t="s">
        <v>2</v>
      </c>
      <c r="K22" s="119" t="s">
        <v>2</v>
      </c>
      <c r="L22" s="119" t="s">
        <v>2</v>
      </c>
      <c r="M22" s="119" t="s">
        <v>2</v>
      </c>
      <c r="N22" s="119" t="s">
        <v>2</v>
      </c>
      <c r="O22" s="119" t="s">
        <v>2</v>
      </c>
      <c r="P22" s="119" t="s">
        <v>5</v>
      </c>
      <c r="Q22" s="119" t="s">
        <v>3</v>
      </c>
      <c r="R22" s="119" t="s">
        <v>3</v>
      </c>
      <c r="S22" s="119" t="s">
        <v>5</v>
      </c>
      <c r="T22" s="119" t="s">
        <v>5</v>
      </c>
      <c r="U22" s="119" t="s">
        <v>5</v>
      </c>
      <c r="V22" s="119" t="s">
        <v>5</v>
      </c>
      <c r="W22" s="119" t="s">
        <v>4</v>
      </c>
      <c r="X22" s="119" t="s">
        <v>4</v>
      </c>
      <c r="Y22" s="119" t="s">
        <v>4</v>
      </c>
      <c r="Z22" s="119" t="s">
        <v>3</v>
      </c>
      <c r="AA22" s="119" t="s">
        <v>4</v>
      </c>
      <c r="AB22" s="119" t="s">
        <v>4</v>
      </c>
      <c r="AC22" s="119" t="s">
        <v>4</v>
      </c>
      <c r="AD22" s="119" t="s">
        <v>4</v>
      </c>
      <c r="AE22" s="119" t="s">
        <v>4</v>
      </c>
      <c r="AF22" s="119" t="s">
        <v>4</v>
      </c>
      <c r="AG22" s="119" t="s">
        <v>3</v>
      </c>
      <c r="AH22" s="119" t="s">
        <v>4</v>
      </c>
      <c r="AI22" s="119" t="s">
        <v>3</v>
      </c>
      <c r="AJ22" s="119" t="s">
        <v>4</v>
      </c>
      <c r="AK22" s="119" t="s">
        <v>4</v>
      </c>
      <c r="AL22" s="119" t="s">
        <v>4</v>
      </c>
      <c r="AM22" s="6" t="s">
        <v>3</v>
      </c>
      <c r="AS22" s="32" t="s">
        <v>279</v>
      </c>
      <c r="AT22" s="6" t="s">
        <v>289</v>
      </c>
      <c r="AU22" s="8">
        <v>13</v>
      </c>
      <c r="AV22" s="30" t="s">
        <v>502</v>
      </c>
      <c r="AW22" s="30">
        <f>AU9/AT6</f>
        <v>0.16666666666666666</v>
      </c>
      <c r="BC22" s="154"/>
      <c r="BD22" s="154"/>
      <c r="BE22" s="159"/>
      <c r="BF22" s="159"/>
      <c r="BG22" s="155"/>
      <c r="BH22" s="155"/>
      <c r="BI22" s="161"/>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row>
    <row r="23" spans="1:112" x14ac:dyDescent="0.3">
      <c r="A23" s="119">
        <f t="shared" si="0"/>
        <v>22</v>
      </c>
      <c r="B23" s="119" t="s">
        <v>261</v>
      </c>
      <c r="C23" s="119">
        <v>2</v>
      </c>
      <c r="D23" s="119" t="s">
        <v>5</v>
      </c>
      <c r="E23" s="119" t="s">
        <v>3</v>
      </c>
      <c r="F23" s="119" t="s">
        <v>2</v>
      </c>
      <c r="G23" s="119" t="s">
        <v>2</v>
      </c>
      <c r="H23" s="119" t="s">
        <v>5</v>
      </c>
      <c r="I23" s="119" t="s">
        <v>5</v>
      </c>
      <c r="J23" s="119" t="s">
        <v>5</v>
      </c>
      <c r="K23" s="119" t="s">
        <v>2</v>
      </c>
      <c r="L23" s="119" t="s">
        <v>2</v>
      </c>
      <c r="M23" s="119" t="s">
        <v>2</v>
      </c>
      <c r="N23" s="119" t="s">
        <v>3</v>
      </c>
      <c r="O23" s="119" t="s">
        <v>2</v>
      </c>
      <c r="P23" s="119" t="s">
        <v>5</v>
      </c>
      <c r="Q23" s="119" t="s">
        <v>3</v>
      </c>
      <c r="R23" s="119" t="s">
        <v>2</v>
      </c>
      <c r="S23" s="119" t="s">
        <v>5</v>
      </c>
      <c r="T23" s="119" t="s">
        <v>2</v>
      </c>
      <c r="U23" s="119" t="s">
        <v>2</v>
      </c>
      <c r="V23" s="119" t="s">
        <v>2</v>
      </c>
      <c r="W23" s="119" t="s">
        <v>4</v>
      </c>
      <c r="X23" s="119" t="s">
        <v>4</v>
      </c>
      <c r="Y23" s="119" t="s">
        <v>4</v>
      </c>
      <c r="Z23" s="119" t="s">
        <v>3</v>
      </c>
      <c r="AA23" s="119" t="s">
        <v>4</v>
      </c>
      <c r="AB23" s="119" t="s">
        <v>4</v>
      </c>
      <c r="AC23" s="119" t="s">
        <v>4</v>
      </c>
      <c r="AD23" s="119" t="s">
        <v>4</v>
      </c>
      <c r="AE23" s="119" t="s">
        <v>4</v>
      </c>
      <c r="AF23" s="119" t="s">
        <v>4</v>
      </c>
      <c r="AG23" s="119" t="s">
        <v>3</v>
      </c>
      <c r="AH23" s="119" t="s">
        <v>4</v>
      </c>
      <c r="AI23" s="119" t="s">
        <v>3</v>
      </c>
      <c r="AJ23" s="119" t="s">
        <v>4</v>
      </c>
      <c r="AK23" s="119" t="s">
        <v>4</v>
      </c>
      <c r="AL23" s="119" t="s">
        <v>3</v>
      </c>
      <c r="AM23" s="6" t="s">
        <v>3</v>
      </c>
      <c r="AS23" s="32" t="s">
        <v>280</v>
      </c>
      <c r="AT23" s="6" t="s">
        <v>481</v>
      </c>
      <c r="AU23" s="8">
        <v>13</v>
      </c>
      <c r="AV23" s="14" t="s">
        <v>502</v>
      </c>
      <c r="AW23" s="30">
        <f>AV9/AT6</f>
        <v>0.16666666666666666</v>
      </c>
      <c r="BC23" s="154"/>
      <c r="BD23" s="154"/>
      <c r="BE23" s="159"/>
      <c r="BF23" s="159"/>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row>
    <row r="24" spans="1:112" x14ac:dyDescent="0.3">
      <c r="A24" s="119">
        <f t="shared" si="0"/>
        <v>23</v>
      </c>
      <c r="B24" s="119" t="s">
        <v>262</v>
      </c>
      <c r="C24" s="119">
        <v>2</v>
      </c>
      <c r="D24" s="119" t="s">
        <v>4</v>
      </c>
      <c r="E24" s="119" t="s">
        <v>5</v>
      </c>
      <c r="F24" s="119" t="s">
        <v>3</v>
      </c>
      <c r="G24" s="119" t="s">
        <v>5</v>
      </c>
      <c r="H24" s="119" t="s">
        <v>5</v>
      </c>
      <c r="I24" s="119" t="s">
        <v>5</v>
      </c>
      <c r="J24" s="119" t="s">
        <v>5</v>
      </c>
      <c r="K24" s="119" t="s">
        <v>2</v>
      </c>
      <c r="L24" s="119" t="s">
        <v>3</v>
      </c>
      <c r="M24" s="119" t="s">
        <v>2</v>
      </c>
      <c r="N24" s="119" t="s">
        <v>3</v>
      </c>
      <c r="O24" s="119" t="s">
        <v>2</v>
      </c>
      <c r="P24" s="119" t="s">
        <v>5</v>
      </c>
      <c r="Q24" s="119" t="s">
        <v>3</v>
      </c>
      <c r="R24" s="119" t="s">
        <v>3</v>
      </c>
      <c r="S24" s="119" t="s">
        <v>5</v>
      </c>
      <c r="T24" s="119" t="s">
        <v>5</v>
      </c>
      <c r="U24" s="119" t="s">
        <v>5</v>
      </c>
      <c r="V24" s="119" t="s">
        <v>3</v>
      </c>
      <c r="W24" s="119" t="s">
        <v>4</v>
      </c>
      <c r="X24" s="119" t="s">
        <v>4</v>
      </c>
      <c r="Y24" s="119" t="s">
        <v>2</v>
      </c>
      <c r="Z24" s="119" t="s">
        <v>3</v>
      </c>
      <c r="AA24" s="119" t="s">
        <v>4</v>
      </c>
      <c r="AB24" s="119" t="s">
        <v>4</v>
      </c>
      <c r="AC24" s="119" t="s">
        <v>4</v>
      </c>
      <c r="AD24" s="119" t="s">
        <v>4</v>
      </c>
      <c r="AE24" s="119" t="s">
        <v>4</v>
      </c>
      <c r="AF24" s="119" t="s">
        <v>4</v>
      </c>
      <c r="AG24" s="119" t="s">
        <v>3</v>
      </c>
      <c r="AH24" s="119" t="s">
        <v>4</v>
      </c>
      <c r="AI24" s="119" t="s">
        <v>4</v>
      </c>
      <c r="AJ24" s="119" t="s">
        <v>4</v>
      </c>
      <c r="AK24" s="119" t="s">
        <v>4</v>
      </c>
      <c r="AL24" s="119" t="s">
        <v>4</v>
      </c>
      <c r="AM24" s="6" t="s">
        <v>3</v>
      </c>
      <c r="AS24" s="32" t="s">
        <v>281</v>
      </c>
      <c r="AT24" s="6" t="s">
        <v>290</v>
      </c>
      <c r="AU24" s="8">
        <v>13</v>
      </c>
      <c r="AV24" s="14" t="s">
        <v>502</v>
      </c>
      <c r="AW24" s="30">
        <f>AW9/AT6</f>
        <v>0.16666666666666666</v>
      </c>
      <c r="BC24" s="154"/>
      <c r="BD24" s="154"/>
      <c r="BE24" s="154"/>
      <c r="BF24" s="154"/>
      <c r="BG24" s="154"/>
      <c r="BH24" s="155"/>
      <c r="BI24" s="161"/>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row>
    <row r="25" spans="1:112" x14ac:dyDescent="0.3">
      <c r="A25" s="119">
        <f t="shared" si="0"/>
        <v>24</v>
      </c>
      <c r="B25" s="119" t="s">
        <v>461</v>
      </c>
      <c r="C25" s="119">
        <v>2</v>
      </c>
      <c r="D25" s="119" t="s">
        <v>5</v>
      </c>
      <c r="E25" s="119" t="s">
        <v>5</v>
      </c>
      <c r="F25" s="119" t="s">
        <v>2</v>
      </c>
      <c r="G25" s="119" t="s">
        <v>2</v>
      </c>
      <c r="H25" s="119" t="s">
        <v>5</v>
      </c>
      <c r="I25" s="119" t="s">
        <v>3</v>
      </c>
      <c r="J25" s="119" t="s">
        <v>2</v>
      </c>
      <c r="K25" s="119" t="s">
        <v>2</v>
      </c>
      <c r="L25" s="119" t="s">
        <v>3</v>
      </c>
      <c r="M25" s="119" t="s">
        <v>3</v>
      </c>
      <c r="N25" s="119" t="s">
        <v>4</v>
      </c>
      <c r="O25" s="119" t="s">
        <v>5</v>
      </c>
      <c r="P25" s="119" t="s">
        <v>5</v>
      </c>
      <c r="Q25" s="119" t="s">
        <v>4</v>
      </c>
      <c r="R25" s="119" t="s">
        <v>5</v>
      </c>
      <c r="S25" s="119" t="s">
        <v>5</v>
      </c>
      <c r="T25" s="119" t="s">
        <v>2</v>
      </c>
      <c r="U25" s="119" t="s">
        <v>5</v>
      </c>
      <c r="V25" s="119" t="s">
        <v>5</v>
      </c>
      <c r="W25" s="119" t="s">
        <v>3</v>
      </c>
      <c r="X25" s="119" t="s">
        <v>4</v>
      </c>
      <c r="Y25" s="119" t="s">
        <v>2</v>
      </c>
      <c r="Z25" s="119" t="s">
        <v>3</v>
      </c>
      <c r="AA25" s="119" t="s">
        <v>3</v>
      </c>
      <c r="AB25" s="119" t="s">
        <v>4</v>
      </c>
      <c r="AC25" s="119" t="s">
        <v>4</v>
      </c>
      <c r="AD25" s="119" t="s">
        <v>4</v>
      </c>
      <c r="AE25" s="119" t="s">
        <v>4</v>
      </c>
      <c r="AF25" s="119" t="s">
        <v>4</v>
      </c>
      <c r="AG25" s="119" t="s">
        <v>3</v>
      </c>
      <c r="AH25" s="119" t="s">
        <v>4</v>
      </c>
      <c r="AI25" s="119" t="s">
        <v>3</v>
      </c>
      <c r="AJ25" s="119" t="s">
        <v>4</v>
      </c>
      <c r="AK25" s="119" t="s">
        <v>4</v>
      </c>
      <c r="AL25" s="119" t="s">
        <v>3</v>
      </c>
      <c r="AM25" s="6" t="s">
        <v>3</v>
      </c>
      <c r="AS25" s="32" t="s">
        <v>282</v>
      </c>
      <c r="AT25" s="6" t="s">
        <v>291</v>
      </c>
      <c r="AU25" s="8">
        <v>13</v>
      </c>
      <c r="AV25" s="14" t="s">
        <v>502</v>
      </c>
      <c r="AW25" s="30">
        <f>AX9/AT6</f>
        <v>0.16666666666666666</v>
      </c>
      <c r="BC25" s="154"/>
      <c r="BD25" s="154"/>
      <c r="BE25" s="157"/>
      <c r="BF25" s="157"/>
      <c r="BG25" s="155"/>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5"/>
      <c r="CS25" s="155"/>
      <c r="CT25" s="155"/>
      <c r="CU25" s="155"/>
      <c r="CV25" s="155"/>
      <c r="CW25" s="155"/>
      <c r="CX25" s="155"/>
      <c r="CY25" s="155"/>
      <c r="CZ25" s="155"/>
      <c r="DA25" s="155"/>
      <c r="DB25" s="155"/>
      <c r="DC25" s="155"/>
      <c r="DD25" s="155"/>
      <c r="DE25" s="155"/>
      <c r="DF25" s="155"/>
      <c r="DG25" s="155"/>
      <c r="DH25" s="155"/>
    </row>
    <row r="26" spans="1:112" x14ac:dyDescent="0.3">
      <c r="A26" s="119">
        <f t="shared" si="0"/>
        <v>25</v>
      </c>
      <c r="B26" s="119" t="s">
        <v>462</v>
      </c>
      <c r="C26" s="119">
        <v>2</v>
      </c>
      <c r="D26" s="119" t="s">
        <v>5</v>
      </c>
      <c r="E26" s="119" t="s">
        <v>3</v>
      </c>
      <c r="F26" s="119" t="s">
        <v>5</v>
      </c>
      <c r="G26" s="119" t="s">
        <v>5</v>
      </c>
      <c r="H26" s="119" t="s">
        <v>5</v>
      </c>
      <c r="I26" s="119" t="s">
        <v>5</v>
      </c>
      <c r="J26" s="119" t="s">
        <v>5</v>
      </c>
      <c r="K26" s="119" t="s">
        <v>2</v>
      </c>
      <c r="L26" s="119" t="s">
        <v>3</v>
      </c>
      <c r="M26" s="119" t="s">
        <v>3</v>
      </c>
      <c r="N26" s="119" t="s">
        <v>3</v>
      </c>
      <c r="O26" s="119" t="s">
        <v>5</v>
      </c>
      <c r="P26" s="119" t="s">
        <v>5</v>
      </c>
      <c r="Q26" s="119" t="s">
        <v>3</v>
      </c>
      <c r="R26" s="119" t="s">
        <v>5</v>
      </c>
      <c r="S26" s="119" t="s">
        <v>5</v>
      </c>
      <c r="T26" s="119" t="s">
        <v>5</v>
      </c>
      <c r="U26" s="119" t="s">
        <v>5</v>
      </c>
      <c r="V26" s="119" t="s">
        <v>5</v>
      </c>
      <c r="W26" s="119" t="s">
        <v>3</v>
      </c>
      <c r="X26" s="119" t="s">
        <v>4</v>
      </c>
      <c r="Y26" s="119" t="s">
        <v>4</v>
      </c>
      <c r="Z26" s="119" t="s">
        <v>3</v>
      </c>
      <c r="AA26" s="119" t="s">
        <v>3</v>
      </c>
      <c r="AB26" s="119" t="s">
        <v>3</v>
      </c>
      <c r="AC26" s="119" t="s">
        <v>4</v>
      </c>
      <c r="AD26" s="119" t="s">
        <v>4</v>
      </c>
      <c r="AE26" s="119" t="s">
        <v>4</v>
      </c>
      <c r="AF26" s="119" t="s">
        <v>4</v>
      </c>
      <c r="AG26" s="119" t="s">
        <v>3</v>
      </c>
      <c r="AH26" s="119" t="s">
        <v>4</v>
      </c>
      <c r="AI26" s="119" t="s">
        <v>4</v>
      </c>
      <c r="AJ26" s="119" t="s">
        <v>3</v>
      </c>
      <c r="AK26" s="119" t="s">
        <v>4</v>
      </c>
      <c r="AL26" s="119" t="s">
        <v>4</v>
      </c>
      <c r="AM26" s="6" t="s">
        <v>3</v>
      </c>
      <c r="AS26" s="32" t="s">
        <v>283</v>
      </c>
      <c r="AT26" s="6" t="s">
        <v>292</v>
      </c>
      <c r="AU26" s="8">
        <v>13</v>
      </c>
      <c r="AV26" s="14" t="s">
        <v>502</v>
      </c>
      <c r="AW26" s="30">
        <f>AY9/AT6</f>
        <v>0.16666666666666666</v>
      </c>
      <c r="BC26" s="154"/>
      <c r="BD26" s="154"/>
      <c r="BE26" s="157"/>
      <c r="BF26" s="157"/>
      <c r="BG26" s="155"/>
      <c r="BH26" s="155"/>
      <c r="BI26" s="155"/>
      <c r="BJ26" s="155"/>
      <c r="BK26" s="155"/>
      <c r="BL26" s="155"/>
      <c r="BM26" s="155"/>
      <c r="BN26" s="155"/>
      <c r="BO26" s="155"/>
      <c r="BP26" s="155"/>
      <c r="BQ26" s="155"/>
      <c r="BR26" s="155"/>
      <c r="BS26" s="155"/>
      <c r="BT26" s="156"/>
      <c r="BU26" s="155"/>
      <c r="BV26" s="156"/>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row>
    <row r="27" spans="1:112" x14ac:dyDescent="0.3">
      <c r="A27" s="119">
        <f t="shared" si="0"/>
        <v>26</v>
      </c>
      <c r="B27" s="119" t="s">
        <v>491</v>
      </c>
      <c r="C27" s="119">
        <v>2</v>
      </c>
      <c r="D27" s="119" t="s">
        <v>3</v>
      </c>
      <c r="E27" s="119" t="s">
        <v>3</v>
      </c>
      <c r="F27" s="119" t="s">
        <v>3</v>
      </c>
      <c r="G27" s="119" t="s">
        <v>2</v>
      </c>
      <c r="H27" s="119" t="s">
        <v>5</v>
      </c>
      <c r="I27" s="119" t="s">
        <v>5</v>
      </c>
      <c r="J27" s="119" t="s">
        <v>2</v>
      </c>
      <c r="K27" s="119" t="s">
        <v>2</v>
      </c>
      <c r="L27" s="119" t="s">
        <v>2</v>
      </c>
      <c r="M27" s="119" t="s">
        <v>4</v>
      </c>
      <c r="N27" s="119" t="s">
        <v>4</v>
      </c>
      <c r="O27" s="119" t="s">
        <v>4</v>
      </c>
      <c r="P27" s="119" t="s">
        <v>5</v>
      </c>
      <c r="Q27" s="119" t="s">
        <v>4</v>
      </c>
      <c r="R27" s="119" t="s">
        <v>5</v>
      </c>
      <c r="S27" s="119" t="s">
        <v>5</v>
      </c>
      <c r="T27" s="119" t="s">
        <v>5</v>
      </c>
      <c r="U27" s="119" t="s">
        <v>5</v>
      </c>
      <c r="V27" s="119" t="s">
        <v>4</v>
      </c>
      <c r="W27" s="119" t="s">
        <v>4</v>
      </c>
      <c r="X27" s="119" t="s">
        <v>3</v>
      </c>
      <c r="Y27" s="119" t="s">
        <v>2</v>
      </c>
      <c r="Z27" s="119" t="s">
        <v>3</v>
      </c>
      <c r="AA27" s="119" t="s">
        <v>4</v>
      </c>
      <c r="AB27" s="119" t="s">
        <v>4</v>
      </c>
      <c r="AC27" s="119" t="s">
        <v>4</v>
      </c>
      <c r="AD27" s="119" t="s">
        <v>4</v>
      </c>
      <c r="AE27" s="119" t="s">
        <v>4</v>
      </c>
      <c r="AF27" s="119" t="s">
        <v>4</v>
      </c>
      <c r="AG27" s="119" t="s">
        <v>4</v>
      </c>
      <c r="AH27" s="119" t="s">
        <v>4</v>
      </c>
      <c r="AI27" s="119" t="s">
        <v>3</v>
      </c>
      <c r="AJ27" s="119" t="s">
        <v>4</v>
      </c>
      <c r="AK27" s="119" t="s">
        <v>4</v>
      </c>
      <c r="AL27" s="119" t="s">
        <v>4</v>
      </c>
      <c r="AM27" s="6" t="s">
        <v>3</v>
      </c>
      <c r="AS27" s="32" t="s">
        <v>284</v>
      </c>
      <c r="AT27" s="6" t="s">
        <v>293</v>
      </c>
      <c r="AU27" s="32">
        <v>13</v>
      </c>
      <c r="AV27" s="14" t="s">
        <v>502</v>
      </c>
      <c r="AW27" s="30">
        <f>AZ9/AT6</f>
        <v>0.16666666666666666</v>
      </c>
      <c r="BC27" s="154"/>
      <c r="BD27" s="154"/>
      <c r="BE27" s="154"/>
      <c r="BF27" s="154"/>
      <c r="BG27" s="154"/>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row>
    <row r="28" spans="1:112" x14ac:dyDescent="0.3">
      <c r="A28" s="119">
        <f t="shared" si="0"/>
        <v>27</v>
      </c>
      <c r="B28" s="119" t="s">
        <v>17</v>
      </c>
      <c r="C28" s="119">
        <v>3</v>
      </c>
      <c r="D28" s="119" t="s">
        <v>5</v>
      </c>
      <c r="E28" s="119" t="s">
        <v>3</v>
      </c>
      <c r="F28" s="119" t="s">
        <v>3</v>
      </c>
      <c r="G28" s="119" t="s">
        <v>5</v>
      </c>
      <c r="H28" s="119" t="s">
        <v>5</v>
      </c>
      <c r="I28" s="119" t="s">
        <v>5</v>
      </c>
      <c r="J28" s="119" t="s">
        <v>2</v>
      </c>
      <c r="K28" s="119" t="s">
        <v>2</v>
      </c>
      <c r="L28" s="119" t="s">
        <v>3</v>
      </c>
      <c r="M28" s="119" t="s">
        <v>3</v>
      </c>
      <c r="N28" s="119" t="s">
        <v>4</v>
      </c>
      <c r="O28" s="119" t="s">
        <v>5</v>
      </c>
      <c r="P28" s="119" t="s">
        <v>2</v>
      </c>
      <c r="Q28" s="119" t="s">
        <v>3</v>
      </c>
      <c r="R28" s="119" t="s">
        <v>2</v>
      </c>
      <c r="S28" s="119" t="s">
        <v>5</v>
      </c>
      <c r="T28" s="119" t="s">
        <v>5</v>
      </c>
      <c r="U28" s="119" t="s">
        <v>5</v>
      </c>
      <c r="V28" s="119" t="s">
        <v>5</v>
      </c>
      <c r="W28" s="119" t="s">
        <v>4</v>
      </c>
      <c r="X28" s="119" t="s">
        <v>3</v>
      </c>
      <c r="Y28" s="119" t="s">
        <v>3</v>
      </c>
      <c r="Z28" s="119" t="s">
        <v>3</v>
      </c>
      <c r="AA28" s="119" t="s">
        <v>4</v>
      </c>
      <c r="AB28" s="119" t="s">
        <v>4</v>
      </c>
      <c r="AC28" s="119" t="s">
        <v>4</v>
      </c>
      <c r="AD28" s="119" t="s">
        <v>4</v>
      </c>
      <c r="AE28" s="119" t="s">
        <v>4</v>
      </c>
      <c r="AF28" s="119" t="s">
        <v>4</v>
      </c>
      <c r="AG28" s="119" t="s">
        <v>3</v>
      </c>
      <c r="AH28" s="119" t="s">
        <v>4</v>
      </c>
      <c r="AI28" s="119" t="s">
        <v>3</v>
      </c>
      <c r="AJ28" s="119" t="s">
        <v>4</v>
      </c>
      <c r="AK28" s="119" t="s">
        <v>4</v>
      </c>
      <c r="AL28" s="119" t="s">
        <v>4</v>
      </c>
      <c r="AM28" s="6" t="s">
        <v>3</v>
      </c>
      <c r="AZ28"/>
      <c r="BC28" s="154"/>
      <c r="BD28" s="154"/>
      <c r="BE28" s="159"/>
      <c r="BF28" s="159"/>
      <c r="BG28" s="155"/>
      <c r="BH28" s="155"/>
      <c r="BI28" s="161"/>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row>
    <row r="29" spans="1:112" x14ac:dyDescent="0.3">
      <c r="A29" s="119">
        <f t="shared" si="0"/>
        <v>28</v>
      </c>
      <c r="B29" s="119" t="s">
        <v>18</v>
      </c>
      <c r="C29" s="119">
        <v>3</v>
      </c>
      <c r="D29" s="119" t="s">
        <v>5</v>
      </c>
      <c r="E29" s="119" t="s">
        <v>4</v>
      </c>
      <c r="F29" s="119" t="s">
        <v>4</v>
      </c>
      <c r="G29" s="119" t="s">
        <v>3</v>
      </c>
      <c r="H29" s="119" t="s">
        <v>5</v>
      </c>
      <c r="I29" s="119" t="s">
        <v>5</v>
      </c>
      <c r="J29" s="119" t="s">
        <v>5</v>
      </c>
      <c r="K29" s="119" t="s">
        <v>2</v>
      </c>
      <c r="L29" s="119" t="s">
        <v>2</v>
      </c>
      <c r="M29" s="119" t="s">
        <v>3</v>
      </c>
      <c r="N29" s="119" t="s">
        <v>4</v>
      </c>
      <c r="O29" s="119" t="s">
        <v>2</v>
      </c>
      <c r="P29" s="119" t="s">
        <v>2</v>
      </c>
      <c r="Q29" s="119" t="s">
        <v>2</v>
      </c>
      <c r="R29" s="119" t="s">
        <v>5</v>
      </c>
      <c r="S29" s="119" t="s">
        <v>5</v>
      </c>
      <c r="T29" s="119" t="s">
        <v>3</v>
      </c>
      <c r="U29" s="119" t="s">
        <v>3</v>
      </c>
      <c r="V29" s="119" t="s">
        <v>2</v>
      </c>
      <c r="W29" s="119" t="s">
        <v>4</v>
      </c>
      <c r="X29" s="119" t="s">
        <v>5</v>
      </c>
      <c r="Y29" s="119" t="s">
        <v>3</v>
      </c>
      <c r="Z29" s="119" t="s">
        <v>3</v>
      </c>
      <c r="AA29" s="119" t="s">
        <v>3</v>
      </c>
      <c r="AB29" s="119" t="s">
        <v>3</v>
      </c>
      <c r="AC29" s="119" t="s">
        <v>4</v>
      </c>
      <c r="AD29" s="119" t="s">
        <v>4</v>
      </c>
      <c r="AE29" s="119" t="s">
        <v>4</v>
      </c>
      <c r="AF29" s="119" t="s">
        <v>4</v>
      </c>
      <c r="AG29" s="119" t="s">
        <v>3</v>
      </c>
      <c r="AH29" s="119" t="s">
        <v>4</v>
      </c>
      <c r="AI29" s="119" t="s">
        <v>4</v>
      </c>
      <c r="AJ29" s="119" t="s">
        <v>4</v>
      </c>
      <c r="AK29" s="119" t="s">
        <v>4</v>
      </c>
      <c r="AL29" s="119" t="s">
        <v>4</v>
      </c>
      <c r="AM29" s="6" t="s">
        <v>3</v>
      </c>
      <c r="AR29" s="5" t="s">
        <v>482</v>
      </c>
      <c r="AZ29"/>
      <c r="BC29" s="154"/>
      <c r="BD29" s="154"/>
      <c r="BE29" s="159"/>
      <c r="BF29" s="159"/>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155"/>
      <c r="CE29" s="155"/>
      <c r="CF29" s="155"/>
      <c r="CG29" s="155"/>
      <c r="CH29" s="155"/>
      <c r="CI29" s="155"/>
      <c r="CJ29" s="155"/>
      <c r="CK29" s="155"/>
      <c r="CL29" s="155"/>
      <c r="CM29" s="155"/>
      <c r="CN29" s="155"/>
      <c r="CO29" s="155"/>
      <c r="CP29" s="155"/>
      <c r="CQ29" s="155"/>
      <c r="CR29" s="155"/>
      <c r="CS29" s="155"/>
      <c r="CT29" s="155"/>
      <c r="CU29" s="155"/>
      <c r="CV29" s="155"/>
      <c r="CW29" s="155"/>
      <c r="CX29" s="155"/>
      <c r="CY29" s="155"/>
      <c r="CZ29" s="155"/>
      <c r="DA29" s="155"/>
      <c r="DB29" s="155"/>
      <c r="DC29" s="155"/>
      <c r="DD29" s="155"/>
      <c r="DE29" s="155"/>
      <c r="DF29" s="155"/>
      <c r="DG29" s="155"/>
      <c r="DH29" s="155"/>
    </row>
    <row r="30" spans="1:112" x14ac:dyDescent="0.3">
      <c r="A30" s="119">
        <f t="shared" si="0"/>
        <v>29</v>
      </c>
      <c r="B30" s="119" t="s">
        <v>19</v>
      </c>
      <c r="C30" s="119">
        <v>3</v>
      </c>
      <c r="D30" s="119" t="s">
        <v>5</v>
      </c>
      <c r="E30" s="119" t="s">
        <v>5</v>
      </c>
      <c r="F30" s="119" t="s">
        <v>4</v>
      </c>
      <c r="G30" s="119" t="s">
        <v>5</v>
      </c>
      <c r="H30" s="119" t="s">
        <v>5</v>
      </c>
      <c r="I30" s="119" t="s">
        <v>2</v>
      </c>
      <c r="J30" s="119" t="s">
        <v>5</v>
      </c>
      <c r="K30" s="119" t="s">
        <v>2</v>
      </c>
      <c r="L30" s="119" t="s">
        <v>3</v>
      </c>
      <c r="M30" s="119" t="s">
        <v>4</v>
      </c>
      <c r="N30" s="119" t="s">
        <v>4</v>
      </c>
      <c r="O30" s="119" t="s">
        <v>2</v>
      </c>
      <c r="P30" s="119" t="s">
        <v>5</v>
      </c>
      <c r="Q30" s="119" t="s">
        <v>5</v>
      </c>
      <c r="R30" s="119" t="s">
        <v>5</v>
      </c>
      <c r="S30" s="119" t="s">
        <v>5</v>
      </c>
      <c r="T30" s="119" t="s">
        <v>5</v>
      </c>
      <c r="U30" s="119" t="s">
        <v>5</v>
      </c>
      <c r="V30" s="119" t="s">
        <v>4</v>
      </c>
      <c r="W30" s="119" t="s">
        <v>4</v>
      </c>
      <c r="X30" s="119" t="s">
        <v>4</v>
      </c>
      <c r="Y30" s="119" t="s">
        <v>5</v>
      </c>
      <c r="Z30" s="119" t="s">
        <v>3</v>
      </c>
      <c r="AA30" s="119" t="s">
        <v>4</v>
      </c>
      <c r="AB30" s="119" t="s">
        <v>4</v>
      </c>
      <c r="AC30" s="119" t="s">
        <v>4</v>
      </c>
      <c r="AD30" s="119" t="s">
        <v>4</v>
      </c>
      <c r="AE30" s="119" t="s">
        <v>4</v>
      </c>
      <c r="AF30" s="119" t="s">
        <v>4</v>
      </c>
      <c r="AG30" s="119" t="s">
        <v>3</v>
      </c>
      <c r="AH30" s="119" t="s">
        <v>4</v>
      </c>
      <c r="AI30" s="119" t="s">
        <v>3</v>
      </c>
      <c r="AJ30" s="119" t="s">
        <v>4</v>
      </c>
      <c r="AK30" s="119" t="s">
        <v>4</v>
      </c>
      <c r="AL30" s="119" t="s">
        <v>4</v>
      </c>
      <c r="AM30" s="6" t="s">
        <v>3</v>
      </c>
      <c r="AS30" s="7" t="s">
        <v>232</v>
      </c>
      <c r="AT30" s="7">
        <v>1</v>
      </c>
      <c r="AU30" s="7">
        <v>2</v>
      </c>
      <c r="AV30" s="7">
        <v>3</v>
      </c>
      <c r="AW30" s="7">
        <v>4</v>
      </c>
      <c r="AX30" s="7">
        <v>5</v>
      </c>
      <c r="AY30" s="7">
        <v>6</v>
      </c>
      <c r="AZ30"/>
      <c r="BA30"/>
      <c r="BB30"/>
      <c r="BC30" s="155"/>
      <c r="BD30" s="155"/>
      <c r="BE30" s="159"/>
      <c r="BF30" s="159"/>
      <c r="BG30" s="155"/>
      <c r="BH30" s="155"/>
      <c r="BI30" s="155"/>
      <c r="BJ30" s="155"/>
      <c r="BK30" s="155"/>
      <c r="BL30" s="155"/>
      <c r="BM30" s="155"/>
      <c r="BN30" s="155"/>
      <c r="BO30" s="155"/>
      <c r="BP30" s="155"/>
      <c r="BQ30" s="155"/>
      <c r="BR30" s="155"/>
      <c r="BS30" s="155"/>
      <c r="BT30" s="155"/>
      <c r="BU30" s="155"/>
      <c r="BV30" s="155"/>
      <c r="BW30" s="155"/>
      <c r="BX30" s="155"/>
      <c r="BY30" s="155"/>
      <c r="BZ30" s="155"/>
      <c r="CA30" s="155"/>
      <c r="CB30" s="155"/>
      <c r="CC30" s="155"/>
      <c r="CD30" s="155"/>
      <c r="CE30" s="155"/>
      <c r="CF30" s="155"/>
      <c r="CG30" s="155"/>
      <c r="CH30" s="155"/>
      <c r="CI30" s="155"/>
      <c r="CJ30" s="155"/>
      <c r="CK30" s="155"/>
      <c r="CL30" s="155"/>
      <c r="CM30" s="155"/>
      <c r="CN30" s="155"/>
      <c r="CO30" s="155"/>
      <c r="CP30" s="155"/>
      <c r="CQ30" s="155"/>
      <c r="CR30" s="155"/>
      <c r="CS30" s="155"/>
      <c r="CT30" s="155"/>
      <c r="CU30" s="155"/>
      <c r="CV30" s="155"/>
      <c r="CW30" s="155"/>
      <c r="CX30" s="155"/>
      <c r="CY30" s="155"/>
      <c r="CZ30" s="155"/>
      <c r="DA30" s="155"/>
      <c r="DB30" s="155"/>
      <c r="DC30" s="155"/>
      <c r="DD30" s="155"/>
      <c r="DE30" s="155"/>
      <c r="DF30" s="155"/>
      <c r="DG30" s="155"/>
      <c r="DH30" s="155"/>
    </row>
    <row r="31" spans="1:112" x14ac:dyDescent="0.3">
      <c r="A31" s="119">
        <f t="shared" si="0"/>
        <v>30</v>
      </c>
      <c r="B31" s="119" t="s">
        <v>20</v>
      </c>
      <c r="C31" s="119">
        <v>3</v>
      </c>
      <c r="D31" s="119" t="s">
        <v>2</v>
      </c>
      <c r="E31" s="119" t="s">
        <v>3</v>
      </c>
      <c r="F31" s="119" t="s">
        <v>3</v>
      </c>
      <c r="G31" s="119" t="s">
        <v>2</v>
      </c>
      <c r="H31" s="119" t="s">
        <v>5</v>
      </c>
      <c r="I31" s="119" t="s">
        <v>2</v>
      </c>
      <c r="J31" s="119" t="s">
        <v>5</v>
      </c>
      <c r="K31" s="119" t="s">
        <v>2</v>
      </c>
      <c r="L31" s="119" t="s">
        <v>3</v>
      </c>
      <c r="M31" s="119" t="s">
        <v>4</v>
      </c>
      <c r="N31" s="119" t="s">
        <v>4</v>
      </c>
      <c r="O31" s="119" t="s">
        <v>5</v>
      </c>
      <c r="P31" s="119" t="s">
        <v>5</v>
      </c>
      <c r="Q31" s="119" t="s">
        <v>4</v>
      </c>
      <c r="R31" s="119" t="s">
        <v>5</v>
      </c>
      <c r="S31" s="119" t="s">
        <v>5</v>
      </c>
      <c r="T31" s="119" t="s">
        <v>5</v>
      </c>
      <c r="U31" s="119" t="s">
        <v>5</v>
      </c>
      <c r="V31" s="119" t="s">
        <v>5</v>
      </c>
      <c r="W31" s="119" t="s">
        <v>4</v>
      </c>
      <c r="X31" s="119" t="s">
        <v>4</v>
      </c>
      <c r="Y31" s="119" t="s">
        <v>4</v>
      </c>
      <c r="Z31" s="119" t="s">
        <v>4</v>
      </c>
      <c r="AA31" s="119" t="s">
        <v>4</v>
      </c>
      <c r="AB31" s="119" t="s">
        <v>4</v>
      </c>
      <c r="AC31" s="119" t="s">
        <v>4</v>
      </c>
      <c r="AD31" s="119" t="s">
        <v>4</v>
      </c>
      <c r="AE31" s="119" t="s">
        <v>4</v>
      </c>
      <c r="AF31" s="119" t="s">
        <v>4</v>
      </c>
      <c r="AG31" s="119" t="s">
        <v>4</v>
      </c>
      <c r="AH31" s="119" t="s">
        <v>4</v>
      </c>
      <c r="AI31" s="119" t="s">
        <v>3</v>
      </c>
      <c r="AJ31" s="119" t="s">
        <v>4</v>
      </c>
      <c r="AK31" s="119" t="s">
        <v>4</v>
      </c>
      <c r="AL31" s="119" t="s">
        <v>3</v>
      </c>
      <c r="AM31" s="6" t="s">
        <v>4</v>
      </c>
      <c r="AS31" s="6" t="s">
        <v>65</v>
      </c>
      <c r="AT31" s="6">
        <f>COUNTIFS(D:D,"A",C:C,1)/COUNTIF(C:C,1)</f>
        <v>7.6923076923076927E-2</v>
      </c>
      <c r="AU31" s="6">
        <f>COUNTIFS(D:D,"A",C:C,2)/COUNTIF(C:C,2)</f>
        <v>0.15384615384615385</v>
      </c>
      <c r="AV31" s="6">
        <f>COUNTIFS(D:D,"A",C:C,3)/COUNTIF(C:C,3)</f>
        <v>7.6923076923076927E-2</v>
      </c>
      <c r="AW31" s="6">
        <f>COUNTIFS(D:D,"A",C:C,4)/COUNTIF(C:C,4)</f>
        <v>0</v>
      </c>
      <c r="AX31" s="6">
        <f>COUNTIFS(D:D,"A",C:C,5)/COUNTIF(C:C,5)</f>
        <v>7.6923076923076927E-2</v>
      </c>
      <c r="AY31" s="6">
        <f>COUNTIFS(D:D,"A",C:C,6)/COUNTIF(C:C,6)</f>
        <v>7.6923076923076927E-2</v>
      </c>
      <c r="AZ31"/>
      <c r="BA31"/>
      <c r="BB31"/>
      <c r="BC31" s="155"/>
      <c r="BD31" s="155"/>
      <c r="BE31" s="159"/>
      <c r="BF31" s="159"/>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155"/>
      <c r="CD31" s="155"/>
      <c r="CE31" s="155"/>
      <c r="CF31" s="155"/>
      <c r="CG31" s="155"/>
      <c r="CH31" s="155"/>
      <c r="CI31" s="155"/>
      <c r="CJ31" s="155"/>
      <c r="CK31" s="155"/>
      <c r="CL31" s="155"/>
      <c r="CM31" s="155"/>
      <c r="CN31" s="155"/>
      <c r="CO31" s="155"/>
      <c r="CP31" s="155"/>
      <c r="CQ31" s="155"/>
      <c r="CR31" s="155"/>
      <c r="CS31" s="155"/>
      <c r="CT31" s="155"/>
      <c r="CU31" s="155"/>
      <c r="CV31" s="155"/>
      <c r="CW31" s="155"/>
      <c r="CX31" s="155"/>
      <c r="CY31" s="155"/>
      <c r="CZ31" s="155"/>
      <c r="DA31" s="155"/>
      <c r="DB31" s="155"/>
      <c r="DC31" s="155"/>
      <c r="DD31" s="155"/>
      <c r="DE31" s="155"/>
      <c r="DF31" s="155"/>
      <c r="DG31" s="155"/>
      <c r="DH31" s="155"/>
    </row>
    <row r="32" spans="1:112" x14ac:dyDescent="0.3">
      <c r="A32" s="119">
        <f t="shared" si="0"/>
        <v>31</v>
      </c>
      <c r="B32" s="119" t="s">
        <v>21</v>
      </c>
      <c r="C32" s="119">
        <v>3</v>
      </c>
      <c r="D32" s="119" t="s">
        <v>2</v>
      </c>
      <c r="E32" s="119" t="s">
        <v>5</v>
      </c>
      <c r="F32" s="119" t="s">
        <v>3</v>
      </c>
      <c r="G32" s="119" t="s">
        <v>5</v>
      </c>
      <c r="H32" s="119" t="s">
        <v>5</v>
      </c>
      <c r="I32" s="119" t="s">
        <v>5</v>
      </c>
      <c r="J32" s="119" t="s">
        <v>5</v>
      </c>
      <c r="K32" s="119" t="s">
        <v>2</v>
      </c>
      <c r="L32" s="119" t="s">
        <v>2</v>
      </c>
      <c r="M32" s="119" t="s">
        <v>3</v>
      </c>
      <c r="N32" s="119" t="s">
        <v>4</v>
      </c>
      <c r="O32" s="119" t="s">
        <v>2</v>
      </c>
      <c r="P32" s="119" t="s">
        <v>5</v>
      </c>
      <c r="Q32" s="119" t="s">
        <v>3</v>
      </c>
      <c r="R32" s="119" t="s">
        <v>3</v>
      </c>
      <c r="S32" s="119" t="s">
        <v>5</v>
      </c>
      <c r="T32" s="119" t="s">
        <v>5</v>
      </c>
      <c r="U32" s="119" t="s">
        <v>5</v>
      </c>
      <c r="V32" s="119" t="s">
        <v>5</v>
      </c>
      <c r="W32" s="119" t="s">
        <v>4</v>
      </c>
      <c r="X32" s="119" t="s">
        <v>2</v>
      </c>
      <c r="Y32" s="119" t="s">
        <v>2</v>
      </c>
      <c r="Z32" s="119" t="s">
        <v>3</v>
      </c>
      <c r="AA32" s="119" t="s">
        <v>4</v>
      </c>
      <c r="AB32" s="119" t="s">
        <v>4</v>
      </c>
      <c r="AC32" s="119" t="s">
        <v>4</v>
      </c>
      <c r="AD32" s="119" t="s">
        <v>4</v>
      </c>
      <c r="AE32" s="119" t="s">
        <v>4</v>
      </c>
      <c r="AF32" s="119" t="s">
        <v>4</v>
      </c>
      <c r="AG32" s="119" t="s">
        <v>3</v>
      </c>
      <c r="AH32" s="119" t="s">
        <v>4</v>
      </c>
      <c r="AI32" s="119" t="s">
        <v>3</v>
      </c>
      <c r="AJ32" s="119" t="s">
        <v>4</v>
      </c>
      <c r="AK32" s="119" t="s">
        <v>4</v>
      </c>
      <c r="AL32" s="119" t="s">
        <v>4</v>
      </c>
      <c r="AM32" s="6" t="s">
        <v>3</v>
      </c>
      <c r="AS32" s="6" t="s">
        <v>66</v>
      </c>
      <c r="AT32" s="6">
        <f>COUNTIFS(D:D,"B",C:C,1)/COUNTIF(C:C,1)</f>
        <v>0.15384615384615385</v>
      </c>
      <c r="AU32" s="6">
        <f>COUNTIFS(D:D,"B",C:C,2)/COUNTIF(C:C,2)</f>
        <v>0.15384615384615385</v>
      </c>
      <c r="AV32" s="6">
        <f>COUNTIFS(D:D,"B",C:C,3)/COUNTIF(C:C,3)</f>
        <v>0</v>
      </c>
      <c r="AW32" s="6">
        <f>COUNTIFS(D:D,"B",C:C,4)/COUNTIF(C:C,4)</f>
        <v>0.23076923076923078</v>
      </c>
      <c r="AX32" s="6">
        <f>COUNTIFS(D:D,"B",C:C,5)/COUNTIF(C:C,5)</f>
        <v>0</v>
      </c>
      <c r="AY32" s="6">
        <f>COUNTIFS(D:D,"B",C:C,6)/COUNTIF(C:C,6)</f>
        <v>0</v>
      </c>
      <c r="AZ32"/>
      <c r="BA32"/>
      <c r="BB32"/>
      <c r="BC32" s="155"/>
      <c r="BD32" s="155"/>
      <c r="BE32" s="159"/>
      <c r="BF32" s="159"/>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155"/>
      <c r="CD32" s="155"/>
      <c r="CE32" s="155"/>
      <c r="CF32" s="155"/>
      <c r="CG32" s="155"/>
      <c r="CH32" s="155"/>
      <c r="CI32" s="155"/>
      <c r="CJ32" s="155"/>
      <c r="CK32" s="155"/>
      <c r="CL32" s="155"/>
      <c r="CM32" s="155"/>
      <c r="CN32" s="155"/>
      <c r="CO32" s="155"/>
      <c r="CP32" s="155"/>
      <c r="CQ32" s="155"/>
      <c r="CR32" s="155"/>
      <c r="CS32" s="155"/>
      <c r="CT32" s="155"/>
      <c r="CU32" s="155"/>
      <c r="CV32" s="155"/>
      <c r="CW32" s="155"/>
      <c r="CX32" s="155"/>
      <c r="CY32" s="155"/>
      <c r="CZ32" s="155"/>
      <c r="DA32" s="155"/>
      <c r="DB32" s="155"/>
      <c r="DC32" s="155"/>
      <c r="DD32" s="155"/>
      <c r="DE32" s="155"/>
      <c r="DF32" s="155"/>
      <c r="DG32" s="155"/>
      <c r="DH32" s="155"/>
    </row>
    <row r="33" spans="1:112" x14ac:dyDescent="0.3">
      <c r="A33" s="119">
        <f t="shared" si="0"/>
        <v>32</v>
      </c>
      <c r="B33" s="119" t="s">
        <v>22</v>
      </c>
      <c r="C33" s="119">
        <v>3</v>
      </c>
      <c r="D33" s="119" t="s">
        <v>4</v>
      </c>
      <c r="E33" s="119" t="s">
        <v>5</v>
      </c>
      <c r="F33" s="119" t="s">
        <v>3</v>
      </c>
      <c r="G33" s="119" t="s">
        <v>5</v>
      </c>
      <c r="H33" s="119" t="s">
        <v>5</v>
      </c>
      <c r="I33" s="119" t="s">
        <v>5</v>
      </c>
      <c r="J33" s="119" t="s">
        <v>5</v>
      </c>
      <c r="K33" s="119" t="s">
        <v>2</v>
      </c>
      <c r="L33" s="119" t="s">
        <v>3</v>
      </c>
      <c r="M33" s="119" t="s">
        <v>2</v>
      </c>
      <c r="N33" s="119" t="s">
        <v>2</v>
      </c>
      <c r="O33" s="119" t="s">
        <v>5</v>
      </c>
      <c r="P33" s="119" t="s">
        <v>3</v>
      </c>
      <c r="Q33" s="119" t="s">
        <v>3</v>
      </c>
      <c r="R33" s="119" t="s">
        <v>2</v>
      </c>
      <c r="S33" s="119" t="s">
        <v>5</v>
      </c>
      <c r="T33" s="119" t="s">
        <v>2</v>
      </c>
      <c r="U33" s="119" t="s">
        <v>2</v>
      </c>
      <c r="V33" s="119" t="s">
        <v>5</v>
      </c>
      <c r="W33" s="119" t="s">
        <v>4</v>
      </c>
      <c r="X33" s="119" t="s">
        <v>3</v>
      </c>
      <c r="Y33" s="119" t="s">
        <v>2</v>
      </c>
      <c r="Z33" s="119" t="s">
        <v>3</v>
      </c>
      <c r="AA33" s="119" t="s">
        <v>4</v>
      </c>
      <c r="AB33" s="119" t="s">
        <v>4</v>
      </c>
      <c r="AC33" s="119" t="s">
        <v>4</v>
      </c>
      <c r="AD33" s="119" t="s">
        <v>4</v>
      </c>
      <c r="AE33" s="119" t="s">
        <v>4</v>
      </c>
      <c r="AF33" s="119" t="s">
        <v>4</v>
      </c>
      <c r="AG33" s="119" t="s">
        <v>3</v>
      </c>
      <c r="AH33" s="119" t="s">
        <v>4</v>
      </c>
      <c r="AI33" s="119" t="s">
        <v>3</v>
      </c>
      <c r="AJ33" s="119" t="s">
        <v>4</v>
      </c>
      <c r="AK33" s="119" t="s">
        <v>4</v>
      </c>
      <c r="AL33" s="119" t="s">
        <v>3</v>
      </c>
      <c r="AM33" s="6" t="s">
        <v>3</v>
      </c>
      <c r="AS33" s="6" t="s">
        <v>67</v>
      </c>
      <c r="AT33" s="6">
        <f>COUNTIFS(D:D,"C",C:C,1)/COUNTIF(C:C,1)</f>
        <v>0.38461538461538464</v>
      </c>
      <c r="AU33" s="6">
        <f>COUNTIFS(D:D,"C",C:C,2)/COUNTIF(C:C,2)</f>
        <v>7.6923076923076927E-2</v>
      </c>
      <c r="AV33" s="6">
        <f>COUNTIFS(D:D,"C",C:C,3)/COUNTIF(C:C,3)</f>
        <v>0.30769230769230771</v>
      </c>
      <c r="AW33" s="6">
        <f>COUNTIFS(D:D,"C",C:C,4)/COUNTIF(C:C,4)</f>
        <v>7.6923076923076927E-2</v>
      </c>
      <c r="AX33" s="6">
        <f>COUNTIFS(D:D,"C",C:C,5)/COUNTIF(C:C,5)</f>
        <v>0.15384615384615385</v>
      </c>
      <c r="AY33" s="6">
        <f>COUNTIFS(D:D,"C",C:C,6)/COUNTIF(C:C,6)</f>
        <v>0</v>
      </c>
      <c r="AZ33"/>
      <c r="BA33"/>
      <c r="BB33"/>
      <c r="BC33" s="155"/>
      <c r="BD33" s="155"/>
      <c r="BE33" s="159"/>
      <c r="BF33" s="159"/>
      <c r="BG33" s="155"/>
      <c r="BH33" s="155"/>
      <c r="BI33" s="162"/>
      <c r="BJ33" s="155"/>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5"/>
      <c r="CV33" s="155"/>
      <c r="CW33" s="155"/>
      <c r="CX33" s="155"/>
      <c r="CY33" s="155"/>
      <c r="CZ33" s="155"/>
      <c r="DA33" s="155"/>
      <c r="DB33" s="155"/>
      <c r="DC33" s="155"/>
      <c r="DD33" s="155"/>
      <c r="DE33" s="155"/>
      <c r="DF33" s="155"/>
      <c r="DG33" s="155"/>
      <c r="DH33" s="155"/>
    </row>
    <row r="34" spans="1:112" x14ac:dyDescent="0.3">
      <c r="A34" s="119">
        <f t="shared" si="0"/>
        <v>33</v>
      </c>
      <c r="B34" s="119" t="s">
        <v>263</v>
      </c>
      <c r="C34" s="119">
        <v>3</v>
      </c>
      <c r="D34" s="119" t="s">
        <v>2</v>
      </c>
      <c r="E34" s="119" t="s">
        <v>5</v>
      </c>
      <c r="F34" s="119" t="s">
        <v>3</v>
      </c>
      <c r="G34" s="119" t="s">
        <v>5</v>
      </c>
      <c r="H34" s="119" t="s">
        <v>5</v>
      </c>
      <c r="I34" s="119" t="s">
        <v>5</v>
      </c>
      <c r="J34" s="119" t="s">
        <v>5</v>
      </c>
      <c r="K34" s="119" t="s">
        <v>2</v>
      </c>
      <c r="L34" s="119" t="s">
        <v>2</v>
      </c>
      <c r="M34" s="119" t="s">
        <v>2</v>
      </c>
      <c r="N34" s="119" t="s">
        <v>3</v>
      </c>
      <c r="O34" s="119" t="s">
        <v>5</v>
      </c>
      <c r="P34" s="119" t="s">
        <v>5</v>
      </c>
      <c r="Q34" s="119" t="s">
        <v>3</v>
      </c>
      <c r="R34" s="119" t="s">
        <v>2</v>
      </c>
      <c r="S34" s="119" t="s">
        <v>2</v>
      </c>
      <c r="T34" s="119" t="s">
        <v>5</v>
      </c>
      <c r="U34" s="119" t="s">
        <v>5</v>
      </c>
      <c r="V34" s="119" t="s">
        <v>2</v>
      </c>
      <c r="W34" s="119" t="s">
        <v>4</v>
      </c>
      <c r="X34" s="119" t="s">
        <v>2</v>
      </c>
      <c r="Y34" s="119" t="s">
        <v>2</v>
      </c>
      <c r="Z34" s="119" t="s">
        <v>3</v>
      </c>
      <c r="AA34" s="119" t="s">
        <v>4</v>
      </c>
      <c r="AB34" s="119" t="s">
        <v>4</v>
      </c>
      <c r="AC34" s="119" t="s">
        <v>4</v>
      </c>
      <c r="AD34" s="119" t="s">
        <v>4</v>
      </c>
      <c r="AE34" s="119" t="s">
        <v>4</v>
      </c>
      <c r="AF34" s="119" t="s">
        <v>4</v>
      </c>
      <c r="AG34" s="119" t="s">
        <v>3</v>
      </c>
      <c r="AH34" s="119" t="s">
        <v>4</v>
      </c>
      <c r="AI34" s="119" t="s">
        <v>3</v>
      </c>
      <c r="AJ34" s="119" t="s">
        <v>4</v>
      </c>
      <c r="AK34" s="119" t="s">
        <v>4</v>
      </c>
      <c r="AL34" s="119" t="s">
        <v>4</v>
      </c>
      <c r="AM34" s="6" t="s">
        <v>3</v>
      </c>
      <c r="AS34" s="6" t="s">
        <v>68</v>
      </c>
      <c r="AT34" s="6">
        <f>COUNTIFS(D:D,"D",C:C,1)/COUNTIF(C:C,1)</f>
        <v>0.38461538461538464</v>
      </c>
      <c r="AU34" s="6">
        <f>COUNTIFS(D:D,"D",C:C,2)/COUNTIF(C:C,2)</f>
        <v>0.61538461538461542</v>
      </c>
      <c r="AV34" s="6">
        <f>COUNTIFS(D:D,"D",C:C,3)/COUNTIF(C:C,3)</f>
        <v>0.61538461538461542</v>
      </c>
      <c r="AW34" s="6">
        <f>COUNTIFS(D:D,"D",C:C,4)/COUNTIF(C:C,4)</f>
        <v>0.69230769230769229</v>
      </c>
      <c r="AX34" s="6">
        <f>COUNTIFS(D:D,"D",C:C,5)/COUNTIF(C:C,5)</f>
        <v>0.76923076923076927</v>
      </c>
      <c r="AY34" s="6">
        <f>COUNTIFS(D:D,"D",C:C,6)/COUNTIF(C:C,6)</f>
        <v>0.92307692307692313</v>
      </c>
      <c r="AZ34"/>
      <c r="BA34"/>
      <c r="BB34"/>
      <c r="BC34" s="155"/>
      <c r="BD34" s="155"/>
      <c r="BE34" s="159"/>
      <c r="BF34" s="159"/>
      <c r="BG34" s="155"/>
      <c r="BH34" s="155"/>
      <c r="BI34" s="162"/>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c r="CR34" s="155"/>
      <c r="CS34" s="155"/>
      <c r="CT34" s="155"/>
      <c r="CU34" s="155"/>
      <c r="CV34" s="155"/>
      <c r="CW34" s="155"/>
      <c r="CX34" s="155"/>
      <c r="CY34" s="155"/>
      <c r="CZ34" s="155"/>
      <c r="DA34" s="155"/>
      <c r="DB34" s="155"/>
      <c r="DC34" s="155"/>
      <c r="DD34" s="155"/>
      <c r="DE34" s="155"/>
      <c r="DF34" s="155"/>
      <c r="DG34" s="155"/>
      <c r="DH34" s="155"/>
    </row>
    <row r="35" spans="1:112" x14ac:dyDescent="0.3">
      <c r="A35" s="119">
        <f t="shared" si="0"/>
        <v>34</v>
      </c>
      <c r="B35" s="119" t="s">
        <v>264</v>
      </c>
      <c r="C35" s="119">
        <v>3</v>
      </c>
      <c r="D35" s="119" t="s">
        <v>5</v>
      </c>
      <c r="E35" s="119" t="s">
        <v>3</v>
      </c>
      <c r="F35" s="119" t="s">
        <v>3</v>
      </c>
      <c r="G35" s="119" t="s">
        <v>5</v>
      </c>
      <c r="H35" s="119" t="s">
        <v>5</v>
      </c>
      <c r="I35" s="119" t="s">
        <v>5</v>
      </c>
      <c r="J35" s="119" t="s">
        <v>5</v>
      </c>
      <c r="K35" s="119" t="s">
        <v>2</v>
      </c>
      <c r="L35" s="119" t="s">
        <v>2</v>
      </c>
      <c r="M35" s="119" t="s">
        <v>3</v>
      </c>
      <c r="N35" s="119" t="s">
        <v>3</v>
      </c>
      <c r="O35" s="119" t="s">
        <v>2</v>
      </c>
      <c r="P35" s="119" t="s">
        <v>5</v>
      </c>
      <c r="Q35" s="119" t="s">
        <v>3</v>
      </c>
      <c r="R35" s="119" t="s">
        <v>3</v>
      </c>
      <c r="S35" s="119" t="s">
        <v>2</v>
      </c>
      <c r="T35" s="119" t="s">
        <v>5</v>
      </c>
      <c r="U35" s="119" t="s">
        <v>5</v>
      </c>
      <c r="V35" s="119" t="s">
        <v>5</v>
      </c>
      <c r="W35" s="119" t="s">
        <v>4</v>
      </c>
      <c r="X35" s="119" t="s">
        <v>3</v>
      </c>
      <c r="Y35" s="119" t="s">
        <v>2</v>
      </c>
      <c r="Z35" s="119" t="s">
        <v>3</v>
      </c>
      <c r="AA35" s="119" t="s">
        <v>4</v>
      </c>
      <c r="AB35" s="119" t="s">
        <v>4</v>
      </c>
      <c r="AC35" s="119" t="s">
        <v>4</v>
      </c>
      <c r="AD35" s="119" t="s">
        <v>4</v>
      </c>
      <c r="AE35" s="119" t="s">
        <v>4</v>
      </c>
      <c r="AF35" s="119" t="s">
        <v>4</v>
      </c>
      <c r="AG35" s="119" t="s">
        <v>3</v>
      </c>
      <c r="AH35" s="119" t="s">
        <v>4</v>
      </c>
      <c r="AI35" s="119" t="s">
        <v>4</v>
      </c>
      <c r="AJ35" s="119" t="s">
        <v>4</v>
      </c>
      <c r="AK35" s="119" t="s">
        <v>4</v>
      </c>
      <c r="AL35" s="119" t="s">
        <v>3</v>
      </c>
      <c r="AM35" s="6" t="s">
        <v>3</v>
      </c>
      <c r="AT35">
        <f>SUM(AT31:AT34)</f>
        <v>1</v>
      </c>
      <c r="AU35">
        <f>SUM(AU31:AU34)</f>
        <v>1</v>
      </c>
      <c r="AV35">
        <f>SUM(AV31:AV34)</f>
        <v>1</v>
      </c>
      <c r="AZ35"/>
      <c r="BA35" s="34"/>
      <c r="BB35" s="34"/>
      <c r="BC35" s="163"/>
      <c r="BD35" s="163"/>
      <c r="BE35" s="163"/>
      <c r="BF35" s="163"/>
      <c r="BG35" s="163"/>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55"/>
      <c r="CX35" s="155"/>
      <c r="CY35" s="155"/>
      <c r="CZ35" s="155"/>
      <c r="DA35" s="155"/>
      <c r="DB35" s="155"/>
      <c r="DC35" s="155"/>
      <c r="DD35" s="155"/>
      <c r="DE35" s="155"/>
      <c r="DF35" s="155"/>
      <c r="DG35" s="155"/>
      <c r="DH35" s="155"/>
    </row>
    <row r="36" spans="1:112" x14ac:dyDescent="0.3">
      <c r="A36" s="119">
        <f t="shared" si="0"/>
        <v>35</v>
      </c>
      <c r="B36" s="119" t="s">
        <v>265</v>
      </c>
      <c r="C36" s="119">
        <v>3</v>
      </c>
      <c r="D36" s="119" t="s">
        <v>5</v>
      </c>
      <c r="E36" s="119" t="s">
        <v>3</v>
      </c>
      <c r="F36" s="119" t="s">
        <v>3</v>
      </c>
      <c r="G36" s="119" t="s">
        <v>2</v>
      </c>
      <c r="H36" s="119" t="s">
        <v>5</v>
      </c>
      <c r="I36" s="119" t="s">
        <v>5</v>
      </c>
      <c r="J36" s="119" t="s">
        <v>5</v>
      </c>
      <c r="K36" s="119" t="s">
        <v>2</v>
      </c>
      <c r="L36" s="119" t="s">
        <v>3</v>
      </c>
      <c r="M36" s="119" t="s">
        <v>3</v>
      </c>
      <c r="N36" s="119" t="s">
        <v>3</v>
      </c>
      <c r="O36" s="119" t="s">
        <v>2</v>
      </c>
      <c r="P36" s="119" t="s">
        <v>5</v>
      </c>
      <c r="Q36" s="119" t="s">
        <v>3</v>
      </c>
      <c r="R36" s="119" t="s">
        <v>3</v>
      </c>
      <c r="S36" s="119" t="s">
        <v>5</v>
      </c>
      <c r="T36" s="119" t="s">
        <v>5</v>
      </c>
      <c r="U36" s="119" t="s">
        <v>5</v>
      </c>
      <c r="V36" s="119" t="s">
        <v>5</v>
      </c>
      <c r="W36" s="119" t="s">
        <v>4</v>
      </c>
      <c r="X36" s="119" t="s">
        <v>3</v>
      </c>
      <c r="Y36" s="119" t="s">
        <v>2</v>
      </c>
      <c r="Z36" s="119" t="s">
        <v>3</v>
      </c>
      <c r="AA36" s="119" t="s">
        <v>4</v>
      </c>
      <c r="AB36" s="119" t="s">
        <v>4</v>
      </c>
      <c r="AC36" s="119" t="s">
        <v>4</v>
      </c>
      <c r="AD36" s="119" t="s">
        <v>4</v>
      </c>
      <c r="AE36" s="119" t="s">
        <v>4</v>
      </c>
      <c r="AF36" s="119" t="s">
        <v>4</v>
      </c>
      <c r="AG36" s="119" t="s">
        <v>3</v>
      </c>
      <c r="AH36" s="119" t="s">
        <v>4</v>
      </c>
      <c r="AI36" s="119" t="s">
        <v>3</v>
      </c>
      <c r="AJ36" s="119" t="s">
        <v>4</v>
      </c>
      <c r="AK36" s="119" t="s">
        <v>4</v>
      </c>
      <c r="AL36" s="119" t="s">
        <v>3</v>
      </c>
      <c r="AM36" s="6" t="s">
        <v>3</v>
      </c>
      <c r="AS36" s="7" t="s">
        <v>233</v>
      </c>
      <c r="AT36" s="7">
        <v>1</v>
      </c>
      <c r="AU36" s="7">
        <v>2</v>
      </c>
      <c r="AV36" s="7">
        <v>3</v>
      </c>
      <c r="AW36" s="7">
        <v>4</v>
      </c>
      <c r="AX36" s="7">
        <v>5</v>
      </c>
      <c r="AY36" s="7">
        <v>6</v>
      </c>
      <c r="AZ36"/>
      <c r="BA36" s="34"/>
      <c r="BB36" s="34"/>
      <c r="BC36" s="163"/>
      <c r="BD36" s="163"/>
      <c r="BE36" s="157"/>
      <c r="BF36" s="157"/>
      <c r="BG36" s="155"/>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5"/>
      <c r="CS36" s="155"/>
      <c r="CT36" s="155"/>
      <c r="CU36" s="155"/>
      <c r="CV36" s="155"/>
      <c r="CW36" s="155"/>
      <c r="CX36" s="155"/>
      <c r="CY36" s="155"/>
      <c r="CZ36" s="155"/>
      <c r="DA36" s="155"/>
      <c r="DB36" s="155"/>
      <c r="DC36" s="155"/>
      <c r="DD36" s="155"/>
      <c r="DE36" s="155"/>
      <c r="DF36" s="155"/>
      <c r="DG36" s="155"/>
      <c r="DH36" s="155"/>
    </row>
    <row r="37" spans="1:112" x14ac:dyDescent="0.3">
      <c r="A37" s="119">
        <f t="shared" si="0"/>
        <v>36</v>
      </c>
      <c r="B37" s="119" t="s">
        <v>266</v>
      </c>
      <c r="C37" s="119">
        <v>3</v>
      </c>
      <c r="D37" s="119" t="s">
        <v>5</v>
      </c>
      <c r="E37" s="119" t="s">
        <v>3</v>
      </c>
      <c r="F37" s="119" t="s">
        <v>3</v>
      </c>
      <c r="G37" s="119" t="s">
        <v>5</v>
      </c>
      <c r="H37" s="119" t="s">
        <v>5</v>
      </c>
      <c r="I37" s="119" t="s">
        <v>5</v>
      </c>
      <c r="J37" s="119" t="s">
        <v>2</v>
      </c>
      <c r="K37" s="119" t="s">
        <v>2</v>
      </c>
      <c r="L37" s="119" t="s">
        <v>3</v>
      </c>
      <c r="M37" s="119" t="s">
        <v>4</v>
      </c>
      <c r="N37" s="119" t="s">
        <v>4</v>
      </c>
      <c r="O37" s="119" t="s">
        <v>5</v>
      </c>
      <c r="P37" s="119" t="s">
        <v>2</v>
      </c>
      <c r="Q37" s="119" t="s">
        <v>3</v>
      </c>
      <c r="R37" s="119" t="s">
        <v>2</v>
      </c>
      <c r="S37" s="119" t="s">
        <v>5</v>
      </c>
      <c r="T37" s="119" t="s">
        <v>5</v>
      </c>
      <c r="U37" s="119" t="s">
        <v>5</v>
      </c>
      <c r="V37" s="119" t="s">
        <v>5</v>
      </c>
      <c r="W37" s="119" t="s">
        <v>4</v>
      </c>
      <c r="X37" s="119" t="s">
        <v>3</v>
      </c>
      <c r="Y37" s="119" t="s">
        <v>3</v>
      </c>
      <c r="Z37" s="119" t="s">
        <v>3</v>
      </c>
      <c r="AA37" s="119" t="s">
        <v>4</v>
      </c>
      <c r="AB37" s="119" t="s">
        <v>4</v>
      </c>
      <c r="AC37" s="119" t="s">
        <v>4</v>
      </c>
      <c r="AD37" s="119" t="s">
        <v>4</v>
      </c>
      <c r="AE37" s="119" t="s">
        <v>4</v>
      </c>
      <c r="AF37" s="119" t="s">
        <v>4</v>
      </c>
      <c r="AG37" s="119" t="s">
        <v>3</v>
      </c>
      <c r="AH37" s="119" t="s">
        <v>4</v>
      </c>
      <c r="AI37" s="119" t="s">
        <v>4</v>
      </c>
      <c r="AJ37" s="119" t="s">
        <v>4</v>
      </c>
      <c r="AK37" s="119" t="s">
        <v>4</v>
      </c>
      <c r="AL37" s="119" t="s">
        <v>4</v>
      </c>
      <c r="AM37" s="6" t="s">
        <v>3</v>
      </c>
      <c r="AS37" s="6" t="s">
        <v>69</v>
      </c>
      <c r="AT37" s="6">
        <f>COUNTIFS(E:E,"A",C:C,1)/COUNTIF(C:C,1)</f>
        <v>0</v>
      </c>
      <c r="AU37" s="6">
        <f>COUNTIFS(E:E,"A",C:C,2)/COUNTIF(C:C,2)</f>
        <v>0</v>
      </c>
      <c r="AV37" s="6">
        <f>COUNTIFS(E:E,"A",C:C,3)/COUNTIF(C:C,3)</f>
        <v>7.6923076923076927E-2</v>
      </c>
      <c r="AW37" s="6">
        <f>COUNTIFS(E:E,"A",C:C,4)/COUNTIF(C:C,4)</f>
        <v>0</v>
      </c>
      <c r="AX37" s="6">
        <f>COUNTIFS(E:E,"A",C:C,5)/COUNTIF(C:C,5)</f>
        <v>0</v>
      </c>
      <c r="AY37" s="6">
        <f>COUNTIFS(E:E,"A",C:C,6)/COUNTIF(C:C,6)</f>
        <v>0</v>
      </c>
      <c r="AZ37"/>
      <c r="BA37" s="33"/>
      <c r="BB37" s="33"/>
      <c r="BC37" s="164"/>
      <c r="BD37" s="164"/>
      <c r="BE37" s="157"/>
      <c r="BF37" s="157"/>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c r="CK37" s="155"/>
      <c r="CL37" s="155"/>
      <c r="CM37" s="155"/>
      <c r="CN37" s="155"/>
      <c r="CO37" s="155"/>
      <c r="CP37" s="155"/>
      <c r="CQ37" s="155"/>
      <c r="CR37" s="155"/>
      <c r="CS37" s="155"/>
      <c r="CT37" s="155"/>
      <c r="CU37" s="155"/>
      <c r="CV37" s="155"/>
      <c r="CW37" s="155"/>
      <c r="CX37" s="155"/>
      <c r="CY37" s="155"/>
      <c r="CZ37" s="155"/>
      <c r="DA37" s="155"/>
      <c r="DB37" s="155"/>
      <c r="DC37" s="155"/>
      <c r="DD37" s="155"/>
      <c r="DE37" s="155"/>
      <c r="DF37" s="155"/>
      <c r="DG37" s="155"/>
      <c r="DH37" s="155"/>
    </row>
    <row r="38" spans="1:112" x14ac:dyDescent="0.3">
      <c r="A38" s="119">
        <f t="shared" si="0"/>
        <v>37</v>
      </c>
      <c r="B38" s="119" t="s">
        <v>465</v>
      </c>
      <c r="C38" s="119">
        <v>3</v>
      </c>
      <c r="D38" s="119" t="s">
        <v>5</v>
      </c>
      <c r="E38" s="119" t="s">
        <v>5</v>
      </c>
      <c r="F38" s="119" t="s">
        <v>5</v>
      </c>
      <c r="G38" s="119" t="s">
        <v>5</v>
      </c>
      <c r="H38" s="119" t="s">
        <v>5</v>
      </c>
      <c r="I38" s="119" t="s">
        <v>5</v>
      </c>
      <c r="J38" s="119" t="s">
        <v>5</v>
      </c>
      <c r="K38" s="119" t="s">
        <v>2</v>
      </c>
      <c r="L38" s="119" t="s">
        <v>2</v>
      </c>
      <c r="M38" s="119" t="s">
        <v>2</v>
      </c>
      <c r="N38" s="119" t="s">
        <v>5</v>
      </c>
      <c r="O38" s="119" t="s">
        <v>2</v>
      </c>
      <c r="P38" s="119" t="s">
        <v>2</v>
      </c>
      <c r="Q38" s="119" t="s">
        <v>2</v>
      </c>
      <c r="R38" s="119" t="s">
        <v>2</v>
      </c>
      <c r="S38" s="119" t="s">
        <v>5</v>
      </c>
      <c r="T38" s="119" t="s">
        <v>5</v>
      </c>
      <c r="U38" s="119" t="s">
        <v>5</v>
      </c>
      <c r="V38" s="119" t="s">
        <v>5</v>
      </c>
      <c r="W38" s="119" t="s">
        <v>3</v>
      </c>
      <c r="X38" s="119" t="s">
        <v>4</v>
      </c>
      <c r="Y38" s="119" t="s">
        <v>4</v>
      </c>
      <c r="Z38" s="119" t="s">
        <v>3</v>
      </c>
      <c r="AA38" s="119" t="s">
        <v>4</v>
      </c>
      <c r="AB38" s="119" t="s">
        <v>3</v>
      </c>
      <c r="AC38" s="119" t="s">
        <v>4</v>
      </c>
      <c r="AD38" s="119" t="s">
        <v>4</v>
      </c>
      <c r="AE38" s="119" t="s">
        <v>4</v>
      </c>
      <c r="AF38" s="119" t="s">
        <v>4</v>
      </c>
      <c r="AG38" s="119" t="s">
        <v>4</v>
      </c>
      <c r="AH38" s="119" t="s">
        <v>4</v>
      </c>
      <c r="AI38" s="119" t="s">
        <v>3</v>
      </c>
      <c r="AJ38" s="119" t="s">
        <v>4</v>
      </c>
      <c r="AK38" s="119" t="s">
        <v>4</v>
      </c>
      <c r="AL38" s="119" t="s">
        <v>4</v>
      </c>
      <c r="AM38" s="6" t="s">
        <v>3</v>
      </c>
      <c r="AS38" s="6" t="s">
        <v>70</v>
      </c>
      <c r="AT38" s="6">
        <f>COUNTIFS(E:E,"B",C:C,1)/COUNTIF(C:C,1)</f>
        <v>0.76923076923076927</v>
      </c>
      <c r="AU38" s="6">
        <f>COUNTIFS(E:E,"B",C:C,2)/COUNTIF(C:C,2)</f>
        <v>0.30769230769230771</v>
      </c>
      <c r="AV38" s="6">
        <f>COUNTIFS(E:E,"B",C:C,3)/COUNTIF(C:C,3)</f>
        <v>0.46153846153846156</v>
      </c>
      <c r="AW38" s="6">
        <f>COUNTIFS(E:E,"B",C:C,4)/COUNTIF(C:C,4)</f>
        <v>0.69230769230769229</v>
      </c>
      <c r="AX38" s="6">
        <f>COUNTIFS(E:E,"B",C:C,5)/COUNTIF(C:C,5)</f>
        <v>0.46153846153846156</v>
      </c>
      <c r="AY38" s="6">
        <f>COUNTIFS(E:E,"B",C:C,6)/COUNTIF(C:C,6)</f>
        <v>0.38461538461538464</v>
      </c>
      <c r="AZ38"/>
      <c r="BA38" s="31"/>
      <c r="BB38" s="31"/>
      <c r="BC38" s="165"/>
      <c r="BD38" s="165"/>
      <c r="BE38" s="159"/>
      <c r="BF38" s="159"/>
      <c r="BG38" s="165"/>
      <c r="BH38" s="155"/>
      <c r="BI38" s="161"/>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row>
    <row r="39" spans="1:112" x14ac:dyDescent="0.3">
      <c r="A39" s="119">
        <f t="shared" si="0"/>
        <v>38</v>
      </c>
      <c r="B39" s="119" t="s">
        <v>466</v>
      </c>
      <c r="C39" s="119">
        <v>3</v>
      </c>
      <c r="D39" s="119" t="s">
        <v>5</v>
      </c>
      <c r="E39" s="119" t="s">
        <v>3</v>
      </c>
      <c r="F39" s="119" t="s">
        <v>3</v>
      </c>
      <c r="G39" s="119" t="s">
        <v>5</v>
      </c>
      <c r="H39" s="119" t="s">
        <v>5</v>
      </c>
      <c r="I39" s="119" t="s">
        <v>5</v>
      </c>
      <c r="J39" s="119" t="s">
        <v>5</v>
      </c>
      <c r="K39" s="119" t="s">
        <v>2</v>
      </c>
      <c r="L39" s="119" t="s">
        <v>3</v>
      </c>
      <c r="M39" s="119" t="s">
        <v>3</v>
      </c>
      <c r="N39" s="119" t="s">
        <v>4</v>
      </c>
      <c r="O39" s="119" t="s">
        <v>5</v>
      </c>
      <c r="P39" s="119" t="s">
        <v>2</v>
      </c>
      <c r="Q39" s="119" t="s">
        <v>3</v>
      </c>
      <c r="R39" s="119" t="s">
        <v>5</v>
      </c>
      <c r="S39" s="119" t="s">
        <v>5</v>
      </c>
      <c r="T39" s="119" t="s">
        <v>5</v>
      </c>
      <c r="U39" s="119" t="s">
        <v>5</v>
      </c>
      <c r="V39" s="119" t="s">
        <v>4</v>
      </c>
      <c r="W39" s="119" t="s">
        <v>4</v>
      </c>
      <c r="X39" s="119" t="s">
        <v>4</v>
      </c>
      <c r="Y39" s="119" t="s">
        <v>2</v>
      </c>
      <c r="Z39" s="119" t="s">
        <v>3</v>
      </c>
      <c r="AA39" s="119" t="s">
        <v>4</v>
      </c>
      <c r="AB39" s="119" t="s">
        <v>4</v>
      </c>
      <c r="AC39" s="119" t="s">
        <v>4</v>
      </c>
      <c r="AD39" s="119" t="s">
        <v>4</v>
      </c>
      <c r="AE39" s="119" t="s">
        <v>4</v>
      </c>
      <c r="AF39" s="119" t="s">
        <v>4</v>
      </c>
      <c r="AG39" s="119" t="s">
        <v>3</v>
      </c>
      <c r="AH39" s="119" t="s">
        <v>4</v>
      </c>
      <c r="AI39" s="119" t="s">
        <v>3</v>
      </c>
      <c r="AJ39" s="119" t="s">
        <v>4</v>
      </c>
      <c r="AK39" s="119" t="s">
        <v>4</v>
      </c>
      <c r="AL39" s="119" t="s">
        <v>4</v>
      </c>
      <c r="AM39" s="6" t="s">
        <v>4</v>
      </c>
      <c r="AS39" s="6" t="s">
        <v>71</v>
      </c>
      <c r="AT39" s="6">
        <f>COUNTIFS(E:E,"C",C:C,1)/COUNTIF(C:C,1)</f>
        <v>7.6923076923076927E-2</v>
      </c>
      <c r="AU39" s="6">
        <f>COUNTIFS(E:E,"C",C:C,2)/COUNTIF(C:C,2)</f>
        <v>0</v>
      </c>
      <c r="AV39" s="6">
        <f>COUNTIFS(E:E,"C",C:C,3)/COUNTIF(C:C,3)</f>
        <v>0</v>
      </c>
      <c r="AW39" s="6">
        <f>COUNTIFS(E:E,"C",C:C,4)/COUNTIF(C:C,4)</f>
        <v>0</v>
      </c>
      <c r="AX39" s="6">
        <f>COUNTIFS(E:E,"C",C:C,5)/COUNTIF(C:C,5)</f>
        <v>0</v>
      </c>
      <c r="AY39" s="6">
        <f>COUNTIFS(E:E,"C",C:C,6)/COUNTIF(C:C,6)</f>
        <v>0</v>
      </c>
      <c r="AZ39"/>
      <c r="BA39" s="31"/>
      <c r="BB39" s="34"/>
      <c r="BC39" s="165"/>
      <c r="BD39" s="165"/>
      <c r="BE39" s="159"/>
      <c r="BF39" s="159"/>
      <c r="BG39" s="16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c r="CK39" s="155"/>
      <c r="CL39" s="155"/>
      <c r="CM39" s="155"/>
      <c r="CN39" s="155"/>
      <c r="CO39" s="155"/>
      <c r="CP39" s="155"/>
      <c r="CQ39" s="155"/>
      <c r="CR39" s="155"/>
      <c r="CS39" s="155"/>
      <c r="CT39" s="155"/>
      <c r="CU39" s="155"/>
      <c r="CV39" s="155"/>
      <c r="CW39" s="155"/>
      <c r="CX39" s="155"/>
      <c r="CY39" s="155"/>
      <c r="CZ39" s="155"/>
      <c r="DA39" s="155"/>
      <c r="DB39" s="155"/>
      <c r="DC39" s="155"/>
      <c r="DD39" s="155"/>
      <c r="DE39" s="155"/>
      <c r="DF39" s="155"/>
      <c r="DG39" s="155"/>
      <c r="DH39" s="155"/>
    </row>
    <row r="40" spans="1:112" x14ac:dyDescent="0.3">
      <c r="A40" s="119">
        <f t="shared" si="0"/>
        <v>39</v>
      </c>
      <c r="B40" s="119" t="s">
        <v>493</v>
      </c>
      <c r="C40" s="119">
        <v>3</v>
      </c>
      <c r="D40" s="119" t="s">
        <v>2</v>
      </c>
      <c r="E40" s="119" t="s">
        <v>5</v>
      </c>
      <c r="F40" s="119" t="s">
        <v>3</v>
      </c>
      <c r="G40" s="119" t="s">
        <v>2</v>
      </c>
      <c r="H40" s="119" t="s">
        <v>5</v>
      </c>
      <c r="I40" s="119" t="s">
        <v>5</v>
      </c>
      <c r="J40" s="119" t="s">
        <v>5</v>
      </c>
      <c r="K40" s="119" t="s">
        <v>2</v>
      </c>
      <c r="L40" s="119" t="s">
        <v>3</v>
      </c>
      <c r="M40" s="119" t="s">
        <v>4</v>
      </c>
      <c r="N40" s="119" t="s">
        <v>4</v>
      </c>
      <c r="O40" s="119" t="s">
        <v>5</v>
      </c>
      <c r="P40" s="119" t="s">
        <v>5</v>
      </c>
      <c r="Q40" s="119" t="s">
        <v>4</v>
      </c>
      <c r="R40" s="119" t="s">
        <v>5</v>
      </c>
      <c r="S40" s="119" t="s">
        <v>5</v>
      </c>
      <c r="T40" s="119" t="s">
        <v>5</v>
      </c>
      <c r="U40" s="119" t="s">
        <v>5</v>
      </c>
      <c r="V40" s="119" t="s">
        <v>5</v>
      </c>
      <c r="W40" s="119" t="s">
        <v>4</v>
      </c>
      <c r="X40" s="119" t="s">
        <v>4</v>
      </c>
      <c r="Y40" s="119" t="s">
        <v>4</v>
      </c>
      <c r="Z40" s="119" t="s">
        <v>4</v>
      </c>
      <c r="AA40" s="119" t="s">
        <v>4</v>
      </c>
      <c r="AB40" s="119" t="s">
        <v>4</v>
      </c>
      <c r="AC40" s="119" t="s">
        <v>4</v>
      </c>
      <c r="AD40" s="119" t="s">
        <v>4</v>
      </c>
      <c r="AE40" s="119" t="s">
        <v>4</v>
      </c>
      <c r="AF40" s="119" t="s">
        <v>4</v>
      </c>
      <c r="AG40" s="119" t="s">
        <v>4</v>
      </c>
      <c r="AH40" s="119" t="s">
        <v>4</v>
      </c>
      <c r="AI40" s="119" t="s">
        <v>3</v>
      </c>
      <c r="AJ40" s="119" t="s">
        <v>4</v>
      </c>
      <c r="AK40" s="119" t="s">
        <v>4</v>
      </c>
      <c r="AL40" s="119" t="s">
        <v>3</v>
      </c>
      <c r="AM40" s="6" t="s">
        <v>4</v>
      </c>
      <c r="AS40" s="6" t="s">
        <v>72</v>
      </c>
      <c r="AT40" s="6">
        <f>COUNTIFS(E:E,"D",C:C,1)/COUNTIF(C:C,1)</f>
        <v>0.15384615384615385</v>
      </c>
      <c r="AU40" s="6">
        <f>COUNTIFS(E:E,"D",C:C,2)/COUNTIF(C:C,2)</f>
        <v>0.69230769230769229</v>
      </c>
      <c r="AV40" s="6">
        <f>COUNTIFS(E:E,"D",C:C,3)/COUNTIF(C:C,3)</f>
        <v>0.46153846153846156</v>
      </c>
      <c r="AW40" s="6">
        <f>COUNTIFS(E:E,"D",C:C,4)/COUNTIF(C:C,4)</f>
        <v>0.30769230769230771</v>
      </c>
      <c r="AX40" s="6">
        <f>COUNTIFS(E:E,"D",C:C,5)/COUNTIF(C:C,5)</f>
        <v>0.53846153846153844</v>
      </c>
      <c r="AY40" s="6">
        <f>COUNTIFS(E:E,"D",C:C,6)/COUNTIF(C:C,6)</f>
        <v>0.61538461538461542</v>
      </c>
      <c r="AZ40"/>
      <c r="BA40" s="31"/>
      <c r="BB40" s="31"/>
      <c r="BC40" s="165"/>
      <c r="BD40" s="165"/>
      <c r="BE40" s="159"/>
      <c r="BF40" s="159"/>
      <c r="BG40" s="165"/>
      <c r="BH40" s="155"/>
      <c r="BI40" s="161"/>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c r="CK40" s="155"/>
      <c r="CL40" s="155"/>
      <c r="CM40" s="155"/>
      <c r="CN40" s="155"/>
      <c r="CO40" s="155"/>
      <c r="CP40" s="155"/>
      <c r="CQ40" s="155"/>
      <c r="CR40" s="155"/>
      <c r="CS40" s="155"/>
      <c r="CT40" s="155"/>
      <c r="CU40" s="155"/>
      <c r="CV40" s="155"/>
      <c r="CW40" s="155"/>
      <c r="CX40" s="155"/>
      <c r="CY40" s="155"/>
      <c r="CZ40" s="155"/>
      <c r="DA40" s="155"/>
      <c r="DB40" s="155"/>
      <c r="DC40" s="155"/>
      <c r="DD40" s="155"/>
      <c r="DE40" s="155"/>
      <c r="DF40" s="155"/>
      <c r="DG40" s="155"/>
      <c r="DH40" s="155"/>
    </row>
    <row r="41" spans="1:112" x14ac:dyDescent="0.3">
      <c r="A41" s="119">
        <f t="shared" si="0"/>
        <v>40</v>
      </c>
      <c r="B41" s="119" t="s">
        <v>23</v>
      </c>
      <c r="C41" s="119">
        <v>4</v>
      </c>
      <c r="D41" s="119" t="s">
        <v>3</v>
      </c>
      <c r="E41" s="119" t="s">
        <v>3</v>
      </c>
      <c r="F41" s="119" t="s">
        <v>4</v>
      </c>
      <c r="G41" s="119" t="s">
        <v>2</v>
      </c>
      <c r="H41" s="119" t="s">
        <v>5</v>
      </c>
      <c r="I41" s="119" t="s">
        <v>5</v>
      </c>
      <c r="J41" s="119" t="s">
        <v>5</v>
      </c>
      <c r="K41" s="119" t="s">
        <v>2</v>
      </c>
      <c r="L41" s="119" t="s">
        <v>2</v>
      </c>
      <c r="M41" s="119" t="s">
        <v>2</v>
      </c>
      <c r="N41" s="119" t="s">
        <v>5</v>
      </c>
      <c r="O41" s="119" t="s">
        <v>2</v>
      </c>
      <c r="P41" s="119" t="s">
        <v>5</v>
      </c>
      <c r="Q41" s="119" t="s">
        <v>3</v>
      </c>
      <c r="R41" s="119" t="s">
        <v>3</v>
      </c>
      <c r="S41" s="119" t="s">
        <v>5</v>
      </c>
      <c r="T41" s="119" t="s">
        <v>5</v>
      </c>
      <c r="U41" s="119" t="s">
        <v>5</v>
      </c>
      <c r="V41" s="119" t="s">
        <v>5</v>
      </c>
      <c r="W41" s="119" t="s">
        <v>4</v>
      </c>
      <c r="X41" s="119" t="s">
        <v>4</v>
      </c>
      <c r="Y41" s="119" t="s">
        <v>2</v>
      </c>
      <c r="Z41" s="119" t="s">
        <v>3</v>
      </c>
      <c r="AA41" s="119" t="s">
        <v>4</v>
      </c>
      <c r="AB41" s="119" t="s">
        <v>4</v>
      </c>
      <c r="AC41" s="119" t="s">
        <v>4</v>
      </c>
      <c r="AD41" s="119" t="s">
        <v>4</v>
      </c>
      <c r="AE41" s="119" t="s">
        <v>4</v>
      </c>
      <c r="AF41" s="119" t="s">
        <v>4</v>
      </c>
      <c r="AG41" s="119" t="s">
        <v>3</v>
      </c>
      <c r="AH41" s="119" t="s">
        <v>4</v>
      </c>
      <c r="AI41" s="119" t="s">
        <v>3</v>
      </c>
      <c r="AJ41" s="119" t="s">
        <v>3</v>
      </c>
      <c r="AK41" s="119" t="s">
        <v>4</v>
      </c>
      <c r="AL41" s="119" t="s">
        <v>3</v>
      </c>
      <c r="AM41" s="6" t="s">
        <v>3</v>
      </c>
      <c r="AZ41"/>
      <c r="BA41" s="31"/>
      <c r="BB41" s="31"/>
      <c r="BC41" s="165"/>
      <c r="BD41" s="165"/>
      <c r="BE41" s="159"/>
      <c r="BF41" s="159"/>
      <c r="BG41" s="16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c r="CK41" s="155"/>
      <c r="CL41" s="155"/>
      <c r="CM41" s="155"/>
      <c r="CN41" s="155"/>
      <c r="CO41" s="155"/>
      <c r="CP41" s="155"/>
      <c r="CQ41" s="155"/>
      <c r="CR41" s="155"/>
      <c r="CS41" s="155"/>
      <c r="CT41" s="155"/>
      <c r="CU41" s="155"/>
      <c r="CV41" s="155"/>
      <c r="CW41" s="155"/>
      <c r="CX41" s="155"/>
      <c r="CY41" s="155"/>
      <c r="CZ41" s="155"/>
      <c r="DA41" s="155"/>
      <c r="DB41" s="155"/>
      <c r="DC41" s="155"/>
      <c r="DD41" s="155"/>
      <c r="DE41" s="155"/>
      <c r="DF41" s="155"/>
      <c r="DG41" s="155"/>
      <c r="DH41" s="155"/>
    </row>
    <row r="42" spans="1:112" x14ac:dyDescent="0.3">
      <c r="A42" s="119">
        <f t="shared" si="0"/>
        <v>41</v>
      </c>
      <c r="B42" s="119" t="s">
        <v>24</v>
      </c>
      <c r="C42" s="119">
        <v>4</v>
      </c>
      <c r="D42" s="119" t="s">
        <v>5</v>
      </c>
      <c r="E42" s="119" t="s">
        <v>3</v>
      </c>
      <c r="F42" s="119" t="s">
        <v>3</v>
      </c>
      <c r="G42" s="119" t="s">
        <v>5</v>
      </c>
      <c r="H42" s="119" t="s">
        <v>5</v>
      </c>
      <c r="I42" s="119" t="s">
        <v>5</v>
      </c>
      <c r="J42" s="119" t="s">
        <v>5</v>
      </c>
      <c r="K42" s="119" t="s">
        <v>2</v>
      </c>
      <c r="L42" s="119" t="s">
        <v>2</v>
      </c>
      <c r="M42" s="119" t="s">
        <v>5</v>
      </c>
      <c r="N42" s="119" t="s">
        <v>3</v>
      </c>
      <c r="O42" s="119" t="s">
        <v>4</v>
      </c>
      <c r="P42" s="119" t="s">
        <v>5</v>
      </c>
      <c r="Q42" s="119" t="s">
        <v>3</v>
      </c>
      <c r="R42" s="119" t="s">
        <v>5</v>
      </c>
      <c r="S42" s="119" t="s">
        <v>5</v>
      </c>
      <c r="T42" s="119" t="s">
        <v>5</v>
      </c>
      <c r="U42" s="119" t="s">
        <v>5</v>
      </c>
      <c r="V42" s="119" t="s">
        <v>5</v>
      </c>
      <c r="W42" s="119" t="s">
        <v>4</v>
      </c>
      <c r="X42" s="119" t="s">
        <v>4</v>
      </c>
      <c r="Y42" s="119" t="s">
        <v>4</v>
      </c>
      <c r="Z42" s="119" t="s">
        <v>3</v>
      </c>
      <c r="AA42" s="119" t="s">
        <v>4</v>
      </c>
      <c r="AB42" s="119" t="s">
        <v>4</v>
      </c>
      <c r="AC42" s="119" t="s">
        <v>4</v>
      </c>
      <c r="AD42" s="119" t="s">
        <v>4</v>
      </c>
      <c r="AE42" s="119" t="s">
        <v>4</v>
      </c>
      <c r="AF42" s="119" t="s">
        <v>4</v>
      </c>
      <c r="AG42" s="119" t="s">
        <v>3</v>
      </c>
      <c r="AH42" s="119" t="s">
        <v>4</v>
      </c>
      <c r="AI42" s="119" t="s">
        <v>3</v>
      </c>
      <c r="AJ42" s="119" t="s">
        <v>4</v>
      </c>
      <c r="AK42" s="119" t="s">
        <v>4</v>
      </c>
      <c r="AL42" s="119" t="s">
        <v>4</v>
      </c>
      <c r="AM42" s="6" t="s">
        <v>3</v>
      </c>
      <c r="AS42" s="7" t="s">
        <v>234</v>
      </c>
      <c r="AT42" s="7">
        <v>1</v>
      </c>
      <c r="AU42" s="7">
        <v>2</v>
      </c>
      <c r="AV42" s="7">
        <v>3</v>
      </c>
      <c r="AW42" s="7">
        <v>4</v>
      </c>
      <c r="AX42" s="7">
        <v>5</v>
      </c>
      <c r="AY42" s="7">
        <v>6</v>
      </c>
      <c r="AZ42"/>
      <c r="BA42" s="31"/>
      <c r="BB42" s="31"/>
      <c r="BC42" s="165"/>
      <c r="BD42" s="165"/>
      <c r="BE42" s="159"/>
      <c r="BF42" s="159"/>
      <c r="BG42" s="165"/>
      <c r="BH42" s="155"/>
      <c r="BI42" s="161"/>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c r="CR42" s="155"/>
      <c r="CS42" s="155"/>
      <c r="CT42" s="155"/>
      <c r="CU42" s="155"/>
      <c r="CV42" s="155"/>
      <c r="CW42" s="155"/>
      <c r="CX42" s="155"/>
      <c r="CY42" s="155"/>
      <c r="CZ42" s="155"/>
      <c r="DA42" s="155"/>
      <c r="DB42" s="155"/>
      <c r="DC42" s="155"/>
      <c r="DD42" s="155"/>
      <c r="DE42" s="155"/>
      <c r="DF42" s="155"/>
      <c r="DG42" s="155"/>
      <c r="DH42" s="155"/>
    </row>
    <row r="43" spans="1:112" x14ac:dyDescent="0.3">
      <c r="A43" s="119">
        <f t="shared" si="0"/>
        <v>42</v>
      </c>
      <c r="B43" s="119" t="s">
        <v>25</v>
      </c>
      <c r="C43" s="119">
        <v>4</v>
      </c>
      <c r="D43" s="119" t="s">
        <v>5</v>
      </c>
      <c r="E43" s="119" t="s">
        <v>5</v>
      </c>
      <c r="F43" s="119" t="s">
        <v>5</v>
      </c>
      <c r="G43" s="119" t="s">
        <v>5</v>
      </c>
      <c r="H43" s="119" t="s">
        <v>5</v>
      </c>
      <c r="I43" s="119" t="s">
        <v>5</v>
      </c>
      <c r="J43" s="119" t="s">
        <v>5</v>
      </c>
      <c r="K43" s="119" t="s">
        <v>2</v>
      </c>
      <c r="L43" s="119" t="s">
        <v>5</v>
      </c>
      <c r="M43" s="119" t="s">
        <v>5</v>
      </c>
      <c r="N43" s="119" t="s">
        <v>3</v>
      </c>
      <c r="O43" s="119" t="s">
        <v>5</v>
      </c>
      <c r="P43" s="119" t="s">
        <v>5</v>
      </c>
      <c r="Q43" s="119" t="s">
        <v>2</v>
      </c>
      <c r="R43" s="119" t="s">
        <v>2</v>
      </c>
      <c r="S43" s="119" t="s">
        <v>5</v>
      </c>
      <c r="T43" s="119" t="s">
        <v>5</v>
      </c>
      <c r="U43" s="119" t="s">
        <v>5</v>
      </c>
      <c r="V43" s="119" t="s">
        <v>5</v>
      </c>
      <c r="W43" s="119" t="s">
        <v>4</v>
      </c>
      <c r="X43" s="119" t="s">
        <v>3</v>
      </c>
      <c r="Y43" s="119" t="s">
        <v>2</v>
      </c>
      <c r="Z43" s="119" t="s">
        <v>3</v>
      </c>
      <c r="AA43" s="119" t="s">
        <v>4</v>
      </c>
      <c r="AB43" s="119" t="s">
        <v>4</v>
      </c>
      <c r="AC43" s="119" t="s">
        <v>4</v>
      </c>
      <c r="AD43" s="119" t="s">
        <v>4</v>
      </c>
      <c r="AE43" s="119" t="s">
        <v>4</v>
      </c>
      <c r="AF43" s="119" t="s">
        <v>4</v>
      </c>
      <c r="AG43" s="119" t="s">
        <v>3</v>
      </c>
      <c r="AH43" s="119" t="s">
        <v>4</v>
      </c>
      <c r="AI43" s="119" t="s">
        <v>3</v>
      </c>
      <c r="AJ43" s="119" t="s">
        <v>4</v>
      </c>
      <c r="AK43" s="119" t="s">
        <v>4</v>
      </c>
      <c r="AL43" s="119" t="s">
        <v>3</v>
      </c>
      <c r="AM43" s="6" t="s">
        <v>3</v>
      </c>
      <c r="AS43" s="6" t="s">
        <v>73</v>
      </c>
      <c r="AT43" s="6">
        <f>COUNTIFS(F:F,"A",C:C,1)/COUNTIF(C:C,1)</f>
        <v>0.38461538461538464</v>
      </c>
      <c r="AU43" s="6">
        <f>COUNTIFS(F:F,"A",C:C,2)/COUNTIF(C:C,2)</f>
        <v>0.15384615384615385</v>
      </c>
      <c r="AV43" s="6">
        <f>COUNTIFS(F:F,"A",C:C,3)/COUNTIF(C:C,3)</f>
        <v>0.15384615384615385</v>
      </c>
      <c r="AW43" s="6">
        <f>COUNTIFS(F:F,"A",C:C,4)/COUNTIF(C:C,4)</f>
        <v>0.30769230769230771</v>
      </c>
      <c r="AX43" s="6">
        <f>COUNTIFS(F:F,"A",C:C,5)/COUNTIF(C:C,5)</f>
        <v>7.6923076923076927E-2</v>
      </c>
      <c r="AY43" s="6">
        <f>COUNTIFS(F:F,"A",C:C,6)/COUNTIF(C:C,6)</f>
        <v>0.15384615384615385</v>
      </c>
      <c r="AZ43"/>
      <c r="BA43" s="33"/>
      <c r="BB43" s="33"/>
      <c r="BC43" s="164"/>
      <c r="BD43" s="164"/>
      <c r="BE43" s="159"/>
      <c r="BF43" s="159"/>
      <c r="BG43" s="16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c r="CR43" s="155"/>
      <c r="CS43" s="155"/>
      <c r="CT43" s="155"/>
      <c r="CU43" s="155"/>
      <c r="CV43" s="155"/>
      <c r="CW43" s="155"/>
      <c r="CX43" s="155"/>
      <c r="CY43" s="155"/>
      <c r="CZ43" s="155"/>
      <c r="DA43" s="155"/>
      <c r="DB43" s="155"/>
      <c r="DC43" s="155"/>
      <c r="DD43" s="155"/>
      <c r="DE43" s="155"/>
      <c r="DF43" s="155"/>
      <c r="DG43" s="155"/>
      <c r="DH43" s="155"/>
    </row>
    <row r="44" spans="1:112" x14ac:dyDescent="0.3">
      <c r="A44" s="119">
        <f t="shared" si="0"/>
        <v>43</v>
      </c>
      <c r="B44" s="119" t="s">
        <v>26</v>
      </c>
      <c r="C44" s="119">
        <v>4</v>
      </c>
      <c r="D44" s="119" t="s">
        <v>3</v>
      </c>
      <c r="E44" s="119" t="s">
        <v>3</v>
      </c>
      <c r="F44" s="119" t="s">
        <v>3</v>
      </c>
      <c r="G44" s="119" t="s">
        <v>5</v>
      </c>
      <c r="H44" s="119" t="s">
        <v>5</v>
      </c>
      <c r="I44" s="119" t="s">
        <v>5</v>
      </c>
      <c r="J44" s="119" t="s">
        <v>5</v>
      </c>
      <c r="K44" s="119" t="s">
        <v>2</v>
      </c>
      <c r="L44" s="119" t="s">
        <v>2</v>
      </c>
      <c r="M44" s="119" t="s">
        <v>4</v>
      </c>
      <c r="N44" s="119" t="s">
        <v>4</v>
      </c>
      <c r="O44" s="119" t="s">
        <v>5</v>
      </c>
      <c r="P44" s="119" t="s">
        <v>5</v>
      </c>
      <c r="Q44" s="119" t="s">
        <v>3</v>
      </c>
      <c r="R44" s="119" t="s">
        <v>2</v>
      </c>
      <c r="S44" s="119" t="s">
        <v>5</v>
      </c>
      <c r="T44" s="119" t="s">
        <v>5</v>
      </c>
      <c r="U44" s="119" t="s">
        <v>5</v>
      </c>
      <c r="V44" s="119" t="s">
        <v>4</v>
      </c>
      <c r="W44" s="119" t="s">
        <v>4</v>
      </c>
      <c r="X44" s="119" t="s">
        <v>3</v>
      </c>
      <c r="Y44" s="119" t="s">
        <v>4</v>
      </c>
      <c r="Z44" s="119" t="s">
        <v>3</v>
      </c>
      <c r="AA44" s="119" t="s">
        <v>4</v>
      </c>
      <c r="AB44" s="119" t="s">
        <v>4</v>
      </c>
      <c r="AC44" s="119" t="s">
        <v>4</v>
      </c>
      <c r="AD44" s="119" t="s">
        <v>4</v>
      </c>
      <c r="AE44" s="119" t="s">
        <v>4</v>
      </c>
      <c r="AF44" s="119" t="s">
        <v>3</v>
      </c>
      <c r="AG44" s="119" t="s">
        <v>3</v>
      </c>
      <c r="AH44" s="119" t="s">
        <v>4</v>
      </c>
      <c r="AI44" s="119" t="s">
        <v>3</v>
      </c>
      <c r="AJ44" s="119" t="s">
        <v>4</v>
      </c>
      <c r="AK44" s="119" t="s">
        <v>4</v>
      </c>
      <c r="AL44" s="119" t="s">
        <v>4</v>
      </c>
      <c r="AM44" s="6" t="s">
        <v>3</v>
      </c>
      <c r="AS44" s="6" t="s">
        <v>74</v>
      </c>
      <c r="AT44" s="6">
        <f>COUNTIFS(F:F,"B",C:C,1)/COUNTIF(C:C,1)</f>
        <v>0.23076923076923078</v>
      </c>
      <c r="AU44" s="6">
        <f>COUNTIFS(F:F,"B",C:C,2)/COUNTIF(C:C,2)</f>
        <v>0.46153846153846156</v>
      </c>
      <c r="AV44" s="6">
        <f>COUNTIFS(F:F,"B",C:C,3)/COUNTIF(C:C,3)</f>
        <v>0.76923076923076927</v>
      </c>
      <c r="AW44" s="6">
        <f>COUNTIFS(F:F,"B",C:C,4)/COUNTIF(C:C,4)</f>
        <v>0.30769230769230771</v>
      </c>
      <c r="AX44" s="6">
        <f>COUNTIFS(F:F,"B",C:C,5)/COUNTIF(C:C,5)</f>
        <v>0.30769230769230771</v>
      </c>
      <c r="AY44" s="6">
        <f>COUNTIFS(F:F,"B",C:C,6)/COUNTIF(C:C,6)</f>
        <v>0.38461538461538464</v>
      </c>
      <c r="AZ44"/>
      <c r="BA44" s="31"/>
      <c r="BB44" s="31"/>
      <c r="BC44" s="165"/>
      <c r="BD44" s="165"/>
      <c r="BE44" s="159"/>
      <c r="BF44" s="159"/>
      <c r="BG44" s="166"/>
      <c r="BH44" s="165"/>
      <c r="BI44" s="161"/>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c r="CR44" s="155"/>
      <c r="CS44" s="155"/>
      <c r="CT44" s="155"/>
      <c r="CU44" s="155"/>
      <c r="CV44" s="155"/>
      <c r="CW44" s="155"/>
      <c r="CX44" s="155"/>
      <c r="CY44" s="155"/>
      <c r="CZ44" s="155"/>
      <c r="DA44" s="155"/>
      <c r="DB44" s="155"/>
      <c r="DC44" s="155"/>
      <c r="DD44" s="155"/>
      <c r="DE44" s="155"/>
      <c r="DF44" s="155"/>
      <c r="DG44" s="155"/>
      <c r="DH44" s="155"/>
    </row>
    <row r="45" spans="1:112" x14ac:dyDescent="0.3">
      <c r="A45" s="119">
        <f t="shared" si="0"/>
        <v>44</v>
      </c>
      <c r="B45" s="119" t="s">
        <v>27</v>
      </c>
      <c r="C45" s="119">
        <v>4</v>
      </c>
      <c r="D45" s="119" t="s">
        <v>5</v>
      </c>
      <c r="E45" s="119" t="s">
        <v>3</v>
      </c>
      <c r="F45" s="119" t="s">
        <v>4</v>
      </c>
      <c r="G45" s="119" t="s">
        <v>3</v>
      </c>
      <c r="H45" s="119" t="s">
        <v>5</v>
      </c>
      <c r="I45" s="119" t="s">
        <v>5</v>
      </c>
      <c r="J45" s="119" t="s">
        <v>5</v>
      </c>
      <c r="K45" s="119" t="s">
        <v>2</v>
      </c>
      <c r="L45" s="119" t="s">
        <v>3</v>
      </c>
      <c r="M45" s="119" t="s">
        <v>3</v>
      </c>
      <c r="N45" s="119" t="s">
        <v>4</v>
      </c>
      <c r="O45" s="119" t="s">
        <v>5</v>
      </c>
      <c r="P45" s="119" t="s">
        <v>4</v>
      </c>
      <c r="Q45" s="119" t="s">
        <v>2</v>
      </c>
      <c r="R45" s="119" t="s">
        <v>5</v>
      </c>
      <c r="S45" s="119" t="s">
        <v>5</v>
      </c>
      <c r="T45" s="119" t="s">
        <v>5</v>
      </c>
      <c r="U45" s="119" t="s">
        <v>5</v>
      </c>
      <c r="V45" s="119" t="s">
        <v>4</v>
      </c>
      <c r="W45" s="119" t="s">
        <v>4</v>
      </c>
      <c r="X45" s="119" t="s">
        <v>4</v>
      </c>
      <c r="Y45" s="119" t="s">
        <v>2</v>
      </c>
      <c r="Z45" s="119" t="s">
        <v>3</v>
      </c>
      <c r="AA45" s="119" t="s">
        <v>4</v>
      </c>
      <c r="AB45" s="119" t="s">
        <v>4</v>
      </c>
      <c r="AC45" s="119" t="s">
        <v>4</v>
      </c>
      <c r="AD45" s="119" t="s">
        <v>4</v>
      </c>
      <c r="AE45" s="119" t="s">
        <v>4</v>
      </c>
      <c r="AF45" s="119" t="s">
        <v>4</v>
      </c>
      <c r="AG45" s="119" t="s">
        <v>4</v>
      </c>
      <c r="AH45" s="119" t="s">
        <v>4</v>
      </c>
      <c r="AI45" s="119" t="s">
        <v>3</v>
      </c>
      <c r="AJ45" s="119" t="s">
        <v>4</v>
      </c>
      <c r="AK45" s="119" t="s">
        <v>4</v>
      </c>
      <c r="AL45" s="119" t="s">
        <v>4</v>
      </c>
      <c r="AM45" s="6" t="s">
        <v>3</v>
      </c>
      <c r="AS45" s="6" t="s">
        <v>75</v>
      </c>
      <c r="AT45" s="6">
        <f>COUNTIFS(F:F,"C",C:C,1)/COUNTIF(C:C,1)</f>
        <v>0.38461538461538464</v>
      </c>
      <c r="AU45" s="6">
        <f>COUNTIFS(F:F,"C",C:C,2)/COUNTIF(C:C,2)</f>
        <v>0.30769230769230771</v>
      </c>
      <c r="AV45" s="6">
        <f>COUNTIFS(F:F,"C",C:C,3)/COUNTIF(C:C,3)</f>
        <v>0</v>
      </c>
      <c r="AW45" s="6">
        <f>COUNTIFS(F:F,"C",C:C,4)/COUNTIF(C:C,4)</f>
        <v>0.23076923076923078</v>
      </c>
      <c r="AX45" s="6">
        <f>COUNTIFS(F:F,"C",C:C,5)/COUNTIF(C:C,5)</f>
        <v>0.46153846153846156</v>
      </c>
      <c r="AY45" s="6">
        <f>COUNTIFS(F:F,"C",C:C,6)/COUNTIF(C:C,6)</f>
        <v>0.15384615384615385</v>
      </c>
      <c r="AZ45"/>
      <c r="BA45" s="31"/>
      <c r="BB45" s="31"/>
      <c r="BC45" s="165"/>
      <c r="BD45" s="165"/>
      <c r="BE45" s="165"/>
      <c r="BF45" s="165"/>
      <c r="BG45" s="16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c r="CR45" s="155"/>
      <c r="CS45" s="155"/>
      <c r="CT45" s="155"/>
      <c r="CU45" s="155"/>
      <c r="CV45" s="155"/>
      <c r="CW45" s="155"/>
      <c r="CX45" s="155"/>
      <c r="CY45" s="155"/>
      <c r="CZ45" s="155"/>
      <c r="DA45" s="155"/>
      <c r="DB45" s="155"/>
      <c r="DC45" s="155"/>
      <c r="DD45" s="155"/>
      <c r="DE45" s="155"/>
      <c r="DF45" s="155"/>
      <c r="DG45" s="155"/>
      <c r="DH45" s="155"/>
    </row>
    <row r="46" spans="1:112" x14ac:dyDescent="0.3">
      <c r="A46" s="119">
        <f t="shared" si="0"/>
        <v>45</v>
      </c>
      <c r="B46" s="119" t="s">
        <v>28</v>
      </c>
      <c r="C46" s="119">
        <v>4</v>
      </c>
      <c r="D46" s="119" t="s">
        <v>5</v>
      </c>
      <c r="E46" s="119" t="s">
        <v>3</v>
      </c>
      <c r="F46" s="119" t="s">
        <v>2</v>
      </c>
      <c r="G46" s="119" t="s">
        <v>5</v>
      </c>
      <c r="H46" s="119" t="s">
        <v>5</v>
      </c>
      <c r="I46" s="119" t="s">
        <v>5</v>
      </c>
      <c r="J46" s="119" t="s">
        <v>2</v>
      </c>
      <c r="K46" s="119" t="s">
        <v>2</v>
      </c>
      <c r="L46" s="119" t="s">
        <v>3</v>
      </c>
      <c r="M46" s="119" t="s">
        <v>3</v>
      </c>
      <c r="N46" s="119" t="s">
        <v>3</v>
      </c>
      <c r="O46" s="119" t="s">
        <v>3</v>
      </c>
      <c r="P46" s="119" t="s">
        <v>2</v>
      </c>
      <c r="Q46" s="119" t="s">
        <v>2</v>
      </c>
      <c r="R46" s="119" t="s">
        <v>2</v>
      </c>
      <c r="S46" s="119" t="s">
        <v>5</v>
      </c>
      <c r="T46" s="119" t="s">
        <v>2</v>
      </c>
      <c r="U46" s="119" t="s">
        <v>2</v>
      </c>
      <c r="V46" s="119" t="s">
        <v>5</v>
      </c>
      <c r="W46" s="119" t="s">
        <v>3</v>
      </c>
      <c r="X46" s="119" t="s">
        <v>2</v>
      </c>
      <c r="Y46" s="119" t="s">
        <v>2</v>
      </c>
      <c r="Z46" s="119" t="s">
        <v>3</v>
      </c>
      <c r="AA46" s="119" t="s">
        <v>4</v>
      </c>
      <c r="AB46" s="119" t="s">
        <v>4</v>
      </c>
      <c r="AC46" s="119" t="s">
        <v>4</v>
      </c>
      <c r="AD46" s="119" t="s">
        <v>4</v>
      </c>
      <c r="AE46" s="119" t="s">
        <v>4</v>
      </c>
      <c r="AF46" s="119" t="s">
        <v>4</v>
      </c>
      <c r="AG46" s="119" t="s">
        <v>3</v>
      </c>
      <c r="AH46" s="119" t="s">
        <v>4</v>
      </c>
      <c r="AI46" s="119" t="s">
        <v>3</v>
      </c>
      <c r="AJ46" s="119" t="s">
        <v>4</v>
      </c>
      <c r="AK46" s="119" t="s">
        <v>4</v>
      </c>
      <c r="AL46" s="119" t="s">
        <v>4</v>
      </c>
      <c r="AM46" s="6" t="s">
        <v>3</v>
      </c>
      <c r="AS46" s="6" t="s">
        <v>76</v>
      </c>
      <c r="AT46" s="6">
        <f>COUNTIFS(F:F,"D",C:C,1)/COUNTIF(C:C,1)</f>
        <v>0</v>
      </c>
      <c r="AU46" s="6">
        <f>COUNTIFS(F:F,"D",C:C,2)/COUNTIF(C:C,2)</f>
        <v>7.6923076923076927E-2</v>
      </c>
      <c r="AV46" s="6">
        <f>COUNTIFS(F:F,"D",C:C,3)/COUNTIF(C:C,3)</f>
        <v>7.6923076923076927E-2</v>
      </c>
      <c r="AW46" s="6">
        <f>COUNTIFS(F:F,"D",C:C,4)/COUNTIF(C:C,4)</f>
        <v>0.15384615384615385</v>
      </c>
      <c r="AX46" s="6">
        <f>COUNTIFS(F:F,"D",C:C,5)/COUNTIF(C:C,5)</f>
        <v>0.15384615384615385</v>
      </c>
      <c r="AY46" s="6">
        <f>COUNTIFS(F:F,"D",C:C,6)/COUNTIF(C:C,6)</f>
        <v>0.30769230769230771</v>
      </c>
      <c r="AZ46"/>
      <c r="BA46" s="31"/>
      <c r="BB46" s="31"/>
      <c r="BC46" s="165"/>
      <c r="BD46" s="165"/>
      <c r="BE46" s="157"/>
      <c r="BF46" s="157"/>
      <c r="BG46" s="155"/>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5"/>
      <c r="CS46" s="155"/>
      <c r="CT46" s="155"/>
      <c r="CU46" s="155"/>
      <c r="CV46" s="155"/>
      <c r="CW46" s="155"/>
      <c r="CX46" s="155"/>
      <c r="CY46" s="155"/>
      <c r="CZ46" s="155"/>
      <c r="DA46" s="155"/>
      <c r="DB46" s="155"/>
      <c r="DC46" s="155"/>
      <c r="DD46" s="155"/>
      <c r="DE46" s="155"/>
      <c r="DF46" s="155"/>
      <c r="DG46" s="155"/>
      <c r="DH46" s="155"/>
    </row>
    <row r="47" spans="1:112" x14ac:dyDescent="0.3">
      <c r="A47" s="119">
        <f t="shared" si="0"/>
        <v>46</v>
      </c>
      <c r="B47" s="119" t="s">
        <v>267</v>
      </c>
      <c r="C47" s="119">
        <v>4</v>
      </c>
      <c r="D47" s="119" t="s">
        <v>5</v>
      </c>
      <c r="E47" s="119" t="s">
        <v>3</v>
      </c>
      <c r="F47" s="119" t="s">
        <v>3</v>
      </c>
      <c r="G47" s="119" t="s">
        <v>2</v>
      </c>
      <c r="H47" s="119" t="s">
        <v>5</v>
      </c>
      <c r="I47" s="119" t="s">
        <v>5</v>
      </c>
      <c r="J47" s="119" t="s">
        <v>5</v>
      </c>
      <c r="K47" s="119" t="s">
        <v>2</v>
      </c>
      <c r="L47" s="119" t="s">
        <v>2</v>
      </c>
      <c r="M47" s="119" t="s">
        <v>2</v>
      </c>
      <c r="N47" s="119" t="s">
        <v>3</v>
      </c>
      <c r="O47" s="119" t="s">
        <v>5</v>
      </c>
      <c r="P47" s="119" t="s">
        <v>5</v>
      </c>
      <c r="Q47" s="119" t="s">
        <v>2</v>
      </c>
      <c r="R47" s="119" t="s">
        <v>2</v>
      </c>
      <c r="S47" s="119" t="s">
        <v>5</v>
      </c>
      <c r="T47" s="119" t="s">
        <v>5</v>
      </c>
      <c r="U47" s="119" t="s">
        <v>5</v>
      </c>
      <c r="V47" s="119" t="s">
        <v>5</v>
      </c>
      <c r="W47" s="119" t="s">
        <v>3</v>
      </c>
      <c r="X47" s="119" t="s">
        <v>3</v>
      </c>
      <c r="Y47" s="119" t="s">
        <v>2</v>
      </c>
      <c r="Z47" s="119" t="s">
        <v>3</v>
      </c>
      <c r="AA47" s="119" t="s">
        <v>4</v>
      </c>
      <c r="AB47" s="119" t="s">
        <v>4</v>
      </c>
      <c r="AC47" s="119" t="s">
        <v>4</v>
      </c>
      <c r="AD47" s="119" t="s">
        <v>4</v>
      </c>
      <c r="AE47" s="119" t="s">
        <v>4</v>
      </c>
      <c r="AF47" s="119" t="s">
        <v>3</v>
      </c>
      <c r="AG47" s="119" t="s">
        <v>3</v>
      </c>
      <c r="AH47" s="119" t="s">
        <v>4</v>
      </c>
      <c r="AI47" s="119" t="s">
        <v>3</v>
      </c>
      <c r="AJ47" s="119" t="s">
        <v>4</v>
      </c>
      <c r="AK47" s="119" t="s">
        <v>4</v>
      </c>
      <c r="AL47" s="119" t="s">
        <v>3</v>
      </c>
      <c r="AM47" s="6" t="s">
        <v>3</v>
      </c>
      <c r="AZ47"/>
      <c r="BA47" s="31"/>
      <c r="BB47" s="31"/>
      <c r="BC47" s="165"/>
      <c r="BD47" s="165"/>
      <c r="BE47" s="157"/>
      <c r="BF47" s="157"/>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155"/>
      <c r="CG47" s="155"/>
      <c r="CH47" s="155"/>
      <c r="CI47" s="155"/>
      <c r="CJ47" s="155"/>
      <c r="CK47" s="155"/>
      <c r="CL47" s="155"/>
      <c r="CM47" s="155"/>
      <c r="CN47" s="155"/>
      <c r="CO47" s="155"/>
      <c r="CP47" s="155"/>
      <c r="CQ47" s="155"/>
      <c r="CR47" s="155"/>
      <c r="CS47" s="155"/>
      <c r="CT47" s="155"/>
      <c r="CU47" s="155"/>
      <c r="CV47" s="155"/>
      <c r="CW47" s="155"/>
      <c r="CX47" s="155"/>
      <c r="CY47" s="155"/>
      <c r="CZ47" s="155"/>
      <c r="DA47" s="155"/>
      <c r="DB47" s="155"/>
      <c r="DC47" s="155"/>
      <c r="DD47" s="155"/>
      <c r="DE47" s="155"/>
      <c r="DF47" s="155"/>
      <c r="DG47" s="155"/>
      <c r="DH47" s="155"/>
    </row>
    <row r="48" spans="1:112" x14ac:dyDescent="0.3">
      <c r="A48" s="119">
        <f t="shared" si="0"/>
        <v>47</v>
      </c>
      <c r="B48" s="119" t="s">
        <v>268</v>
      </c>
      <c r="C48" s="119">
        <v>4</v>
      </c>
      <c r="D48" s="119" t="s">
        <v>2</v>
      </c>
      <c r="E48" s="119" t="s">
        <v>3</v>
      </c>
      <c r="F48" s="119" t="s">
        <v>3</v>
      </c>
      <c r="G48" s="119" t="s">
        <v>5</v>
      </c>
      <c r="H48" s="119" t="s">
        <v>5</v>
      </c>
      <c r="I48" s="119" t="s">
        <v>5</v>
      </c>
      <c r="J48" s="119" t="s">
        <v>5</v>
      </c>
      <c r="K48" s="119" t="s">
        <v>2</v>
      </c>
      <c r="L48" s="119" t="s">
        <v>2</v>
      </c>
      <c r="M48" s="119" t="s">
        <v>4</v>
      </c>
      <c r="N48" s="119" t="s">
        <v>4</v>
      </c>
      <c r="O48" s="119" t="s">
        <v>4</v>
      </c>
      <c r="P48" s="119" t="s">
        <v>5</v>
      </c>
      <c r="Q48" s="119" t="s">
        <v>3</v>
      </c>
      <c r="R48" s="119" t="s">
        <v>4</v>
      </c>
      <c r="S48" s="119" t="s">
        <v>5</v>
      </c>
      <c r="T48" s="119" t="s">
        <v>5</v>
      </c>
      <c r="U48" s="119" t="s">
        <v>5</v>
      </c>
      <c r="V48" s="119" t="s">
        <v>4</v>
      </c>
      <c r="W48" s="119" t="s">
        <v>4</v>
      </c>
      <c r="X48" s="119" t="s">
        <v>3</v>
      </c>
      <c r="Y48" s="119" t="s">
        <v>2</v>
      </c>
      <c r="Z48" s="119" t="s">
        <v>3</v>
      </c>
      <c r="AA48" s="119" t="s">
        <v>4</v>
      </c>
      <c r="AB48" s="119" t="s">
        <v>4</v>
      </c>
      <c r="AC48" s="119" t="s">
        <v>4</v>
      </c>
      <c r="AD48" s="119" t="s">
        <v>3</v>
      </c>
      <c r="AE48" s="119" t="s">
        <v>4</v>
      </c>
      <c r="AF48" s="119" t="s">
        <v>4</v>
      </c>
      <c r="AG48" s="119" t="s">
        <v>3</v>
      </c>
      <c r="AH48" s="119" t="s">
        <v>4</v>
      </c>
      <c r="AI48" s="119" t="s">
        <v>3</v>
      </c>
      <c r="AJ48" s="119" t="s">
        <v>3</v>
      </c>
      <c r="AK48" s="119" t="s">
        <v>4</v>
      </c>
      <c r="AL48" s="119" t="s">
        <v>4</v>
      </c>
      <c r="AM48" s="6" t="s">
        <v>3</v>
      </c>
      <c r="AS48" s="7" t="s">
        <v>235</v>
      </c>
      <c r="AT48" s="7">
        <v>1</v>
      </c>
      <c r="AU48" s="7">
        <v>2</v>
      </c>
      <c r="AV48" s="7">
        <v>3</v>
      </c>
      <c r="AW48" s="7">
        <v>4</v>
      </c>
      <c r="AX48" s="7">
        <v>5</v>
      </c>
      <c r="AY48" s="7">
        <v>6</v>
      </c>
      <c r="AZ48"/>
      <c r="BA48" s="31"/>
      <c r="BB48" s="31"/>
      <c r="BC48" s="165"/>
      <c r="BD48" s="165"/>
      <c r="BE48" s="159"/>
      <c r="BF48" s="159"/>
      <c r="BG48" s="16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c r="CR48" s="155"/>
      <c r="CS48" s="155"/>
      <c r="CT48" s="155"/>
      <c r="CU48" s="155"/>
      <c r="CV48" s="155"/>
      <c r="CW48" s="155"/>
      <c r="CX48" s="155"/>
      <c r="CY48" s="155"/>
      <c r="CZ48" s="155"/>
      <c r="DA48" s="155"/>
      <c r="DB48" s="155"/>
      <c r="DC48" s="155"/>
      <c r="DD48" s="155"/>
      <c r="DE48" s="155"/>
      <c r="DF48" s="155"/>
      <c r="DG48" s="155"/>
      <c r="DH48" s="155"/>
    </row>
    <row r="49" spans="1:112" x14ac:dyDescent="0.3">
      <c r="A49" s="119">
        <f t="shared" si="0"/>
        <v>48</v>
      </c>
      <c r="B49" s="119" t="s">
        <v>269</v>
      </c>
      <c r="C49" s="119">
        <v>4</v>
      </c>
      <c r="D49" s="119" t="s">
        <v>3</v>
      </c>
      <c r="E49" s="119" t="s">
        <v>3</v>
      </c>
      <c r="F49" s="119" t="s">
        <v>4</v>
      </c>
      <c r="G49" s="119" t="s">
        <v>2</v>
      </c>
      <c r="H49" s="119" t="s">
        <v>5</v>
      </c>
      <c r="I49" s="119" t="s">
        <v>5</v>
      </c>
      <c r="J49" s="119" t="s">
        <v>5</v>
      </c>
      <c r="K49" s="119" t="s">
        <v>2</v>
      </c>
      <c r="L49" s="119" t="s">
        <v>2</v>
      </c>
      <c r="M49" s="119" t="s">
        <v>2</v>
      </c>
      <c r="N49" s="119" t="s">
        <v>5</v>
      </c>
      <c r="O49" s="119" t="s">
        <v>2</v>
      </c>
      <c r="P49" s="119" t="s">
        <v>5</v>
      </c>
      <c r="Q49" s="119" t="s">
        <v>3</v>
      </c>
      <c r="R49" s="119" t="s">
        <v>3</v>
      </c>
      <c r="S49" s="119" t="s">
        <v>5</v>
      </c>
      <c r="T49" s="119" t="s">
        <v>5</v>
      </c>
      <c r="U49" s="119" t="s">
        <v>5</v>
      </c>
      <c r="V49" s="119" t="s">
        <v>5</v>
      </c>
      <c r="W49" s="119" t="s">
        <v>4</v>
      </c>
      <c r="X49" s="119" t="s">
        <v>4</v>
      </c>
      <c r="Y49" s="119" t="s">
        <v>2</v>
      </c>
      <c r="Z49" s="119" t="s">
        <v>3</v>
      </c>
      <c r="AA49" s="119" t="s">
        <v>4</v>
      </c>
      <c r="AB49" s="119" t="s">
        <v>4</v>
      </c>
      <c r="AC49" s="119" t="s">
        <v>4</v>
      </c>
      <c r="AD49" s="119" t="s">
        <v>3</v>
      </c>
      <c r="AE49" s="119" t="s">
        <v>4</v>
      </c>
      <c r="AF49" s="119" t="s">
        <v>4</v>
      </c>
      <c r="AG49" s="119" t="s">
        <v>3</v>
      </c>
      <c r="AH49" s="119" t="s">
        <v>4</v>
      </c>
      <c r="AI49" s="119" t="s">
        <v>3</v>
      </c>
      <c r="AJ49" s="119" t="s">
        <v>3</v>
      </c>
      <c r="AK49" s="119" t="s">
        <v>4</v>
      </c>
      <c r="AL49" s="119" t="s">
        <v>3</v>
      </c>
      <c r="AM49" s="6" t="s">
        <v>3</v>
      </c>
      <c r="AS49" s="6" t="s">
        <v>77</v>
      </c>
      <c r="AT49" s="6">
        <f>COUNTIFS(G:G,"A",C:C,1)/COUNTIF(C:C,1)</f>
        <v>0</v>
      </c>
      <c r="AU49" s="6">
        <f>COUNTIFS(G:G,"A",C:C,2)/COUNTIF(C:C,2)</f>
        <v>0</v>
      </c>
      <c r="AV49" s="6">
        <f>COUNTIFS(G:G,"A",C:C,3)/COUNTIF(C:C,3)</f>
        <v>0</v>
      </c>
      <c r="AW49" s="6">
        <f>COUNTIFS(G:G,"A",C:C,4)/COUNTIF(C:C,4)</f>
        <v>0</v>
      </c>
      <c r="AX49" s="6">
        <f>COUNTIFS(G:G,"A",C:C,5)/COUNTIF(C:C,5)</f>
        <v>0</v>
      </c>
      <c r="AY49" s="6">
        <f>COUNTIFS(G:G,"A",C:C,6)/COUNTIF(C:C,6)</f>
        <v>0</v>
      </c>
      <c r="AZ49"/>
      <c r="BA49" s="31"/>
      <c r="BB49" s="31"/>
      <c r="BC49" s="165"/>
      <c r="BD49" s="165"/>
      <c r="BE49" s="159"/>
      <c r="BF49" s="159"/>
      <c r="BG49" s="165"/>
      <c r="BH49" s="155"/>
      <c r="BI49" s="162"/>
      <c r="BJ49" s="155"/>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5"/>
      <c r="CV49" s="155"/>
      <c r="CW49" s="155"/>
      <c r="CX49" s="155"/>
      <c r="CY49" s="155"/>
      <c r="CZ49" s="155"/>
      <c r="DA49" s="155"/>
      <c r="DB49" s="155"/>
      <c r="DC49" s="155"/>
      <c r="DD49" s="155"/>
      <c r="DE49" s="155"/>
      <c r="DF49" s="155"/>
      <c r="DG49" s="155"/>
      <c r="DH49" s="155"/>
    </row>
    <row r="50" spans="1:112" x14ac:dyDescent="0.3">
      <c r="A50" s="119">
        <f t="shared" si="0"/>
        <v>49</v>
      </c>
      <c r="B50" s="119" t="s">
        <v>270</v>
      </c>
      <c r="C50" s="119">
        <v>4</v>
      </c>
      <c r="D50" s="119" t="s">
        <v>5</v>
      </c>
      <c r="E50" s="119" t="s">
        <v>3</v>
      </c>
      <c r="F50" s="119" t="s">
        <v>2</v>
      </c>
      <c r="G50" s="119" t="s">
        <v>5</v>
      </c>
      <c r="H50" s="119" t="s">
        <v>5</v>
      </c>
      <c r="I50" s="119" t="s">
        <v>5</v>
      </c>
      <c r="J50" s="119" t="s">
        <v>5</v>
      </c>
      <c r="K50" s="119" t="s">
        <v>2</v>
      </c>
      <c r="L50" s="119" t="s">
        <v>2</v>
      </c>
      <c r="M50" s="119" t="s">
        <v>2</v>
      </c>
      <c r="N50" s="119" t="s">
        <v>3</v>
      </c>
      <c r="O50" s="119" t="s">
        <v>5</v>
      </c>
      <c r="P50" s="119" t="s">
        <v>5</v>
      </c>
      <c r="Q50" s="119" t="s">
        <v>2</v>
      </c>
      <c r="R50" s="119" t="s">
        <v>2</v>
      </c>
      <c r="S50" s="119" t="s">
        <v>5</v>
      </c>
      <c r="T50" s="119" t="s">
        <v>5</v>
      </c>
      <c r="U50" s="119" t="s">
        <v>5</v>
      </c>
      <c r="V50" s="119" t="s">
        <v>5</v>
      </c>
      <c r="W50" s="119" t="s">
        <v>3</v>
      </c>
      <c r="X50" s="119" t="s">
        <v>3</v>
      </c>
      <c r="Y50" s="119" t="s">
        <v>2</v>
      </c>
      <c r="Z50" s="119" t="s">
        <v>3</v>
      </c>
      <c r="AA50" s="119" t="s">
        <v>4</v>
      </c>
      <c r="AB50" s="119" t="s">
        <v>4</v>
      </c>
      <c r="AC50" s="119" t="s">
        <v>4</v>
      </c>
      <c r="AD50" s="119" t="s">
        <v>4</v>
      </c>
      <c r="AE50" s="119" t="s">
        <v>4</v>
      </c>
      <c r="AF50" s="119" t="s">
        <v>3</v>
      </c>
      <c r="AG50" s="119" t="s">
        <v>3</v>
      </c>
      <c r="AH50" s="119" t="s">
        <v>4</v>
      </c>
      <c r="AI50" s="119" t="s">
        <v>3</v>
      </c>
      <c r="AJ50" s="119" t="s">
        <v>3</v>
      </c>
      <c r="AK50" s="119" t="s">
        <v>4</v>
      </c>
      <c r="AL50" s="119" t="s">
        <v>3</v>
      </c>
      <c r="AM50" s="6" t="s">
        <v>3</v>
      </c>
      <c r="AS50" s="6" t="s">
        <v>78</v>
      </c>
      <c r="AT50" s="6">
        <f>COUNTIFS(G:G,"B",C:C,1)/COUNTIF(C:C,1)</f>
        <v>0.46153846153846156</v>
      </c>
      <c r="AU50" s="6">
        <f>COUNTIFS(G:G,"B",C:C,2)/COUNTIF(C:C,2)</f>
        <v>7.6923076923076927E-2</v>
      </c>
      <c r="AV50" s="6">
        <f>COUNTIFS(G:G,"B",C:C,3)/COUNTIF(C:C,3)</f>
        <v>7.6923076923076927E-2</v>
      </c>
      <c r="AW50" s="6">
        <f>COUNTIFS(G:G,"B",C:C,4)/COUNTIF(C:C,4)</f>
        <v>0.15384615384615385</v>
      </c>
      <c r="AX50" s="6">
        <f>COUNTIFS(G:G,"B",C:C,5)/COUNTIF(C:C,5)</f>
        <v>0</v>
      </c>
      <c r="AY50" s="6">
        <f>COUNTIFS(G:G,"B",C:C,6)/COUNTIF(C:C,6)</f>
        <v>0</v>
      </c>
      <c r="AZ50"/>
      <c r="BA50" s="31"/>
      <c r="BB50" s="31"/>
      <c r="BC50" s="165"/>
      <c r="BD50" s="165"/>
      <c r="BE50" s="159"/>
      <c r="BF50" s="159"/>
      <c r="BG50" s="165"/>
      <c r="BH50" s="155"/>
      <c r="BI50" s="162"/>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c r="CR50" s="155"/>
      <c r="CS50" s="155"/>
      <c r="CT50" s="155"/>
      <c r="CU50" s="155"/>
      <c r="CV50" s="155"/>
      <c r="CW50" s="155"/>
      <c r="CX50" s="155"/>
      <c r="CY50" s="155"/>
      <c r="CZ50" s="155"/>
      <c r="DA50" s="155"/>
      <c r="DB50" s="155"/>
      <c r="DC50" s="155"/>
      <c r="DD50" s="155"/>
      <c r="DE50" s="155"/>
      <c r="DF50" s="155"/>
      <c r="DG50" s="155"/>
      <c r="DH50" s="155"/>
    </row>
    <row r="51" spans="1:112" x14ac:dyDescent="0.3">
      <c r="A51" s="119">
        <f t="shared" si="0"/>
        <v>50</v>
      </c>
      <c r="B51" s="119" t="s">
        <v>469</v>
      </c>
      <c r="C51" s="119">
        <v>4</v>
      </c>
      <c r="D51" s="119" t="s">
        <v>5</v>
      </c>
      <c r="E51" s="119" t="s">
        <v>5</v>
      </c>
      <c r="F51" s="119" t="s">
        <v>2</v>
      </c>
      <c r="G51" s="119" t="s">
        <v>3</v>
      </c>
      <c r="H51" s="119" t="s">
        <v>5</v>
      </c>
      <c r="I51" s="119" t="s">
        <v>5</v>
      </c>
      <c r="J51" s="119" t="s">
        <v>5</v>
      </c>
      <c r="K51" s="119" t="s">
        <v>2</v>
      </c>
      <c r="L51" s="119" t="s">
        <v>3</v>
      </c>
      <c r="M51" s="119" t="s">
        <v>3</v>
      </c>
      <c r="N51" s="119" t="s">
        <v>5</v>
      </c>
      <c r="O51" s="119" t="s">
        <v>2</v>
      </c>
      <c r="P51" s="119" t="s">
        <v>5</v>
      </c>
      <c r="Q51" s="119" t="s">
        <v>3</v>
      </c>
      <c r="R51" s="119" t="s">
        <v>2</v>
      </c>
      <c r="S51" s="119" t="s">
        <v>5</v>
      </c>
      <c r="T51" s="119" t="s">
        <v>5</v>
      </c>
      <c r="U51" s="119" t="s">
        <v>5</v>
      </c>
      <c r="V51" s="119" t="s">
        <v>5</v>
      </c>
      <c r="W51" s="119" t="s">
        <v>3</v>
      </c>
      <c r="X51" s="119" t="s">
        <v>4</v>
      </c>
      <c r="Y51" s="119" t="s">
        <v>4</v>
      </c>
      <c r="Z51" s="119" t="s">
        <v>3</v>
      </c>
      <c r="AA51" s="119" t="s">
        <v>4</v>
      </c>
      <c r="AB51" s="119" t="s">
        <v>4</v>
      </c>
      <c r="AC51" s="119" t="s">
        <v>4</v>
      </c>
      <c r="AD51" s="119" t="s">
        <v>4</v>
      </c>
      <c r="AE51" s="119" t="s">
        <v>4</v>
      </c>
      <c r="AF51" s="119" t="s">
        <v>4</v>
      </c>
      <c r="AG51" s="119" t="s">
        <v>3</v>
      </c>
      <c r="AH51" s="119" t="s">
        <v>4</v>
      </c>
      <c r="AI51" s="119" t="s">
        <v>3</v>
      </c>
      <c r="AJ51" s="119" t="s">
        <v>4</v>
      </c>
      <c r="AK51" s="119" t="s">
        <v>4</v>
      </c>
      <c r="AL51" s="119" t="s">
        <v>3</v>
      </c>
      <c r="AM51" s="6" t="s">
        <v>3</v>
      </c>
      <c r="AS51" s="6" t="s">
        <v>79</v>
      </c>
      <c r="AT51" s="6">
        <f>COUNTIFS(G:G,"C",C:C,1)/COUNTIF(C:C,1)</f>
        <v>0</v>
      </c>
      <c r="AU51" s="6">
        <f>COUNTIFS(G:G,"C",C:C,2)/COUNTIF(C:C,2)</f>
        <v>0.30769230769230771</v>
      </c>
      <c r="AV51" s="6">
        <f>COUNTIFS(G:G,"C",C:C,3)/COUNTIF(C:C,3)</f>
        <v>0.23076923076923078</v>
      </c>
      <c r="AW51" s="6">
        <f>COUNTIFS(G:G,"C",C:C,4)/COUNTIF(C:C,4)</f>
        <v>0.23076923076923078</v>
      </c>
      <c r="AX51" s="6">
        <f>COUNTIFS(G:G,"C",C:C,5)/COUNTIF(C:C,5)</f>
        <v>0</v>
      </c>
      <c r="AY51" s="6">
        <f>COUNTIFS(G:G,"C",C:C,6)/COUNTIF(C:C,6)</f>
        <v>7.6923076923076927E-2</v>
      </c>
      <c r="AZ51"/>
      <c r="BA51" s="33"/>
      <c r="BB51" s="33"/>
      <c r="BC51" s="164"/>
      <c r="BD51" s="163"/>
      <c r="BE51" s="159"/>
      <c r="BF51" s="159"/>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c r="CR51" s="155"/>
      <c r="CS51" s="155"/>
      <c r="CT51" s="155"/>
      <c r="CU51" s="155"/>
      <c r="CV51" s="155"/>
      <c r="CW51" s="155"/>
      <c r="CX51" s="155"/>
      <c r="CY51" s="155"/>
      <c r="CZ51" s="155"/>
      <c r="DA51" s="155"/>
      <c r="DB51" s="155"/>
      <c r="DC51" s="155"/>
      <c r="DD51" s="155"/>
      <c r="DE51" s="155"/>
      <c r="DF51" s="155"/>
      <c r="DG51" s="155"/>
      <c r="DH51" s="155"/>
    </row>
    <row r="52" spans="1:112" x14ac:dyDescent="0.3">
      <c r="A52" s="119">
        <f t="shared" si="0"/>
        <v>51</v>
      </c>
      <c r="B52" s="119" t="s">
        <v>470</v>
      </c>
      <c r="C52" s="119">
        <v>4</v>
      </c>
      <c r="D52" s="119" t="s">
        <v>5</v>
      </c>
      <c r="E52" s="119" t="s">
        <v>5</v>
      </c>
      <c r="F52" s="119" t="s">
        <v>5</v>
      </c>
      <c r="G52" s="119" t="s">
        <v>5</v>
      </c>
      <c r="H52" s="119" t="s">
        <v>5</v>
      </c>
      <c r="I52" s="119" t="s">
        <v>5</v>
      </c>
      <c r="J52" s="119" t="s">
        <v>5</v>
      </c>
      <c r="K52" s="119" t="s">
        <v>2</v>
      </c>
      <c r="L52" s="119" t="s">
        <v>2</v>
      </c>
      <c r="M52" s="119" t="s">
        <v>2</v>
      </c>
      <c r="N52" s="119" t="s">
        <v>3</v>
      </c>
      <c r="O52" s="119" t="s">
        <v>3</v>
      </c>
      <c r="P52" s="119" t="s">
        <v>5</v>
      </c>
      <c r="Q52" s="119" t="s">
        <v>3</v>
      </c>
      <c r="R52" s="119" t="s">
        <v>3</v>
      </c>
      <c r="S52" s="119" t="s">
        <v>5</v>
      </c>
      <c r="T52" s="119" t="s">
        <v>5</v>
      </c>
      <c r="U52" s="119" t="s">
        <v>5</v>
      </c>
      <c r="V52" s="119" t="s">
        <v>5</v>
      </c>
      <c r="W52" s="119" t="s">
        <v>4</v>
      </c>
      <c r="X52" s="119" t="s">
        <v>4</v>
      </c>
      <c r="Y52" s="119" t="s">
        <v>2</v>
      </c>
      <c r="Z52" s="119" t="s">
        <v>3</v>
      </c>
      <c r="AA52" s="119" t="s">
        <v>3</v>
      </c>
      <c r="AB52" s="119" t="s">
        <v>3</v>
      </c>
      <c r="AC52" s="119" t="s">
        <v>4</v>
      </c>
      <c r="AD52" s="119" t="s">
        <v>4</v>
      </c>
      <c r="AE52" s="119" t="s">
        <v>4</v>
      </c>
      <c r="AF52" s="119" t="s">
        <v>4</v>
      </c>
      <c r="AG52" s="119" t="s">
        <v>3</v>
      </c>
      <c r="AH52" s="119" t="s">
        <v>4</v>
      </c>
      <c r="AI52" s="119" t="s">
        <v>3</v>
      </c>
      <c r="AJ52" s="119" t="s">
        <v>3</v>
      </c>
      <c r="AK52" s="119" t="s">
        <v>4</v>
      </c>
      <c r="AL52" s="119" t="s">
        <v>4</v>
      </c>
      <c r="AM52" s="6" t="s">
        <v>3</v>
      </c>
      <c r="AS52" s="6" t="s">
        <v>80</v>
      </c>
      <c r="AT52" s="6">
        <f>COUNTIFS(G:G,"D",C:C,1)/COUNTIF(C:C,1)</f>
        <v>0.53846153846153844</v>
      </c>
      <c r="AU52" s="6">
        <f>COUNTIFS(G:G,"D",C:C,2)/COUNTIF(C:C,2)</f>
        <v>0.61538461538461542</v>
      </c>
      <c r="AV52" s="6">
        <f>COUNTIFS(G:G,"D",C:C,3)/COUNTIF(C:C,3)</f>
        <v>0.69230769230769229</v>
      </c>
      <c r="AW52" s="6">
        <f>COUNTIFS(G:G,"D",C:C,4)/COUNTIF(C:C,4)</f>
        <v>0.61538461538461542</v>
      </c>
      <c r="AX52" s="6">
        <f>COUNTIFS(G:G,"D",C:C,5)/COUNTIF(C:C,5)</f>
        <v>1</v>
      </c>
      <c r="AY52" s="6">
        <f>COUNTIFS(G:G,"D",C:C,6)/COUNTIF(C:C,6)</f>
        <v>0.92307692307692313</v>
      </c>
      <c r="AZ52"/>
      <c r="BA52" s="31"/>
      <c r="BB52" s="31"/>
      <c r="BC52" s="165"/>
      <c r="BD52" s="165"/>
      <c r="BE52" s="159"/>
      <c r="BF52" s="159"/>
      <c r="BG52" s="155"/>
      <c r="BH52" s="155"/>
      <c r="BI52" s="161"/>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c r="CK52" s="155"/>
      <c r="CL52" s="155"/>
      <c r="CM52" s="155"/>
      <c r="CN52" s="155"/>
      <c r="CO52" s="155"/>
      <c r="CP52" s="155"/>
      <c r="CQ52" s="155"/>
      <c r="CR52" s="155"/>
      <c r="CS52" s="155"/>
      <c r="CT52" s="155"/>
      <c r="CU52" s="155"/>
      <c r="CV52" s="155"/>
      <c r="CW52" s="155"/>
      <c r="CX52" s="155"/>
      <c r="CY52" s="155"/>
      <c r="CZ52" s="155"/>
      <c r="DA52" s="155"/>
      <c r="DB52" s="155"/>
      <c r="DC52" s="155"/>
      <c r="DD52" s="155"/>
      <c r="DE52" s="155"/>
      <c r="DF52" s="155"/>
      <c r="DG52" s="155"/>
      <c r="DH52" s="155"/>
    </row>
    <row r="53" spans="1:112" x14ac:dyDescent="0.3">
      <c r="A53" s="119">
        <f t="shared" si="0"/>
        <v>52</v>
      </c>
      <c r="B53" s="119" t="s">
        <v>487</v>
      </c>
      <c r="C53" s="119">
        <v>4</v>
      </c>
      <c r="D53" s="119" t="s">
        <v>5</v>
      </c>
      <c r="E53" s="119" t="s">
        <v>5</v>
      </c>
      <c r="F53" s="119" t="s">
        <v>4</v>
      </c>
      <c r="G53" s="119" t="s">
        <v>5</v>
      </c>
      <c r="H53" s="119" t="s">
        <v>5</v>
      </c>
      <c r="I53" s="119" t="s">
        <v>5</v>
      </c>
      <c r="J53" s="119" t="s">
        <v>5</v>
      </c>
      <c r="K53" s="119" t="s">
        <v>2</v>
      </c>
      <c r="L53" s="119" t="s">
        <v>2</v>
      </c>
      <c r="M53" s="119" t="s">
        <v>4</v>
      </c>
      <c r="N53" s="119" t="s">
        <v>4</v>
      </c>
      <c r="O53" s="119" t="s">
        <v>4</v>
      </c>
      <c r="P53" s="119" t="s">
        <v>5</v>
      </c>
      <c r="Q53" s="119" t="s">
        <v>4</v>
      </c>
      <c r="R53" s="119" t="s">
        <v>5</v>
      </c>
      <c r="S53" s="119" t="s">
        <v>5</v>
      </c>
      <c r="T53" s="119" t="s">
        <v>3</v>
      </c>
      <c r="U53" s="119" t="s">
        <v>5</v>
      </c>
      <c r="V53" s="119" t="s">
        <v>3</v>
      </c>
      <c r="W53" s="119" t="s">
        <v>4</v>
      </c>
      <c r="X53" s="119" t="s">
        <v>4</v>
      </c>
      <c r="Y53" s="119" t="s">
        <v>2</v>
      </c>
      <c r="Z53" s="119" t="s">
        <v>3</v>
      </c>
      <c r="AA53" s="119" t="s">
        <v>4</v>
      </c>
      <c r="AB53" s="119" t="s">
        <v>4</v>
      </c>
      <c r="AC53" s="119" t="s">
        <v>4</v>
      </c>
      <c r="AD53" s="119" t="s">
        <v>4</v>
      </c>
      <c r="AE53" s="119" t="s">
        <v>4</v>
      </c>
      <c r="AF53" s="119" t="s">
        <v>3</v>
      </c>
      <c r="AG53" s="119" t="s">
        <v>3</v>
      </c>
      <c r="AH53" s="119" t="s">
        <v>4</v>
      </c>
      <c r="AI53" s="119" t="s">
        <v>3</v>
      </c>
      <c r="AJ53" s="119" t="s">
        <v>4</v>
      </c>
      <c r="AK53" s="119" t="s">
        <v>4</v>
      </c>
      <c r="AL53" s="119" t="s">
        <v>4</v>
      </c>
      <c r="AM53" s="6" t="s">
        <v>3</v>
      </c>
      <c r="AZ53"/>
      <c r="BA53" s="31"/>
      <c r="BB53" s="31"/>
      <c r="BC53" s="165"/>
      <c r="BD53" s="165"/>
      <c r="BE53" s="159"/>
      <c r="BF53" s="159"/>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c r="CK53" s="155"/>
      <c r="CL53" s="155"/>
      <c r="CM53" s="155"/>
      <c r="CN53" s="155"/>
      <c r="CO53" s="155"/>
      <c r="CP53" s="155"/>
      <c r="CQ53" s="155"/>
      <c r="CR53" s="155"/>
      <c r="CS53" s="155"/>
      <c r="CT53" s="155"/>
      <c r="CU53" s="155"/>
      <c r="CV53" s="155"/>
      <c r="CW53" s="155"/>
      <c r="CX53" s="155"/>
      <c r="CY53" s="155"/>
      <c r="CZ53" s="155"/>
      <c r="DA53" s="155"/>
      <c r="DB53" s="155"/>
      <c r="DC53" s="155"/>
      <c r="DD53" s="155"/>
      <c r="DE53" s="155"/>
      <c r="DF53" s="155"/>
      <c r="DG53" s="155"/>
      <c r="DH53" s="155"/>
    </row>
    <row r="54" spans="1:112" x14ac:dyDescent="0.3">
      <c r="A54" s="119">
        <f t="shared" si="0"/>
        <v>53</v>
      </c>
      <c r="B54" s="119" t="s">
        <v>29</v>
      </c>
      <c r="C54" s="119">
        <v>5</v>
      </c>
      <c r="D54" s="119" t="s">
        <v>5</v>
      </c>
      <c r="E54" s="119" t="s">
        <v>3</v>
      </c>
      <c r="F54" s="119" t="s">
        <v>5</v>
      </c>
      <c r="G54" s="119" t="s">
        <v>5</v>
      </c>
      <c r="H54" s="119" t="s">
        <v>5</v>
      </c>
      <c r="I54" s="119" t="s">
        <v>5</v>
      </c>
      <c r="J54" s="119" t="s">
        <v>5</v>
      </c>
      <c r="K54" s="119" t="s">
        <v>2</v>
      </c>
      <c r="L54" s="119" t="s">
        <v>2</v>
      </c>
      <c r="M54" s="119" t="s">
        <v>4</v>
      </c>
      <c r="N54" s="119" t="s">
        <v>4</v>
      </c>
      <c r="O54" s="119" t="s">
        <v>3</v>
      </c>
      <c r="P54" s="119" t="s">
        <v>5</v>
      </c>
      <c r="Q54" s="119" t="s">
        <v>2</v>
      </c>
      <c r="R54" s="119" t="s">
        <v>5</v>
      </c>
      <c r="S54" s="119" t="s">
        <v>2</v>
      </c>
      <c r="T54" s="119" t="s">
        <v>2</v>
      </c>
      <c r="U54" s="119" t="s">
        <v>5</v>
      </c>
      <c r="V54" s="119" t="s">
        <v>4</v>
      </c>
      <c r="W54" s="119" t="s">
        <v>3</v>
      </c>
      <c r="X54" s="119" t="s">
        <v>3</v>
      </c>
      <c r="Y54" s="119" t="s">
        <v>4</v>
      </c>
      <c r="Z54" s="119" t="s">
        <v>3</v>
      </c>
      <c r="AA54" s="119" t="s">
        <v>4</v>
      </c>
      <c r="AB54" s="119" t="s">
        <v>4</v>
      </c>
      <c r="AC54" s="119" t="s">
        <v>4</v>
      </c>
      <c r="AD54" s="119" t="s">
        <v>4</v>
      </c>
      <c r="AE54" s="119" t="s">
        <v>4</v>
      </c>
      <c r="AF54" s="119" t="s">
        <v>4</v>
      </c>
      <c r="AG54" s="119" t="s">
        <v>3</v>
      </c>
      <c r="AH54" s="119" t="s">
        <v>4</v>
      </c>
      <c r="AI54" s="119" t="s">
        <v>3</v>
      </c>
      <c r="AJ54" s="119" t="s">
        <v>4</v>
      </c>
      <c r="AK54" s="119" t="s">
        <v>4</v>
      </c>
      <c r="AL54" s="119" t="s">
        <v>4</v>
      </c>
      <c r="AM54" s="6" t="s">
        <v>3</v>
      </c>
      <c r="AS54" s="7" t="s">
        <v>236</v>
      </c>
      <c r="AT54" s="7">
        <v>1</v>
      </c>
      <c r="AU54" s="7">
        <v>2</v>
      </c>
      <c r="AV54" s="7">
        <v>3</v>
      </c>
      <c r="AW54" s="7">
        <v>4</v>
      </c>
      <c r="AX54" s="7">
        <v>5</v>
      </c>
      <c r="AY54" s="7">
        <v>6</v>
      </c>
      <c r="AZ54"/>
      <c r="BA54" s="31"/>
      <c r="BB54" s="31"/>
      <c r="BC54" s="165"/>
      <c r="BD54" s="165"/>
      <c r="BE54" s="159"/>
      <c r="BF54" s="159"/>
      <c r="BG54" s="156"/>
      <c r="BH54" s="155"/>
      <c r="BI54" s="161"/>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c r="CK54" s="155"/>
      <c r="CL54" s="155"/>
      <c r="CM54" s="155"/>
      <c r="CN54" s="155"/>
      <c r="CO54" s="155"/>
      <c r="CP54" s="155"/>
      <c r="CQ54" s="155"/>
      <c r="CR54" s="155"/>
      <c r="CS54" s="155"/>
      <c r="CT54" s="155"/>
      <c r="CU54" s="155"/>
      <c r="CV54" s="155"/>
      <c r="CW54" s="155"/>
      <c r="CX54" s="155"/>
      <c r="CY54" s="155"/>
      <c r="CZ54" s="155"/>
      <c r="DA54" s="155"/>
      <c r="DB54" s="155"/>
      <c r="DC54" s="155"/>
      <c r="DD54" s="155"/>
      <c r="DE54" s="155"/>
      <c r="DF54" s="155"/>
      <c r="DG54" s="155"/>
      <c r="DH54" s="155"/>
    </row>
    <row r="55" spans="1:112" x14ac:dyDescent="0.3">
      <c r="A55" s="119">
        <f t="shared" si="0"/>
        <v>54</v>
      </c>
      <c r="B55" s="119" t="s">
        <v>30</v>
      </c>
      <c r="C55" s="119">
        <v>5</v>
      </c>
      <c r="D55" s="119" t="s">
        <v>2</v>
      </c>
      <c r="E55" s="119" t="s">
        <v>5</v>
      </c>
      <c r="F55" s="119" t="s">
        <v>3</v>
      </c>
      <c r="G55" s="119" t="s">
        <v>5</v>
      </c>
      <c r="H55" s="119" t="s">
        <v>5</v>
      </c>
      <c r="I55" s="119" t="s">
        <v>3</v>
      </c>
      <c r="J55" s="119" t="s">
        <v>5</v>
      </c>
      <c r="K55" s="119" t="s">
        <v>2</v>
      </c>
      <c r="L55" s="119" t="s">
        <v>2</v>
      </c>
      <c r="M55" s="119" t="s">
        <v>5</v>
      </c>
      <c r="N55" s="119" t="s">
        <v>2</v>
      </c>
      <c r="O55" s="119" t="s">
        <v>2</v>
      </c>
      <c r="P55" s="119" t="s">
        <v>4</v>
      </c>
      <c r="Q55" s="119" t="s">
        <v>3</v>
      </c>
      <c r="R55" s="119" t="s">
        <v>2</v>
      </c>
      <c r="S55" s="119" t="s">
        <v>5</v>
      </c>
      <c r="T55" s="119" t="s">
        <v>5</v>
      </c>
      <c r="U55" s="119" t="s">
        <v>5</v>
      </c>
      <c r="V55" s="119" t="s">
        <v>3</v>
      </c>
      <c r="W55" s="119" t="s">
        <v>3</v>
      </c>
      <c r="X55" s="119" t="s">
        <v>3</v>
      </c>
      <c r="Y55" s="119" t="s">
        <v>4</v>
      </c>
      <c r="Z55" s="119" t="s">
        <v>3</v>
      </c>
      <c r="AA55" s="119" t="s">
        <v>4</v>
      </c>
      <c r="AB55" s="119" t="s">
        <v>4</v>
      </c>
      <c r="AC55" s="119" t="s">
        <v>4</v>
      </c>
      <c r="AD55" s="119" t="s">
        <v>4</v>
      </c>
      <c r="AE55" s="119" t="s">
        <v>4</v>
      </c>
      <c r="AF55" s="119" t="s">
        <v>3</v>
      </c>
      <c r="AG55" s="119" t="s">
        <v>4</v>
      </c>
      <c r="AH55" s="119" t="s">
        <v>4</v>
      </c>
      <c r="AI55" s="119" t="s">
        <v>3</v>
      </c>
      <c r="AJ55" s="119" t="s">
        <v>4</v>
      </c>
      <c r="AK55" s="119" t="s">
        <v>4</v>
      </c>
      <c r="AL55" s="119" t="s">
        <v>4</v>
      </c>
      <c r="AM55" s="6" t="s">
        <v>3</v>
      </c>
      <c r="AS55" s="6" t="s">
        <v>81</v>
      </c>
      <c r="AT55" s="6">
        <f>COUNTIFS(H:H,"A",C:C,1)/COUNTIF(C:C,1)</f>
        <v>0</v>
      </c>
      <c r="AU55" s="6">
        <f>COUNTIFS(H:H,"A",C:C,2)/COUNTIF(C:C,2)</f>
        <v>0</v>
      </c>
      <c r="AV55" s="6">
        <f>COUNTIFS(H:H,"A",C:C,3)/COUNTIF(C:C,3)</f>
        <v>0</v>
      </c>
      <c r="AW55" s="6">
        <f>COUNTIFS(H:H,"A",C:C,4)/COUNTIF(C:C,4)</f>
        <v>0</v>
      </c>
      <c r="AX55" s="6">
        <f>COUNTIFS(H:H,"A",C:C,5)/COUNTIF(C:C,5)</f>
        <v>0</v>
      </c>
      <c r="AY55" s="6">
        <f>COUNTIFS(H:H,"A",C:C,6)/COUNTIF(C:C,6)</f>
        <v>0</v>
      </c>
      <c r="AZ55"/>
      <c r="BA55" s="31"/>
      <c r="BB55" s="31"/>
      <c r="BC55" s="165"/>
      <c r="BD55" s="165"/>
      <c r="BE55" s="154"/>
      <c r="BF55" s="154"/>
      <c r="BG55" s="155"/>
      <c r="BH55" s="155"/>
      <c r="BI55" s="155"/>
      <c r="BJ55" s="155"/>
      <c r="BK55" s="155"/>
      <c r="BL55" s="155"/>
      <c r="BM55" s="155"/>
      <c r="BN55" s="155"/>
      <c r="BO55" s="155"/>
      <c r="BP55" s="155"/>
      <c r="BQ55" s="155"/>
      <c r="BR55" s="155"/>
      <c r="BS55" s="155"/>
      <c r="BT55" s="155"/>
      <c r="BU55" s="155"/>
      <c r="BV55" s="155"/>
      <c r="BW55" s="155"/>
      <c r="BX55" s="155"/>
      <c r="BY55" s="155"/>
      <c r="BZ55" s="155"/>
      <c r="CA55" s="155"/>
      <c r="CB55" s="155"/>
      <c r="CC55" s="155"/>
      <c r="CD55" s="155"/>
      <c r="CE55" s="155"/>
      <c r="CF55" s="155"/>
      <c r="CG55" s="155"/>
      <c r="CH55" s="155"/>
      <c r="CI55" s="155"/>
      <c r="CJ55" s="155"/>
      <c r="CK55" s="155"/>
      <c r="CL55" s="155"/>
      <c r="CM55" s="155"/>
      <c r="CN55" s="155"/>
      <c r="CO55" s="155"/>
      <c r="CP55" s="155"/>
      <c r="CQ55" s="155"/>
      <c r="CR55" s="155"/>
      <c r="CS55" s="155"/>
      <c r="CT55" s="155"/>
      <c r="CU55" s="155"/>
      <c r="CV55" s="155"/>
      <c r="CW55" s="155"/>
      <c r="CX55" s="155"/>
      <c r="CY55" s="155"/>
      <c r="CZ55" s="155"/>
      <c r="DA55" s="155"/>
      <c r="DB55" s="155"/>
      <c r="DC55" s="155"/>
      <c r="DD55" s="155"/>
      <c r="DE55" s="155"/>
      <c r="DF55" s="155"/>
      <c r="DG55" s="155"/>
      <c r="DH55" s="155"/>
    </row>
    <row r="56" spans="1:112" x14ac:dyDescent="0.3">
      <c r="A56" s="119">
        <f t="shared" si="0"/>
        <v>55</v>
      </c>
      <c r="B56" s="119" t="s">
        <v>31</v>
      </c>
      <c r="C56" s="119">
        <v>5</v>
      </c>
      <c r="D56" s="119" t="s">
        <v>4</v>
      </c>
      <c r="E56" s="119" t="s">
        <v>5</v>
      </c>
      <c r="F56" s="119" t="s">
        <v>2</v>
      </c>
      <c r="G56" s="119" t="s">
        <v>5</v>
      </c>
      <c r="H56" s="119" t="s">
        <v>5</v>
      </c>
      <c r="I56" s="119" t="s">
        <v>5</v>
      </c>
      <c r="J56" s="119" t="s">
        <v>2</v>
      </c>
      <c r="K56" s="119" t="s">
        <v>2</v>
      </c>
      <c r="L56" s="119" t="s">
        <v>2</v>
      </c>
      <c r="M56" s="119" t="s">
        <v>4</v>
      </c>
      <c r="N56" s="119" t="s">
        <v>4</v>
      </c>
      <c r="O56" s="119" t="s">
        <v>4</v>
      </c>
      <c r="P56" s="119" t="s">
        <v>5</v>
      </c>
      <c r="Q56" s="119" t="s">
        <v>4</v>
      </c>
      <c r="R56" s="119" t="s">
        <v>5</v>
      </c>
      <c r="S56" s="119" t="s">
        <v>5</v>
      </c>
      <c r="T56" s="119" t="s">
        <v>5</v>
      </c>
      <c r="U56" s="119" t="s">
        <v>5</v>
      </c>
      <c r="V56" s="119" t="s">
        <v>5</v>
      </c>
      <c r="W56" s="119" t="s">
        <v>4</v>
      </c>
      <c r="X56" s="119" t="s">
        <v>3</v>
      </c>
      <c r="Y56" s="119" t="s">
        <v>3</v>
      </c>
      <c r="Z56" s="119" t="s">
        <v>3</v>
      </c>
      <c r="AA56" s="119" t="s">
        <v>4</v>
      </c>
      <c r="AB56" s="119" t="s">
        <v>4</v>
      </c>
      <c r="AC56" s="119" t="s">
        <v>4</v>
      </c>
      <c r="AD56" s="119" t="s">
        <v>4</v>
      </c>
      <c r="AE56" s="119" t="s">
        <v>4</v>
      </c>
      <c r="AF56" s="119" t="s">
        <v>4</v>
      </c>
      <c r="AG56" s="119" t="s">
        <v>3</v>
      </c>
      <c r="AH56" s="119" t="s">
        <v>4</v>
      </c>
      <c r="AI56" s="119" t="s">
        <v>3</v>
      </c>
      <c r="AJ56" s="119" t="s">
        <v>4</v>
      </c>
      <c r="AK56" s="119" t="s">
        <v>4</v>
      </c>
      <c r="AL56" s="119" t="s">
        <v>4</v>
      </c>
      <c r="AM56" s="6" t="s">
        <v>3</v>
      </c>
      <c r="AS56" s="6" t="s">
        <v>82</v>
      </c>
      <c r="AT56" s="6">
        <f>COUNTIFS(H:H,"B",C:C,1)/COUNTIF(C:C,1)</f>
        <v>0</v>
      </c>
      <c r="AU56" s="6">
        <f>COUNTIFS(H:H,"B",C:C,2)/COUNTIF(C:C,2)</f>
        <v>0</v>
      </c>
      <c r="AV56" s="6">
        <f>COUNTIFS(H:H,"B",C:C,3)/COUNTIF(C:C,3)</f>
        <v>0</v>
      </c>
      <c r="AW56" s="6">
        <f>COUNTIFS(H:H,"B",C:C,4)/COUNTIF(C:C,4)</f>
        <v>0</v>
      </c>
      <c r="AX56" s="6">
        <f>COUNTIFS(H:H,"B",C:C,5)/COUNTIF(C:C,5)</f>
        <v>0</v>
      </c>
      <c r="AY56" s="6">
        <f>COUNTIFS(H:H,"B",C:C,6)/COUNTIF(C:C,6)</f>
        <v>0</v>
      </c>
      <c r="AZ56"/>
      <c r="BA56" s="31"/>
      <c r="BB56" s="31"/>
      <c r="BC56" s="165"/>
      <c r="BD56" s="165"/>
      <c r="BE56" s="157"/>
      <c r="BF56" s="157"/>
      <c r="BG56" s="155"/>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5"/>
      <c r="CS56" s="155"/>
      <c r="CT56" s="155"/>
      <c r="CU56" s="155"/>
      <c r="CV56" s="155"/>
      <c r="CW56" s="155"/>
      <c r="CX56" s="155"/>
      <c r="CY56" s="155"/>
      <c r="CZ56" s="155"/>
      <c r="DA56" s="155"/>
      <c r="DB56" s="155"/>
      <c r="DC56" s="155"/>
      <c r="DD56" s="155"/>
      <c r="DE56" s="155"/>
      <c r="DF56" s="155"/>
      <c r="DG56" s="155"/>
      <c r="DH56" s="155"/>
    </row>
    <row r="57" spans="1:112" x14ac:dyDescent="0.3">
      <c r="A57" s="119">
        <f t="shared" si="0"/>
        <v>56</v>
      </c>
      <c r="B57" s="119" t="s">
        <v>32</v>
      </c>
      <c r="C57" s="119">
        <v>5</v>
      </c>
      <c r="D57" s="119" t="s">
        <v>5</v>
      </c>
      <c r="E57" s="119" t="s">
        <v>3</v>
      </c>
      <c r="F57" s="119" t="s">
        <v>3</v>
      </c>
      <c r="G57" s="119" t="s">
        <v>5</v>
      </c>
      <c r="H57" s="119" t="s">
        <v>5</v>
      </c>
      <c r="I57" s="119" t="s">
        <v>5</v>
      </c>
      <c r="J57" s="119" t="s">
        <v>5</v>
      </c>
      <c r="K57" s="119" t="s">
        <v>2</v>
      </c>
      <c r="L57" s="119" t="s">
        <v>4</v>
      </c>
      <c r="M57" s="119" t="s">
        <v>4</v>
      </c>
      <c r="N57" s="119" t="s">
        <v>4</v>
      </c>
      <c r="O57" s="119" t="s">
        <v>5</v>
      </c>
      <c r="P57" s="119" t="s">
        <v>2</v>
      </c>
      <c r="Q57" s="119" t="s">
        <v>4</v>
      </c>
      <c r="R57" s="119" t="s">
        <v>5</v>
      </c>
      <c r="S57" s="119" t="s">
        <v>5</v>
      </c>
      <c r="T57" s="119" t="s">
        <v>3</v>
      </c>
      <c r="U57" s="119" t="s">
        <v>3</v>
      </c>
      <c r="V57" s="119" t="s">
        <v>3</v>
      </c>
      <c r="W57" s="119" t="s">
        <v>4</v>
      </c>
      <c r="X57" s="119" t="s">
        <v>3</v>
      </c>
      <c r="Y57" s="119" t="s">
        <v>2</v>
      </c>
      <c r="Z57" s="119" t="s">
        <v>3</v>
      </c>
      <c r="AA57" s="119" t="s">
        <v>4</v>
      </c>
      <c r="AB57" s="119" t="s">
        <v>4</v>
      </c>
      <c r="AC57" s="119" t="s">
        <v>4</v>
      </c>
      <c r="AD57" s="119" t="s">
        <v>4</v>
      </c>
      <c r="AE57" s="119" t="s">
        <v>4</v>
      </c>
      <c r="AF57" s="119" t="s">
        <v>4</v>
      </c>
      <c r="AG57" s="119" t="s">
        <v>3</v>
      </c>
      <c r="AH57" s="119" t="s">
        <v>4</v>
      </c>
      <c r="AI57" s="119" t="s">
        <v>3</v>
      </c>
      <c r="AJ57" s="119" t="s">
        <v>4</v>
      </c>
      <c r="AK57" s="119" t="s">
        <v>4</v>
      </c>
      <c r="AL57" s="119" t="s">
        <v>4</v>
      </c>
      <c r="AM57" s="6" t="s">
        <v>3</v>
      </c>
      <c r="AS57" s="6" t="s">
        <v>83</v>
      </c>
      <c r="AT57" s="6">
        <f>COUNTIFS(H:H,"C",C:C,1)/COUNTIF(C:C,1)</f>
        <v>0</v>
      </c>
      <c r="AU57" s="6">
        <f>COUNTIFS(H:H,"C",C:C,2)/COUNTIF(C:C,2)</f>
        <v>0</v>
      </c>
      <c r="AV57" s="6">
        <f>COUNTIFS(H:H,"C",C:C,3)/COUNTIF(C:C,3)</f>
        <v>0</v>
      </c>
      <c r="AW57" s="6">
        <f>COUNTIFS(H:H,"C",C:C,4)/COUNTIF(C:C,4)</f>
        <v>0</v>
      </c>
      <c r="AX57" s="6">
        <f>COUNTIFS(H:H,"C",C:C,5)/COUNTIF(C:C,5)</f>
        <v>0</v>
      </c>
      <c r="AY57" s="6">
        <f>COUNTIFS(H:H,"C",C:C,6)/COUNTIF(C:C,6)</f>
        <v>0</v>
      </c>
      <c r="AZ57"/>
      <c r="BA57" s="33"/>
      <c r="BB57" s="33"/>
      <c r="BC57" s="164"/>
      <c r="BD57" s="164"/>
      <c r="BE57" s="157"/>
      <c r="BF57" s="157"/>
      <c r="BG57" s="155"/>
      <c r="BH57" s="155"/>
      <c r="BI57" s="155"/>
      <c r="BJ57" s="155"/>
      <c r="BK57" s="155"/>
      <c r="BL57" s="155"/>
      <c r="BM57" s="155"/>
      <c r="BN57" s="155"/>
      <c r="BO57" s="155"/>
      <c r="BP57" s="155"/>
      <c r="BQ57" s="155"/>
      <c r="BR57" s="155"/>
      <c r="BS57" s="155"/>
      <c r="BT57" s="155"/>
      <c r="BU57" s="155"/>
      <c r="BV57" s="155"/>
      <c r="BW57" s="155"/>
      <c r="BX57" s="155"/>
      <c r="BY57" s="155"/>
      <c r="BZ57" s="155"/>
      <c r="CA57" s="155"/>
      <c r="CB57" s="155"/>
      <c r="CC57" s="155"/>
      <c r="CD57" s="155"/>
      <c r="CE57" s="155"/>
      <c r="CF57" s="155"/>
      <c r="CG57" s="155"/>
      <c r="CH57" s="155"/>
      <c r="CI57" s="155"/>
      <c r="CJ57" s="155"/>
      <c r="CK57" s="155"/>
      <c r="CL57" s="155"/>
      <c r="CM57" s="155"/>
      <c r="CN57" s="155"/>
      <c r="CO57" s="155"/>
      <c r="CP57" s="155"/>
      <c r="CQ57" s="155"/>
      <c r="CR57" s="155"/>
      <c r="CS57" s="155"/>
      <c r="CT57" s="155"/>
      <c r="CU57" s="155"/>
      <c r="CV57" s="155"/>
      <c r="CW57" s="155"/>
      <c r="CX57" s="155"/>
      <c r="CY57" s="155"/>
      <c r="CZ57" s="155"/>
      <c r="DA57" s="155"/>
      <c r="DB57" s="155"/>
      <c r="DC57" s="155"/>
      <c r="DD57" s="155"/>
      <c r="DE57" s="155"/>
      <c r="DF57" s="155"/>
      <c r="DG57" s="155"/>
      <c r="DH57" s="155"/>
    </row>
    <row r="58" spans="1:112" x14ac:dyDescent="0.3">
      <c r="A58" s="119">
        <f t="shared" si="0"/>
        <v>57</v>
      </c>
      <c r="B58" s="119" t="s">
        <v>33</v>
      </c>
      <c r="C58" s="119">
        <v>5</v>
      </c>
      <c r="D58" s="119" t="s">
        <v>5</v>
      </c>
      <c r="E58" s="119" t="s">
        <v>3</v>
      </c>
      <c r="F58" s="119" t="s">
        <v>4</v>
      </c>
      <c r="G58" s="119" t="s">
        <v>5</v>
      </c>
      <c r="H58" s="119" t="s">
        <v>5</v>
      </c>
      <c r="I58" s="119" t="s">
        <v>3</v>
      </c>
      <c r="J58" s="119" t="s">
        <v>5</v>
      </c>
      <c r="K58" s="119" t="s">
        <v>2</v>
      </c>
      <c r="L58" s="119" t="s">
        <v>3</v>
      </c>
      <c r="M58" s="119" t="s">
        <v>2</v>
      </c>
      <c r="N58" s="119" t="s">
        <v>2</v>
      </c>
      <c r="O58" s="119" t="s">
        <v>5</v>
      </c>
      <c r="P58" s="119" t="s">
        <v>5</v>
      </c>
      <c r="Q58" s="119" t="s">
        <v>2</v>
      </c>
      <c r="R58" s="119" t="s">
        <v>5</v>
      </c>
      <c r="S58" s="119" t="s">
        <v>5</v>
      </c>
      <c r="T58" s="119" t="s">
        <v>3</v>
      </c>
      <c r="U58" s="119" t="s">
        <v>5</v>
      </c>
      <c r="V58" s="119" t="s">
        <v>2</v>
      </c>
      <c r="W58" s="119" t="s">
        <v>4</v>
      </c>
      <c r="X58" s="119" t="s">
        <v>4</v>
      </c>
      <c r="Y58" s="119" t="s">
        <v>2</v>
      </c>
      <c r="Z58" s="119" t="s">
        <v>3</v>
      </c>
      <c r="AA58" s="119" t="s">
        <v>4</v>
      </c>
      <c r="AB58" s="119" t="s">
        <v>4</v>
      </c>
      <c r="AC58" s="119" t="s">
        <v>4</v>
      </c>
      <c r="AD58" s="119" t="s">
        <v>4</v>
      </c>
      <c r="AE58" s="119" t="s">
        <v>4</v>
      </c>
      <c r="AF58" s="119" t="s">
        <v>4</v>
      </c>
      <c r="AG58" s="119" t="s">
        <v>3</v>
      </c>
      <c r="AH58" s="119" t="s">
        <v>4</v>
      </c>
      <c r="AI58" s="119" t="s">
        <v>3</v>
      </c>
      <c r="AJ58" s="119" t="s">
        <v>4</v>
      </c>
      <c r="AK58" s="119" t="s">
        <v>4</v>
      </c>
      <c r="AL58" s="119" t="s">
        <v>3</v>
      </c>
      <c r="AM58" s="6" t="s">
        <v>3</v>
      </c>
      <c r="AS58" s="6" t="s">
        <v>84</v>
      </c>
      <c r="AT58" s="6">
        <f>COUNTIFS(H:H,"D",C:C,1)/COUNTIF(C:C,1)</f>
        <v>1</v>
      </c>
      <c r="AU58" s="6">
        <f>COUNTIFS(H:H,"D",C:C,2)/COUNTIF(C:C,2)</f>
        <v>1</v>
      </c>
      <c r="AV58" s="6">
        <f>COUNTIFS(H:H,"D",C:C,3)/COUNTIF(C:C,3)</f>
        <v>1</v>
      </c>
      <c r="AW58" s="6">
        <f>COUNTIFS(H:H,"D",C:C,4)/COUNTIF(C:C,4)</f>
        <v>1</v>
      </c>
      <c r="AX58" s="6">
        <f>COUNTIFS(H:H,"D",C:C,5)/COUNTIF(C:C,5)</f>
        <v>1</v>
      </c>
      <c r="AY58" s="6">
        <f>COUNTIFS(H:H,"D",C:C,6)/COUNTIF(C:C,6)</f>
        <v>1</v>
      </c>
      <c r="AZ58"/>
      <c r="BA58" s="33"/>
      <c r="BB58" s="33"/>
      <c r="BC58" s="164"/>
      <c r="BD58" s="164"/>
      <c r="BE58" s="159"/>
      <c r="BF58" s="159"/>
      <c r="BG58" s="165"/>
      <c r="BH58" s="155"/>
      <c r="BI58" s="161"/>
      <c r="BJ58" s="155"/>
      <c r="BK58" s="155"/>
      <c r="BL58" s="155"/>
      <c r="BM58" s="155"/>
      <c r="BN58" s="155"/>
      <c r="BO58" s="155"/>
      <c r="BP58" s="155"/>
      <c r="BQ58" s="155"/>
      <c r="BR58" s="155"/>
      <c r="BS58" s="155"/>
      <c r="BT58" s="155"/>
      <c r="BU58" s="155"/>
      <c r="BV58" s="155"/>
      <c r="BW58" s="155"/>
      <c r="BX58" s="155"/>
      <c r="BY58" s="155"/>
      <c r="BZ58" s="155"/>
      <c r="CA58" s="155"/>
      <c r="CB58" s="155"/>
      <c r="CC58" s="155"/>
      <c r="CD58" s="155"/>
      <c r="CE58" s="155"/>
      <c r="CF58" s="155"/>
      <c r="CG58" s="155"/>
      <c r="CH58" s="155"/>
      <c r="CI58" s="155"/>
      <c r="CJ58" s="155"/>
      <c r="CK58" s="155"/>
      <c r="CL58" s="155"/>
      <c r="CM58" s="155"/>
      <c r="CN58" s="155"/>
      <c r="CO58" s="155"/>
      <c r="CP58" s="155"/>
      <c r="CQ58" s="155"/>
      <c r="CR58" s="155"/>
      <c r="CS58" s="155"/>
      <c r="CT58" s="155"/>
      <c r="CU58" s="155"/>
      <c r="CV58" s="155"/>
      <c r="CW58" s="155"/>
      <c r="CX58" s="155"/>
      <c r="CY58" s="155"/>
      <c r="CZ58" s="155"/>
      <c r="DA58" s="155"/>
      <c r="DB58" s="155"/>
      <c r="DC58" s="155"/>
      <c r="DD58" s="155"/>
      <c r="DE58" s="155"/>
      <c r="DF58" s="155"/>
      <c r="DG58" s="155"/>
      <c r="DH58" s="155"/>
    </row>
    <row r="59" spans="1:112" x14ac:dyDescent="0.3">
      <c r="A59" s="119">
        <f t="shared" si="0"/>
        <v>58</v>
      </c>
      <c r="B59" s="119" t="s">
        <v>34</v>
      </c>
      <c r="C59" s="119">
        <v>5</v>
      </c>
      <c r="D59" s="119" t="s">
        <v>5</v>
      </c>
      <c r="E59" s="119" t="s">
        <v>5</v>
      </c>
      <c r="F59" s="119" t="s">
        <v>3</v>
      </c>
      <c r="G59" s="119" t="s">
        <v>5</v>
      </c>
      <c r="H59" s="119" t="s">
        <v>5</v>
      </c>
      <c r="I59" s="119" t="s">
        <v>3</v>
      </c>
      <c r="J59" s="119" t="s">
        <v>5</v>
      </c>
      <c r="K59" s="119" t="s">
        <v>2</v>
      </c>
      <c r="L59" s="119" t="s">
        <v>4</v>
      </c>
      <c r="M59" s="119" t="s">
        <v>4</v>
      </c>
      <c r="N59" s="119" t="s">
        <v>4</v>
      </c>
      <c r="O59" s="119" t="s">
        <v>5</v>
      </c>
      <c r="P59" s="119" t="s">
        <v>2</v>
      </c>
      <c r="Q59" s="119" t="s">
        <v>4</v>
      </c>
      <c r="R59" s="119" t="s">
        <v>5</v>
      </c>
      <c r="S59" s="119" t="s">
        <v>5</v>
      </c>
      <c r="T59" s="119" t="s">
        <v>2</v>
      </c>
      <c r="U59" s="119" t="s">
        <v>5</v>
      </c>
      <c r="V59" s="119" t="s">
        <v>5</v>
      </c>
      <c r="W59" s="119" t="s">
        <v>3</v>
      </c>
      <c r="X59" s="119" t="s">
        <v>3</v>
      </c>
      <c r="Y59" s="119" t="s">
        <v>4</v>
      </c>
      <c r="Z59" s="119" t="s">
        <v>3</v>
      </c>
      <c r="AA59" s="119" t="s">
        <v>4</v>
      </c>
      <c r="AB59" s="119" t="s">
        <v>4</v>
      </c>
      <c r="AC59" s="119" t="s">
        <v>4</v>
      </c>
      <c r="AD59" s="119" t="s">
        <v>4</v>
      </c>
      <c r="AE59" s="119" t="s">
        <v>4</v>
      </c>
      <c r="AF59" s="119" t="s">
        <v>4</v>
      </c>
      <c r="AG59" s="119" t="s">
        <v>4</v>
      </c>
      <c r="AH59" s="119" t="s">
        <v>4</v>
      </c>
      <c r="AI59" s="119" t="s">
        <v>3</v>
      </c>
      <c r="AJ59" s="119" t="s">
        <v>4</v>
      </c>
      <c r="AK59" s="119" t="s">
        <v>4</v>
      </c>
      <c r="AL59" s="119" t="s">
        <v>3</v>
      </c>
      <c r="AM59" s="6" t="s">
        <v>3</v>
      </c>
      <c r="AZ59"/>
      <c r="BA59" s="33"/>
      <c r="BB59" s="33"/>
      <c r="BC59" s="164"/>
      <c r="BD59" s="164"/>
      <c r="BE59" s="159"/>
      <c r="BF59" s="159"/>
      <c r="BG59" s="16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155"/>
      <c r="CF59" s="155"/>
      <c r="CG59" s="155"/>
      <c r="CH59" s="155"/>
      <c r="CI59" s="155"/>
      <c r="CJ59" s="155"/>
      <c r="CK59" s="155"/>
      <c r="CL59" s="155"/>
      <c r="CM59" s="155"/>
      <c r="CN59" s="155"/>
      <c r="CO59" s="155"/>
      <c r="CP59" s="155"/>
      <c r="CQ59" s="155"/>
      <c r="CR59" s="155"/>
      <c r="CS59" s="155"/>
      <c r="CT59" s="155"/>
      <c r="CU59" s="155"/>
      <c r="CV59" s="155"/>
      <c r="CW59" s="155"/>
      <c r="CX59" s="155"/>
      <c r="CY59" s="155"/>
      <c r="CZ59" s="155"/>
      <c r="DA59" s="155"/>
      <c r="DB59" s="155"/>
      <c r="DC59" s="155"/>
      <c r="DD59" s="155"/>
      <c r="DE59" s="155"/>
      <c r="DF59" s="155"/>
      <c r="DG59" s="155"/>
      <c r="DH59" s="155"/>
    </row>
    <row r="60" spans="1:112" x14ac:dyDescent="0.3">
      <c r="A60" s="119">
        <f t="shared" si="0"/>
        <v>59</v>
      </c>
      <c r="B60" s="119" t="s">
        <v>271</v>
      </c>
      <c r="C60" s="119">
        <v>5</v>
      </c>
      <c r="D60" s="119" t="s">
        <v>5</v>
      </c>
      <c r="E60" s="119" t="s">
        <v>3</v>
      </c>
      <c r="F60" s="119" t="s">
        <v>2</v>
      </c>
      <c r="G60" s="119" t="s">
        <v>5</v>
      </c>
      <c r="H60" s="119" t="s">
        <v>5</v>
      </c>
      <c r="I60" s="119" t="s">
        <v>5</v>
      </c>
      <c r="J60" s="119" t="s">
        <v>5</v>
      </c>
      <c r="K60" s="119" t="s">
        <v>2</v>
      </c>
      <c r="L60" s="119" t="s">
        <v>2</v>
      </c>
      <c r="M60" s="119" t="s">
        <v>2</v>
      </c>
      <c r="N60" s="119" t="s">
        <v>3</v>
      </c>
      <c r="O60" s="119" t="s">
        <v>2</v>
      </c>
      <c r="P60" s="119" t="s">
        <v>5</v>
      </c>
      <c r="Q60" s="119" t="s">
        <v>2</v>
      </c>
      <c r="R60" s="119" t="s">
        <v>2</v>
      </c>
      <c r="S60" s="119" t="s">
        <v>5</v>
      </c>
      <c r="T60" s="119" t="s">
        <v>5</v>
      </c>
      <c r="U60" s="119" t="s">
        <v>5</v>
      </c>
      <c r="V60" s="119" t="s">
        <v>5</v>
      </c>
      <c r="W60" s="119" t="s">
        <v>3</v>
      </c>
      <c r="X60" s="119" t="s">
        <v>3</v>
      </c>
      <c r="Y60" s="119" t="s">
        <v>2</v>
      </c>
      <c r="Z60" s="119" t="s">
        <v>3</v>
      </c>
      <c r="AA60" s="119" t="s">
        <v>4</v>
      </c>
      <c r="AB60" s="119" t="s">
        <v>4</v>
      </c>
      <c r="AC60" s="119" t="s">
        <v>4</v>
      </c>
      <c r="AD60" s="119" t="s">
        <v>4</v>
      </c>
      <c r="AE60" s="119" t="s">
        <v>4</v>
      </c>
      <c r="AF60" s="119" t="s">
        <v>3</v>
      </c>
      <c r="AG60" s="119" t="s">
        <v>3</v>
      </c>
      <c r="AH60" s="119" t="s">
        <v>4</v>
      </c>
      <c r="AI60" s="119" t="s">
        <v>3</v>
      </c>
      <c r="AJ60" s="119" t="s">
        <v>4</v>
      </c>
      <c r="AK60" s="119" t="s">
        <v>4</v>
      </c>
      <c r="AL60" s="119" t="s">
        <v>3</v>
      </c>
      <c r="AM60" s="6" t="s">
        <v>3</v>
      </c>
      <c r="AS60" s="7" t="s">
        <v>237</v>
      </c>
      <c r="AT60" s="7">
        <v>1</v>
      </c>
      <c r="AU60" s="7">
        <v>2</v>
      </c>
      <c r="AV60" s="7">
        <v>3</v>
      </c>
      <c r="AW60" s="7">
        <v>4</v>
      </c>
      <c r="AX60" s="7">
        <v>5</v>
      </c>
      <c r="AY60" s="7">
        <v>6</v>
      </c>
      <c r="AZ60"/>
      <c r="BA60" s="31"/>
      <c r="BB60" s="31"/>
      <c r="BC60" s="165"/>
      <c r="BD60" s="165"/>
      <c r="BE60" s="159"/>
      <c r="BF60" s="159"/>
      <c r="BG60" s="165"/>
      <c r="BH60" s="155"/>
      <c r="BI60" s="161"/>
      <c r="BJ60" s="155"/>
      <c r="BK60" s="155"/>
      <c r="BL60" s="155"/>
      <c r="BM60" s="155"/>
      <c r="BN60" s="155"/>
      <c r="BO60" s="155"/>
      <c r="BP60" s="155"/>
      <c r="BQ60" s="155"/>
      <c r="BR60" s="155"/>
      <c r="BS60" s="155"/>
      <c r="BT60" s="155"/>
      <c r="BU60" s="155"/>
      <c r="BV60" s="155"/>
      <c r="BW60" s="155"/>
      <c r="BX60" s="155"/>
      <c r="BY60" s="155"/>
      <c r="BZ60" s="155"/>
      <c r="CA60" s="155"/>
      <c r="CB60" s="155"/>
      <c r="CC60" s="155"/>
      <c r="CD60" s="155"/>
      <c r="CE60" s="155"/>
      <c r="CF60" s="155"/>
      <c r="CG60" s="155"/>
      <c r="CH60" s="155"/>
      <c r="CI60" s="155"/>
      <c r="CJ60" s="155"/>
      <c r="CK60" s="155"/>
      <c r="CL60" s="155"/>
      <c r="CM60" s="155"/>
      <c r="CN60" s="155"/>
      <c r="CO60" s="155"/>
      <c r="CP60" s="155"/>
      <c r="CQ60" s="155"/>
      <c r="CR60" s="155"/>
      <c r="CS60" s="155"/>
      <c r="CT60" s="155"/>
      <c r="CU60" s="155"/>
      <c r="CV60" s="155"/>
      <c r="CW60" s="155"/>
      <c r="CX60" s="155"/>
      <c r="CY60" s="155"/>
      <c r="CZ60" s="155"/>
      <c r="DA60" s="155"/>
      <c r="DB60" s="155"/>
      <c r="DC60" s="155"/>
      <c r="DD60" s="155"/>
      <c r="DE60" s="155"/>
      <c r="DF60" s="155"/>
      <c r="DG60" s="155"/>
      <c r="DH60" s="155"/>
    </row>
    <row r="61" spans="1:112" x14ac:dyDescent="0.3">
      <c r="A61" s="119">
        <f t="shared" si="0"/>
        <v>60</v>
      </c>
      <c r="B61" s="119" t="s">
        <v>272</v>
      </c>
      <c r="C61" s="119">
        <v>5</v>
      </c>
      <c r="D61" s="119" t="s">
        <v>5</v>
      </c>
      <c r="E61" s="119" t="s">
        <v>5</v>
      </c>
      <c r="F61" s="119" t="s">
        <v>2</v>
      </c>
      <c r="G61" s="119" t="s">
        <v>5</v>
      </c>
      <c r="H61" s="119" t="s">
        <v>5</v>
      </c>
      <c r="I61" s="119" t="s">
        <v>3</v>
      </c>
      <c r="J61" s="119" t="s">
        <v>5</v>
      </c>
      <c r="K61" s="119" t="s">
        <v>2</v>
      </c>
      <c r="L61" s="119" t="s">
        <v>2</v>
      </c>
      <c r="M61" s="119" t="s">
        <v>2</v>
      </c>
      <c r="N61" s="119" t="s">
        <v>2</v>
      </c>
      <c r="O61" s="119" t="s">
        <v>2</v>
      </c>
      <c r="P61" s="119" t="s">
        <v>2</v>
      </c>
      <c r="Q61" s="119" t="s">
        <v>3</v>
      </c>
      <c r="R61" s="119" t="s">
        <v>3</v>
      </c>
      <c r="S61" s="119" t="s">
        <v>5</v>
      </c>
      <c r="T61" s="119" t="s">
        <v>5</v>
      </c>
      <c r="U61" s="119" t="s">
        <v>5</v>
      </c>
      <c r="V61" s="119" t="s">
        <v>5</v>
      </c>
      <c r="W61" s="119" t="s">
        <v>3</v>
      </c>
      <c r="X61" s="119" t="s">
        <v>3</v>
      </c>
      <c r="Y61" s="119" t="s">
        <v>2</v>
      </c>
      <c r="Z61" s="119" t="s">
        <v>3</v>
      </c>
      <c r="AA61" s="119" t="s">
        <v>4</v>
      </c>
      <c r="AB61" s="119" t="s">
        <v>4</v>
      </c>
      <c r="AC61" s="119" t="s">
        <v>4</v>
      </c>
      <c r="AD61" s="119" t="s">
        <v>4</v>
      </c>
      <c r="AE61" s="119" t="s">
        <v>4</v>
      </c>
      <c r="AF61" s="119" t="s">
        <v>3</v>
      </c>
      <c r="AG61" s="119" t="s">
        <v>3</v>
      </c>
      <c r="AH61" s="119" t="s">
        <v>4</v>
      </c>
      <c r="AI61" s="119" t="s">
        <v>3</v>
      </c>
      <c r="AJ61" s="119" t="s">
        <v>3</v>
      </c>
      <c r="AK61" s="119" t="s">
        <v>4</v>
      </c>
      <c r="AL61" s="119" t="s">
        <v>3</v>
      </c>
      <c r="AM61" s="6" t="s">
        <v>3</v>
      </c>
      <c r="AS61" s="6" t="s">
        <v>162</v>
      </c>
      <c r="AT61" s="6">
        <f>COUNTIFS(I:I,"A",C:C,1)/COUNTIF(C:C,1)</f>
        <v>0</v>
      </c>
      <c r="AU61" s="6">
        <f>COUNTIFS(I:I,"A",C:C,2)/COUNTIF(C:C,2)</f>
        <v>0</v>
      </c>
      <c r="AV61" s="6">
        <f>COUNTIFS(I:I,"A",C:C,3)/COUNTIF(C:C,3)</f>
        <v>0</v>
      </c>
      <c r="AW61" s="6">
        <f>COUNTIFS(I:I,"A",C:C,4)/COUNTIF(C:C,4)</f>
        <v>0</v>
      </c>
      <c r="AX61" s="6">
        <f>COUNTIFS(I:I,"A",C:C,5)/COUNTIF(C:C,5)</f>
        <v>0</v>
      </c>
      <c r="AY61" s="6">
        <f>COUNTIFS(I:I,"A",C:C,6)/COUNTIF(C:C,6)</f>
        <v>0</v>
      </c>
      <c r="AZ61"/>
      <c r="BA61" s="31"/>
      <c r="BB61" s="31"/>
      <c r="BC61" s="165"/>
      <c r="BD61" s="165"/>
      <c r="BE61" s="159"/>
      <c r="BF61" s="159"/>
      <c r="BG61" s="165"/>
      <c r="BH61" s="155"/>
      <c r="BI61" s="155"/>
      <c r="BJ61" s="155"/>
      <c r="BK61" s="155"/>
      <c r="BL61" s="155"/>
      <c r="BM61" s="155"/>
      <c r="BN61" s="155"/>
      <c r="BO61" s="155"/>
      <c r="BP61" s="155"/>
      <c r="BQ61" s="155"/>
      <c r="BR61" s="155"/>
      <c r="BS61" s="155"/>
      <c r="BT61" s="155"/>
      <c r="BU61" s="155"/>
      <c r="BV61" s="155"/>
      <c r="BW61" s="155"/>
      <c r="BX61" s="155"/>
      <c r="BY61" s="155"/>
      <c r="BZ61" s="155"/>
      <c r="CA61" s="155"/>
      <c r="CB61" s="155"/>
      <c r="CC61" s="155"/>
      <c r="CD61" s="155"/>
      <c r="CE61" s="155"/>
      <c r="CF61" s="155"/>
      <c r="CG61" s="155"/>
      <c r="CH61" s="155"/>
      <c r="CI61" s="155"/>
      <c r="CJ61" s="155"/>
      <c r="CK61" s="155"/>
      <c r="CL61" s="155"/>
      <c r="CM61" s="155"/>
      <c r="CN61" s="155"/>
      <c r="CO61" s="155"/>
      <c r="CP61" s="155"/>
      <c r="CQ61" s="155"/>
      <c r="CR61" s="155"/>
      <c r="CS61" s="155"/>
      <c r="CT61" s="155"/>
      <c r="CU61" s="155"/>
      <c r="CV61" s="155"/>
      <c r="CW61" s="155"/>
      <c r="CX61" s="155"/>
      <c r="CY61" s="155"/>
      <c r="CZ61" s="155"/>
      <c r="DA61" s="155"/>
      <c r="DB61" s="155"/>
      <c r="DC61" s="155"/>
      <c r="DD61" s="155"/>
      <c r="DE61" s="155"/>
      <c r="DF61" s="155"/>
      <c r="DG61" s="155"/>
      <c r="DH61" s="155"/>
    </row>
    <row r="62" spans="1:112" x14ac:dyDescent="0.3">
      <c r="A62" s="119">
        <f t="shared" si="0"/>
        <v>61</v>
      </c>
      <c r="B62" s="119" t="s">
        <v>273</v>
      </c>
      <c r="C62" s="119">
        <v>5</v>
      </c>
      <c r="D62" s="119" t="s">
        <v>5</v>
      </c>
      <c r="E62" s="119" t="s">
        <v>5</v>
      </c>
      <c r="F62" s="119" t="s">
        <v>2</v>
      </c>
      <c r="G62" s="119" t="s">
        <v>5</v>
      </c>
      <c r="H62" s="119" t="s">
        <v>5</v>
      </c>
      <c r="I62" s="119" t="s">
        <v>3</v>
      </c>
      <c r="J62" s="119" t="s">
        <v>5</v>
      </c>
      <c r="K62" s="119" t="s">
        <v>2</v>
      </c>
      <c r="L62" s="119" t="s">
        <v>3</v>
      </c>
      <c r="M62" s="119" t="s">
        <v>5</v>
      </c>
      <c r="N62" s="119" t="s">
        <v>2</v>
      </c>
      <c r="O62" s="119" t="s">
        <v>5</v>
      </c>
      <c r="P62" s="119" t="s">
        <v>5</v>
      </c>
      <c r="Q62" s="119" t="s">
        <v>2</v>
      </c>
      <c r="R62" s="119" t="s">
        <v>2</v>
      </c>
      <c r="S62" s="119" t="s">
        <v>5</v>
      </c>
      <c r="T62" s="119" t="s">
        <v>5</v>
      </c>
      <c r="U62" s="119" t="s">
        <v>5</v>
      </c>
      <c r="V62" s="119" t="s">
        <v>5</v>
      </c>
      <c r="W62" s="119" t="s">
        <v>3</v>
      </c>
      <c r="X62" s="119" t="s">
        <v>3</v>
      </c>
      <c r="Y62" s="119" t="s">
        <v>2</v>
      </c>
      <c r="Z62" s="119" t="s">
        <v>3</v>
      </c>
      <c r="AA62" s="119" t="s">
        <v>4</v>
      </c>
      <c r="AB62" s="119" t="s">
        <v>4</v>
      </c>
      <c r="AC62" s="119" t="s">
        <v>4</v>
      </c>
      <c r="AD62" s="119" t="s">
        <v>4</v>
      </c>
      <c r="AE62" s="119" t="s">
        <v>4</v>
      </c>
      <c r="AF62" s="119" t="s">
        <v>4</v>
      </c>
      <c r="AG62" s="119" t="s">
        <v>3</v>
      </c>
      <c r="AH62" s="119" t="s">
        <v>4</v>
      </c>
      <c r="AI62" s="119" t="s">
        <v>3</v>
      </c>
      <c r="AJ62" s="119" t="s">
        <v>3</v>
      </c>
      <c r="AK62" s="119" t="s">
        <v>4</v>
      </c>
      <c r="AL62" s="119" t="s">
        <v>4</v>
      </c>
      <c r="AM62" s="6" t="s">
        <v>3</v>
      </c>
      <c r="AS62" s="6" t="s">
        <v>163</v>
      </c>
      <c r="AT62" s="6">
        <f>COUNTIFS(I:I,"B",C:C,1)/COUNTIF(C:C,1)</f>
        <v>0.30769230769230771</v>
      </c>
      <c r="AU62" s="6">
        <f>COUNTIFS(I:I,"B",C:C,2)/COUNTIF(C:C,2)</f>
        <v>7.6923076923076927E-2</v>
      </c>
      <c r="AV62" s="6">
        <f>COUNTIFS(I:I,"B",C:C,3)/COUNTIF(C:C,3)</f>
        <v>0</v>
      </c>
      <c r="AW62" s="6">
        <f>COUNTIFS(I:I,"B",C:C,4)/COUNTIF(C:C,4)</f>
        <v>0</v>
      </c>
      <c r="AX62" s="6">
        <f>COUNTIFS(I:I,"B",C:C,5)/COUNTIF(C:C,5)</f>
        <v>0.46153846153846156</v>
      </c>
      <c r="AY62" s="6">
        <f>COUNTIFS(I:I,"B",C:C,6)/COUNTIF(C:C,6)</f>
        <v>0.15384615384615385</v>
      </c>
      <c r="AZ62"/>
      <c r="BA62" s="31"/>
      <c r="BB62" s="31"/>
      <c r="BC62" s="165"/>
      <c r="BD62" s="165"/>
      <c r="BE62" s="159"/>
      <c r="BF62" s="159"/>
      <c r="BG62" s="165"/>
      <c r="BH62" s="155"/>
      <c r="BI62" s="161"/>
      <c r="BJ62" s="155"/>
      <c r="BK62" s="155"/>
      <c r="BL62" s="155"/>
      <c r="BM62" s="155"/>
      <c r="BN62" s="155"/>
      <c r="BO62" s="155"/>
      <c r="BP62" s="155"/>
      <c r="BQ62" s="155"/>
      <c r="BR62" s="155"/>
      <c r="BS62" s="155"/>
      <c r="BT62" s="155"/>
      <c r="BU62" s="155"/>
      <c r="BV62" s="155"/>
      <c r="BW62" s="155"/>
      <c r="BX62" s="155"/>
      <c r="BY62" s="155"/>
      <c r="BZ62" s="155"/>
      <c r="CA62" s="155"/>
      <c r="CB62" s="155"/>
      <c r="CC62" s="155"/>
      <c r="CD62" s="155"/>
      <c r="CE62" s="155"/>
      <c r="CF62" s="155"/>
      <c r="CG62" s="155"/>
      <c r="CH62" s="155"/>
      <c r="CI62" s="155"/>
      <c r="CJ62" s="155"/>
      <c r="CK62" s="155"/>
      <c r="CL62" s="155"/>
      <c r="CM62" s="155"/>
      <c r="CN62" s="155"/>
      <c r="CO62" s="155"/>
      <c r="CP62" s="155"/>
      <c r="CQ62" s="155"/>
      <c r="CR62" s="155"/>
      <c r="CS62" s="155"/>
      <c r="CT62" s="155"/>
      <c r="CU62" s="155"/>
      <c r="CV62" s="155"/>
      <c r="CW62" s="155"/>
      <c r="CX62" s="155"/>
      <c r="CY62" s="155"/>
      <c r="CZ62" s="155"/>
      <c r="DA62" s="155"/>
      <c r="DB62" s="155"/>
      <c r="DC62" s="155"/>
      <c r="DD62" s="155"/>
      <c r="DE62" s="155"/>
      <c r="DF62" s="155"/>
      <c r="DG62" s="155"/>
      <c r="DH62" s="155"/>
    </row>
    <row r="63" spans="1:112" x14ac:dyDescent="0.3">
      <c r="A63" s="119">
        <f t="shared" si="0"/>
        <v>62</v>
      </c>
      <c r="B63" s="119" t="s">
        <v>274</v>
      </c>
      <c r="C63" s="119">
        <v>5</v>
      </c>
      <c r="D63" s="119" t="s">
        <v>5</v>
      </c>
      <c r="E63" s="119" t="s">
        <v>3</v>
      </c>
      <c r="F63" s="119" t="s">
        <v>3</v>
      </c>
      <c r="G63" s="119" t="s">
        <v>5</v>
      </c>
      <c r="H63" s="119" t="s">
        <v>5</v>
      </c>
      <c r="I63" s="119" t="s">
        <v>5</v>
      </c>
      <c r="J63" s="119" t="s">
        <v>5</v>
      </c>
      <c r="K63" s="119" t="s">
        <v>2</v>
      </c>
      <c r="L63" s="119" t="s">
        <v>2</v>
      </c>
      <c r="M63" s="119" t="s">
        <v>5</v>
      </c>
      <c r="N63" s="119" t="s">
        <v>3</v>
      </c>
      <c r="O63" s="119" t="s">
        <v>2</v>
      </c>
      <c r="P63" s="119" t="s">
        <v>5</v>
      </c>
      <c r="Q63" s="119" t="s">
        <v>2</v>
      </c>
      <c r="R63" s="119" t="s">
        <v>3</v>
      </c>
      <c r="S63" s="119" t="s">
        <v>5</v>
      </c>
      <c r="T63" s="119" t="s">
        <v>5</v>
      </c>
      <c r="U63" s="119" t="s">
        <v>5</v>
      </c>
      <c r="V63" s="119" t="s">
        <v>5</v>
      </c>
      <c r="W63" s="119" t="s">
        <v>3</v>
      </c>
      <c r="X63" s="119" t="s">
        <v>3</v>
      </c>
      <c r="Y63" s="119" t="s">
        <v>2</v>
      </c>
      <c r="Z63" s="119" t="s">
        <v>3</v>
      </c>
      <c r="AA63" s="119" t="s">
        <v>4</v>
      </c>
      <c r="AB63" s="119" t="s">
        <v>4</v>
      </c>
      <c r="AC63" s="119" t="s">
        <v>4</v>
      </c>
      <c r="AD63" s="119" t="s">
        <v>4</v>
      </c>
      <c r="AE63" s="119" t="s">
        <v>4</v>
      </c>
      <c r="AF63" s="119" t="s">
        <v>4</v>
      </c>
      <c r="AG63" s="119" t="s">
        <v>3</v>
      </c>
      <c r="AH63" s="119" t="s">
        <v>4</v>
      </c>
      <c r="AI63" s="119" t="s">
        <v>3</v>
      </c>
      <c r="AJ63" s="119" t="s">
        <v>4</v>
      </c>
      <c r="AK63" s="119" t="s">
        <v>4</v>
      </c>
      <c r="AL63" s="119" t="s">
        <v>4</v>
      </c>
      <c r="AM63" s="6" t="s">
        <v>3</v>
      </c>
      <c r="AS63" s="6" t="s">
        <v>164</v>
      </c>
      <c r="AT63" s="6">
        <f>COUNTIFS(I:I,"C",C:C,1)/COUNTIF(C:C,1)</f>
        <v>0</v>
      </c>
      <c r="AU63" s="6">
        <f>COUNTIFS(I:I,"C",C:C,2)/COUNTIF(C:C,2)</f>
        <v>0</v>
      </c>
      <c r="AV63" s="6">
        <f>COUNTIFS(I:I,"C",C:C,3)/COUNTIF(C:C,3)</f>
        <v>0.15384615384615385</v>
      </c>
      <c r="AW63" s="6">
        <f>COUNTIFS(I:I,"C",C:C,4)/COUNTIF(C:C,4)</f>
        <v>0</v>
      </c>
      <c r="AX63" s="6">
        <f>COUNTIFS(I:I,"C",C:C,5)/COUNTIF(C:C,5)</f>
        <v>0</v>
      </c>
      <c r="AY63" s="6">
        <f>COUNTIFS(I:I,"C",C:C,6)/COUNTIF(C:C,6)</f>
        <v>0</v>
      </c>
      <c r="AZ63"/>
      <c r="BA63" s="31"/>
      <c r="BB63" s="31"/>
      <c r="BC63" s="165"/>
      <c r="BD63" s="165"/>
      <c r="BE63" s="159"/>
      <c r="BF63" s="159"/>
      <c r="BG63" s="165"/>
      <c r="BH63" s="155"/>
      <c r="BI63" s="155"/>
      <c r="BJ63" s="155"/>
      <c r="BK63" s="155"/>
      <c r="BL63" s="155"/>
      <c r="BM63" s="155"/>
      <c r="BN63" s="155"/>
      <c r="BO63" s="155"/>
      <c r="BP63" s="155"/>
      <c r="BQ63" s="155"/>
      <c r="BR63" s="155"/>
      <c r="BS63" s="155"/>
      <c r="BT63" s="155"/>
      <c r="BU63" s="155"/>
      <c r="BV63" s="155"/>
      <c r="BW63" s="155"/>
      <c r="BX63" s="155"/>
      <c r="BY63" s="155"/>
      <c r="BZ63" s="155"/>
      <c r="CA63" s="155"/>
      <c r="CB63" s="155"/>
      <c r="CC63" s="155"/>
      <c r="CD63" s="155"/>
      <c r="CE63" s="155"/>
      <c r="CF63" s="155"/>
      <c r="CG63" s="155"/>
      <c r="CH63" s="155"/>
      <c r="CI63" s="155"/>
      <c r="CJ63" s="155"/>
      <c r="CK63" s="155"/>
      <c r="CL63" s="155"/>
      <c r="CM63" s="155"/>
      <c r="CN63" s="155"/>
      <c r="CO63" s="155"/>
      <c r="CP63" s="155"/>
      <c r="CQ63" s="155"/>
      <c r="CR63" s="155"/>
      <c r="CS63" s="155"/>
      <c r="CT63" s="155"/>
      <c r="CU63" s="155"/>
      <c r="CV63" s="155"/>
      <c r="CW63" s="155"/>
      <c r="CX63" s="155"/>
      <c r="CY63" s="155"/>
      <c r="CZ63" s="155"/>
      <c r="DA63" s="155"/>
      <c r="DB63" s="155"/>
      <c r="DC63" s="155"/>
      <c r="DD63" s="155"/>
      <c r="DE63" s="155"/>
      <c r="DF63" s="155"/>
      <c r="DG63" s="155"/>
      <c r="DH63" s="155"/>
    </row>
    <row r="64" spans="1:112" x14ac:dyDescent="0.3">
      <c r="A64" s="119">
        <f t="shared" si="0"/>
        <v>63</v>
      </c>
      <c r="B64" s="119" t="s">
        <v>473</v>
      </c>
      <c r="C64" s="119">
        <v>5</v>
      </c>
      <c r="D64" s="119" t="s">
        <v>5</v>
      </c>
      <c r="E64" s="119" t="s">
        <v>3</v>
      </c>
      <c r="F64" s="119" t="s">
        <v>5</v>
      </c>
      <c r="G64" s="119" t="s">
        <v>5</v>
      </c>
      <c r="H64" s="119" t="s">
        <v>5</v>
      </c>
      <c r="I64" s="119" t="s">
        <v>5</v>
      </c>
      <c r="J64" s="119" t="s">
        <v>5</v>
      </c>
      <c r="K64" s="119" t="s">
        <v>2</v>
      </c>
      <c r="L64" s="119" t="s">
        <v>3</v>
      </c>
      <c r="M64" s="119" t="s">
        <v>3</v>
      </c>
      <c r="N64" s="119" t="s">
        <v>5</v>
      </c>
      <c r="O64" s="119" t="s">
        <v>2</v>
      </c>
      <c r="P64" s="119" t="s">
        <v>5</v>
      </c>
      <c r="Q64" s="119" t="s">
        <v>2</v>
      </c>
      <c r="R64" s="119" t="s">
        <v>2</v>
      </c>
      <c r="S64" s="119" t="s">
        <v>5</v>
      </c>
      <c r="T64" s="119" t="s">
        <v>5</v>
      </c>
      <c r="U64" s="119" t="s">
        <v>5</v>
      </c>
      <c r="V64" s="119" t="s">
        <v>3</v>
      </c>
      <c r="W64" s="119" t="s">
        <v>3</v>
      </c>
      <c r="X64" s="119" t="s">
        <v>4</v>
      </c>
      <c r="Y64" s="119" t="s">
        <v>4</v>
      </c>
      <c r="Z64" s="119" t="s">
        <v>3</v>
      </c>
      <c r="AA64" s="119" t="s">
        <v>4</v>
      </c>
      <c r="AB64" s="119" t="s">
        <v>4</v>
      </c>
      <c r="AC64" s="119" t="s">
        <v>4</v>
      </c>
      <c r="AD64" s="119" t="s">
        <v>4</v>
      </c>
      <c r="AE64" s="119" t="s">
        <v>4</v>
      </c>
      <c r="AF64" s="119" t="s">
        <v>3</v>
      </c>
      <c r="AG64" s="119" t="s">
        <v>3</v>
      </c>
      <c r="AH64" s="119" t="s">
        <v>4</v>
      </c>
      <c r="AI64" s="119" t="s">
        <v>3</v>
      </c>
      <c r="AJ64" s="119" t="s">
        <v>4</v>
      </c>
      <c r="AK64" s="119" t="s">
        <v>4</v>
      </c>
      <c r="AL64" s="119" t="s">
        <v>3</v>
      </c>
      <c r="AM64" s="6" t="s">
        <v>3</v>
      </c>
      <c r="AS64" s="6" t="s">
        <v>165</v>
      </c>
      <c r="AT64" s="6">
        <f>COUNTIFS(I:I,"D",C:C,1)/COUNTIF(C:C,1)</f>
        <v>0.69230769230769229</v>
      </c>
      <c r="AU64" s="6">
        <f>COUNTIFS(I:I,"D",C:C,2)/COUNTIF(C:C,2)</f>
        <v>0.92307692307692313</v>
      </c>
      <c r="AV64" s="6">
        <f>COUNTIFS(I:I,"D",C:C,3)/COUNTIF(C:C,3)</f>
        <v>0.84615384615384615</v>
      </c>
      <c r="AW64" s="6">
        <f>COUNTIFS(I:I,"D",C:C,4)/COUNTIF(C:C,4)</f>
        <v>1</v>
      </c>
      <c r="AX64" s="6">
        <f>COUNTIFS(I:I,"D",C:C,5)/COUNTIF(C:C,5)</f>
        <v>0.53846153846153844</v>
      </c>
      <c r="AY64" s="6">
        <f>COUNTIFS(I:I,"D",C:C,6)/COUNTIF(C:C,6)</f>
        <v>0.84615384615384615</v>
      </c>
      <c r="AZ64"/>
      <c r="BA64" s="31"/>
      <c r="BB64" s="31"/>
      <c r="BC64" s="165"/>
      <c r="BD64" s="165"/>
      <c r="BE64" s="159"/>
      <c r="BF64" s="159"/>
      <c r="BG64" s="165"/>
      <c r="BH64" s="155"/>
      <c r="BI64" s="155"/>
      <c r="BJ64" s="155"/>
      <c r="BK64" s="155"/>
      <c r="BL64" s="155"/>
      <c r="BM64" s="155"/>
      <c r="BN64" s="155"/>
      <c r="BO64" s="155"/>
      <c r="BP64" s="155"/>
      <c r="BQ64" s="155"/>
      <c r="BR64" s="155"/>
      <c r="BS64" s="155"/>
      <c r="BT64" s="155"/>
      <c r="BU64" s="155"/>
      <c r="BV64" s="155"/>
      <c r="BW64" s="155"/>
      <c r="BX64" s="155"/>
      <c r="BY64" s="155"/>
      <c r="BZ64" s="155"/>
      <c r="CA64" s="155"/>
      <c r="CB64" s="155"/>
      <c r="CC64" s="155"/>
      <c r="CD64" s="155"/>
      <c r="CE64" s="155"/>
      <c r="CF64" s="155"/>
      <c r="CG64" s="155"/>
      <c r="CH64" s="155"/>
      <c r="CI64" s="155"/>
      <c r="CJ64" s="155"/>
      <c r="CK64" s="155"/>
      <c r="CL64" s="155"/>
      <c r="CM64" s="155"/>
      <c r="CN64" s="155"/>
      <c r="CO64" s="155"/>
      <c r="CP64" s="155"/>
      <c r="CQ64" s="155"/>
      <c r="CR64" s="155"/>
      <c r="CS64" s="155"/>
      <c r="CT64" s="155"/>
      <c r="CU64" s="155"/>
      <c r="CV64" s="155"/>
      <c r="CW64" s="155"/>
      <c r="CX64" s="155"/>
      <c r="CY64" s="155"/>
      <c r="CZ64" s="155"/>
      <c r="DA64" s="155"/>
      <c r="DB64" s="155"/>
      <c r="DC64" s="155"/>
      <c r="DD64" s="155"/>
      <c r="DE64" s="155"/>
      <c r="DF64" s="155"/>
      <c r="DG64" s="155"/>
      <c r="DH64" s="155"/>
    </row>
    <row r="65" spans="1:112" x14ac:dyDescent="0.3">
      <c r="A65" s="119">
        <f t="shared" si="0"/>
        <v>64</v>
      </c>
      <c r="B65" s="119" t="s">
        <v>478</v>
      </c>
      <c r="C65" s="119">
        <v>5</v>
      </c>
      <c r="D65" s="119" t="s">
        <v>5</v>
      </c>
      <c r="E65" s="119" t="s">
        <v>5</v>
      </c>
      <c r="F65" s="119" t="s">
        <v>2</v>
      </c>
      <c r="G65" s="119" t="s">
        <v>5</v>
      </c>
      <c r="H65" s="119" t="s">
        <v>5</v>
      </c>
      <c r="I65" s="119" t="s">
        <v>3</v>
      </c>
      <c r="J65" s="119" t="s">
        <v>5</v>
      </c>
      <c r="K65" s="119" t="s">
        <v>2</v>
      </c>
      <c r="L65" s="119" t="s">
        <v>3</v>
      </c>
      <c r="M65" s="119" t="s">
        <v>5</v>
      </c>
      <c r="N65" s="119" t="s">
        <v>2</v>
      </c>
      <c r="O65" s="119" t="s">
        <v>5</v>
      </c>
      <c r="P65" s="119" t="s">
        <v>5</v>
      </c>
      <c r="Q65" s="119" t="s">
        <v>2</v>
      </c>
      <c r="R65" s="119" t="s">
        <v>2</v>
      </c>
      <c r="S65" s="119" t="s">
        <v>5</v>
      </c>
      <c r="T65" s="119" t="s">
        <v>5</v>
      </c>
      <c r="U65" s="119" t="s">
        <v>5</v>
      </c>
      <c r="V65" s="119" t="s">
        <v>5</v>
      </c>
      <c r="W65" s="119" t="s">
        <v>3</v>
      </c>
      <c r="X65" s="119" t="s">
        <v>3</v>
      </c>
      <c r="Y65" s="119" t="s">
        <v>2</v>
      </c>
      <c r="Z65" s="119" t="s">
        <v>3</v>
      </c>
      <c r="AA65" s="119" t="s">
        <v>4</v>
      </c>
      <c r="AB65" s="119" t="s">
        <v>4</v>
      </c>
      <c r="AC65" s="119" t="s">
        <v>4</v>
      </c>
      <c r="AD65" s="119" t="s">
        <v>4</v>
      </c>
      <c r="AE65" s="119" t="s">
        <v>4</v>
      </c>
      <c r="AF65" s="119" t="s">
        <v>4</v>
      </c>
      <c r="AG65" s="119" t="s">
        <v>3</v>
      </c>
      <c r="AH65" s="119" t="s">
        <v>4</v>
      </c>
      <c r="AI65" s="119" t="s">
        <v>3</v>
      </c>
      <c r="AJ65" s="119" t="s">
        <v>4</v>
      </c>
      <c r="AK65" s="119" t="s">
        <v>4</v>
      </c>
      <c r="AL65" s="119" t="s">
        <v>3</v>
      </c>
      <c r="AM65" s="6" t="s">
        <v>3</v>
      </c>
      <c r="AZ65"/>
      <c r="BA65" s="33"/>
      <c r="BB65" s="33"/>
      <c r="BC65" s="164"/>
      <c r="BD65" s="164"/>
      <c r="BE65" s="164"/>
      <c r="BF65" s="164"/>
      <c r="BG65" s="164"/>
      <c r="BH65" s="155"/>
      <c r="BI65" s="162"/>
      <c r="BJ65" s="155"/>
      <c r="BK65" s="158"/>
      <c r="BL65" s="158"/>
      <c r="BM65" s="158"/>
      <c r="BN65" s="158"/>
      <c r="BO65" s="158"/>
      <c r="BP65" s="158"/>
      <c r="BQ65" s="158"/>
      <c r="BR65" s="158"/>
      <c r="BS65" s="158"/>
      <c r="BT65" s="158"/>
      <c r="BU65" s="158"/>
      <c r="BV65" s="158"/>
      <c r="BW65" s="158"/>
      <c r="BX65" s="158"/>
      <c r="BY65" s="158"/>
      <c r="BZ65" s="158"/>
      <c r="CA65" s="158"/>
      <c r="CB65" s="158"/>
      <c r="CC65" s="158"/>
      <c r="CD65" s="158"/>
      <c r="CE65" s="158"/>
      <c r="CF65" s="158"/>
      <c r="CG65" s="158"/>
      <c r="CH65" s="158"/>
      <c r="CI65" s="158"/>
      <c r="CJ65" s="158"/>
      <c r="CK65" s="158"/>
      <c r="CL65" s="158"/>
      <c r="CM65" s="158"/>
      <c r="CN65" s="158"/>
      <c r="CO65" s="158"/>
      <c r="CP65" s="158"/>
      <c r="CQ65" s="158"/>
      <c r="CR65" s="158"/>
      <c r="CS65" s="158"/>
      <c r="CT65" s="158"/>
      <c r="CU65" s="155"/>
      <c r="CV65" s="155"/>
      <c r="CW65" s="155"/>
      <c r="CX65" s="155"/>
      <c r="CY65" s="155"/>
      <c r="CZ65" s="155"/>
      <c r="DA65" s="155"/>
      <c r="DB65" s="155"/>
      <c r="DC65" s="155"/>
      <c r="DD65" s="155"/>
      <c r="DE65" s="155"/>
      <c r="DF65" s="155"/>
      <c r="DG65" s="155"/>
      <c r="DH65" s="155"/>
    </row>
    <row r="66" spans="1:112" x14ac:dyDescent="0.3">
      <c r="A66" s="119">
        <f t="shared" ref="A66:A79" si="1">ROW()-1</f>
        <v>65</v>
      </c>
      <c r="B66" s="119" t="s">
        <v>494</v>
      </c>
      <c r="C66" s="119">
        <v>5</v>
      </c>
      <c r="D66" s="119" t="s">
        <v>2</v>
      </c>
      <c r="E66" s="119" t="s">
        <v>5</v>
      </c>
      <c r="F66" s="119" t="s">
        <v>2</v>
      </c>
      <c r="G66" s="119" t="s">
        <v>5</v>
      </c>
      <c r="H66" s="119" t="s">
        <v>5</v>
      </c>
      <c r="I66" s="119" t="s">
        <v>5</v>
      </c>
      <c r="J66" s="119" t="s">
        <v>2</v>
      </c>
      <c r="K66" s="119" t="s">
        <v>2</v>
      </c>
      <c r="L66" s="119" t="s">
        <v>2</v>
      </c>
      <c r="M66" s="119" t="s">
        <v>4</v>
      </c>
      <c r="N66" s="119" t="s">
        <v>4</v>
      </c>
      <c r="O66" s="119" t="s">
        <v>4</v>
      </c>
      <c r="P66" s="119" t="s">
        <v>5</v>
      </c>
      <c r="Q66" s="119" t="s">
        <v>4</v>
      </c>
      <c r="R66" s="119" t="s">
        <v>5</v>
      </c>
      <c r="S66" s="119" t="s">
        <v>5</v>
      </c>
      <c r="T66" s="119" t="s">
        <v>5</v>
      </c>
      <c r="U66" s="119" t="s">
        <v>5</v>
      </c>
      <c r="V66" s="119" t="s">
        <v>5</v>
      </c>
      <c r="W66" s="119" t="s">
        <v>4</v>
      </c>
      <c r="X66" s="119" t="s">
        <v>3</v>
      </c>
      <c r="Y66" s="119" t="s">
        <v>3</v>
      </c>
      <c r="Z66" s="119" t="s">
        <v>3</v>
      </c>
      <c r="AA66" s="119" t="s">
        <v>4</v>
      </c>
      <c r="AB66" s="119" t="s">
        <v>4</v>
      </c>
      <c r="AC66" s="119" t="s">
        <v>4</v>
      </c>
      <c r="AD66" s="119" t="s">
        <v>4</v>
      </c>
      <c r="AE66" s="119" t="s">
        <v>3</v>
      </c>
      <c r="AF66" s="119" t="s">
        <v>3</v>
      </c>
      <c r="AG66" s="119" t="s">
        <v>3</v>
      </c>
      <c r="AH66" s="119" t="s">
        <v>4</v>
      </c>
      <c r="AI66" s="119" t="s">
        <v>3</v>
      </c>
      <c r="AJ66" s="119" t="s">
        <v>4</v>
      </c>
      <c r="AK66" s="119" t="s">
        <v>4</v>
      </c>
      <c r="AL66" s="119" t="s">
        <v>4</v>
      </c>
      <c r="AM66" s="6" t="s">
        <v>3</v>
      </c>
      <c r="AS66" s="7" t="s">
        <v>238</v>
      </c>
      <c r="AT66" s="7">
        <v>1</v>
      </c>
      <c r="AU66" s="7">
        <v>2</v>
      </c>
      <c r="AV66" s="7">
        <v>3</v>
      </c>
      <c r="AW66" s="7">
        <v>4</v>
      </c>
      <c r="AX66" s="7">
        <v>5</v>
      </c>
      <c r="AY66" s="7">
        <v>6</v>
      </c>
      <c r="AZ66"/>
      <c r="BA66" s="31"/>
      <c r="BB66" s="31"/>
      <c r="BC66" s="165"/>
      <c r="BD66" s="165"/>
      <c r="BE66" s="165"/>
      <c r="BF66" s="165"/>
      <c r="BG66" s="165"/>
      <c r="BH66" s="155"/>
      <c r="BI66" s="162"/>
      <c r="BJ66" s="155"/>
      <c r="BK66" s="155"/>
      <c r="BL66" s="155"/>
      <c r="BM66" s="155"/>
      <c r="BN66" s="155"/>
      <c r="BO66" s="155"/>
      <c r="BP66" s="155"/>
      <c r="BQ66" s="155"/>
      <c r="BR66" s="155"/>
      <c r="BS66" s="155"/>
      <c r="BT66" s="155"/>
      <c r="BU66" s="155"/>
      <c r="BV66" s="155"/>
      <c r="BW66" s="155"/>
      <c r="BX66" s="155"/>
      <c r="BY66" s="155"/>
      <c r="BZ66" s="155"/>
      <c r="CA66" s="155"/>
      <c r="CB66" s="155"/>
      <c r="CC66" s="155"/>
      <c r="CD66" s="155"/>
      <c r="CE66" s="155"/>
      <c r="CF66" s="155"/>
      <c r="CG66" s="155"/>
      <c r="CH66" s="155"/>
      <c r="CI66" s="155"/>
      <c r="CJ66" s="155"/>
      <c r="CK66" s="155"/>
      <c r="CL66" s="155"/>
      <c r="CM66" s="155"/>
      <c r="CN66" s="155"/>
      <c r="CO66" s="155"/>
      <c r="CP66" s="155"/>
      <c r="CQ66" s="155"/>
      <c r="CR66" s="155"/>
      <c r="CS66" s="155"/>
      <c r="CT66" s="155"/>
      <c r="CU66" s="155"/>
      <c r="CV66" s="155"/>
      <c r="CW66" s="155"/>
      <c r="CX66" s="155"/>
      <c r="CY66" s="155"/>
      <c r="CZ66" s="155"/>
      <c r="DA66" s="155"/>
      <c r="DB66" s="155"/>
      <c r="DC66" s="155"/>
      <c r="DD66" s="155"/>
      <c r="DE66" s="155"/>
      <c r="DF66" s="155"/>
      <c r="DG66" s="155"/>
      <c r="DH66" s="155"/>
    </row>
    <row r="67" spans="1:112" x14ac:dyDescent="0.3">
      <c r="A67" s="119">
        <f t="shared" si="1"/>
        <v>66</v>
      </c>
      <c r="B67" s="119" t="s">
        <v>35</v>
      </c>
      <c r="C67" s="120">
        <v>6</v>
      </c>
      <c r="D67" s="119" t="s">
        <v>5</v>
      </c>
      <c r="E67" s="119" t="s">
        <v>3</v>
      </c>
      <c r="F67" s="119" t="s">
        <v>3</v>
      </c>
      <c r="G67" s="119" t="s">
        <v>5</v>
      </c>
      <c r="H67" s="119" t="s">
        <v>5</v>
      </c>
      <c r="I67" s="119" t="s">
        <v>5</v>
      </c>
      <c r="J67" s="119" t="s">
        <v>5</v>
      </c>
      <c r="K67" s="119" t="s">
        <v>5</v>
      </c>
      <c r="L67" s="119" t="s">
        <v>2</v>
      </c>
      <c r="M67" s="119" t="s">
        <v>3</v>
      </c>
      <c r="N67" s="119" t="s">
        <v>2</v>
      </c>
      <c r="O67" s="119" t="s">
        <v>3</v>
      </c>
      <c r="P67" s="119" t="s">
        <v>2</v>
      </c>
      <c r="Q67" s="119" t="s">
        <v>2</v>
      </c>
      <c r="R67" s="119" t="s">
        <v>3</v>
      </c>
      <c r="S67" s="119" t="s">
        <v>5</v>
      </c>
      <c r="T67" s="119" t="s">
        <v>2</v>
      </c>
      <c r="U67" s="119" t="s">
        <v>5</v>
      </c>
      <c r="V67" s="119" t="s">
        <v>3</v>
      </c>
      <c r="W67" s="119" t="s">
        <v>3</v>
      </c>
      <c r="X67" s="119" t="s">
        <v>3</v>
      </c>
      <c r="Y67" s="119" t="s">
        <v>2</v>
      </c>
      <c r="Z67" s="119" t="s">
        <v>3</v>
      </c>
      <c r="AA67" s="119" t="s">
        <v>4</v>
      </c>
      <c r="AB67" s="119" t="s">
        <v>4</v>
      </c>
      <c r="AC67" s="119" t="s">
        <v>3</v>
      </c>
      <c r="AD67" s="119" t="s">
        <v>4</v>
      </c>
      <c r="AE67" s="119" t="s">
        <v>4</v>
      </c>
      <c r="AF67" s="119" t="s">
        <v>3</v>
      </c>
      <c r="AG67" s="119" t="s">
        <v>3</v>
      </c>
      <c r="AH67" s="119" t="s">
        <v>4</v>
      </c>
      <c r="AI67" s="119" t="s">
        <v>3</v>
      </c>
      <c r="AJ67" s="119" t="s">
        <v>4</v>
      </c>
      <c r="AK67" s="119" t="s">
        <v>4</v>
      </c>
      <c r="AL67" s="119" t="s">
        <v>3</v>
      </c>
      <c r="AM67" s="6" t="s">
        <v>3</v>
      </c>
      <c r="AS67" s="6" t="s">
        <v>166</v>
      </c>
      <c r="AT67" s="6">
        <f>COUNTIFS(J:J,"A",C:C,1)/COUNTIF(C:C,1)</f>
        <v>0</v>
      </c>
      <c r="AU67" s="6">
        <f>COUNTIFS(J:J,"A",C:C,2)/COUNTIF(C:C,2)</f>
        <v>0</v>
      </c>
      <c r="AV67" s="6">
        <f>COUNTIFS(J:J,"A",C:C,3)/COUNTIF(C:C,3)</f>
        <v>0</v>
      </c>
      <c r="AW67" s="6">
        <f>COUNTIFS(J:J,"A",C:C,4)/COUNTIF(C:C,4)</f>
        <v>0</v>
      </c>
      <c r="AX67" s="6">
        <f>COUNTIFS(J:J,"A",C:C,5)/COUNTIF(C:C,5)</f>
        <v>0</v>
      </c>
      <c r="AY67" s="6">
        <f>COUNTIFS(J:J,"A",C:C,6)/COUNTIF(C:C,6)</f>
        <v>0</v>
      </c>
      <c r="AZ67"/>
      <c r="BA67" s="31"/>
      <c r="BB67" s="31"/>
      <c r="BC67" s="165"/>
      <c r="BD67" s="165"/>
      <c r="BE67" s="154"/>
      <c r="BF67" s="165"/>
      <c r="BG67" s="165"/>
      <c r="BH67" s="155"/>
      <c r="BI67" s="155"/>
      <c r="BJ67" s="155"/>
      <c r="BK67" s="155"/>
      <c r="BL67" s="155"/>
      <c r="BM67" s="155"/>
      <c r="BN67" s="155"/>
      <c r="BO67" s="155"/>
      <c r="BP67" s="155"/>
      <c r="BQ67" s="155"/>
      <c r="BR67" s="155"/>
      <c r="BS67" s="155"/>
      <c r="BT67" s="155"/>
      <c r="BU67" s="155"/>
      <c r="BV67" s="155"/>
      <c r="BW67" s="155"/>
      <c r="BX67" s="155"/>
      <c r="BY67" s="155"/>
      <c r="BZ67" s="155"/>
      <c r="CA67" s="155"/>
      <c r="CB67" s="155"/>
      <c r="CC67" s="155"/>
      <c r="CD67" s="155"/>
      <c r="CE67" s="155"/>
      <c r="CF67" s="155"/>
      <c r="CG67" s="155"/>
      <c r="CH67" s="155"/>
      <c r="CI67" s="155"/>
      <c r="CJ67" s="155"/>
      <c r="CK67" s="155"/>
      <c r="CL67" s="155"/>
      <c r="CM67" s="155"/>
      <c r="CN67" s="155"/>
      <c r="CO67" s="155"/>
      <c r="CP67" s="155"/>
      <c r="CQ67" s="155"/>
      <c r="CR67" s="155"/>
      <c r="CS67" s="155"/>
      <c r="CT67" s="155"/>
      <c r="CU67" s="155"/>
      <c r="CV67" s="155"/>
      <c r="CW67" s="155"/>
      <c r="CX67" s="155"/>
      <c r="CY67" s="155"/>
      <c r="CZ67" s="155"/>
      <c r="DA67" s="155"/>
      <c r="DB67" s="155"/>
      <c r="DC67" s="155"/>
      <c r="DD67" s="155"/>
      <c r="DE67" s="155"/>
      <c r="DF67" s="155"/>
      <c r="DG67" s="155"/>
      <c r="DH67" s="155"/>
    </row>
    <row r="68" spans="1:112" x14ac:dyDescent="0.3">
      <c r="A68" s="119">
        <f t="shared" si="1"/>
        <v>67</v>
      </c>
      <c r="B68" s="119" t="s">
        <v>36</v>
      </c>
      <c r="C68" s="120">
        <v>6</v>
      </c>
      <c r="D68" s="119" t="s">
        <v>5</v>
      </c>
      <c r="E68" s="119" t="s">
        <v>5</v>
      </c>
      <c r="F68" s="119" t="s">
        <v>5</v>
      </c>
      <c r="G68" s="119" t="s">
        <v>5</v>
      </c>
      <c r="H68" s="119" t="s">
        <v>5</v>
      </c>
      <c r="I68" s="119" t="s">
        <v>5</v>
      </c>
      <c r="J68" s="119" t="s">
        <v>5</v>
      </c>
      <c r="K68" s="119" t="s">
        <v>2</v>
      </c>
      <c r="L68" s="119" t="s">
        <v>4</v>
      </c>
      <c r="M68" s="119" t="s">
        <v>4</v>
      </c>
      <c r="N68" s="119" t="s">
        <v>4</v>
      </c>
      <c r="O68" s="119" t="s">
        <v>5</v>
      </c>
      <c r="P68" s="119" t="s">
        <v>5</v>
      </c>
      <c r="Q68" s="119" t="s">
        <v>3</v>
      </c>
      <c r="R68" s="119" t="s">
        <v>5</v>
      </c>
      <c r="S68" s="119" t="s">
        <v>5</v>
      </c>
      <c r="T68" s="119" t="s">
        <v>2</v>
      </c>
      <c r="U68" s="119" t="s">
        <v>5</v>
      </c>
      <c r="V68" s="119" t="s">
        <v>3</v>
      </c>
      <c r="W68" s="119" t="s">
        <v>3</v>
      </c>
      <c r="X68" s="119" t="s">
        <v>3</v>
      </c>
      <c r="Y68" s="119" t="s">
        <v>2</v>
      </c>
      <c r="Z68" s="119" t="s">
        <v>3</v>
      </c>
      <c r="AA68" s="119" t="s">
        <v>4</v>
      </c>
      <c r="AB68" s="119" t="s">
        <v>4</v>
      </c>
      <c r="AC68" s="119" t="s">
        <v>4</v>
      </c>
      <c r="AD68" s="119" t="s">
        <v>4</v>
      </c>
      <c r="AE68" s="119" t="s">
        <v>3</v>
      </c>
      <c r="AF68" s="119" t="s">
        <v>3</v>
      </c>
      <c r="AG68" s="119" t="s">
        <v>3</v>
      </c>
      <c r="AH68" s="119" t="s">
        <v>4</v>
      </c>
      <c r="AI68" s="119" t="s">
        <v>3</v>
      </c>
      <c r="AJ68" s="119" t="s">
        <v>3</v>
      </c>
      <c r="AK68" s="119" t="s">
        <v>3</v>
      </c>
      <c r="AL68" s="119" t="s">
        <v>3</v>
      </c>
      <c r="AM68" s="6" t="s">
        <v>3</v>
      </c>
      <c r="AS68" s="6" t="s">
        <v>167</v>
      </c>
      <c r="AT68" s="6">
        <f>COUNTIFS(J:J,"B",C:C,1)/COUNTIF(C:C,1)</f>
        <v>0</v>
      </c>
      <c r="AU68" s="6">
        <f>COUNTIFS(J:J,"B",C:C,2)/COUNTIF(C:C,2)</f>
        <v>7.6923076923076927E-2</v>
      </c>
      <c r="AV68" s="6">
        <f>COUNTIFS(J:J,"B",C:C,3)/COUNTIF(C:C,3)</f>
        <v>0</v>
      </c>
      <c r="AW68" s="6">
        <f>COUNTIFS(J:J,"B",C:C,4)/COUNTIF(C:C,4)</f>
        <v>0</v>
      </c>
      <c r="AX68" s="6">
        <f>COUNTIFS(J:J,"B",C:C,5)/COUNTIF(C:C,5)</f>
        <v>0</v>
      </c>
      <c r="AY68" s="6">
        <f>COUNTIFS(J:J,"B",C:C,6)/COUNTIF(C:C,6)</f>
        <v>0</v>
      </c>
      <c r="AZ68"/>
      <c r="BA68" s="31"/>
      <c r="BB68" s="31"/>
      <c r="BC68" s="165"/>
      <c r="BD68" s="165"/>
      <c r="BE68" s="157"/>
      <c r="BF68" s="157"/>
      <c r="BG68" s="155"/>
      <c r="BH68" s="158"/>
      <c r="BI68" s="158"/>
      <c r="BJ68" s="158"/>
      <c r="BK68" s="158"/>
      <c r="BL68" s="158"/>
      <c r="BM68" s="158"/>
      <c r="BN68" s="158"/>
      <c r="BO68" s="158"/>
      <c r="BP68" s="158"/>
      <c r="BQ68" s="158"/>
      <c r="BR68" s="158"/>
      <c r="BS68" s="158"/>
      <c r="BT68" s="158"/>
      <c r="BU68" s="158"/>
      <c r="BV68" s="158"/>
      <c r="BW68" s="158"/>
      <c r="BX68" s="158"/>
      <c r="BY68" s="158"/>
      <c r="BZ68" s="158"/>
      <c r="CA68" s="158"/>
      <c r="CB68" s="158"/>
      <c r="CC68" s="158"/>
      <c r="CD68" s="158"/>
      <c r="CE68" s="158"/>
      <c r="CF68" s="158"/>
      <c r="CG68" s="158"/>
      <c r="CH68" s="158"/>
      <c r="CI68" s="158"/>
      <c r="CJ68" s="158"/>
      <c r="CK68" s="158"/>
      <c r="CL68" s="158"/>
      <c r="CM68" s="158"/>
      <c r="CN68" s="158"/>
      <c r="CO68" s="158"/>
      <c r="CP68" s="158"/>
      <c r="CQ68" s="158"/>
      <c r="CR68" s="155"/>
      <c r="CS68" s="155"/>
      <c r="CT68" s="155"/>
      <c r="CU68" s="155"/>
      <c r="CV68" s="155"/>
      <c r="CW68" s="155"/>
      <c r="CX68" s="155"/>
      <c r="CY68" s="155"/>
      <c r="CZ68" s="155"/>
      <c r="DA68" s="155"/>
      <c r="DB68" s="155"/>
      <c r="DC68" s="155"/>
      <c r="DD68" s="155"/>
      <c r="DE68" s="155"/>
      <c r="DF68" s="155"/>
      <c r="DG68" s="155"/>
      <c r="DH68" s="155"/>
    </row>
    <row r="69" spans="1:112" x14ac:dyDescent="0.3">
      <c r="A69" s="119">
        <f t="shared" si="1"/>
        <v>68</v>
      </c>
      <c r="B69" s="119" t="s">
        <v>37</v>
      </c>
      <c r="C69" s="120">
        <v>6</v>
      </c>
      <c r="D69" s="119" t="s">
        <v>5</v>
      </c>
      <c r="E69" s="119" t="s">
        <v>3</v>
      </c>
      <c r="F69" s="119" t="s">
        <v>2</v>
      </c>
      <c r="G69" s="119" t="s">
        <v>5</v>
      </c>
      <c r="H69" s="119" t="s">
        <v>5</v>
      </c>
      <c r="I69" s="119" t="s">
        <v>5</v>
      </c>
      <c r="J69" s="119" t="s">
        <v>5</v>
      </c>
      <c r="K69" s="119" t="s">
        <v>2</v>
      </c>
      <c r="L69" s="119" t="s">
        <v>2</v>
      </c>
      <c r="M69" s="119" t="s">
        <v>4</v>
      </c>
      <c r="N69" s="119" t="s">
        <v>4</v>
      </c>
      <c r="O69" s="119" t="s">
        <v>5</v>
      </c>
      <c r="P69" s="119" t="s">
        <v>5</v>
      </c>
      <c r="Q69" s="119" t="s">
        <v>4</v>
      </c>
      <c r="R69" s="119" t="s">
        <v>5</v>
      </c>
      <c r="S69" s="119" t="s">
        <v>5</v>
      </c>
      <c r="T69" s="119" t="s">
        <v>2</v>
      </c>
      <c r="U69" s="119" t="s">
        <v>5</v>
      </c>
      <c r="V69" s="119" t="s">
        <v>5</v>
      </c>
      <c r="W69" s="119" t="s">
        <v>4</v>
      </c>
      <c r="X69" s="119" t="s">
        <v>3</v>
      </c>
      <c r="Y69" s="119" t="s">
        <v>2</v>
      </c>
      <c r="Z69" s="119" t="s">
        <v>3</v>
      </c>
      <c r="AA69" s="119" t="s">
        <v>3</v>
      </c>
      <c r="AB69" s="119" t="s">
        <v>4</v>
      </c>
      <c r="AC69" s="119" t="s">
        <v>4</v>
      </c>
      <c r="AD69" s="119" t="s">
        <v>4</v>
      </c>
      <c r="AE69" s="119" t="s">
        <v>4</v>
      </c>
      <c r="AF69" s="119" t="s">
        <v>4</v>
      </c>
      <c r="AG69" s="119" t="s">
        <v>3</v>
      </c>
      <c r="AH69" s="119" t="s">
        <v>4</v>
      </c>
      <c r="AI69" s="119" t="s">
        <v>3</v>
      </c>
      <c r="AJ69" s="119" t="s">
        <v>4</v>
      </c>
      <c r="AK69" s="119" t="s">
        <v>4</v>
      </c>
      <c r="AL69" s="119" t="s">
        <v>4</v>
      </c>
      <c r="AM69" s="6" t="s">
        <v>3</v>
      </c>
      <c r="AS69" s="6" t="s">
        <v>168</v>
      </c>
      <c r="AT69" s="6">
        <f>COUNTIFS(J:J,"C",C:C,1)/COUNTIF(C:C,1)</f>
        <v>0.38461538461538464</v>
      </c>
      <c r="AU69" s="6">
        <f>COUNTIFS(J:J,"C",C:C,2)/COUNTIF(C:C,2)</f>
        <v>0.53846153846153844</v>
      </c>
      <c r="AV69" s="6">
        <f>COUNTIFS(J:J,"C",C:C,3)/COUNTIF(C:C,3)</f>
        <v>0.15384615384615385</v>
      </c>
      <c r="AW69" s="6">
        <f>COUNTIFS(J:J,"C",C:C,4)/COUNTIF(C:C,4)</f>
        <v>7.6923076923076927E-2</v>
      </c>
      <c r="AX69" s="6">
        <f>COUNTIFS(J:J,"C",C:C,5)/COUNTIF(C:C,5)</f>
        <v>0.15384615384615385</v>
      </c>
      <c r="AY69" s="6">
        <f>COUNTIFS(J:J,"C",C:C,6)/COUNTIF(C:C,6)</f>
        <v>0.23076923076923078</v>
      </c>
      <c r="AZ69"/>
      <c r="BA69" s="31"/>
      <c r="BB69" s="31"/>
      <c r="BC69" s="165"/>
      <c r="BD69" s="165"/>
      <c r="BE69" s="157"/>
      <c r="BF69" s="157"/>
      <c r="BG69" s="155"/>
      <c r="BH69" s="155"/>
      <c r="BI69" s="155"/>
      <c r="BJ69" s="155"/>
      <c r="BK69" s="155"/>
      <c r="BL69" s="155"/>
      <c r="BM69" s="155"/>
      <c r="BN69" s="155"/>
      <c r="BO69" s="155"/>
      <c r="BP69" s="155"/>
      <c r="BQ69" s="155"/>
      <c r="BR69" s="155"/>
      <c r="BS69" s="155"/>
      <c r="BT69" s="155"/>
      <c r="BU69" s="155"/>
      <c r="BV69" s="155"/>
      <c r="BW69" s="155"/>
      <c r="BX69" s="155"/>
      <c r="BY69" s="155"/>
      <c r="BZ69" s="155"/>
      <c r="CA69" s="155"/>
      <c r="CB69" s="155"/>
      <c r="CC69" s="155"/>
      <c r="CD69" s="155"/>
      <c r="CE69" s="155"/>
      <c r="CF69" s="155"/>
      <c r="CG69" s="155"/>
      <c r="CH69" s="155"/>
      <c r="CI69" s="155"/>
      <c r="CJ69" s="155"/>
      <c r="CK69" s="155"/>
      <c r="CL69" s="155"/>
      <c r="CM69" s="155"/>
      <c r="CN69" s="155"/>
      <c r="CO69" s="155"/>
      <c r="CP69" s="155"/>
      <c r="CQ69" s="155"/>
      <c r="CR69" s="155"/>
      <c r="CS69" s="155"/>
      <c r="CT69" s="155"/>
      <c r="CU69" s="155"/>
      <c r="CV69" s="155"/>
      <c r="CW69" s="155"/>
      <c r="CX69" s="155"/>
      <c r="CY69" s="155"/>
      <c r="CZ69" s="155"/>
      <c r="DA69" s="155"/>
      <c r="DB69" s="155"/>
      <c r="DC69" s="155"/>
      <c r="DD69" s="155"/>
      <c r="DE69" s="155"/>
      <c r="DF69" s="155"/>
      <c r="DG69" s="155"/>
      <c r="DH69" s="155"/>
    </row>
    <row r="70" spans="1:112" x14ac:dyDescent="0.3">
      <c r="A70" s="119">
        <f t="shared" si="1"/>
        <v>69</v>
      </c>
      <c r="B70" s="119" t="s">
        <v>38</v>
      </c>
      <c r="C70" s="120">
        <v>6</v>
      </c>
      <c r="D70" s="119" t="s">
        <v>5</v>
      </c>
      <c r="E70" s="119" t="s">
        <v>3</v>
      </c>
      <c r="F70" s="119" t="s">
        <v>5</v>
      </c>
      <c r="G70" s="119" t="s">
        <v>5</v>
      </c>
      <c r="H70" s="119" t="s">
        <v>5</v>
      </c>
      <c r="I70" s="119" t="s">
        <v>5</v>
      </c>
      <c r="J70" s="119" t="s">
        <v>5</v>
      </c>
      <c r="K70" s="119" t="s">
        <v>2</v>
      </c>
      <c r="L70" s="119" t="s">
        <v>2</v>
      </c>
      <c r="M70" s="119" t="s">
        <v>4</v>
      </c>
      <c r="N70" s="119" t="s">
        <v>3</v>
      </c>
      <c r="O70" s="119" t="s">
        <v>5</v>
      </c>
      <c r="P70" s="119" t="s">
        <v>2</v>
      </c>
      <c r="Q70" s="119" t="s">
        <v>3</v>
      </c>
      <c r="R70" s="119" t="s">
        <v>2</v>
      </c>
      <c r="S70" s="119" t="s">
        <v>5</v>
      </c>
      <c r="T70" s="119" t="s">
        <v>5</v>
      </c>
      <c r="U70" s="119" t="s">
        <v>5</v>
      </c>
      <c r="V70" s="119" t="s">
        <v>5</v>
      </c>
      <c r="W70" s="119" t="s">
        <v>2</v>
      </c>
      <c r="X70" s="119" t="s">
        <v>2</v>
      </c>
      <c r="Y70" s="119" t="s">
        <v>2</v>
      </c>
      <c r="Z70" s="119" t="s">
        <v>3</v>
      </c>
      <c r="AA70" s="119" t="s">
        <v>4</v>
      </c>
      <c r="AB70" s="119" t="s">
        <v>4</v>
      </c>
      <c r="AC70" s="119" t="s">
        <v>4</v>
      </c>
      <c r="AD70" s="119" t="s">
        <v>4</v>
      </c>
      <c r="AE70" s="119" t="s">
        <v>4</v>
      </c>
      <c r="AF70" s="119" t="s">
        <v>3</v>
      </c>
      <c r="AG70" s="119" t="s">
        <v>4</v>
      </c>
      <c r="AH70" s="119" t="s">
        <v>4</v>
      </c>
      <c r="AI70" s="119" t="s">
        <v>4</v>
      </c>
      <c r="AJ70" s="119" t="s">
        <v>4</v>
      </c>
      <c r="AK70" s="119" t="s">
        <v>4</v>
      </c>
      <c r="AL70" s="119" t="s">
        <v>4</v>
      </c>
      <c r="AM70" s="6" t="s">
        <v>3</v>
      </c>
      <c r="AS70" s="6" t="s">
        <v>169</v>
      </c>
      <c r="AT70" s="6">
        <f>COUNTIFS(J:J,"D",C:C,1)/COUNTIF(C:C,1)</f>
        <v>0.61538461538461542</v>
      </c>
      <c r="AU70" s="6">
        <f>COUNTIFS(J:J,"D",C:C,2)/COUNTIF(C:C,2)</f>
        <v>0.38461538461538464</v>
      </c>
      <c r="AV70" s="6">
        <f>COUNTIFS(J:J,"D",C:C,3)/COUNTIF(C:C,3)</f>
        <v>0.84615384615384615</v>
      </c>
      <c r="AW70" s="6">
        <f>COUNTIFS(J:J,"D",C:C,4)/COUNTIF(C:C,4)</f>
        <v>0.92307692307692313</v>
      </c>
      <c r="AX70" s="6">
        <f>COUNTIFS(J:J,"D",C:C,5)/COUNTIF(C:C,5)</f>
        <v>0.84615384615384615</v>
      </c>
      <c r="AY70" s="6">
        <f>COUNTIFS(J:J,"D",C:C,6)/COUNTIF(C:C,6)</f>
        <v>0.76923076923076927</v>
      </c>
      <c r="AZ70"/>
      <c r="BA70" s="31"/>
      <c r="BB70" s="31"/>
      <c r="BC70" s="165"/>
      <c r="BD70" s="165"/>
      <c r="BE70" s="165"/>
      <c r="BF70" s="165"/>
      <c r="BG70" s="165"/>
      <c r="BH70" s="155"/>
      <c r="BI70" s="155"/>
      <c r="BJ70" s="155"/>
      <c r="BK70" s="155"/>
      <c r="BL70" s="155"/>
      <c r="BM70" s="155"/>
      <c r="BN70" s="155"/>
      <c r="BO70" s="155"/>
      <c r="BP70" s="155"/>
      <c r="BQ70" s="155"/>
      <c r="BR70" s="155"/>
      <c r="BS70" s="155"/>
      <c r="BT70" s="155"/>
      <c r="BU70" s="155"/>
      <c r="BV70" s="155"/>
      <c r="BW70" s="155"/>
      <c r="BX70" s="155"/>
      <c r="BY70" s="155"/>
      <c r="BZ70" s="155"/>
      <c r="CA70" s="155"/>
      <c r="CB70" s="155"/>
      <c r="CC70" s="155"/>
      <c r="CD70" s="155"/>
      <c r="CE70" s="155"/>
      <c r="CF70" s="155"/>
      <c r="CG70" s="155"/>
      <c r="CH70" s="155"/>
      <c r="CI70" s="155"/>
      <c r="CJ70" s="155"/>
      <c r="CK70" s="155"/>
      <c r="CL70" s="155"/>
      <c r="CM70" s="155"/>
      <c r="CN70" s="155"/>
      <c r="CO70" s="155"/>
      <c r="CP70" s="155"/>
      <c r="CQ70" s="155"/>
      <c r="CR70" s="155"/>
      <c r="CS70" s="155"/>
      <c r="CT70" s="155"/>
      <c r="CU70" s="155"/>
      <c r="CV70" s="155"/>
      <c r="CW70" s="155"/>
      <c r="CX70" s="155"/>
      <c r="CY70" s="155"/>
      <c r="CZ70" s="155"/>
      <c r="DA70" s="155"/>
      <c r="DB70" s="155"/>
      <c r="DC70" s="155"/>
      <c r="DD70" s="155"/>
      <c r="DE70" s="155"/>
      <c r="DF70" s="155"/>
      <c r="DG70" s="155"/>
      <c r="DH70" s="155"/>
    </row>
    <row r="71" spans="1:112" x14ac:dyDescent="0.3">
      <c r="A71" s="119">
        <f t="shared" si="1"/>
        <v>70</v>
      </c>
      <c r="B71" s="119" t="s">
        <v>254</v>
      </c>
      <c r="C71" s="120">
        <v>6</v>
      </c>
      <c r="D71" s="119" t="s">
        <v>4</v>
      </c>
      <c r="E71" s="119" t="s">
        <v>5</v>
      </c>
      <c r="F71" s="119" t="s">
        <v>2</v>
      </c>
      <c r="G71" s="119" t="s">
        <v>5</v>
      </c>
      <c r="H71" s="119" t="s">
        <v>5</v>
      </c>
      <c r="I71" s="119" t="s">
        <v>5</v>
      </c>
      <c r="J71" s="119" t="s">
        <v>2</v>
      </c>
      <c r="K71" s="119" t="s">
        <v>2</v>
      </c>
      <c r="L71" s="119" t="s">
        <v>2</v>
      </c>
      <c r="M71" s="119" t="s">
        <v>4</v>
      </c>
      <c r="N71" s="119" t="s">
        <v>3</v>
      </c>
      <c r="O71" s="119" t="s">
        <v>5</v>
      </c>
      <c r="P71" s="119" t="s">
        <v>5</v>
      </c>
      <c r="Q71" s="119" t="s">
        <v>4</v>
      </c>
      <c r="R71" s="119" t="s">
        <v>5</v>
      </c>
      <c r="S71" s="119" t="s">
        <v>5</v>
      </c>
      <c r="T71" s="119" t="s">
        <v>5</v>
      </c>
      <c r="U71" s="119" t="s">
        <v>5</v>
      </c>
      <c r="V71" s="119" t="s">
        <v>5</v>
      </c>
      <c r="W71" s="119" t="s">
        <v>4</v>
      </c>
      <c r="X71" s="119" t="s">
        <v>3</v>
      </c>
      <c r="Y71" s="119" t="s">
        <v>2</v>
      </c>
      <c r="Z71" s="119" t="s">
        <v>3</v>
      </c>
      <c r="AA71" s="119" t="s">
        <v>4</v>
      </c>
      <c r="AB71" s="119" t="s">
        <v>4</v>
      </c>
      <c r="AC71" s="119" t="s">
        <v>4</v>
      </c>
      <c r="AD71" s="119" t="s">
        <v>3</v>
      </c>
      <c r="AE71" s="119" t="s">
        <v>4</v>
      </c>
      <c r="AF71" s="119" t="s">
        <v>3</v>
      </c>
      <c r="AG71" s="119" t="s">
        <v>3</v>
      </c>
      <c r="AH71" s="119" t="s">
        <v>3</v>
      </c>
      <c r="AI71" s="119" t="s">
        <v>3</v>
      </c>
      <c r="AJ71" s="119" t="s">
        <v>3</v>
      </c>
      <c r="AK71" s="119" t="s">
        <v>3</v>
      </c>
      <c r="AL71" s="119" t="s">
        <v>3</v>
      </c>
      <c r="AM71" s="6" t="s">
        <v>3</v>
      </c>
      <c r="AZ71"/>
      <c r="BA71" s="33"/>
      <c r="BB71" s="33"/>
      <c r="BC71" s="164"/>
      <c r="BD71" s="164"/>
      <c r="BE71" s="159"/>
      <c r="BF71" s="159"/>
      <c r="BG71" s="165"/>
      <c r="BH71" s="155"/>
      <c r="BI71" s="155"/>
      <c r="BJ71" s="155"/>
      <c r="BK71" s="155"/>
      <c r="BL71" s="155"/>
      <c r="BM71" s="155"/>
      <c r="BN71" s="155"/>
      <c r="BO71" s="155"/>
      <c r="BP71" s="155"/>
      <c r="BQ71" s="155"/>
      <c r="BR71" s="155"/>
      <c r="BS71" s="155"/>
      <c r="BT71" s="155"/>
      <c r="BU71" s="155"/>
      <c r="BV71" s="155"/>
      <c r="BW71" s="155"/>
      <c r="BX71" s="155"/>
      <c r="BY71" s="155"/>
      <c r="BZ71" s="155"/>
      <c r="CA71" s="155"/>
      <c r="CB71" s="155"/>
      <c r="CC71" s="155"/>
      <c r="CD71" s="155"/>
      <c r="CE71" s="155"/>
      <c r="CF71" s="155"/>
      <c r="CG71" s="155"/>
      <c r="CH71" s="155"/>
      <c r="CI71" s="155"/>
      <c r="CJ71" s="155"/>
      <c r="CK71" s="155"/>
      <c r="CL71" s="155"/>
      <c r="CM71" s="155"/>
      <c r="CN71" s="155"/>
      <c r="CO71" s="155"/>
      <c r="CP71" s="155"/>
      <c r="CQ71" s="155"/>
      <c r="CR71" s="155"/>
      <c r="CS71" s="155"/>
      <c r="CT71" s="155"/>
      <c r="CU71" s="155"/>
      <c r="CV71" s="155"/>
      <c r="CW71" s="155"/>
      <c r="CX71" s="155"/>
      <c r="CY71" s="155"/>
      <c r="CZ71" s="155"/>
      <c r="DA71" s="155"/>
      <c r="DB71" s="155"/>
      <c r="DC71" s="155"/>
      <c r="DD71" s="155"/>
      <c r="DE71" s="155"/>
      <c r="DF71" s="155"/>
      <c r="DG71" s="155"/>
      <c r="DH71" s="155"/>
    </row>
    <row r="72" spans="1:112" x14ac:dyDescent="0.3">
      <c r="A72" s="119">
        <f t="shared" si="1"/>
        <v>71</v>
      </c>
      <c r="B72" s="119" t="s">
        <v>253</v>
      </c>
      <c r="C72" s="120">
        <v>6</v>
      </c>
      <c r="D72" s="119" t="s">
        <v>5</v>
      </c>
      <c r="E72" s="119" t="s">
        <v>5</v>
      </c>
      <c r="F72" s="119" t="s">
        <v>3</v>
      </c>
      <c r="G72" s="119" t="s">
        <v>2</v>
      </c>
      <c r="H72" s="119" t="s">
        <v>5</v>
      </c>
      <c r="I72" s="119" t="s">
        <v>5</v>
      </c>
      <c r="J72" s="119" t="s">
        <v>5</v>
      </c>
      <c r="K72" s="119" t="s">
        <v>5</v>
      </c>
      <c r="L72" s="119" t="s">
        <v>2</v>
      </c>
      <c r="M72" s="119" t="s">
        <v>4</v>
      </c>
      <c r="N72" s="119" t="s">
        <v>4</v>
      </c>
      <c r="O72" s="119" t="s">
        <v>2</v>
      </c>
      <c r="P72" s="119" t="s">
        <v>5</v>
      </c>
      <c r="Q72" s="119" t="s">
        <v>2</v>
      </c>
      <c r="R72" s="119" t="s">
        <v>2</v>
      </c>
      <c r="S72" s="119" t="s">
        <v>5</v>
      </c>
      <c r="T72" s="119" t="s">
        <v>3</v>
      </c>
      <c r="U72" s="119" t="s">
        <v>5</v>
      </c>
      <c r="V72" s="119" t="s">
        <v>3</v>
      </c>
      <c r="W72" s="119" t="s">
        <v>2</v>
      </c>
      <c r="X72" s="119" t="s">
        <v>2</v>
      </c>
      <c r="Y72" s="119" t="s">
        <v>5</v>
      </c>
      <c r="Z72" s="119" t="s">
        <v>3</v>
      </c>
      <c r="AA72" s="119" t="s">
        <v>4</v>
      </c>
      <c r="AB72" s="119" t="s">
        <v>4</v>
      </c>
      <c r="AC72" s="119" t="s">
        <v>4</v>
      </c>
      <c r="AD72" s="119" t="s">
        <v>3</v>
      </c>
      <c r="AE72" s="119" t="s">
        <v>4</v>
      </c>
      <c r="AF72" s="119" t="s">
        <v>3</v>
      </c>
      <c r="AG72" s="119" t="s">
        <v>3</v>
      </c>
      <c r="AH72" s="119" t="s">
        <v>3</v>
      </c>
      <c r="AI72" s="119" t="s">
        <v>3</v>
      </c>
      <c r="AJ72" s="119" t="s">
        <v>3</v>
      </c>
      <c r="AK72" s="119" t="s">
        <v>3</v>
      </c>
      <c r="AL72" s="119" t="s">
        <v>4</v>
      </c>
      <c r="AM72" s="6" t="s">
        <v>3</v>
      </c>
      <c r="AS72" s="7" t="s">
        <v>239</v>
      </c>
      <c r="AT72" s="7">
        <v>1</v>
      </c>
      <c r="AU72" s="7">
        <v>2</v>
      </c>
      <c r="AV72" s="7">
        <v>3</v>
      </c>
      <c r="AW72" s="7">
        <v>4</v>
      </c>
      <c r="AX72" s="7">
        <v>5</v>
      </c>
      <c r="AY72" s="7">
        <v>6</v>
      </c>
      <c r="AZ72"/>
      <c r="BA72" s="31"/>
      <c r="BB72" s="31"/>
      <c r="BC72" s="165"/>
      <c r="BD72" s="165"/>
      <c r="BE72" s="159"/>
      <c r="BF72" s="159"/>
      <c r="BG72" s="165"/>
      <c r="BH72" s="155"/>
      <c r="BI72" s="161"/>
      <c r="BJ72" s="155"/>
      <c r="BK72" s="155"/>
      <c r="BL72" s="155"/>
      <c r="BM72" s="155"/>
      <c r="BN72" s="155"/>
      <c r="BO72" s="155"/>
      <c r="BP72" s="155"/>
      <c r="BQ72" s="155"/>
      <c r="BR72" s="155"/>
      <c r="BS72" s="155"/>
      <c r="BT72" s="155"/>
      <c r="BU72" s="155"/>
      <c r="BV72" s="155"/>
      <c r="BW72" s="155"/>
      <c r="BX72" s="155"/>
      <c r="BY72" s="155"/>
      <c r="BZ72" s="155"/>
      <c r="CA72" s="155"/>
      <c r="CB72" s="155"/>
      <c r="CC72" s="155"/>
      <c r="CD72" s="155"/>
      <c r="CE72" s="155"/>
      <c r="CF72" s="155"/>
      <c r="CG72" s="155"/>
      <c r="CH72" s="155"/>
      <c r="CI72" s="155"/>
      <c r="CJ72" s="155"/>
      <c r="CK72" s="155"/>
      <c r="CL72" s="155"/>
      <c r="CM72" s="155"/>
      <c r="CN72" s="155"/>
      <c r="CO72" s="155"/>
      <c r="CP72" s="155"/>
      <c r="CQ72" s="155"/>
      <c r="CR72" s="155"/>
      <c r="CS72" s="155"/>
      <c r="CT72" s="155"/>
      <c r="CU72" s="155"/>
      <c r="CV72" s="155"/>
      <c r="CW72" s="155"/>
      <c r="CX72" s="155"/>
      <c r="CY72" s="155"/>
      <c r="CZ72" s="155"/>
      <c r="DA72" s="155"/>
      <c r="DB72" s="155"/>
      <c r="DC72" s="155"/>
      <c r="DD72" s="155"/>
      <c r="DE72" s="155"/>
      <c r="DF72" s="155"/>
      <c r="DG72" s="155"/>
      <c r="DH72" s="155"/>
    </row>
    <row r="73" spans="1:112" x14ac:dyDescent="0.3">
      <c r="A73" s="119">
        <f t="shared" si="1"/>
        <v>72</v>
      </c>
      <c r="B73" s="119" t="s">
        <v>275</v>
      </c>
      <c r="C73" s="120">
        <v>6</v>
      </c>
      <c r="D73" s="119" t="s">
        <v>5</v>
      </c>
      <c r="E73" s="119" t="s">
        <v>3</v>
      </c>
      <c r="F73" s="119" t="s">
        <v>3</v>
      </c>
      <c r="G73" s="119" t="s">
        <v>5</v>
      </c>
      <c r="H73" s="119" t="s">
        <v>5</v>
      </c>
      <c r="I73" s="119" t="s">
        <v>5</v>
      </c>
      <c r="J73" s="119" t="s">
        <v>5</v>
      </c>
      <c r="K73" s="119" t="s">
        <v>2</v>
      </c>
      <c r="L73" s="119" t="s">
        <v>2</v>
      </c>
      <c r="M73" s="119" t="s">
        <v>5</v>
      </c>
      <c r="N73" s="119" t="s">
        <v>3</v>
      </c>
      <c r="O73" s="119" t="s">
        <v>5</v>
      </c>
      <c r="P73" s="119" t="s">
        <v>5</v>
      </c>
      <c r="Q73" s="119" t="s">
        <v>3</v>
      </c>
      <c r="R73" s="119" t="s">
        <v>2</v>
      </c>
      <c r="S73" s="119" t="s">
        <v>5</v>
      </c>
      <c r="T73" s="119" t="s">
        <v>5</v>
      </c>
      <c r="U73" s="119" t="s">
        <v>5</v>
      </c>
      <c r="V73" s="119" t="s">
        <v>5</v>
      </c>
      <c r="W73" s="119" t="s">
        <v>4</v>
      </c>
      <c r="X73" s="119" t="s">
        <v>4</v>
      </c>
      <c r="Y73" s="119" t="s">
        <v>4</v>
      </c>
      <c r="Z73" s="119" t="s">
        <v>3</v>
      </c>
      <c r="AA73" s="119" t="s">
        <v>4</v>
      </c>
      <c r="AB73" s="119" t="s">
        <v>4</v>
      </c>
      <c r="AC73" s="119" t="s">
        <v>4</v>
      </c>
      <c r="AD73" s="119" t="s">
        <v>4</v>
      </c>
      <c r="AE73" s="119" t="s">
        <v>4</v>
      </c>
      <c r="AF73" s="119" t="s">
        <v>4</v>
      </c>
      <c r="AG73" s="119" t="s">
        <v>3</v>
      </c>
      <c r="AH73" s="119" t="s">
        <v>4</v>
      </c>
      <c r="AI73" s="119" t="s">
        <v>3</v>
      </c>
      <c r="AJ73" s="119" t="s">
        <v>3</v>
      </c>
      <c r="AK73" s="119" t="s">
        <v>3</v>
      </c>
      <c r="AL73" s="119" t="s">
        <v>4</v>
      </c>
      <c r="AM73" s="6" t="s">
        <v>3</v>
      </c>
      <c r="AS73" s="6" t="s">
        <v>170</v>
      </c>
      <c r="AT73" s="6">
        <f>COUNTIFS(K:K,"A",C:C,1)/COUNTIF(C:C,1)</f>
        <v>0</v>
      </c>
      <c r="AU73" s="6">
        <f>COUNTIFS(K:K,"A",C:C,2)/COUNTIF(C:C,2)</f>
        <v>7.6923076923076927E-2</v>
      </c>
      <c r="AV73" s="6">
        <f>COUNTIFS(K:K,"A",C:C,3)/COUNTIF(C:C,3)</f>
        <v>0</v>
      </c>
      <c r="AW73" s="6">
        <f>COUNTIFS(K:K,"A",C:C,4)/COUNTIF(C:C,4)</f>
        <v>0</v>
      </c>
      <c r="AX73" s="6">
        <f>COUNTIFS(K:K,"A",C:C,5)/COUNTIF(C:C,5)</f>
        <v>0</v>
      </c>
      <c r="AY73" s="6">
        <f>COUNTIFS(K:K,"A",C:C,6)/COUNTIF(C:C,6)</f>
        <v>0</v>
      </c>
      <c r="AZ73"/>
      <c r="BA73" s="31"/>
      <c r="BB73" s="31"/>
      <c r="BC73" s="165"/>
      <c r="BD73" s="165"/>
      <c r="BE73" s="159"/>
      <c r="BF73" s="159"/>
      <c r="BG73" s="165"/>
      <c r="BH73" s="155"/>
      <c r="BI73" s="155"/>
      <c r="BJ73" s="155"/>
      <c r="BK73" s="155"/>
      <c r="BL73" s="155"/>
      <c r="BM73" s="155"/>
      <c r="BN73" s="155"/>
      <c r="BO73" s="155"/>
      <c r="BP73" s="155"/>
      <c r="BQ73" s="155"/>
      <c r="BR73" s="155"/>
      <c r="BS73" s="155"/>
      <c r="BT73" s="155"/>
      <c r="BU73" s="155"/>
      <c r="BV73" s="155"/>
      <c r="BW73" s="155"/>
      <c r="BX73" s="155"/>
      <c r="BY73" s="155"/>
      <c r="BZ73" s="155"/>
      <c r="CA73" s="155"/>
      <c r="CB73" s="155"/>
      <c r="CC73" s="155"/>
      <c r="CD73" s="155"/>
      <c r="CE73" s="155"/>
      <c r="CF73" s="155"/>
      <c r="CG73" s="155"/>
      <c r="CH73" s="155"/>
      <c r="CI73" s="155"/>
      <c r="CJ73" s="155"/>
      <c r="CK73" s="155"/>
      <c r="CL73" s="155"/>
      <c r="CM73" s="155"/>
      <c r="CN73" s="155"/>
      <c r="CO73" s="155"/>
      <c r="CP73" s="155"/>
      <c r="CQ73" s="155"/>
      <c r="CR73" s="155"/>
      <c r="CS73" s="155"/>
      <c r="CT73" s="155"/>
      <c r="CU73" s="155"/>
      <c r="CV73" s="155"/>
      <c r="CW73" s="155"/>
      <c r="CX73" s="155"/>
      <c r="CY73" s="155"/>
      <c r="CZ73" s="155"/>
      <c r="DA73" s="155"/>
      <c r="DB73" s="155"/>
      <c r="DC73" s="155"/>
      <c r="DD73" s="155"/>
      <c r="DE73" s="155"/>
      <c r="DF73" s="155"/>
      <c r="DG73" s="155"/>
      <c r="DH73" s="155"/>
    </row>
    <row r="74" spans="1:112" x14ac:dyDescent="0.3">
      <c r="A74" s="119">
        <f t="shared" si="1"/>
        <v>73</v>
      </c>
      <c r="B74" s="119" t="s">
        <v>276</v>
      </c>
      <c r="C74" s="120">
        <v>6</v>
      </c>
      <c r="D74" s="119" t="s">
        <v>5</v>
      </c>
      <c r="E74" s="119" t="s">
        <v>5</v>
      </c>
      <c r="F74" s="119" t="s">
        <v>5</v>
      </c>
      <c r="G74" s="119" t="s">
        <v>5</v>
      </c>
      <c r="H74" s="119" t="s">
        <v>5</v>
      </c>
      <c r="I74" s="119" t="s">
        <v>5</v>
      </c>
      <c r="J74" s="119" t="s">
        <v>5</v>
      </c>
      <c r="K74" s="119" t="s">
        <v>2</v>
      </c>
      <c r="L74" s="119" t="s">
        <v>3</v>
      </c>
      <c r="M74" s="119" t="s">
        <v>5</v>
      </c>
      <c r="N74" s="119" t="s">
        <v>4</v>
      </c>
      <c r="O74" s="119" t="s">
        <v>5</v>
      </c>
      <c r="P74" s="119" t="s">
        <v>2</v>
      </c>
      <c r="Q74" s="119" t="s">
        <v>2</v>
      </c>
      <c r="R74" s="119" t="s">
        <v>2</v>
      </c>
      <c r="S74" s="119" t="s">
        <v>5</v>
      </c>
      <c r="T74" s="119" t="s">
        <v>3</v>
      </c>
      <c r="U74" s="119" t="s">
        <v>5</v>
      </c>
      <c r="V74" s="119" t="s">
        <v>5</v>
      </c>
      <c r="W74" s="119" t="s">
        <v>3</v>
      </c>
      <c r="X74" s="119" t="s">
        <v>2</v>
      </c>
      <c r="Y74" s="119" t="s">
        <v>2</v>
      </c>
      <c r="Z74" s="119" t="s">
        <v>3</v>
      </c>
      <c r="AA74" s="119" t="s">
        <v>4</v>
      </c>
      <c r="AB74" s="119" t="s">
        <v>4</v>
      </c>
      <c r="AC74" s="119" t="s">
        <v>4</v>
      </c>
      <c r="AD74" s="119" t="s">
        <v>4</v>
      </c>
      <c r="AE74" s="119" t="s">
        <v>4</v>
      </c>
      <c r="AF74" s="119" t="s">
        <v>4</v>
      </c>
      <c r="AG74" s="119" t="s">
        <v>4</v>
      </c>
      <c r="AH74" s="119" t="s">
        <v>4</v>
      </c>
      <c r="AI74" s="119" t="s">
        <v>3</v>
      </c>
      <c r="AJ74" s="119" t="s">
        <v>3</v>
      </c>
      <c r="AK74" s="119" t="s">
        <v>4</v>
      </c>
      <c r="AL74" s="119" t="s">
        <v>4</v>
      </c>
      <c r="AM74" s="6" t="s">
        <v>3</v>
      </c>
      <c r="AS74" s="6" t="s">
        <v>171</v>
      </c>
      <c r="AT74" s="6">
        <f>COUNTIFS(K:K,"B",C:C,1)/COUNTIF(C:C,1)</f>
        <v>0</v>
      </c>
      <c r="AU74" s="6">
        <f>COUNTIFS(K:K,"B",C:C,2)/COUNTIF(C:C,2)</f>
        <v>0</v>
      </c>
      <c r="AV74" s="6">
        <f>COUNTIFS(K:K,"B",C:C,3)/COUNTIF(C:C,3)</f>
        <v>0</v>
      </c>
      <c r="AW74" s="6">
        <f>COUNTIFS(K:K,"B",C:C,4)/COUNTIF(C:C,4)</f>
        <v>0</v>
      </c>
      <c r="AX74" s="6">
        <f>COUNTIFS(K:K,"B",C:C,5)/COUNTIF(C:C,5)</f>
        <v>0</v>
      </c>
      <c r="AY74" s="6">
        <f>COUNTIFS(K:K,"B",C:C,6)/COUNTIF(C:C,6)</f>
        <v>0</v>
      </c>
      <c r="AZ74"/>
      <c r="BA74" s="31"/>
      <c r="BB74" s="31"/>
      <c r="BC74" s="165"/>
      <c r="BD74" s="165"/>
      <c r="BE74" s="159"/>
      <c r="BF74" s="159"/>
      <c r="BG74" s="165"/>
      <c r="BH74" s="155"/>
      <c r="BI74" s="161"/>
      <c r="BJ74" s="155"/>
      <c r="BK74" s="155"/>
      <c r="BL74" s="155"/>
      <c r="BM74" s="155"/>
      <c r="BN74" s="155"/>
      <c r="BO74" s="155"/>
      <c r="BP74" s="155"/>
      <c r="BQ74" s="155"/>
      <c r="BR74" s="155"/>
      <c r="BS74" s="155"/>
      <c r="BT74" s="155"/>
      <c r="BU74" s="155"/>
      <c r="BV74" s="155"/>
      <c r="BW74" s="155"/>
      <c r="BX74" s="155"/>
      <c r="BY74" s="155"/>
      <c r="BZ74" s="155"/>
      <c r="CA74" s="155"/>
      <c r="CB74" s="155"/>
      <c r="CC74" s="155"/>
      <c r="CD74" s="155"/>
      <c r="CE74" s="155"/>
      <c r="CF74" s="155"/>
      <c r="CG74" s="155"/>
      <c r="CH74" s="155"/>
      <c r="CI74" s="155"/>
      <c r="CJ74" s="155"/>
      <c r="CK74" s="155"/>
      <c r="CL74" s="155"/>
      <c r="CM74" s="155"/>
      <c r="CN74" s="155"/>
      <c r="CO74" s="155"/>
      <c r="CP74" s="155"/>
      <c r="CQ74" s="155"/>
      <c r="CR74" s="155"/>
      <c r="CS74" s="155"/>
      <c r="CT74" s="155"/>
      <c r="CU74" s="155"/>
      <c r="CV74" s="155"/>
      <c r="CW74" s="155"/>
      <c r="CX74" s="155"/>
      <c r="CY74" s="155"/>
      <c r="CZ74" s="155"/>
      <c r="DA74" s="155"/>
      <c r="DB74" s="155"/>
      <c r="DC74" s="155"/>
      <c r="DD74" s="155"/>
      <c r="DE74" s="155"/>
      <c r="DF74" s="155"/>
      <c r="DG74" s="155"/>
      <c r="DH74" s="155"/>
    </row>
    <row r="75" spans="1:112" x14ac:dyDescent="0.3">
      <c r="A75" s="119">
        <f t="shared" si="1"/>
        <v>74</v>
      </c>
      <c r="B75" s="119" t="s">
        <v>277</v>
      </c>
      <c r="C75" s="120">
        <v>6</v>
      </c>
      <c r="D75" s="119" t="s">
        <v>5</v>
      </c>
      <c r="E75" s="119" t="s">
        <v>3</v>
      </c>
      <c r="F75" s="119" t="s">
        <v>4</v>
      </c>
      <c r="G75" s="119" t="s">
        <v>5</v>
      </c>
      <c r="H75" s="119" t="s">
        <v>5</v>
      </c>
      <c r="I75" s="119" t="s">
        <v>3</v>
      </c>
      <c r="J75" s="119" t="s">
        <v>2</v>
      </c>
      <c r="K75" s="119" t="s">
        <v>2</v>
      </c>
      <c r="L75" s="119" t="s">
        <v>3</v>
      </c>
      <c r="M75" s="119" t="s">
        <v>3</v>
      </c>
      <c r="N75" s="119" t="s">
        <v>4</v>
      </c>
      <c r="O75" s="119" t="s">
        <v>5</v>
      </c>
      <c r="P75" s="119" t="s">
        <v>5</v>
      </c>
      <c r="Q75" s="119" t="s">
        <v>3</v>
      </c>
      <c r="R75" s="119" t="s">
        <v>5</v>
      </c>
      <c r="S75" s="119" t="s">
        <v>5</v>
      </c>
      <c r="T75" s="119" t="s">
        <v>5</v>
      </c>
      <c r="U75" s="119" t="s">
        <v>5</v>
      </c>
      <c r="V75" s="119" t="s">
        <v>4</v>
      </c>
      <c r="W75" s="119" t="s">
        <v>4</v>
      </c>
      <c r="X75" s="119" t="s">
        <v>3</v>
      </c>
      <c r="Y75" s="119" t="s">
        <v>4</v>
      </c>
      <c r="Z75" s="119" t="s">
        <v>3</v>
      </c>
      <c r="AA75" s="119" t="s">
        <v>3</v>
      </c>
      <c r="AB75" s="119" t="s">
        <v>3</v>
      </c>
      <c r="AC75" s="119" t="s">
        <v>4</v>
      </c>
      <c r="AD75" s="119" t="s">
        <v>4</v>
      </c>
      <c r="AE75" s="119" t="s">
        <v>4</v>
      </c>
      <c r="AF75" s="119" t="s">
        <v>4</v>
      </c>
      <c r="AG75" s="119" t="s">
        <v>4</v>
      </c>
      <c r="AH75" s="119" t="s">
        <v>4</v>
      </c>
      <c r="AI75" s="119" t="s">
        <v>4</v>
      </c>
      <c r="AJ75" s="119" t="s">
        <v>4</v>
      </c>
      <c r="AK75" s="119" t="s">
        <v>4</v>
      </c>
      <c r="AL75" s="119" t="s">
        <v>4</v>
      </c>
      <c r="AM75" s="6" t="s">
        <v>4</v>
      </c>
      <c r="AS75" s="6" t="s">
        <v>172</v>
      </c>
      <c r="AT75" s="6">
        <f>COUNTIFS(K:K,"C",C:C,1)/COUNTIF(C:C,1)</f>
        <v>1</v>
      </c>
      <c r="AU75" s="6">
        <f>COUNTIFS(K:K,"C",C:C,2)/COUNTIF(C:C,2)</f>
        <v>0.92307692307692313</v>
      </c>
      <c r="AV75" s="6">
        <f>COUNTIFS(K:K,"C",C:C,3)/COUNTIF(C:C,3)</f>
        <v>1</v>
      </c>
      <c r="AW75" s="6">
        <f>COUNTIFS(K:K,"C",C:C,4)/COUNTIF(C:C,4)</f>
        <v>1</v>
      </c>
      <c r="AX75" s="6">
        <f>COUNTIFS(K:K,"C",C:C,5)/COUNTIF(C:C,5)</f>
        <v>1</v>
      </c>
      <c r="AY75" s="6">
        <f>COUNTIFS(K:K,"C",C:C,6)/COUNTIF(C:C,6)</f>
        <v>0.84615384615384615</v>
      </c>
      <c r="AZ75"/>
      <c r="BA75" s="31"/>
      <c r="BB75" s="31"/>
      <c r="BC75" s="165"/>
      <c r="BD75" s="165"/>
      <c r="BE75" s="159"/>
      <c r="BF75" s="159"/>
      <c r="BG75" s="165"/>
      <c r="BH75" s="155"/>
      <c r="BI75" s="155"/>
      <c r="BJ75" s="155"/>
      <c r="BK75" s="155"/>
      <c r="BL75" s="155"/>
      <c r="BM75" s="155"/>
      <c r="BN75" s="155"/>
      <c r="BO75" s="155"/>
      <c r="BP75" s="155"/>
      <c r="BQ75" s="155"/>
      <c r="BR75" s="155"/>
      <c r="BS75" s="155"/>
      <c r="BT75" s="155"/>
      <c r="BU75" s="155"/>
      <c r="BV75" s="155"/>
      <c r="BW75" s="155"/>
      <c r="BX75" s="155"/>
      <c r="BY75" s="155"/>
      <c r="BZ75" s="155"/>
      <c r="CA75" s="155"/>
      <c r="CB75" s="155"/>
      <c r="CC75" s="155"/>
      <c r="CD75" s="155"/>
      <c r="CE75" s="155"/>
      <c r="CF75" s="155"/>
      <c r="CG75" s="155"/>
      <c r="CH75" s="155"/>
      <c r="CI75" s="155"/>
      <c r="CJ75" s="155"/>
      <c r="CK75" s="155"/>
      <c r="CL75" s="155"/>
      <c r="CM75" s="155"/>
      <c r="CN75" s="155"/>
      <c r="CO75" s="155"/>
      <c r="CP75" s="155"/>
      <c r="CQ75" s="155"/>
      <c r="CR75" s="155"/>
      <c r="CS75" s="155"/>
      <c r="CT75" s="155"/>
      <c r="CU75" s="155"/>
      <c r="CV75" s="155"/>
      <c r="CW75" s="155"/>
      <c r="CX75" s="155"/>
      <c r="CY75" s="155"/>
      <c r="CZ75" s="155"/>
      <c r="DA75" s="155"/>
      <c r="DB75" s="155"/>
      <c r="DC75" s="155"/>
      <c r="DD75" s="155"/>
      <c r="DE75" s="155"/>
      <c r="DF75" s="155"/>
      <c r="DG75" s="155"/>
      <c r="DH75" s="155"/>
    </row>
    <row r="76" spans="1:112" x14ac:dyDescent="0.3">
      <c r="A76" s="119">
        <f t="shared" si="1"/>
        <v>75</v>
      </c>
      <c r="B76" s="119" t="s">
        <v>278</v>
      </c>
      <c r="C76" s="120">
        <v>6</v>
      </c>
      <c r="D76" s="119" t="s">
        <v>5</v>
      </c>
      <c r="E76" s="119" t="s">
        <v>5</v>
      </c>
      <c r="F76" s="119" t="s">
        <v>3</v>
      </c>
      <c r="G76" s="119" t="s">
        <v>5</v>
      </c>
      <c r="H76" s="119" t="s">
        <v>5</v>
      </c>
      <c r="I76" s="119" t="s">
        <v>5</v>
      </c>
      <c r="J76" s="119" t="s">
        <v>5</v>
      </c>
      <c r="K76" s="119" t="s">
        <v>2</v>
      </c>
      <c r="L76" s="119" t="s">
        <v>2</v>
      </c>
      <c r="M76" s="119" t="s">
        <v>4</v>
      </c>
      <c r="N76" s="119" t="s">
        <v>4</v>
      </c>
      <c r="O76" s="119" t="s">
        <v>4</v>
      </c>
      <c r="P76" s="119" t="s">
        <v>5</v>
      </c>
      <c r="Q76" s="119" t="s">
        <v>4</v>
      </c>
      <c r="R76" s="119" t="s">
        <v>5</v>
      </c>
      <c r="S76" s="119" t="s">
        <v>5</v>
      </c>
      <c r="T76" s="119" t="s">
        <v>5</v>
      </c>
      <c r="U76" s="119" t="s">
        <v>5</v>
      </c>
      <c r="V76" s="119" t="s">
        <v>3</v>
      </c>
      <c r="W76" s="119" t="s">
        <v>5</v>
      </c>
      <c r="X76" s="119" t="s">
        <v>2</v>
      </c>
      <c r="Y76" s="119" t="s">
        <v>4</v>
      </c>
      <c r="Z76" s="119" t="s">
        <v>3</v>
      </c>
      <c r="AA76" s="119" t="s">
        <v>4</v>
      </c>
      <c r="AB76" s="119" t="s">
        <v>4</v>
      </c>
      <c r="AC76" s="119" t="s">
        <v>4</v>
      </c>
      <c r="AD76" s="119" t="s">
        <v>4</v>
      </c>
      <c r="AE76" s="119" t="s">
        <v>4</v>
      </c>
      <c r="AF76" s="119" t="s">
        <v>4</v>
      </c>
      <c r="AG76" s="119" t="s">
        <v>3</v>
      </c>
      <c r="AH76" s="119" t="s">
        <v>4</v>
      </c>
      <c r="AI76" s="119" t="s">
        <v>3</v>
      </c>
      <c r="AJ76" s="119" t="s">
        <v>3</v>
      </c>
      <c r="AK76" s="119" t="s">
        <v>4</v>
      </c>
      <c r="AL76" s="119" t="s">
        <v>4</v>
      </c>
      <c r="AM76" s="6" t="s">
        <v>3</v>
      </c>
      <c r="AS76" s="6" t="s">
        <v>173</v>
      </c>
      <c r="AT76" s="6">
        <f>COUNTIFS(K:K,"D",C:C,1)/COUNTIF(C:C,1)</f>
        <v>0</v>
      </c>
      <c r="AU76" s="6">
        <f>COUNTIFS(K:K,"D",C:C,2)/COUNTIF(C:C,2)</f>
        <v>0</v>
      </c>
      <c r="AV76" s="6">
        <f>COUNTIFS(K:K,"D",C:C,3)/COUNTIF(C:C,3)</f>
        <v>0</v>
      </c>
      <c r="AW76" s="6">
        <f>COUNTIFS(K:K,"D",C:C,4)/COUNTIF(C:C,4)</f>
        <v>0</v>
      </c>
      <c r="AX76" s="6">
        <f>COUNTIFS(K:K,"D",C:C,5)/COUNTIF(C:C,5)</f>
        <v>0</v>
      </c>
      <c r="AY76" s="6">
        <f>COUNTIFS(K:K,"D",C:C,6)/COUNTIF(C:C,6)</f>
        <v>0.15384615384615385</v>
      </c>
      <c r="AZ76"/>
      <c r="BA76" s="31"/>
      <c r="BB76" s="31"/>
      <c r="BC76" s="165"/>
      <c r="BD76" s="165"/>
      <c r="BE76" s="159"/>
      <c r="BF76" s="159"/>
      <c r="BG76" s="165"/>
      <c r="BH76" s="155"/>
      <c r="BI76" s="161"/>
      <c r="BJ76" s="155"/>
      <c r="BK76" s="155"/>
      <c r="BL76" s="155"/>
      <c r="BM76" s="155"/>
      <c r="BN76" s="155"/>
      <c r="BO76" s="155"/>
      <c r="BP76" s="155"/>
      <c r="BQ76" s="155"/>
      <c r="BR76" s="155"/>
      <c r="BS76" s="155"/>
      <c r="BT76" s="155"/>
      <c r="BU76" s="155"/>
      <c r="BV76" s="155"/>
      <c r="BW76" s="155"/>
      <c r="BX76" s="155"/>
      <c r="BY76" s="155"/>
      <c r="BZ76" s="155"/>
      <c r="CA76" s="155"/>
      <c r="CB76" s="155"/>
      <c r="CC76" s="155"/>
      <c r="CD76" s="155"/>
      <c r="CE76" s="155"/>
      <c r="CF76" s="155"/>
      <c r="CG76" s="155"/>
      <c r="CH76" s="155"/>
      <c r="CI76" s="155"/>
      <c r="CJ76" s="155"/>
      <c r="CK76" s="155"/>
      <c r="CL76" s="155"/>
      <c r="CM76" s="155"/>
      <c r="CN76" s="155"/>
      <c r="CO76" s="155"/>
      <c r="CP76" s="155"/>
      <c r="CQ76" s="155"/>
      <c r="CR76" s="155"/>
      <c r="CS76" s="155"/>
      <c r="CT76" s="155"/>
      <c r="CU76" s="155"/>
      <c r="CV76" s="155"/>
      <c r="CW76" s="155"/>
      <c r="CX76" s="155"/>
      <c r="CY76" s="155"/>
      <c r="CZ76" s="155"/>
      <c r="DA76" s="155"/>
      <c r="DB76" s="155"/>
      <c r="DC76" s="155"/>
      <c r="DD76" s="155"/>
      <c r="DE76" s="155"/>
      <c r="DF76" s="155"/>
      <c r="DG76" s="155"/>
      <c r="DH76" s="155"/>
    </row>
    <row r="77" spans="1:112" x14ac:dyDescent="0.3">
      <c r="A77" s="119">
        <f t="shared" si="1"/>
        <v>76</v>
      </c>
      <c r="B77" s="119" t="s">
        <v>474</v>
      </c>
      <c r="C77" s="119">
        <v>6</v>
      </c>
      <c r="D77" s="119" t="s">
        <v>5</v>
      </c>
      <c r="E77" s="119" t="s">
        <v>5</v>
      </c>
      <c r="F77" s="119" t="s">
        <v>3</v>
      </c>
      <c r="G77" s="119" t="s">
        <v>5</v>
      </c>
      <c r="H77" s="119" t="s">
        <v>5</v>
      </c>
      <c r="I77" s="119" t="s">
        <v>5</v>
      </c>
      <c r="J77" s="119" t="s">
        <v>2</v>
      </c>
      <c r="K77" s="119" t="s">
        <v>2</v>
      </c>
      <c r="L77" s="119" t="s">
        <v>2</v>
      </c>
      <c r="M77" s="119" t="s">
        <v>2</v>
      </c>
      <c r="N77" s="119" t="s">
        <v>4</v>
      </c>
      <c r="O77" s="119" t="s">
        <v>5</v>
      </c>
      <c r="P77" s="119" t="s">
        <v>2</v>
      </c>
      <c r="Q77" s="119" t="s">
        <v>3</v>
      </c>
      <c r="R77" s="119" t="s">
        <v>3</v>
      </c>
      <c r="S77" s="119" t="s">
        <v>5</v>
      </c>
      <c r="T77" s="119" t="s">
        <v>3</v>
      </c>
      <c r="U77" s="119" t="s">
        <v>2</v>
      </c>
      <c r="V77" s="119" t="s">
        <v>3</v>
      </c>
      <c r="W77" s="119" t="s">
        <v>4</v>
      </c>
      <c r="X77" s="119" t="s">
        <v>4</v>
      </c>
      <c r="Y77" s="119" t="s">
        <v>4</v>
      </c>
      <c r="Z77" s="119" t="s">
        <v>3</v>
      </c>
      <c r="AA77" s="119" t="s">
        <v>4</v>
      </c>
      <c r="AB77" s="119" t="s">
        <v>4</v>
      </c>
      <c r="AC77" s="119" t="s">
        <v>4</v>
      </c>
      <c r="AD77" s="119" t="s">
        <v>4</v>
      </c>
      <c r="AE77" s="119" t="s">
        <v>4</v>
      </c>
      <c r="AF77" s="119" t="s">
        <v>4</v>
      </c>
      <c r="AG77" s="119" t="s">
        <v>3</v>
      </c>
      <c r="AH77" s="119" t="s">
        <v>4</v>
      </c>
      <c r="AI77" s="119" t="s">
        <v>3</v>
      </c>
      <c r="AJ77" s="119" t="s">
        <v>4</v>
      </c>
      <c r="AK77" s="119" t="s">
        <v>3</v>
      </c>
      <c r="AL77" s="119" t="s">
        <v>3</v>
      </c>
      <c r="AM77" s="6" t="s">
        <v>3</v>
      </c>
      <c r="AZ77"/>
      <c r="BA77" s="33"/>
      <c r="BB77" s="33"/>
      <c r="BC77" s="164"/>
      <c r="BD77" s="164"/>
      <c r="BE77" s="159"/>
      <c r="BF77" s="159"/>
      <c r="BG77" s="165"/>
      <c r="BH77" s="155"/>
      <c r="BI77" s="155"/>
      <c r="BJ77" s="155"/>
      <c r="BK77" s="155"/>
      <c r="BL77" s="155"/>
      <c r="BM77" s="155"/>
      <c r="BN77" s="155"/>
      <c r="BO77" s="155"/>
      <c r="BP77" s="155"/>
      <c r="BQ77" s="155"/>
      <c r="BR77" s="155"/>
      <c r="BS77" s="155"/>
      <c r="BT77" s="155"/>
      <c r="BU77" s="155"/>
      <c r="BV77" s="155"/>
      <c r="BW77" s="155"/>
      <c r="BX77" s="155"/>
      <c r="BY77" s="155"/>
      <c r="BZ77" s="155"/>
      <c r="CA77" s="155"/>
      <c r="CB77" s="155"/>
      <c r="CC77" s="155"/>
      <c r="CD77" s="155"/>
      <c r="CE77" s="155"/>
      <c r="CF77" s="155"/>
      <c r="CG77" s="155"/>
      <c r="CH77" s="155"/>
      <c r="CI77" s="155"/>
      <c r="CJ77" s="155"/>
      <c r="CK77" s="155"/>
      <c r="CL77" s="155"/>
      <c r="CM77" s="155"/>
      <c r="CN77" s="155"/>
      <c r="CO77" s="155"/>
      <c r="CP77" s="155"/>
      <c r="CQ77" s="155"/>
      <c r="CR77" s="155"/>
      <c r="CS77" s="155"/>
      <c r="CT77" s="155"/>
      <c r="CU77" s="155"/>
      <c r="CV77" s="155"/>
      <c r="CW77" s="155"/>
      <c r="CX77" s="155"/>
      <c r="CY77" s="155"/>
      <c r="CZ77" s="155"/>
      <c r="DA77" s="155"/>
      <c r="DB77" s="155"/>
      <c r="DC77" s="155"/>
      <c r="DD77" s="155"/>
      <c r="DE77" s="155"/>
      <c r="DF77" s="155"/>
      <c r="DG77" s="155"/>
      <c r="DH77" s="155"/>
    </row>
    <row r="78" spans="1:112" x14ac:dyDescent="0.3">
      <c r="A78" s="119">
        <f t="shared" si="1"/>
        <v>77</v>
      </c>
      <c r="B78" s="119" t="s">
        <v>476</v>
      </c>
      <c r="C78" s="119">
        <v>6</v>
      </c>
      <c r="D78" s="119" t="s">
        <v>5</v>
      </c>
      <c r="E78" s="119" t="s">
        <v>5</v>
      </c>
      <c r="F78" s="119" t="s">
        <v>5</v>
      </c>
      <c r="G78" s="119" t="s">
        <v>5</v>
      </c>
      <c r="H78" s="119" t="s">
        <v>5</v>
      </c>
      <c r="I78" s="119" t="s">
        <v>5</v>
      </c>
      <c r="J78" s="119" t="s">
        <v>5</v>
      </c>
      <c r="K78" s="119" t="s">
        <v>2</v>
      </c>
      <c r="L78" s="119" t="s">
        <v>3</v>
      </c>
      <c r="M78" s="119" t="s">
        <v>3</v>
      </c>
      <c r="N78" s="119" t="s">
        <v>4</v>
      </c>
      <c r="O78" s="119" t="s">
        <v>3</v>
      </c>
      <c r="P78" s="119" t="s">
        <v>5</v>
      </c>
      <c r="Q78" s="119" t="s">
        <v>3</v>
      </c>
      <c r="R78" s="119" t="s">
        <v>3</v>
      </c>
      <c r="S78" s="119" t="s">
        <v>5</v>
      </c>
      <c r="T78" s="119" t="s">
        <v>3</v>
      </c>
      <c r="U78" s="119" t="s">
        <v>5</v>
      </c>
      <c r="V78" s="119" t="s">
        <v>4</v>
      </c>
      <c r="W78" s="119" t="s">
        <v>2</v>
      </c>
      <c r="X78" s="119" t="s">
        <v>5</v>
      </c>
      <c r="Y78" s="119" t="s">
        <v>4</v>
      </c>
      <c r="Z78" s="119" t="s">
        <v>3</v>
      </c>
      <c r="AA78" s="119" t="s">
        <v>4</v>
      </c>
      <c r="AB78" s="119" t="s">
        <v>4</v>
      </c>
      <c r="AC78" s="119" t="s">
        <v>4</v>
      </c>
      <c r="AD78" s="119" t="s">
        <v>4</v>
      </c>
      <c r="AE78" s="119" t="s">
        <v>3</v>
      </c>
      <c r="AF78" s="119" t="s">
        <v>4</v>
      </c>
      <c r="AG78" s="119" t="s">
        <v>3</v>
      </c>
      <c r="AH78" s="119" t="s">
        <v>4</v>
      </c>
      <c r="AI78" s="119" t="s">
        <v>3</v>
      </c>
      <c r="AJ78" s="119" t="s">
        <v>4</v>
      </c>
      <c r="AK78" s="119" t="s">
        <v>3</v>
      </c>
      <c r="AL78" s="119" t="s">
        <v>3</v>
      </c>
      <c r="AM78" s="6" t="s">
        <v>3</v>
      </c>
      <c r="AS78" s="7" t="s">
        <v>240</v>
      </c>
      <c r="AT78" s="7">
        <v>1</v>
      </c>
      <c r="AU78" s="7">
        <v>2</v>
      </c>
      <c r="AV78" s="7">
        <v>3</v>
      </c>
      <c r="AW78" s="7">
        <v>4</v>
      </c>
      <c r="AX78" s="7">
        <v>5</v>
      </c>
      <c r="AY78" s="7">
        <v>6</v>
      </c>
      <c r="AZ78"/>
      <c r="BA78" s="31"/>
      <c r="BB78" s="31"/>
      <c r="BC78" s="165"/>
      <c r="BD78" s="165"/>
      <c r="BE78" s="165"/>
      <c r="BF78" s="165"/>
      <c r="BG78" s="165"/>
      <c r="BH78" s="155"/>
      <c r="BI78" s="161"/>
      <c r="BJ78" s="155"/>
      <c r="BK78" s="155"/>
      <c r="BL78" s="155"/>
      <c r="BM78" s="155"/>
      <c r="BN78" s="155"/>
      <c r="BO78" s="155"/>
      <c r="BP78" s="155"/>
      <c r="BQ78" s="155"/>
      <c r="BR78" s="155"/>
      <c r="BS78" s="155"/>
      <c r="BT78" s="155"/>
      <c r="BU78" s="155"/>
      <c r="BV78" s="155"/>
      <c r="BW78" s="155"/>
      <c r="BX78" s="155"/>
      <c r="BY78" s="155"/>
      <c r="BZ78" s="155"/>
      <c r="CA78" s="155"/>
      <c r="CB78" s="155"/>
      <c r="CC78" s="155"/>
      <c r="CD78" s="155"/>
      <c r="CE78" s="155"/>
      <c r="CF78" s="155"/>
      <c r="CG78" s="155"/>
      <c r="CH78" s="155"/>
      <c r="CI78" s="155"/>
      <c r="CJ78" s="155"/>
      <c r="CK78" s="155"/>
      <c r="CL78" s="155"/>
      <c r="CM78" s="155"/>
      <c r="CN78" s="155"/>
      <c r="CO78" s="155"/>
      <c r="CP78" s="155"/>
      <c r="CQ78" s="155"/>
      <c r="CR78" s="155"/>
      <c r="CS78" s="155"/>
      <c r="CT78" s="155"/>
      <c r="CU78" s="155"/>
      <c r="CV78" s="155"/>
      <c r="CW78" s="155"/>
      <c r="CX78" s="155"/>
      <c r="CY78" s="155"/>
      <c r="CZ78" s="155"/>
      <c r="DA78" s="155"/>
      <c r="DB78" s="155"/>
      <c r="DC78" s="155"/>
      <c r="DD78" s="155"/>
      <c r="DE78" s="155"/>
      <c r="DF78" s="155"/>
      <c r="DG78" s="155"/>
      <c r="DH78" s="155"/>
    </row>
    <row r="79" spans="1:112" x14ac:dyDescent="0.3">
      <c r="A79" s="119">
        <f t="shared" si="1"/>
        <v>78</v>
      </c>
      <c r="B79" s="119" t="s">
        <v>489</v>
      </c>
      <c r="C79" s="119">
        <v>6</v>
      </c>
      <c r="D79" s="119" t="s">
        <v>5</v>
      </c>
      <c r="E79" s="119" t="s">
        <v>5</v>
      </c>
      <c r="F79" s="119" t="s">
        <v>4</v>
      </c>
      <c r="G79" s="119" t="s">
        <v>5</v>
      </c>
      <c r="H79" s="119" t="s">
        <v>5</v>
      </c>
      <c r="I79" s="119" t="s">
        <v>3</v>
      </c>
      <c r="J79" s="119" t="s">
        <v>5</v>
      </c>
      <c r="K79" s="119" t="s">
        <v>2</v>
      </c>
      <c r="L79" s="119" t="s">
        <v>2</v>
      </c>
      <c r="M79" s="119" t="s">
        <v>4</v>
      </c>
      <c r="N79" s="119" t="s">
        <v>3</v>
      </c>
      <c r="O79" s="119" t="s">
        <v>5</v>
      </c>
      <c r="P79" s="119" t="s">
        <v>5</v>
      </c>
      <c r="Q79" s="119" t="s">
        <v>4</v>
      </c>
      <c r="R79" s="119" t="s">
        <v>5</v>
      </c>
      <c r="S79" s="119" t="s">
        <v>5</v>
      </c>
      <c r="T79" s="119" t="s">
        <v>5</v>
      </c>
      <c r="U79" s="119" t="s">
        <v>5</v>
      </c>
      <c r="V79" s="119" t="s">
        <v>2</v>
      </c>
      <c r="W79" s="119" t="s">
        <v>4</v>
      </c>
      <c r="X79" s="119" t="s">
        <v>5</v>
      </c>
      <c r="Y79" s="119" t="s">
        <v>2</v>
      </c>
      <c r="Z79" s="119" t="s">
        <v>3</v>
      </c>
      <c r="AA79" s="119" t="s">
        <v>4</v>
      </c>
      <c r="AB79" s="119" t="s">
        <v>4</v>
      </c>
      <c r="AC79" s="119" t="s">
        <v>4</v>
      </c>
      <c r="AD79" s="119" t="s">
        <v>4</v>
      </c>
      <c r="AE79" s="119" t="s">
        <v>4</v>
      </c>
      <c r="AF79" s="119" t="s">
        <v>4</v>
      </c>
      <c r="AG79" s="119" t="s">
        <v>3</v>
      </c>
      <c r="AH79" s="119" t="s">
        <v>4</v>
      </c>
      <c r="AI79" s="119" t="s">
        <v>4</v>
      </c>
      <c r="AJ79" s="119" t="s">
        <v>4</v>
      </c>
      <c r="AK79" s="119" t="s">
        <v>3</v>
      </c>
      <c r="AL79" s="119" t="s">
        <v>4</v>
      </c>
      <c r="AM79" s="6" t="s">
        <v>3</v>
      </c>
      <c r="AS79" s="6" t="s">
        <v>174</v>
      </c>
      <c r="AT79" s="6">
        <f>COUNTIFS(L:L,"A",C:C,1)/COUNTIF(C:C,1)</f>
        <v>0</v>
      </c>
      <c r="AU79" s="6">
        <f>COUNTIFS(L:L,"A",C:C,2)/COUNTIF(C:C,2)</f>
        <v>0</v>
      </c>
      <c r="AV79" s="6">
        <f>COUNTIFS(L:L,"A",C:C,3)/COUNTIF(C:C,3)</f>
        <v>0</v>
      </c>
      <c r="AW79" s="6">
        <f>COUNTIFS(L:L,"A",C:C,4)/COUNTIF(C:C,4)</f>
        <v>0</v>
      </c>
      <c r="AX79" s="6">
        <f>COUNTIFS(L:L,"A",C:C,5)/COUNTIF(C:C,5)</f>
        <v>0.15384615384615385</v>
      </c>
      <c r="AY79" s="6">
        <f>COUNTIFS(L:L,"A",C:C,6)/COUNTIF(C:C,6)</f>
        <v>7.6923076923076927E-2</v>
      </c>
      <c r="AZ79"/>
      <c r="BA79" s="31"/>
      <c r="BB79" s="31"/>
      <c r="BC79" s="165"/>
      <c r="BD79" s="165"/>
      <c r="BE79" s="157"/>
      <c r="BF79" s="157"/>
      <c r="BG79" s="155"/>
      <c r="BH79" s="158"/>
      <c r="BI79" s="158"/>
      <c r="BJ79" s="158"/>
      <c r="BK79" s="158"/>
      <c r="BL79" s="158"/>
      <c r="BM79" s="158"/>
      <c r="BN79" s="158"/>
      <c r="BO79" s="158"/>
      <c r="BP79" s="158"/>
      <c r="BQ79" s="158"/>
      <c r="BR79" s="158"/>
      <c r="BS79" s="158"/>
      <c r="BT79" s="158"/>
      <c r="BU79" s="158"/>
      <c r="BV79" s="158"/>
      <c r="BW79" s="158"/>
      <c r="BX79" s="158"/>
      <c r="BY79" s="158"/>
      <c r="BZ79" s="158"/>
      <c r="CA79" s="158"/>
      <c r="CB79" s="158"/>
      <c r="CC79" s="158"/>
      <c r="CD79" s="158"/>
      <c r="CE79" s="158"/>
      <c r="CF79" s="158"/>
      <c r="CG79" s="158"/>
      <c r="CH79" s="158"/>
      <c r="CI79" s="158"/>
      <c r="CJ79" s="158"/>
      <c r="CK79" s="158"/>
      <c r="CL79" s="158"/>
      <c r="CM79" s="158"/>
      <c r="CN79" s="158"/>
      <c r="CO79" s="158"/>
      <c r="CP79" s="158"/>
      <c r="CQ79" s="158"/>
      <c r="CR79" s="155"/>
      <c r="CS79" s="155"/>
      <c r="CT79" s="155"/>
      <c r="CU79" s="155"/>
      <c r="CV79" s="155"/>
      <c r="CW79" s="155"/>
      <c r="CX79" s="155"/>
      <c r="CY79" s="155"/>
      <c r="CZ79" s="155"/>
      <c r="DA79" s="155"/>
      <c r="DB79" s="155"/>
      <c r="DC79" s="155"/>
      <c r="DD79" s="155"/>
      <c r="DE79" s="155"/>
      <c r="DF79" s="155"/>
      <c r="DG79" s="155"/>
      <c r="DH79" s="155"/>
    </row>
    <row r="80" spans="1:112" x14ac:dyDescent="0.3">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S80" s="6" t="s">
        <v>175</v>
      </c>
      <c r="AT80" s="6">
        <f>COUNTIFS(L:L,"B",C:C,1)/COUNTIF(C:C,1)</f>
        <v>0.53846153846153844</v>
      </c>
      <c r="AU80" s="6">
        <f>COUNTIFS(L:L,"B",C:C,2)/COUNTIF(C:C,2)</f>
        <v>0.61538461538461542</v>
      </c>
      <c r="AV80" s="6">
        <f>COUNTIFS(L:L,"B",C:C,3)/COUNTIF(C:C,3)</f>
        <v>0.61538461538461542</v>
      </c>
      <c r="AW80" s="6">
        <f>COUNTIFS(L:L,"B",C:C,4)/COUNTIF(C:C,4)</f>
        <v>0.23076923076923078</v>
      </c>
      <c r="AX80" s="6">
        <f>COUNTIFS(L:L,"B",C:C,5)/COUNTIF(C:C,5)</f>
        <v>0.30769230769230771</v>
      </c>
      <c r="AY80" s="6">
        <f>COUNTIFS(L:L,"B",C:C,6)/COUNTIF(C:C,6)</f>
        <v>0.23076923076923078</v>
      </c>
      <c r="AZ80"/>
      <c r="BA80" s="31"/>
      <c r="BB80" s="31"/>
      <c r="BC80" s="165"/>
      <c r="BD80" s="165"/>
      <c r="BE80" s="157"/>
      <c r="BF80" s="157"/>
      <c r="BG80" s="155"/>
      <c r="BH80" s="155"/>
      <c r="BI80" s="155"/>
      <c r="BJ80" s="155"/>
      <c r="BK80" s="155"/>
      <c r="BL80" s="155"/>
      <c r="BM80" s="155"/>
      <c r="BN80" s="155"/>
      <c r="BO80" s="155"/>
      <c r="BP80" s="155"/>
      <c r="BQ80" s="155"/>
      <c r="BR80" s="155"/>
      <c r="BS80" s="155"/>
      <c r="BT80" s="155"/>
      <c r="BU80" s="155"/>
      <c r="BV80" s="155"/>
      <c r="BW80" s="155"/>
      <c r="BX80" s="155"/>
      <c r="BY80" s="155"/>
      <c r="BZ80" s="155"/>
      <c r="CA80" s="155"/>
      <c r="CB80" s="155"/>
      <c r="CC80" s="155"/>
      <c r="CD80" s="155"/>
      <c r="CE80" s="155"/>
      <c r="CF80" s="155"/>
      <c r="CG80" s="155"/>
      <c r="CH80" s="155"/>
      <c r="CI80" s="155"/>
      <c r="CJ80" s="155"/>
      <c r="CK80" s="155"/>
      <c r="CL80" s="155"/>
      <c r="CM80" s="155"/>
      <c r="CN80" s="155"/>
      <c r="CO80" s="155"/>
      <c r="CP80" s="155"/>
      <c r="CQ80" s="155"/>
      <c r="CR80" s="155"/>
      <c r="CS80" s="155"/>
      <c r="CT80" s="155"/>
      <c r="CU80" s="155"/>
      <c r="CV80" s="155"/>
      <c r="CW80" s="155"/>
      <c r="CX80" s="155"/>
      <c r="CY80" s="155"/>
      <c r="CZ80" s="155"/>
      <c r="DA80" s="155"/>
      <c r="DB80" s="155"/>
      <c r="DC80" s="155"/>
      <c r="DD80" s="155"/>
      <c r="DE80" s="155"/>
      <c r="DF80" s="155"/>
      <c r="DG80" s="155"/>
      <c r="DH80" s="155"/>
    </row>
    <row r="81" spans="45:112" x14ac:dyDescent="0.3">
      <c r="AS81" s="6" t="s">
        <v>176</v>
      </c>
      <c r="AT81" s="6">
        <f>COUNTIFS(L:L,"C",C:C,1)/COUNTIF(C:C,1)</f>
        <v>0.46153846153846156</v>
      </c>
      <c r="AU81" s="6">
        <f>COUNTIFS(L:L,"C",C:C,2)/COUNTIF(C:C,2)</f>
        <v>0.38461538461538464</v>
      </c>
      <c r="AV81" s="6">
        <f>COUNTIFS(L:L,"C",C:C,3)/COUNTIF(C:C,3)</f>
        <v>0.38461538461538464</v>
      </c>
      <c r="AW81" s="6">
        <f>COUNTIFS(L:L,"C",C:C,4)/COUNTIF(C:C,4)</f>
        <v>0.69230769230769229</v>
      </c>
      <c r="AX81" s="6">
        <f>COUNTIFS(L:L,"C",C:C,5)/COUNTIF(C:C,5)</f>
        <v>0.53846153846153844</v>
      </c>
      <c r="AY81" s="6">
        <f>COUNTIFS(L:L,"C",C:C,6)/COUNTIF(C:C,6)</f>
        <v>0.69230769230769229</v>
      </c>
      <c r="AZ81"/>
      <c r="BA81" s="31"/>
      <c r="BB81" s="31"/>
      <c r="BC81" s="165"/>
      <c r="BD81" s="165"/>
      <c r="BE81" s="165"/>
      <c r="BF81" s="165"/>
      <c r="BG81" s="165"/>
      <c r="BH81" s="155"/>
      <c r="BI81" s="155"/>
      <c r="BJ81" s="155"/>
      <c r="BK81" s="155"/>
      <c r="BL81" s="155"/>
      <c r="BM81" s="155"/>
      <c r="BN81" s="155"/>
      <c r="BO81" s="155"/>
      <c r="BP81" s="155"/>
      <c r="BQ81" s="155"/>
      <c r="BR81" s="155"/>
      <c r="BS81" s="155"/>
      <c r="BT81" s="155"/>
      <c r="BU81" s="155"/>
      <c r="BV81" s="155"/>
      <c r="BW81" s="155"/>
      <c r="BX81" s="155"/>
      <c r="BY81" s="155"/>
      <c r="BZ81" s="155"/>
      <c r="CA81" s="155"/>
      <c r="CB81" s="155"/>
      <c r="CC81" s="155"/>
      <c r="CD81" s="155"/>
      <c r="CE81" s="155"/>
      <c r="CF81" s="155"/>
      <c r="CG81" s="155"/>
      <c r="CH81" s="155"/>
      <c r="CI81" s="155"/>
      <c r="CJ81" s="155"/>
      <c r="CK81" s="155"/>
      <c r="CL81" s="155"/>
      <c r="CM81" s="155"/>
      <c r="CN81" s="155"/>
      <c r="CO81" s="155"/>
      <c r="CP81" s="155"/>
      <c r="CQ81" s="155"/>
      <c r="CR81" s="158"/>
      <c r="CS81" s="158"/>
      <c r="CT81" s="158"/>
      <c r="CU81" s="155"/>
      <c r="CV81" s="155"/>
      <c r="CW81" s="155"/>
      <c r="CX81" s="155"/>
      <c r="CY81" s="155"/>
      <c r="CZ81" s="155"/>
      <c r="DA81" s="155"/>
      <c r="DB81" s="155"/>
      <c r="DC81" s="155"/>
      <c r="DD81" s="155"/>
      <c r="DE81" s="155"/>
      <c r="DF81" s="155"/>
      <c r="DG81" s="155"/>
      <c r="DH81" s="155"/>
    </row>
    <row r="82" spans="45:112" x14ac:dyDescent="0.3">
      <c r="AS82" s="6" t="s">
        <v>177</v>
      </c>
      <c r="AT82" s="6">
        <f>COUNTIFS(L:L,"D",C:C,1)/COUNTIF(C:C,1)</f>
        <v>0</v>
      </c>
      <c r="AU82" s="6">
        <f>COUNTIFS(L:L,"D",C:C,2)/COUNTIF(C:C,2)</f>
        <v>0</v>
      </c>
      <c r="AV82" s="6">
        <f>COUNTIFS(L:L,"D",C:C,3)/COUNTIF(C:C,3)</f>
        <v>0</v>
      </c>
      <c r="AW82" s="6">
        <f>COUNTIFS(L:L,"D",C:C,4)/COUNTIF(C:C,4)</f>
        <v>7.6923076923076927E-2</v>
      </c>
      <c r="AX82" s="6">
        <f>COUNTIFS(L:L,"D",C:C,5)/COUNTIF(C:C,5)</f>
        <v>0</v>
      </c>
      <c r="AY82" s="6">
        <f>COUNTIFS(L:L,"D",C:C,6)/COUNTIF(C:C,6)</f>
        <v>0</v>
      </c>
      <c r="AZ82"/>
      <c r="BA82" s="31"/>
      <c r="BB82" s="31"/>
      <c r="BC82" s="165"/>
      <c r="BD82" s="165"/>
      <c r="BE82" s="159"/>
      <c r="BF82" s="159"/>
      <c r="BG82" s="165"/>
      <c r="BH82" s="155"/>
      <c r="BI82" s="167"/>
      <c r="BJ82" s="155"/>
      <c r="BK82" s="155"/>
      <c r="BL82" s="155"/>
      <c r="BM82" s="155"/>
      <c r="BN82" s="155"/>
      <c r="BO82" s="155"/>
      <c r="BP82" s="155"/>
      <c r="BQ82" s="155"/>
      <c r="BR82" s="155"/>
      <c r="BS82" s="155"/>
      <c r="BT82" s="155"/>
      <c r="BU82" s="155"/>
      <c r="BV82" s="155"/>
      <c r="BW82" s="155"/>
      <c r="BX82" s="155"/>
      <c r="BY82" s="155"/>
      <c r="BZ82" s="155"/>
      <c r="CA82" s="155"/>
      <c r="CB82" s="155"/>
      <c r="CC82" s="155"/>
      <c r="CD82" s="155"/>
      <c r="CE82" s="155"/>
      <c r="CF82" s="155"/>
      <c r="CG82" s="155"/>
      <c r="CH82" s="155"/>
      <c r="CI82" s="155"/>
      <c r="CJ82" s="155"/>
      <c r="CK82" s="155"/>
      <c r="CL82" s="155"/>
      <c r="CM82" s="155"/>
      <c r="CN82" s="155"/>
      <c r="CO82" s="155"/>
      <c r="CP82" s="155"/>
      <c r="CQ82" s="155"/>
      <c r="CR82" s="155"/>
      <c r="CS82" s="155"/>
      <c r="CT82" s="155"/>
      <c r="CU82" s="155"/>
      <c r="CV82" s="155"/>
      <c r="CW82" s="155"/>
      <c r="CX82" s="155"/>
      <c r="CY82" s="155"/>
      <c r="CZ82" s="155"/>
      <c r="DA82" s="155"/>
      <c r="DB82" s="155"/>
      <c r="DC82" s="155"/>
      <c r="DD82" s="155"/>
      <c r="DE82" s="155"/>
      <c r="DF82" s="155"/>
      <c r="DG82" s="155"/>
      <c r="DH82" s="155"/>
    </row>
    <row r="83" spans="45:112" x14ac:dyDescent="0.3">
      <c r="AZ83"/>
      <c r="BA83" s="33"/>
      <c r="BB83" s="33"/>
      <c r="BC83" s="164"/>
      <c r="BD83" s="164"/>
      <c r="BE83" s="159"/>
      <c r="BF83" s="159"/>
      <c r="BG83" s="165"/>
      <c r="BH83" s="155"/>
      <c r="BI83" s="155"/>
      <c r="BJ83" s="155"/>
      <c r="BK83" s="155"/>
      <c r="BL83" s="155"/>
      <c r="BM83" s="155"/>
      <c r="BN83" s="155"/>
      <c r="BO83" s="155"/>
      <c r="BP83" s="155"/>
      <c r="BQ83" s="155"/>
      <c r="BR83" s="155"/>
      <c r="BS83" s="155"/>
      <c r="BT83" s="155"/>
      <c r="BU83" s="155"/>
      <c r="BV83" s="155"/>
      <c r="BW83" s="155"/>
      <c r="BX83" s="155"/>
      <c r="BY83" s="155"/>
      <c r="BZ83" s="155"/>
      <c r="CA83" s="155"/>
      <c r="CB83" s="155"/>
      <c r="CC83" s="155"/>
      <c r="CD83" s="155"/>
      <c r="CE83" s="155"/>
      <c r="CF83" s="155"/>
      <c r="CG83" s="155"/>
      <c r="CH83" s="155"/>
      <c r="CI83" s="155"/>
      <c r="CJ83" s="155"/>
      <c r="CK83" s="155"/>
      <c r="CL83" s="155"/>
      <c r="CM83" s="155"/>
      <c r="CN83" s="155"/>
      <c r="CO83" s="155"/>
      <c r="CP83" s="155"/>
      <c r="CQ83" s="155"/>
      <c r="CR83" s="155"/>
      <c r="CS83" s="155"/>
      <c r="CT83" s="155"/>
      <c r="CU83" s="155"/>
      <c r="CV83" s="155"/>
      <c r="CW83" s="155"/>
      <c r="CX83" s="155"/>
      <c r="CY83" s="155"/>
      <c r="CZ83" s="155"/>
      <c r="DA83" s="155"/>
      <c r="DB83" s="155"/>
      <c r="DC83" s="155"/>
      <c r="DD83" s="155"/>
      <c r="DE83" s="155"/>
      <c r="DF83" s="155"/>
      <c r="DG83" s="155"/>
      <c r="DH83" s="155"/>
    </row>
    <row r="84" spans="45:112" x14ac:dyDescent="0.3">
      <c r="AS84" s="7" t="s">
        <v>241</v>
      </c>
      <c r="AT84" s="7">
        <v>1</v>
      </c>
      <c r="AU84" s="7">
        <v>2</v>
      </c>
      <c r="AV84" s="7">
        <v>3</v>
      </c>
      <c r="AW84" s="7">
        <v>4</v>
      </c>
      <c r="AX84" s="7">
        <v>5</v>
      </c>
      <c r="AY84" s="7">
        <v>6</v>
      </c>
      <c r="AZ84"/>
      <c r="BA84" s="31"/>
      <c r="BB84" s="31"/>
      <c r="BC84" s="165"/>
      <c r="BD84" s="165"/>
      <c r="BE84" s="159"/>
      <c r="BF84" s="159"/>
      <c r="BG84" s="165"/>
      <c r="BH84" s="155"/>
      <c r="BI84" s="161"/>
      <c r="BJ84" s="155"/>
      <c r="BK84" s="155"/>
      <c r="BL84" s="155"/>
      <c r="BM84" s="155"/>
      <c r="BN84" s="155"/>
      <c r="BO84" s="155"/>
      <c r="BP84" s="155"/>
      <c r="BQ84" s="155"/>
      <c r="BR84" s="155"/>
      <c r="BS84" s="155"/>
      <c r="BT84" s="155"/>
      <c r="BU84" s="155"/>
      <c r="BV84" s="155"/>
      <c r="BW84" s="155"/>
      <c r="BX84" s="155"/>
      <c r="BY84" s="155"/>
      <c r="BZ84" s="155"/>
      <c r="CA84" s="155"/>
      <c r="CB84" s="155"/>
      <c r="CC84" s="155"/>
      <c r="CD84" s="155"/>
      <c r="CE84" s="155"/>
      <c r="CF84" s="155"/>
      <c r="CG84" s="155"/>
      <c r="CH84" s="155"/>
      <c r="CI84" s="155"/>
      <c r="CJ84" s="155"/>
      <c r="CK84" s="155"/>
      <c r="CL84" s="155"/>
      <c r="CM84" s="155"/>
      <c r="CN84" s="155"/>
      <c r="CO84" s="155"/>
      <c r="CP84" s="155"/>
      <c r="CQ84" s="155"/>
      <c r="CR84" s="155"/>
      <c r="CS84" s="155"/>
      <c r="CT84" s="155"/>
      <c r="CU84" s="155"/>
      <c r="CV84" s="155"/>
      <c r="CW84" s="155"/>
      <c r="CX84" s="155"/>
      <c r="CY84" s="155"/>
      <c r="CZ84" s="155"/>
      <c r="DA84" s="155"/>
      <c r="DB84" s="155"/>
      <c r="DC84" s="155"/>
      <c r="DD84" s="155"/>
      <c r="DE84" s="155"/>
      <c r="DF84" s="155"/>
      <c r="DG84" s="155"/>
      <c r="DH84" s="155"/>
    </row>
    <row r="85" spans="45:112" x14ac:dyDescent="0.3">
      <c r="AS85" s="6" t="s">
        <v>178</v>
      </c>
      <c r="AT85" s="6">
        <f>COUNTIFS(M:M,"A",C:C,1)/COUNTIF(C:C,1)</f>
        <v>0</v>
      </c>
      <c r="AU85" s="6">
        <f>COUNTIFS(M:M,"A",C:C,2)/COUNTIF(C:C,2)</f>
        <v>0.30769230769230771</v>
      </c>
      <c r="AV85" s="6">
        <f>COUNTIFS(M:M,"A",C:C,3)/COUNTIF(C:C,3)</f>
        <v>0.30769230769230771</v>
      </c>
      <c r="AW85" s="6">
        <f>COUNTIFS(M:M,"A",C:C,4)/COUNTIF(C:C,4)</f>
        <v>0.23076923076923078</v>
      </c>
      <c r="AX85" s="6">
        <f>COUNTIFS(M:M,"A",C:C,5)/COUNTIF(C:C,5)</f>
        <v>0.38461538461538464</v>
      </c>
      <c r="AY85" s="6">
        <f>COUNTIFS(M:M,"A",C:C,6)/COUNTIF(C:C,6)</f>
        <v>0.53846153846153844</v>
      </c>
      <c r="AZ85"/>
      <c r="BA85" s="31"/>
      <c r="BB85" s="31"/>
      <c r="BC85" s="165"/>
      <c r="BD85" s="165"/>
      <c r="BE85" s="159"/>
      <c r="BF85" s="159"/>
      <c r="BG85" s="165"/>
      <c r="BH85" s="155"/>
      <c r="BI85" s="155"/>
      <c r="BJ85" s="155"/>
      <c r="BK85" s="155"/>
      <c r="BL85" s="155"/>
      <c r="BM85" s="155"/>
      <c r="BN85" s="155"/>
      <c r="BO85" s="155"/>
      <c r="BP85" s="155"/>
      <c r="BQ85" s="155"/>
      <c r="BR85" s="155"/>
      <c r="BS85" s="155"/>
      <c r="BT85" s="155"/>
      <c r="BU85" s="155"/>
      <c r="BV85" s="155"/>
      <c r="BW85" s="155"/>
      <c r="BX85" s="155"/>
      <c r="BY85" s="155"/>
      <c r="BZ85" s="155"/>
      <c r="CA85" s="155"/>
      <c r="CB85" s="155"/>
      <c r="CC85" s="155"/>
      <c r="CD85" s="155"/>
      <c r="CE85" s="155"/>
      <c r="CF85" s="155"/>
      <c r="CG85" s="155"/>
      <c r="CH85" s="155"/>
      <c r="CI85" s="155"/>
      <c r="CJ85" s="155"/>
      <c r="CK85" s="155"/>
      <c r="CL85" s="155"/>
      <c r="CM85" s="155"/>
      <c r="CN85" s="155"/>
      <c r="CO85" s="155"/>
      <c r="CP85" s="155"/>
      <c r="CQ85" s="155"/>
      <c r="CR85" s="155"/>
      <c r="CS85" s="155"/>
      <c r="CT85" s="155"/>
      <c r="CU85" s="155"/>
      <c r="CV85" s="155"/>
      <c r="CW85" s="155"/>
      <c r="CX85" s="155"/>
      <c r="CY85" s="155"/>
      <c r="CZ85" s="155"/>
      <c r="DA85" s="155"/>
      <c r="DB85" s="155"/>
      <c r="DC85" s="155"/>
      <c r="DD85" s="155"/>
      <c r="DE85" s="155"/>
      <c r="DF85" s="155"/>
      <c r="DG85" s="155"/>
      <c r="DH85" s="155"/>
    </row>
    <row r="86" spans="45:112" x14ac:dyDescent="0.3">
      <c r="AS86" s="6" t="s">
        <v>179</v>
      </c>
      <c r="AT86" s="6">
        <f>COUNTIFS(M:M,"B",C:C,1)/COUNTIF(C:C,1)</f>
        <v>0.69230769230769229</v>
      </c>
      <c r="AU86" s="6">
        <f>COUNTIFS(M:M,"B",C:C,2)/COUNTIF(C:C,2)</f>
        <v>0.23076923076923078</v>
      </c>
      <c r="AV86" s="6">
        <f>COUNTIFS(M:M,"B",C:C,3)/COUNTIF(C:C,3)</f>
        <v>0.46153846153846156</v>
      </c>
      <c r="AW86" s="6">
        <f>COUNTIFS(M:M,"B",C:C,4)/COUNTIF(C:C,4)</f>
        <v>0.23076923076923078</v>
      </c>
      <c r="AX86" s="6">
        <f>COUNTIFS(M:M,"B",C:C,5)/COUNTIF(C:C,5)</f>
        <v>7.6923076923076927E-2</v>
      </c>
      <c r="AY86" s="6">
        <f>COUNTIFS(M:M,"B",C:C,6)/COUNTIF(C:C,6)</f>
        <v>0.23076923076923078</v>
      </c>
      <c r="AZ86"/>
      <c r="BA86" s="31"/>
      <c r="BB86" s="31"/>
      <c r="BC86" s="165"/>
      <c r="BD86" s="165"/>
      <c r="BE86" s="159"/>
      <c r="BF86" s="159"/>
      <c r="BG86" s="165"/>
      <c r="BH86" s="155"/>
      <c r="BI86" s="161"/>
      <c r="BJ86" s="155"/>
      <c r="BK86" s="155"/>
      <c r="BL86" s="155"/>
      <c r="BM86" s="155"/>
      <c r="BN86" s="155"/>
      <c r="BO86" s="155"/>
      <c r="BP86" s="155"/>
      <c r="BQ86" s="155"/>
      <c r="BR86" s="155"/>
      <c r="BS86" s="155"/>
      <c r="BT86" s="155"/>
      <c r="BU86" s="155"/>
      <c r="BV86" s="155"/>
      <c r="BW86" s="155"/>
      <c r="BX86" s="155"/>
      <c r="BY86" s="155"/>
      <c r="BZ86" s="155"/>
      <c r="CA86" s="155"/>
      <c r="CB86" s="155"/>
      <c r="CC86" s="155"/>
      <c r="CD86" s="155"/>
      <c r="CE86" s="155"/>
      <c r="CF86" s="155"/>
      <c r="CG86" s="155"/>
      <c r="CH86" s="155"/>
      <c r="CI86" s="155"/>
      <c r="CJ86" s="155"/>
      <c r="CK86" s="155"/>
      <c r="CL86" s="155"/>
      <c r="CM86" s="155"/>
      <c r="CN86" s="155"/>
      <c r="CO86" s="155"/>
      <c r="CP86" s="155"/>
      <c r="CQ86" s="155"/>
      <c r="CR86" s="155"/>
      <c r="CS86" s="155"/>
      <c r="CT86" s="155"/>
      <c r="CU86" s="155"/>
      <c r="CV86" s="155"/>
      <c r="CW86" s="155"/>
      <c r="CX86" s="155"/>
      <c r="CY86" s="155"/>
      <c r="CZ86" s="155"/>
      <c r="DA86" s="155"/>
      <c r="DB86" s="155"/>
      <c r="DC86" s="155"/>
      <c r="DD86" s="155"/>
      <c r="DE86" s="155"/>
      <c r="DF86" s="155"/>
      <c r="DG86" s="155"/>
      <c r="DH86" s="155"/>
    </row>
    <row r="87" spans="45:112" x14ac:dyDescent="0.3">
      <c r="AS87" s="6" t="s">
        <v>180</v>
      </c>
      <c r="AT87" s="6">
        <f>COUNTIFS(M:M,"C",C:C,1)/COUNTIF(C:C,1)</f>
        <v>0.30769230769230771</v>
      </c>
      <c r="AU87" s="6">
        <f>COUNTIFS(M:M,"C",C:C,2)/COUNTIF(C:C,2)</f>
        <v>0.46153846153846156</v>
      </c>
      <c r="AV87" s="6">
        <f>COUNTIFS(M:M,"C",C:C,3)/COUNTIF(C:C,3)</f>
        <v>0.23076923076923078</v>
      </c>
      <c r="AW87" s="6">
        <f>COUNTIFS(M:M,"C",C:C,4)/COUNTIF(C:C,4)</f>
        <v>0.38461538461538464</v>
      </c>
      <c r="AX87" s="6">
        <f>COUNTIFS(M:M,"C",C:C,5)/COUNTIF(C:C,5)</f>
        <v>0.23076923076923078</v>
      </c>
      <c r="AY87" s="6">
        <f>COUNTIFS(M:M,"C",C:C,6)/COUNTIF(C:C,6)</f>
        <v>7.6923076923076927E-2</v>
      </c>
      <c r="AZ87"/>
      <c r="BA87" s="31"/>
      <c r="BB87" s="31"/>
      <c r="BC87" s="165"/>
      <c r="BD87" s="165"/>
      <c r="BE87" s="159"/>
      <c r="BF87" s="159"/>
      <c r="BG87" s="165"/>
      <c r="BH87" s="155"/>
      <c r="BI87" s="155"/>
      <c r="BJ87" s="155"/>
      <c r="BK87" s="155"/>
      <c r="BL87" s="155"/>
      <c r="BM87" s="155"/>
      <c r="BN87" s="155"/>
      <c r="BO87" s="155"/>
      <c r="BP87" s="155"/>
      <c r="BQ87" s="155"/>
      <c r="BR87" s="155"/>
      <c r="BS87" s="155"/>
      <c r="BT87" s="155"/>
      <c r="BU87" s="155"/>
      <c r="BV87" s="155"/>
      <c r="BW87" s="155"/>
      <c r="BX87" s="155"/>
      <c r="BY87" s="155"/>
      <c r="BZ87" s="155"/>
      <c r="CA87" s="155"/>
      <c r="CB87" s="155"/>
      <c r="CC87" s="155"/>
      <c r="CD87" s="155"/>
      <c r="CE87" s="155"/>
      <c r="CF87" s="155"/>
      <c r="CG87" s="155"/>
      <c r="CH87" s="155"/>
      <c r="CI87" s="155"/>
      <c r="CJ87" s="155"/>
      <c r="CK87" s="155"/>
      <c r="CL87" s="155"/>
      <c r="CM87" s="155"/>
      <c r="CN87" s="155"/>
      <c r="CO87" s="155"/>
      <c r="CP87" s="155"/>
      <c r="CQ87" s="155"/>
      <c r="CR87" s="155"/>
      <c r="CS87" s="155"/>
      <c r="CT87" s="155"/>
      <c r="CU87" s="155"/>
      <c r="CV87" s="155"/>
      <c r="CW87" s="155"/>
      <c r="CX87" s="155"/>
      <c r="CY87" s="155"/>
      <c r="CZ87" s="155"/>
      <c r="DA87" s="155"/>
      <c r="DB87" s="155"/>
      <c r="DC87" s="155"/>
      <c r="DD87" s="155"/>
      <c r="DE87" s="155"/>
      <c r="DF87" s="155"/>
      <c r="DG87" s="155"/>
      <c r="DH87" s="155"/>
    </row>
    <row r="88" spans="45:112" x14ac:dyDescent="0.3">
      <c r="AS88" s="6" t="s">
        <v>181</v>
      </c>
      <c r="AT88" s="6">
        <f>COUNTIFS(M:M,"D",C:C,1)/COUNTIF(C:C,1)</f>
        <v>0</v>
      </c>
      <c r="AU88" s="6">
        <f>COUNTIFS(M:M,"D",C:C,2)/COUNTIF(C:C,2)</f>
        <v>0</v>
      </c>
      <c r="AV88" s="6">
        <f>COUNTIFS(M:M,"D",C:C,3)/COUNTIF(C:C,3)</f>
        <v>0</v>
      </c>
      <c r="AW88" s="6">
        <f>COUNTIFS(M:M,"D",C:C,4)/COUNTIF(C:C,4)</f>
        <v>0.15384615384615385</v>
      </c>
      <c r="AX88" s="6">
        <f>COUNTIFS(M:M,"D",C:C,5)/COUNTIF(C:C,5)</f>
        <v>0.30769230769230771</v>
      </c>
      <c r="AY88" s="6">
        <f>COUNTIFS(M:M,"D",C:C,6)/COUNTIF(C:C,6)</f>
        <v>0.15384615384615385</v>
      </c>
      <c r="AZ88"/>
      <c r="BA88" s="31"/>
      <c r="BB88" s="31"/>
      <c r="BC88" s="165"/>
      <c r="BD88" s="165"/>
      <c r="BE88" s="159"/>
      <c r="BF88" s="159"/>
      <c r="BG88" s="165"/>
      <c r="BH88" s="155"/>
      <c r="BI88" s="161"/>
      <c r="BJ88" s="155"/>
      <c r="BK88" s="155"/>
      <c r="BL88" s="155"/>
      <c r="BM88" s="155"/>
      <c r="BN88" s="155"/>
      <c r="BO88" s="155"/>
      <c r="BP88" s="155"/>
      <c r="BQ88" s="155"/>
      <c r="BR88" s="155"/>
      <c r="BS88" s="155"/>
      <c r="BT88" s="155"/>
      <c r="BU88" s="155"/>
      <c r="BV88" s="155"/>
      <c r="BW88" s="155"/>
      <c r="BX88" s="155"/>
      <c r="BY88" s="155"/>
      <c r="BZ88" s="155"/>
      <c r="CA88" s="155"/>
      <c r="CB88" s="155"/>
      <c r="CC88" s="155"/>
      <c r="CD88" s="155"/>
      <c r="CE88" s="155"/>
      <c r="CF88" s="155"/>
      <c r="CG88" s="155"/>
      <c r="CH88" s="155"/>
      <c r="CI88" s="155"/>
      <c r="CJ88" s="155"/>
      <c r="CK88" s="155"/>
      <c r="CL88" s="155"/>
      <c r="CM88" s="155"/>
      <c r="CN88" s="155"/>
      <c r="CO88" s="155"/>
      <c r="CP88" s="155"/>
      <c r="CQ88" s="155"/>
      <c r="CR88" s="155"/>
      <c r="CS88" s="155"/>
      <c r="CT88" s="155"/>
      <c r="CU88" s="155"/>
      <c r="CV88" s="155"/>
      <c r="CW88" s="155"/>
      <c r="CX88" s="155"/>
      <c r="CY88" s="155"/>
      <c r="CZ88" s="155"/>
      <c r="DA88" s="155"/>
      <c r="DB88" s="155"/>
      <c r="DC88" s="155"/>
      <c r="DD88" s="155"/>
      <c r="DE88" s="155"/>
      <c r="DF88" s="155"/>
      <c r="DG88" s="155"/>
      <c r="DH88" s="155"/>
    </row>
    <row r="89" spans="45:112" x14ac:dyDescent="0.3">
      <c r="AZ89"/>
      <c r="BA89" s="33"/>
      <c r="BB89" s="33"/>
      <c r="BC89" s="164"/>
      <c r="BD89" s="164"/>
      <c r="BE89" s="164"/>
      <c r="BF89" s="164"/>
      <c r="BG89" s="164"/>
      <c r="BH89" s="155"/>
      <c r="BI89" s="155"/>
      <c r="BJ89" s="155"/>
      <c r="BK89" s="155"/>
      <c r="BL89" s="155"/>
      <c r="BM89" s="155"/>
      <c r="BN89" s="155"/>
      <c r="BO89" s="155"/>
      <c r="BP89" s="155"/>
      <c r="BQ89" s="155"/>
      <c r="BR89" s="155"/>
      <c r="BS89" s="155"/>
      <c r="BT89" s="155"/>
      <c r="BU89" s="155"/>
      <c r="BV89" s="155"/>
      <c r="BW89" s="155"/>
      <c r="BX89" s="155"/>
      <c r="BY89" s="155"/>
      <c r="BZ89" s="155"/>
      <c r="CA89" s="155"/>
      <c r="CB89" s="155"/>
      <c r="CC89" s="155"/>
      <c r="CD89" s="155"/>
      <c r="CE89" s="155"/>
      <c r="CF89" s="155"/>
      <c r="CG89" s="155"/>
      <c r="CH89" s="155"/>
      <c r="CI89" s="155"/>
      <c r="CJ89" s="155"/>
      <c r="CK89" s="155"/>
      <c r="CL89" s="155"/>
      <c r="CM89" s="155"/>
      <c r="CN89" s="155"/>
      <c r="CO89" s="155"/>
      <c r="CP89" s="155"/>
      <c r="CQ89" s="155"/>
      <c r="CR89" s="155"/>
      <c r="CS89" s="155"/>
      <c r="CT89" s="155"/>
      <c r="CU89" s="155"/>
      <c r="CV89" s="155"/>
      <c r="CW89" s="155"/>
      <c r="CX89" s="155"/>
      <c r="CY89" s="155"/>
      <c r="CZ89" s="155"/>
      <c r="DA89" s="155"/>
      <c r="DB89" s="155"/>
      <c r="DC89" s="155"/>
      <c r="DD89" s="155"/>
      <c r="DE89" s="155"/>
      <c r="DF89" s="155"/>
      <c r="DG89" s="155"/>
      <c r="DH89" s="155"/>
    </row>
    <row r="90" spans="45:112" x14ac:dyDescent="0.3">
      <c r="AS90" s="7" t="s">
        <v>242</v>
      </c>
      <c r="AT90" s="7">
        <v>1</v>
      </c>
      <c r="AU90" s="7">
        <v>2</v>
      </c>
      <c r="AV90" s="7">
        <v>3</v>
      </c>
      <c r="AW90" s="7">
        <v>4</v>
      </c>
      <c r="AX90" s="7">
        <v>5</v>
      </c>
      <c r="AY90" s="7">
        <v>6</v>
      </c>
      <c r="AZ90"/>
      <c r="BA90" s="31"/>
      <c r="BB90" s="31"/>
      <c r="BC90" s="165"/>
      <c r="BD90" s="165"/>
      <c r="BE90" s="165"/>
      <c r="BF90" s="165"/>
      <c r="BG90" s="165"/>
      <c r="BH90" s="155"/>
      <c r="BI90" s="161"/>
      <c r="BJ90" s="155"/>
      <c r="BK90" s="155"/>
      <c r="BL90" s="155"/>
      <c r="BM90" s="155"/>
      <c r="BN90" s="155"/>
      <c r="BO90" s="155"/>
      <c r="BP90" s="155"/>
      <c r="BQ90" s="155"/>
      <c r="BR90" s="155"/>
      <c r="BS90" s="155"/>
      <c r="BT90" s="155"/>
      <c r="BU90" s="155"/>
      <c r="BV90" s="155"/>
      <c r="BW90" s="155"/>
      <c r="BX90" s="155"/>
      <c r="BY90" s="155"/>
      <c r="BZ90" s="155"/>
      <c r="CA90" s="155"/>
      <c r="CB90" s="155"/>
      <c r="CC90" s="155"/>
      <c r="CD90" s="155"/>
      <c r="CE90" s="155"/>
      <c r="CF90" s="155"/>
      <c r="CG90" s="155"/>
      <c r="CH90" s="155"/>
      <c r="CI90" s="155"/>
      <c r="CJ90" s="155"/>
      <c r="CK90" s="155"/>
      <c r="CL90" s="155"/>
      <c r="CM90" s="155"/>
      <c r="CN90" s="155"/>
      <c r="CO90" s="155"/>
      <c r="CP90" s="155"/>
      <c r="CQ90" s="155"/>
      <c r="CR90" s="155"/>
      <c r="CS90" s="155"/>
      <c r="CT90" s="155"/>
      <c r="CU90" s="155"/>
      <c r="CV90" s="155"/>
      <c r="CW90" s="155"/>
      <c r="CX90" s="155"/>
      <c r="CY90" s="155"/>
      <c r="CZ90" s="155"/>
      <c r="DA90" s="155"/>
      <c r="DB90" s="155"/>
      <c r="DC90" s="155"/>
      <c r="DD90" s="155"/>
      <c r="DE90" s="155"/>
      <c r="DF90" s="155"/>
      <c r="DG90" s="155"/>
      <c r="DH90" s="155"/>
    </row>
    <row r="91" spans="45:112" x14ac:dyDescent="0.3">
      <c r="AS91" s="6" t="s">
        <v>182</v>
      </c>
      <c r="AT91" s="6">
        <f>COUNTIFS(N:N,"A",C:C,1)/COUNTIF(C:C,1)</f>
        <v>0.53846153846153844</v>
      </c>
      <c r="AU91" s="6">
        <f>COUNTIFS(N:N,"A",C:C,2)/COUNTIF(C:C,2)</f>
        <v>0.46153846153846156</v>
      </c>
      <c r="AV91" s="6">
        <f>COUNTIFS(N:N,"A",C:C,3)/COUNTIF(C:C,3)</f>
        <v>0.61538461538461542</v>
      </c>
      <c r="AW91" s="6">
        <f>COUNTIFS(N:N,"A",C:C,4)/COUNTIF(C:C,4)</f>
        <v>0.30769230769230771</v>
      </c>
      <c r="AX91" s="6">
        <f>COUNTIFS(N:N,"A",C:C,5)/COUNTIF(C:C,5)</f>
        <v>0.38461538461538464</v>
      </c>
      <c r="AY91" s="6">
        <f>COUNTIFS(N:N,"A",C:C,6)/COUNTIF(C:C,6)</f>
        <v>0.61538461538461542</v>
      </c>
      <c r="AZ91"/>
      <c r="BA91" s="31"/>
      <c r="BB91" s="31"/>
      <c r="BC91" s="165"/>
      <c r="BD91" s="165"/>
      <c r="BE91" s="165"/>
      <c r="BF91" s="165"/>
      <c r="BG91" s="165"/>
      <c r="BH91" s="155"/>
      <c r="BI91" s="155"/>
      <c r="BJ91" s="155"/>
      <c r="BK91" s="155"/>
      <c r="BL91" s="155"/>
      <c r="BM91" s="155"/>
      <c r="BN91" s="155"/>
      <c r="BO91" s="155"/>
      <c r="BP91" s="155"/>
      <c r="BQ91" s="155"/>
      <c r="BR91" s="155"/>
      <c r="BS91" s="155"/>
      <c r="BT91" s="155"/>
      <c r="BU91" s="155"/>
      <c r="BV91" s="155"/>
      <c r="BW91" s="155"/>
      <c r="BX91" s="155"/>
      <c r="BY91" s="155"/>
      <c r="BZ91" s="155"/>
      <c r="CA91" s="155"/>
      <c r="CB91" s="155"/>
      <c r="CC91" s="155"/>
      <c r="CD91" s="155"/>
      <c r="CE91" s="155"/>
      <c r="CF91" s="155"/>
      <c r="CG91" s="155"/>
      <c r="CH91" s="155"/>
      <c r="CI91" s="155"/>
      <c r="CJ91" s="155"/>
      <c r="CK91" s="155"/>
      <c r="CL91" s="155"/>
      <c r="CM91" s="155"/>
      <c r="CN91" s="155"/>
      <c r="CO91" s="155"/>
      <c r="CP91" s="155"/>
      <c r="CQ91" s="155"/>
      <c r="CR91" s="155"/>
      <c r="CS91" s="155"/>
      <c r="CT91" s="155"/>
      <c r="CU91" s="155"/>
      <c r="CV91" s="155"/>
      <c r="CW91" s="155"/>
      <c r="CX91" s="155"/>
      <c r="CY91" s="155"/>
      <c r="CZ91" s="155"/>
      <c r="DA91" s="155"/>
      <c r="DB91" s="155"/>
      <c r="DC91" s="155"/>
      <c r="DD91" s="155"/>
      <c r="DE91" s="155"/>
      <c r="DF91" s="155"/>
      <c r="DG91" s="155"/>
      <c r="DH91" s="155"/>
    </row>
    <row r="92" spans="45:112" x14ac:dyDescent="0.3">
      <c r="AS92" s="6" t="s">
        <v>183</v>
      </c>
      <c r="AT92" s="6">
        <f>COUNTIFS(N:N,"B",C:C,1)/COUNTIF(C:C,1)</f>
        <v>0.23076923076923078</v>
      </c>
      <c r="AU92" s="6">
        <f>COUNTIFS(N:N,"B",C:C,2)/COUNTIF(C:C,2)</f>
        <v>0.30769230769230771</v>
      </c>
      <c r="AV92" s="6">
        <f>COUNTIFS(N:N,"B",C:C,3)/COUNTIF(C:C,3)</f>
        <v>0.23076923076923078</v>
      </c>
      <c r="AW92" s="6">
        <f>COUNTIFS(N:N,"B",C:C,4)/COUNTIF(C:C,4)</f>
        <v>0.46153846153846156</v>
      </c>
      <c r="AX92" s="6">
        <f>COUNTIFS(N:N,"B",C:C,5)/COUNTIF(C:C,5)</f>
        <v>0.15384615384615385</v>
      </c>
      <c r="AY92" s="6">
        <f>COUNTIFS(N:N,"B",C:C,6)/COUNTIF(C:C,6)</f>
        <v>0.30769230769230771</v>
      </c>
      <c r="AZ92"/>
      <c r="BA92" s="31"/>
      <c r="BB92" s="31"/>
      <c r="BC92" s="165"/>
      <c r="BD92" s="165"/>
      <c r="BE92" s="165"/>
      <c r="BF92" s="165"/>
      <c r="BG92" s="165"/>
      <c r="BH92" s="155"/>
      <c r="BI92" s="161"/>
      <c r="BJ92" s="155"/>
      <c r="BK92" s="155"/>
      <c r="BL92" s="155"/>
      <c r="BM92" s="155"/>
      <c r="BN92" s="155"/>
      <c r="BO92" s="155"/>
      <c r="BP92" s="155"/>
      <c r="BQ92" s="155"/>
      <c r="BR92" s="155"/>
      <c r="BS92" s="155"/>
      <c r="BT92" s="155"/>
      <c r="BU92" s="155"/>
      <c r="BV92" s="155"/>
      <c r="BW92" s="155"/>
      <c r="BX92" s="155"/>
      <c r="BY92" s="155"/>
      <c r="BZ92" s="155"/>
      <c r="CA92" s="155"/>
      <c r="CB92" s="155"/>
      <c r="CC92" s="155"/>
      <c r="CD92" s="155"/>
      <c r="CE92" s="155"/>
      <c r="CF92" s="155"/>
      <c r="CG92" s="155"/>
      <c r="CH92" s="155"/>
      <c r="CI92" s="155"/>
      <c r="CJ92" s="155"/>
      <c r="CK92" s="155"/>
      <c r="CL92" s="155"/>
      <c r="CM92" s="155"/>
      <c r="CN92" s="155"/>
      <c r="CO92" s="155"/>
      <c r="CP92" s="155"/>
      <c r="CQ92" s="155"/>
      <c r="CR92" s="155"/>
      <c r="CS92" s="155"/>
      <c r="CT92" s="155"/>
      <c r="CU92" s="155"/>
      <c r="CV92" s="155"/>
      <c r="CW92" s="155"/>
      <c r="CX92" s="155"/>
      <c r="CY92" s="155"/>
      <c r="CZ92" s="155"/>
      <c r="DA92" s="155"/>
      <c r="DB92" s="155"/>
      <c r="DC92" s="155"/>
      <c r="DD92" s="155"/>
      <c r="DE92" s="155"/>
      <c r="DF92" s="155"/>
      <c r="DG92" s="155"/>
      <c r="DH92" s="155"/>
    </row>
    <row r="93" spans="45:112" x14ac:dyDescent="0.3">
      <c r="AS93" s="6" t="s">
        <v>184</v>
      </c>
      <c r="AT93" s="6">
        <f>COUNTIFS(N:N,"C",C:C,1)/COUNTIF(C:C,1)</f>
        <v>0.23076923076923078</v>
      </c>
      <c r="AU93" s="6">
        <f>COUNTIFS(N:N,"C",C:C,2)/COUNTIF(C:C,2)</f>
        <v>0.23076923076923078</v>
      </c>
      <c r="AV93" s="6">
        <f>COUNTIFS(N:N,"C",C:C,3)/COUNTIF(C:C,3)</f>
        <v>7.6923076923076927E-2</v>
      </c>
      <c r="AW93" s="6">
        <f>COUNTIFS(N:N,"C",C:C,4)/COUNTIF(C:C,4)</f>
        <v>0</v>
      </c>
      <c r="AX93" s="6">
        <f>COUNTIFS(N:N,"C",C:C,5)/COUNTIF(C:C,5)</f>
        <v>0.38461538461538464</v>
      </c>
      <c r="AY93" s="6">
        <f>COUNTIFS(N:N,"C",C:C,6)/COUNTIF(C:C,6)</f>
        <v>7.6923076923076927E-2</v>
      </c>
      <c r="AZ93"/>
      <c r="BA93" s="31"/>
      <c r="BB93" s="31"/>
      <c r="BC93" s="165"/>
      <c r="BD93" s="165"/>
      <c r="BE93" s="165"/>
      <c r="BF93" s="165"/>
      <c r="BG93" s="165"/>
      <c r="BH93" s="155"/>
      <c r="BI93" s="155"/>
      <c r="BJ93" s="155"/>
      <c r="BK93" s="155"/>
      <c r="BL93" s="155"/>
      <c r="BM93" s="155"/>
      <c r="BN93" s="155"/>
      <c r="BO93" s="155"/>
      <c r="BP93" s="155"/>
      <c r="BQ93" s="155"/>
      <c r="BR93" s="155"/>
      <c r="BS93" s="155"/>
      <c r="BT93" s="155"/>
      <c r="BU93" s="155"/>
      <c r="BV93" s="155"/>
      <c r="BW93" s="155"/>
      <c r="BX93" s="155"/>
      <c r="BY93" s="155"/>
      <c r="BZ93" s="155"/>
      <c r="CA93" s="155"/>
      <c r="CB93" s="155"/>
      <c r="CC93" s="155"/>
      <c r="CD93" s="155"/>
      <c r="CE93" s="155"/>
      <c r="CF93" s="155"/>
      <c r="CG93" s="155"/>
      <c r="CH93" s="155"/>
      <c r="CI93" s="155"/>
      <c r="CJ93" s="155"/>
      <c r="CK93" s="155"/>
      <c r="CL93" s="155"/>
      <c r="CM93" s="155"/>
      <c r="CN93" s="155"/>
      <c r="CO93" s="155"/>
      <c r="CP93" s="155"/>
      <c r="CQ93" s="155"/>
      <c r="CR93" s="155"/>
      <c r="CS93" s="155"/>
      <c r="CT93" s="155"/>
      <c r="CU93" s="155"/>
      <c r="CV93" s="155"/>
      <c r="CW93" s="155"/>
      <c r="CX93" s="155"/>
      <c r="CY93" s="155"/>
      <c r="CZ93" s="155"/>
      <c r="DA93" s="155"/>
      <c r="DB93" s="155"/>
      <c r="DC93" s="155"/>
      <c r="DD93" s="155"/>
      <c r="DE93" s="155"/>
      <c r="DF93" s="155"/>
      <c r="DG93" s="155"/>
      <c r="DH93" s="155"/>
    </row>
    <row r="94" spans="45:112" x14ac:dyDescent="0.3">
      <c r="AS94" s="6" t="s">
        <v>185</v>
      </c>
      <c r="AT94" s="6">
        <f>COUNTIFS(N:N,"D",C:C,1)/COUNTIF(C:C,1)</f>
        <v>0</v>
      </c>
      <c r="AU94" s="6">
        <f>COUNTIFS(N:N,"D",C:C,2)/COUNTIF(C:C,2)</f>
        <v>0</v>
      </c>
      <c r="AV94" s="6">
        <f>COUNTIFS(N:N,"D",C:C,3)/COUNTIF(C:C,3)</f>
        <v>7.6923076923076927E-2</v>
      </c>
      <c r="AW94" s="6">
        <f>COUNTIFS(N:N,"D",C:C,4)/COUNTIF(C:C,4)</f>
        <v>0.23076923076923078</v>
      </c>
      <c r="AX94" s="6">
        <f>COUNTIFS(N:N,"D",C:C,5)/COUNTIF(C:C,5)</f>
        <v>7.6923076923076927E-2</v>
      </c>
      <c r="AY94" s="6">
        <f>COUNTIFS(N:N,"D",C:C,6)/COUNTIF(C:C,6)</f>
        <v>0</v>
      </c>
      <c r="AZ94"/>
      <c r="BA94" s="31"/>
      <c r="BB94" s="31"/>
      <c r="BC94" s="165"/>
      <c r="BD94" s="165"/>
      <c r="BE94" s="165"/>
      <c r="BF94" s="165"/>
      <c r="BG94" s="165"/>
      <c r="BH94" s="155"/>
      <c r="BI94" s="161"/>
      <c r="BJ94" s="155"/>
      <c r="BK94" s="155"/>
      <c r="BL94" s="155"/>
      <c r="BM94" s="155"/>
      <c r="BN94" s="155"/>
      <c r="BO94" s="155"/>
      <c r="BP94" s="155"/>
      <c r="BQ94" s="155"/>
      <c r="BR94" s="155"/>
      <c r="BS94" s="155"/>
      <c r="BT94" s="155"/>
      <c r="BU94" s="155"/>
      <c r="BV94" s="155"/>
      <c r="BW94" s="155"/>
      <c r="BX94" s="155"/>
      <c r="BY94" s="155"/>
      <c r="BZ94" s="155"/>
      <c r="CA94" s="155"/>
      <c r="CB94" s="155"/>
      <c r="CC94" s="155"/>
      <c r="CD94" s="155"/>
      <c r="CE94" s="155"/>
      <c r="CF94" s="155"/>
      <c r="CG94" s="155"/>
      <c r="CH94" s="155"/>
      <c r="CI94" s="155"/>
      <c r="CJ94" s="155"/>
      <c r="CK94" s="155"/>
      <c r="CL94" s="155"/>
      <c r="CM94" s="155"/>
      <c r="CN94" s="155"/>
      <c r="CO94" s="155"/>
      <c r="CP94" s="155"/>
      <c r="CQ94" s="155"/>
      <c r="CR94" s="155"/>
      <c r="CS94" s="155"/>
      <c r="CT94" s="155"/>
      <c r="CU94" s="155"/>
      <c r="CV94" s="155"/>
      <c r="CW94" s="155"/>
      <c r="CX94" s="155"/>
      <c r="CY94" s="155"/>
      <c r="CZ94" s="155"/>
      <c r="DA94" s="155"/>
      <c r="DB94" s="155"/>
      <c r="DC94" s="155"/>
      <c r="DD94" s="155"/>
      <c r="DE94" s="155"/>
      <c r="DF94" s="155"/>
      <c r="DG94" s="155"/>
      <c r="DH94" s="155"/>
    </row>
    <row r="95" spans="45:112" x14ac:dyDescent="0.3">
      <c r="AZ95"/>
      <c r="BA95" s="33"/>
      <c r="BB95" s="33"/>
      <c r="BC95" s="164"/>
      <c r="BD95" s="164"/>
      <c r="BE95" s="164"/>
      <c r="BF95" s="164"/>
      <c r="BG95" s="164"/>
      <c r="BH95" s="155"/>
      <c r="BI95" s="155"/>
      <c r="BJ95" s="155"/>
      <c r="BK95" s="155"/>
      <c r="BL95" s="155"/>
      <c r="BM95" s="155"/>
      <c r="BN95" s="155"/>
      <c r="BO95" s="155"/>
      <c r="BP95" s="155"/>
      <c r="BQ95" s="155"/>
      <c r="BR95" s="155"/>
      <c r="BS95" s="155"/>
      <c r="BT95" s="155"/>
      <c r="BU95" s="155"/>
      <c r="BV95" s="155"/>
      <c r="BW95" s="155"/>
      <c r="BX95" s="155"/>
      <c r="BY95" s="155"/>
      <c r="BZ95" s="155"/>
      <c r="CA95" s="155"/>
      <c r="CB95" s="155"/>
      <c r="CC95" s="155"/>
      <c r="CD95" s="155"/>
      <c r="CE95" s="155"/>
      <c r="CF95" s="155"/>
      <c r="CG95" s="155"/>
      <c r="CH95" s="155"/>
      <c r="CI95" s="155"/>
      <c r="CJ95" s="155"/>
      <c r="CK95" s="155"/>
      <c r="CL95" s="155"/>
      <c r="CM95" s="155"/>
      <c r="CN95" s="155"/>
      <c r="CO95" s="155"/>
      <c r="CP95" s="155"/>
      <c r="CQ95" s="155"/>
      <c r="CR95" s="155"/>
      <c r="CS95" s="155"/>
      <c r="CT95" s="155"/>
      <c r="CU95" s="155"/>
      <c r="CV95" s="155"/>
      <c r="CW95" s="155"/>
      <c r="CX95" s="155"/>
      <c r="CY95" s="155"/>
      <c r="CZ95" s="155"/>
      <c r="DA95" s="155"/>
      <c r="DB95" s="155"/>
      <c r="DC95" s="155"/>
      <c r="DD95" s="155"/>
      <c r="DE95" s="155"/>
      <c r="DF95" s="155"/>
      <c r="DG95" s="155"/>
      <c r="DH95" s="155"/>
    </row>
    <row r="96" spans="45:112" x14ac:dyDescent="0.3">
      <c r="AS96" s="7" t="s">
        <v>243</v>
      </c>
      <c r="AT96" s="7">
        <v>1</v>
      </c>
      <c r="AU96" s="7">
        <v>2</v>
      </c>
      <c r="AV96" s="7">
        <v>3</v>
      </c>
      <c r="AW96" s="7">
        <v>4</v>
      </c>
      <c r="AX96" s="7">
        <v>5</v>
      </c>
      <c r="AY96" s="7">
        <v>6</v>
      </c>
      <c r="AZ96"/>
      <c r="BA96" s="31"/>
      <c r="BB96" s="31"/>
      <c r="BC96" s="165"/>
      <c r="BD96" s="165"/>
      <c r="BE96" s="165"/>
      <c r="BF96" s="165"/>
      <c r="BG96" s="165"/>
      <c r="BH96" s="155"/>
      <c r="BI96" s="155"/>
      <c r="BJ96" s="155"/>
      <c r="BK96" s="155"/>
      <c r="BL96" s="155"/>
      <c r="BM96" s="155"/>
      <c r="BN96" s="155"/>
      <c r="BO96" s="155"/>
      <c r="BP96" s="155"/>
      <c r="BQ96" s="155"/>
      <c r="BR96" s="155"/>
      <c r="BS96" s="155"/>
      <c r="BT96" s="155"/>
      <c r="BU96" s="155"/>
      <c r="BV96" s="155"/>
      <c r="BW96" s="155"/>
      <c r="BX96" s="155"/>
      <c r="BY96" s="155"/>
      <c r="BZ96" s="155"/>
      <c r="CA96" s="155"/>
      <c r="CB96" s="155"/>
      <c r="CC96" s="155"/>
      <c r="CD96" s="155"/>
      <c r="CE96" s="155"/>
      <c r="CF96" s="155"/>
      <c r="CG96" s="155"/>
      <c r="CH96" s="155"/>
      <c r="CI96" s="155"/>
      <c r="CJ96" s="155"/>
      <c r="CK96" s="155"/>
      <c r="CL96" s="155"/>
      <c r="CM96" s="155"/>
      <c r="CN96" s="155"/>
      <c r="CO96" s="155"/>
      <c r="CP96" s="155"/>
      <c r="CQ96" s="155"/>
      <c r="CR96" s="155"/>
      <c r="CS96" s="155"/>
      <c r="CT96" s="155"/>
      <c r="CU96" s="155"/>
      <c r="CV96" s="155"/>
      <c r="CW96" s="155"/>
      <c r="CX96" s="155"/>
      <c r="CY96" s="155"/>
      <c r="CZ96" s="155"/>
      <c r="DA96" s="155"/>
      <c r="DB96" s="155"/>
      <c r="DC96" s="155"/>
      <c r="DD96" s="155"/>
      <c r="DE96" s="155"/>
      <c r="DF96" s="155"/>
      <c r="DG96" s="155"/>
      <c r="DH96" s="155"/>
    </row>
    <row r="97" spans="45:112" x14ac:dyDescent="0.3">
      <c r="AS97" s="6" t="s">
        <v>186</v>
      </c>
      <c r="AT97" s="6">
        <f>COUNTIFS(O:O,"A",C:C,1)/COUNTIF(C:C,1)</f>
        <v>0.15384615384615385</v>
      </c>
      <c r="AU97" s="6">
        <f>COUNTIFS(O:O,"A",C:C,2)/COUNTIF(C:C,2)</f>
        <v>0.23076923076923078</v>
      </c>
      <c r="AV97" s="6">
        <f>COUNTIFS(O:O,"A",C:C,3)/COUNTIF(C:C,3)</f>
        <v>0</v>
      </c>
      <c r="AW97" s="6">
        <f>COUNTIFS(O:O,"A",C:C,4)/COUNTIF(C:C,4)</f>
        <v>0.23076923076923078</v>
      </c>
      <c r="AX97" s="6">
        <f>COUNTIFS(O:O,"A",C:C,5)/COUNTIF(C:C,5)</f>
        <v>0.15384615384615385</v>
      </c>
      <c r="AY97" s="6">
        <f>COUNTIFS(O:O,"A",C:C,6)/COUNTIF(C:C,6)</f>
        <v>7.6923076923076927E-2</v>
      </c>
      <c r="AZ97"/>
      <c r="BA97" s="31"/>
      <c r="BB97" s="31"/>
      <c r="BC97" s="165"/>
      <c r="BD97" s="165"/>
      <c r="BE97" s="165"/>
      <c r="BF97" s="165"/>
      <c r="BG97" s="165"/>
      <c r="BH97" s="155"/>
      <c r="BI97" s="162"/>
      <c r="BJ97" s="155"/>
      <c r="BK97" s="158"/>
      <c r="BL97" s="158"/>
      <c r="BM97" s="158"/>
      <c r="BN97" s="158"/>
      <c r="BO97" s="158"/>
      <c r="BP97" s="158"/>
      <c r="BQ97" s="158"/>
      <c r="BR97" s="158"/>
      <c r="BS97" s="158"/>
      <c r="BT97" s="158"/>
      <c r="BU97" s="158"/>
      <c r="BV97" s="158"/>
      <c r="BW97" s="158"/>
      <c r="BX97" s="158"/>
      <c r="BY97" s="158"/>
      <c r="BZ97" s="158"/>
      <c r="CA97" s="158"/>
      <c r="CB97" s="158"/>
      <c r="CC97" s="158"/>
      <c r="CD97" s="158"/>
      <c r="CE97" s="158"/>
      <c r="CF97" s="158"/>
      <c r="CG97" s="158"/>
      <c r="CH97" s="158"/>
      <c r="CI97" s="158"/>
      <c r="CJ97" s="158"/>
      <c r="CK97" s="158"/>
      <c r="CL97" s="158"/>
      <c r="CM97" s="158"/>
      <c r="CN97" s="158"/>
      <c r="CO97" s="158"/>
      <c r="CP97" s="158"/>
      <c r="CQ97" s="158"/>
      <c r="CR97" s="158"/>
      <c r="CS97" s="158"/>
      <c r="CT97" s="158"/>
      <c r="CU97" s="155"/>
      <c r="CV97" s="155"/>
      <c r="CW97" s="155"/>
      <c r="CX97" s="155"/>
      <c r="CY97" s="155"/>
      <c r="CZ97" s="155"/>
      <c r="DA97" s="155"/>
      <c r="DB97" s="155"/>
      <c r="DC97" s="155"/>
      <c r="DD97" s="155"/>
      <c r="DE97" s="155"/>
      <c r="DF97" s="155"/>
      <c r="DG97" s="155"/>
      <c r="DH97" s="155"/>
    </row>
    <row r="98" spans="45:112" x14ac:dyDescent="0.3">
      <c r="AS98" s="6" t="s">
        <v>188</v>
      </c>
      <c r="AT98" s="6">
        <f>COUNTIFS(O:O,"B",C:C,1)/COUNTIF(C:C,1)</f>
        <v>0.23076923076923078</v>
      </c>
      <c r="AU98" s="6">
        <f>COUNTIFS(O:O,"B",C:C,2)/COUNTIF(C:C,2)</f>
        <v>0.15384615384615385</v>
      </c>
      <c r="AV98" s="6">
        <f>COUNTIFS(O:O,"B",C:C,3)/COUNTIF(C:C,3)</f>
        <v>0</v>
      </c>
      <c r="AW98" s="6">
        <f>COUNTIFS(O:O,"B",C:C,4)/COUNTIF(C:C,4)</f>
        <v>0.15384615384615385</v>
      </c>
      <c r="AX98" s="6">
        <f>COUNTIFS(O:O,"B",C:C,5)/COUNTIF(C:C,5)</f>
        <v>7.6923076923076927E-2</v>
      </c>
      <c r="AY98" s="6">
        <f>COUNTIFS(O:O,"B",C:C,6)/COUNTIF(C:C,6)</f>
        <v>0.15384615384615385</v>
      </c>
      <c r="AZ98"/>
      <c r="BA98" s="31"/>
      <c r="BB98" s="31"/>
      <c r="BC98" s="165"/>
      <c r="BD98" s="165"/>
      <c r="BE98" s="165"/>
      <c r="BF98" s="165"/>
      <c r="BG98" s="165"/>
      <c r="BH98" s="155"/>
      <c r="BI98" s="162"/>
      <c r="BJ98" s="155"/>
      <c r="BK98" s="155"/>
      <c r="BL98" s="155"/>
      <c r="BM98" s="155"/>
      <c r="BN98" s="155"/>
      <c r="BO98" s="155"/>
      <c r="BP98" s="155"/>
      <c r="BQ98" s="155"/>
      <c r="BR98" s="155"/>
      <c r="BS98" s="155"/>
      <c r="BT98" s="155"/>
      <c r="BU98" s="155"/>
      <c r="BV98" s="155"/>
      <c r="BW98" s="155"/>
      <c r="BX98" s="155"/>
      <c r="BY98" s="155"/>
      <c r="BZ98" s="155"/>
      <c r="CA98" s="155"/>
      <c r="CB98" s="155"/>
      <c r="CC98" s="155"/>
      <c r="CD98" s="155"/>
      <c r="CE98" s="155"/>
      <c r="CF98" s="155"/>
      <c r="CG98" s="155"/>
      <c r="CH98" s="155"/>
      <c r="CI98" s="155"/>
      <c r="CJ98" s="155"/>
      <c r="CK98" s="155"/>
      <c r="CL98" s="155"/>
      <c r="CM98" s="155"/>
      <c r="CN98" s="155"/>
      <c r="CO98" s="155"/>
      <c r="CP98" s="155"/>
      <c r="CQ98" s="155"/>
      <c r="CR98" s="155"/>
      <c r="CS98" s="155"/>
      <c r="CT98" s="155"/>
      <c r="CU98" s="155"/>
      <c r="CV98" s="155"/>
      <c r="CW98" s="155"/>
      <c r="CX98" s="155"/>
      <c r="CY98" s="155"/>
      <c r="CZ98" s="155"/>
      <c r="DA98" s="155"/>
      <c r="DB98" s="155"/>
      <c r="DC98" s="155"/>
      <c r="DD98" s="155"/>
      <c r="DE98" s="155"/>
      <c r="DF98" s="155"/>
      <c r="DG98" s="155"/>
      <c r="DH98" s="155"/>
    </row>
    <row r="99" spans="45:112" x14ac:dyDescent="0.3">
      <c r="AS99" s="6" t="s">
        <v>189</v>
      </c>
      <c r="AT99" s="6">
        <f>COUNTIFS(O:O,"C",C:C,1)/COUNTIF(C:C,1)</f>
        <v>0.15384615384615385</v>
      </c>
      <c r="AU99" s="6">
        <f>COUNTIFS(O:O,"C",C:C,2)/COUNTIF(C:C,2)</f>
        <v>0.30769230769230771</v>
      </c>
      <c r="AV99" s="6">
        <f>COUNTIFS(O:O,"C",C:C,3)/COUNTIF(C:C,3)</f>
        <v>0.46153846153846156</v>
      </c>
      <c r="AW99" s="6">
        <f>COUNTIFS(O:O,"C",C:C,4)/COUNTIF(C:C,4)</f>
        <v>0.23076923076923078</v>
      </c>
      <c r="AX99" s="6">
        <f>COUNTIFS(O:O,"C",C:C,5)/COUNTIF(C:C,5)</f>
        <v>0.38461538461538464</v>
      </c>
      <c r="AY99" s="6">
        <f>COUNTIFS(O:O,"C",C:C,6)/COUNTIF(C:C,6)</f>
        <v>7.6923076923076927E-2</v>
      </c>
      <c r="AZ99"/>
      <c r="BA99" s="31"/>
      <c r="BB99" s="31"/>
      <c r="BC99" s="165"/>
      <c r="BD99" s="165"/>
      <c r="BE99" s="165"/>
      <c r="BF99" s="165"/>
      <c r="BG99" s="165"/>
      <c r="BH99" s="155"/>
      <c r="BI99" s="155"/>
      <c r="BJ99" s="155"/>
      <c r="BK99" s="155"/>
      <c r="BL99" s="155"/>
      <c r="BM99" s="155"/>
      <c r="BN99" s="155"/>
      <c r="BO99" s="155"/>
      <c r="BP99" s="155"/>
      <c r="BQ99" s="155"/>
      <c r="BR99" s="155"/>
      <c r="BS99" s="155"/>
      <c r="BT99" s="155"/>
      <c r="BU99" s="155"/>
      <c r="BV99" s="155"/>
      <c r="BW99" s="155"/>
      <c r="BX99" s="155"/>
      <c r="BY99" s="155"/>
      <c r="BZ99" s="155"/>
      <c r="CA99" s="155"/>
      <c r="CB99" s="155"/>
      <c r="CC99" s="155"/>
      <c r="CD99" s="155"/>
      <c r="CE99" s="155"/>
      <c r="CF99" s="155"/>
      <c r="CG99" s="155"/>
      <c r="CH99" s="155"/>
      <c r="CI99" s="155"/>
      <c r="CJ99" s="155"/>
      <c r="CK99" s="155"/>
      <c r="CL99" s="155"/>
      <c r="CM99" s="155"/>
      <c r="CN99" s="155"/>
      <c r="CO99" s="155"/>
      <c r="CP99" s="155"/>
      <c r="CQ99" s="155"/>
      <c r="CR99" s="155"/>
      <c r="CS99" s="155"/>
      <c r="CT99" s="155"/>
      <c r="CU99" s="155"/>
      <c r="CV99" s="155"/>
      <c r="CW99" s="155"/>
      <c r="CX99" s="155"/>
      <c r="CY99" s="155"/>
      <c r="CZ99" s="155"/>
      <c r="DA99" s="155"/>
      <c r="DB99" s="155"/>
      <c r="DC99" s="155"/>
      <c r="DD99" s="155"/>
      <c r="DE99" s="155"/>
      <c r="DF99" s="155"/>
      <c r="DG99" s="155"/>
      <c r="DH99" s="155"/>
    </row>
    <row r="100" spans="45:112" x14ac:dyDescent="0.3">
      <c r="AS100" s="6" t="s">
        <v>190</v>
      </c>
      <c r="AT100" s="6">
        <f>COUNTIFS(O:O,"D",C:C,1)/COUNTIF(C:C,1)</f>
        <v>0.46153846153846156</v>
      </c>
      <c r="AU100" s="6">
        <f>COUNTIFS(O:O,"D",C:C,2)/COUNTIF(C:C,2)</f>
        <v>0.30769230769230771</v>
      </c>
      <c r="AV100" s="6">
        <f>COUNTIFS(O:O,"D",C:C,3)/COUNTIF(C:C,3)</f>
        <v>0.53846153846153844</v>
      </c>
      <c r="AW100" s="6">
        <f>COUNTIFS(O:O,"D",C:C,4)/COUNTIF(C:C,4)</f>
        <v>0.38461538461538464</v>
      </c>
      <c r="AX100" s="6">
        <f>COUNTIFS(O:O,"D",C:C,5)/COUNTIF(C:C,5)</f>
        <v>0.38461538461538464</v>
      </c>
      <c r="AY100" s="6">
        <f>COUNTIFS(O:O,"D",C:C,6)/COUNTIF(C:C,6)</f>
        <v>0.69230769230769229</v>
      </c>
      <c r="AZ100"/>
      <c r="BA100" s="31"/>
      <c r="BB100" s="31"/>
      <c r="BC100" s="165"/>
      <c r="BD100" s="165"/>
      <c r="BE100" s="165"/>
      <c r="BF100" s="165"/>
      <c r="BG100" s="165"/>
      <c r="BH100" s="155"/>
      <c r="BI100" s="161"/>
      <c r="BJ100" s="155"/>
      <c r="BK100" s="155"/>
      <c r="BL100" s="155"/>
      <c r="BM100" s="155"/>
      <c r="BN100" s="155"/>
      <c r="BO100" s="155"/>
      <c r="BP100" s="155"/>
      <c r="BQ100" s="155"/>
      <c r="BR100" s="155"/>
      <c r="BS100" s="155"/>
      <c r="BT100" s="155"/>
      <c r="BU100" s="155"/>
      <c r="BV100" s="155"/>
      <c r="BW100" s="155"/>
      <c r="BX100" s="155"/>
      <c r="BY100" s="155"/>
      <c r="BZ100" s="155"/>
      <c r="CA100" s="155"/>
      <c r="CB100" s="155"/>
      <c r="CC100" s="155"/>
      <c r="CD100" s="155"/>
      <c r="CE100" s="155"/>
      <c r="CF100" s="155"/>
      <c r="CG100" s="155"/>
      <c r="CH100" s="155"/>
      <c r="CI100" s="155"/>
      <c r="CJ100" s="155"/>
      <c r="CK100" s="155"/>
      <c r="CL100" s="155"/>
      <c r="CM100" s="155"/>
      <c r="CN100" s="155"/>
      <c r="CO100" s="155"/>
      <c r="CP100" s="155"/>
      <c r="CQ100" s="155"/>
      <c r="CR100" s="155"/>
      <c r="CS100" s="155"/>
      <c r="CT100" s="155"/>
      <c r="CU100" s="155"/>
      <c r="CV100" s="155"/>
      <c r="CW100" s="155"/>
      <c r="CX100" s="155"/>
      <c r="CY100" s="155"/>
      <c r="CZ100" s="155"/>
      <c r="DA100" s="155"/>
      <c r="DB100" s="155"/>
      <c r="DC100" s="155"/>
      <c r="DD100" s="155"/>
      <c r="DE100" s="155"/>
      <c r="DF100" s="155"/>
      <c r="DG100" s="155"/>
      <c r="DH100" s="155"/>
    </row>
    <row r="101" spans="45:112" x14ac:dyDescent="0.3">
      <c r="AZ101"/>
      <c r="BA101" s="33"/>
      <c r="BB101" s="33"/>
      <c r="BC101" s="164"/>
      <c r="BD101" s="164"/>
      <c r="BE101" s="164"/>
      <c r="BF101" s="164"/>
      <c r="BG101" s="164"/>
      <c r="BH101" s="155"/>
      <c r="BI101" s="155"/>
      <c r="BJ101" s="155"/>
      <c r="BK101" s="155"/>
      <c r="BL101" s="155"/>
      <c r="BM101" s="155"/>
      <c r="BN101" s="155"/>
      <c r="BO101" s="155"/>
      <c r="BP101" s="155"/>
      <c r="BQ101" s="155"/>
      <c r="BR101" s="155"/>
      <c r="BS101" s="155"/>
      <c r="BT101" s="155"/>
      <c r="BU101" s="155"/>
      <c r="BV101" s="155"/>
      <c r="BW101" s="155"/>
      <c r="BX101" s="155"/>
      <c r="BY101" s="155"/>
      <c r="BZ101" s="155"/>
      <c r="CA101" s="155"/>
      <c r="CB101" s="155"/>
      <c r="CC101" s="155"/>
      <c r="CD101" s="155"/>
      <c r="CE101" s="155"/>
      <c r="CF101" s="155"/>
      <c r="CG101" s="155"/>
      <c r="CH101" s="155"/>
      <c r="CI101" s="155"/>
      <c r="CJ101" s="155"/>
      <c r="CK101" s="155"/>
      <c r="CL101" s="155"/>
      <c r="CM101" s="155"/>
      <c r="CN101" s="155"/>
      <c r="CO101" s="155"/>
      <c r="CP101" s="155"/>
      <c r="CQ101" s="155"/>
      <c r="CR101" s="155"/>
      <c r="CS101" s="155"/>
      <c r="CT101" s="155"/>
      <c r="CU101" s="155"/>
      <c r="CV101" s="155"/>
      <c r="CW101" s="155"/>
      <c r="CX101" s="155"/>
      <c r="CY101" s="155"/>
      <c r="CZ101" s="155"/>
      <c r="DA101" s="155"/>
      <c r="DB101" s="155"/>
      <c r="DC101" s="155"/>
      <c r="DD101" s="155"/>
      <c r="DE101" s="155"/>
      <c r="DF101" s="155"/>
      <c r="DG101" s="155"/>
      <c r="DH101" s="155"/>
    </row>
    <row r="102" spans="45:112" x14ac:dyDescent="0.3">
      <c r="AS102" s="7" t="s">
        <v>244</v>
      </c>
      <c r="AT102" s="7">
        <v>1</v>
      </c>
      <c r="AU102" s="7">
        <v>2</v>
      </c>
      <c r="AV102" s="7">
        <v>3</v>
      </c>
      <c r="AW102" s="7">
        <v>4</v>
      </c>
      <c r="AX102" s="7">
        <v>5</v>
      </c>
      <c r="AY102" s="7">
        <v>6</v>
      </c>
      <c r="AZ102"/>
      <c r="BA102" s="31"/>
      <c r="BB102" s="31"/>
      <c r="BC102" s="165"/>
      <c r="BD102" s="165"/>
      <c r="BE102" s="165"/>
      <c r="BF102" s="165"/>
      <c r="BG102" s="165"/>
      <c r="BH102" s="155"/>
      <c r="BI102" s="161"/>
      <c r="BJ102" s="155"/>
      <c r="BK102" s="155"/>
      <c r="BL102" s="155"/>
      <c r="BM102" s="155"/>
      <c r="BN102" s="155"/>
      <c r="BO102" s="155"/>
      <c r="BP102" s="155"/>
      <c r="BQ102" s="155"/>
      <c r="BR102" s="155"/>
      <c r="BS102" s="155"/>
      <c r="BT102" s="155"/>
      <c r="BU102" s="155"/>
      <c r="BV102" s="155"/>
      <c r="BW102" s="155"/>
      <c r="BX102" s="155"/>
      <c r="BY102" s="155"/>
      <c r="BZ102" s="155"/>
      <c r="CA102" s="155"/>
      <c r="CB102" s="155"/>
      <c r="CC102" s="155"/>
      <c r="CD102" s="155"/>
      <c r="CE102" s="155"/>
      <c r="CF102" s="155"/>
      <c r="CG102" s="155"/>
      <c r="CH102" s="155"/>
      <c r="CI102" s="155"/>
      <c r="CJ102" s="155"/>
      <c r="CK102" s="155"/>
      <c r="CL102" s="155"/>
      <c r="CM102" s="155"/>
      <c r="CN102" s="155"/>
      <c r="CO102" s="155"/>
      <c r="CP102" s="155"/>
      <c r="CQ102" s="155"/>
      <c r="CR102" s="155"/>
      <c r="CS102" s="155"/>
      <c r="CT102" s="155"/>
      <c r="CU102" s="155"/>
      <c r="CV102" s="155"/>
      <c r="CW102" s="155"/>
      <c r="CX102" s="155"/>
      <c r="CY102" s="155"/>
      <c r="CZ102" s="155"/>
      <c r="DA102" s="155"/>
      <c r="DB102" s="155"/>
      <c r="DC102" s="155"/>
      <c r="DD102" s="155"/>
      <c r="DE102" s="155"/>
      <c r="DF102" s="155"/>
      <c r="DG102" s="155"/>
      <c r="DH102" s="155"/>
    </row>
    <row r="103" spans="45:112" x14ac:dyDescent="0.3">
      <c r="AS103" s="6" t="s">
        <v>191</v>
      </c>
      <c r="AT103" s="6">
        <f>COUNTIFS(P:P,"A",C:C,1)/COUNTIF(C:C,1)</f>
        <v>0</v>
      </c>
      <c r="AU103" s="6">
        <f>COUNTIFS(P:P,"A",C:C,2)/COUNTIF(C:C,2)</f>
        <v>0</v>
      </c>
      <c r="AV103" s="6">
        <f>COUNTIFS(P:P,"A",C:C,3)/COUNTIF(C:C,3)</f>
        <v>0</v>
      </c>
      <c r="AW103" s="6">
        <f>COUNTIFS(P:P,"A",C:C,4)/COUNTIF(C:C,4)</f>
        <v>7.6923076923076927E-2</v>
      </c>
      <c r="AX103" s="6">
        <f>COUNTIFS(P:P,"A",C:C,5)/COUNTIF(C:C,5)</f>
        <v>7.6923076923076927E-2</v>
      </c>
      <c r="AY103" s="6">
        <f>COUNTIFS(P:P,"A",C:C,6)/COUNTIF(C:C,6)</f>
        <v>0</v>
      </c>
      <c r="AZ103"/>
      <c r="BA103" s="31"/>
      <c r="BB103" s="31"/>
      <c r="BC103" s="165"/>
      <c r="BD103" s="165"/>
      <c r="BE103" s="165"/>
      <c r="BF103" s="165"/>
      <c r="BG103" s="165"/>
      <c r="BH103" s="155"/>
      <c r="BI103" s="155"/>
      <c r="BJ103" s="155"/>
      <c r="BK103" s="155"/>
      <c r="BL103" s="155"/>
      <c r="BM103" s="155"/>
      <c r="BN103" s="155"/>
      <c r="BO103" s="155"/>
      <c r="BP103" s="155"/>
      <c r="BQ103" s="155"/>
      <c r="BR103" s="155"/>
      <c r="BS103" s="155"/>
      <c r="BT103" s="155"/>
      <c r="BU103" s="155"/>
      <c r="BV103" s="155"/>
      <c r="BW103" s="155"/>
      <c r="BX103" s="155"/>
      <c r="BY103" s="155"/>
      <c r="BZ103" s="155"/>
      <c r="CA103" s="155"/>
      <c r="CB103" s="155"/>
      <c r="CC103" s="155"/>
      <c r="CD103" s="155"/>
      <c r="CE103" s="155"/>
      <c r="CF103" s="155"/>
      <c r="CG103" s="155"/>
      <c r="CH103" s="155"/>
      <c r="CI103" s="155"/>
      <c r="CJ103" s="155"/>
      <c r="CK103" s="155"/>
      <c r="CL103" s="155"/>
      <c r="CM103" s="155"/>
      <c r="CN103" s="155"/>
      <c r="CO103" s="155"/>
      <c r="CP103" s="155"/>
      <c r="CQ103" s="155"/>
      <c r="CR103" s="155"/>
      <c r="CS103" s="155"/>
      <c r="CT103" s="155"/>
      <c r="CU103" s="155"/>
      <c r="CV103" s="155"/>
      <c r="CW103" s="155"/>
      <c r="CX103" s="155"/>
      <c r="CY103" s="155"/>
      <c r="CZ103" s="155"/>
      <c r="DA103" s="155"/>
      <c r="DB103" s="155"/>
      <c r="DC103" s="155"/>
      <c r="DD103" s="155"/>
      <c r="DE103" s="155"/>
      <c r="DF103" s="155"/>
      <c r="DG103" s="155"/>
      <c r="DH103" s="155"/>
    </row>
    <row r="104" spans="45:112" x14ac:dyDescent="0.3">
      <c r="AS104" s="6" t="s">
        <v>187</v>
      </c>
      <c r="AT104" s="6">
        <f>COUNTIFS(P:P,"B",C:C,1)/COUNTIF(C:C,1)</f>
        <v>0</v>
      </c>
      <c r="AU104" s="6">
        <f>COUNTIFS(P:P,"B",C:C,2)/COUNTIF(C:C,2)</f>
        <v>0</v>
      </c>
      <c r="AV104" s="6">
        <f>COUNTIFS(P:P,"B",C:C,3)/COUNTIF(C:C,3)</f>
        <v>7.6923076923076927E-2</v>
      </c>
      <c r="AW104" s="6">
        <f>COUNTIFS(P:P,"B",C:C,4)/COUNTIF(C:C,4)</f>
        <v>0</v>
      </c>
      <c r="AX104" s="6">
        <f>COUNTIFS(P:P,"B",C:C,5)/COUNTIF(C:C,5)</f>
        <v>0</v>
      </c>
      <c r="AY104" s="6">
        <f>COUNTIFS(P:P,"B",C:C,6)/COUNTIF(C:C,6)</f>
        <v>0</v>
      </c>
      <c r="AZ104"/>
      <c r="BA104" s="31"/>
      <c r="BB104" s="31"/>
      <c r="BC104" s="165"/>
      <c r="BD104" s="165"/>
      <c r="BE104" s="165"/>
      <c r="BF104" s="165"/>
      <c r="BG104" s="165"/>
      <c r="BH104" s="155"/>
      <c r="BI104" s="161"/>
      <c r="BJ104" s="155"/>
      <c r="BK104" s="155"/>
      <c r="BL104" s="155"/>
      <c r="BM104" s="155"/>
      <c r="BN104" s="155"/>
      <c r="BO104" s="155"/>
      <c r="BP104" s="155"/>
      <c r="BQ104" s="155"/>
      <c r="BR104" s="155"/>
      <c r="BS104" s="155"/>
      <c r="BT104" s="155"/>
      <c r="BU104" s="155"/>
      <c r="BV104" s="155"/>
      <c r="BW104" s="155"/>
      <c r="BX104" s="155"/>
      <c r="BY104" s="155"/>
      <c r="BZ104" s="155"/>
      <c r="CA104" s="155"/>
      <c r="CB104" s="155"/>
      <c r="CC104" s="155"/>
      <c r="CD104" s="155"/>
      <c r="CE104" s="155"/>
      <c r="CF104" s="155"/>
      <c r="CG104" s="155"/>
      <c r="CH104" s="155"/>
      <c r="CI104" s="155"/>
      <c r="CJ104" s="155"/>
      <c r="CK104" s="155"/>
      <c r="CL104" s="155"/>
      <c r="CM104" s="155"/>
      <c r="CN104" s="155"/>
      <c r="CO104" s="155"/>
      <c r="CP104" s="155"/>
      <c r="CQ104" s="155"/>
      <c r="CR104" s="155"/>
      <c r="CS104" s="155"/>
      <c r="CT104" s="155"/>
      <c r="CU104" s="155"/>
      <c r="CV104" s="155"/>
      <c r="CW104" s="155"/>
      <c r="CX104" s="155"/>
      <c r="CY104" s="155"/>
      <c r="CZ104" s="155"/>
      <c r="DA104" s="155"/>
      <c r="DB104" s="155"/>
      <c r="DC104" s="155"/>
      <c r="DD104" s="155"/>
      <c r="DE104" s="155"/>
      <c r="DF104" s="155"/>
      <c r="DG104" s="155"/>
      <c r="DH104" s="155"/>
    </row>
    <row r="105" spans="45:112" x14ac:dyDescent="0.3">
      <c r="AS105" s="6" t="s">
        <v>192</v>
      </c>
      <c r="AT105" s="6">
        <f>COUNTIFS(P:P,"C",C:C,1)/COUNTIF(C:C,1)</f>
        <v>7.6923076923076927E-2</v>
      </c>
      <c r="AU105" s="6">
        <f>COUNTIFS(P:P,"C",C:C,2)/COUNTIF(C:C,2)</f>
        <v>0</v>
      </c>
      <c r="AV105" s="6">
        <f>COUNTIFS(P:P,"C",C:C,3)/COUNTIF(C:C,3)</f>
        <v>0.38461538461538464</v>
      </c>
      <c r="AW105" s="6">
        <f>COUNTIFS(P:P,"C",C:C,4)/COUNTIF(C:C,4)</f>
        <v>7.6923076923076927E-2</v>
      </c>
      <c r="AX105" s="6">
        <f>COUNTIFS(P:P,"C",C:C,5)/COUNTIF(C:C,5)</f>
        <v>0.23076923076923078</v>
      </c>
      <c r="AY105" s="6">
        <f>COUNTIFS(P:P,"C",C:C,6)/COUNTIF(C:C,6)</f>
        <v>0.30769230769230771</v>
      </c>
      <c r="AZ105"/>
      <c r="BA105" s="31"/>
      <c r="BB105" s="31"/>
      <c r="BC105" s="165"/>
      <c r="BD105" s="165"/>
      <c r="BE105" s="165"/>
      <c r="BF105" s="165"/>
      <c r="BG105" s="165"/>
      <c r="BH105" s="155"/>
      <c r="BI105" s="155"/>
      <c r="BJ105" s="155"/>
      <c r="BK105" s="155"/>
      <c r="BL105" s="155"/>
      <c r="BM105" s="155"/>
      <c r="BN105" s="155"/>
      <c r="BO105" s="155"/>
      <c r="BP105" s="155"/>
      <c r="BQ105" s="155"/>
      <c r="BR105" s="155"/>
      <c r="BS105" s="155"/>
      <c r="BT105" s="155"/>
      <c r="BU105" s="155"/>
      <c r="BV105" s="155"/>
      <c r="BW105" s="155"/>
      <c r="BX105" s="155"/>
      <c r="BY105" s="155"/>
      <c r="BZ105" s="155"/>
      <c r="CA105" s="155"/>
      <c r="CB105" s="155"/>
      <c r="CC105" s="155"/>
      <c r="CD105" s="155"/>
      <c r="CE105" s="155"/>
      <c r="CF105" s="155"/>
      <c r="CG105" s="155"/>
      <c r="CH105" s="155"/>
      <c r="CI105" s="155"/>
      <c r="CJ105" s="155"/>
      <c r="CK105" s="155"/>
      <c r="CL105" s="155"/>
      <c r="CM105" s="155"/>
      <c r="CN105" s="155"/>
      <c r="CO105" s="155"/>
      <c r="CP105" s="155"/>
      <c r="CQ105" s="155"/>
      <c r="CR105" s="155"/>
      <c r="CS105" s="155"/>
      <c r="CT105" s="155"/>
      <c r="CU105" s="155"/>
      <c r="CV105" s="155"/>
      <c r="CW105" s="155"/>
      <c r="CX105" s="155"/>
      <c r="CY105" s="155"/>
      <c r="CZ105" s="155"/>
      <c r="DA105" s="155"/>
      <c r="DB105" s="155"/>
      <c r="DC105" s="155"/>
      <c r="DD105" s="155"/>
      <c r="DE105" s="155"/>
      <c r="DF105" s="155"/>
      <c r="DG105" s="155"/>
      <c r="DH105" s="155"/>
    </row>
    <row r="106" spans="45:112" x14ac:dyDescent="0.3">
      <c r="AS106" s="6" t="s">
        <v>193</v>
      </c>
      <c r="AT106" s="6">
        <f>COUNTIFS(P:P,"D",C:C,1)/COUNTIF(C:C,1)</f>
        <v>0.92307692307692313</v>
      </c>
      <c r="AU106" s="6">
        <f>COUNTIFS(P:P,"D",C:C,2)/COUNTIF(C:C,2)</f>
        <v>1</v>
      </c>
      <c r="AV106" s="6">
        <f>COUNTIFS(P:P,"D",C:C,3)/COUNTIF(C:C,3)</f>
        <v>0.53846153846153844</v>
      </c>
      <c r="AW106" s="6">
        <f>COUNTIFS(P:P,"D",C:C,4)/COUNTIF(C:C,4)</f>
        <v>0.84615384615384615</v>
      </c>
      <c r="AX106" s="6">
        <f>COUNTIFS(P:P,"D",C:C,5)/COUNTIF(C:C,5)</f>
        <v>0.69230769230769229</v>
      </c>
      <c r="AY106" s="6">
        <f>COUNTIFS(P:P,"D",C:C,6)/COUNTIF(C:C,6)</f>
        <v>0.69230769230769229</v>
      </c>
      <c r="AZ106"/>
      <c r="BA106" s="31"/>
      <c r="BB106" s="31"/>
      <c r="BC106" s="165"/>
      <c r="BD106" s="165"/>
      <c r="BE106" s="165"/>
      <c r="BF106" s="165"/>
      <c r="BG106" s="165"/>
      <c r="BH106" s="155"/>
      <c r="BI106" s="161"/>
      <c r="BJ106" s="155"/>
      <c r="BK106" s="155"/>
      <c r="BL106" s="155"/>
      <c r="BM106" s="155"/>
      <c r="BN106" s="155"/>
      <c r="BO106" s="155"/>
      <c r="BP106" s="155"/>
      <c r="BQ106" s="155"/>
      <c r="BR106" s="155"/>
      <c r="BS106" s="155"/>
      <c r="BT106" s="155"/>
      <c r="BU106" s="155"/>
      <c r="BV106" s="155"/>
      <c r="BW106" s="155"/>
      <c r="BX106" s="155"/>
      <c r="BY106" s="155"/>
      <c r="BZ106" s="155"/>
      <c r="CA106" s="155"/>
      <c r="CB106" s="155"/>
      <c r="CC106" s="155"/>
      <c r="CD106" s="155"/>
      <c r="CE106" s="155"/>
      <c r="CF106" s="155"/>
      <c r="CG106" s="155"/>
      <c r="CH106" s="155"/>
      <c r="CI106" s="155"/>
      <c r="CJ106" s="155"/>
      <c r="CK106" s="155"/>
      <c r="CL106" s="155"/>
      <c r="CM106" s="155"/>
      <c r="CN106" s="155"/>
      <c r="CO106" s="155"/>
      <c r="CP106" s="155"/>
      <c r="CQ106" s="155"/>
      <c r="CR106" s="155"/>
      <c r="CS106" s="155"/>
      <c r="CT106" s="155"/>
      <c r="CU106" s="155"/>
      <c r="CV106" s="155"/>
      <c r="CW106" s="155"/>
      <c r="CX106" s="155"/>
      <c r="CY106" s="155"/>
      <c r="CZ106" s="155"/>
      <c r="DA106" s="155"/>
      <c r="DB106" s="155"/>
      <c r="DC106" s="155"/>
      <c r="DD106" s="155"/>
      <c r="DE106" s="155"/>
      <c r="DF106" s="155"/>
      <c r="DG106" s="155"/>
      <c r="DH106" s="155"/>
    </row>
    <row r="107" spans="45:112" x14ac:dyDescent="0.3">
      <c r="AZ107"/>
      <c r="BA107" s="33"/>
      <c r="BB107" s="33"/>
      <c r="BC107" s="164"/>
      <c r="BD107" s="164"/>
      <c r="BE107" s="164"/>
      <c r="BF107" s="164"/>
      <c r="BG107" s="164"/>
      <c r="BH107" s="155"/>
      <c r="BI107" s="155"/>
      <c r="BJ107" s="155"/>
      <c r="BK107" s="155"/>
      <c r="BL107" s="155"/>
      <c r="BM107" s="155"/>
      <c r="BN107" s="155"/>
      <c r="BO107" s="155"/>
      <c r="BP107" s="155"/>
      <c r="BQ107" s="155"/>
      <c r="BR107" s="155"/>
      <c r="BS107" s="155"/>
      <c r="BT107" s="155"/>
      <c r="BU107" s="155"/>
      <c r="BV107" s="155"/>
      <c r="BW107" s="155"/>
      <c r="BX107" s="155"/>
      <c r="BY107" s="155"/>
      <c r="BZ107" s="155"/>
      <c r="CA107" s="155"/>
      <c r="CB107" s="155"/>
      <c r="CC107" s="155"/>
      <c r="CD107" s="155"/>
      <c r="CE107" s="155"/>
      <c r="CF107" s="155"/>
      <c r="CG107" s="155"/>
      <c r="CH107" s="155"/>
      <c r="CI107" s="155"/>
      <c r="CJ107" s="155"/>
      <c r="CK107" s="155"/>
      <c r="CL107" s="155"/>
      <c r="CM107" s="155"/>
      <c r="CN107" s="155"/>
      <c r="CO107" s="155"/>
      <c r="CP107" s="155"/>
      <c r="CQ107" s="155"/>
      <c r="CR107" s="155"/>
      <c r="CS107" s="155"/>
      <c r="CT107" s="155"/>
      <c r="CU107" s="155"/>
      <c r="CV107" s="155"/>
      <c r="CW107" s="155"/>
      <c r="CX107" s="155"/>
      <c r="CY107" s="155"/>
      <c r="CZ107" s="155"/>
      <c r="DA107" s="155"/>
      <c r="DB107" s="155"/>
      <c r="DC107" s="155"/>
      <c r="DD107" s="155"/>
      <c r="DE107" s="155"/>
      <c r="DF107" s="155"/>
      <c r="DG107" s="155"/>
      <c r="DH107" s="155"/>
    </row>
    <row r="108" spans="45:112" x14ac:dyDescent="0.3">
      <c r="AS108" s="7" t="s">
        <v>245</v>
      </c>
      <c r="AT108" s="7">
        <v>1</v>
      </c>
      <c r="AU108" s="7">
        <v>2</v>
      </c>
      <c r="AV108" s="7">
        <v>3</v>
      </c>
      <c r="AW108" s="7">
        <v>4</v>
      </c>
      <c r="AX108" s="7">
        <v>5</v>
      </c>
      <c r="AY108" s="7">
        <v>6</v>
      </c>
      <c r="AZ108"/>
      <c r="BA108" s="31"/>
      <c r="BB108" s="31"/>
      <c r="BC108" s="165"/>
      <c r="BD108" s="165"/>
      <c r="BE108" s="165"/>
      <c r="BF108" s="165"/>
      <c r="BG108" s="165"/>
      <c r="BH108" s="155"/>
      <c r="BI108" s="161"/>
      <c r="BJ108" s="155"/>
      <c r="BK108" s="155"/>
      <c r="BL108" s="155"/>
      <c r="BM108" s="155"/>
      <c r="BN108" s="155"/>
      <c r="BO108" s="155"/>
      <c r="BP108" s="155"/>
      <c r="BQ108" s="155"/>
      <c r="BR108" s="155"/>
      <c r="BS108" s="155"/>
      <c r="BT108" s="155"/>
      <c r="BU108" s="155"/>
      <c r="BV108" s="155"/>
      <c r="BW108" s="155"/>
      <c r="BX108" s="155"/>
      <c r="BY108" s="155"/>
      <c r="BZ108" s="155"/>
      <c r="CA108" s="155"/>
      <c r="CB108" s="155"/>
      <c r="CC108" s="155"/>
      <c r="CD108" s="155"/>
      <c r="CE108" s="155"/>
      <c r="CF108" s="155"/>
      <c r="CG108" s="155"/>
      <c r="CH108" s="155"/>
      <c r="CI108" s="155"/>
      <c r="CJ108" s="155"/>
      <c r="CK108" s="155"/>
      <c r="CL108" s="155"/>
      <c r="CM108" s="155"/>
      <c r="CN108" s="155"/>
      <c r="CO108" s="155"/>
      <c r="CP108" s="155"/>
      <c r="CQ108" s="155"/>
      <c r="CR108" s="155"/>
      <c r="CS108" s="155"/>
      <c r="CT108" s="155"/>
      <c r="CU108" s="155"/>
      <c r="CV108" s="155"/>
      <c r="CW108" s="155"/>
      <c r="CX108" s="155"/>
      <c r="CY108" s="155"/>
      <c r="CZ108" s="155"/>
      <c r="DA108" s="155"/>
      <c r="DB108" s="155"/>
      <c r="DC108" s="155"/>
      <c r="DD108" s="155"/>
      <c r="DE108" s="155"/>
      <c r="DF108" s="155"/>
      <c r="DG108" s="155"/>
      <c r="DH108" s="155"/>
    </row>
    <row r="109" spans="45:112" x14ac:dyDescent="0.3">
      <c r="AS109" s="6" t="s">
        <v>194</v>
      </c>
      <c r="AT109" s="6">
        <f>COUNTIFS(Q:Q,"A",C:C,1)/COUNTIF(C:C,1)</f>
        <v>0</v>
      </c>
      <c r="AU109" s="6">
        <f>COUNTIFS(Q:Q,"A",C:C,2)/COUNTIF(C:C,2)</f>
        <v>0.38461538461538464</v>
      </c>
      <c r="AV109" s="6">
        <f>COUNTIFS(Q:Q,"A",C:C,3)/COUNTIF(C:C,3)</f>
        <v>0.15384615384615385</v>
      </c>
      <c r="AW109" s="6">
        <f>COUNTIFS(Q:Q,"A",C:C,4)/COUNTIF(C:C,4)</f>
        <v>7.6923076923076927E-2</v>
      </c>
      <c r="AX109" s="6">
        <f>COUNTIFS(Q:Q,"A",C:C,5)/COUNTIF(C:C,5)</f>
        <v>0.30769230769230771</v>
      </c>
      <c r="AY109" s="6">
        <f>COUNTIFS(Q:Q,"A",C:C,6)/COUNTIF(C:C,6)</f>
        <v>0.30769230769230771</v>
      </c>
      <c r="AZ109"/>
      <c r="BA109" s="31"/>
      <c r="BB109" s="31"/>
      <c r="BC109" s="165"/>
      <c r="BD109" s="165"/>
      <c r="BE109" s="165"/>
      <c r="BF109" s="165"/>
      <c r="BG109" s="165"/>
      <c r="BH109" s="155"/>
      <c r="BI109" s="155"/>
      <c r="BJ109" s="155"/>
      <c r="BK109" s="155"/>
      <c r="BL109" s="155"/>
      <c r="BM109" s="155"/>
      <c r="BN109" s="155"/>
      <c r="BO109" s="155"/>
      <c r="BP109" s="155"/>
      <c r="BQ109" s="155"/>
      <c r="BR109" s="155"/>
      <c r="BS109" s="155"/>
      <c r="BT109" s="155"/>
      <c r="BU109" s="155"/>
      <c r="BV109" s="155"/>
      <c r="BW109" s="155"/>
      <c r="BX109" s="155"/>
      <c r="BY109" s="155"/>
      <c r="BZ109" s="155"/>
      <c r="CA109" s="155"/>
      <c r="CB109" s="155"/>
      <c r="CC109" s="155"/>
      <c r="CD109" s="155"/>
      <c r="CE109" s="155"/>
      <c r="CF109" s="155"/>
      <c r="CG109" s="155"/>
      <c r="CH109" s="155"/>
      <c r="CI109" s="155"/>
      <c r="CJ109" s="155"/>
      <c r="CK109" s="155"/>
      <c r="CL109" s="155"/>
      <c r="CM109" s="155"/>
      <c r="CN109" s="155"/>
      <c r="CO109" s="155"/>
      <c r="CP109" s="155"/>
      <c r="CQ109" s="155"/>
      <c r="CR109" s="155"/>
      <c r="CS109" s="155"/>
      <c r="CT109" s="155"/>
      <c r="CU109" s="155"/>
      <c r="CV109" s="155"/>
      <c r="CW109" s="155"/>
      <c r="CX109" s="155"/>
      <c r="CY109" s="155"/>
      <c r="CZ109" s="155"/>
      <c r="DA109" s="155"/>
      <c r="DB109" s="155"/>
      <c r="DC109" s="155"/>
      <c r="DD109" s="155"/>
      <c r="DE109" s="155"/>
      <c r="DF109" s="155"/>
      <c r="DG109" s="155"/>
      <c r="DH109" s="155"/>
    </row>
    <row r="110" spans="45:112" x14ac:dyDescent="0.3">
      <c r="AS110" s="6" t="s">
        <v>195</v>
      </c>
      <c r="AT110" s="6">
        <f>COUNTIFS(Q:Q,"B",C:C,1)/COUNTIF(C:C,1)</f>
        <v>1</v>
      </c>
      <c r="AU110" s="6">
        <f>COUNTIFS(Q:Q,"B",C:C,2)/COUNTIF(C:C,2)</f>
        <v>0.61538461538461542</v>
      </c>
      <c r="AV110" s="6">
        <f>COUNTIFS(Q:Q,"B",C:C,3)/COUNTIF(C:C,3)</f>
        <v>0.61538461538461542</v>
      </c>
      <c r="AW110" s="6">
        <f>COUNTIFS(Q:Q,"B",C:C,4)/COUNTIF(C:C,4)</f>
        <v>0.53846153846153844</v>
      </c>
      <c r="AX110" s="6">
        <f>COUNTIFS(Q:Q,"B",C:C,5)/COUNTIF(C:C,5)</f>
        <v>0.15384615384615385</v>
      </c>
      <c r="AY110" s="6">
        <f>COUNTIFS(Q:Q,"B",C:C,6)/COUNTIF(C:C,6)</f>
        <v>0.46153846153846156</v>
      </c>
      <c r="AZ110"/>
      <c r="BA110" s="31"/>
      <c r="BB110" s="31"/>
      <c r="BC110" s="165"/>
      <c r="BD110" s="165"/>
      <c r="BE110" s="165"/>
      <c r="BF110" s="165"/>
      <c r="BG110" s="165"/>
      <c r="BH110" s="155"/>
      <c r="BI110" s="161"/>
      <c r="BJ110" s="155"/>
      <c r="BK110" s="155"/>
      <c r="BL110" s="155"/>
      <c r="BM110" s="155"/>
      <c r="BN110" s="155"/>
      <c r="BO110" s="155"/>
      <c r="BP110" s="155"/>
      <c r="BQ110" s="155"/>
      <c r="BR110" s="155"/>
      <c r="BS110" s="155"/>
      <c r="BT110" s="155"/>
      <c r="BU110" s="155"/>
      <c r="BV110" s="155"/>
      <c r="BW110" s="155"/>
      <c r="BX110" s="155"/>
      <c r="BY110" s="155"/>
      <c r="BZ110" s="155"/>
      <c r="CA110" s="155"/>
      <c r="CB110" s="155"/>
      <c r="CC110" s="155"/>
      <c r="CD110" s="155"/>
      <c r="CE110" s="155"/>
      <c r="CF110" s="155"/>
      <c r="CG110" s="155"/>
      <c r="CH110" s="155"/>
      <c r="CI110" s="155"/>
      <c r="CJ110" s="155"/>
      <c r="CK110" s="155"/>
      <c r="CL110" s="155"/>
      <c r="CM110" s="155"/>
      <c r="CN110" s="155"/>
      <c r="CO110" s="155"/>
      <c r="CP110" s="155"/>
      <c r="CQ110" s="155"/>
      <c r="CR110" s="155"/>
      <c r="CS110" s="155"/>
      <c r="CT110" s="155"/>
      <c r="CU110" s="155"/>
      <c r="CV110" s="155"/>
      <c r="CW110" s="155"/>
      <c r="CX110" s="155"/>
      <c r="CY110" s="155"/>
      <c r="CZ110" s="155"/>
      <c r="DA110" s="155"/>
      <c r="DB110" s="155"/>
      <c r="DC110" s="155"/>
      <c r="DD110" s="155"/>
      <c r="DE110" s="155"/>
      <c r="DF110" s="155"/>
      <c r="DG110" s="155"/>
      <c r="DH110" s="155"/>
    </row>
    <row r="111" spans="45:112" x14ac:dyDescent="0.3">
      <c r="AS111" s="6" t="s">
        <v>196</v>
      </c>
      <c r="AT111" s="6">
        <f>COUNTIFS(Q:Q,"C",C:C,1)/COUNTIF(C:C,1)</f>
        <v>0</v>
      </c>
      <c r="AU111" s="6">
        <f>COUNTIFS(Q:Q,"C",C:C,2)/COUNTIF(C:C,2)</f>
        <v>0</v>
      </c>
      <c r="AV111" s="6">
        <f>COUNTIFS(Q:Q,"C",C:C,3)/COUNTIF(C:C,3)</f>
        <v>0.15384615384615385</v>
      </c>
      <c r="AW111" s="6">
        <f>COUNTIFS(Q:Q,"C",C:C,4)/COUNTIF(C:C,4)</f>
        <v>0.38461538461538464</v>
      </c>
      <c r="AX111" s="6">
        <f>COUNTIFS(Q:Q,"C",C:C,5)/COUNTIF(C:C,5)</f>
        <v>0.53846153846153844</v>
      </c>
      <c r="AY111" s="6">
        <f>COUNTIFS(Q:Q,"C",C:C,6)/COUNTIF(C:C,6)</f>
        <v>0.23076923076923078</v>
      </c>
      <c r="AZ111"/>
      <c r="BA111" s="31"/>
      <c r="BB111" s="31"/>
      <c r="BC111" s="165"/>
      <c r="BD111" s="165"/>
      <c r="BE111" s="165"/>
      <c r="BF111" s="165"/>
      <c r="BG111" s="165"/>
      <c r="BH111" s="155"/>
      <c r="BI111" s="155"/>
      <c r="BJ111" s="155"/>
      <c r="BK111" s="155"/>
      <c r="BL111" s="155"/>
      <c r="BM111" s="155"/>
      <c r="BN111" s="155"/>
      <c r="BO111" s="155"/>
      <c r="BP111" s="155"/>
      <c r="BQ111" s="155"/>
      <c r="BR111" s="155"/>
      <c r="BS111" s="155"/>
      <c r="BT111" s="155"/>
      <c r="BU111" s="155"/>
      <c r="BV111" s="155"/>
      <c r="BW111" s="155"/>
      <c r="BX111" s="155"/>
      <c r="BY111" s="155"/>
      <c r="BZ111" s="155"/>
      <c r="CA111" s="155"/>
      <c r="CB111" s="155"/>
      <c r="CC111" s="155"/>
      <c r="CD111" s="155"/>
      <c r="CE111" s="155"/>
      <c r="CF111" s="155"/>
      <c r="CG111" s="155"/>
      <c r="CH111" s="155"/>
      <c r="CI111" s="155"/>
      <c r="CJ111" s="155"/>
      <c r="CK111" s="155"/>
      <c r="CL111" s="155"/>
      <c r="CM111" s="155"/>
      <c r="CN111" s="155"/>
      <c r="CO111" s="155"/>
      <c r="CP111" s="155"/>
      <c r="CQ111" s="155"/>
      <c r="CR111" s="155"/>
      <c r="CS111" s="155"/>
      <c r="CT111" s="155"/>
      <c r="CU111" s="155"/>
      <c r="CV111" s="155"/>
      <c r="CW111" s="155"/>
      <c r="CX111" s="155"/>
      <c r="CY111" s="155"/>
      <c r="CZ111" s="155"/>
      <c r="DA111" s="155"/>
      <c r="DB111" s="155"/>
      <c r="DC111" s="155"/>
      <c r="DD111" s="155"/>
      <c r="DE111" s="155"/>
      <c r="DF111" s="155"/>
      <c r="DG111" s="155"/>
      <c r="DH111" s="155"/>
    </row>
    <row r="112" spans="45:112" x14ac:dyDescent="0.3">
      <c r="AS112" s="6" t="s">
        <v>197</v>
      </c>
      <c r="AT112" s="6">
        <f>COUNTIFS(Q:Q,"D",C:C,1)/COUNTIF(C:C,1)</f>
        <v>0</v>
      </c>
      <c r="AU112" s="6">
        <f>COUNTIFS(Q:Q,"D",C:C,2)/COUNTIF(C:C,2)</f>
        <v>0</v>
      </c>
      <c r="AV112" s="6">
        <f>COUNTIFS(Q:Q,"D",C:C,3)/COUNTIF(C:C,3)</f>
        <v>7.6923076923076927E-2</v>
      </c>
      <c r="AW112" s="6">
        <f>COUNTIFS(Q:Q,"D",C:C,4)/COUNTIF(C:C,4)</f>
        <v>0</v>
      </c>
      <c r="AX112" s="6">
        <f>COUNTIFS(Q:Q,"D",C:C,5)/COUNTIF(C:C,5)</f>
        <v>0</v>
      </c>
      <c r="AY112" s="6">
        <f>COUNTIFS(Q:Q,"D",C:C,6)/COUNTIF(C:C,6)</f>
        <v>0</v>
      </c>
      <c r="AZ112"/>
      <c r="BA112" s="31"/>
      <c r="BB112" s="31"/>
      <c r="BC112" s="165"/>
      <c r="BD112" s="165"/>
      <c r="BE112" s="165"/>
      <c r="BF112" s="165"/>
      <c r="BG112" s="165"/>
      <c r="BH112" s="155"/>
      <c r="BI112" s="155"/>
      <c r="BJ112" s="155"/>
      <c r="BK112" s="155"/>
      <c r="BL112" s="155"/>
      <c r="BM112" s="155"/>
      <c r="BN112" s="155"/>
      <c r="BO112" s="155"/>
      <c r="BP112" s="155"/>
      <c r="BQ112" s="155"/>
      <c r="BR112" s="155"/>
      <c r="BS112" s="155"/>
      <c r="BT112" s="155"/>
      <c r="BU112" s="155"/>
      <c r="BV112" s="155"/>
      <c r="BW112" s="155"/>
      <c r="BX112" s="155"/>
      <c r="BY112" s="155"/>
      <c r="BZ112" s="155"/>
      <c r="CA112" s="155"/>
      <c r="CB112" s="155"/>
      <c r="CC112" s="155"/>
      <c r="CD112" s="155"/>
      <c r="CE112" s="155"/>
      <c r="CF112" s="155"/>
      <c r="CG112" s="155"/>
      <c r="CH112" s="155"/>
      <c r="CI112" s="155"/>
      <c r="CJ112" s="155"/>
      <c r="CK112" s="155"/>
      <c r="CL112" s="155"/>
      <c r="CM112" s="155"/>
      <c r="CN112" s="155"/>
      <c r="CO112" s="155"/>
      <c r="CP112" s="155"/>
      <c r="CQ112" s="155"/>
      <c r="CR112" s="155"/>
      <c r="CS112" s="155"/>
      <c r="CT112" s="155"/>
      <c r="CU112" s="155"/>
      <c r="CV112" s="155"/>
      <c r="CW112" s="155"/>
      <c r="CX112" s="155"/>
      <c r="CY112" s="155"/>
      <c r="CZ112" s="155"/>
      <c r="DA112" s="155"/>
      <c r="DB112" s="155"/>
      <c r="DC112" s="155"/>
      <c r="DD112" s="155"/>
      <c r="DE112" s="155"/>
      <c r="DF112" s="155"/>
      <c r="DG112" s="155"/>
      <c r="DH112" s="155"/>
    </row>
    <row r="113" spans="45:112" x14ac:dyDescent="0.3">
      <c r="AZ113"/>
      <c r="BA113" s="33"/>
      <c r="BB113" s="33"/>
      <c r="BC113" s="164"/>
      <c r="BD113" s="164"/>
      <c r="BE113" s="164"/>
      <c r="BF113" s="164"/>
      <c r="BG113" s="164"/>
      <c r="BH113" s="155"/>
      <c r="BI113" s="162"/>
      <c r="BJ113" s="155"/>
      <c r="BK113" s="158"/>
      <c r="BL113" s="158"/>
      <c r="BM113" s="158"/>
      <c r="BN113" s="158"/>
      <c r="BO113" s="158"/>
      <c r="BP113" s="158"/>
      <c r="BQ113" s="158"/>
      <c r="BR113" s="158"/>
      <c r="BS113" s="158"/>
      <c r="BT113" s="158"/>
      <c r="BU113" s="158"/>
      <c r="BV113" s="158"/>
      <c r="BW113" s="158"/>
      <c r="BX113" s="158"/>
      <c r="BY113" s="158"/>
      <c r="BZ113" s="158"/>
      <c r="CA113" s="158"/>
      <c r="CB113" s="158"/>
      <c r="CC113" s="158"/>
      <c r="CD113" s="158"/>
      <c r="CE113" s="158"/>
      <c r="CF113" s="158"/>
      <c r="CG113" s="158"/>
      <c r="CH113" s="158"/>
      <c r="CI113" s="158"/>
      <c r="CJ113" s="158"/>
      <c r="CK113" s="158"/>
      <c r="CL113" s="158"/>
      <c r="CM113" s="158"/>
      <c r="CN113" s="158"/>
      <c r="CO113" s="158"/>
      <c r="CP113" s="158"/>
      <c r="CQ113" s="158"/>
      <c r="CR113" s="158"/>
      <c r="CS113" s="158"/>
      <c r="CT113" s="158"/>
      <c r="CU113" s="155"/>
      <c r="CV113" s="155"/>
      <c r="CW113" s="155"/>
      <c r="CX113" s="155"/>
      <c r="CY113" s="155"/>
      <c r="CZ113" s="155"/>
      <c r="DA113" s="155"/>
      <c r="DB113" s="155"/>
      <c r="DC113" s="155"/>
      <c r="DD113" s="155"/>
      <c r="DE113" s="155"/>
      <c r="DF113" s="155"/>
      <c r="DG113" s="155"/>
      <c r="DH113" s="155"/>
    </row>
    <row r="114" spans="45:112" x14ac:dyDescent="0.3">
      <c r="AS114" s="7" t="s">
        <v>246</v>
      </c>
      <c r="AT114" s="7">
        <v>1</v>
      </c>
      <c r="AU114" s="7">
        <v>2</v>
      </c>
      <c r="AV114" s="7">
        <v>3</v>
      </c>
      <c r="AW114" s="7">
        <v>4</v>
      </c>
      <c r="AX114" s="7">
        <v>5</v>
      </c>
      <c r="AY114" s="7">
        <v>6</v>
      </c>
      <c r="AZ114"/>
      <c r="BA114" s="31"/>
      <c r="BB114" s="31"/>
      <c r="BC114" s="165"/>
      <c r="BD114" s="165"/>
      <c r="BE114" s="165"/>
      <c r="BF114" s="165"/>
      <c r="BG114" s="165"/>
      <c r="BH114" s="155"/>
      <c r="BI114" s="162"/>
      <c r="BJ114" s="155"/>
      <c r="BK114" s="155"/>
      <c r="BL114" s="155"/>
      <c r="BM114" s="155"/>
      <c r="BN114" s="155"/>
      <c r="BO114" s="155"/>
      <c r="BP114" s="155"/>
      <c r="BQ114" s="155"/>
      <c r="BR114" s="155"/>
      <c r="BS114" s="155"/>
      <c r="BT114" s="155"/>
      <c r="BU114" s="155"/>
      <c r="BV114" s="155"/>
      <c r="BW114" s="155"/>
      <c r="BX114" s="155"/>
      <c r="BY114" s="155"/>
      <c r="BZ114" s="155"/>
      <c r="CA114" s="155"/>
      <c r="CB114" s="155"/>
      <c r="CC114" s="155"/>
      <c r="CD114" s="155"/>
      <c r="CE114" s="155"/>
      <c r="CF114" s="155"/>
      <c r="CG114" s="155"/>
      <c r="CH114" s="155"/>
      <c r="CI114" s="155"/>
      <c r="CJ114" s="155"/>
      <c r="CK114" s="155"/>
      <c r="CL114" s="155"/>
      <c r="CM114" s="155"/>
      <c r="CN114" s="155"/>
      <c r="CO114" s="155"/>
      <c r="CP114" s="155"/>
      <c r="CQ114" s="155"/>
      <c r="CR114" s="155"/>
      <c r="CS114" s="155"/>
      <c r="CT114" s="155"/>
      <c r="CU114" s="155"/>
      <c r="CV114" s="155"/>
      <c r="CW114" s="155"/>
      <c r="CX114" s="155"/>
      <c r="CY114" s="155"/>
      <c r="CZ114" s="155"/>
      <c r="DA114" s="155"/>
      <c r="DB114" s="155"/>
      <c r="DC114" s="155"/>
      <c r="DD114" s="155"/>
      <c r="DE114" s="155"/>
      <c r="DF114" s="155"/>
      <c r="DG114" s="155"/>
      <c r="DH114" s="155"/>
    </row>
    <row r="115" spans="45:112" x14ac:dyDescent="0.3">
      <c r="AS115" s="6" t="s">
        <v>198</v>
      </c>
      <c r="AT115" s="6">
        <f>COUNTIFS(R:R,"A",C:C,1)/COUNTIF(C:C,1)</f>
        <v>7.6923076923076927E-2</v>
      </c>
      <c r="AU115" s="6">
        <f>COUNTIFS(R:R,"A",C:C,2)/COUNTIF(C:C,2)</f>
        <v>0.23076923076923078</v>
      </c>
      <c r="AV115" s="6">
        <f>COUNTIFS(R:R,"A",C:C,3)/COUNTIF(C:C,3)</f>
        <v>0</v>
      </c>
      <c r="AW115" s="6">
        <f>COUNTIFS(R:R,"A",C:C,4)/COUNTIF(C:C,4)</f>
        <v>7.6923076923076927E-2</v>
      </c>
      <c r="AX115" s="6">
        <f>COUNTIFS(R:R,"A",C:C,5)/COUNTIF(C:C,5)</f>
        <v>0</v>
      </c>
      <c r="AY115" s="6">
        <f>COUNTIFS(R:R,"A",C:C,6)/COUNTIF(C:C,6)</f>
        <v>0</v>
      </c>
      <c r="AZ115"/>
      <c r="BA115" s="31"/>
      <c r="BB115" s="31"/>
      <c r="BC115" s="165"/>
      <c r="BD115" s="165"/>
      <c r="BE115" s="165"/>
      <c r="BF115" s="165"/>
      <c r="BG115" s="165"/>
      <c r="BH115" s="155"/>
      <c r="BI115" s="155"/>
      <c r="BJ115" s="155"/>
      <c r="BK115" s="155"/>
      <c r="BL115" s="155"/>
      <c r="BM115" s="155"/>
      <c r="BN115" s="155"/>
      <c r="BO115" s="155"/>
      <c r="BP115" s="155"/>
      <c r="BQ115" s="155"/>
      <c r="BR115" s="155"/>
      <c r="BS115" s="155"/>
      <c r="BT115" s="155"/>
      <c r="BU115" s="155"/>
      <c r="BV115" s="155"/>
      <c r="BW115" s="155"/>
      <c r="BX115" s="155"/>
      <c r="BY115" s="155"/>
      <c r="BZ115" s="155"/>
      <c r="CA115" s="155"/>
      <c r="CB115" s="155"/>
      <c r="CC115" s="155"/>
      <c r="CD115" s="155"/>
      <c r="CE115" s="155"/>
      <c r="CF115" s="155"/>
      <c r="CG115" s="155"/>
      <c r="CH115" s="155"/>
      <c r="CI115" s="155"/>
      <c r="CJ115" s="155"/>
      <c r="CK115" s="155"/>
      <c r="CL115" s="155"/>
      <c r="CM115" s="155"/>
      <c r="CN115" s="155"/>
      <c r="CO115" s="155"/>
      <c r="CP115" s="155"/>
      <c r="CQ115" s="155"/>
      <c r="CR115" s="155"/>
      <c r="CS115" s="155"/>
      <c r="CT115" s="155"/>
      <c r="CU115" s="155"/>
      <c r="CV115" s="155"/>
      <c r="CW115" s="155"/>
      <c r="CX115" s="155"/>
      <c r="CY115" s="155"/>
      <c r="CZ115" s="155"/>
      <c r="DA115" s="155"/>
      <c r="DB115" s="155"/>
      <c r="DC115" s="155"/>
      <c r="DD115" s="155"/>
      <c r="DE115" s="155"/>
      <c r="DF115" s="155"/>
      <c r="DG115" s="155"/>
      <c r="DH115" s="155"/>
    </row>
    <row r="116" spans="45:112" x14ac:dyDescent="0.3">
      <c r="AS116" s="6" t="s">
        <v>199</v>
      </c>
      <c r="AT116" s="6">
        <f>COUNTIFS(R:R,"B",C:C,1)/COUNTIF(C:C,1)</f>
        <v>0.61538461538461542</v>
      </c>
      <c r="AU116" s="6">
        <f>COUNTIFS(R:R,"B",C:C,2)/COUNTIF(C:C,2)</f>
        <v>0.23076923076923078</v>
      </c>
      <c r="AV116" s="6">
        <f>COUNTIFS(R:R,"B",C:C,3)/COUNTIF(C:C,3)</f>
        <v>0.23076923076923078</v>
      </c>
      <c r="AW116" s="6">
        <f>COUNTIFS(R:R,"B",C:C,4)/COUNTIF(C:C,4)</f>
        <v>0.23076923076923078</v>
      </c>
      <c r="AX116" s="6">
        <f>COUNTIFS(R:R,"B",C:C,5)/COUNTIF(C:C,5)</f>
        <v>0.15384615384615385</v>
      </c>
      <c r="AY116" s="6">
        <f>COUNTIFS(R:R,"B",C:C,6)/COUNTIF(C:C,6)</f>
        <v>0.23076923076923078</v>
      </c>
      <c r="AZ116"/>
      <c r="BA116" s="31"/>
      <c r="BB116" s="31"/>
      <c r="BC116" s="165"/>
      <c r="BD116" s="165"/>
      <c r="BE116" s="165"/>
      <c r="BF116" s="165"/>
      <c r="BG116" s="165"/>
      <c r="BH116" s="155"/>
      <c r="BI116" s="161"/>
      <c r="BJ116" s="155"/>
      <c r="BK116" s="155"/>
      <c r="BL116" s="155"/>
      <c r="BM116" s="155"/>
      <c r="BN116" s="155"/>
      <c r="BO116" s="155"/>
      <c r="BP116" s="155"/>
      <c r="BQ116" s="155"/>
      <c r="BR116" s="155"/>
      <c r="BS116" s="155"/>
      <c r="BT116" s="155"/>
      <c r="BU116" s="155"/>
      <c r="BV116" s="155"/>
      <c r="BW116" s="155"/>
      <c r="BX116" s="155"/>
      <c r="BY116" s="155"/>
      <c r="BZ116" s="155"/>
      <c r="CA116" s="155"/>
      <c r="CB116" s="155"/>
      <c r="CC116" s="155"/>
      <c r="CD116" s="155"/>
      <c r="CE116" s="155"/>
      <c r="CF116" s="155"/>
      <c r="CG116" s="155"/>
      <c r="CH116" s="155"/>
      <c r="CI116" s="155"/>
      <c r="CJ116" s="155"/>
      <c r="CK116" s="155"/>
      <c r="CL116" s="155"/>
      <c r="CM116" s="155"/>
      <c r="CN116" s="155"/>
      <c r="CO116" s="155"/>
      <c r="CP116" s="155"/>
      <c r="CQ116" s="155"/>
      <c r="CR116" s="155"/>
      <c r="CS116" s="155"/>
      <c r="CT116" s="155"/>
      <c r="CU116" s="155"/>
      <c r="CV116" s="155"/>
      <c r="CW116" s="155"/>
      <c r="CX116" s="155"/>
      <c r="CY116" s="155"/>
      <c r="CZ116" s="155"/>
      <c r="DA116" s="155"/>
      <c r="DB116" s="155"/>
      <c r="DC116" s="155"/>
      <c r="DD116" s="155"/>
      <c r="DE116" s="155"/>
      <c r="DF116" s="155"/>
      <c r="DG116" s="155"/>
      <c r="DH116" s="155"/>
    </row>
    <row r="117" spans="45:112" x14ac:dyDescent="0.3">
      <c r="AS117" s="6" t="s">
        <v>200</v>
      </c>
      <c r="AT117" s="6">
        <f>COUNTIFS(R:R,"C",C:C,1)/COUNTIF(C:C,1)</f>
        <v>0.30769230769230771</v>
      </c>
      <c r="AU117" s="6">
        <f>COUNTIFS(R:R,"C",C:C,2)/COUNTIF(C:C,2)</f>
        <v>0.15384615384615385</v>
      </c>
      <c r="AV117" s="6">
        <f>COUNTIFS(R:R,"C",C:C,3)/COUNTIF(C:C,3)</f>
        <v>0.38461538461538464</v>
      </c>
      <c r="AW117" s="6">
        <f>COUNTIFS(R:R,"C",C:C,4)/COUNTIF(C:C,4)</f>
        <v>0.46153846153846156</v>
      </c>
      <c r="AX117" s="6">
        <f>COUNTIFS(R:R,"C",C:C,5)/COUNTIF(C:C,5)</f>
        <v>0.38461538461538464</v>
      </c>
      <c r="AY117" s="6">
        <f>COUNTIFS(R:R,"C",C:C,6)/COUNTIF(C:C,6)</f>
        <v>0.30769230769230771</v>
      </c>
      <c r="AZ117"/>
      <c r="BA117" s="31"/>
      <c r="BB117" s="31"/>
      <c r="BC117" s="165"/>
      <c r="BD117" s="165"/>
      <c r="BE117" s="165"/>
      <c r="BF117" s="165"/>
      <c r="BG117" s="165"/>
      <c r="BH117" s="155"/>
      <c r="BI117" s="155"/>
      <c r="BJ117" s="155"/>
      <c r="BK117" s="155"/>
      <c r="BL117" s="155"/>
      <c r="BM117" s="155"/>
      <c r="BN117" s="155"/>
      <c r="BO117" s="155"/>
      <c r="BP117" s="155"/>
      <c r="BQ117" s="155"/>
      <c r="BR117" s="155"/>
      <c r="BS117" s="155"/>
      <c r="BT117" s="155"/>
      <c r="BU117" s="155"/>
      <c r="BV117" s="155"/>
      <c r="BW117" s="155"/>
      <c r="BX117" s="155"/>
      <c r="BY117" s="155"/>
      <c r="BZ117" s="155"/>
      <c r="CA117" s="155"/>
      <c r="CB117" s="155"/>
      <c r="CC117" s="155"/>
      <c r="CD117" s="155"/>
      <c r="CE117" s="155"/>
      <c r="CF117" s="155"/>
      <c r="CG117" s="155"/>
      <c r="CH117" s="155"/>
      <c r="CI117" s="155"/>
      <c r="CJ117" s="155"/>
      <c r="CK117" s="155"/>
      <c r="CL117" s="155"/>
      <c r="CM117" s="155"/>
      <c r="CN117" s="155"/>
      <c r="CO117" s="155"/>
      <c r="CP117" s="155"/>
      <c r="CQ117" s="155"/>
      <c r="CR117" s="155"/>
      <c r="CS117" s="155"/>
      <c r="CT117" s="155"/>
      <c r="CU117" s="155"/>
      <c r="CV117" s="155"/>
      <c r="CW117" s="155"/>
      <c r="CX117" s="155"/>
      <c r="CY117" s="155"/>
      <c r="CZ117" s="155"/>
      <c r="DA117" s="155"/>
      <c r="DB117" s="155"/>
      <c r="DC117" s="155"/>
      <c r="DD117" s="155"/>
      <c r="DE117" s="155"/>
      <c r="DF117" s="155"/>
      <c r="DG117" s="155"/>
      <c r="DH117" s="155"/>
    </row>
    <row r="118" spans="45:112" x14ac:dyDescent="0.3">
      <c r="AS118" s="6" t="s">
        <v>201</v>
      </c>
      <c r="AT118" s="6">
        <f>COUNTIFS(R:R,"D",C:C,1)/COUNTIF(C:C,1)</f>
        <v>0</v>
      </c>
      <c r="AU118" s="6">
        <f>COUNTIFS(R:R,"D",C:C,2)/COUNTIF(C:C,2)</f>
        <v>0.38461538461538464</v>
      </c>
      <c r="AV118" s="6">
        <f>COUNTIFS(R:R,"D",C:C,3)/COUNTIF(C:C,3)</f>
        <v>0.38461538461538464</v>
      </c>
      <c r="AW118" s="6">
        <f>COUNTIFS(R:R,"D",C:C,4)/COUNTIF(C:C,4)</f>
        <v>0.23076923076923078</v>
      </c>
      <c r="AX118" s="6">
        <f>COUNTIFS(R:R,"D",C:C,5)/COUNTIF(C:C,5)</f>
        <v>0.46153846153846156</v>
      </c>
      <c r="AY118" s="6">
        <f>COUNTIFS(R:R,"D",C:C,6)/COUNTIF(C:C,6)</f>
        <v>0.46153846153846156</v>
      </c>
      <c r="AZ118"/>
      <c r="BA118" s="31"/>
      <c r="BB118" s="31"/>
      <c r="BC118" s="165"/>
      <c r="BD118" s="165"/>
      <c r="BE118" s="165"/>
      <c r="BF118" s="165"/>
      <c r="BG118" s="165"/>
      <c r="BH118" s="155"/>
      <c r="BI118" s="161"/>
      <c r="BJ118" s="155"/>
      <c r="BK118" s="155"/>
      <c r="BL118" s="155"/>
      <c r="BM118" s="155"/>
      <c r="BN118" s="155"/>
      <c r="BO118" s="155"/>
      <c r="BP118" s="155"/>
      <c r="BQ118" s="155"/>
      <c r="BR118" s="155"/>
      <c r="BS118" s="155"/>
      <c r="BT118" s="155"/>
      <c r="BU118" s="155"/>
      <c r="BV118" s="155"/>
      <c r="BW118" s="155"/>
      <c r="BX118" s="155"/>
      <c r="BY118" s="155"/>
      <c r="BZ118" s="155"/>
      <c r="CA118" s="155"/>
      <c r="CB118" s="155"/>
      <c r="CC118" s="155"/>
      <c r="CD118" s="155"/>
      <c r="CE118" s="155"/>
      <c r="CF118" s="155"/>
      <c r="CG118" s="155"/>
      <c r="CH118" s="155"/>
      <c r="CI118" s="155"/>
      <c r="CJ118" s="155"/>
      <c r="CK118" s="155"/>
      <c r="CL118" s="155"/>
      <c r="CM118" s="155"/>
      <c r="CN118" s="155"/>
      <c r="CO118" s="155"/>
      <c r="CP118" s="155"/>
      <c r="CQ118" s="155"/>
      <c r="CR118" s="155"/>
      <c r="CS118" s="155"/>
      <c r="CT118" s="155"/>
      <c r="CU118" s="155"/>
      <c r="CV118" s="155"/>
      <c r="CW118" s="155"/>
      <c r="CX118" s="155"/>
      <c r="CY118" s="155"/>
      <c r="CZ118" s="155"/>
      <c r="DA118" s="155"/>
      <c r="DB118" s="155"/>
      <c r="DC118" s="155"/>
      <c r="DD118" s="155"/>
      <c r="DE118" s="155"/>
      <c r="DF118" s="155"/>
      <c r="DG118" s="155"/>
      <c r="DH118" s="155"/>
    </row>
    <row r="119" spans="45:112" x14ac:dyDescent="0.3">
      <c r="AZ119"/>
      <c r="BA119" s="33"/>
      <c r="BB119" s="33"/>
      <c r="BC119" s="164"/>
      <c r="BD119" s="164"/>
      <c r="BE119" s="164"/>
      <c r="BF119" s="164"/>
      <c r="BG119" s="164"/>
      <c r="BH119" s="155"/>
      <c r="BI119" s="155"/>
      <c r="BJ119" s="155"/>
      <c r="BK119" s="155"/>
      <c r="BL119" s="155"/>
      <c r="BM119" s="155"/>
      <c r="BN119" s="155"/>
      <c r="BO119" s="155"/>
      <c r="BP119" s="155"/>
      <c r="BQ119" s="155"/>
      <c r="BR119" s="155"/>
      <c r="BS119" s="155"/>
      <c r="BT119" s="155"/>
      <c r="BU119" s="155"/>
      <c r="BV119" s="155"/>
      <c r="BW119" s="155"/>
      <c r="BX119" s="155"/>
      <c r="BY119" s="155"/>
      <c r="BZ119" s="155"/>
      <c r="CA119" s="155"/>
      <c r="CB119" s="155"/>
      <c r="CC119" s="155"/>
      <c r="CD119" s="155"/>
      <c r="CE119" s="155"/>
      <c r="CF119" s="155"/>
      <c r="CG119" s="155"/>
      <c r="CH119" s="155"/>
      <c r="CI119" s="155"/>
      <c r="CJ119" s="155"/>
      <c r="CK119" s="155"/>
      <c r="CL119" s="155"/>
      <c r="CM119" s="155"/>
      <c r="CN119" s="155"/>
      <c r="CO119" s="155"/>
      <c r="CP119" s="155"/>
      <c r="CQ119" s="155"/>
      <c r="CR119" s="155"/>
      <c r="CS119" s="155"/>
      <c r="CT119" s="155"/>
      <c r="CU119" s="155"/>
      <c r="CV119" s="155"/>
      <c r="CW119" s="155"/>
      <c r="CX119" s="155"/>
      <c r="CY119" s="155"/>
      <c r="CZ119" s="155"/>
      <c r="DA119" s="155"/>
      <c r="DB119" s="155"/>
      <c r="DC119" s="155"/>
      <c r="DD119" s="155"/>
      <c r="DE119" s="155"/>
      <c r="DF119" s="155"/>
      <c r="DG119" s="155"/>
      <c r="DH119" s="155"/>
    </row>
    <row r="120" spans="45:112" x14ac:dyDescent="0.3">
      <c r="AS120" s="7" t="s">
        <v>247</v>
      </c>
      <c r="AT120" s="7">
        <v>1</v>
      </c>
      <c r="AU120" s="7">
        <v>2</v>
      </c>
      <c r="AV120" s="7">
        <v>3</v>
      </c>
      <c r="AW120" s="7">
        <v>4</v>
      </c>
      <c r="AX120" s="7">
        <v>5</v>
      </c>
      <c r="AY120" s="7">
        <v>6</v>
      </c>
      <c r="AZ120"/>
      <c r="BA120" s="31"/>
      <c r="BB120" s="31"/>
      <c r="BC120" s="165"/>
      <c r="BD120" s="165"/>
      <c r="BE120" s="165"/>
      <c r="BF120" s="165"/>
      <c r="BG120" s="165"/>
      <c r="BH120" s="155"/>
      <c r="BI120" s="161"/>
      <c r="BJ120" s="155"/>
      <c r="BK120" s="155"/>
      <c r="BL120" s="155"/>
      <c r="BM120" s="155"/>
      <c r="BN120" s="155"/>
      <c r="BO120" s="155"/>
      <c r="BP120" s="155"/>
      <c r="BQ120" s="155"/>
      <c r="BR120" s="155"/>
      <c r="BS120" s="155"/>
      <c r="BT120" s="155"/>
      <c r="BU120" s="155"/>
      <c r="BV120" s="155"/>
      <c r="BW120" s="155"/>
      <c r="BX120" s="155"/>
      <c r="BY120" s="155"/>
      <c r="BZ120" s="155"/>
      <c r="CA120" s="155"/>
      <c r="CB120" s="155"/>
      <c r="CC120" s="155"/>
      <c r="CD120" s="155"/>
      <c r="CE120" s="155"/>
      <c r="CF120" s="155"/>
      <c r="CG120" s="155"/>
      <c r="CH120" s="155"/>
      <c r="CI120" s="155"/>
      <c r="CJ120" s="155"/>
      <c r="CK120" s="155"/>
      <c r="CL120" s="155"/>
      <c r="CM120" s="155"/>
      <c r="CN120" s="155"/>
      <c r="CO120" s="155"/>
      <c r="CP120" s="155"/>
      <c r="CQ120" s="155"/>
      <c r="CR120" s="155"/>
      <c r="CS120" s="155"/>
      <c r="CT120" s="155"/>
      <c r="CU120" s="155"/>
      <c r="CV120" s="155"/>
      <c r="CW120" s="155"/>
      <c r="CX120" s="155"/>
      <c r="CY120" s="155"/>
      <c r="CZ120" s="155"/>
      <c r="DA120" s="155"/>
      <c r="DB120" s="155"/>
      <c r="DC120" s="155"/>
      <c r="DD120" s="155"/>
      <c r="DE120" s="155"/>
      <c r="DF120" s="155"/>
      <c r="DG120" s="155"/>
      <c r="DH120" s="155"/>
    </row>
    <row r="121" spans="45:112" x14ac:dyDescent="0.3">
      <c r="AS121" s="6" t="s">
        <v>202</v>
      </c>
      <c r="AT121" s="6">
        <f>COUNTIFS(S:S,"A",C:C,1)/COUNTIF(C:C,1)</f>
        <v>0</v>
      </c>
      <c r="AU121" s="6">
        <f>COUNTIFS(S:S,"A",C:C,2)/COUNTIF(C:C,2)</f>
        <v>0</v>
      </c>
      <c r="AV121" s="6">
        <f>COUNTIFS(S:S,"A",C:C,3)/COUNTIF(C:C,3)</f>
        <v>0</v>
      </c>
      <c r="AW121" s="6">
        <f>COUNTIFS(S:S,"A",C:C,4)/COUNTIF(C:C,4)</f>
        <v>0</v>
      </c>
      <c r="AX121" s="6">
        <f>COUNTIFS(S:S,"A",C:C,5)/COUNTIF(C:C,5)</f>
        <v>0</v>
      </c>
      <c r="AY121" s="6">
        <f>COUNTIFS(S:S,"A",C:C,6)/COUNTIF(C:C,6)</f>
        <v>0</v>
      </c>
      <c r="AZ121"/>
      <c r="BA121" s="31"/>
      <c r="BB121" s="31"/>
      <c r="BC121" s="165"/>
      <c r="BD121" s="165"/>
      <c r="BE121" s="165"/>
      <c r="BF121" s="165"/>
      <c r="BG121" s="165"/>
      <c r="BH121" s="155"/>
      <c r="BI121" s="155"/>
      <c r="BJ121" s="155"/>
      <c r="BK121" s="155"/>
      <c r="BL121" s="155"/>
      <c r="BM121" s="155"/>
      <c r="BN121" s="155"/>
      <c r="BO121" s="155"/>
      <c r="BP121" s="155"/>
      <c r="BQ121" s="155"/>
      <c r="BR121" s="155"/>
      <c r="BS121" s="155"/>
      <c r="BT121" s="155"/>
      <c r="BU121" s="155"/>
      <c r="BV121" s="155"/>
      <c r="BW121" s="155"/>
      <c r="BX121" s="155"/>
      <c r="BY121" s="155"/>
      <c r="BZ121" s="155"/>
      <c r="CA121" s="155"/>
      <c r="CB121" s="155"/>
      <c r="CC121" s="155"/>
      <c r="CD121" s="155"/>
      <c r="CE121" s="155"/>
      <c r="CF121" s="155"/>
      <c r="CG121" s="155"/>
      <c r="CH121" s="155"/>
      <c r="CI121" s="155"/>
      <c r="CJ121" s="155"/>
      <c r="CK121" s="155"/>
      <c r="CL121" s="155"/>
      <c r="CM121" s="155"/>
      <c r="CN121" s="155"/>
      <c r="CO121" s="155"/>
      <c r="CP121" s="155"/>
      <c r="CQ121" s="155"/>
      <c r="CR121" s="155"/>
      <c r="CS121" s="155"/>
      <c r="CT121" s="155"/>
      <c r="CU121" s="155"/>
      <c r="CV121" s="155"/>
      <c r="CW121" s="155"/>
      <c r="CX121" s="155"/>
      <c r="CY121" s="155"/>
      <c r="CZ121" s="155"/>
      <c r="DA121" s="155"/>
      <c r="DB121" s="155"/>
      <c r="DC121" s="155"/>
      <c r="DD121" s="155"/>
      <c r="DE121" s="155"/>
      <c r="DF121" s="155"/>
      <c r="DG121" s="155"/>
      <c r="DH121" s="155"/>
    </row>
    <row r="122" spans="45:112" x14ac:dyDescent="0.3">
      <c r="AS122" s="6" t="s">
        <v>203</v>
      </c>
      <c r="AT122" s="6">
        <f>COUNTIFS(S:S,"B",C:C,1)/COUNTIF(C:C,1)</f>
        <v>0</v>
      </c>
      <c r="AU122" s="6">
        <f>COUNTIFS(S:S,"B",C:C,2)/COUNTIF(C:C,2)</f>
        <v>0</v>
      </c>
      <c r="AV122" s="6">
        <f>COUNTIFS(S:S,"B",C:C,3)/COUNTIF(C:C,3)</f>
        <v>0</v>
      </c>
      <c r="AW122" s="6">
        <f>COUNTIFS(S:S,"B",C:C,4)/COUNTIF(C:C,4)</f>
        <v>0</v>
      </c>
      <c r="AX122" s="6">
        <f>COUNTIFS(S:S,"B",C:C,5)/COUNTIF(C:C,5)</f>
        <v>0</v>
      </c>
      <c r="AY122" s="6">
        <f>COUNTIFS(S:S,"B",C:C,6)/COUNTIF(C:C,6)</f>
        <v>0</v>
      </c>
      <c r="AZ122"/>
      <c r="BA122" s="31"/>
      <c r="BB122" s="31"/>
      <c r="BC122" s="165"/>
      <c r="BD122" s="165"/>
      <c r="BE122" s="165"/>
      <c r="BF122" s="165"/>
      <c r="BG122" s="165"/>
      <c r="BH122" s="155"/>
      <c r="BI122" s="161"/>
      <c r="BJ122" s="155"/>
      <c r="BK122" s="155"/>
      <c r="BL122" s="155"/>
      <c r="BM122" s="155"/>
      <c r="BN122" s="155"/>
      <c r="BO122" s="155"/>
      <c r="BP122" s="155"/>
      <c r="BQ122" s="155"/>
      <c r="BR122" s="155"/>
      <c r="BS122" s="155"/>
      <c r="BT122" s="155"/>
      <c r="BU122" s="155"/>
      <c r="BV122" s="155"/>
      <c r="BW122" s="155"/>
      <c r="BX122" s="155"/>
      <c r="BY122" s="155"/>
      <c r="BZ122" s="155"/>
      <c r="CA122" s="155"/>
      <c r="CB122" s="155"/>
      <c r="CC122" s="155"/>
      <c r="CD122" s="155"/>
      <c r="CE122" s="155"/>
      <c r="CF122" s="155"/>
      <c r="CG122" s="155"/>
      <c r="CH122" s="155"/>
      <c r="CI122" s="155"/>
      <c r="CJ122" s="155"/>
      <c r="CK122" s="155"/>
      <c r="CL122" s="155"/>
      <c r="CM122" s="155"/>
      <c r="CN122" s="155"/>
      <c r="CO122" s="155"/>
      <c r="CP122" s="155"/>
      <c r="CQ122" s="155"/>
      <c r="CR122" s="155"/>
      <c r="CS122" s="155"/>
      <c r="CT122" s="155"/>
      <c r="CU122" s="155"/>
      <c r="CV122" s="155"/>
      <c r="CW122" s="155"/>
      <c r="CX122" s="155"/>
      <c r="CY122" s="155"/>
      <c r="CZ122" s="155"/>
      <c r="DA122" s="155"/>
      <c r="DB122" s="155"/>
      <c r="DC122" s="155"/>
      <c r="DD122" s="155"/>
      <c r="DE122" s="155"/>
      <c r="DF122" s="155"/>
      <c r="DG122" s="155"/>
      <c r="DH122" s="155"/>
    </row>
    <row r="123" spans="45:112" x14ac:dyDescent="0.3">
      <c r="AS123" s="6" t="s">
        <v>204</v>
      </c>
      <c r="AT123" s="6">
        <f>COUNTIFS(S:S,"C",C:C,1)/COUNTIF(C:C,1)</f>
        <v>7.6923076923076927E-2</v>
      </c>
      <c r="AU123" s="6">
        <f>COUNTIFS(S:S,"C",C:C,2)/COUNTIF(C:C,2)</f>
        <v>0</v>
      </c>
      <c r="AV123" s="6">
        <f>COUNTIFS(S:S,"C",C:C,3)/COUNTIF(C:C,3)</f>
        <v>0.15384615384615385</v>
      </c>
      <c r="AW123" s="6">
        <f>COUNTIFS(S:S,"C",C:C,4)/COUNTIF(C:C,4)</f>
        <v>0</v>
      </c>
      <c r="AX123" s="6">
        <f>COUNTIFS(S:S,"C",C:C,5)/COUNTIF(C:C,5)</f>
        <v>7.6923076923076927E-2</v>
      </c>
      <c r="AY123" s="6">
        <f>COUNTIFS(S:S,"C",C:C,6)/COUNTIF(C:C,6)</f>
        <v>0</v>
      </c>
      <c r="AZ123"/>
      <c r="BA123" s="31"/>
      <c r="BB123" s="31"/>
      <c r="BC123" s="165"/>
      <c r="BD123" s="165"/>
      <c r="BE123" s="165"/>
      <c r="BF123" s="165"/>
      <c r="BG123" s="165"/>
      <c r="BH123" s="155"/>
      <c r="BI123" s="155"/>
      <c r="BJ123" s="155"/>
      <c r="BK123" s="155"/>
      <c r="BL123" s="155"/>
      <c r="BM123" s="155"/>
      <c r="BN123" s="155"/>
      <c r="BO123" s="155"/>
      <c r="BP123" s="155"/>
      <c r="BQ123" s="155"/>
      <c r="BR123" s="155"/>
      <c r="BS123" s="155"/>
      <c r="BT123" s="155"/>
      <c r="BU123" s="155"/>
      <c r="BV123" s="155"/>
      <c r="BW123" s="155"/>
      <c r="BX123" s="155"/>
      <c r="BY123" s="155"/>
      <c r="BZ123" s="155"/>
      <c r="CA123" s="155"/>
      <c r="CB123" s="155"/>
      <c r="CC123" s="155"/>
      <c r="CD123" s="155"/>
      <c r="CE123" s="155"/>
      <c r="CF123" s="155"/>
      <c r="CG123" s="155"/>
      <c r="CH123" s="155"/>
      <c r="CI123" s="155"/>
      <c r="CJ123" s="155"/>
      <c r="CK123" s="155"/>
      <c r="CL123" s="155"/>
      <c r="CM123" s="155"/>
      <c r="CN123" s="155"/>
      <c r="CO123" s="155"/>
      <c r="CP123" s="155"/>
      <c r="CQ123" s="155"/>
      <c r="CR123" s="155"/>
      <c r="CS123" s="155"/>
      <c r="CT123" s="155"/>
      <c r="CU123" s="155"/>
      <c r="CV123" s="155"/>
      <c r="CW123" s="155"/>
      <c r="CX123" s="155"/>
      <c r="CY123" s="155"/>
      <c r="CZ123" s="155"/>
      <c r="DA123" s="155"/>
      <c r="DB123" s="155"/>
      <c r="DC123" s="155"/>
      <c r="DD123" s="155"/>
      <c r="DE123" s="155"/>
      <c r="DF123" s="155"/>
      <c r="DG123" s="155"/>
      <c r="DH123" s="155"/>
    </row>
    <row r="124" spans="45:112" x14ac:dyDescent="0.3">
      <c r="AS124" s="6" t="s">
        <v>205</v>
      </c>
      <c r="AT124" s="6">
        <f>COUNTIFS(S:S,"D",C:C,1)/COUNTIF(C:C,1)</f>
        <v>0.92307692307692313</v>
      </c>
      <c r="AU124" s="6">
        <f>COUNTIFS(S:S,"D",C:C,2)/COUNTIF(C:C,2)</f>
        <v>1</v>
      </c>
      <c r="AV124" s="6">
        <f>COUNTIFS(S:S,"D",C:C,3)/COUNTIF(C:C,3)</f>
        <v>0.84615384615384615</v>
      </c>
      <c r="AW124" s="6">
        <f>COUNTIFS(S:S,"D",C:C,4)/COUNTIF(C:C,4)</f>
        <v>1</v>
      </c>
      <c r="AX124" s="6">
        <f>COUNTIFS(S:S,"D",C:C,5)/COUNTIF(C:C,5)</f>
        <v>0.92307692307692313</v>
      </c>
      <c r="AY124" s="6">
        <f>COUNTIFS(S:S,"D",C:C,6)/COUNTIF(C:C,6)</f>
        <v>1</v>
      </c>
      <c r="AZ124"/>
      <c r="BA124" s="31"/>
      <c r="BB124" s="31"/>
      <c r="BC124" s="165"/>
      <c r="BD124" s="165"/>
      <c r="BE124" s="165"/>
      <c r="BF124" s="165"/>
      <c r="BG124" s="165"/>
      <c r="BH124" s="155"/>
      <c r="BI124" s="161"/>
      <c r="BJ124" s="155"/>
      <c r="BK124" s="155"/>
      <c r="BL124" s="155"/>
      <c r="BM124" s="155"/>
      <c r="BN124" s="155"/>
      <c r="BO124" s="155"/>
      <c r="BP124" s="155"/>
      <c r="BQ124" s="155"/>
      <c r="BR124" s="155"/>
      <c r="BS124" s="155"/>
      <c r="BT124" s="155"/>
      <c r="BU124" s="155"/>
      <c r="BV124" s="155"/>
      <c r="BW124" s="155"/>
      <c r="BX124" s="155"/>
      <c r="BY124" s="155"/>
      <c r="BZ124" s="155"/>
      <c r="CA124" s="155"/>
      <c r="CB124" s="155"/>
      <c r="CC124" s="155"/>
      <c r="CD124" s="155"/>
      <c r="CE124" s="155"/>
      <c r="CF124" s="155"/>
      <c r="CG124" s="155"/>
      <c r="CH124" s="155"/>
      <c r="CI124" s="155"/>
      <c r="CJ124" s="155"/>
      <c r="CK124" s="155"/>
      <c r="CL124" s="155"/>
      <c r="CM124" s="155"/>
      <c r="CN124" s="155"/>
      <c r="CO124" s="155"/>
      <c r="CP124" s="155"/>
      <c r="CQ124" s="155"/>
      <c r="CR124" s="155"/>
      <c r="CS124" s="155"/>
      <c r="CT124" s="155"/>
      <c r="CU124" s="155"/>
      <c r="CV124" s="155"/>
      <c r="CW124" s="155"/>
      <c r="CX124" s="155"/>
      <c r="CY124" s="155"/>
      <c r="CZ124" s="155"/>
      <c r="DA124" s="155"/>
      <c r="DB124" s="155"/>
      <c r="DC124" s="155"/>
      <c r="DD124" s="155"/>
      <c r="DE124" s="155"/>
      <c r="DF124" s="155"/>
      <c r="DG124" s="155"/>
      <c r="DH124" s="155"/>
    </row>
    <row r="125" spans="45:112" x14ac:dyDescent="0.3">
      <c r="AZ125"/>
      <c r="BA125" s="33"/>
      <c r="BB125" s="33"/>
      <c r="BC125" s="164"/>
      <c r="BD125" s="164"/>
      <c r="BE125" s="164"/>
      <c r="BF125" s="164"/>
      <c r="BG125" s="164"/>
      <c r="BH125" s="155"/>
      <c r="BI125" s="155"/>
      <c r="BJ125" s="155"/>
      <c r="BK125" s="155"/>
      <c r="BL125" s="155"/>
      <c r="BM125" s="155"/>
      <c r="BN125" s="155"/>
      <c r="BO125" s="155"/>
      <c r="BP125" s="155"/>
      <c r="BQ125" s="155"/>
      <c r="BR125" s="155"/>
      <c r="BS125" s="155"/>
      <c r="BT125" s="155"/>
      <c r="BU125" s="155"/>
      <c r="BV125" s="155"/>
      <c r="BW125" s="155"/>
      <c r="BX125" s="155"/>
      <c r="BY125" s="155"/>
      <c r="BZ125" s="155"/>
      <c r="CA125" s="155"/>
      <c r="CB125" s="155"/>
      <c r="CC125" s="155"/>
      <c r="CD125" s="155"/>
      <c r="CE125" s="155"/>
      <c r="CF125" s="155"/>
      <c r="CG125" s="155"/>
      <c r="CH125" s="155"/>
      <c r="CI125" s="155"/>
      <c r="CJ125" s="155"/>
      <c r="CK125" s="155"/>
      <c r="CL125" s="155"/>
      <c r="CM125" s="155"/>
      <c r="CN125" s="155"/>
      <c r="CO125" s="155"/>
      <c r="CP125" s="155"/>
      <c r="CQ125" s="155"/>
      <c r="CR125" s="155"/>
      <c r="CS125" s="155"/>
      <c r="CT125" s="155"/>
      <c r="CU125" s="155"/>
      <c r="CV125" s="155"/>
      <c r="CW125" s="155"/>
      <c r="CX125" s="155"/>
      <c r="CY125" s="155"/>
      <c r="CZ125" s="155"/>
      <c r="DA125" s="155"/>
      <c r="DB125" s="155"/>
      <c r="DC125" s="155"/>
      <c r="DD125" s="155"/>
      <c r="DE125" s="155"/>
      <c r="DF125" s="155"/>
      <c r="DG125" s="155"/>
      <c r="DH125" s="155"/>
    </row>
    <row r="126" spans="45:112" x14ac:dyDescent="0.3">
      <c r="AS126" s="7" t="s">
        <v>248</v>
      </c>
      <c r="AT126" s="7">
        <v>1</v>
      </c>
      <c r="AU126" s="7">
        <v>2</v>
      </c>
      <c r="AV126" s="7">
        <v>3</v>
      </c>
      <c r="AW126" s="7">
        <v>4</v>
      </c>
      <c r="AX126" s="7">
        <v>5</v>
      </c>
      <c r="AY126" s="7">
        <v>6</v>
      </c>
      <c r="AZ126"/>
      <c r="BA126" s="31"/>
      <c r="BB126" s="31"/>
      <c r="BC126" s="165"/>
      <c r="BD126" s="165"/>
      <c r="BE126" s="165"/>
      <c r="BF126" s="165"/>
      <c r="BG126" s="165"/>
      <c r="BH126" s="155"/>
      <c r="BI126" s="161"/>
      <c r="BJ126" s="155"/>
      <c r="BK126" s="155"/>
      <c r="BL126" s="155"/>
      <c r="BM126" s="155"/>
      <c r="BN126" s="155"/>
      <c r="BO126" s="155"/>
      <c r="BP126" s="155"/>
      <c r="BQ126" s="155"/>
      <c r="BR126" s="155"/>
      <c r="BS126" s="155"/>
      <c r="BT126" s="155"/>
      <c r="BU126" s="155"/>
      <c r="BV126" s="155"/>
      <c r="BW126" s="155"/>
      <c r="BX126" s="155"/>
      <c r="BY126" s="155"/>
      <c r="BZ126" s="155"/>
      <c r="CA126" s="155"/>
      <c r="CB126" s="155"/>
      <c r="CC126" s="155"/>
      <c r="CD126" s="155"/>
      <c r="CE126" s="155"/>
      <c r="CF126" s="155"/>
      <c r="CG126" s="155"/>
      <c r="CH126" s="155"/>
      <c r="CI126" s="155"/>
      <c r="CJ126" s="155"/>
      <c r="CK126" s="155"/>
      <c r="CL126" s="155"/>
      <c r="CM126" s="155"/>
      <c r="CN126" s="155"/>
      <c r="CO126" s="155"/>
      <c r="CP126" s="155"/>
      <c r="CQ126" s="155"/>
      <c r="CR126" s="155"/>
      <c r="CS126" s="155"/>
      <c r="CT126" s="155"/>
      <c r="CU126" s="155"/>
      <c r="CV126" s="155"/>
      <c r="CW126" s="155"/>
      <c r="CX126" s="155"/>
      <c r="CY126" s="155"/>
      <c r="CZ126" s="155"/>
      <c r="DA126" s="155"/>
      <c r="DB126" s="155"/>
      <c r="DC126" s="155"/>
      <c r="DD126" s="155"/>
      <c r="DE126" s="155"/>
      <c r="DF126" s="155"/>
      <c r="DG126" s="155"/>
      <c r="DH126" s="155"/>
    </row>
    <row r="127" spans="45:112" x14ac:dyDescent="0.3">
      <c r="AS127" s="6" t="s">
        <v>206</v>
      </c>
      <c r="AT127" s="6">
        <f>COUNTIFS(T:T,"A",C:C,1)/COUNTIF(C:C,1)</f>
        <v>0</v>
      </c>
      <c r="AU127" s="6">
        <f>COUNTIFS(T:T,"A",C:C,2)/COUNTIF(C:C,2)</f>
        <v>0</v>
      </c>
      <c r="AV127" s="6">
        <f>COUNTIFS(T:T,"A",C:C,3)/COUNTIF(C:C,3)</f>
        <v>0</v>
      </c>
      <c r="AW127" s="6">
        <f>COUNTIFS(T:T,"A",C:C,4)/COUNTIF(C:C,4)</f>
        <v>0</v>
      </c>
      <c r="AX127" s="6">
        <f>COUNTIFS(T:T,"A",C:C,5)/COUNTIF(C:C,5)</f>
        <v>0</v>
      </c>
      <c r="AY127" s="6">
        <f>COUNTIFS(T:T,"A",C:C,6)/COUNTIF(C:C,6)</f>
        <v>0</v>
      </c>
      <c r="AZ127"/>
      <c r="BA127" s="31"/>
      <c r="BB127" s="31"/>
      <c r="BC127" s="165"/>
      <c r="BD127" s="165"/>
      <c r="BE127" s="165"/>
      <c r="BF127" s="165"/>
      <c r="BG127" s="165"/>
      <c r="BH127" s="155"/>
      <c r="BI127" s="155"/>
      <c r="BJ127" s="155"/>
      <c r="BK127" s="155"/>
      <c r="BL127" s="155"/>
      <c r="BM127" s="155"/>
      <c r="BN127" s="155"/>
      <c r="BO127" s="155"/>
      <c r="BP127" s="155"/>
      <c r="BQ127" s="155"/>
      <c r="BR127" s="155"/>
      <c r="BS127" s="155"/>
      <c r="BT127" s="155"/>
      <c r="BU127" s="155"/>
      <c r="BV127" s="155"/>
      <c r="BW127" s="155"/>
      <c r="BX127" s="155"/>
      <c r="BY127" s="155"/>
      <c r="BZ127" s="155"/>
      <c r="CA127" s="155"/>
      <c r="CB127" s="155"/>
      <c r="CC127" s="155"/>
      <c r="CD127" s="155"/>
      <c r="CE127" s="155"/>
      <c r="CF127" s="155"/>
      <c r="CG127" s="155"/>
      <c r="CH127" s="155"/>
      <c r="CI127" s="155"/>
      <c r="CJ127" s="155"/>
      <c r="CK127" s="155"/>
      <c r="CL127" s="155"/>
      <c r="CM127" s="155"/>
      <c r="CN127" s="155"/>
      <c r="CO127" s="155"/>
      <c r="CP127" s="155"/>
      <c r="CQ127" s="155"/>
      <c r="CR127" s="155"/>
      <c r="CS127" s="155"/>
      <c r="CT127" s="155"/>
      <c r="CU127" s="155"/>
      <c r="CV127" s="155"/>
      <c r="CW127" s="155"/>
      <c r="CX127" s="155"/>
      <c r="CY127" s="155"/>
      <c r="CZ127" s="155"/>
      <c r="DA127" s="155"/>
      <c r="DB127" s="155"/>
      <c r="DC127" s="155"/>
      <c r="DD127" s="155"/>
      <c r="DE127" s="155"/>
      <c r="DF127" s="155"/>
      <c r="DG127" s="155"/>
      <c r="DH127" s="155"/>
    </row>
    <row r="128" spans="45:112" x14ac:dyDescent="0.3">
      <c r="AS128" s="6" t="s">
        <v>207</v>
      </c>
      <c r="AT128" s="6">
        <f>COUNTIFS(T:T,"B",C:C,1)/COUNTIF(C:C,1)</f>
        <v>0</v>
      </c>
      <c r="AU128" s="6">
        <f>COUNTIFS(T:T,"B",C:C,2)/COUNTIF(C:C,2)</f>
        <v>7.6923076923076927E-2</v>
      </c>
      <c r="AV128" s="6">
        <f>COUNTIFS(T:T,"B",C:C,3)/COUNTIF(C:C,3)</f>
        <v>7.6923076923076927E-2</v>
      </c>
      <c r="AW128" s="6">
        <f>COUNTIFS(T:T,"B",C:C,4)/COUNTIF(C:C,4)</f>
        <v>7.6923076923076927E-2</v>
      </c>
      <c r="AX128" s="6">
        <f>COUNTIFS(T:T,"B",C:C,5)/COUNTIF(C:C,5)</f>
        <v>0.15384615384615385</v>
      </c>
      <c r="AY128" s="6">
        <f>COUNTIFS(T:T,"B",C:C,6)/COUNTIF(C:C,6)</f>
        <v>0.30769230769230771</v>
      </c>
      <c r="AZ128"/>
      <c r="BA128" s="31"/>
      <c r="BB128" s="31"/>
      <c r="BC128" s="165"/>
      <c r="BD128" s="165"/>
      <c r="BE128" s="165"/>
      <c r="BF128" s="165"/>
      <c r="BG128" s="165"/>
      <c r="BH128" s="155"/>
      <c r="BI128" s="155"/>
      <c r="BJ128" s="155"/>
      <c r="BK128" s="155"/>
      <c r="BL128" s="155"/>
      <c r="BM128" s="155"/>
      <c r="BN128" s="155"/>
      <c r="BO128" s="155"/>
      <c r="BP128" s="155"/>
      <c r="BQ128" s="155"/>
      <c r="BR128" s="155"/>
      <c r="BS128" s="155"/>
      <c r="BT128" s="155"/>
      <c r="BU128" s="155"/>
      <c r="BV128" s="155"/>
      <c r="BW128" s="155"/>
      <c r="BX128" s="155"/>
      <c r="BY128" s="155"/>
      <c r="BZ128" s="155"/>
      <c r="CA128" s="155"/>
      <c r="CB128" s="155"/>
      <c r="CC128" s="155"/>
      <c r="CD128" s="155"/>
      <c r="CE128" s="155"/>
      <c r="CF128" s="155"/>
      <c r="CG128" s="155"/>
      <c r="CH128" s="155"/>
      <c r="CI128" s="155"/>
      <c r="CJ128" s="155"/>
      <c r="CK128" s="155"/>
      <c r="CL128" s="155"/>
      <c r="CM128" s="155"/>
      <c r="CN128" s="155"/>
      <c r="CO128" s="155"/>
      <c r="CP128" s="155"/>
      <c r="CQ128" s="155"/>
      <c r="CR128" s="155"/>
      <c r="CS128" s="155"/>
      <c r="CT128" s="155"/>
      <c r="CU128" s="155"/>
      <c r="CV128" s="155"/>
      <c r="CW128" s="155"/>
      <c r="CX128" s="155"/>
      <c r="CY128" s="155"/>
      <c r="CZ128" s="155"/>
      <c r="DA128" s="155"/>
      <c r="DB128" s="155"/>
      <c r="DC128" s="155"/>
      <c r="DD128" s="155"/>
      <c r="DE128" s="155"/>
      <c r="DF128" s="155"/>
      <c r="DG128" s="155"/>
      <c r="DH128" s="155"/>
    </row>
    <row r="129" spans="45:112" x14ac:dyDescent="0.3">
      <c r="AS129" s="6" t="s">
        <v>208</v>
      </c>
      <c r="AT129" s="6">
        <f>COUNTIFS(T:T,"C",C:C,1)/COUNTIF(C:C,1)</f>
        <v>0.15384615384615385</v>
      </c>
      <c r="AU129" s="6">
        <f>COUNTIFS(T:T,"C",C:C,2)/COUNTIF(C:C,2)</f>
        <v>0.23076923076923078</v>
      </c>
      <c r="AV129" s="6">
        <f>COUNTIFS(T:T,"C",C:C,3)/COUNTIF(C:C,3)</f>
        <v>7.6923076923076927E-2</v>
      </c>
      <c r="AW129" s="6">
        <f>COUNTIFS(T:T,"C",C:C,4)/COUNTIF(C:C,4)</f>
        <v>7.6923076923076927E-2</v>
      </c>
      <c r="AX129" s="6">
        <f>COUNTIFS(T:T,"C",C:C,5)/COUNTIF(C:C,5)</f>
        <v>0.15384615384615385</v>
      </c>
      <c r="AY129" s="6">
        <f>COUNTIFS(T:T,"C",C:C,6)/COUNTIF(C:C,6)</f>
        <v>0.23076923076923078</v>
      </c>
      <c r="AZ129"/>
      <c r="BA129" s="31"/>
      <c r="BB129" s="31"/>
      <c r="BC129" s="165"/>
      <c r="BD129" s="165"/>
      <c r="BE129" s="165"/>
      <c r="BF129" s="165"/>
      <c r="BG129" s="165"/>
      <c r="BH129" s="155"/>
      <c r="BI129" s="162"/>
      <c r="BJ129" s="155"/>
      <c r="BK129" s="158"/>
      <c r="BL129" s="158"/>
      <c r="BM129" s="158"/>
      <c r="BN129" s="158"/>
      <c r="BO129" s="158"/>
      <c r="BP129" s="158"/>
      <c r="BQ129" s="158"/>
      <c r="BR129" s="158"/>
      <c r="BS129" s="158"/>
      <c r="BT129" s="158"/>
      <c r="BU129" s="158"/>
      <c r="BV129" s="158"/>
      <c r="BW129" s="158"/>
      <c r="BX129" s="158"/>
      <c r="BY129" s="158"/>
      <c r="BZ129" s="158"/>
      <c r="CA129" s="158"/>
      <c r="CB129" s="158"/>
      <c r="CC129" s="158"/>
      <c r="CD129" s="158"/>
      <c r="CE129" s="158"/>
      <c r="CF129" s="158"/>
      <c r="CG129" s="158"/>
      <c r="CH129" s="158"/>
      <c r="CI129" s="158"/>
      <c r="CJ129" s="158"/>
      <c r="CK129" s="158"/>
      <c r="CL129" s="158"/>
      <c r="CM129" s="158"/>
      <c r="CN129" s="158"/>
      <c r="CO129" s="158"/>
      <c r="CP129" s="158"/>
      <c r="CQ129" s="158"/>
      <c r="CR129" s="158"/>
      <c r="CS129" s="158"/>
      <c r="CT129" s="158"/>
      <c r="CU129" s="155"/>
      <c r="CV129" s="155"/>
      <c r="CW129" s="155"/>
      <c r="CX129" s="155"/>
      <c r="CY129" s="155"/>
      <c r="CZ129" s="155"/>
      <c r="DA129" s="155"/>
      <c r="DB129" s="155"/>
      <c r="DC129" s="155"/>
      <c r="DD129" s="155"/>
      <c r="DE129" s="155"/>
      <c r="DF129" s="155"/>
      <c r="DG129" s="155"/>
      <c r="DH129" s="155"/>
    </row>
    <row r="130" spans="45:112" x14ac:dyDescent="0.3">
      <c r="AS130" s="6" t="s">
        <v>209</v>
      </c>
      <c r="AT130" s="6">
        <f>COUNTIFS(T:T,"D",C:C,1)/COUNTIF(C:C,1)</f>
        <v>0.84615384615384615</v>
      </c>
      <c r="AU130" s="6">
        <f>COUNTIFS(T:T,"D",C:C,2)/COUNTIF(C:C,2)</f>
        <v>0.69230769230769229</v>
      </c>
      <c r="AV130" s="6">
        <f>COUNTIFS(T:T,"D",C:C,3)/COUNTIF(C:C,3)</f>
        <v>0.84615384615384615</v>
      </c>
      <c r="AW130" s="6">
        <f>COUNTIFS(T:T,"D",C:C,4)/COUNTIF(C:C,4)</f>
        <v>0.84615384615384615</v>
      </c>
      <c r="AX130" s="6">
        <f>COUNTIFS(T:T,"D",C:C,5)/COUNTIF(C:C,5)</f>
        <v>0.69230769230769229</v>
      </c>
      <c r="AY130" s="6">
        <f>COUNTIFS(T:T,"D",C:C,6)/COUNTIF(C:C,6)</f>
        <v>0.46153846153846156</v>
      </c>
      <c r="AZ130"/>
      <c r="BA130" s="31"/>
      <c r="BB130" s="31"/>
      <c r="BC130" s="165"/>
      <c r="BD130" s="165"/>
      <c r="BE130" s="165"/>
      <c r="BF130" s="165"/>
      <c r="BG130" s="165"/>
      <c r="BH130" s="155"/>
      <c r="BI130" s="162"/>
      <c r="BJ130" s="155"/>
      <c r="BK130" s="155"/>
      <c r="BL130" s="155"/>
      <c r="BM130" s="155"/>
      <c r="BN130" s="155"/>
      <c r="BO130" s="155"/>
      <c r="BP130" s="155"/>
      <c r="BQ130" s="155"/>
      <c r="BR130" s="155"/>
      <c r="BS130" s="155"/>
      <c r="BT130" s="155"/>
      <c r="BU130" s="155"/>
      <c r="BV130" s="155"/>
      <c r="BW130" s="155"/>
      <c r="BX130" s="155"/>
      <c r="BY130" s="155"/>
      <c r="BZ130" s="155"/>
      <c r="CA130" s="155"/>
      <c r="CB130" s="155"/>
      <c r="CC130" s="155"/>
      <c r="CD130" s="155"/>
      <c r="CE130" s="155"/>
      <c r="CF130" s="155"/>
      <c r="CG130" s="155"/>
      <c r="CH130" s="155"/>
      <c r="CI130" s="155"/>
      <c r="CJ130" s="155"/>
      <c r="CK130" s="155"/>
      <c r="CL130" s="155"/>
      <c r="CM130" s="155"/>
      <c r="CN130" s="155"/>
      <c r="CO130" s="155"/>
      <c r="CP130" s="155"/>
      <c r="CQ130" s="155"/>
      <c r="CR130" s="155"/>
      <c r="CS130" s="155"/>
      <c r="CT130" s="155"/>
      <c r="CU130" s="155"/>
      <c r="CV130" s="155"/>
      <c r="CW130" s="155"/>
      <c r="CX130" s="155"/>
      <c r="CY130" s="155"/>
      <c r="CZ130" s="155"/>
      <c r="DA130" s="155"/>
      <c r="DB130" s="155"/>
      <c r="DC130" s="155"/>
      <c r="DD130" s="155"/>
      <c r="DE130" s="155"/>
      <c r="DF130" s="155"/>
      <c r="DG130" s="155"/>
      <c r="DH130" s="155"/>
    </row>
    <row r="131" spans="45:112" x14ac:dyDescent="0.3">
      <c r="AZ131"/>
      <c r="BA131" s="33"/>
      <c r="BB131" s="33"/>
      <c r="BC131" s="164"/>
      <c r="BD131" s="164"/>
      <c r="BE131" s="164"/>
      <c r="BF131" s="164"/>
      <c r="BG131" s="164"/>
      <c r="BH131" s="155"/>
      <c r="BI131" s="155"/>
      <c r="BJ131" s="155"/>
      <c r="BK131" s="155"/>
      <c r="BL131" s="155"/>
      <c r="BM131" s="155"/>
      <c r="BN131" s="155"/>
      <c r="BO131" s="155"/>
      <c r="BP131" s="155"/>
      <c r="BQ131" s="155"/>
      <c r="BR131" s="155"/>
      <c r="BS131" s="155"/>
      <c r="BT131" s="155"/>
      <c r="BU131" s="155"/>
      <c r="BV131" s="155"/>
      <c r="BW131" s="155"/>
      <c r="BX131" s="155"/>
      <c r="BY131" s="155"/>
      <c r="BZ131" s="155"/>
      <c r="CA131" s="155"/>
      <c r="CB131" s="155"/>
      <c r="CC131" s="155"/>
      <c r="CD131" s="155"/>
      <c r="CE131" s="155"/>
      <c r="CF131" s="155"/>
      <c r="CG131" s="155"/>
      <c r="CH131" s="155"/>
      <c r="CI131" s="155"/>
      <c r="CJ131" s="155"/>
      <c r="CK131" s="155"/>
      <c r="CL131" s="155"/>
      <c r="CM131" s="155"/>
      <c r="CN131" s="155"/>
      <c r="CO131" s="155"/>
      <c r="CP131" s="155"/>
      <c r="CQ131" s="155"/>
      <c r="CR131" s="155"/>
      <c r="CS131" s="155"/>
      <c r="CT131" s="155"/>
      <c r="CU131" s="155"/>
      <c r="CV131" s="155"/>
      <c r="CW131" s="155"/>
      <c r="CX131" s="155"/>
      <c r="CY131" s="155"/>
      <c r="CZ131" s="155"/>
      <c r="DA131" s="155"/>
      <c r="DB131" s="155"/>
      <c r="DC131" s="155"/>
      <c r="DD131" s="155"/>
      <c r="DE131" s="155"/>
      <c r="DF131" s="155"/>
      <c r="DG131" s="155"/>
      <c r="DH131" s="155"/>
    </row>
    <row r="132" spans="45:112" x14ac:dyDescent="0.3">
      <c r="AS132" s="7" t="s">
        <v>249</v>
      </c>
      <c r="AT132" s="7">
        <v>1</v>
      </c>
      <c r="AU132" s="7">
        <v>2</v>
      </c>
      <c r="AV132" s="7">
        <v>3</v>
      </c>
      <c r="AW132" s="7">
        <v>4</v>
      </c>
      <c r="AX132" s="7">
        <v>5</v>
      </c>
      <c r="AY132" s="7">
        <v>6</v>
      </c>
      <c r="AZ132"/>
      <c r="BA132" s="31"/>
      <c r="BB132" s="31"/>
      <c r="BC132" s="165"/>
      <c r="BD132" s="165"/>
      <c r="BE132" s="165"/>
      <c r="BF132" s="165"/>
      <c r="BG132" s="165"/>
      <c r="BH132" s="155"/>
      <c r="BI132" s="161"/>
      <c r="BJ132" s="155"/>
      <c r="BK132" s="155"/>
      <c r="BL132" s="155"/>
      <c r="BM132" s="155"/>
      <c r="BN132" s="155"/>
      <c r="BO132" s="155"/>
      <c r="BP132" s="155"/>
      <c r="BQ132" s="155"/>
      <c r="BR132" s="155"/>
      <c r="BS132" s="155"/>
      <c r="BT132" s="155"/>
      <c r="BU132" s="155"/>
      <c r="BV132" s="155"/>
      <c r="BW132" s="155"/>
      <c r="BX132" s="155"/>
      <c r="BY132" s="155"/>
      <c r="BZ132" s="155"/>
      <c r="CA132" s="155"/>
      <c r="CB132" s="155"/>
      <c r="CC132" s="155"/>
      <c r="CD132" s="155"/>
      <c r="CE132" s="155"/>
      <c r="CF132" s="155"/>
      <c r="CG132" s="155"/>
      <c r="CH132" s="155"/>
      <c r="CI132" s="155"/>
      <c r="CJ132" s="155"/>
      <c r="CK132" s="155"/>
      <c r="CL132" s="155"/>
      <c r="CM132" s="155"/>
      <c r="CN132" s="155"/>
      <c r="CO132" s="155"/>
      <c r="CP132" s="155"/>
      <c r="CQ132" s="155"/>
      <c r="CR132" s="155"/>
      <c r="CS132" s="155"/>
      <c r="CT132" s="155"/>
      <c r="CU132" s="155"/>
      <c r="CV132" s="155"/>
      <c r="CW132" s="155"/>
      <c r="CX132" s="155"/>
      <c r="CY132" s="155"/>
      <c r="CZ132" s="155"/>
      <c r="DA132" s="155"/>
      <c r="DB132" s="155"/>
      <c r="DC132" s="155"/>
      <c r="DD132" s="155"/>
      <c r="DE132" s="155"/>
      <c r="DF132" s="155"/>
      <c r="DG132" s="155"/>
      <c r="DH132" s="155"/>
    </row>
    <row r="133" spans="45:112" x14ac:dyDescent="0.3">
      <c r="AS133" s="6" t="s">
        <v>210</v>
      </c>
      <c r="AT133" s="6">
        <f>COUNTIFS(U:U,"A",C:C,1)/COUNTIF(C:C,1)</f>
        <v>0</v>
      </c>
      <c r="AU133" s="6">
        <f>COUNTIFS(U:U,"A",C:C,2)/COUNTIF(C:C,2)</f>
        <v>7.6923076923076927E-2</v>
      </c>
      <c r="AV133" s="6">
        <f>COUNTIFS(U:U,"A",C:C,3)/COUNTIF(C:C,3)</f>
        <v>0</v>
      </c>
      <c r="AW133" s="6">
        <f>COUNTIFS(U:U,"A",C:C,4)/COUNTIF(C:C,4)</f>
        <v>0</v>
      </c>
      <c r="AX133" s="6">
        <f>COUNTIFS(U:U,"A",C:C,5)/COUNTIF(C:C,5)</f>
        <v>0</v>
      </c>
      <c r="AY133" s="6">
        <f>COUNTIFS(U:U,"A",C:C,6)/COUNTIF(C:C,6)</f>
        <v>0</v>
      </c>
      <c r="AZ133"/>
      <c r="BA133" s="31"/>
      <c r="BB133" s="31"/>
      <c r="BC133" s="165"/>
      <c r="BD133" s="165"/>
      <c r="BE133" s="165"/>
      <c r="BF133" s="165"/>
      <c r="BG133" s="165"/>
      <c r="BH133" s="155"/>
      <c r="BI133" s="155"/>
      <c r="BJ133" s="155"/>
      <c r="BK133" s="155"/>
      <c r="BL133" s="155"/>
      <c r="BM133" s="155"/>
      <c r="BN133" s="155"/>
      <c r="BO133" s="155"/>
      <c r="BP133" s="155"/>
      <c r="BQ133" s="155"/>
      <c r="BR133" s="155"/>
      <c r="BS133" s="155"/>
      <c r="BT133" s="155"/>
      <c r="BU133" s="155"/>
      <c r="BV133" s="155"/>
      <c r="BW133" s="155"/>
      <c r="BX133" s="155"/>
      <c r="BY133" s="155"/>
      <c r="BZ133" s="155"/>
      <c r="CA133" s="155"/>
      <c r="CB133" s="155"/>
      <c r="CC133" s="155"/>
      <c r="CD133" s="155"/>
      <c r="CE133" s="155"/>
      <c r="CF133" s="155"/>
      <c r="CG133" s="155"/>
      <c r="CH133" s="155"/>
      <c r="CI133" s="155"/>
      <c r="CJ133" s="155"/>
      <c r="CK133" s="155"/>
      <c r="CL133" s="155"/>
      <c r="CM133" s="155"/>
      <c r="CN133" s="155"/>
      <c r="CO133" s="155"/>
      <c r="CP133" s="155"/>
      <c r="CQ133" s="155"/>
      <c r="CR133" s="155"/>
      <c r="CS133" s="155"/>
      <c r="CT133" s="155"/>
      <c r="CU133" s="155"/>
      <c r="CV133" s="155"/>
      <c r="CW133" s="155"/>
      <c r="CX133" s="155"/>
      <c r="CY133" s="155"/>
      <c r="CZ133" s="155"/>
      <c r="DA133" s="155"/>
      <c r="DB133" s="155"/>
      <c r="DC133" s="155"/>
      <c r="DD133" s="155"/>
      <c r="DE133" s="155"/>
      <c r="DF133" s="155"/>
      <c r="DG133" s="155"/>
      <c r="DH133" s="155"/>
    </row>
    <row r="134" spans="45:112" x14ac:dyDescent="0.3">
      <c r="AS134" s="6" t="s">
        <v>211</v>
      </c>
      <c r="AT134" s="6">
        <f>COUNTIFS(U:U,"B",C:C,1)/COUNTIF(C:C,1)</f>
        <v>0</v>
      </c>
      <c r="AU134" s="6">
        <f>COUNTIFS(U:U,"B",C:C,2)/COUNTIF(C:C,2)</f>
        <v>0</v>
      </c>
      <c r="AV134" s="6">
        <f>COUNTIFS(U:U,"B",C:C,3)/COUNTIF(C:C,3)</f>
        <v>7.6923076923076927E-2</v>
      </c>
      <c r="AW134" s="6">
        <f>COUNTIFS(U:U,"B",C:C,4)/COUNTIF(C:C,4)</f>
        <v>0</v>
      </c>
      <c r="AX134" s="6">
        <f>COUNTIFS(U:U,"B",C:C,5)/COUNTIF(C:C,5)</f>
        <v>7.6923076923076927E-2</v>
      </c>
      <c r="AY134" s="6">
        <f>COUNTIFS(U:U,"B",C:C,6)/COUNTIF(C:C,6)</f>
        <v>0</v>
      </c>
      <c r="AZ134"/>
      <c r="BA134" s="31"/>
      <c r="BB134" s="31"/>
      <c r="BC134" s="165"/>
      <c r="BD134" s="165"/>
      <c r="BE134" s="165"/>
      <c r="BF134" s="165"/>
      <c r="BG134" s="165"/>
      <c r="BH134" s="155"/>
      <c r="BI134" s="161"/>
      <c r="BJ134" s="155"/>
      <c r="BK134" s="155"/>
      <c r="BL134" s="155"/>
      <c r="BM134" s="155"/>
      <c r="BN134" s="155"/>
      <c r="BO134" s="155"/>
      <c r="BP134" s="155"/>
      <c r="BQ134" s="155"/>
      <c r="BR134" s="155"/>
      <c r="BS134" s="155"/>
      <c r="BT134" s="155"/>
      <c r="BU134" s="155"/>
      <c r="BV134" s="155"/>
      <c r="BW134" s="155"/>
      <c r="BX134" s="155"/>
      <c r="BY134" s="155"/>
      <c r="BZ134" s="155"/>
      <c r="CA134" s="155"/>
      <c r="CB134" s="155"/>
      <c r="CC134" s="155"/>
      <c r="CD134" s="155"/>
      <c r="CE134" s="155"/>
      <c r="CF134" s="155"/>
      <c r="CG134" s="155"/>
      <c r="CH134" s="155"/>
      <c r="CI134" s="155"/>
      <c r="CJ134" s="155"/>
      <c r="CK134" s="155"/>
      <c r="CL134" s="155"/>
      <c r="CM134" s="155"/>
      <c r="CN134" s="155"/>
      <c r="CO134" s="155"/>
      <c r="CP134" s="155"/>
      <c r="CQ134" s="155"/>
      <c r="CR134" s="155"/>
      <c r="CS134" s="155"/>
      <c r="CT134" s="155"/>
      <c r="CU134" s="155"/>
      <c r="CV134" s="155"/>
      <c r="CW134" s="155"/>
      <c r="CX134" s="155"/>
      <c r="CY134" s="155"/>
      <c r="CZ134" s="155"/>
      <c r="DA134" s="155"/>
      <c r="DB134" s="155"/>
      <c r="DC134" s="155"/>
      <c r="DD134" s="155"/>
      <c r="DE134" s="155"/>
      <c r="DF134" s="155"/>
      <c r="DG134" s="155"/>
      <c r="DH134" s="155"/>
    </row>
    <row r="135" spans="45:112" x14ac:dyDescent="0.3">
      <c r="AS135" s="6" t="s">
        <v>212</v>
      </c>
      <c r="AT135" s="6">
        <f>COUNTIFS(U:U,"C",C:C,1)/COUNTIF(C:C,1)</f>
        <v>0.15384615384615385</v>
      </c>
      <c r="AU135" s="6">
        <f>COUNTIFS(U:U,"C",C:C,2)/COUNTIF(C:C,2)</f>
        <v>7.6923076923076927E-2</v>
      </c>
      <c r="AV135" s="6">
        <f>COUNTIFS(U:U,"C",C:C,3)/COUNTIF(C:C,3)</f>
        <v>7.6923076923076927E-2</v>
      </c>
      <c r="AW135" s="6">
        <f>COUNTIFS(U:U,"C",C:C,4)/COUNTIF(C:C,4)</f>
        <v>7.6923076923076927E-2</v>
      </c>
      <c r="AX135" s="6">
        <f>COUNTIFS(U:U,"C",C:C,5)/COUNTIF(C:C,5)</f>
        <v>0</v>
      </c>
      <c r="AY135" s="6">
        <f>COUNTIFS(U:U,"C",C:C,6)/COUNTIF(C:C,6)</f>
        <v>7.6923076923076927E-2</v>
      </c>
      <c r="AZ135"/>
      <c r="BA135" s="31"/>
      <c r="BB135" s="31"/>
      <c r="BC135" s="165"/>
      <c r="BD135" s="165"/>
      <c r="BE135" s="165"/>
      <c r="BF135" s="165"/>
      <c r="BG135" s="165"/>
      <c r="BH135" s="155"/>
      <c r="BI135" s="155"/>
      <c r="BJ135" s="155"/>
      <c r="BK135" s="155"/>
      <c r="BL135" s="155"/>
      <c r="BM135" s="155"/>
      <c r="BN135" s="155"/>
      <c r="BO135" s="155"/>
      <c r="BP135" s="155"/>
      <c r="BQ135" s="155"/>
      <c r="BR135" s="155"/>
      <c r="BS135" s="155"/>
      <c r="BT135" s="155"/>
      <c r="BU135" s="155"/>
      <c r="BV135" s="155"/>
      <c r="BW135" s="155"/>
      <c r="BX135" s="155"/>
      <c r="BY135" s="155"/>
      <c r="BZ135" s="155"/>
      <c r="CA135" s="155"/>
      <c r="CB135" s="155"/>
      <c r="CC135" s="155"/>
      <c r="CD135" s="155"/>
      <c r="CE135" s="155"/>
      <c r="CF135" s="155"/>
      <c r="CG135" s="155"/>
      <c r="CH135" s="155"/>
      <c r="CI135" s="155"/>
      <c r="CJ135" s="155"/>
      <c r="CK135" s="155"/>
      <c r="CL135" s="155"/>
      <c r="CM135" s="155"/>
      <c r="CN135" s="155"/>
      <c r="CO135" s="155"/>
      <c r="CP135" s="155"/>
      <c r="CQ135" s="155"/>
      <c r="CR135" s="155"/>
      <c r="CS135" s="155"/>
      <c r="CT135" s="155"/>
      <c r="CU135" s="155"/>
      <c r="CV135" s="155"/>
      <c r="CW135" s="155"/>
      <c r="CX135" s="155"/>
      <c r="CY135" s="155"/>
      <c r="CZ135" s="155"/>
      <c r="DA135" s="155"/>
      <c r="DB135" s="155"/>
      <c r="DC135" s="155"/>
      <c r="DD135" s="155"/>
      <c r="DE135" s="155"/>
      <c r="DF135" s="155"/>
      <c r="DG135" s="155"/>
      <c r="DH135" s="155"/>
    </row>
    <row r="136" spans="45:112" x14ac:dyDescent="0.3">
      <c r="AS136" s="6" t="s">
        <v>213</v>
      </c>
      <c r="AT136" s="6">
        <f>COUNTIFS(U:U,"D",C:C,1)/COUNTIF(C:C,1)</f>
        <v>0.84615384615384615</v>
      </c>
      <c r="AU136" s="6">
        <f>COUNTIFS(U:U,"D",C:C,2)/COUNTIF(C:C,2)</f>
        <v>0.84615384615384615</v>
      </c>
      <c r="AV136" s="6">
        <f>COUNTIFS(U:U,"D",C:C,3)/COUNTIF(C:C,3)</f>
        <v>0.84615384615384615</v>
      </c>
      <c r="AW136" s="6">
        <f>COUNTIFS(U:U,"D",C:C,4)/COUNTIF(C:C,4)</f>
        <v>0.92307692307692313</v>
      </c>
      <c r="AX136" s="6">
        <f>COUNTIFS(U:U,"D",C:C,5)/COUNTIF(C:C,5)</f>
        <v>0.92307692307692313</v>
      </c>
      <c r="AY136" s="6">
        <f>COUNTIFS(U:U,"D",C:C,6)/COUNTIF(C:C,6)</f>
        <v>0.92307692307692313</v>
      </c>
      <c r="AZ136"/>
      <c r="BA136" s="31"/>
      <c r="BB136" s="31"/>
      <c r="BC136" s="165"/>
      <c r="BD136" s="165"/>
      <c r="BE136" s="165"/>
      <c r="BF136" s="165"/>
      <c r="BG136" s="165"/>
      <c r="BH136" s="155"/>
      <c r="BI136" s="161"/>
      <c r="BJ136" s="155"/>
      <c r="BK136" s="155"/>
      <c r="BL136" s="155"/>
      <c r="BM136" s="155"/>
      <c r="BN136" s="155"/>
      <c r="BO136" s="155"/>
      <c r="BP136" s="155"/>
      <c r="BQ136" s="155"/>
      <c r="BR136" s="155"/>
      <c r="BS136" s="155"/>
      <c r="BT136" s="155"/>
      <c r="BU136" s="155"/>
      <c r="BV136" s="155"/>
      <c r="BW136" s="155"/>
      <c r="BX136" s="155"/>
      <c r="BY136" s="155"/>
      <c r="BZ136" s="155"/>
      <c r="CA136" s="155"/>
      <c r="CB136" s="155"/>
      <c r="CC136" s="155"/>
      <c r="CD136" s="155"/>
      <c r="CE136" s="155"/>
      <c r="CF136" s="155"/>
      <c r="CG136" s="155"/>
      <c r="CH136" s="155"/>
      <c r="CI136" s="155"/>
      <c r="CJ136" s="155"/>
      <c r="CK136" s="155"/>
      <c r="CL136" s="155"/>
      <c r="CM136" s="155"/>
      <c r="CN136" s="155"/>
      <c r="CO136" s="155"/>
      <c r="CP136" s="155"/>
      <c r="CQ136" s="155"/>
      <c r="CR136" s="155"/>
      <c r="CS136" s="155"/>
      <c r="CT136" s="155"/>
      <c r="CU136" s="155"/>
      <c r="CV136" s="155"/>
      <c r="CW136" s="155"/>
      <c r="CX136" s="155"/>
      <c r="CY136" s="155"/>
      <c r="CZ136" s="155"/>
      <c r="DA136" s="155"/>
      <c r="DB136" s="155"/>
      <c r="DC136" s="155"/>
      <c r="DD136" s="155"/>
      <c r="DE136" s="155"/>
      <c r="DF136" s="155"/>
      <c r="DG136" s="155"/>
      <c r="DH136" s="155"/>
    </row>
    <row r="137" spans="45:112" x14ac:dyDescent="0.3">
      <c r="AZ137"/>
      <c r="BA137" s="33"/>
      <c r="BB137" s="33"/>
      <c r="BC137" s="164"/>
      <c r="BD137" s="164"/>
      <c r="BE137" s="164"/>
      <c r="BF137" s="164"/>
      <c r="BG137" s="164"/>
      <c r="BH137" s="155"/>
      <c r="BI137" s="155"/>
      <c r="BJ137" s="155"/>
      <c r="BK137" s="155"/>
      <c r="BL137" s="155"/>
      <c r="BM137" s="155"/>
      <c r="BN137" s="155"/>
      <c r="BO137" s="155"/>
      <c r="BP137" s="155"/>
      <c r="BQ137" s="155"/>
      <c r="BR137" s="155"/>
      <c r="BS137" s="155"/>
      <c r="BT137" s="155"/>
      <c r="BU137" s="155"/>
      <c r="BV137" s="155"/>
      <c r="BW137" s="155"/>
      <c r="BX137" s="155"/>
      <c r="BY137" s="155"/>
      <c r="BZ137" s="155"/>
      <c r="CA137" s="155"/>
      <c r="CB137" s="155"/>
      <c r="CC137" s="155"/>
      <c r="CD137" s="155"/>
      <c r="CE137" s="155"/>
      <c r="CF137" s="155"/>
      <c r="CG137" s="155"/>
      <c r="CH137" s="155"/>
      <c r="CI137" s="155"/>
      <c r="CJ137" s="155"/>
      <c r="CK137" s="155"/>
      <c r="CL137" s="155"/>
      <c r="CM137" s="155"/>
      <c r="CN137" s="155"/>
      <c r="CO137" s="155"/>
      <c r="CP137" s="155"/>
      <c r="CQ137" s="155"/>
      <c r="CR137" s="155"/>
      <c r="CS137" s="155"/>
      <c r="CT137" s="155"/>
      <c r="CU137" s="155"/>
      <c r="CV137" s="155"/>
      <c r="CW137" s="155"/>
      <c r="CX137" s="155"/>
      <c r="CY137" s="155"/>
      <c r="CZ137" s="155"/>
      <c r="DA137" s="155"/>
      <c r="DB137" s="155"/>
      <c r="DC137" s="155"/>
      <c r="DD137" s="155"/>
      <c r="DE137" s="155"/>
      <c r="DF137" s="155"/>
      <c r="DG137" s="155"/>
      <c r="DH137" s="155"/>
    </row>
    <row r="138" spans="45:112" x14ac:dyDescent="0.3">
      <c r="AS138" s="7" t="s">
        <v>250</v>
      </c>
      <c r="AT138" s="7">
        <v>1</v>
      </c>
      <c r="AU138" s="7">
        <v>2</v>
      </c>
      <c r="AV138" s="7">
        <v>3</v>
      </c>
      <c r="AW138" s="7">
        <v>4</v>
      </c>
      <c r="AX138" s="7">
        <v>5</v>
      </c>
      <c r="AY138" s="7">
        <v>6</v>
      </c>
      <c r="AZ138"/>
      <c r="BA138" s="31"/>
      <c r="BB138" s="31"/>
      <c r="BC138" s="165"/>
      <c r="BD138" s="165"/>
      <c r="BE138" s="165"/>
      <c r="BF138" s="165"/>
      <c r="BG138" s="165"/>
      <c r="BH138" s="155"/>
      <c r="BI138" s="161"/>
      <c r="BJ138" s="155"/>
      <c r="BK138" s="155"/>
      <c r="BL138" s="155"/>
      <c r="BM138" s="155"/>
      <c r="BN138" s="155"/>
      <c r="BO138" s="155"/>
      <c r="BP138" s="155"/>
      <c r="BQ138" s="155"/>
      <c r="BR138" s="155"/>
      <c r="BS138" s="155"/>
      <c r="BT138" s="155"/>
      <c r="BU138" s="155"/>
      <c r="BV138" s="155"/>
      <c r="BW138" s="155"/>
      <c r="BX138" s="155"/>
      <c r="BY138" s="155"/>
      <c r="BZ138" s="155"/>
      <c r="CA138" s="155"/>
      <c r="CB138" s="155"/>
      <c r="CC138" s="155"/>
      <c r="CD138" s="155"/>
      <c r="CE138" s="155"/>
      <c r="CF138" s="155"/>
      <c r="CG138" s="155"/>
      <c r="CH138" s="155"/>
      <c r="CI138" s="155"/>
      <c r="CJ138" s="155"/>
      <c r="CK138" s="155"/>
      <c r="CL138" s="155"/>
      <c r="CM138" s="155"/>
      <c r="CN138" s="155"/>
      <c r="CO138" s="155"/>
      <c r="CP138" s="155"/>
      <c r="CQ138" s="155"/>
      <c r="CR138" s="155"/>
      <c r="CS138" s="155"/>
      <c r="CT138" s="155"/>
      <c r="CU138" s="155"/>
      <c r="CV138" s="155"/>
      <c r="CW138" s="155"/>
      <c r="CX138" s="155"/>
      <c r="CY138" s="155"/>
      <c r="CZ138" s="155"/>
      <c r="DA138" s="155"/>
      <c r="DB138" s="155"/>
      <c r="DC138" s="155"/>
      <c r="DD138" s="155"/>
      <c r="DE138" s="155"/>
      <c r="DF138" s="155"/>
      <c r="DG138" s="155"/>
      <c r="DH138" s="155"/>
    </row>
    <row r="139" spans="45:112" x14ac:dyDescent="0.3">
      <c r="AS139" s="6" t="s">
        <v>214</v>
      </c>
      <c r="AT139" s="6">
        <f>COUNTIFS(V:V,"A",C:C,1)/COUNTIF(C:C,1)</f>
        <v>0.15384615384615385</v>
      </c>
      <c r="AU139" s="6">
        <f>COUNTIFS(V:V,"A",C:C,2)/COUNTIF(C:C,2)</f>
        <v>7.6923076923076927E-2</v>
      </c>
      <c r="AV139" s="6">
        <f>COUNTIFS(V:V,"A",C:C,3)/COUNTIF(C:C,3)</f>
        <v>0.15384615384615385</v>
      </c>
      <c r="AW139" s="6">
        <f>COUNTIFS(V:V,"A",C:C,4)/COUNTIF(C:C,4)</f>
        <v>0.23076923076923078</v>
      </c>
      <c r="AX139" s="6">
        <f>COUNTIFS(V:V,"A",C:C,5)/COUNTIF(C:C,5)</f>
        <v>7.6923076923076927E-2</v>
      </c>
      <c r="AY139" s="6">
        <f>COUNTIFS(V:V,"A",C:C,6)/COUNTIF(C:C,6)</f>
        <v>0.15384615384615385</v>
      </c>
      <c r="AZ139"/>
      <c r="BA139" s="31"/>
      <c r="BB139" s="31"/>
      <c r="BC139" s="165"/>
      <c r="BD139" s="165"/>
      <c r="BE139" s="165"/>
      <c r="BF139" s="165"/>
      <c r="BG139" s="165"/>
      <c r="BH139" s="155"/>
      <c r="BI139" s="155"/>
      <c r="BJ139" s="155"/>
      <c r="BK139" s="155"/>
      <c r="BL139" s="155"/>
      <c r="BM139" s="155"/>
      <c r="BN139" s="155"/>
      <c r="BO139" s="155"/>
      <c r="BP139" s="155"/>
      <c r="BQ139" s="155"/>
      <c r="BR139" s="155"/>
      <c r="BS139" s="155"/>
      <c r="BT139" s="155"/>
      <c r="BU139" s="155"/>
      <c r="BV139" s="155"/>
      <c r="BW139" s="155"/>
      <c r="BX139" s="155"/>
      <c r="BY139" s="155"/>
      <c r="BZ139" s="155"/>
      <c r="CA139" s="155"/>
      <c r="CB139" s="155"/>
      <c r="CC139" s="155"/>
      <c r="CD139" s="155"/>
      <c r="CE139" s="155"/>
      <c r="CF139" s="155"/>
      <c r="CG139" s="155"/>
      <c r="CH139" s="155"/>
      <c r="CI139" s="155"/>
      <c r="CJ139" s="155"/>
      <c r="CK139" s="155"/>
      <c r="CL139" s="155"/>
      <c r="CM139" s="155"/>
      <c r="CN139" s="155"/>
      <c r="CO139" s="155"/>
      <c r="CP139" s="155"/>
      <c r="CQ139" s="155"/>
      <c r="CR139" s="155"/>
      <c r="CS139" s="155"/>
      <c r="CT139" s="155"/>
      <c r="CU139" s="155"/>
      <c r="CV139" s="155"/>
      <c r="CW139" s="155"/>
      <c r="CX139" s="155"/>
      <c r="CY139" s="155"/>
      <c r="CZ139" s="155"/>
      <c r="DA139" s="155"/>
      <c r="DB139" s="155"/>
      <c r="DC139" s="155"/>
      <c r="DD139" s="155"/>
      <c r="DE139" s="155"/>
      <c r="DF139" s="155"/>
      <c r="DG139" s="155"/>
      <c r="DH139" s="155"/>
    </row>
    <row r="140" spans="45:112" x14ac:dyDescent="0.3">
      <c r="AS140" s="6" t="s">
        <v>215</v>
      </c>
      <c r="AT140" s="6">
        <f>COUNTIFS(V:V,"B",C:C,1)/COUNTIF(C:C,1)</f>
        <v>7.6923076923076927E-2</v>
      </c>
      <c r="AU140" s="6">
        <f>COUNTIFS(V:V,"B",C:C,2)/COUNTIF(C:C,2)</f>
        <v>0.15384615384615385</v>
      </c>
      <c r="AV140" s="6">
        <f>COUNTIFS(V:V,"B",C:C,3)/COUNTIF(C:C,3)</f>
        <v>0</v>
      </c>
      <c r="AW140" s="6">
        <f>COUNTIFS(V:V,"B",C:C,4)/COUNTIF(C:C,4)</f>
        <v>7.6923076923076927E-2</v>
      </c>
      <c r="AX140" s="6">
        <f>COUNTIFS(V:V,"B",C:C,5)/COUNTIF(C:C,5)</f>
        <v>0.23076923076923078</v>
      </c>
      <c r="AY140" s="6">
        <f>COUNTIFS(V:V,"B",C:C,6)/COUNTIF(C:C,6)</f>
        <v>0.38461538461538464</v>
      </c>
      <c r="AZ140"/>
      <c r="BA140" s="31"/>
      <c r="BB140" s="31"/>
      <c r="BC140" s="165"/>
      <c r="BD140" s="165"/>
      <c r="BE140" s="165"/>
      <c r="BF140" s="165"/>
      <c r="BG140" s="165"/>
      <c r="BH140" s="155"/>
      <c r="BI140" s="161"/>
      <c r="BJ140" s="155"/>
      <c r="BK140" s="155"/>
      <c r="BL140" s="155"/>
      <c r="BM140" s="155"/>
      <c r="BN140" s="155"/>
      <c r="BO140" s="155"/>
      <c r="BP140" s="155"/>
      <c r="BQ140" s="155"/>
      <c r="BR140" s="155"/>
      <c r="BS140" s="155"/>
      <c r="BT140" s="155"/>
      <c r="BU140" s="155"/>
      <c r="BV140" s="155"/>
      <c r="BW140" s="155"/>
      <c r="BX140" s="155"/>
      <c r="BY140" s="155"/>
      <c r="BZ140" s="155"/>
      <c r="CA140" s="155"/>
      <c r="CB140" s="155"/>
      <c r="CC140" s="155"/>
      <c r="CD140" s="155"/>
      <c r="CE140" s="155"/>
      <c r="CF140" s="155"/>
      <c r="CG140" s="155"/>
      <c r="CH140" s="155"/>
      <c r="CI140" s="155"/>
      <c r="CJ140" s="155"/>
      <c r="CK140" s="155"/>
      <c r="CL140" s="155"/>
      <c r="CM140" s="155"/>
      <c r="CN140" s="155"/>
      <c r="CO140" s="155"/>
      <c r="CP140" s="155"/>
      <c r="CQ140" s="155"/>
      <c r="CR140" s="155"/>
      <c r="CS140" s="155"/>
      <c r="CT140" s="155"/>
      <c r="CU140" s="155"/>
      <c r="CV140" s="155"/>
      <c r="CW140" s="155"/>
      <c r="CX140" s="155"/>
      <c r="CY140" s="155"/>
      <c r="CZ140" s="155"/>
      <c r="DA140" s="155"/>
      <c r="DB140" s="155"/>
      <c r="DC140" s="155"/>
      <c r="DD140" s="155"/>
      <c r="DE140" s="155"/>
      <c r="DF140" s="155"/>
      <c r="DG140" s="155"/>
      <c r="DH140" s="155"/>
    </row>
    <row r="141" spans="45:112" x14ac:dyDescent="0.3">
      <c r="AS141" s="6" t="s">
        <v>216</v>
      </c>
      <c r="AT141" s="6">
        <f>COUNTIFS(V:V,"C",C:C,1)/COUNTIF(C:C,1)</f>
        <v>0.30769230769230771</v>
      </c>
      <c r="AU141" s="6">
        <f>COUNTIFS(V:V,"C",C:C,2)/COUNTIF(C:C,2)</f>
        <v>7.6923076923076927E-2</v>
      </c>
      <c r="AV141" s="6">
        <f>COUNTIFS(V:V,"C",C:C,3)/COUNTIF(C:C,3)</f>
        <v>0.15384615384615385</v>
      </c>
      <c r="AW141" s="6">
        <f>COUNTIFS(V:V,"C",C:C,4)/COUNTIF(C:C,4)</f>
        <v>0</v>
      </c>
      <c r="AX141" s="6">
        <f>COUNTIFS(V:V,"C",C:C,5)/COUNTIF(C:C,5)</f>
        <v>7.6923076923076927E-2</v>
      </c>
      <c r="AY141" s="6">
        <f>COUNTIFS(V:V,"C",C:C,6)/COUNTIF(C:C,6)</f>
        <v>7.6923076923076927E-2</v>
      </c>
      <c r="AZ141"/>
      <c r="BA141" s="31"/>
      <c r="BB141" s="31"/>
      <c r="BC141" s="165"/>
      <c r="BD141" s="165"/>
      <c r="BE141" s="165"/>
      <c r="BF141" s="165"/>
      <c r="BG141" s="165"/>
      <c r="BH141" s="155"/>
      <c r="BI141" s="155"/>
      <c r="BJ141" s="155"/>
      <c r="BK141" s="155"/>
      <c r="BL141" s="155"/>
      <c r="BM141" s="155"/>
      <c r="BN141" s="155"/>
      <c r="BO141" s="155"/>
      <c r="BP141" s="155"/>
      <c r="BQ141" s="155"/>
      <c r="BR141" s="155"/>
      <c r="BS141" s="155"/>
      <c r="BT141" s="155"/>
      <c r="BU141" s="155"/>
      <c r="BV141" s="155"/>
      <c r="BW141" s="155"/>
      <c r="BX141" s="155"/>
      <c r="BY141" s="155"/>
      <c r="BZ141" s="155"/>
      <c r="CA141" s="155"/>
      <c r="CB141" s="155"/>
      <c r="CC141" s="155"/>
      <c r="CD141" s="155"/>
      <c r="CE141" s="155"/>
      <c r="CF141" s="155"/>
      <c r="CG141" s="155"/>
      <c r="CH141" s="155"/>
      <c r="CI141" s="155"/>
      <c r="CJ141" s="155"/>
      <c r="CK141" s="155"/>
      <c r="CL141" s="155"/>
      <c r="CM141" s="155"/>
      <c r="CN141" s="155"/>
      <c r="CO141" s="155"/>
      <c r="CP141" s="155"/>
      <c r="CQ141" s="155"/>
      <c r="CR141" s="155"/>
      <c r="CS141" s="155"/>
      <c r="CT141" s="155"/>
      <c r="CU141" s="155"/>
      <c r="CV141" s="155"/>
      <c r="CW141" s="155"/>
      <c r="CX141" s="155"/>
      <c r="CY141" s="155"/>
      <c r="CZ141" s="155"/>
      <c r="DA141" s="155"/>
      <c r="DB141" s="155"/>
      <c r="DC141" s="155"/>
      <c r="DD141" s="155"/>
      <c r="DE141" s="155"/>
      <c r="DF141" s="155"/>
      <c r="DG141" s="155"/>
      <c r="DH141" s="155"/>
    </row>
    <row r="142" spans="45:112" x14ac:dyDescent="0.3">
      <c r="AS142" s="6" t="s">
        <v>217</v>
      </c>
      <c r="AT142" s="6">
        <f>COUNTIFS(V:V,"D",C:C,1)/COUNTIF(C:C,1)</f>
        <v>0.46153846153846156</v>
      </c>
      <c r="AU142" s="6">
        <f>COUNTIFS(V:V,"D",C:C,2)/COUNTIF(C:C,2)</f>
        <v>0.69230769230769229</v>
      </c>
      <c r="AV142" s="6">
        <f>COUNTIFS(V:V,"D",C:C,3)/COUNTIF(C:C,3)</f>
        <v>0.69230769230769229</v>
      </c>
      <c r="AW142" s="6">
        <f>COUNTIFS(V:V,"D",C:C,4)/COUNTIF(C:C,4)</f>
        <v>0.69230769230769229</v>
      </c>
      <c r="AX142" s="6">
        <f>COUNTIFS(V:V,"D",C:C,5)/COUNTIF(C:C,5)</f>
        <v>0.61538461538461542</v>
      </c>
      <c r="AY142" s="6">
        <f>COUNTIFS(V:V,"D",C:C,6)/COUNTIF(C:C,6)</f>
        <v>0.38461538461538464</v>
      </c>
      <c r="AZ142"/>
      <c r="BA142" s="31"/>
      <c r="BB142" s="31"/>
      <c r="BC142" s="165"/>
      <c r="BD142" s="165"/>
      <c r="BE142" s="165"/>
      <c r="BF142" s="165"/>
      <c r="BG142" s="165"/>
      <c r="BH142" s="155"/>
      <c r="BI142" s="161"/>
      <c r="BJ142" s="155"/>
      <c r="BK142" s="155"/>
      <c r="BL142" s="155"/>
      <c r="BM142" s="155"/>
      <c r="BN142" s="155"/>
      <c r="BO142" s="155"/>
      <c r="BP142" s="155"/>
      <c r="BQ142" s="155"/>
      <c r="BR142" s="155"/>
      <c r="BS142" s="155"/>
      <c r="BT142" s="155"/>
      <c r="BU142" s="155"/>
      <c r="BV142" s="155"/>
      <c r="BW142" s="155"/>
      <c r="BX142" s="155"/>
      <c r="BY142" s="155"/>
      <c r="BZ142" s="155"/>
      <c r="CA142" s="155"/>
      <c r="CB142" s="155"/>
      <c r="CC142" s="155"/>
      <c r="CD142" s="155"/>
      <c r="CE142" s="155"/>
      <c r="CF142" s="155"/>
      <c r="CG142" s="155"/>
      <c r="CH142" s="155"/>
      <c r="CI142" s="155"/>
      <c r="CJ142" s="155"/>
      <c r="CK142" s="155"/>
      <c r="CL142" s="155"/>
      <c r="CM142" s="155"/>
      <c r="CN142" s="155"/>
      <c r="CO142" s="155"/>
      <c r="CP142" s="155"/>
      <c r="CQ142" s="155"/>
      <c r="CR142" s="155"/>
      <c r="CS142" s="155"/>
      <c r="CT142" s="155"/>
      <c r="CU142" s="155"/>
      <c r="CV142" s="155"/>
      <c r="CW142" s="155"/>
      <c r="CX142" s="155"/>
      <c r="CY142" s="155"/>
      <c r="CZ142" s="155"/>
      <c r="DA142" s="155"/>
      <c r="DB142" s="155"/>
      <c r="DC142" s="155"/>
      <c r="DD142" s="155"/>
      <c r="DE142" s="155"/>
      <c r="DF142" s="155"/>
      <c r="DG142" s="155"/>
      <c r="DH142" s="155"/>
    </row>
    <row r="143" spans="45:112" x14ac:dyDescent="0.3">
      <c r="AZ143"/>
      <c r="BA143" s="33"/>
      <c r="BB143" s="33"/>
      <c r="BC143" s="164"/>
      <c r="BD143" s="164"/>
      <c r="BE143" s="164"/>
      <c r="BF143" s="164"/>
      <c r="BG143" s="164"/>
      <c r="BH143" s="155"/>
      <c r="BI143" s="155"/>
      <c r="BJ143" s="155"/>
      <c r="BK143" s="155"/>
      <c r="BL143" s="155"/>
      <c r="BM143" s="155"/>
      <c r="BN143" s="155"/>
      <c r="BO143" s="155"/>
      <c r="BP143" s="155"/>
      <c r="BQ143" s="155"/>
      <c r="BR143" s="155"/>
      <c r="BS143" s="155"/>
      <c r="BT143" s="155"/>
      <c r="BU143" s="155"/>
      <c r="BV143" s="155"/>
      <c r="BW143" s="155"/>
      <c r="BX143" s="155"/>
      <c r="BY143" s="155"/>
      <c r="BZ143" s="155"/>
      <c r="CA143" s="155"/>
      <c r="CB143" s="155"/>
      <c r="CC143" s="155"/>
      <c r="CD143" s="155"/>
      <c r="CE143" s="155"/>
      <c r="CF143" s="155"/>
      <c r="CG143" s="155"/>
      <c r="CH143" s="155"/>
      <c r="CI143" s="155"/>
      <c r="CJ143" s="155"/>
      <c r="CK143" s="155"/>
      <c r="CL143" s="155"/>
      <c r="CM143" s="155"/>
      <c r="CN143" s="155"/>
      <c r="CO143" s="155"/>
      <c r="CP143" s="155"/>
      <c r="CQ143" s="155"/>
      <c r="CR143" s="155"/>
      <c r="CS143" s="155"/>
      <c r="CT143" s="155"/>
      <c r="CU143" s="155"/>
      <c r="CV143" s="155"/>
      <c r="CW143" s="155"/>
      <c r="CX143" s="155"/>
      <c r="CY143" s="155"/>
      <c r="CZ143" s="155"/>
      <c r="DA143" s="155"/>
      <c r="DB143" s="155"/>
      <c r="DC143" s="155"/>
      <c r="DD143" s="155"/>
      <c r="DE143" s="155"/>
      <c r="DF143" s="155"/>
      <c r="DG143" s="155"/>
      <c r="DH143" s="155"/>
    </row>
    <row r="144" spans="45:112" x14ac:dyDescent="0.3">
      <c r="AS144" s="7" t="s">
        <v>251</v>
      </c>
      <c r="AT144" s="7">
        <v>1</v>
      </c>
      <c r="AU144" s="7">
        <v>2</v>
      </c>
      <c r="AV144" s="7">
        <v>3</v>
      </c>
      <c r="AW144" s="7">
        <v>4</v>
      </c>
      <c r="AX144" s="7">
        <v>5</v>
      </c>
      <c r="AY144" s="7">
        <v>6</v>
      </c>
      <c r="AZ144"/>
      <c r="BA144" s="31"/>
      <c r="BB144" s="31"/>
      <c r="BC144" s="165"/>
      <c r="BD144" s="165"/>
      <c r="BE144" s="165"/>
      <c r="BF144" s="165"/>
      <c r="BG144" s="165"/>
      <c r="BH144" s="155"/>
      <c r="BI144" s="155"/>
      <c r="BJ144" s="155"/>
      <c r="BK144" s="155"/>
      <c r="BL144" s="155"/>
      <c r="BM144" s="155"/>
      <c r="BN144" s="155"/>
      <c r="BO144" s="155"/>
      <c r="BP144" s="155"/>
      <c r="BQ144" s="155"/>
      <c r="BR144" s="155"/>
      <c r="BS144" s="155"/>
      <c r="BT144" s="155"/>
      <c r="BU144" s="155"/>
      <c r="BV144" s="155"/>
      <c r="BW144" s="155"/>
      <c r="BX144" s="155"/>
      <c r="BY144" s="155"/>
      <c r="BZ144" s="155"/>
      <c r="CA144" s="155"/>
      <c r="CB144" s="155"/>
      <c r="CC144" s="155"/>
      <c r="CD144" s="155"/>
      <c r="CE144" s="155"/>
      <c r="CF144" s="155"/>
      <c r="CG144" s="155"/>
      <c r="CH144" s="155"/>
      <c r="CI144" s="155"/>
      <c r="CJ144" s="155"/>
      <c r="CK144" s="155"/>
      <c r="CL144" s="155"/>
      <c r="CM144" s="155"/>
      <c r="CN144" s="155"/>
      <c r="CO144" s="155"/>
      <c r="CP144" s="155"/>
      <c r="CQ144" s="155"/>
      <c r="CR144" s="155"/>
      <c r="CS144" s="155"/>
      <c r="CT144" s="155"/>
      <c r="CU144" s="155"/>
      <c r="CV144" s="155"/>
      <c r="CW144" s="155"/>
      <c r="CX144" s="155"/>
      <c r="CY144" s="155"/>
      <c r="CZ144" s="155"/>
      <c r="DA144" s="155"/>
      <c r="DB144" s="155"/>
      <c r="DC144" s="155"/>
      <c r="DD144" s="155"/>
      <c r="DE144" s="155"/>
      <c r="DF144" s="155"/>
      <c r="DG144" s="155"/>
      <c r="DH144" s="155"/>
    </row>
    <row r="145" spans="45:112" x14ac:dyDescent="0.3">
      <c r="AS145" s="6" t="s">
        <v>218</v>
      </c>
      <c r="AT145" s="6">
        <f>COUNTIFS(W:W,"A",C:C,1)/COUNTIF(C:C,1)</f>
        <v>1</v>
      </c>
      <c r="AU145" s="6">
        <f>COUNTIFS(W:W,"A",C:C,2)/COUNTIF(C:C,2)</f>
        <v>0.76923076923076927</v>
      </c>
      <c r="AV145" s="6">
        <f>COUNTIFS(W:W,"A",C:C,3)/COUNTIF(C:C,3)</f>
        <v>0.92307692307692313</v>
      </c>
      <c r="AW145" s="6">
        <f>COUNTIFS(W:W,"A",C:C,4)/COUNTIF(C:C,4)</f>
        <v>0.69230769230769229</v>
      </c>
      <c r="AX145" s="6">
        <f>COUNTIFS(W:W,"A",C:C,5)/COUNTIF(C:C,5)</f>
        <v>0.30769230769230771</v>
      </c>
      <c r="AY145" s="6">
        <f>COUNTIFS(W:W,"A",C:C,6)/COUNTIF(C:C,6)</f>
        <v>0.46153846153846156</v>
      </c>
      <c r="AZ145"/>
      <c r="BA145" s="31"/>
      <c r="BB145" s="31"/>
      <c r="BC145" s="165"/>
      <c r="BD145" s="165"/>
      <c r="BE145" s="165"/>
      <c r="BF145" s="165"/>
      <c r="BG145" s="165"/>
      <c r="BH145" s="155"/>
      <c r="BI145" s="162"/>
      <c r="BJ145" s="155"/>
      <c r="BK145" s="158"/>
      <c r="BL145" s="158"/>
      <c r="BM145" s="158"/>
      <c r="BN145" s="158"/>
      <c r="BO145" s="158"/>
      <c r="BP145" s="158"/>
      <c r="BQ145" s="158"/>
      <c r="BR145" s="158"/>
      <c r="BS145" s="158"/>
      <c r="BT145" s="158"/>
      <c r="BU145" s="158"/>
      <c r="BV145" s="158"/>
      <c r="BW145" s="158"/>
      <c r="BX145" s="158"/>
      <c r="BY145" s="158"/>
      <c r="BZ145" s="158"/>
      <c r="CA145" s="158"/>
      <c r="CB145" s="158"/>
      <c r="CC145" s="158"/>
      <c r="CD145" s="158"/>
      <c r="CE145" s="158"/>
      <c r="CF145" s="158"/>
      <c r="CG145" s="158"/>
      <c r="CH145" s="158"/>
      <c r="CI145" s="158"/>
      <c r="CJ145" s="158"/>
      <c r="CK145" s="158"/>
      <c r="CL145" s="158"/>
      <c r="CM145" s="158"/>
      <c r="CN145" s="158"/>
      <c r="CO145" s="158"/>
      <c r="CP145" s="158"/>
      <c r="CQ145" s="158"/>
      <c r="CR145" s="158"/>
      <c r="CS145" s="158"/>
      <c r="CT145" s="158"/>
      <c r="CU145" s="155"/>
      <c r="CV145" s="155"/>
      <c r="CW145" s="155"/>
      <c r="CX145" s="155"/>
      <c r="CY145" s="155"/>
      <c r="CZ145" s="155"/>
      <c r="DA145" s="155"/>
      <c r="DB145" s="155"/>
      <c r="DC145" s="155"/>
      <c r="DD145" s="155"/>
      <c r="DE145" s="155"/>
      <c r="DF145" s="155"/>
      <c r="DG145" s="155"/>
      <c r="DH145" s="155"/>
    </row>
    <row r="146" spans="45:112" x14ac:dyDescent="0.3">
      <c r="AS146" s="6" t="s">
        <v>219</v>
      </c>
      <c r="AT146" s="6">
        <f>COUNTIFS(W:W,"B",C:C,1)/COUNTIF(C:C,1)</f>
        <v>0</v>
      </c>
      <c r="AU146" s="6">
        <f>COUNTIFS(W:W,"B",C:C,2)/COUNTIF(C:C,2)</f>
        <v>0.15384615384615385</v>
      </c>
      <c r="AV146" s="6">
        <f>COUNTIFS(W:W,"B",C:C,3)/COUNTIF(C:C,3)</f>
        <v>7.6923076923076927E-2</v>
      </c>
      <c r="AW146" s="6">
        <f>COUNTIFS(W:W,"B",C:C,4)/COUNTIF(C:C,4)</f>
        <v>0.30769230769230771</v>
      </c>
      <c r="AX146" s="6">
        <f>COUNTIFS(W:W,"B",C:C,5)/COUNTIF(C:C,5)</f>
        <v>0.69230769230769229</v>
      </c>
      <c r="AY146" s="6">
        <f>COUNTIFS(W:W,"B",C:C,6)/COUNTIF(C:C,6)</f>
        <v>0.23076923076923078</v>
      </c>
      <c r="AZ146"/>
      <c r="BA146" s="31"/>
      <c r="BB146" s="31"/>
      <c r="BC146" s="165"/>
      <c r="BD146" s="165"/>
      <c r="BE146" s="165"/>
      <c r="BF146" s="165"/>
      <c r="BG146" s="165"/>
      <c r="BH146" s="155"/>
      <c r="BI146" s="162"/>
      <c r="BJ146" s="155"/>
      <c r="BK146" s="155"/>
      <c r="BL146" s="155"/>
      <c r="BM146" s="155"/>
      <c r="BN146" s="155"/>
      <c r="BO146" s="155"/>
      <c r="BP146" s="155"/>
      <c r="BQ146" s="155"/>
      <c r="BR146" s="155"/>
      <c r="BS146" s="155"/>
      <c r="BT146" s="155"/>
      <c r="BU146" s="155"/>
      <c r="BV146" s="155"/>
      <c r="BW146" s="155"/>
      <c r="BX146" s="155"/>
      <c r="BY146" s="155"/>
      <c r="BZ146" s="155"/>
      <c r="CA146" s="155"/>
      <c r="CB146" s="155"/>
      <c r="CC146" s="155"/>
      <c r="CD146" s="155"/>
      <c r="CE146" s="155"/>
      <c r="CF146" s="155"/>
      <c r="CG146" s="155"/>
      <c r="CH146" s="155"/>
      <c r="CI146" s="155"/>
      <c r="CJ146" s="155"/>
      <c r="CK146" s="155"/>
      <c r="CL146" s="155"/>
      <c r="CM146" s="155"/>
      <c r="CN146" s="155"/>
      <c r="CO146" s="155"/>
      <c r="CP146" s="155"/>
      <c r="CQ146" s="155"/>
      <c r="CR146" s="155"/>
      <c r="CS146" s="155"/>
      <c r="CT146" s="155"/>
      <c r="CU146" s="155"/>
      <c r="CV146" s="155"/>
      <c r="CW146" s="155"/>
      <c r="CX146" s="155"/>
      <c r="CY146" s="155"/>
      <c r="CZ146" s="155"/>
      <c r="DA146" s="155"/>
      <c r="DB146" s="155"/>
      <c r="DC146" s="155"/>
      <c r="DD146" s="155"/>
      <c r="DE146" s="155"/>
      <c r="DF146" s="155"/>
      <c r="DG146" s="155"/>
      <c r="DH146" s="155"/>
    </row>
    <row r="147" spans="45:112" x14ac:dyDescent="0.3">
      <c r="AS147" s="6" t="s">
        <v>220</v>
      </c>
      <c r="AT147" s="6">
        <f>COUNTIFS(W:W,"C",C:C,1)/COUNTIF(C:C,1)</f>
        <v>0</v>
      </c>
      <c r="AU147" s="6">
        <f>COUNTIFS(W:W,"C",C:C,2)/COUNTIF(C:C,2)</f>
        <v>7.6923076923076927E-2</v>
      </c>
      <c r="AV147" s="6">
        <f>COUNTIFS(W:W,"C",C:C,3)/COUNTIF(C:C,3)</f>
        <v>0</v>
      </c>
      <c r="AW147" s="6">
        <f>COUNTIFS(W:W,"C",C:C,4)/COUNTIF(C:C,4)</f>
        <v>0</v>
      </c>
      <c r="AX147" s="6">
        <f>COUNTIFS(W:W,"C",C:C,5)/COUNTIF(C:C,5)</f>
        <v>0</v>
      </c>
      <c r="AY147" s="6">
        <f>COUNTIFS(W:W,"C",C:C,6)/COUNTIF(C:C,6)</f>
        <v>0.23076923076923078</v>
      </c>
      <c r="AZ147"/>
      <c r="BA147" s="31"/>
      <c r="BB147" s="31"/>
      <c r="BC147" s="165"/>
      <c r="BD147" s="165"/>
      <c r="BE147" s="165"/>
      <c r="BF147" s="165"/>
      <c r="BG147" s="165"/>
      <c r="BH147" s="155"/>
      <c r="BI147" s="155"/>
      <c r="BJ147" s="155"/>
      <c r="BK147" s="155"/>
      <c r="BL147" s="155"/>
      <c r="BM147" s="155"/>
      <c r="BN147" s="155"/>
      <c r="BO147" s="155"/>
      <c r="BP147" s="155"/>
      <c r="BQ147" s="155"/>
      <c r="BR147" s="155"/>
      <c r="BS147" s="155"/>
      <c r="BT147" s="155"/>
      <c r="BU147" s="155"/>
      <c r="BV147" s="155"/>
      <c r="BW147" s="155"/>
      <c r="BX147" s="155"/>
      <c r="BY147" s="155"/>
      <c r="BZ147" s="155"/>
      <c r="CA147" s="155"/>
      <c r="CB147" s="155"/>
      <c r="CC147" s="155"/>
      <c r="CD147" s="155"/>
      <c r="CE147" s="155"/>
      <c r="CF147" s="155"/>
      <c r="CG147" s="155"/>
      <c r="CH147" s="155"/>
      <c r="CI147" s="155"/>
      <c r="CJ147" s="155"/>
      <c r="CK147" s="155"/>
      <c r="CL147" s="155"/>
      <c r="CM147" s="155"/>
      <c r="CN147" s="155"/>
      <c r="CO147" s="155"/>
      <c r="CP147" s="155"/>
      <c r="CQ147" s="155"/>
      <c r="CR147" s="155"/>
      <c r="CS147" s="155"/>
      <c r="CT147" s="155"/>
      <c r="CU147" s="155"/>
      <c r="CV147" s="155"/>
      <c r="CW147" s="155"/>
      <c r="CX147" s="155"/>
      <c r="CY147" s="155"/>
      <c r="CZ147" s="155"/>
      <c r="DA147" s="155"/>
      <c r="DB147" s="155"/>
      <c r="DC147" s="155"/>
      <c r="DD147" s="155"/>
      <c r="DE147" s="155"/>
      <c r="DF147" s="155"/>
      <c r="DG147" s="155"/>
      <c r="DH147" s="155"/>
    </row>
    <row r="148" spans="45:112" x14ac:dyDescent="0.3">
      <c r="AS148" s="6" t="s">
        <v>221</v>
      </c>
      <c r="AT148" s="6">
        <f>COUNTIFS(W:W,"D",C:C,1)/COUNTIF(C:C,1)</f>
        <v>0</v>
      </c>
      <c r="AU148" s="6">
        <f>COUNTIFS(W:W,"D",C:C,2)/COUNTIF(C:C,2)</f>
        <v>0</v>
      </c>
      <c r="AV148" s="6">
        <f>COUNTIFS(W:W,"D",C:C,3)/COUNTIF(C:C,3)</f>
        <v>0</v>
      </c>
      <c r="AW148" s="6">
        <f>COUNTIFS(W:W,"D",C:C,4)/COUNTIF(C:C,4)</f>
        <v>0</v>
      </c>
      <c r="AX148" s="6">
        <f>COUNTIFS(W:W,"D",C:C,5)/COUNTIF(C:C,5)</f>
        <v>0</v>
      </c>
      <c r="AY148" s="6">
        <f>COUNTIFS(W:W,"D",C:C,6)/COUNTIF(C:C,6)</f>
        <v>7.6923076923076927E-2</v>
      </c>
      <c r="AZ148"/>
      <c r="BA148" s="31"/>
      <c r="BB148" s="31"/>
      <c r="BC148" s="165"/>
      <c r="BD148" s="165"/>
      <c r="BE148" s="165"/>
      <c r="BF148" s="165"/>
      <c r="BG148" s="165"/>
      <c r="BH148" s="155"/>
      <c r="BI148" s="161"/>
      <c r="BJ148" s="155"/>
      <c r="BK148" s="155"/>
      <c r="BL148" s="155"/>
      <c r="BM148" s="155"/>
      <c r="BN148" s="155"/>
      <c r="BO148" s="155"/>
      <c r="BP148" s="155"/>
      <c r="BQ148" s="155"/>
      <c r="BR148" s="155"/>
      <c r="BS148" s="155"/>
      <c r="BT148" s="155"/>
      <c r="BU148" s="155"/>
      <c r="BV148" s="155"/>
      <c r="BW148" s="155"/>
      <c r="BX148" s="155"/>
      <c r="BY148" s="155"/>
      <c r="BZ148" s="155"/>
      <c r="CA148" s="155"/>
      <c r="CB148" s="155"/>
      <c r="CC148" s="155"/>
      <c r="CD148" s="155"/>
      <c r="CE148" s="155"/>
      <c r="CF148" s="155"/>
      <c r="CG148" s="155"/>
      <c r="CH148" s="155"/>
      <c r="CI148" s="155"/>
      <c r="CJ148" s="155"/>
      <c r="CK148" s="155"/>
      <c r="CL148" s="155"/>
      <c r="CM148" s="155"/>
      <c r="CN148" s="155"/>
      <c r="CO148" s="155"/>
      <c r="CP148" s="155"/>
      <c r="CQ148" s="155"/>
      <c r="CR148" s="155"/>
      <c r="CS148" s="155"/>
      <c r="CT148" s="155"/>
      <c r="CU148" s="155"/>
      <c r="CV148" s="155"/>
      <c r="CW148" s="155"/>
      <c r="CX148" s="155"/>
      <c r="CY148" s="155"/>
      <c r="CZ148" s="155"/>
      <c r="DA148" s="155"/>
      <c r="DB148" s="155"/>
      <c r="DC148" s="155"/>
      <c r="DD148" s="155"/>
      <c r="DE148" s="155"/>
      <c r="DF148" s="155"/>
      <c r="DG148" s="155"/>
      <c r="DH148" s="155"/>
    </row>
    <row r="149" spans="45:112" x14ac:dyDescent="0.3">
      <c r="AZ149"/>
      <c r="BA149" s="33"/>
      <c r="BB149" s="33"/>
      <c r="BC149" s="164"/>
      <c r="BD149" s="164"/>
      <c r="BE149" s="164"/>
      <c r="BF149" s="164"/>
      <c r="BG149" s="164"/>
      <c r="BH149" s="155"/>
      <c r="BI149" s="155"/>
      <c r="BJ149" s="155"/>
      <c r="BK149" s="155"/>
      <c r="BL149" s="155"/>
      <c r="BM149" s="155"/>
      <c r="BN149" s="155"/>
      <c r="BO149" s="155"/>
      <c r="BP149" s="155"/>
      <c r="BQ149" s="155"/>
      <c r="BR149" s="155"/>
      <c r="BS149" s="155"/>
      <c r="BT149" s="155"/>
      <c r="BU149" s="155"/>
      <c r="BV149" s="155"/>
      <c r="BW149" s="155"/>
      <c r="BX149" s="155"/>
      <c r="BY149" s="155"/>
      <c r="BZ149" s="155"/>
      <c r="CA149" s="155"/>
      <c r="CB149" s="155"/>
      <c r="CC149" s="155"/>
      <c r="CD149" s="155"/>
      <c r="CE149" s="155"/>
      <c r="CF149" s="155"/>
      <c r="CG149" s="155"/>
      <c r="CH149" s="155"/>
      <c r="CI149" s="155"/>
      <c r="CJ149" s="155"/>
      <c r="CK149" s="155"/>
      <c r="CL149" s="155"/>
      <c r="CM149" s="155"/>
      <c r="CN149" s="155"/>
      <c r="CO149" s="155"/>
      <c r="CP149" s="155"/>
      <c r="CQ149" s="155"/>
      <c r="CR149" s="155"/>
      <c r="CS149" s="155"/>
      <c r="CT149" s="155"/>
      <c r="CU149" s="155"/>
      <c r="CV149" s="155"/>
      <c r="CW149" s="155"/>
      <c r="CX149" s="155"/>
      <c r="CY149" s="155"/>
      <c r="CZ149" s="155"/>
      <c r="DA149" s="155"/>
      <c r="DB149" s="155"/>
      <c r="DC149" s="155"/>
      <c r="DD149" s="155"/>
      <c r="DE149" s="155"/>
      <c r="DF149" s="155"/>
      <c r="DG149" s="155"/>
      <c r="DH149" s="155"/>
    </row>
    <row r="150" spans="45:112" x14ac:dyDescent="0.3">
      <c r="AS150" s="7" t="s">
        <v>252</v>
      </c>
      <c r="AT150" s="7">
        <v>1</v>
      </c>
      <c r="AU150" s="7">
        <v>2</v>
      </c>
      <c r="AV150" s="7">
        <v>3</v>
      </c>
      <c r="AW150" s="7">
        <v>4</v>
      </c>
      <c r="AX150" s="7">
        <v>5</v>
      </c>
      <c r="AY150" s="7">
        <v>6</v>
      </c>
      <c r="AZ150"/>
      <c r="BA150" s="31"/>
      <c r="BB150" s="31"/>
      <c r="BC150" s="165"/>
      <c r="BD150" s="165"/>
      <c r="BE150" s="165"/>
      <c r="BF150" s="165"/>
      <c r="BG150" s="165"/>
      <c r="BH150" s="155"/>
      <c r="BI150" s="161"/>
      <c r="BJ150" s="155"/>
      <c r="BK150" s="155"/>
      <c r="BL150" s="155"/>
      <c r="BM150" s="155"/>
      <c r="BN150" s="155"/>
      <c r="BO150" s="155"/>
      <c r="BP150" s="155"/>
      <c r="BQ150" s="155"/>
      <c r="BR150" s="155"/>
      <c r="BS150" s="155"/>
      <c r="BT150" s="155"/>
      <c r="BU150" s="155"/>
      <c r="BV150" s="155"/>
      <c r="BW150" s="155"/>
      <c r="BX150" s="155"/>
      <c r="BY150" s="155"/>
      <c r="BZ150" s="155"/>
      <c r="CA150" s="155"/>
      <c r="CB150" s="155"/>
      <c r="CC150" s="155"/>
      <c r="CD150" s="155"/>
      <c r="CE150" s="155"/>
      <c r="CF150" s="155"/>
      <c r="CG150" s="155"/>
      <c r="CH150" s="155"/>
      <c r="CI150" s="155"/>
      <c r="CJ150" s="155"/>
      <c r="CK150" s="155"/>
      <c r="CL150" s="155"/>
      <c r="CM150" s="155"/>
      <c r="CN150" s="155"/>
      <c r="CO150" s="155"/>
      <c r="CP150" s="155"/>
      <c r="CQ150" s="155"/>
      <c r="CR150" s="155"/>
      <c r="CS150" s="155"/>
      <c r="CT150" s="155"/>
      <c r="CU150" s="155"/>
      <c r="CV150" s="155"/>
      <c r="CW150" s="155"/>
      <c r="CX150" s="155"/>
      <c r="CY150" s="155"/>
      <c r="CZ150" s="155"/>
      <c r="DA150" s="155"/>
      <c r="DB150" s="155"/>
      <c r="DC150" s="155"/>
      <c r="DD150" s="155"/>
      <c r="DE150" s="155"/>
      <c r="DF150" s="155"/>
      <c r="DG150" s="155"/>
      <c r="DH150" s="155"/>
    </row>
    <row r="151" spans="45:112" x14ac:dyDescent="0.3">
      <c r="AS151" s="6" t="s">
        <v>222</v>
      </c>
      <c r="AT151" s="6">
        <f>COUNTIFS(X:X,"A",C:C,1)/COUNTIF(C:C,1)</f>
        <v>0.46153846153846156</v>
      </c>
      <c r="AU151" s="6">
        <f>COUNTIFS(X:X,"A",C:C,2)/COUNTIF(C:C,2)</f>
        <v>0.69230769230769229</v>
      </c>
      <c r="AV151" s="6">
        <f>COUNTIFS(X:X,"A",C:C,3)/COUNTIF(C:C,3)</f>
        <v>0.38461538461538464</v>
      </c>
      <c r="AW151" s="6">
        <f>COUNTIFS(X:X,"A",C:C,4)/COUNTIF(C:C,4)</f>
        <v>0.53846153846153844</v>
      </c>
      <c r="AX151" s="6">
        <f>COUNTIFS(X:X,"A",C:C,5)/COUNTIF(C:C,5)</f>
        <v>0.15384615384615385</v>
      </c>
      <c r="AY151" s="6">
        <f>COUNTIFS(X:X,"A",C:C,6)/COUNTIF(C:C,6)</f>
        <v>0.15384615384615385</v>
      </c>
      <c r="AZ151"/>
      <c r="BA151" s="31"/>
      <c r="BB151" s="31"/>
      <c r="BC151" s="165"/>
      <c r="BD151" s="165"/>
      <c r="BE151" s="165"/>
      <c r="BF151" s="165"/>
      <c r="BG151" s="165"/>
      <c r="BH151" s="155"/>
      <c r="BI151" s="155"/>
      <c r="BJ151" s="155"/>
      <c r="BK151" s="155"/>
      <c r="BL151" s="155"/>
      <c r="BM151" s="155"/>
      <c r="BN151" s="155"/>
      <c r="BO151" s="155"/>
      <c r="BP151" s="155"/>
      <c r="BQ151" s="155"/>
      <c r="BR151" s="155"/>
      <c r="BS151" s="155"/>
      <c r="BT151" s="155"/>
      <c r="BU151" s="155"/>
      <c r="BV151" s="155"/>
      <c r="BW151" s="155"/>
      <c r="BX151" s="155"/>
      <c r="BY151" s="155"/>
      <c r="BZ151" s="155"/>
      <c r="CA151" s="155"/>
      <c r="CB151" s="155"/>
      <c r="CC151" s="155"/>
      <c r="CD151" s="155"/>
      <c r="CE151" s="155"/>
      <c r="CF151" s="155"/>
      <c r="CG151" s="155"/>
      <c r="CH151" s="155"/>
      <c r="CI151" s="155"/>
      <c r="CJ151" s="155"/>
      <c r="CK151" s="155"/>
      <c r="CL151" s="155"/>
      <c r="CM151" s="155"/>
      <c r="CN151" s="155"/>
      <c r="CO151" s="155"/>
      <c r="CP151" s="155"/>
      <c r="CQ151" s="155"/>
      <c r="CR151" s="155"/>
      <c r="CS151" s="155"/>
      <c r="CT151" s="155"/>
      <c r="CU151" s="155"/>
      <c r="CV151" s="155"/>
      <c r="CW151" s="155"/>
      <c r="CX151" s="155"/>
      <c r="CY151" s="155"/>
      <c r="CZ151" s="155"/>
      <c r="DA151" s="155"/>
      <c r="DB151" s="155"/>
      <c r="DC151" s="155"/>
      <c r="DD151" s="155"/>
      <c r="DE151" s="155"/>
      <c r="DF151" s="155"/>
      <c r="DG151" s="155"/>
      <c r="DH151" s="155"/>
    </row>
    <row r="152" spans="45:112" x14ac:dyDescent="0.3">
      <c r="AS152" s="6" t="s">
        <v>223</v>
      </c>
      <c r="AT152" s="6">
        <f>COUNTIFS(X:X,"B",C:C,1)/COUNTIF(C:C,1)</f>
        <v>0.53846153846153844</v>
      </c>
      <c r="AU152" s="6">
        <f>COUNTIFS(X:X,"B",C:C,2)/COUNTIF(C:C,2)</f>
        <v>0.30769230769230771</v>
      </c>
      <c r="AV152" s="6">
        <f>COUNTIFS(X:X,"B",C:C,3)/COUNTIF(C:C,3)</f>
        <v>0.38461538461538464</v>
      </c>
      <c r="AW152" s="6">
        <f>COUNTIFS(X:X,"B",C:C,4)/COUNTIF(C:C,4)</f>
        <v>0.38461538461538464</v>
      </c>
      <c r="AX152" s="6">
        <f>COUNTIFS(X:X,"B",C:C,5)/COUNTIF(C:C,5)</f>
        <v>0.84615384615384615</v>
      </c>
      <c r="AY152" s="6">
        <f>COUNTIFS(X:X,"B",C:C,6)/COUNTIF(C:C,6)</f>
        <v>0.38461538461538464</v>
      </c>
      <c r="AZ152"/>
      <c r="BA152" s="31"/>
      <c r="BB152" s="31"/>
      <c r="BC152" s="165"/>
      <c r="BD152" s="165"/>
      <c r="BE152" s="165"/>
      <c r="BF152" s="165"/>
      <c r="BG152" s="165"/>
      <c r="BH152" s="155"/>
      <c r="BI152" s="161"/>
      <c r="BJ152" s="155"/>
      <c r="BK152" s="155"/>
      <c r="BL152" s="155"/>
      <c r="BM152" s="155"/>
      <c r="BN152" s="155"/>
      <c r="BO152" s="155"/>
      <c r="BP152" s="155"/>
      <c r="BQ152" s="155"/>
      <c r="BR152" s="155"/>
      <c r="BS152" s="155"/>
      <c r="BT152" s="155"/>
      <c r="BU152" s="155"/>
      <c r="BV152" s="155"/>
      <c r="BW152" s="155"/>
      <c r="BX152" s="155"/>
      <c r="BY152" s="155"/>
      <c r="BZ152" s="155"/>
      <c r="CA152" s="155"/>
      <c r="CB152" s="155"/>
      <c r="CC152" s="155"/>
      <c r="CD152" s="155"/>
      <c r="CE152" s="155"/>
      <c r="CF152" s="155"/>
      <c r="CG152" s="155"/>
      <c r="CH152" s="155"/>
      <c r="CI152" s="155"/>
      <c r="CJ152" s="155"/>
      <c r="CK152" s="155"/>
      <c r="CL152" s="155"/>
      <c r="CM152" s="155"/>
      <c r="CN152" s="155"/>
      <c r="CO152" s="155"/>
      <c r="CP152" s="155"/>
      <c r="CQ152" s="155"/>
      <c r="CR152" s="155"/>
      <c r="CS152" s="155"/>
      <c r="CT152" s="155"/>
      <c r="CU152" s="155"/>
      <c r="CV152" s="155"/>
      <c r="CW152" s="155"/>
      <c r="CX152" s="155"/>
      <c r="CY152" s="155"/>
      <c r="CZ152" s="155"/>
      <c r="DA152" s="155"/>
      <c r="DB152" s="155"/>
      <c r="DC152" s="155"/>
      <c r="DD152" s="155"/>
      <c r="DE152" s="155"/>
      <c r="DF152" s="155"/>
      <c r="DG152" s="155"/>
      <c r="DH152" s="155"/>
    </row>
    <row r="153" spans="45:112" x14ac:dyDescent="0.3">
      <c r="AS153" s="6" t="s">
        <v>224</v>
      </c>
      <c r="AT153" s="6">
        <f>COUNTIFS(X:X,"C",C:C,1)/COUNTIF(C:C,1)</f>
        <v>0</v>
      </c>
      <c r="AU153" s="6">
        <f>COUNTIFS(X:X,"C",C:C,2)/COUNTIF(C:C,2)</f>
        <v>0</v>
      </c>
      <c r="AV153" s="6">
        <f>COUNTIFS(X:X,"C",C:C,3)/COUNTIF(C:C,3)</f>
        <v>0.15384615384615385</v>
      </c>
      <c r="AW153" s="6">
        <f>COUNTIFS(X:X,"C",C:C,4)/COUNTIF(C:C,4)</f>
        <v>7.6923076923076927E-2</v>
      </c>
      <c r="AX153" s="6">
        <f>COUNTIFS(X:X,"C",C:C,5)/COUNTIF(C:C,5)</f>
        <v>0</v>
      </c>
      <c r="AY153" s="6">
        <f>COUNTIFS(X:X,"C",C:C,6)/COUNTIF(C:C,6)</f>
        <v>0.30769230769230771</v>
      </c>
      <c r="AZ153"/>
      <c r="BA153" s="31"/>
      <c r="BB153" s="31"/>
      <c r="BC153" s="165"/>
      <c r="BD153" s="165"/>
      <c r="BE153" s="165"/>
      <c r="BF153" s="165"/>
      <c r="BG153" s="165"/>
      <c r="BH153" s="155"/>
      <c r="BI153" s="155"/>
      <c r="BJ153" s="155"/>
      <c r="BK153" s="155"/>
      <c r="BL153" s="155"/>
      <c r="BM153" s="155"/>
      <c r="BN153" s="155"/>
      <c r="BO153" s="155"/>
      <c r="BP153" s="155"/>
      <c r="BQ153" s="155"/>
      <c r="BR153" s="155"/>
      <c r="BS153" s="155"/>
      <c r="BT153" s="155"/>
      <c r="BU153" s="155"/>
      <c r="BV153" s="155"/>
      <c r="BW153" s="155"/>
      <c r="BX153" s="155"/>
      <c r="BY153" s="155"/>
      <c r="BZ153" s="155"/>
      <c r="CA153" s="155"/>
      <c r="CB153" s="155"/>
      <c r="CC153" s="155"/>
      <c r="CD153" s="155"/>
      <c r="CE153" s="155"/>
      <c r="CF153" s="155"/>
      <c r="CG153" s="155"/>
      <c r="CH153" s="155"/>
      <c r="CI153" s="155"/>
      <c r="CJ153" s="155"/>
      <c r="CK153" s="155"/>
      <c r="CL153" s="155"/>
      <c r="CM153" s="155"/>
      <c r="CN153" s="155"/>
      <c r="CO153" s="155"/>
      <c r="CP153" s="155"/>
      <c r="CQ153" s="155"/>
      <c r="CR153" s="155"/>
      <c r="CS153" s="155"/>
      <c r="CT153" s="155"/>
      <c r="CU153" s="155"/>
      <c r="CV153" s="155"/>
      <c r="CW153" s="155"/>
      <c r="CX153" s="155"/>
      <c r="CY153" s="155"/>
      <c r="CZ153" s="155"/>
      <c r="DA153" s="155"/>
      <c r="DB153" s="155"/>
      <c r="DC153" s="155"/>
      <c r="DD153" s="155"/>
      <c r="DE153" s="155"/>
      <c r="DF153" s="155"/>
      <c r="DG153" s="155"/>
      <c r="DH153" s="155"/>
    </row>
    <row r="154" spans="45:112" x14ac:dyDescent="0.3">
      <c r="AS154" s="6" t="s">
        <v>225</v>
      </c>
      <c r="AT154" s="6">
        <f>COUNTIFS(X:X,"D",C:C,1)/COUNTIF(C:C,1)</f>
        <v>0</v>
      </c>
      <c r="AU154" s="6">
        <f>COUNTIFS(X:X,"D",C:C,2)/COUNTIF(C:C,2)</f>
        <v>0</v>
      </c>
      <c r="AV154" s="6">
        <f>COUNTIFS(X:X,"D",C:C,3)/COUNTIF(C:C,3)</f>
        <v>7.6923076923076927E-2</v>
      </c>
      <c r="AW154" s="6">
        <f>COUNTIFS(X:X,"D",C:C,4)/COUNTIF(C:C,4)</f>
        <v>0</v>
      </c>
      <c r="AX154" s="6">
        <f>COUNTIFS(X:X,"D",C:C,5)/COUNTIF(C:C,5)</f>
        <v>0</v>
      </c>
      <c r="AY154" s="6">
        <f>COUNTIFS(X:X,"D",C:C,6)/COUNTIF(C:C,6)</f>
        <v>0.15384615384615385</v>
      </c>
      <c r="AZ154"/>
      <c r="BA154" s="31"/>
      <c r="BB154" s="31"/>
      <c r="BC154" s="165"/>
      <c r="BD154" s="165"/>
      <c r="BE154" s="165"/>
      <c r="BF154" s="165"/>
      <c r="BG154" s="165"/>
      <c r="BH154" s="155"/>
      <c r="BI154" s="161"/>
      <c r="BJ154" s="155"/>
      <c r="BK154" s="155"/>
      <c r="BL154" s="155"/>
      <c r="BM154" s="155"/>
      <c r="BN154" s="155"/>
      <c r="BO154" s="155"/>
      <c r="BP154" s="155"/>
      <c r="BQ154" s="155"/>
      <c r="BR154" s="155"/>
      <c r="BS154" s="155"/>
      <c r="BT154" s="155"/>
      <c r="BU154" s="155"/>
      <c r="BV154" s="155"/>
      <c r="BW154" s="155"/>
      <c r="BX154" s="155"/>
      <c r="BY154" s="155"/>
      <c r="BZ154" s="155"/>
      <c r="CA154" s="155"/>
      <c r="CB154" s="155"/>
      <c r="CC154" s="155"/>
      <c r="CD154" s="155"/>
      <c r="CE154" s="155"/>
      <c r="CF154" s="155"/>
      <c r="CG154" s="155"/>
      <c r="CH154" s="155"/>
      <c r="CI154" s="155"/>
      <c r="CJ154" s="155"/>
      <c r="CK154" s="155"/>
      <c r="CL154" s="155"/>
      <c r="CM154" s="155"/>
      <c r="CN154" s="155"/>
      <c r="CO154" s="155"/>
      <c r="CP154" s="155"/>
      <c r="CQ154" s="155"/>
      <c r="CR154" s="155"/>
      <c r="CS154" s="155"/>
      <c r="CT154" s="155"/>
      <c r="CU154" s="155"/>
      <c r="CV154" s="155"/>
      <c r="CW154" s="155"/>
      <c r="CX154" s="155"/>
      <c r="CY154" s="155"/>
      <c r="CZ154" s="155"/>
      <c r="DA154" s="155"/>
      <c r="DB154" s="155"/>
      <c r="DC154" s="155"/>
      <c r="DD154" s="155"/>
      <c r="DE154" s="155"/>
      <c r="DF154" s="155"/>
      <c r="DG154" s="155"/>
      <c r="DH154" s="155"/>
    </row>
    <row r="155" spans="45:112" x14ac:dyDescent="0.3">
      <c r="AZ155"/>
      <c r="BA155" s="33"/>
      <c r="BB155" s="33"/>
      <c r="BC155" s="164"/>
      <c r="BD155" s="164"/>
      <c r="BE155" s="164"/>
      <c r="BF155" s="164"/>
      <c r="BG155" s="164"/>
      <c r="BH155" s="155"/>
      <c r="BI155" s="155"/>
      <c r="BJ155" s="155"/>
      <c r="BK155" s="155"/>
      <c r="BL155" s="155"/>
      <c r="BM155" s="155"/>
      <c r="BN155" s="155"/>
      <c r="BO155" s="155"/>
      <c r="BP155" s="155"/>
      <c r="BQ155" s="155"/>
      <c r="BR155" s="155"/>
      <c r="BS155" s="155"/>
      <c r="BT155" s="155"/>
      <c r="BU155" s="155"/>
      <c r="BV155" s="155"/>
      <c r="BW155" s="155"/>
      <c r="BX155" s="155"/>
      <c r="BY155" s="155"/>
      <c r="BZ155" s="155"/>
      <c r="CA155" s="155"/>
      <c r="CB155" s="155"/>
      <c r="CC155" s="155"/>
      <c r="CD155" s="155"/>
      <c r="CE155" s="155"/>
      <c r="CF155" s="155"/>
      <c r="CG155" s="155"/>
      <c r="CH155" s="155"/>
      <c r="CI155" s="155"/>
      <c r="CJ155" s="155"/>
      <c r="CK155" s="155"/>
      <c r="CL155" s="155"/>
      <c r="CM155" s="155"/>
      <c r="CN155" s="155"/>
      <c r="CO155" s="155"/>
      <c r="CP155" s="155"/>
      <c r="CQ155" s="155"/>
      <c r="CR155" s="155"/>
      <c r="CS155" s="155"/>
      <c r="CT155" s="155"/>
      <c r="CU155" s="155"/>
      <c r="CV155" s="155"/>
      <c r="CW155" s="155"/>
      <c r="CX155" s="155"/>
      <c r="CY155" s="155"/>
      <c r="CZ155" s="155"/>
      <c r="DA155" s="155"/>
      <c r="DB155" s="155"/>
      <c r="DC155" s="155"/>
      <c r="DD155" s="155"/>
      <c r="DE155" s="155"/>
      <c r="DF155" s="155"/>
      <c r="DG155" s="155"/>
      <c r="DH155" s="155"/>
    </row>
    <row r="156" spans="45:112" x14ac:dyDescent="0.3">
      <c r="AS156" s="7" t="s">
        <v>344</v>
      </c>
      <c r="AT156" s="7">
        <v>1</v>
      </c>
      <c r="AU156" s="7">
        <v>2</v>
      </c>
      <c r="AV156" s="7">
        <v>3</v>
      </c>
      <c r="AW156" s="7">
        <v>4</v>
      </c>
      <c r="AX156" s="7">
        <v>5</v>
      </c>
      <c r="AY156" s="7">
        <v>6</v>
      </c>
      <c r="AZ156"/>
      <c r="BA156" s="31"/>
      <c r="BB156" s="31"/>
      <c r="BC156" s="165"/>
      <c r="BD156" s="165"/>
      <c r="BE156" s="165"/>
      <c r="BF156" s="165"/>
      <c r="BG156" s="165"/>
      <c r="BH156" s="155"/>
      <c r="BI156" s="161"/>
      <c r="BJ156" s="155"/>
      <c r="BK156" s="155"/>
      <c r="BL156" s="155"/>
      <c r="BM156" s="155"/>
      <c r="BN156" s="155"/>
      <c r="BO156" s="155"/>
      <c r="BP156" s="155"/>
      <c r="BQ156" s="155"/>
      <c r="BR156" s="155"/>
      <c r="BS156" s="155"/>
      <c r="BT156" s="155"/>
      <c r="BU156" s="155"/>
      <c r="BV156" s="155"/>
      <c r="BW156" s="155"/>
      <c r="BX156" s="155"/>
      <c r="BY156" s="155"/>
      <c r="BZ156" s="155"/>
      <c r="CA156" s="155"/>
      <c r="CB156" s="155"/>
      <c r="CC156" s="155"/>
      <c r="CD156" s="155"/>
      <c r="CE156" s="155"/>
      <c r="CF156" s="155"/>
      <c r="CG156" s="155"/>
      <c r="CH156" s="155"/>
      <c r="CI156" s="155"/>
      <c r="CJ156" s="155"/>
      <c r="CK156" s="155"/>
      <c r="CL156" s="155"/>
      <c r="CM156" s="155"/>
      <c r="CN156" s="155"/>
      <c r="CO156" s="155"/>
      <c r="CP156" s="155"/>
      <c r="CQ156" s="155"/>
      <c r="CR156" s="155"/>
      <c r="CS156" s="155"/>
      <c r="CT156" s="155"/>
      <c r="CU156" s="155"/>
      <c r="CV156" s="155"/>
      <c r="CW156" s="155"/>
      <c r="CX156" s="155"/>
      <c r="CY156" s="155"/>
      <c r="CZ156" s="155"/>
      <c r="DA156" s="155"/>
      <c r="DB156" s="155"/>
      <c r="DC156" s="155"/>
      <c r="DD156" s="155"/>
      <c r="DE156" s="155"/>
      <c r="DF156" s="155"/>
      <c r="DG156" s="155"/>
      <c r="DH156" s="155"/>
    </row>
    <row r="157" spans="45:112" x14ac:dyDescent="0.3">
      <c r="AS157" s="6" t="s">
        <v>345</v>
      </c>
      <c r="AT157" s="6">
        <f>COUNTIFS(Y:Y,"A",C:C,1)/COUNTIF(C:C,1)</f>
        <v>0.38461538461538464</v>
      </c>
      <c r="AU157" s="6">
        <f>COUNTIFS(Y:Y,"A",C:C,2)/COUNTIF(C:C,2)</f>
        <v>0.46153846153846156</v>
      </c>
      <c r="AV157" s="6">
        <f>COUNTIFS(Y:Y,"A",C:C,3)/COUNTIF(C:C,3)</f>
        <v>0.23076923076923078</v>
      </c>
      <c r="AW157" s="6">
        <f>COUNTIFS(Y:Y,"A",C:C,4)/COUNTIF(C:C,4)</f>
        <v>0.23076923076923078</v>
      </c>
      <c r="AX157" s="6">
        <f>COUNTIFS(Y:Y,"A",C:C,5)/COUNTIF(C:C,5)</f>
        <v>0.30769230769230771</v>
      </c>
      <c r="AY157" s="6">
        <f>COUNTIFS(Y:Y,"A",C:C,6)/COUNTIF(C:C,6)</f>
        <v>0.38461538461538464</v>
      </c>
      <c r="AZ157"/>
      <c r="BA157" s="31"/>
      <c r="BB157" s="31"/>
      <c r="BC157" s="165"/>
      <c r="BD157" s="165"/>
      <c r="BE157" s="165"/>
      <c r="BF157" s="165"/>
      <c r="BG157" s="165"/>
      <c r="BH157" s="155"/>
      <c r="BI157" s="155"/>
      <c r="BJ157" s="155"/>
      <c r="BK157" s="155"/>
      <c r="BL157" s="155"/>
      <c r="BM157" s="155"/>
      <c r="BN157" s="155"/>
      <c r="BO157" s="155"/>
      <c r="BP157" s="155"/>
      <c r="BQ157" s="155"/>
      <c r="BR157" s="155"/>
      <c r="BS157" s="155"/>
      <c r="BT157" s="155"/>
      <c r="BU157" s="155"/>
      <c r="BV157" s="155"/>
      <c r="BW157" s="155"/>
      <c r="BX157" s="155"/>
      <c r="BY157" s="155"/>
      <c r="BZ157" s="155"/>
      <c r="CA157" s="155"/>
      <c r="CB157" s="155"/>
      <c r="CC157" s="155"/>
      <c r="CD157" s="155"/>
      <c r="CE157" s="155"/>
      <c r="CF157" s="155"/>
      <c r="CG157" s="155"/>
      <c r="CH157" s="155"/>
      <c r="CI157" s="155"/>
      <c r="CJ157" s="155"/>
      <c r="CK157" s="155"/>
      <c r="CL157" s="155"/>
      <c r="CM157" s="155"/>
      <c r="CN157" s="155"/>
      <c r="CO157" s="155"/>
      <c r="CP157" s="155"/>
      <c r="CQ157" s="155"/>
      <c r="CR157" s="155"/>
      <c r="CS157" s="155"/>
      <c r="CT157" s="155"/>
      <c r="CU157" s="155"/>
      <c r="CV157" s="155"/>
      <c r="CW157" s="155"/>
      <c r="CX157" s="155"/>
      <c r="CY157" s="155"/>
      <c r="CZ157" s="155"/>
      <c r="DA157" s="155"/>
      <c r="DB157" s="155"/>
      <c r="DC157" s="155"/>
      <c r="DD157" s="155"/>
      <c r="DE157" s="155"/>
      <c r="DF157" s="155"/>
      <c r="DG157" s="155"/>
      <c r="DH157" s="155"/>
    </row>
    <row r="158" spans="45:112" x14ac:dyDescent="0.3">
      <c r="AS158" s="6" t="s">
        <v>346</v>
      </c>
      <c r="AT158" s="6">
        <f>COUNTIFS(Y:Y,"B",C:C,1)/COUNTIF(C:C,1)</f>
        <v>7.6923076923076927E-2</v>
      </c>
      <c r="AU158" s="6">
        <f>COUNTIFS(Y:Y,"B",C:C,2)/COUNTIF(C:C,2)</f>
        <v>0</v>
      </c>
      <c r="AV158" s="6">
        <f>COUNTIFS(Y:Y,"B",C:C,3)/COUNTIF(C:C,3)</f>
        <v>0.23076923076923078</v>
      </c>
      <c r="AW158" s="6">
        <f>COUNTIFS(Y:Y,"B",C:C,4)/COUNTIF(C:C,4)</f>
        <v>0</v>
      </c>
      <c r="AX158" s="6">
        <f>COUNTIFS(Y:Y,"B",C:C,5)/COUNTIF(C:C,5)</f>
        <v>0.15384615384615385</v>
      </c>
      <c r="AY158" s="6">
        <f>COUNTIFS(Y:Y,"B",C:C,6)/COUNTIF(C:C,6)</f>
        <v>0</v>
      </c>
      <c r="AZ158"/>
      <c r="BA158" s="31"/>
      <c r="BB158" s="31"/>
      <c r="BC158" s="165"/>
      <c r="BD158" s="165"/>
      <c r="BE158" s="165"/>
      <c r="BF158" s="165"/>
      <c r="BG158" s="165"/>
      <c r="BH158" s="155"/>
      <c r="BI158" s="161"/>
      <c r="BJ158" s="155"/>
      <c r="BK158" s="155"/>
      <c r="BL158" s="155"/>
      <c r="BM158" s="155"/>
      <c r="BN158" s="155"/>
      <c r="BO158" s="155"/>
      <c r="BP158" s="155"/>
      <c r="BQ158" s="155"/>
      <c r="BR158" s="155"/>
      <c r="BS158" s="155"/>
      <c r="BT158" s="155"/>
      <c r="BU158" s="155"/>
      <c r="BV158" s="155"/>
      <c r="BW158" s="155"/>
      <c r="BX158" s="155"/>
      <c r="BY158" s="155"/>
      <c r="BZ158" s="155"/>
      <c r="CA158" s="155"/>
      <c r="CB158" s="155"/>
      <c r="CC158" s="155"/>
      <c r="CD158" s="155"/>
      <c r="CE158" s="155"/>
      <c r="CF158" s="155"/>
      <c r="CG158" s="155"/>
      <c r="CH158" s="155"/>
      <c r="CI158" s="155"/>
      <c r="CJ158" s="155"/>
      <c r="CK158" s="155"/>
      <c r="CL158" s="155"/>
      <c r="CM158" s="155"/>
      <c r="CN158" s="155"/>
      <c r="CO158" s="155"/>
      <c r="CP158" s="155"/>
      <c r="CQ158" s="155"/>
      <c r="CR158" s="155"/>
      <c r="CS158" s="155"/>
      <c r="CT158" s="155"/>
      <c r="CU158" s="155"/>
      <c r="CV158" s="155"/>
      <c r="CW158" s="155"/>
      <c r="CX158" s="155"/>
      <c r="CY158" s="155"/>
      <c r="CZ158" s="155"/>
      <c r="DA158" s="155"/>
      <c r="DB158" s="155"/>
      <c r="DC158" s="155"/>
      <c r="DD158" s="155"/>
      <c r="DE158" s="155"/>
      <c r="DF158" s="155"/>
      <c r="DG158" s="155"/>
      <c r="DH158" s="155"/>
    </row>
    <row r="159" spans="45:112" x14ac:dyDescent="0.3">
      <c r="AS159" s="6" t="s">
        <v>347</v>
      </c>
      <c r="AT159" s="6">
        <f>COUNTIFS(Y:Y,"C",C:C,1)/COUNTIF(C:C,1)</f>
        <v>0.46153846153846156</v>
      </c>
      <c r="AU159" s="6">
        <f>COUNTIFS(Y:Y,"C",C:C,2)/COUNTIF(C:C,2)</f>
        <v>0.53846153846153844</v>
      </c>
      <c r="AV159" s="6">
        <f>COUNTIFS(Y:Y,"C",C:C,3)/COUNTIF(C:C,3)</f>
        <v>0.46153846153846156</v>
      </c>
      <c r="AW159" s="6">
        <f>COUNTIFS(Y:Y,"C",C:C,4)/COUNTIF(C:C,4)</f>
        <v>0.76923076923076927</v>
      </c>
      <c r="AX159" s="6">
        <f>COUNTIFS(Y:Y,"C",C:C,5)/COUNTIF(C:C,5)</f>
        <v>0.53846153846153844</v>
      </c>
      <c r="AY159" s="6">
        <f>COUNTIFS(Y:Y,"C",C:C,6)/COUNTIF(C:C,6)</f>
        <v>0.53846153846153844</v>
      </c>
      <c r="AZ159"/>
      <c r="BA159" s="31"/>
      <c r="BB159" s="31"/>
      <c r="BC159" s="165"/>
      <c r="BD159" s="165"/>
      <c r="BE159" s="165"/>
      <c r="BF159" s="165"/>
      <c r="BG159" s="165"/>
      <c r="BH159" s="155"/>
      <c r="BI159" s="155"/>
      <c r="BJ159" s="155"/>
      <c r="BK159" s="155"/>
      <c r="BL159" s="155"/>
      <c r="BM159" s="155"/>
      <c r="BN159" s="155"/>
      <c r="BO159" s="155"/>
      <c r="BP159" s="155"/>
      <c r="BQ159" s="155"/>
      <c r="BR159" s="155"/>
      <c r="BS159" s="155"/>
      <c r="BT159" s="155"/>
      <c r="BU159" s="155"/>
      <c r="BV159" s="155"/>
      <c r="BW159" s="155"/>
      <c r="BX159" s="155"/>
      <c r="BY159" s="155"/>
      <c r="BZ159" s="155"/>
      <c r="CA159" s="155"/>
      <c r="CB159" s="155"/>
      <c r="CC159" s="155"/>
      <c r="CD159" s="155"/>
      <c r="CE159" s="155"/>
      <c r="CF159" s="155"/>
      <c r="CG159" s="155"/>
      <c r="CH159" s="155"/>
      <c r="CI159" s="155"/>
      <c r="CJ159" s="155"/>
      <c r="CK159" s="155"/>
      <c r="CL159" s="155"/>
      <c r="CM159" s="155"/>
      <c r="CN159" s="155"/>
      <c r="CO159" s="155"/>
      <c r="CP159" s="155"/>
      <c r="CQ159" s="155"/>
      <c r="CR159" s="155"/>
      <c r="CS159" s="155"/>
      <c r="CT159" s="155"/>
      <c r="CU159" s="155"/>
      <c r="CV159" s="155"/>
      <c r="CW159" s="155"/>
      <c r="CX159" s="155"/>
      <c r="CY159" s="155"/>
      <c r="CZ159" s="155"/>
      <c r="DA159" s="155"/>
      <c r="DB159" s="155"/>
      <c r="DC159" s="155"/>
      <c r="DD159" s="155"/>
      <c r="DE159" s="155"/>
      <c r="DF159" s="155"/>
      <c r="DG159" s="155"/>
      <c r="DH159" s="155"/>
    </row>
    <row r="160" spans="45:112" x14ac:dyDescent="0.3">
      <c r="AS160" s="6" t="s">
        <v>348</v>
      </c>
      <c r="AT160" s="6">
        <f>COUNTIFS(Y:Y,"D",C:C,1)/COUNTIF(C:C,1)</f>
        <v>7.6923076923076927E-2</v>
      </c>
      <c r="AU160" s="6">
        <f>COUNTIFS(Y:Y,"D",C:C,2)/COUNTIF(C:C,2)</f>
        <v>0</v>
      </c>
      <c r="AV160" s="6">
        <f>COUNTIFS(Y:Y,"D",C:C,3)/COUNTIF(C:C,3)</f>
        <v>7.6923076923076927E-2</v>
      </c>
      <c r="AW160" s="6">
        <f>COUNTIFS(Y:Y,"D",C:C,4)/COUNTIF(C:C,4)</f>
        <v>0</v>
      </c>
      <c r="AX160" s="6">
        <f>COUNTIFS(Y:Y,"D",C:C,5)/COUNTIF(C:C,5)</f>
        <v>0</v>
      </c>
      <c r="AY160" s="6">
        <f>COUNTIFS(Y:Y,"D",C:C,6)/COUNTIF(C:C,6)</f>
        <v>7.6923076923076927E-2</v>
      </c>
      <c r="AZ160"/>
      <c r="BA160" s="31"/>
      <c r="BB160" s="31"/>
      <c r="BC160" s="165"/>
      <c r="BD160" s="165"/>
      <c r="BE160" s="165"/>
      <c r="BF160" s="165"/>
      <c r="BG160" s="165"/>
      <c r="BH160" s="155"/>
      <c r="BI160" s="155"/>
      <c r="BJ160" s="155"/>
      <c r="BK160" s="155"/>
      <c r="BL160" s="155"/>
      <c r="BM160" s="155"/>
      <c r="BN160" s="155"/>
      <c r="BO160" s="155"/>
      <c r="BP160" s="155"/>
      <c r="BQ160" s="155"/>
      <c r="BR160" s="155"/>
      <c r="BS160" s="155"/>
      <c r="BT160" s="155"/>
      <c r="BU160" s="155"/>
      <c r="BV160" s="155"/>
      <c r="BW160" s="155"/>
      <c r="BX160" s="155"/>
      <c r="BY160" s="155"/>
      <c r="BZ160" s="155"/>
      <c r="CA160" s="155"/>
      <c r="CB160" s="155"/>
      <c r="CC160" s="155"/>
      <c r="CD160" s="155"/>
      <c r="CE160" s="155"/>
      <c r="CF160" s="155"/>
      <c r="CG160" s="155"/>
      <c r="CH160" s="155"/>
      <c r="CI160" s="155"/>
      <c r="CJ160" s="155"/>
      <c r="CK160" s="155"/>
      <c r="CL160" s="155"/>
      <c r="CM160" s="155"/>
      <c r="CN160" s="155"/>
      <c r="CO160" s="155"/>
      <c r="CP160" s="155"/>
      <c r="CQ160" s="155"/>
      <c r="CR160" s="155"/>
      <c r="CS160" s="155"/>
      <c r="CT160" s="155"/>
      <c r="CU160" s="155"/>
      <c r="CV160" s="155"/>
      <c r="CW160" s="155"/>
      <c r="CX160" s="155"/>
      <c r="CY160" s="155"/>
      <c r="CZ160" s="155"/>
      <c r="DA160" s="155"/>
      <c r="DB160" s="155"/>
      <c r="DC160" s="155"/>
      <c r="DD160" s="155"/>
      <c r="DE160" s="155"/>
      <c r="DF160" s="155"/>
      <c r="DG160" s="155"/>
      <c r="DH160" s="155"/>
    </row>
    <row r="161" spans="45:112" x14ac:dyDescent="0.3">
      <c r="AZ161"/>
      <c r="BA161" s="33"/>
      <c r="BB161" s="33"/>
      <c r="BC161" s="164"/>
      <c r="BD161" s="164"/>
      <c r="BE161" s="164"/>
      <c r="BF161" s="164"/>
      <c r="BG161" s="164"/>
      <c r="BH161" s="155"/>
      <c r="BI161" s="162"/>
      <c r="BJ161" s="155"/>
      <c r="BK161" s="158"/>
      <c r="BL161" s="158"/>
      <c r="BM161" s="158"/>
      <c r="BN161" s="158"/>
      <c r="BO161" s="158"/>
      <c r="BP161" s="158"/>
      <c r="BQ161" s="158"/>
      <c r="BR161" s="158"/>
      <c r="BS161" s="158"/>
      <c r="BT161" s="158"/>
      <c r="BU161" s="158"/>
      <c r="BV161" s="158"/>
      <c r="BW161" s="158"/>
      <c r="BX161" s="158"/>
      <c r="BY161" s="158"/>
      <c r="BZ161" s="158"/>
      <c r="CA161" s="158"/>
      <c r="CB161" s="158"/>
      <c r="CC161" s="158"/>
      <c r="CD161" s="158"/>
      <c r="CE161" s="158"/>
      <c r="CF161" s="158"/>
      <c r="CG161" s="158"/>
      <c r="CH161" s="158"/>
      <c r="CI161" s="158"/>
      <c r="CJ161" s="158"/>
      <c r="CK161" s="158"/>
      <c r="CL161" s="158"/>
      <c r="CM161" s="158"/>
      <c r="CN161" s="158"/>
      <c r="CO161" s="158"/>
      <c r="CP161" s="158"/>
      <c r="CQ161" s="158"/>
      <c r="CR161" s="158"/>
      <c r="CS161" s="158"/>
      <c r="CT161" s="158"/>
      <c r="CU161" s="155"/>
      <c r="CV161" s="155"/>
      <c r="CW161" s="155"/>
      <c r="CX161" s="155"/>
      <c r="CY161" s="155"/>
      <c r="CZ161" s="155"/>
      <c r="DA161" s="155"/>
      <c r="DB161" s="155"/>
      <c r="DC161" s="155"/>
      <c r="DD161" s="155"/>
      <c r="DE161" s="155"/>
      <c r="DF161" s="155"/>
      <c r="DG161" s="155"/>
      <c r="DH161" s="155"/>
    </row>
    <row r="162" spans="45:112" x14ac:dyDescent="0.3">
      <c r="AS162" s="7" t="s">
        <v>349</v>
      </c>
      <c r="AT162" s="7">
        <v>1</v>
      </c>
      <c r="AU162" s="7">
        <v>2</v>
      </c>
      <c r="AV162" s="7">
        <v>3</v>
      </c>
      <c r="AW162" s="7">
        <v>4</v>
      </c>
      <c r="AX162" s="7">
        <v>5</v>
      </c>
      <c r="AY162" s="7">
        <v>6</v>
      </c>
      <c r="AZ162"/>
      <c r="BA162"/>
      <c r="BB162"/>
      <c r="BC162" s="155"/>
      <c r="BD162" s="155"/>
      <c r="BE162" s="155"/>
      <c r="BF162" s="155"/>
      <c r="BG162" s="155"/>
      <c r="BH162" s="155"/>
      <c r="BI162" s="162"/>
      <c r="BJ162" s="155"/>
      <c r="BK162" s="155"/>
      <c r="BL162" s="155"/>
      <c r="BM162" s="155"/>
      <c r="BN162" s="155"/>
      <c r="BO162" s="155"/>
      <c r="BP162" s="155"/>
      <c r="BQ162" s="155"/>
      <c r="BR162" s="155"/>
      <c r="BS162" s="155"/>
      <c r="BT162" s="155"/>
      <c r="BU162" s="155"/>
      <c r="BV162" s="155"/>
      <c r="BW162" s="155"/>
      <c r="BX162" s="155"/>
      <c r="BY162" s="155"/>
      <c r="BZ162" s="155"/>
      <c r="CA162" s="155"/>
      <c r="CB162" s="155"/>
      <c r="CC162" s="155"/>
      <c r="CD162" s="155"/>
      <c r="CE162" s="155"/>
      <c r="CF162" s="155"/>
      <c r="CG162" s="155"/>
      <c r="CH162" s="155"/>
      <c r="CI162" s="155"/>
      <c r="CJ162" s="155"/>
      <c r="CK162" s="155"/>
      <c r="CL162" s="155"/>
      <c r="CM162" s="155"/>
      <c r="CN162" s="155"/>
      <c r="CO162" s="155"/>
      <c r="CP162" s="155"/>
      <c r="CQ162" s="155"/>
      <c r="CR162" s="155"/>
      <c r="CS162" s="155"/>
      <c r="CT162" s="155"/>
      <c r="CU162" s="155"/>
      <c r="CV162" s="155"/>
      <c r="CW162" s="155"/>
      <c r="CX162" s="155"/>
      <c r="CY162" s="155"/>
      <c r="CZ162" s="155"/>
      <c r="DA162" s="155"/>
      <c r="DB162" s="155"/>
      <c r="DC162" s="155"/>
      <c r="DD162" s="155"/>
      <c r="DE162" s="155"/>
      <c r="DF162" s="155"/>
      <c r="DG162" s="155"/>
      <c r="DH162" s="155"/>
    </row>
    <row r="163" spans="45:112" x14ac:dyDescent="0.3">
      <c r="AS163" s="6" t="s">
        <v>350</v>
      </c>
      <c r="AT163" s="6">
        <f>COUNTIFS(Z:Z,"A",C:C,1)/COUNTIF(C:C,1)</f>
        <v>0.15384615384615385</v>
      </c>
      <c r="AU163" s="6">
        <f>COUNTIFS(Z:Z,"A",C:C,2)/COUNTIF(C:C,2)</f>
        <v>0</v>
      </c>
      <c r="AV163" s="6">
        <f>COUNTIFS(Z:Z,"A",C:C,3)/COUNTIF(C:C,3)</f>
        <v>0.15384615384615385</v>
      </c>
      <c r="AW163" s="6">
        <f>COUNTIFS(Z:Z,"A",C:C,4)/COUNTIF(C:C,4)</f>
        <v>0</v>
      </c>
      <c r="AX163" s="6">
        <f>COUNTIFS(Z:Z,"A",C:C,5)/COUNTIF(C:C,5)</f>
        <v>0</v>
      </c>
      <c r="AY163" s="6">
        <f>COUNTIFS(Z:Z,"A",C:C,6)/COUNTIF(C:C,6)</f>
        <v>0</v>
      </c>
      <c r="AZ163"/>
      <c r="BA163"/>
      <c r="BB163"/>
      <c r="BC163" s="155"/>
      <c r="BD163" s="155"/>
      <c r="BE163" s="155"/>
      <c r="BF163" s="155"/>
      <c r="BG163" s="155"/>
      <c r="BH163" s="155"/>
      <c r="BI163" s="155"/>
      <c r="BJ163" s="155"/>
      <c r="BK163" s="155"/>
      <c r="BL163" s="155"/>
      <c r="BM163" s="155"/>
      <c r="BN163" s="155"/>
      <c r="BO163" s="155"/>
      <c r="BP163" s="155"/>
      <c r="BQ163" s="155"/>
      <c r="BR163" s="155"/>
      <c r="BS163" s="155"/>
      <c r="BT163" s="155"/>
      <c r="BU163" s="155"/>
      <c r="BV163" s="155"/>
      <c r="BW163" s="155"/>
      <c r="BX163" s="155"/>
      <c r="BY163" s="155"/>
      <c r="BZ163" s="155"/>
      <c r="CA163" s="155"/>
      <c r="CB163" s="155"/>
      <c r="CC163" s="155"/>
      <c r="CD163" s="155"/>
      <c r="CE163" s="155"/>
      <c r="CF163" s="155"/>
      <c r="CG163" s="155"/>
      <c r="CH163" s="155"/>
      <c r="CI163" s="155"/>
      <c r="CJ163" s="155"/>
      <c r="CK163" s="155"/>
      <c r="CL163" s="155"/>
      <c r="CM163" s="155"/>
      <c r="CN163" s="155"/>
      <c r="CO163" s="155"/>
      <c r="CP163" s="155"/>
      <c r="CQ163" s="155"/>
      <c r="CR163" s="155"/>
      <c r="CS163" s="155"/>
      <c r="CT163" s="155"/>
      <c r="CU163" s="155"/>
      <c r="CV163" s="155"/>
      <c r="CW163" s="155"/>
      <c r="CX163" s="155"/>
      <c r="CY163" s="155"/>
      <c r="CZ163" s="155"/>
      <c r="DA163" s="155"/>
      <c r="DB163" s="155"/>
      <c r="DC163" s="155"/>
      <c r="DD163" s="155"/>
      <c r="DE163" s="155"/>
      <c r="DF163" s="155"/>
      <c r="DG163" s="155"/>
      <c r="DH163" s="155"/>
    </row>
    <row r="164" spans="45:112" x14ac:dyDescent="0.3">
      <c r="AS164" s="6" t="s">
        <v>351</v>
      </c>
      <c r="AT164" s="6">
        <f>COUNTIFS(Z:Z,"B",C:C,1)/COUNTIF(C:C,1)</f>
        <v>0.84615384615384615</v>
      </c>
      <c r="AU164" s="6">
        <f>COUNTIFS(Z:Z,"B",C:C,2)/COUNTIF(C:C,2)</f>
        <v>1</v>
      </c>
      <c r="AV164" s="6">
        <f>COUNTIFS(Z:Z,"B",C:C,3)/COUNTIF(C:C,3)</f>
        <v>0.84615384615384615</v>
      </c>
      <c r="AW164" s="6">
        <f>COUNTIFS(Z:Z,"B",C:C,4)/COUNTIF(C:C,4)</f>
        <v>1</v>
      </c>
      <c r="AX164" s="6">
        <f>COUNTIFS(Z:Z,"B",C:C,5)/COUNTIF(C:C,5)</f>
        <v>1</v>
      </c>
      <c r="AY164" s="6">
        <f>COUNTIFS(Z:Z,"B",C:C,6)/COUNTIF(C:C,6)</f>
        <v>1</v>
      </c>
      <c r="AZ164"/>
      <c r="BA164"/>
      <c r="BB164"/>
      <c r="BC164" s="155"/>
      <c r="BD164" s="155"/>
      <c r="BE164" s="155"/>
      <c r="BF164" s="155"/>
      <c r="BG164" s="155"/>
      <c r="BH164" s="155"/>
      <c r="BI164" s="161"/>
      <c r="BJ164" s="155"/>
      <c r="BK164" s="155"/>
      <c r="BL164" s="155"/>
      <c r="BM164" s="155"/>
      <c r="BN164" s="155"/>
      <c r="BO164" s="155"/>
      <c r="BP164" s="155"/>
      <c r="BQ164" s="155"/>
      <c r="BR164" s="155"/>
      <c r="BS164" s="155"/>
      <c r="BT164" s="155"/>
      <c r="BU164" s="155"/>
      <c r="BV164" s="155"/>
      <c r="BW164" s="155"/>
      <c r="BX164" s="155"/>
      <c r="BY164" s="155"/>
      <c r="BZ164" s="155"/>
      <c r="CA164" s="155"/>
      <c r="CB164" s="155"/>
      <c r="CC164" s="155"/>
      <c r="CD164" s="155"/>
      <c r="CE164" s="155"/>
      <c r="CF164" s="155"/>
      <c r="CG164" s="155"/>
      <c r="CH164" s="155"/>
      <c r="CI164" s="155"/>
      <c r="CJ164" s="155"/>
      <c r="CK164" s="155"/>
      <c r="CL164" s="155"/>
      <c r="CM164" s="155"/>
      <c r="CN164" s="155"/>
      <c r="CO164" s="155"/>
      <c r="CP164" s="155"/>
      <c r="CQ164" s="155"/>
      <c r="CR164" s="155"/>
      <c r="CS164" s="155"/>
      <c r="CT164" s="155"/>
      <c r="CU164" s="155"/>
      <c r="CV164" s="155"/>
      <c r="CW164" s="155"/>
      <c r="CX164" s="155"/>
      <c r="CY164" s="155"/>
      <c r="CZ164" s="155"/>
      <c r="DA164" s="155"/>
      <c r="DB164" s="155"/>
      <c r="DC164" s="155"/>
      <c r="DD164" s="155"/>
      <c r="DE164" s="155"/>
      <c r="DF164" s="155"/>
      <c r="DG164" s="155"/>
      <c r="DH164" s="155"/>
    </row>
    <row r="165" spans="45:112" x14ac:dyDescent="0.3">
      <c r="AZ165"/>
      <c r="BA165"/>
      <c r="BB165"/>
      <c r="BC165" s="155"/>
      <c r="BD165" s="155"/>
      <c r="BE165" s="155"/>
      <c r="BF165" s="155"/>
      <c r="BG165" s="155"/>
      <c r="BH165" s="155"/>
      <c r="BI165" s="155"/>
      <c r="BJ165" s="155"/>
      <c r="BK165" s="155"/>
      <c r="BL165" s="155"/>
      <c r="BM165" s="155"/>
      <c r="BN165" s="155"/>
      <c r="BO165" s="155"/>
      <c r="BP165" s="155"/>
      <c r="BQ165" s="155"/>
      <c r="BR165" s="155"/>
      <c r="BS165" s="155"/>
      <c r="BT165" s="155"/>
      <c r="BU165" s="155"/>
      <c r="BV165" s="155"/>
      <c r="BW165" s="155"/>
      <c r="BX165" s="155"/>
      <c r="BY165" s="155"/>
      <c r="BZ165" s="155"/>
      <c r="CA165" s="155"/>
      <c r="CB165" s="155"/>
      <c r="CC165" s="155"/>
      <c r="CD165" s="155"/>
      <c r="CE165" s="155"/>
      <c r="CF165" s="155"/>
      <c r="CG165" s="155"/>
      <c r="CH165" s="155"/>
      <c r="CI165" s="155"/>
      <c r="CJ165" s="155"/>
      <c r="CK165" s="155"/>
      <c r="CL165" s="155"/>
      <c r="CM165" s="155"/>
      <c r="CN165" s="155"/>
      <c r="CO165" s="155"/>
      <c r="CP165" s="155"/>
      <c r="CQ165" s="155"/>
      <c r="CR165" s="155"/>
      <c r="CS165" s="155"/>
      <c r="CT165" s="155"/>
      <c r="CU165" s="155"/>
      <c r="CV165" s="155"/>
      <c r="CW165" s="155"/>
      <c r="CX165" s="155"/>
      <c r="CY165" s="155"/>
      <c r="CZ165" s="155"/>
      <c r="DA165" s="155"/>
      <c r="DB165" s="155"/>
      <c r="DC165" s="155"/>
      <c r="DD165" s="155"/>
      <c r="DE165" s="155"/>
      <c r="DF165" s="155"/>
      <c r="DG165" s="155"/>
      <c r="DH165" s="155"/>
    </row>
    <row r="166" spans="45:112" x14ac:dyDescent="0.3">
      <c r="AS166" s="7" t="s">
        <v>352</v>
      </c>
      <c r="AT166" s="7">
        <v>1</v>
      </c>
      <c r="AU166" s="7">
        <v>2</v>
      </c>
      <c r="AV166" s="7">
        <v>3</v>
      </c>
      <c r="AW166" s="7">
        <v>4</v>
      </c>
      <c r="AX166" s="7">
        <v>5</v>
      </c>
      <c r="AY166" s="7">
        <v>6</v>
      </c>
      <c r="AZ166"/>
      <c r="BA166"/>
      <c r="BB166"/>
      <c r="BC166" s="155"/>
      <c r="BD166" s="155"/>
      <c r="BE166" s="155"/>
      <c r="BF166" s="155"/>
      <c r="BG166" s="155"/>
      <c r="BH166" s="155"/>
      <c r="BI166" s="161"/>
      <c r="BJ166" s="155"/>
      <c r="BK166" s="155"/>
      <c r="BL166" s="155"/>
      <c r="BM166" s="155"/>
      <c r="BN166" s="155"/>
      <c r="BO166" s="155"/>
      <c r="BP166" s="155"/>
      <c r="BQ166" s="155"/>
      <c r="BR166" s="155"/>
      <c r="BS166" s="155"/>
      <c r="BT166" s="155"/>
      <c r="BU166" s="155"/>
      <c r="BV166" s="155"/>
      <c r="BW166" s="155"/>
      <c r="BX166" s="155"/>
      <c r="BY166" s="155"/>
      <c r="BZ166" s="155"/>
      <c r="CA166" s="155"/>
      <c r="CB166" s="155"/>
      <c r="CC166" s="155"/>
      <c r="CD166" s="155"/>
      <c r="CE166" s="155"/>
      <c r="CF166" s="155"/>
      <c r="CG166" s="155"/>
      <c r="CH166" s="155"/>
      <c r="CI166" s="155"/>
      <c r="CJ166" s="155"/>
      <c r="CK166" s="155"/>
      <c r="CL166" s="155"/>
      <c r="CM166" s="155"/>
      <c r="CN166" s="155"/>
      <c r="CO166" s="155"/>
      <c r="CP166" s="155"/>
      <c r="CQ166" s="155"/>
      <c r="CR166" s="155"/>
      <c r="CS166" s="155"/>
      <c r="CT166" s="155"/>
      <c r="CU166" s="155"/>
      <c r="CV166" s="155"/>
      <c r="CW166" s="155"/>
      <c r="CX166" s="155"/>
      <c r="CY166" s="155"/>
      <c r="CZ166" s="155"/>
      <c r="DA166" s="155"/>
      <c r="DB166" s="155"/>
      <c r="DC166" s="155"/>
      <c r="DD166" s="155"/>
      <c r="DE166" s="155"/>
      <c r="DF166" s="155"/>
      <c r="DG166" s="155"/>
      <c r="DH166" s="155"/>
    </row>
    <row r="167" spans="45:112" x14ac:dyDescent="0.3">
      <c r="AS167" s="6" t="s">
        <v>353</v>
      </c>
      <c r="AT167" s="6">
        <f>COUNTIFS(AA:AA,"A",C:C,1)/COUNTIF(C:C,1)</f>
        <v>0.76923076923076927</v>
      </c>
      <c r="AU167" s="6">
        <f>COUNTIFS(AA:AA,"A",C:C,2)/COUNTIF(C:C,2)</f>
        <v>0.84615384615384615</v>
      </c>
      <c r="AV167" s="6">
        <f>COUNTIFS(AA:AA,"A",C:C,3)/COUNTIF(C:C,3)</f>
        <v>0.92307692307692313</v>
      </c>
      <c r="AW167" s="6">
        <f>COUNTIFS(AA:AA,"A",C:C,4)/COUNTIF(C:C,4)</f>
        <v>0.92307692307692313</v>
      </c>
      <c r="AX167" s="6">
        <f>COUNTIFS(AA:AA,"A",C:C,5)/COUNTIF(C:C,5)</f>
        <v>1</v>
      </c>
      <c r="AY167" s="6">
        <f>COUNTIFS(AA:AA,"A",C:C,6)/COUNTIF(C:C,6)</f>
        <v>0.84615384615384615</v>
      </c>
      <c r="AZ167"/>
      <c r="BB167" s="33"/>
      <c r="BC167" s="164"/>
      <c r="BD167" s="164"/>
      <c r="BE167" s="164"/>
      <c r="BF167" s="164"/>
      <c r="BG167" s="164"/>
      <c r="BH167" s="155"/>
      <c r="BI167" s="155"/>
      <c r="BJ167" s="155"/>
      <c r="BK167" s="155"/>
      <c r="BL167" s="155"/>
      <c r="BM167" s="155"/>
      <c r="BN167" s="155"/>
      <c r="BO167" s="155"/>
      <c r="BP167" s="155"/>
      <c r="BQ167" s="155"/>
      <c r="BR167" s="155"/>
      <c r="BS167" s="155"/>
      <c r="BT167" s="155"/>
      <c r="BU167" s="155"/>
      <c r="BV167" s="155"/>
      <c r="BW167" s="155"/>
      <c r="BX167" s="155"/>
      <c r="BY167" s="155"/>
      <c r="BZ167" s="155"/>
      <c r="CA167" s="155"/>
      <c r="CB167" s="155"/>
      <c r="CC167" s="155"/>
      <c r="CD167" s="155"/>
      <c r="CE167" s="155"/>
      <c r="CF167" s="155"/>
      <c r="CG167" s="155"/>
      <c r="CH167" s="155"/>
      <c r="CI167" s="155"/>
      <c r="CJ167" s="155"/>
      <c r="CK167" s="155"/>
      <c r="CL167" s="155"/>
      <c r="CM167" s="155"/>
      <c r="CN167" s="155"/>
      <c r="CO167" s="155"/>
      <c r="CP167" s="155"/>
      <c r="CQ167" s="155"/>
      <c r="CR167" s="155"/>
      <c r="CS167" s="155"/>
      <c r="CT167" s="155"/>
      <c r="CU167" s="155"/>
      <c r="CV167" s="155"/>
      <c r="CW167" s="155"/>
      <c r="CX167" s="155"/>
      <c r="CY167" s="155"/>
      <c r="CZ167" s="155"/>
      <c r="DA167" s="155"/>
      <c r="DB167" s="155"/>
      <c r="DC167" s="155"/>
      <c r="DD167" s="155"/>
      <c r="DE167" s="155"/>
      <c r="DF167" s="155"/>
      <c r="DG167" s="155"/>
      <c r="DH167" s="155"/>
    </row>
    <row r="168" spans="45:112" x14ac:dyDescent="0.3">
      <c r="AS168" s="6" t="s">
        <v>354</v>
      </c>
      <c r="AT168" s="6">
        <f>COUNTIFS(AA:AA,"B",C:C,1)/COUNTIF(C:C,1)</f>
        <v>0.23076923076923078</v>
      </c>
      <c r="AU168" s="6">
        <f>COUNTIFS(AA:AA,"B",C:C,2)/COUNTIF(C:C,2)</f>
        <v>0.15384615384615385</v>
      </c>
      <c r="AV168" s="6">
        <f>COUNTIFS(AA:AA,"B",C:C,3)/COUNTIF(C:C,3)</f>
        <v>7.6923076923076927E-2</v>
      </c>
      <c r="AW168" s="6">
        <f>COUNTIFS(AA:AA,"B",C:C,4)/COUNTIF(C:C,4)</f>
        <v>7.6923076923076927E-2</v>
      </c>
      <c r="AX168" s="6">
        <f>COUNTIFS(AA:AA,"B",C:C,5)/COUNTIF(C:C,5)</f>
        <v>0</v>
      </c>
      <c r="AY168" s="6">
        <f>COUNTIFS(AA:AA,"B",C:C,6)/COUNTIF(C:C,6)</f>
        <v>0.15384615384615385</v>
      </c>
      <c r="AZ168"/>
      <c r="BA168"/>
      <c r="BB168"/>
      <c r="BC168" s="155"/>
      <c r="BD168" s="155"/>
      <c r="BE168" s="155"/>
      <c r="BF168" s="155"/>
      <c r="BG168" s="155"/>
      <c r="BH168" s="155"/>
      <c r="BI168" s="161"/>
      <c r="BJ168" s="155"/>
      <c r="BK168" s="155"/>
      <c r="BL168" s="155"/>
      <c r="BM168" s="155"/>
      <c r="BN168" s="155"/>
      <c r="BO168" s="155"/>
      <c r="BP168" s="155"/>
      <c r="BQ168" s="155"/>
      <c r="BR168" s="155"/>
      <c r="BS168" s="155"/>
      <c r="BT168" s="155"/>
      <c r="BU168" s="155"/>
      <c r="BV168" s="155"/>
      <c r="BW168" s="155"/>
      <c r="BX168" s="155"/>
      <c r="BY168" s="155"/>
      <c r="BZ168" s="155"/>
      <c r="CA168" s="155"/>
      <c r="CB168" s="155"/>
      <c r="CC168" s="155"/>
      <c r="CD168" s="155"/>
      <c r="CE168" s="155"/>
      <c r="CF168" s="155"/>
      <c r="CG168" s="155"/>
      <c r="CH168" s="155"/>
      <c r="CI168" s="155"/>
      <c r="CJ168" s="155"/>
      <c r="CK168" s="155"/>
      <c r="CL168" s="155"/>
      <c r="CM168" s="155"/>
      <c r="CN168" s="155"/>
      <c r="CO168" s="155"/>
      <c r="CP168" s="155"/>
      <c r="CQ168" s="155"/>
      <c r="CR168" s="155"/>
      <c r="CS168" s="155"/>
      <c r="CT168" s="155"/>
      <c r="CU168" s="155"/>
      <c r="CV168" s="155"/>
      <c r="CW168" s="155"/>
      <c r="CX168" s="155"/>
      <c r="CY168" s="155"/>
      <c r="CZ168" s="155"/>
      <c r="DA168" s="155"/>
      <c r="DB168" s="155"/>
      <c r="DC168" s="155"/>
      <c r="DD168" s="155"/>
      <c r="DE168" s="155"/>
      <c r="DF168" s="155"/>
      <c r="DG168" s="155"/>
      <c r="DH168" s="155"/>
    </row>
    <row r="169" spans="45:112" x14ac:dyDescent="0.3">
      <c r="AZ169"/>
      <c r="BA169"/>
      <c r="BB169"/>
      <c r="BC169" s="155"/>
      <c r="BD169" s="155"/>
      <c r="BE169" s="155"/>
      <c r="BF169" s="155"/>
      <c r="BG169" s="155"/>
      <c r="BH169" s="155"/>
      <c r="BI169" s="155"/>
      <c r="BJ169" s="155"/>
      <c r="BK169" s="155"/>
      <c r="BL169" s="155"/>
      <c r="BM169" s="155"/>
      <c r="BN169" s="155"/>
      <c r="BO169" s="155"/>
      <c r="BP169" s="155"/>
      <c r="BQ169" s="155"/>
      <c r="BR169" s="155"/>
      <c r="BS169" s="155"/>
      <c r="BT169" s="155"/>
      <c r="BU169" s="155"/>
      <c r="BV169" s="155"/>
      <c r="BW169" s="155"/>
      <c r="BX169" s="155"/>
      <c r="BY169" s="155"/>
      <c r="BZ169" s="155"/>
      <c r="CA169" s="155"/>
      <c r="CB169" s="155"/>
      <c r="CC169" s="155"/>
      <c r="CD169" s="155"/>
      <c r="CE169" s="155"/>
      <c r="CF169" s="155"/>
      <c r="CG169" s="155"/>
      <c r="CH169" s="155"/>
      <c r="CI169" s="155"/>
      <c r="CJ169" s="155"/>
      <c r="CK169" s="155"/>
      <c r="CL169" s="155"/>
      <c r="CM169" s="155"/>
      <c r="CN169" s="155"/>
      <c r="CO169" s="155"/>
      <c r="CP169" s="155"/>
      <c r="CQ169" s="155"/>
      <c r="CR169" s="155"/>
      <c r="CS169" s="155"/>
      <c r="CT169" s="155"/>
      <c r="CU169" s="155"/>
      <c r="CV169" s="155"/>
      <c r="CW169" s="155"/>
      <c r="CX169" s="155"/>
      <c r="CY169" s="155"/>
      <c r="CZ169" s="155"/>
      <c r="DA169" s="155"/>
      <c r="DB169" s="155"/>
      <c r="DC169" s="155"/>
      <c r="DD169" s="155"/>
      <c r="DE169" s="155"/>
      <c r="DF169" s="155"/>
      <c r="DG169" s="155"/>
      <c r="DH169" s="155"/>
    </row>
    <row r="170" spans="45:112" x14ac:dyDescent="0.3">
      <c r="AS170" s="7" t="s">
        <v>355</v>
      </c>
      <c r="AT170" s="7">
        <v>1</v>
      </c>
      <c r="AU170" s="7">
        <v>2</v>
      </c>
      <c r="AV170" s="7">
        <v>3</v>
      </c>
      <c r="AW170" s="7">
        <v>4</v>
      </c>
      <c r="AX170" s="7">
        <v>5</v>
      </c>
      <c r="AY170" s="7">
        <v>6</v>
      </c>
      <c r="AZ170"/>
      <c r="BA170"/>
      <c r="BB170"/>
      <c r="BC170" s="155"/>
      <c r="BD170" s="155"/>
      <c r="BE170" s="155"/>
      <c r="BF170" s="155"/>
      <c r="BG170" s="155"/>
      <c r="BH170" s="155"/>
      <c r="BI170" s="161"/>
      <c r="BJ170" s="155"/>
      <c r="BK170" s="155"/>
      <c r="BL170" s="155"/>
      <c r="BM170" s="155"/>
      <c r="BN170" s="155"/>
      <c r="BO170" s="155"/>
      <c r="BP170" s="155"/>
      <c r="BQ170" s="155"/>
      <c r="BR170" s="155"/>
      <c r="BS170" s="155"/>
      <c r="BT170" s="155"/>
      <c r="BU170" s="155"/>
      <c r="BV170" s="155"/>
      <c r="BW170" s="155"/>
      <c r="BX170" s="155"/>
      <c r="BY170" s="155"/>
      <c r="BZ170" s="155"/>
      <c r="CA170" s="155"/>
      <c r="CB170" s="155"/>
      <c r="CC170" s="155"/>
      <c r="CD170" s="155"/>
      <c r="CE170" s="155"/>
      <c r="CF170" s="155"/>
      <c r="CG170" s="155"/>
      <c r="CH170" s="155"/>
      <c r="CI170" s="155"/>
      <c r="CJ170" s="155"/>
      <c r="CK170" s="155"/>
      <c r="CL170" s="155"/>
      <c r="CM170" s="155"/>
      <c r="CN170" s="155"/>
      <c r="CO170" s="155"/>
      <c r="CP170" s="155"/>
      <c r="CQ170" s="155"/>
      <c r="CR170" s="155"/>
      <c r="CS170" s="155"/>
      <c r="CT170" s="155"/>
      <c r="CU170" s="155"/>
      <c r="CV170" s="155"/>
      <c r="CW170" s="155"/>
      <c r="CX170" s="155"/>
      <c r="CY170" s="155"/>
      <c r="CZ170" s="155"/>
      <c r="DA170" s="155"/>
      <c r="DB170" s="155"/>
      <c r="DC170" s="155"/>
      <c r="DD170" s="155"/>
      <c r="DE170" s="155"/>
      <c r="DF170" s="155"/>
      <c r="DG170" s="155"/>
      <c r="DH170" s="155"/>
    </row>
    <row r="171" spans="45:112" x14ac:dyDescent="0.3">
      <c r="AS171" s="6" t="s">
        <v>353</v>
      </c>
      <c r="AT171" s="6">
        <f>COUNTIFS(AB:AB,"A",C:C,1)/COUNTIF(C:C,1)</f>
        <v>0.76923076923076927</v>
      </c>
      <c r="AU171" s="6">
        <f>COUNTIFS(AB:AB,"A",C:C,2)/COUNTIF(C:C,2)</f>
        <v>0.92307692307692313</v>
      </c>
      <c r="AV171" s="6">
        <f>COUNTIFS(AB:AB,"A",C:C,3)/COUNTIF(C:C,3)</f>
        <v>0.84615384615384615</v>
      </c>
      <c r="AW171" s="6">
        <f>COUNTIFS(AB:AB,"A",C:C,4)/COUNTIF(C:C,4)</f>
        <v>0.92307692307692313</v>
      </c>
      <c r="AX171" s="6">
        <f>COUNTIFS(AB:AB,"A",C:C,5)/COUNTIF(C:C,5)</f>
        <v>1</v>
      </c>
      <c r="AY171" s="6">
        <f>COUNTIFS(AB:AB,"A",C:C,6)/COUNTIF(C:C,6)</f>
        <v>0.92307692307692313</v>
      </c>
      <c r="AZ171"/>
      <c r="BB171" s="33"/>
      <c r="BC171" s="164"/>
      <c r="BD171" s="164"/>
      <c r="BE171" s="164"/>
      <c r="BF171" s="164"/>
      <c r="BG171" s="164"/>
      <c r="BH171" s="155"/>
      <c r="BI171" s="155"/>
      <c r="BJ171" s="155"/>
      <c r="BK171" s="155"/>
      <c r="BL171" s="155"/>
      <c r="BM171" s="155"/>
      <c r="BN171" s="155"/>
      <c r="BO171" s="155"/>
      <c r="BP171" s="155"/>
      <c r="BQ171" s="155"/>
      <c r="BR171" s="155"/>
      <c r="BS171" s="155"/>
      <c r="BT171" s="155"/>
      <c r="BU171" s="155"/>
      <c r="BV171" s="155"/>
      <c r="BW171" s="155"/>
      <c r="BX171" s="155"/>
      <c r="BY171" s="155"/>
      <c r="BZ171" s="155"/>
      <c r="CA171" s="155"/>
      <c r="CB171" s="155"/>
      <c r="CC171" s="155"/>
      <c r="CD171" s="155"/>
      <c r="CE171" s="155"/>
      <c r="CF171" s="155"/>
      <c r="CG171" s="155"/>
      <c r="CH171" s="155"/>
      <c r="CI171" s="155"/>
      <c r="CJ171" s="155"/>
      <c r="CK171" s="155"/>
      <c r="CL171" s="155"/>
      <c r="CM171" s="155"/>
      <c r="CN171" s="155"/>
      <c r="CO171" s="155"/>
      <c r="CP171" s="155"/>
      <c r="CQ171" s="155"/>
      <c r="CR171" s="155"/>
      <c r="CS171" s="155"/>
      <c r="CT171" s="155"/>
      <c r="CU171" s="155"/>
      <c r="CV171" s="155"/>
      <c r="CW171" s="155"/>
      <c r="CX171" s="155"/>
      <c r="CY171" s="155"/>
      <c r="CZ171" s="155"/>
      <c r="DA171" s="155"/>
      <c r="DB171" s="155"/>
      <c r="DC171" s="155"/>
      <c r="DD171" s="155"/>
      <c r="DE171" s="155"/>
      <c r="DF171" s="155"/>
      <c r="DG171" s="155"/>
      <c r="DH171" s="155"/>
    </row>
    <row r="172" spans="45:112" x14ac:dyDescent="0.3">
      <c r="AS172" s="6" t="s">
        <v>356</v>
      </c>
      <c r="AT172" s="6">
        <f>COUNTIFS(AB:AB,"B",C:C,1)/COUNTIF(C:C,1)</f>
        <v>0.23076923076923078</v>
      </c>
      <c r="AU172" s="6">
        <f>COUNTIFS(AB:AB,"B",C:C,2)/COUNTIF(C:C,2)</f>
        <v>7.6923076923076927E-2</v>
      </c>
      <c r="AV172" s="6">
        <f>COUNTIFS(AB:AB,"B",C:C,3)/COUNTIF(C:C,3)</f>
        <v>0.15384615384615385</v>
      </c>
      <c r="AW172" s="6">
        <f>COUNTIFS(AB:AB,"B",C:C,4)/COUNTIF(C:C,4)</f>
        <v>7.6923076923076927E-2</v>
      </c>
      <c r="AX172" s="6">
        <f>COUNTIFS(AB:AB,"B",C:C,5)/COUNTIF(C:C,5)</f>
        <v>0</v>
      </c>
      <c r="AY172" s="6">
        <f>COUNTIFS(AB:AB,"B",C:C,6)/COUNTIF(C:C,6)</f>
        <v>7.6923076923076927E-2</v>
      </c>
      <c r="AZ172"/>
      <c r="BA172"/>
      <c r="BB172"/>
      <c r="BC172" s="155"/>
      <c r="BD172" s="155"/>
      <c r="BE172" s="155"/>
      <c r="BF172" s="155"/>
      <c r="BG172" s="155"/>
      <c r="BH172" s="155"/>
      <c r="BI172" s="161"/>
      <c r="BJ172" s="155"/>
      <c r="BK172" s="155"/>
      <c r="BL172" s="155"/>
      <c r="BM172" s="155"/>
      <c r="BN172" s="155"/>
      <c r="BO172" s="155"/>
      <c r="BP172" s="155"/>
      <c r="BQ172" s="155"/>
      <c r="BR172" s="155"/>
      <c r="BS172" s="155"/>
      <c r="BT172" s="155"/>
      <c r="BU172" s="155"/>
      <c r="BV172" s="155"/>
      <c r="BW172" s="155"/>
      <c r="BX172" s="155"/>
      <c r="BY172" s="155"/>
      <c r="BZ172" s="155"/>
      <c r="CA172" s="155"/>
      <c r="CB172" s="155"/>
      <c r="CC172" s="155"/>
      <c r="CD172" s="155"/>
      <c r="CE172" s="155"/>
      <c r="CF172" s="155"/>
      <c r="CG172" s="155"/>
      <c r="CH172" s="155"/>
      <c r="CI172" s="155"/>
      <c r="CJ172" s="155"/>
      <c r="CK172" s="155"/>
      <c r="CL172" s="155"/>
      <c r="CM172" s="155"/>
      <c r="CN172" s="155"/>
      <c r="CO172" s="155"/>
      <c r="CP172" s="155"/>
      <c r="CQ172" s="155"/>
      <c r="CR172" s="155"/>
      <c r="CS172" s="155"/>
      <c r="CT172" s="155"/>
      <c r="CU172" s="155"/>
      <c r="CV172" s="155"/>
      <c r="CW172" s="155"/>
      <c r="CX172" s="155"/>
      <c r="CY172" s="155"/>
      <c r="CZ172" s="155"/>
      <c r="DA172" s="155"/>
      <c r="DB172" s="155"/>
      <c r="DC172" s="155"/>
      <c r="DD172" s="155"/>
      <c r="DE172" s="155"/>
      <c r="DF172" s="155"/>
      <c r="DG172" s="155"/>
      <c r="DH172" s="155"/>
    </row>
    <row r="173" spans="45:112" x14ac:dyDescent="0.3">
      <c r="AZ173"/>
      <c r="BA173"/>
      <c r="BB173"/>
      <c r="BC173" s="155"/>
      <c r="BD173" s="155"/>
      <c r="BE173" s="155"/>
      <c r="BF173" s="155"/>
      <c r="BG173" s="155"/>
      <c r="BH173" s="155"/>
      <c r="BI173" s="155"/>
      <c r="BJ173" s="155"/>
      <c r="BK173" s="155"/>
      <c r="BL173" s="155"/>
      <c r="BM173" s="155"/>
      <c r="BN173" s="155"/>
      <c r="BO173" s="155"/>
      <c r="BP173" s="155"/>
      <c r="BQ173" s="155"/>
      <c r="BR173" s="155"/>
      <c r="BS173" s="155"/>
      <c r="BT173" s="155"/>
      <c r="BU173" s="155"/>
      <c r="BV173" s="155"/>
      <c r="BW173" s="155"/>
      <c r="BX173" s="155"/>
      <c r="BY173" s="155"/>
      <c r="BZ173" s="155"/>
      <c r="CA173" s="155"/>
      <c r="CB173" s="155"/>
      <c r="CC173" s="155"/>
      <c r="CD173" s="155"/>
      <c r="CE173" s="155"/>
      <c r="CF173" s="155"/>
      <c r="CG173" s="155"/>
      <c r="CH173" s="155"/>
      <c r="CI173" s="155"/>
      <c r="CJ173" s="155"/>
      <c r="CK173" s="155"/>
      <c r="CL173" s="155"/>
      <c r="CM173" s="155"/>
      <c r="CN173" s="155"/>
      <c r="CO173" s="155"/>
      <c r="CP173" s="155"/>
      <c r="CQ173" s="155"/>
      <c r="CR173" s="155"/>
      <c r="CS173" s="155"/>
      <c r="CT173" s="155"/>
      <c r="CU173" s="155"/>
      <c r="CV173" s="155"/>
      <c r="CW173" s="155"/>
      <c r="CX173" s="155"/>
      <c r="CY173" s="155"/>
      <c r="CZ173" s="155"/>
      <c r="DA173" s="155"/>
      <c r="DB173" s="155"/>
      <c r="DC173" s="155"/>
      <c r="DD173" s="155"/>
      <c r="DE173" s="155"/>
      <c r="DF173" s="155"/>
      <c r="DG173" s="155"/>
      <c r="DH173" s="155"/>
    </row>
    <row r="174" spans="45:112" x14ac:dyDescent="0.3">
      <c r="AS174" s="7" t="s">
        <v>357</v>
      </c>
      <c r="AT174" s="7">
        <v>1</v>
      </c>
      <c r="AU174" s="7">
        <v>2</v>
      </c>
      <c r="AV174" s="7">
        <v>3</v>
      </c>
      <c r="AW174" s="7">
        <v>4</v>
      </c>
      <c r="AX174" s="7">
        <v>5</v>
      </c>
      <c r="AY174" s="7">
        <v>6</v>
      </c>
      <c r="AZ174"/>
      <c r="BA174"/>
      <c r="BB174"/>
      <c r="BC174" s="155"/>
      <c r="BD174" s="155"/>
      <c r="BE174" s="155"/>
      <c r="BF174" s="155"/>
      <c r="BG174" s="155"/>
      <c r="BH174" s="155"/>
      <c r="BI174" s="161"/>
      <c r="BJ174" s="155"/>
      <c r="BK174" s="155"/>
      <c r="BL174" s="155"/>
      <c r="BM174" s="155"/>
      <c r="BN174" s="155"/>
      <c r="BO174" s="155"/>
      <c r="BP174" s="155"/>
      <c r="BQ174" s="155"/>
      <c r="BR174" s="155"/>
      <c r="BS174" s="155"/>
      <c r="BT174" s="155"/>
      <c r="BU174" s="155"/>
      <c r="BV174" s="155"/>
      <c r="BW174" s="155"/>
      <c r="BX174" s="155"/>
      <c r="BY174" s="155"/>
      <c r="BZ174" s="155"/>
      <c r="CA174" s="155"/>
      <c r="CB174" s="155"/>
      <c r="CC174" s="155"/>
      <c r="CD174" s="155"/>
      <c r="CE174" s="155"/>
      <c r="CF174" s="155"/>
      <c r="CG174" s="155"/>
      <c r="CH174" s="155"/>
      <c r="CI174" s="155"/>
      <c r="CJ174" s="155"/>
      <c r="CK174" s="155"/>
      <c r="CL174" s="155"/>
      <c r="CM174" s="155"/>
      <c r="CN174" s="155"/>
      <c r="CO174" s="155"/>
      <c r="CP174" s="155"/>
      <c r="CQ174" s="155"/>
      <c r="CR174" s="155"/>
      <c r="CS174" s="155"/>
      <c r="CT174" s="155"/>
      <c r="CU174" s="155"/>
      <c r="CV174" s="155"/>
      <c r="CW174" s="155"/>
      <c r="CX174" s="155"/>
      <c r="CY174" s="155"/>
      <c r="CZ174" s="155"/>
      <c r="DA174" s="155"/>
      <c r="DB174" s="155"/>
      <c r="DC174" s="155"/>
      <c r="DD174" s="155"/>
      <c r="DE174" s="155"/>
      <c r="DF174" s="155"/>
      <c r="DG174" s="155"/>
      <c r="DH174" s="155"/>
    </row>
    <row r="175" spans="45:112" x14ac:dyDescent="0.3">
      <c r="AS175" s="6" t="s">
        <v>358</v>
      </c>
      <c r="AT175" s="6">
        <f>COUNTIFS(AC:AC,"A",C:C,1)/COUNTIF(C:C,1)</f>
        <v>1</v>
      </c>
      <c r="AU175" s="6">
        <f>COUNTIFS(AC:AC,"A",C:C,2)/COUNTIF(C:C,2)</f>
        <v>1</v>
      </c>
      <c r="AV175" s="6">
        <f>COUNTIFS(AC:AC,"A",C:C,3)/COUNTIF(C:C,3)</f>
        <v>1</v>
      </c>
      <c r="AW175" s="6">
        <f>COUNTIFS(AC:AC,"A",C:C,4)/COUNTIF(C:C,4)</f>
        <v>1</v>
      </c>
      <c r="AX175" s="6">
        <f>COUNTIFS(AC:AC,"A",C:C,5)/COUNTIF(C:C,5)</f>
        <v>1</v>
      </c>
      <c r="AY175" s="6">
        <f>COUNTIFS(AC:AC,"A",C:C,6)/COUNTIF(C:C,6)</f>
        <v>0.92307692307692313</v>
      </c>
      <c r="AZ175"/>
      <c r="BB175" s="33"/>
      <c r="BC175" s="164"/>
      <c r="BD175" s="164"/>
      <c r="BE175" s="164"/>
      <c r="BF175" s="164"/>
      <c r="BG175" s="164"/>
      <c r="BH175" s="155"/>
      <c r="BI175" s="155"/>
      <c r="BJ175" s="155"/>
      <c r="BK175" s="155"/>
      <c r="BL175" s="155"/>
      <c r="BM175" s="155"/>
      <c r="BN175" s="155"/>
      <c r="BO175" s="155"/>
      <c r="BP175" s="155"/>
      <c r="BQ175" s="155"/>
      <c r="BR175" s="155"/>
      <c r="BS175" s="155"/>
      <c r="BT175" s="155"/>
      <c r="BU175" s="155"/>
      <c r="BV175" s="155"/>
      <c r="BW175" s="155"/>
      <c r="BX175" s="155"/>
      <c r="BY175" s="155"/>
      <c r="BZ175" s="155"/>
      <c r="CA175" s="155"/>
      <c r="CB175" s="155"/>
      <c r="CC175" s="155"/>
      <c r="CD175" s="155"/>
      <c r="CE175" s="155"/>
      <c r="CF175" s="155"/>
      <c r="CG175" s="155"/>
      <c r="CH175" s="155"/>
      <c r="CI175" s="155"/>
      <c r="CJ175" s="155"/>
      <c r="CK175" s="155"/>
      <c r="CL175" s="155"/>
      <c r="CM175" s="155"/>
      <c r="CN175" s="155"/>
      <c r="CO175" s="155"/>
      <c r="CP175" s="155"/>
      <c r="CQ175" s="155"/>
      <c r="CR175" s="155"/>
      <c r="CS175" s="155"/>
      <c r="CT175" s="155"/>
      <c r="CU175" s="155"/>
      <c r="CV175" s="155"/>
      <c r="CW175" s="155"/>
      <c r="CX175" s="155"/>
      <c r="CY175" s="155"/>
      <c r="CZ175" s="155"/>
      <c r="DA175" s="155"/>
      <c r="DB175" s="155"/>
      <c r="DC175" s="155"/>
      <c r="DD175" s="155"/>
      <c r="DE175" s="155"/>
      <c r="DF175" s="155"/>
      <c r="DG175" s="155"/>
      <c r="DH175" s="155"/>
    </row>
    <row r="176" spans="45:112" x14ac:dyDescent="0.3">
      <c r="AS176" s="6" t="s">
        <v>359</v>
      </c>
      <c r="AT176" s="6">
        <f>COUNTIFS(AC:AC,"B",C:C,1)/COUNTIF(C:C,1)</f>
        <v>0</v>
      </c>
      <c r="AU176" s="6">
        <f>COUNTIFS(AC:AC,"B",C:C,2)/COUNTIF(C:C,2)</f>
        <v>0</v>
      </c>
      <c r="AV176" s="6">
        <f>COUNTIFS(AC:AC,"B",C:C,3)/COUNTIF(C:C,3)</f>
        <v>0</v>
      </c>
      <c r="AW176" s="6">
        <f>COUNTIFS(AC:AC,"B",C:C,4)/COUNTIF(C:C,4)</f>
        <v>0</v>
      </c>
      <c r="AX176" s="6">
        <f>COUNTIFS(AC:AC,"B",C:C,5)/COUNTIF(C:C,5)</f>
        <v>0</v>
      </c>
      <c r="AY176" s="6">
        <f>COUNTIFS(AC:AC,"B",C:C,6)/COUNTIF(C:C,6)</f>
        <v>7.6923076923076927E-2</v>
      </c>
      <c r="AZ176"/>
      <c r="BA176"/>
      <c r="BB176"/>
      <c r="BC176" s="155"/>
      <c r="BD176" s="155"/>
      <c r="BE176" s="155"/>
      <c r="BF176" s="155"/>
      <c r="BG176" s="155"/>
      <c r="BH176" s="155"/>
      <c r="BI176" s="155"/>
      <c r="BJ176" s="155"/>
      <c r="BK176" s="155"/>
      <c r="BL176" s="155"/>
      <c r="BM176" s="155"/>
      <c r="BN176" s="155"/>
      <c r="BO176" s="155"/>
      <c r="BP176" s="155"/>
      <c r="BQ176" s="155"/>
      <c r="BR176" s="155"/>
      <c r="BS176" s="155"/>
      <c r="BT176" s="155"/>
      <c r="BU176" s="155"/>
      <c r="BV176" s="155"/>
      <c r="BW176" s="155"/>
      <c r="BX176" s="155"/>
      <c r="BY176" s="155"/>
      <c r="BZ176" s="155"/>
      <c r="CA176" s="155"/>
      <c r="CB176" s="155"/>
      <c r="CC176" s="155"/>
      <c r="CD176" s="155"/>
      <c r="CE176" s="155"/>
      <c r="CF176" s="155"/>
      <c r="CG176" s="155"/>
      <c r="CH176" s="155"/>
      <c r="CI176" s="155"/>
      <c r="CJ176" s="155"/>
      <c r="CK176" s="155"/>
      <c r="CL176" s="155"/>
      <c r="CM176" s="155"/>
      <c r="CN176" s="155"/>
      <c r="CO176" s="155"/>
      <c r="CP176" s="155"/>
      <c r="CQ176" s="155"/>
      <c r="CR176" s="155"/>
      <c r="CS176" s="155"/>
      <c r="CT176" s="155"/>
      <c r="CU176" s="155"/>
      <c r="CV176" s="155"/>
      <c r="CW176" s="155"/>
      <c r="CX176" s="155"/>
      <c r="CY176" s="155"/>
      <c r="CZ176" s="155"/>
      <c r="DA176" s="155"/>
      <c r="DB176" s="155"/>
      <c r="DC176" s="155"/>
      <c r="DD176" s="155"/>
      <c r="DE176" s="155"/>
      <c r="DF176" s="155"/>
      <c r="DG176" s="155"/>
      <c r="DH176" s="155"/>
    </row>
    <row r="177" spans="45:112" x14ac:dyDescent="0.3">
      <c r="AZ177"/>
      <c r="BA177"/>
      <c r="BB177"/>
      <c r="BC177" s="155"/>
      <c r="BD177" s="155"/>
      <c r="BE177" s="155"/>
      <c r="BF177" s="155"/>
      <c r="BG177" s="155"/>
      <c r="BH177" s="155"/>
      <c r="BI177" s="162"/>
      <c r="BJ177" s="155"/>
      <c r="BK177" s="158"/>
      <c r="BL177" s="158"/>
      <c r="BM177" s="158"/>
      <c r="BN177" s="158"/>
      <c r="BO177" s="158"/>
      <c r="BP177" s="158"/>
      <c r="BQ177" s="158"/>
      <c r="BR177" s="158"/>
      <c r="BS177" s="158"/>
      <c r="BT177" s="158"/>
      <c r="BU177" s="158"/>
      <c r="BV177" s="158"/>
      <c r="BW177" s="158"/>
      <c r="BX177" s="158"/>
      <c r="BY177" s="158"/>
      <c r="BZ177" s="158"/>
      <c r="CA177" s="158"/>
      <c r="CB177" s="158"/>
      <c r="CC177" s="158"/>
      <c r="CD177" s="158"/>
      <c r="CE177" s="158"/>
      <c r="CF177" s="158"/>
      <c r="CG177" s="158"/>
      <c r="CH177" s="158"/>
      <c r="CI177" s="158"/>
      <c r="CJ177" s="158"/>
      <c r="CK177" s="158"/>
      <c r="CL177" s="158"/>
      <c r="CM177" s="158"/>
      <c r="CN177" s="158"/>
      <c r="CO177" s="158"/>
      <c r="CP177" s="158"/>
      <c r="CQ177" s="158"/>
      <c r="CR177" s="158"/>
      <c r="CS177" s="158"/>
      <c r="CT177" s="158"/>
      <c r="CU177" s="155"/>
      <c r="CV177" s="155"/>
      <c r="CW177" s="155"/>
      <c r="CX177" s="155"/>
      <c r="CY177" s="155"/>
      <c r="CZ177" s="155"/>
      <c r="DA177" s="155"/>
      <c r="DB177" s="155"/>
      <c r="DC177" s="155"/>
      <c r="DD177" s="155"/>
      <c r="DE177" s="155"/>
      <c r="DF177" s="155"/>
      <c r="DG177" s="155"/>
      <c r="DH177" s="155"/>
    </row>
    <row r="178" spans="45:112" x14ac:dyDescent="0.3">
      <c r="AS178" s="7" t="s">
        <v>361</v>
      </c>
      <c r="AT178" s="7">
        <v>1</v>
      </c>
      <c r="AU178" s="7">
        <v>2</v>
      </c>
      <c r="AV178" s="7">
        <v>3</v>
      </c>
      <c r="AW178" s="7">
        <v>4</v>
      </c>
      <c r="AX178" s="7">
        <v>5</v>
      </c>
      <c r="AY178" s="7">
        <v>6</v>
      </c>
      <c r="AZ178"/>
      <c r="BA178"/>
      <c r="BB178"/>
      <c r="BC178" s="155"/>
      <c r="BD178" s="155"/>
      <c r="BE178" s="155"/>
      <c r="BF178" s="155"/>
      <c r="BG178" s="155"/>
      <c r="BH178" s="155"/>
      <c r="BI178" s="162"/>
      <c r="BJ178" s="155"/>
      <c r="BK178" s="155"/>
      <c r="BL178" s="155"/>
      <c r="BM178" s="155"/>
      <c r="BN178" s="155"/>
      <c r="BO178" s="155"/>
      <c r="BP178" s="155"/>
      <c r="BQ178" s="155"/>
      <c r="BR178" s="155"/>
      <c r="BS178" s="155"/>
      <c r="BT178" s="155"/>
      <c r="BU178" s="155"/>
      <c r="BV178" s="155"/>
      <c r="BW178" s="155"/>
      <c r="BX178" s="155"/>
      <c r="BY178" s="155"/>
      <c r="BZ178" s="155"/>
      <c r="CA178" s="155"/>
      <c r="CB178" s="155"/>
      <c r="CC178" s="155"/>
      <c r="CD178" s="155"/>
      <c r="CE178" s="155"/>
      <c r="CF178" s="155"/>
      <c r="CG178" s="155"/>
      <c r="CH178" s="155"/>
      <c r="CI178" s="155"/>
      <c r="CJ178" s="155"/>
      <c r="CK178" s="155"/>
      <c r="CL178" s="155"/>
      <c r="CM178" s="155"/>
      <c r="CN178" s="155"/>
      <c r="CO178" s="155"/>
      <c r="CP178" s="155"/>
      <c r="CQ178" s="155"/>
      <c r="CR178" s="155"/>
      <c r="CS178" s="155"/>
      <c r="CT178" s="155"/>
      <c r="CU178" s="155"/>
      <c r="CV178" s="155"/>
      <c r="CW178" s="155"/>
      <c r="CX178" s="155"/>
      <c r="CY178" s="155"/>
      <c r="CZ178" s="155"/>
      <c r="DA178" s="155"/>
      <c r="DB178" s="155"/>
      <c r="DC178" s="155"/>
      <c r="DD178" s="155"/>
      <c r="DE178" s="155"/>
      <c r="DF178" s="155"/>
      <c r="DG178" s="155"/>
      <c r="DH178" s="155"/>
    </row>
    <row r="179" spans="45:112" x14ac:dyDescent="0.3">
      <c r="AS179" s="6" t="s">
        <v>362</v>
      </c>
      <c r="AT179" s="6">
        <f>COUNTIFS(AD:AD,"A",C:C,1)/COUNTIF(C:C,1)</f>
        <v>1</v>
      </c>
      <c r="AU179" s="6">
        <f>COUNTIFS(AD:AD,"A",C:C,2)/COUNTIF(C:C,2)</f>
        <v>1</v>
      </c>
      <c r="AV179" s="6">
        <f>COUNTIFS(AD:AD,"A",C:C,3)/COUNTIF(C:C,3)</f>
        <v>1</v>
      </c>
      <c r="AW179" s="6">
        <f>COUNTIFS(AD:AD,"A",C:C,4)/COUNTIF(C:C,4)</f>
        <v>0.84615384615384615</v>
      </c>
      <c r="AX179" s="6">
        <f>COUNTIFS(AD:AD,"A",C:C,5)/COUNTIF(C:C,5)</f>
        <v>1</v>
      </c>
      <c r="AY179" s="6">
        <f>COUNTIFS(AD:AD,"A",C:C,6)/COUNTIF(C:C,6)</f>
        <v>0.84615384615384615</v>
      </c>
      <c r="AZ179"/>
      <c r="BB179" s="33"/>
      <c r="BC179" s="164"/>
      <c r="BD179" s="164"/>
      <c r="BE179" s="164"/>
      <c r="BF179" s="164"/>
      <c r="BG179" s="164"/>
      <c r="BH179" s="155"/>
      <c r="BI179" s="155"/>
      <c r="BJ179" s="155"/>
      <c r="BK179" s="155"/>
      <c r="BL179" s="155"/>
      <c r="BM179" s="155"/>
      <c r="BN179" s="155"/>
      <c r="BO179" s="155"/>
      <c r="BP179" s="155"/>
      <c r="BQ179" s="155"/>
      <c r="BR179" s="155"/>
      <c r="BS179" s="155"/>
      <c r="BT179" s="155"/>
      <c r="BU179" s="155"/>
      <c r="BV179" s="155"/>
      <c r="BW179" s="155"/>
      <c r="BX179" s="155"/>
      <c r="BY179" s="155"/>
      <c r="BZ179" s="155"/>
      <c r="CA179" s="155"/>
      <c r="CB179" s="155"/>
      <c r="CC179" s="155"/>
      <c r="CD179" s="155"/>
      <c r="CE179" s="155"/>
      <c r="CF179" s="155"/>
      <c r="CG179" s="155"/>
      <c r="CH179" s="155"/>
      <c r="CI179" s="155"/>
      <c r="CJ179" s="155"/>
      <c r="CK179" s="155"/>
      <c r="CL179" s="155"/>
      <c r="CM179" s="155"/>
      <c r="CN179" s="155"/>
      <c r="CO179" s="155"/>
      <c r="CP179" s="155"/>
      <c r="CQ179" s="155"/>
      <c r="CR179" s="155"/>
      <c r="CS179" s="155"/>
      <c r="CT179" s="155"/>
      <c r="CU179" s="155"/>
      <c r="CV179" s="155"/>
      <c r="CW179" s="155"/>
      <c r="CX179" s="155"/>
      <c r="CY179" s="155"/>
      <c r="CZ179" s="155"/>
      <c r="DA179" s="155"/>
      <c r="DB179" s="155"/>
      <c r="DC179" s="155"/>
      <c r="DD179" s="155"/>
      <c r="DE179" s="155"/>
      <c r="DF179" s="155"/>
      <c r="DG179" s="155"/>
      <c r="DH179" s="155"/>
    </row>
    <row r="180" spans="45:112" x14ac:dyDescent="0.3">
      <c r="AS180" s="6" t="s">
        <v>363</v>
      </c>
      <c r="AT180" s="6">
        <f>COUNTIFS(AD:AD,"B",C:C,1)/COUNTIF(C:C,1)</f>
        <v>0</v>
      </c>
      <c r="AU180" s="6">
        <f>COUNTIFS(AD:AD,"B",C:C,2)/COUNTIF(C:C,2)</f>
        <v>0</v>
      </c>
      <c r="AV180" s="6">
        <f>COUNTIFS(AD:AD,"B",C:C,3)/COUNTIF(C:C,3)</f>
        <v>0</v>
      </c>
      <c r="AW180" s="6">
        <f>COUNTIFS(AD:AD,"B",C:C,4)/COUNTIF(C:C,4)</f>
        <v>0.15384615384615385</v>
      </c>
      <c r="AX180" s="6">
        <f>COUNTIFS(AD:AD,"B",C:C,5)/COUNTIF(C:C,5)</f>
        <v>0</v>
      </c>
      <c r="AY180" s="6">
        <f>COUNTIFS(AD:AD,"B",C:C,6)/COUNTIF(C:C,6)</f>
        <v>0.15384615384615385</v>
      </c>
      <c r="AZ180"/>
      <c r="BA180"/>
      <c r="BB180"/>
      <c r="BC180" s="155"/>
      <c r="BD180" s="155"/>
      <c r="BE180" s="155"/>
      <c r="BF180" s="155"/>
      <c r="BG180" s="155"/>
      <c r="BH180" s="155"/>
      <c r="BI180" s="161"/>
      <c r="BJ180" s="155"/>
      <c r="BK180" s="155"/>
      <c r="BL180" s="155"/>
      <c r="BM180" s="155"/>
      <c r="BN180" s="155"/>
      <c r="BO180" s="155"/>
      <c r="BP180" s="155"/>
      <c r="BQ180" s="155"/>
      <c r="BR180" s="155"/>
      <c r="BS180" s="155"/>
      <c r="BT180" s="155"/>
      <c r="BU180" s="155"/>
      <c r="BV180" s="155"/>
      <c r="BW180" s="155"/>
      <c r="BX180" s="155"/>
      <c r="BY180" s="155"/>
      <c r="BZ180" s="155"/>
      <c r="CA180" s="155"/>
      <c r="CB180" s="155"/>
      <c r="CC180" s="155"/>
      <c r="CD180" s="155"/>
      <c r="CE180" s="155"/>
      <c r="CF180" s="155"/>
      <c r="CG180" s="155"/>
      <c r="CH180" s="155"/>
      <c r="CI180" s="155"/>
      <c r="CJ180" s="155"/>
      <c r="CK180" s="155"/>
      <c r="CL180" s="155"/>
      <c r="CM180" s="155"/>
      <c r="CN180" s="155"/>
      <c r="CO180" s="155"/>
      <c r="CP180" s="155"/>
      <c r="CQ180" s="155"/>
      <c r="CR180" s="155"/>
      <c r="CS180" s="155"/>
      <c r="CT180" s="155"/>
      <c r="CU180" s="155"/>
      <c r="CV180" s="155"/>
      <c r="CW180" s="155"/>
      <c r="CX180" s="155"/>
      <c r="CY180" s="155"/>
      <c r="CZ180" s="155"/>
      <c r="DA180" s="155"/>
      <c r="DB180" s="155"/>
      <c r="DC180" s="155"/>
      <c r="DD180" s="155"/>
      <c r="DE180" s="155"/>
      <c r="DF180" s="155"/>
      <c r="DG180" s="155"/>
      <c r="DH180" s="155"/>
    </row>
    <row r="181" spans="45:112" x14ac:dyDescent="0.3">
      <c r="AZ181"/>
      <c r="BA181"/>
      <c r="BB181"/>
      <c r="BC181" s="155"/>
      <c r="BD181" s="155"/>
      <c r="BE181" s="155"/>
      <c r="BF181" s="155"/>
      <c r="BG181" s="155"/>
      <c r="BH181" s="155"/>
      <c r="BI181" s="155"/>
      <c r="BJ181" s="155"/>
      <c r="BK181" s="155"/>
      <c r="BL181" s="155"/>
      <c r="BM181" s="155"/>
      <c r="BN181" s="155"/>
      <c r="BO181" s="155"/>
      <c r="BP181" s="155"/>
      <c r="BQ181" s="155"/>
      <c r="BR181" s="155"/>
      <c r="BS181" s="155"/>
      <c r="BT181" s="155"/>
      <c r="BU181" s="155"/>
      <c r="BV181" s="155"/>
      <c r="BW181" s="155"/>
      <c r="BX181" s="155"/>
      <c r="BY181" s="155"/>
      <c r="BZ181" s="155"/>
      <c r="CA181" s="155"/>
      <c r="CB181" s="155"/>
      <c r="CC181" s="155"/>
      <c r="CD181" s="155"/>
      <c r="CE181" s="155"/>
      <c r="CF181" s="155"/>
      <c r="CG181" s="155"/>
      <c r="CH181" s="155"/>
      <c r="CI181" s="155"/>
      <c r="CJ181" s="155"/>
      <c r="CK181" s="155"/>
      <c r="CL181" s="155"/>
      <c r="CM181" s="155"/>
      <c r="CN181" s="155"/>
      <c r="CO181" s="155"/>
      <c r="CP181" s="155"/>
      <c r="CQ181" s="155"/>
      <c r="CR181" s="155"/>
      <c r="CS181" s="155"/>
      <c r="CT181" s="155"/>
      <c r="CU181" s="155"/>
      <c r="CV181" s="155"/>
      <c r="CW181" s="155"/>
      <c r="CX181" s="155"/>
      <c r="CY181" s="155"/>
      <c r="CZ181" s="155"/>
      <c r="DA181" s="155"/>
      <c r="DB181" s="155"/>
      <c r="DC181" s="155"/>
      <c r="DD181" s="155"/>
      <c r="DE181" s="155"/>
      <c r="DF181" s="155"/>
      <c r="DG181" s="155"/>
      <c r="DH181" s="155"/>
    </row>
    <row r="182" spans="45:112" x14ac:dyDescent="0.3">
      <c r="AS182" s="7" t="s">
        <v>364</v>
      </c>
      <c r="AT182" s="7">
        <v>1</v>
      </c>
      <c r="AU182" s="7">
        <v>2</v>
      </c>
      <c r="AV182" s="7">
        <v>3</v>
      </c>
      <c r="AW182" s="7">
        <v>4</v>
      </c>
      <c r="AX182" s="7">
        <v>5</v>
      </c>
      <c r="AY182" s="7">
        <v>6</v>
      </c>
      <c r="AZ182"/>
      <c r="BA182"/>
      <c r="BB182"/>
      <c r="BC182" s="155"/>
      <c r="BD182" s="155"/>
      <c r="BE182" s="155"/>
      <c r="BF182" s="155"/>
      <c r="BG182" s="155"/>
      <c r="BH182" s="155"/>
      <c r="BI182" s="161"/>
      <c r="BJ182" s="155"/>
      <c r="BK182" s="155"/>
      <c r="BL182" s="155"/>
      <c r="BM182" s="155"/>
      <c r="BN182" s="155"/>
      <c r="BO182" s="155"/>
      <c r="BP182" s="155"/>
      <c r="BQ182" s="155"/>
      <c r="BR182" s="155"/>
      <c r="BS182" s="155"/>
      <c r="BT182" s="155"/>
      <c r="BU182" s="155"/>
      <c r="BV182" s="155"/>
      <c r="BW182" s="155"/>
      <c r="BX182" s="155"/>
      <c r="BY182" s="155"/>
      <c r="BZ182" s="155"/>
      <c r="CA182" s="155"/>
      <c r="CB182" s="155"/>
      <c r="CC182" s="155"/>
      <c r="CD182" s="155"/>
      <c r="CE182" s="155"/>
      <c r="CF182" s="155"/>
      <c r="CG182" s="155"/>
      <c r="CH182" s="155"/>
      <c r="CI182" s="155"/>
      <c r="CJ182" s="155"/>
      <c r="CK182" s="155"/>
      <c r="CL182" s="155"/>
      <c r="CM182" s="155"/>
      <c r="CN182" s="155"/>
      <c r="CO182" s="155"/>
      <c r="CP182" s="155"/>
      <c r="CQ182" s="155"/>
      <c r="CR182" s="155"/>
      <c r="CS182" s="155"/>
      <c r="CT182" s="155"/>
      <c r="CU182" s="155"/>
      <c r="CV182" s="155"/>
      <c r="CW182" s="155"/>
      <c r="CX182" s="155"/>
      <c r="CY182" s="155"/>
      <c r="CZ182" s="155"/>
      <c r="DA182" s="155"/>
      <c r="DB182" s="155"/>
      <c r="DC182" s="155"/>
      <c r="DD182" s="155"/>
      <c r="DE182" s="155"/>
      <c r="DF182" s="155"/>
      <c r="DG182" s="155"/>
      <c r="DH182" s="155"/>
    </row>
    <row r="183" spans="45:112" x14ac:dyDescent="0.3">
      <c r="AS183" s="6" t="s">
        <v>365</v>
      </c>
      <c r="AT183" s="6">
        <f>COUNTIFS(AE:AE,"A",C:C,1)/COUNTIF(C:C,1)</f>
        <v>1</v>
      </c>
      <c r="AU183" s="6">
        <f>COUNTIFS(AE:AE,"A",C:C,2)/COUNTIF(C:C,2)</f>
        <v>1</v>
      </c>
      <c r="AV183" s="6">
        <f>COUNTIFS(AE:AE,"A",C:C,3)/COUNTIF(C:C,3)</f>
        <v>1</v>
      </c>
      <c r="AW183" s="6">
        <f>COUNTIFS(AE:AE,"A",C:C,4)/COUNTIF(C:C,4)</f>
        <v>1</v>
      </c>
      <c r="AX183" s="6">
        <f>COUNTIFS(AE:AE,"A",C:C,5)/COUNTIF(C:C,5)</f>
        <v>0.92307692307692313</v>
      </c>
      <c r="AY183" s="6">
        <f>COUNTIFS(AE:AE,"A",C:C,6)/COUNTIF(C:C,6)</f>
        <v>0.84615384615384615</v>
      </c>
      <c r="AZ183"/>
      <c r="BB183" s="33"/>
      <c r="BC183" s="164"/>
      <c r="BD183" s="164"/>
      <c r="BE183" s="164"/>
      <c r="BF183" s="164"/>
      <c r="BG183" s="164"/>
      <c r="BH183" s="155"/>
      <c r="BI183" s="155"/>
      <c r="BJ183" s="155"/>
      <c r="BK183" s="155"/>
      <c r="BL183" s="155"/>
      <c r="BM183" s="155"/>
      <c r="BN183" s="155"/>
      <c r="BO183" s="155"/>
      <c r="BP183" s="155"/>
      <c r="BQ183" s="155"/>
      <c r="BR183" s="155"/>
      <c r="BS183" s="155"/>
      <c r="BT183" s="155"/>
      <c r="BU183" s="155"/>
      <c r="BV183" s="155"/>
      <c r="BW183" s="155"/>
      <c r="BX183" s="155"/>
      <c r="BY183" s="155"/>
      <c r="BZ183" s="155"/>
      <c r="CA183" s="155"/>
      <c r="CB183" s="155"/>
      <c r="CC183" s="155"/>
      <c r="CD183" s="155"/>
      <c r="CE183" s="155"/>
      <c r="CF183" s="155"/>
      <c r="CG183" s="155"/>
      <c r="CH183" s="155"/>
      <c r="CI183" s="155"/>
      <c r="CJ183" s="155"/>
      <c r="CK183" s="155"/>
      <c r="CL183" s="155"/>
      <c r="CM183" s="155"/>
      <c r="CN183" s="155"/>
      <c r="CO183" s="155"/>
      <c r="CP183" s="155"/>
      <c r="CQ183" s="155"/>
      <c r="CR183" s="155"/>
      <c r="CS183" s="155"/>
      <c r="CT183" s="155"/>
      <c r="CU183" s="155"/>
      <c r="CV183" s="155"/>
      <c r="CW183" s="155"/>
      <c r="CX183" s="155"/>
      <c r="CY183" s="155"/>
      <c r="CZ183" s="155"/>
      <c r="DA183" s="155"/>
      <c r="DB183" s="155"/>
      <c r="DC183" s="155"/>
      <c r="DD183" s="155"/>
      <c r="DE183" s="155"/>
      <c r="DF183" s="155"/>
      <c r="DG183" s="155"/>
      <c r="DH183" s="155"/>
    </row>
    <row r="184" spans="45:112" x14ac:dyDescent="0.3">
      <c r="AS184" s="6" t="s">
        <v>366</v>
      </c>
      <c r="AT184" s="6">
        <f>COUNTIFS(AE:AE,"B",C:C,1)/COUNTIF(C:C,1)</f>
        <v>0</v>
      </c>
      <c r="AU184" s="6">
        <f>COUNTIFS(AE:AE,"B",C:C,2)/COUNTIF(C:C,2)</f>
        <v>0</v>
      </c>
      <c r="AV184" s="6">
        <f>COUNTIFS(AE:AE,"B",C:C,3)/COUNTIF(C:C,3)</f>
        <v>0</v>
      </c>
      <c r="AW184" s="6">
        <f>COUNTIFS(AE:AE,"B",C:C,4)/COUNTIF(C:C,4)</f>
        <v>0</v>
      </c>
      <c r="AX184" s="6">
        <f>COUNTIFS(AE:AE,"B",C:C,5)/COUNTIF(C:C,5)</f>
        <v>7.6923076923076927E-2</v>
      </c>
      <c r="AY184" s="6">
        <f>COUNTIFS(AE:AE,"B",C:C,6)/COUNTIF(C:C,6)</f>
        <v>0.15384615384615385</v>
      </c>
      <c r="AZ184"/>
      <c r="BA184"/>
      <c r="BB184"/>
      <c r="BC184" s="155"/>
      <c r="BD184" s="155"/>
      <c r="BE184" s="155"/>
      <c r="BF184" s="155"/>
      <c r="BG184" s="155"/>
      <c r="BH184" s="155"/>
      <c r="BI184" s="161"/>
      <c r="BJ184" s="155"/>
      <c r="BK184" s="155"/>
      <c r="BL184" s="155"/>
      <c r="BM184" s="155"/>
      <c r="BN184" s="155"/>
      <c r="BO184" s="155"/>
      <c r="BP184" s="155"/>
      <c r="BQ184" s="155"/>
      <c r="BR184" s="155"/>
      <c r="BS184" s="155"/>
      <c r="BT184" s="155"/>
      <c r="BU184" s="155"/>
      <c r="BV184" s="155"/>
      <c r="BW184" s="155"/>
      <c r="BX184" s="155"/>
      <c r="BY184" s="155"/>
      <c r="BZ184" s="155"/>
      <c r="CA184" s="155"/>
      <c r="CB184" s="155"/>
      <c r="CC184" s="155"/>
      <c r="CD184" s="155"/>
      <c r="CE184" s="155"/>
      <c r="CF184" s="155"/>
      <c r="CG184" s="155"/>
      <c r="CH184" s="155"/>
      <c r="CI184" s="155"/>
      <c r="CJ184" s="155"/>
      <c r="CK184" s="155"/>
      <c r="CL184" s="155"/>
      <c r="CM184" s="155"/>
      <c r="CN184" s="155"/>
      <c r="CO184" s="155"/>
      <c r="CP184" s="155"/>
      <c r="CQ184" s="155"/>
      <c r="CR184" s="155"/>
      <c r="CS184" s="155"/>
      <c r="CT184" s="155"/>
      <c r="CU184" s="155"/>
      <c r="CV184" s="155"/>
      <c r="CW184" s="155"/>
      <c r="CX184" s="155"/>
      <c r="CY184" s="155"/>
      <c r="CZ184" s="155"/>
      <c r="DA184" s="155"/>
      <c r="DB184" s="155"/>
      <c r="DC184" s="155"/>
      <c r="DD184" s="155"/>
      <c r="DE184" s="155"/>
      <c r="DF184" s="155"/>
      <c r="DG184" s="155"/>
      <c r="DH184" s="155"/>
    </row>
    <row r="185" spans="45:112" x14ac:dyDescent="0.3">
      <c r="AZ185"/>
      <c r="BA185"/>
      <c r="BB185"/>
      <c r="BC185" s="155"/>
      <c r="BD185" s="155"/>
      <c r="BE185" s="155"/>
      <c r="BF185" s="155"/>
      <c r="BG185" s="155"/>
      <c r="BH185" s="155"/>
      <c r="BI185" s="155"/>
      <c r="BJ185" s="155"/>
      <c r="BK185" s="155"/>
      <c r="BL185" s="155"/>
      <c r="BM185" s="155"/>
      <c r="BN185" s="155"/>
      <c r="BO185" s="155"/>
      <c r="BP185" s="155"/>
      <c r="BQ185" s="155"/>
      <c r="BR185" s="155"/>
      <c r="BS185" s="155"/>
      <c r="BT185" s="155"/>
      <c r="BU185" s="155"/>
      <c r="BV185" s="155"/>
      <c r="BW185" s="155"/>
      <c r="BX185" s="155"/>
      <c r="BY185" s="155"/>
      <c r="BZ185" s="155"/>
      <c r="CA185" s="155"/>
      <c r="CB185" s="155"/>
      <c r="CC185" s="155"/>
      <c r="CD185" s="155"/>
      <c r="CE185" s="155"/>
      <c r="CF185" s="155"/>
      <c r="CG185" s="155"/>
      <c r="CH185" s="155"/>
      <c r="CI185" s="155"/>
      <c r="CJ185" s="155"/>
      <c r="CK185" s="155"/>
      <c r="CL185" s="155"/>
      <c r="CM185" s="155"/>
      <c r="CN185" s="155"/>
      <c r="CO185" s="155"/>
      <c r="CP185" s="155"/>
      <c r="CQ185" s="155"/>
      <c r="CR185" s="155"/>
      <c r="CS185" s="155"/>
      <c r="CT185" s="155"/>
      <c r="CU185" s="155"/>
      <c r="CV185" s="155"/>
      <c r="CW185" s="155"/>
      <c r="CX185" s="155"/>
      <c r="CY185" s="155"/>
      <c r="CZ185" s="155"/>
      <c r="DA185" s="155"/>
      <c r="DB185" s="155"/>
      <c r="DC185" s="155"/>
      <c r="DD185" s="155"/>
      <c r="DE185" s="155"/>
      <c r="DF185" s="155"/>
      <c r="DG185" s="155"/>
      <c r="DH185" s="155"/>
    </row>
    <row r="186" spans="45:112" x14ac:dyDescent="0.3">
      <c r="AS186" s="7" t="s">
        <v>367</v>
      </c>
      <c r="AT186" s="7">
        <v>1</v>
      </c>
      <c r="AU186" s="7">
        <v>2</v>
      </c>
      <c r="AV186" s="7">
        <v>3</v>
      </c>
      <c r="AW186" s="7">
        <v>4</v>
      </c>
      <c r="AX186" s="7">
        <v>5</v>
      </c>
      <c r="AY186" s="7">
        <v>6</v>
      </c>
      <c r="AZ186"/>
      <c r="BA186"/>
      <c r="BB186"/>
      <c r="BC186" s="155"/>
      <c r="BD186" s="155"/>
      <c r="BE186" s="155"/>
      <c r="BF186" s="155"/>
      <c r="BG186" s="155"/>
      <c r="BH186" s="155"/>
      <c r="BI186" s="161"/>
      <c r="BJ186" s="155"/>
      <c r="BK186" s="155"/>
      <c r="BL186" s="155"/>
      <c r="BM186" s="155"/>
      <c r="BN186" s="155"/>
      <c r="BO186" s="155"/>
      <c r="BP186" s="155"/>
      <c r="BQ186" s="155"/>
      <c r="BR186" s="155"/>
      <c r="BS186" s="155"/>
      <c r="BT186" s="155"/>
      <c r="BU186" s="155"/>
      <c r="BV186" s="155"/>
      <c r="BW186" s="155"/>
      <c r="BX186" s="155"/>
      <c r="BY186" s="155"/>
      <c r="BZ186" s="155"/>
      <c r="CA186" s="155"/>
      <c r="CB186" s="155"/>
      <c r="CC186" s="155"/>
      <c r="CD186" s="155"/>
      <c r="CE186" s="155"/>
      <c r="CF186" s="155"/>
      <c r="CG186" s="155"/>
      <c r="CH186" s="155"/>
      <c r="CI186" s="155"/>
      <c r="CJ186" s="155"/>
      <c r="CK186" s="155"/>
      <c r="CL186" s="155"/>
      <c r="CM186" s="155"/>
      <c r="CN186" s="155"/>
      <c r="CO186" s="155"/>
      <c r="CP186" s="155"/>
      <c r="CQ186" s="155"/>
      <c r="CR186" s="155"/>
      <c r="CS186" s="155"/>
      <c r="CT186" s="155"/>
      <c r="CU186" s="155"/>
      <c r="CV186" s="155"/>
      <c r="CW186" s="155"/>
      <c r="CX186" s="155"/>
      <c r="CY186" s="155"/>
      <c r="CZ186" s="155"/>
      <c r="DA186" s="155"/>
      <c r="DB186" s="155"/>
      <c r="DC186" s="155"/>
      <c r="DD186" s="155"/>
      <c r="DE186" s="155"/>
      <c r="DF186" s="155"/>
      <c r="DG186" s="155"/>
      <c r="DH186" s="155"/>
    </row>
    <row r="187" spans="45:112" x14ac:dyDescent="0.3">
      <c r="AS187" s="6" t="s">
        <v>368</v>
      </c>
      <c r="AT187" s="6">
        <f>COUNTIFS(AF:AF,"A",C:C,1)/COUNTIF(C:C,1)</f>
        <v>0.76923076923076927</v>
      </c>
      <c r="AU187" s="6">
        <f>COUNTIFS(AF:AF,"A",C:C,2)/COUNTIF(C:C,2)</f>
        <v>1</v>
      </c>
      <c r="AV187" s="6">
        <f>COUNTIFS(AF:AF,"A",C:C,3)/COUNTIF(C:C,3)</f>
        <v>1</v>
      </c>
      <c r="AW187" s="6">
        <f>COUNTIFS(AF:AF,"A",C:C,4)/COUNTIF(C:C,4)</f>
        <v>0.69230769230769229</v>
      </c>
      <c r="AX187" s="6">
        <f>COUNTIFS(AF:AF,"A",C:C,5)/COUNTIF(C:C,5)</f>
        <v>0.61538461538461542</v>
      </c>
      <c r="AY187" s="6">
        <f>COUNTIFS(AF:AF,"A",C:C,6)/COUNTIF(C:C,6)</f>
        <v>0.61538461538461542</v>
      </c>
      <c r="AZ187"/>
      <c r="BB187" s="33"/>
      <c r="BC187" s="164"/>
      <c r="BD187" s="164"/>
      <c r="BE187" s="164"/>
      <c r="BF187" s="164"/>
      <c r="BG187" s="164"/>
      <c r="BH187" s="155"/>
      <c r="BI187" s="155"/>
      <c r="BJ187" s="155"/>
      <c r="BK187" s="155"/>
      <c r="BL187" s="155"/>
      <c r="BM187" s="155"/>
      <c r="BN187" s="155"/>
      <c r="BO187" s="155"/>
      <c r="BP187" s="155"/>
      <c r="BQ187" s="155"/>
      <c r="BR187" s="155"/>
      <c r="BS187" s="155"/>
      <c r="BT187" s="155"/>
      <c r="BU187" s="155"/>
      <c r="BV187" s="155"/>
      <c r="BW187" s="155"/>
      <c r="BX187" s="155"/>
      <c r="BY187" s="155"/>
      <c r="BZ187" s="155"/>
      <c r="CA187" s="155"/>
      <c r="CB187" s="155"/>
      <c r="CC187" s="155"/>
      <c r="CD187" s="155"/>
      <c r="CE187" s="155"/>
      <c r="CF187" s="155"/>
      <c r="CG187" s="155"/>
      <c r="CH187" s="155"/>
      <c r="CI187" s="155"/>
      <c r="CJ187" s="155"/>
      <c r="CK187" s="155"/>
      <c r="CL187" s="155"/>
      <c r="CM187" s="155"/>
      <c r="CN187" s="155"/>
      <c r="CO187" s="155"/>
      <c r="CP187" s="155"/>
      <c r="CQ187" s="155"/>
      <c r="CR187" s="155"/>
      <c r="CS187" s="155"/>
      <c r="CT187" s="155"/>
      <c r="CU187" s="155"/>
      <c r="CV187" s="155"/>
      <c r="CW187" s="155"/>
      <c r="CX187" s="155"/>
      <c r="CY187" s="155"/>
      <c r="CZ187" s="155"/>
      <c r="DA187" s="155"/>
      <c r="DB187" s="155"/>
      <c r="DC187" s="155"/>
      <c r="DD187" s="155"/>
      <c r="DE187" s="155"/>
      <c r="DF187" s="155"/>
      <c r="DG187" s="155"/>
      <c r="DH187" s="155"/>
    </row>
    <row r="188" spans="45:112" x14ac:dyDescent="0.3">
      <c r="AS188" s="6" t="s">
        <v>369</v>
      </c>
      <c r="AT188" s="6">
        <f>COUNTIFS(AF:AF,"B",C:C,1)/COUNTIF(C:C,1)</f>
        <v>0.23076923076923078</v>
      </c>
      <c r="AU188" s="6">
        <f>COUNTIFS(AF:AF,"B",C:C,2)/COUNTIF(C:C,2)</f>
        <v>0</v>
      </c>
      <c r="AV188" s="6">
        <f>COUNTIFS(AF:AF,"B",C:C,3)/COUNTIF(C:C,3)</f>
        <v>0</v>
      </c>
      <c r="AW188" s="6">
        <f>COUNTIFS(AF:AF,"B",C:C,4)/COUNTIF(C:C,4)</f>
        <v>0.30769230769230771</v>
      </c>
      <c r="AX188" s="6">
        <f>COUNTIFS(AF:AF,"B",C:C,5)/COUNTIF(C:C,5)</f>
        <v>0.38461538461538464</v>
      </c>
      <c r="AY188" s="6">
        <f>COUNTIFS(AF:AF,"B",C:C,6)/COUNTIF(C:C,6)</f>
        <v>0.38461538461538464</v>
      </c>
      <c r="AZ188"/>
      <c r="BA188"/>
      <c r="BB188" s="35"/>
      <c r="BC188" s="168"/>
      <c r="BD188" s="168"/>
      <c r="BE188" s="168"/>
      <c r="BF188" s="168"/>
      <c r="BG188" s="168"/>
      <c r="BH188" s="155"/>
      <c r="BI188" s="161"/>
      <c r="BJ188" s="155"/>
      <c r="BK188" s="155"/>
      <c r="BL188" s="155"/>
      <c r="BM188" s="155"/>
      <c r="BN188" s="155"/>
      <c r="BO188" s="155"/>
      <c r="BP188" s="155"/>
      <c r="BQ188" s="155"/>
      <c r="BR188" s="155"/>
      <c r="BS188" s="155"/>
      <c r="BT188" s="155"/>
      <c r="BU188" s="155"/>
      <c r="BV188" s="155"/>
      <c r="BW188" s="155"/>
      <c r="BX188" s="155"/>
      <c r="BY188" s="155"/>
      <c r="BZ188" s="155"/>
      <c r="CA188" s="155"/>
      <c r="CB188" s="155"/>
      <c r="CC188" s="155"/>
      <c r="CD188" s="155"/>
      <c r="CE188" s="155"/>
      <c r="CF188" s="155"/>
      <c r="CG188" s="155"/>
      <c r="CH188" s="155"/>
      <c r="CI188" s="155"/>
      <c r="CJ188" s="155"/>
      <c r="CK188" s="155"/>
      <c r="CL188" s="155"/>
      <c r="CM188" s="155"/>
      <c r="CN188" s="155"/>
      <c r="CO188" s="155"/>
      <c r="CP188" s="155"/>
      <c r="CQ188" s="155"/>
      <c r="CR188" s="155"/>
      <c r="CS188" s="155"/>
      <c r="CT188" s="155"/>
      <c r="CU188" s="155"/>
      <c r="CV188" s="155"/>
      <c r="CW188" s="155"/>
      <c r="CX188" s="155"/>
      <c r="CY188" s="155"/>
      <c r="CZ188" s="155"/>
      <c r="DA188" s="155"/>
      <c r="DB188" s="155"/>
      <c r="DC188" s="155"/>
      <c r="DD188" s="155"/>
      <c r="DE188" s="155"/>
      <c r="DF188" s="155"/>
      <c r="DG188" s="155"/>
      <c r="DH188" s="155"/>
    </row>
    <row r="189" spans="45:112" x14ac:dyDescent="0.3">
      <c r="AZ189"/>
      <c r="BA189"/>
      <c r="BB189" s="35"/>
      <c r="BC189" s="168"/>
      <c r="BD189" s="168"/>
      <c r="BE189" s="168"/>
      <c r="BF189" s="168"/>
      <c r="BG189" s="168"/>
      <c r="BH189" s="155"/>
      <c r="BI189" s="155"/>
      <c r="BJ189" s="155"/>
      <c r="BK189" s="155"/>
      <c r="BL189" s="155"/>
      <c r="BM189" s="155"/>
      <c r="BN189" s="155"/>
      <c r="BO189" s="155"/>
      <c r="BP189" s="155"/>
      <c r="BQ189" s="155"/>
      <c r="BR189" s="155"/>
      <c r="BS189" s="155"/>
      <c r="BT189" s="155"/>
      <c r="BU189" s="155"/>
      <c r="BV189" s="155"/>
      <c r="BW189" s="155"/>
      <c r="BX189" s="155"/>
      <c r="BY189" s="155"/>
      <c r="BZ189" s="155"/>
      <c r="CA189" s="155"/>
      <c r="CB189" s="155"/>
      <c r="CC189" s="155"/>
      <c r="CD189" s="155"/>
      <c r="CE189" s="155"/>
      <c r="CF189" s="155"/>
      <c r="CG189" s="155"/>
      <c r="CH189" s="155"/>
      <c r="CI189" s="155"/>
      <c r="CJ189" s="155"/>
      <c r="CK189" s="155"/>
      <c r="CL189" s="155"/>
      <c r="CM189" s="155"/>
      <c r="CN189" s="155"/>
      <c r="CO189" s="155"/>
      <c r="CP189" s="155"/>
      <c r="CQ189" s="155"/>
      <c r="CR189" s="155"/>
      <c r="CS189" s="155"/>
      <c r="CT189" s="155"/>
      <c r="CU189" s="155"/>
      <c r="CV189" s="155"/>
      <c r="CW189" s="155"/>
      <c r="CX189" s="155"/>
      <c r="CY189" s="155"/>
      <c r="CZ189" s="155"/>
      <c r="DA189" s="155"/>
      <c r="DB189" s="155"/>
      <c r="DC189" s="155"/>
      <c r="DD189" s="155"/>
      <c r="DE189" s="155"/>
      <c r="DF189" s="155"/>
      <c r="DG189" s="155"/>
      <c r="DH189" s="155"/>
    </row>
    <row r="190" spans="45:112" x14ac:dyDescent="0.3">
      <c r="AS190" s="7" t="s">
        <v>370</v>
      </c>
      <c r="AT190" s="7">
        <v>1</v>
      </c>
      <c r="AU190" s="7">
        <v>2</v>
      </c>
      <c r="AV190" s="7">
        <v>3</v>
      </c>
      <c r="AW190" s="7">
        <v>4</v>
      </c>
      <c r="AX190" s="7">
        <v>5</v>
      </c>
      <c r="AY190" s="7">
        <v>6</v>
      </c>
      <c r="AZ190"/>
      <c r="BA190"/>
      <c r="BB190" s="35"/>
      <c r="BC190" s="168"/>
      <c r="BD190" s="168"/>
      <c r="BE190" s="168"/>
      <c r="BF190" s="168"/>
      <c r="BG190" s="168"/>
      <c r="BH190" s="155"/>
      <c r="BI190" s="161"/>
      <c r="BJ190" s="155"/>
      <c r="BK190" s="155"/>
      <c r="BL190" s="155"/>
      <c r="BM190" s="155"/>
      <c r="BN190" s="155"/>
      <c r="BO190" s="155"/>
      <c r="BP190" s="155"/>
      <c r="BQ190" s="155"/>
      <c r="BR190" s="155"/>
      <c r="BS190" s="155"/>
      <c r="BT190" s="155"/>
      <c r="BU190" s="155"/>
      <c r="BV190" s="155"/>
      <c r="BW190" s="155"/>
      <c r="BX190" s="155"/>
      <c r="BY190" s="155"/>
      <c r="BZ190" s="155"/>
      <c r="CA190" s="155"/>
      <c r="CB190" s="155"/>
      <c r="CC190" s="155"/>
      <c r="CD190" s="155"/>
      <c r="CE190" s="155"/>
      <c r="CF190" s="155"/>
      <c r="CG190" s="155"/>
      <c r="CH190" s="155"/>
      <c r="CI190" s="155"/>
      <c r="CJ190" s="155"/>
      <c r="CK190" s="155"/>
      <c r="CL190" s="155"/>
      <c r="CM190" s="155"/>
      <c r="CN190" s="155"/>
      <c r="CO190" s="155"/>
      <c r="CP190" s="155"/>
      <c r="CQ190" s="155"/>
      <c r="CR190" s="155"/>
      <c r="CS190" s="155"/>
      <c r="CT190" s="155"/>
      <c r="CU190" s="155"/>
      <c r="CV190" s="155"/>
      <c r="CW190" s="155"/>
      <c r="CX190" s="155"/>
      <c r="CY190" s="155"/>
      <c r="CZ190" s="155"/>
      <c r="DA190" s="155"/>
      <c r="DB190" s="155"/>
      <c r="DC190" s="155"/>
      <c r="DD190" s="155"/>
      <c r="DE190" s="155"/>
      <c r="DF190" s="155"/>
      <c r="DG190" s="155"/>
      <c r="DH190" s="155"/>
    </row>
    <row r="191" spans="45:112" x14ac:dyDescent="0.3">
      <c r="AS191" s="6" t="s">
        <v>371</v>
      </c>
      <c r="AT191" s="6">
        <f>COUNTIFS(AG:AG,"A",C:C,1)/COUNTIF(C:C,1)</f>
        <v>0.30769230769230771</v>
      </c>
      <c r="AU191" s="6">
        <f>COUNTIFS(AG:AG,"A",C:C,2)/COUNTIF(C:C,2)</f>
        <v>0.15384615384615385</v>
      </c>
      <c r="AV191" s="6">
        <f>COUNTIFS(AG:AG,"A",C:C,3)/COUNTIF(C:C,3)</f>
        <v>0.23076923076923078</v>
      </c>
      <c r="AW191" s="6">
        <f>COUNTIFS(AG:AG,"A",C:C,4)/COUNTIF(C:C,4)</f>
        <v>7.6923076923076927E-2</v>
      </c>
      <c r="AX191" s="6">
        <f>COUNTIFS(AG:AG,"A",C:C,5)/COUNTIF(C:C,5)</f>
        <v>0.15384615384615385</v>
      </c>
      <c r="AY191" s="6">
        <f>COUNTIFS(AG:AG,"A",C:C,6)/COUNTIF(C:C,6)</f>
        <v>0.23076923076923078</v>
      </c>
      <c r="AZ191"/>
      <c r="BB191" s="33"/>
      <c r="BC191" s="164"/>
      <c r="BD191" s="164"/>
      <c r="BE191" s="164"/>
      <c r="BF191" s="164"/>
      <c r="BG191" s="164"/>
      <c r="BH191" s="155"/>
      <c r="BI191" s="155"/>
      <c r="BJ191" s="155"/>
      <c r="BK191" s="155"/>
      <c r="BL191" s="155"/>
      <c r="BM191" s="155"/>
      <c r="BN191" s="155"/>
      <c r="BO191" s="155"/>
      <c r="BP191" s="155"/>
      <c r="BQ191" s="155"/>
      <c r="BR191" s="155"/>
      <c r="BS191" s="155"/>
      <c r="BT191" s="155"/>
      <c r="BU191" s="155"/>
      <c r="BV191" s="155"/>
      <c r="BW191" s="155"/>
      <c r="BX191" s="155"/>
      <c r="BY191" s="155"/>
      <c r="BZ191" s="155"/>
      <c r="CA191" s="155"/>
      <c r="CB191" s="155"/>
      <c r="CC191" s="155"/>
      <c r="CD191" s="155"/>
      <c r="CE191" s="155"/>
      <c r="CF191" s="155"/>
      <c r="CG191" s="155"/>
      <c r="CH191" s="155"/>
      <c r="CI191" s="155"/>
      <c r="CJ191" s="155"/>
      <c r="CK191" s="155"/>
      <c r="CL191" s="155"/>
      <c r="CM191" s="155"/>
      <c r="CN191" s="155"/>
      <c r="CO191" s="155"/>
      <c r="CP191" s="155"/>
      <c r="CQ191" s="155"/>
      <c r="CR191" s="155"/>
      <c r="CS191" s="155"/>
      <c r="CT191" s="155"/>
      <c r="CU191" s="155"/>
      <c r="CV191" s="155"/>
      <c r="CW191" s="155"/>
      <c r="CX191" s="155"/>
      <c r="CY191" s="155"/>
      <c r="CZ191" s="155"/>
      <c r="DA191" s="155"/>
      <c r="DB191" s="155"/>
      <c r="DC191" s="155"/>
      <c r="DD191" s="155"/>
      <c r="DE191" s="155"/>
      <c r="DF191" s="155"/>
      <c r="DG191" s="155"/>
      <c r="DH191" s="155"/>
    </row>
    <row r="192" spans="45:112" x14ac:dyDescent="0.3">
      <c r="AS192" s="6" t="s">
        <v>372</v>
      </c>
      <c r="AT192" s="6">
        <f>COUNTIFS(AG:AG,"B",C:C,1)/COUNTIF(C:C,1)</f>
        <v>0.69230769230769229</v>
      </c>
      <c r="AU192" s="6">
        <f>COUNTIFS(AG:AG,"B",C:C,2)/COUNTIF(C:C,2)</f>
        <v>0.84615384615384615</v>
      </c>
      <c r="AV192" s="6">
        <f>COUNTIFS(AG:AG,"B",C:C,3)/COUNTIF(C:C,3)</f>
        <v>0.76923076923076927</v>
      </c>
      <c r="AW192" s="6">
        <f>COUNTIFS(AG:AG,"B",C:C,4)/COUNTIF(C:C,4)</f>
        <v>0.92307692307692313</v>
      </c>
      <c r="AX192" s="6">
        <f>COUNTIFS(AG:AG,"B",C:C,5)/COUNTIF(C:C,5)</f>
        <v>0.84615384615384615</v>
      </c>
      <c r="AY192" s="6">
        <f>COUNTIFS(AG:AG,"B",C:C,6)/COUNTIF(C:C,6)</f>
        <v>0.76923076923076927</v>
      </c>
      <c r="AZ192"/>
      <c r="BA192"/>
      <c r="BB192"/>
      <c r="BC192" s="155"/>
      <c r="BD192" s="155"/>
      <c r="BE192" s="155"/>
      <c r="BF192" s="155"/>
      <c r="BG192" s="155"/>
      <c r="BH192" s="155"/>
      <c r="BI192" s="155"/>
      <c r="BJ192" s="155"/>
      <c r="BK192" s="155"/>
      <c r="BL192" s="155"/>
      <c r="BM192" s="155"/>
      <c r="BN192" s="155"/>
      <c r="BO192" s="155"/>
      <c r="BP192" s="155"/>
      <c r="BQ192" s="155"/>
      <c r="BR192" s="155"/>
      <c r="BS192" s="155"/>
      <c r="BT192" s="155"/>
      <c r="BU192" s="155"/>
      <c r="BV192" s="155"/>
      <c r="BW192" s="155"/>
      <c r="BX192" s="155"/>
      <c r="BY192" s="155"/>
      <c r="BZ192" s="155"/>
      <c r="CA192" s="155"/>
      <c r="CB192" s="155"/>
      <c r="CC192" s="155"/>
      <c r="CD192" s="155"/>
      <c r="CE192" s="155"/>
      <c r="CF192" s="155"/>
      <c r="CG192" s="155"/>
      <c r="CH192" s="155"/>
      <c r="CI192" s="155"/>
      <c r="CJ192" s="155"/>
      <c r="CK192" s="155"/>
      <c r="CL192" s="155"/>
      <c r="CM192" s="155"/>
      <c r="CN192" s="155"/>
      <c r="CO192" s="155"/>
      <c r="CP192" s="155"/>
      <c r="CQ192" s="155"/>
      <c r="CR192" s="155"/>
      <c r="CS192" s="155"/>
      <c r="CT192" s="155"/>
      <c r="CU192" s="155"/>
      <c r="CV192" s="155"/>
      <c r="CW192" s="155"/>
      <c r="CX192" s="155"/>
      <c r="CY192" s="155"/>
      <c r="CZ192" s="155"/>
      <c r="DA192" s="155"/>
      <c r="DB192" s="155"/>
      <c r="DC192" s="155"/>
      <c r="DD192" s="155"/>
      <c r="DE192" s="155"/>
      <c r="DF192" s="155"/>
      <c r="DG192" s="155"/>
      <c r="DH192" s="155"/>
    </row>
    <row r="193" spans="45:112" x14ac:dyDescent="0.3">
      <c r="AZ193"/>
      <c r="BA193"/>
      <c r="BB193"/>
      <c r="BC193" s="155"/>
      <c r="BD193" s="155"/>
      <c r="BE193" s="155"/>
      <c r="BF193" s="155"/>
      <c r="BG193" s="155"/>
      <c r="BH193" s="155"/>
      <c r="BI193" s="162"/>
      <c r="BJ193" s="155"/>
      <c r="BK193" s="158"/>
      <c r="BL193" s="158"/>
      <c r="BM193" s="158"/>
      <c r="BN193" s="158"/>
      <c r="BO193" s="158"/>
      <c r="BP193" s="158"/>
      <c r="BQ193" s="158"/>
      <c r="BR193" s="158"/>
      <c r="BS193" s="158"/>
      <c r="BT193" s="158"/>
      <c r="BU193" s="158"/>
      <c r="BV193" s="158"/>
      <c r="BW193" s="158"/>
      <c r="BX193" s="158"/>
      <c r="BY193" s="158"/>
      <c r="BZ193" s="158"/>
      <c r="CA193" s="158"/>
      <c r="CB193" s="158"/>
      <c r="CC193" s="158"/>
      <c r="CD193" s="158"/>
      <c r="CE193" s="158"/>
      <c r="CF193" s="158"/>
      <c r="CG193" s="158"/>
      <c r="CH193" s="158"/>
      <c r="CI193" s="158"/>
      <c r="CJ193" s="158"/>
      <c r="CK193" s="158"/>
      <c r="CL193" s="158"/>
      <c r="CM193" s="158"/>
      <c r="CN193" s="158"/>
      <c r="CO193" s="158"/>
      <c r="CP193" s="158"/>
      <c r="CQ193" s="158"/>
      <c r="CR193" s="158"/>
      <c r="CS193" s="158"/>
      <c r="CT193" s="158"/>
      <c r="CU193" s="155"/>
      <c r="CV193" s="155"/>
      <c r="CW193" s="155"/>
      <c r="CX193" s="155"/>
      <c r="CY193" s="155"/>
      <c r="CZ193" s="155"/>
      <c r="DA193" s="155"/>
      <c r="DB193" s="155"/>
      <c r="DC193" s="155"/>
      <c r="DD193" s="155"/>
      <c r="DE193" s="155"/>
      <c r="DF193" s="155"/>
      <c r="DG193" s="155"/>
      <c r="DH193" s="155"/>
    </row>
    <row r="194" spans="45:112" x14ac:dyDescent="0.3">
      <c r="AS194" s="7" t="s">
        <v>373</v>
      </c>
      <c r="AT194" s="7">
        <v>1</v>
      </c>
      <c r="AU194" s="7">
        <v>2</v>
      </c>
      <c r="AV194" s="7">
        <v>3</v>
      </c>
      <c r="AW194" s="7">
        <v>4</v>
      </c>
      <c r="AX194" s="7">
        <v>5</v>
      </c>
      <c r="AY194" s="7">
        <v>6</v>
      </c>
      <c r="AZ194"/>
      <c r="BA194"/>
      <c r="BB194"/>
      <c r="BC194" s="155"/>
      <c r="BD194" s="155"/>
      <c r="BE194" s="155"/>
      <c r="BF194" s="155"/>
      <c r="BG194" s="155"/>
      <c r="BH194" s="155"/>
      <c r="BI194" s="162"/>
      <c r="BJ194" s="155"/>
      <c r="BK194" s="155"/>
      <c r="BL194" s="155"/>
      <c r="BM194" s="155"/>
      <c r="BN194" s="155"/>
      <c r="BO194" s="155"/>
      <c r="BP194" s="155"/>
      <c r="BQ194" s="155"/>
      <c r="BR194" s="155"/>
      <c r="BS194" s="155"/>
      <c r="BT194" s="155"/>
      <c r="BU194" s="155"/>
      <c r="BV194" s="155"/>
      <c r="BW194" s="155"/>
      <c r="BX194" s="155"/>
      <c r="BY194" s="155"/>
      <c r="BZ194" s="155"/>
      <c r="CA194" s="155"/>
      <c r="CB194" s="155"/>
      <c r="CC194" s="155"/>
      <c r="CD194" s="155"/>
      <c r="CE194" s="155"/>
      <c r="CF194" s="155"/>
      <c r="CG194" s="155"/>
      <c r="CH194" s="155"/>
      <c r="CI194" s="155"/>
      <c r="CJ194" s="155"/>
      <c r="CK194" s="155"/>
      <c r="CL194" s="155"/>
      <c r="CM194" s="155"/>
      <c r="CN194" s="155"/>
      <c r="CO194" s="155"/>
      <c r="CP194" s="155"/>
      <c r="CQ194" s="155"/>
      <c r="CR194" s="155"/>
      <c r="CS194" s="155"/>
      <c r="CT194" s="155"/>
      <c r="CU194" s="155"/>
      <c r="CV194" s="155"/>
      <c r="CW194" s="155"/>
      <c r="CX194" s="155"/>
      <c r="CY194" s="155"/>
      <c r="CZ194" s="155"/>
      <c r="DA194" s="155"/>
      <c r="DB194" s="155"/>
      <c r="DC194" s="155"/>
      <c r="DD194" s="155"/>
      <c r="DE194" s="155"/>
      <c r="DF194" s="155"/>
      <c r="DG194" s="155"/>
      <c r="DH194" s="155"/>
    </row>
    <row r="195" spans="45:112" x14ac:dyDescent="0.3">
      <c r="AS195" s="6" t="s">
        <v>374</v>
      </c>
      <c r="AT195" s="6">
        <f>COUNTIFS(AH:AH,"A",C:C,1)/COUNTIF(C:C,1)</f>
        <v>1</v>
      </c>
      <c r="AU195" s="6">
        <f>COUNTIFS(AH:AH,"A",C:C,2)/COUNTIF(C:C,2)</f>
        <v>1</v>
      </c>
      <c r="AV195" s="6">
        <f>COUNTIFS(AH:AH,"A",C:C,3)/COUNTIF(C:C,3)</f>
        <v>1</v>
      </c>
      <c r="AW195" s="6">
        <f>COUNTIFS(AH:AH,"A",C:C,4)/COUNTIF(C:C,4)</f>
        <v>1</v>
      </c>
      <c r="AX195" s="6">
        <f>COUNTIFS(AH:AH,"A",C:C,5)/COUNTIF(C:C,5)</f>
        <v>1</v>
      </c>
      <c r="AY195" s="6">
        <f>COUNTIFS(AH:AH,"A",C:C,6)/COUNTIF(C:C,6)</f>
        <v>0.84615384615384615</v>
      </c>
      <c r="AZ195"/>
      <c r="BB195" s="33"/>
      <c r="BC195" s="164"/>
      <c r="BD195" s="164"/>
      <c r="BE195" s="164"/>
      <c r="BF195" s="164"/>
      <c r="BG195" s="164"/>
      <c r="BH195" s="155"/>
      <c r="BI195" s="155"/>
      <c r="BJ195" s="155"/>
      <c r="BK195" s="155"/>
      <c r="BL195" s="155"/>
      <c r="BM195" s="155"/>
      <c r="BN195" s="155"/>
      <c r="BO195" s="155"/>
      <c r="BP195" s="155"/>
      <c r="BQ195" s="155"/>
      <c r="BR195" s="155"/>
      <c r="BS195" s="155"/>
      <c r="BT195" s="155"/>
      <c r="BU195" s="155"/>
      <c r="BV195" s="155"/>
      <c r="BW195" s="155"/>
      <c r="BX195" s="155"/>
      <c r="BY195" s="155"/>
      <c r="BZ195" s="155"/>
      <c r="CA195" s="155"/>
      <c r="CB195" s="155"/>
      <c r="CC195" s="155"/>
      <c r="CD195" s="155"/>
      <c r="CE195" s="155"/>
      <c r="CF195" s="155"/>
      <c r="CG195" s="155"/>
      <c r="CH195" s="155"/>
      <c r="CI195" s="155"/>
      <c r="CJ195" s="155"/>
      <c r="CK195" s="155"/>
      <c r="CL195" s="155"/>
      <c r="CM195" s="155"/>
      <c r="CN195" s="155"/>
      <c r="CO195" s="155"/>
      <c r="CP195" s="155"/>
      <c r="CQ195" s="155"/>
      <c r="CR195" s="155"/>
      <c r="CS195" s="155"/>
      <c r="CT195" s="155"/>
      <c r="CU195" s="155"/>
      <c r="CV195" s="155"/>
      <c r="CW195" s="155"/>
      <c r="CX195" s="155"/>
      <c r="CY195" s="155"/>
      <c r="CZ195" s="155"/>
      <c r="DA195" s="155"/>
      <c r="DB195" s="155"/>
      <c r="DC195" s="155"/>
      <c r="DD195" s="155"/>
      <c r="DE195" s="155"/>
      <c r="DF195" s="155"/>
      <c r="DG195" s="155"/>
      <c r="DH195" s="155"/>
    </row>
    <row r="196" spans="45:112" x14ac:dyDescent="0.3">
      <c r="AS196" s="6" t="s">
        <v>375</v>
      </c>
      <c r="AT196" s="6">
        <f>COUNTIFS(AH:AH,"B",C:C,1)/COUNTIF(C:C,1)</f>
        <v>0</v>
      </c>
      <c r="AU196" s="6">
        <f>COUNTIFS(AH:AH,"B",C:C,2)/COUNTIF(C:C,2)</f>
        <v>0</v>
      </c>
      <c r="AV196" s="6">
        <f>COUNTIFS(AH:AH,"B",C:C,3)/COUNTIF(C:C,3)</f>
        <v>0</v>
      </c>
      <c r="AW196" s="6">
        <f>COUNTIFS(AH:AH,"B",C:C,4)/COUNTIF(C:C,4)</f>
        <v>0</v>
      </c>
      <c r="AX196" s="6">
        <f>COUNTIFS(AH:AH,"B",C:C,5)/COUNTIF(C:C,5)</f>
        <v>0</v>
      </c>
      <c r="AY196" s="6">
        <f>COUNTIFS(AH:AH,"B",C:C,6)/COUNTIF(C:C,6)</f>
        <v>0.15384615384615385</v>
      </c>
      <c r="AZ196"/>
      <c r="BA196"/>
      <c r="BB196"/>
      <c r="BC196" s="155"/>
      <c r="BD196" s="155"/>
      <c r="BE196" s="155"/>
      <c r="BF196" s="155"/>
      <c r="BG196" s="155"/>
      <c r="BH196" s="155"/>
      <c r="BI196" s="161"/>
      <c r="BJ196" s="155"/>
      <c r="BK196" s="155"/>
      <c r="BL196" s="155"/>
      <c r="BM196" s="155"/>
      <c r="BN196" s="155"/>
      <c r="BO196" s="155"/>
      <c r="BP196" s="155"/>
      <c r="BQ196" s="155"/>
      <c r="BR196" s="155"/>
      <c r="BS196" s="155"/>
      <c r="BT196" s="155"/>
      <c r="BU196" s="155"/>
      <c r="BV196" s="155"/>
      <c r="BW196" s="155"/>
      <c r="BX196" s="155"/>
      <c r="BY196" s="155"/>
      <c r="BZ196" s="155"/>
      <c r="CA196" s="155"/>
      <c r="CB196" s="155"/>
      <c r="CC196" s="155"/>
      <c r="CD196" s="155"/>
      <c r="CE196" s="155"/>
      <c r="CF196" s="155"/>
      <c r="CG196" s="155"/>
      <c r="CH196" s="155"/>
      <c r="CI196" s="155"/>
      <c r="CJ196" s="155"/>
      <c r="CK196" s="155"/>
      <c r="CL196" s="155"/>
      <c r="CM196" s="155"/>
      <c r="CN196" s="155"/>
      <c r="CO196" s="155"/>
      <c r="CP196" s="155"/>
      <c r="CQ196" s="155"/>
      <c r="CR196" s="155"/>
      <c r="CS196" s="155"/>
      <c r="CT196" s="155"/>
      <c r="CU196" s="155"/>
      <c r="CV196" s="155"/>
      <c r="CW196" s="155"/>
      <c r="CX196" s="155"/>
      <c r="CY196" s="155"/>
      <c r="CZ196" s="155"/>
      <c r="DA196" s="155"/>
      <c r="DB196" s="155"/>
      <c r="DC196" s="155"/>
      <c r="DD196" s="155"/>
      <c r="DE196" s="155"/>
      <c r="DF196" s="155"/>
      <c r="DG196" s="155"/>
      <c r="DH196" s="155"/>
    </row>
    <row r="197" spans="45:112" x14ac:dyDescent="0.3">
      <c r="AZ197"/>
      <c r="BA197"/>
      <c r="BB197"/>
      <c r="BC197" s="155"/>
      <c r="BD197" s="155"/>
      <c r="BE197" s="155"/>
      <c r="BF197" s="155"/>
      <c r="BG197" s="155"/>
      <c r="BH197" s="155"/>
      <c r="BI197" s="155"/>
      <c r="BJ197" s="155"/>
      <c r="BK197" s="155"/>
      <c r="BL197" s="155"/>
      <c r="BM197" s="155"/>
      <c r="BN197" s="155"/>
      <c r="BO197" s="155"/>
      <c r="BP197" s="155"/>
      <c r="BQ197" s="155"/>
      <c r="BR197" s="155"/>
      <c r="BS197" s="155"/>
      <c r="BT197" s="155"/>
      <c r="BU197" s="155"/>
      <c r="BV197" s="155"/>
      <c r="BW197" s="155"/>
      <c r="BX197" s="155"/>
      <c r="BY197" s="155"/>
      <c r="BZ197" s="155"/>
      <c r="CA197" s="155"/>
      <c r="CB197" s="155"/>
      <c r="CC197" s="155"/>
      <c r="CD197" s="155"/>
      <c r="CE197" s="155"/>
      <c r="CF197" s="155"/>
      <c r="CG197" s="155"/>
      <c r="CH197" s="155"/>
      <c r="CI197" s="155"/>
      <c r="CJ197" s="155"/>
      <c r="CK197" s="155"/>
      <c r="CL197" s="155"/>
      <c r="CM197" s="155"/>
      <c r="CN197" s="155"/>
      <c r="CO197" s="155"/>
      <c r="CP197" s="155"/>
      <c r="CQ197" s="155"/>
      <c r="CR197" s="155"/>
      <c r="CS197" s="155"/>
      <c r="CT197" s="155"/>
      <c r="CU197" s="155"/>
      <c r="CV197" s="155"/>
      <c r="CW197" s="155"/>
      <c r="CX197" s="155"/>
      <c r="CY197" s="155"/>
      <c r="CZ197" s="155"/>
      <c r="DA197" s="155"/>
      <c r="DB197" s="155"/>
      <c r="DC197" s="155"/>
      <c r="DD197" s="155"/>
      <c r="DE197" s="155"/>
      <c r="DF197" s="155"/>
      <c r="DG197" s="155"/>
      <c r="DH197" s="155"/>
    </row>
    <row r="198" spans="45:112" x14ac:dyDescent="0.3">
      <c r="AS198" s="7" t="s">
        <v>360</v>
      </c>
      <c r="AT198" s="7">
        <v>1</v>
      </c>
      <c r="AU198" s="7">
        <v>2</v>
      </c>
      <c r="AV198" s="7">
        <v>3</v>
      </c>
      <c r="AW198" s="7">
        <v>4</v>
      </c>
      <c r="AX198" s="7">
        <v>5</v>
      </c>
      <c r="AY198" s="7">
        <v>6</v>
      </c>
      <c r="AZ198"/>
      <c r="BA198"/>
      <c r="BB198"/>
      <c r="BC198" s="155"/>
      <c r="BD198" s="155"/>
      <c r="BE198" s="155"/>
      <c r="BF198" s="155"/>
      <c r="BG198" s="155"/>
      <c r="BH198" s="155"/>
      <c r="BI198" s="161"/>
      <c r="BJ198" s="155"/>
      <c r="BK198" s="155"/>
      <c r="BL198" s="155"/>
      <c r="BM198" s="155"/>
      <c r="BN198" s="155"/>
      <c r="BO198" s="155"/>
      <c r="BP198" s="155"/>
      <c r="BQ198" s="155"/>
      <c r="BR198" s="155"/>
      <c r="BS198" s="155"/>
      <c r="BT198" s="155"/>
      <c r="BU198" s="155"/>
      <c r="BV198" s="155"/>
      <c r="BW198" s="155"/>
      <c r="BX198" s="155"/>
      <c r="BY198" s="155"/>
      <c r="BZ198" s="155"/>
      <c r="CA198" s="155"/>
      <c r="CB198" s="155"/>
      <c r="CC198" s="155"/>
      <c r="CD198" s="155"/>
      <c r="CE198" s="155"/>
      <c r="CF198" s="155"/>
      <c r="CG198" s="155"/>
      <c r="CH198" s="155"/>
      <c r="CI198" s="155"/>
      <c r="CJ198" s="155"/>
      <c r="CK198" s="155"/>
      <c r="CL198" s="155"/>
      <c r="CM198" s="155"/>
      <c r="CN198" s="155"/>
      <c r="CO198" s="155"/>
      <c r="CP198" s="155"/>
      <c r="CQ198" s="155"/>
      <c r="CR198" s="155"/>
      <c r="CS198" s="155"/>
      <c r="CT198" s="155"/>
      <c r="CU198" s="155"/>
      <c r="CV198" s="155"/>
      <c r="CW198" s="155"/>
      <c r="CX198" s="155"/>
      <c r="CY198" s="155"/>
      <c r="CZ198" s="155"/>
      <c r="DA198" s="155"/>
      <c r="DB198" s="155"/>
      <c r="DC198" s="155"/>
      <c r="DD198" s="155"/>
      <c r="DE198" s="155"/>
      <c r="DF198" s="155"/>
      <c r="DG198" s="155"/>
      <c r="DH198" s="155"/>
    </row>
    <row r="199" spans="45:112" x14ac:dyDescent="0.3">
      <c r="AS199" s="6" t="s">
        <v>377</v>
      </c>
      <c r="AT199" s="6">
        <f>COUNTIFS(AI:AI,"A",C:C,1)/COUNTIF(C:C,1)</f>
        <v>0.38461538461538464</v>
      </c>
      <c r="AU199" s="6">
        <f>COUNTIFS(AI:AI,"A",C:C,2)/COUNTIF(C:C,2)</f>
        <v>0.30769230769230771</v>
      </c>
      <c r="AV199" s="6">
        <f>COUNTIFS(AI:AI,"A",C:C,3)/COUNTIF(C:C,3)</f>
        <v>0.23076923076923078</v>
      </c>
      <c r="AW199" s="6">
        <f>COUNTIFS(AI:AI,"A",C:C,4)/COUNTIF(C:C,4)</f>
        <v>0</v>
      </c>
      <c r="AX199" s="6">
        <f>COUNTIFS(AI:AI,"A",C:C,5)/COUNTIF(C:C,5)</f>
        <v>0</v>
      </c>
      <c r="AY199" s="6">
        <f>COUNTIFS(AI:AI,"A",C:C,6)/COUNTIF(C:C,6)</f>
        <v>0.23076923076923078</v>
      </c>
      <c r="AZ199"/>
      <c r="BB199" s="33"/>
      <c r="BC199" s="164"/>
      <c r="BD199" s="164"/>
      <c r="BE199" s="164"/>
      <c r="BF199" s="164"/>
      <c r="BG199" s="164"/>
      <c r="BH199" s="155"/>
      <c r="BI199" s="155"/>
      <c r="BJ199" s="155"/>
      <c r="BK199" s="155"/>
      <c r="BL199" s="155"/>
      <c r="BM199" s="155"/>
      <c r="BN199" s="155"/>
      <c r="BO199" s="155"/>
      <c r="BP199" s="155"/>
      <c r="BQ199" s="155"/>
      <c r="BR199" s="155"/>
      <c r="BS199" s="155"/>
      <c r="BT199" s="155"/>
      <c r="BU199" s="155"/>
      <c r="BV199" s="155"/>
      <c r="BW199" s="155"/>
      <c r="BX199" s="155"/>
      <c r="BY199" s="155"/>
      <c r="BZ199" s="155"/>
      <c r="CA199" s="155"/>
      <c r="CB199" s="155"/>
      <c r="CC199" s="155"/>
      <c r="CD199" s="155"/>
      <c r="CE199" s="155"/>
      <c r="CF199" s="155"/>
      <c r="CG199" s="155"/>
      <c r="CH199" s="155"/>
      <c r="CI199" s="155"/>
      <c r="CJ199" s="155"/>
      <c r="CK199" s="155"/>
      <c r="CL199" s="155"/>
      <c r="CM199" s="155"/>
      <c r="CN199" s="155"/>
      <c r="CO199" s="155"/>
      <c r="CP199" s="155"/>
      <c r="CQ199" s="155"/>
      <c r="CR199" s="155"/>
      <c r="CS199" s="155"/>
      <c r="CT199" s="155"/>
      <c r="CU199" s="155"/>
      <c r="CV199" s="155"/>
      <c r="CW199" s="155"/>
      <c r="CX199" s="155"/>
      <c r="CY199" s="155"/>
      <c r="CZ199" s="155"/>
      <c r="DA199" s="155"/>
      <c r="DB199" s="155"/>
      <c r="DC199" s="155"/>
      <c r="DD199" s="155"/>
      <c r="DE199" s="155"/>
      <c r="DF199" s="155"/>
      <c r="DG199" s="155"/>
      <c r="DH199" s="155"/>
    </row>
    <row r="200" spans="45:112" x14ac:dyDescent="0.3">
      <c r="AS200" s="6" t="s">
        <v>376</v>
      </c>
      <c r="AT200" s="6">
        <f>COUNTIFS(AI:AI,"B",C:C,1)/COUNTIF(C:C,1)</f>
        <v>0.61538461538461542</v>
      </c>
      <c r="AU200" s="6">
        <f>COUNTIFS(AI:AI,"B",C:C,2)/COUNTIF(C:C,2)</f>
        <v>0.69230769230769229</v>
      </c>
      <c r="AV200" s="6">
        <f>COUNTIFS(AI:AI,"B",C:C,3)/COUNTIF(C:C,3)</f>
        <v>0.76923076923076927</v>
      </c>
      <c r="AW200" s="6">
        <f>COUNTIFS(AI:AI,"B",C:C,4)/COUNTIF(C:C,4)</f>
        <v>1</v>
      </c>
      <c r="AX200" s="6">
        <f>COUNTIFS(AI:AI,"B",C:C,5)/COUNTIF(C:C,5)</f>
        <v>1</v>
      </c>
      <c r="AY200" s="6">
        <f>COUNTIFS(AI:AI,"B",C:C,6)/COUNTIF(C:C,6)</f>
        <v>0.76923076923076927</v>
      </c>
      <c r="AZ200"/>
      <c r="BA200"/>
      <c r="BB200"/>
      <c r="BC200" s="155"/>
      <c r="BD200" s="155"/>
      <c r="BE200" s="155"/>
      <c r="BF200" s="155"/>
      <c r="BG200" s="155"/>
      <c r="BH200" s="155"/>
      <c r="BI200" s="161"/>
      <c r="BJ200" s="155"/>
      <c r="BK200" s="155"/>
      <c r="BL200" s="155"/>
      <c r="BM200" s="155"/>
      <c r="BN200" s="155"/>
      <c r="BO200" s="155"/>
      <c r="BP200" s="155"/>
      <c r="BQ200" s="155"/>
      <c r="BR200" s="155"/>
      <c r="BS200" s="155"/>
      <c r="BT200" s="155"/>
      <c r="BU200" s="155"/>
      <c r="BV200" s="155"/>
      <c r="BW200" s="155"/>
      <c r="BX200" s="155"/>
      <c r="BY200" s="155"/>
      <c r="BZ200" s="155"/>
      <c r="CA200" s="155"/>
      <c r="CB200" s="155"/>
      <c r="CC200" s="155"/>
      <c r="CD200" s="155"/>
      <c r="CE200" s="155"/>
      <c r="CF200" s="155"/>
      <c r="CG200" s="155"/>
      <c r="CH200" s="155"/>
      <c r="CI200" s="155"/>
      <c r="CJ200" s="155"/>
      <c r="CK200" s="155"/>
      <c r="CL200" s="155"/>
      <c r="CM200" s="155"/>
      <c r="CN200" s="155"/>
      <c r="CO200" s="155"/>
      <c r="CP200" s="155"/>
      <c r="CQ200" s="155"/>
      <c r="CR200" s="155"/>
      <c r="CS200" s="155"/>
      <c r="CT200" s="155"/>
      <c r="CU200" s="155"/>
      <c r="CV200" s="155"/>
      <c r="CW200" s="155"/>
      <c r="CX200" s="155"/>
      <c r="CY200" s="155"/>
      <c r="CZ200" s="155"/>
      <c r="DA200" s="155"/>
      <c r="DB200" s="155"/>
      <c r="DC200" s="155"/>
      <c r="DD200" s="155"/>
      <c r="DE200" s="155"/>
      <c r="DF200" s="155"/>
      <c r="DG200" s="155"/>
      <c r="DH200" s="155"/>
    </row>
    <row r="201" spans="45:112" x14ac:dyDescent="0.3">
      <c r="AZ201"/>
      <c r="BA201"/>
      <c r="BB201"/>
      <c r="BC201" s="155"/>
      <c r="BD201" s="155"/>
      <c r="BE201" s="155"/>
      <c r="BF201" s="155"/>
      <c r="BG201" s="155"/>
      <c r="BH201" s="155"/>
      <c r="BI201" s="155"/>
      <c r="BJ201" s="155"/>
      <c r="BK201" s="155"/>
      <c r="BL201" s="155"/>
      <c r="BM201" s="155"/>
      <c r="BN201" s="155"/>
      <c r="BO201" s="155"/>
      <c r="BP201" s="155"/>
      <c r="BQ201" s="155"/>
      <c r="BR201" s="155"/>
      <c r="BS201" s="155"/>
      <c r="BT201" s="155"/>
      <c r="BU201" s="155"/>
      <c r="BV201" s="155"/>
      <c r="BW201" s="155"/>
      <c r="BX201" s="155"/>
      <c r="BY201" s="155"/>
      <c r="BZ201" s="155"/>
      <c r="CA201" s="155"/>
      <c r="CB201" s="155"/>
      <c r="CC201" s="155"/>
      <c r="CD201" s="155"/>
      <c r="CE201" s="155"/>
      <c r="CF201" s="155"/>
      <c r="CG201" s="155"/>
      <c r="CH201" s="155"/>
      <c r="CI201" s="155"/>
      <c r="CJ201" s="155"/>
      <c r="CK201" s="155"/>
      <c r="CL201" s="155"/>
      <c r="CM201" s="155"/>
      <c r="CN201" s="155"/>
      <c r="CO201" s="155"/>
      <c r="CP201" s="155"/>
      <c r="CQ201" s="155"/>
      <c r="CR201" s="155"/>
      <c r="CS201" s="155"/>
      <c r="CT201" s="155"/>
      <c r="CU201" s="155"/>
      <c r="CV201" s="155"/>
      <c r="CW201" s="155"/>
      <c r="CX201" s="155"/>
      <c r="CY201" s="155"/>
      <c r="CZ201" s="155"/>
      <c r="DA201" s="155"/>
      <c r="DB201" s="155"/>
      <c r="DC201" s="155"/>
      <c r="DD201" s="155"/>
      <c r="DE201" s="155"/>
      <c r="DF201" s="155"/>
      <c r="DG201" s="155"/>
      <c r="DH201" s="155"/>
    </row>
    <row r="202" spans="45:112" x14ac:dyDescent="0.3">
      <c r="AS202" s="7" t="s">
        <v>378</v>
      </c>
      <c r="AT202" s="7">
        <v>1</v>
      </c>
      <c r="AU202" s="7">
        <v>2</v>
      </c>
      <c r="AV202" s="7">
        <v>3</v>
      </c>
      <c r="AW202" s="7">
        <v>4</v>
      </c>
      <c r="AX202" s="7">
        <v>5</v>
      </c>
      <c r="AY202" s="7">
        <v>6</v>
      </c>
      <c r="AZ202"/>
      <c r="BA202"/>
      <c r="BB202"/>
      <c r="BC202" s="155"/>
      <c r="BD202" s="155"/>
      <c r="BE202" s="155"/>
      <c r="BF202" s="155"/>
      <c r="BG202" s="155"/>
      <c r="BH202" s="155"/>
      <c r="BI202" s="161"/>
      <c r="BJ202" s="155"/>
      <c r="BK202" s="155"/>
      <c r="BL202" s="155"/>
      <c r="BM202" s="155"/>
      <c r="BN202" s="155"/>
      <c r="BO202" s="155"/>
      <c r="BP202" s="155"/>
      <c r="BQ202" s="155"/>
      <c r="BR202" s="155"/>
      <c r="BS202" s="155"/>
      <c r="BT202" s="155"/>
      <c r="BU202" s="155"/>
      <c r="BV202" s="155"/>
      <c r="BW202" s="155"/>
      <c r="BX202" s="155"/>
      <c r="BY202" s="155"/>
      <c r="BZ202" s="155"/>
      <c r="CA202" s="155"/>
      <c r="CB202" s="155"/>
      <c r="CC202" s="155"/>
      <c r="CD202" s="155"/>
      <c r="CE202" s="155"/>
      <c r="CF202" s="155"/>
      <c r="CG202" s="155"/>
      <c r="CH202" s="155"/>
      <c r="CI202" s="155"/>
      <c r="CJ202" s="155"/>
      <c r="CK202" s="155"/>
      <c r="CL202" s="155"/>
      <c r="CM202" s="155"/>
      <c r="CN202" s="155"/>
      <c r="CO202" s="155"/>
      <c r="CP202" s="155"/>
      <c r="CQ202" s="155"/>
      <c r="CR202" s="155"/>
      <c r="CS202" s="155"/>
      <c r="CT202" s="155"/>
      <c r="CU202" s="155"/>
      <c r="CV202" s="155"/>
      <c r="CW202" s="155"/>
      <c r="CX202" s="155"/>
      <c r="CY202" s="155"/>
      <c r="CZ202" s="155"/>
      <c r="DA202" s="155"/>
      <c r="DB202" s="155"/>
      <c r="DC202" s="155"/>
      <c r="DD202" s="155"/>
      <c r="DE202" s="155"/>
      <c r="DF202" s="155"/>
      <c r="DG202" s="155"/>
      <c r="DH202" s="155"/>
    </row>
    <row r="203" spans="45:112" x14ac:dyDescent="0.3">
      <c r="AS203" s="6" t="s">
        <v>379</v>
      </c>
      <c r="AT203" s="6">
        <f>COUNTIFS(AJ:AJ,"A",C:C,1)/COUNTIF(C:C,1)</f>
        <v>0.92307692307692313</v>
      </c>
      <c r="AU203" s="6">
        <f>COUNTIFS(AJ:AJ,"A",C:C,2)/COUNTIF(C:C,2)</f>
        <v>0.92307692307692313</v>
      </c>
      <c r="AV203" s="6">
        <f>COUNTIFS(AJ:AJ,"A",C:C,3)/COUNTIF(C:C,3)</f>
        <v>1</v>
      </c>
      <c r="AW203" s="6">
        <f>COUNTIFS(AJ:AJ,"A",C:C,4)/COUNTIF(C:C,4)</f>
        <v>0.61538461538461542</v>
      </c>
      <c r="AX203" s="6">
        <f>COUNTIFS(AJ:AJ,"A",C:C,5)/COUNTIF(C:C,5)</f>
        <v>0.84615384615384615</v>
      </c>
      <c r="AY203" s="6">
        <f>COUNTIFS(AJ:AJ,"A",C:C,6)/COUNTIF(C:C,6)</f>
        <v>0.53846153846153844</v>
      </c>
      <c r="AZ203"/>
      <c r="BB203" s="33"/>
      <c r="BC203" s="164"/>
      <c r="BD203" s="164"/>
      <c r="BE203" s="164"/>
      <c r="BF203" s="164"/>
      <c r="BG203" s="164"/>
      <c r="BH203" s="155"/>
      <c r="BI203" s="155"/>
      <c r="BJ203" s="155"/>
      <c r="BK203" s="155"/>
      <c r="BL203" s="155"/>
      <c r="BM203" s="155"/>
      <c r="BN203" s="155"/>
      <c r="BO203" s="155"/>
      <c r="BP203" s="155"/>
      <c r="BQ203" s="155"/>
      <c r="BR203" s="155"/>
      <c r="BS203" s="155"/>
      <c r="BT203" s="155"/>
      <c r="BU203" s="155"/>
      <c r="BV203" s="155"/>
      <c r="BW203" s="155"/>
      <c r="BX203" s="155"/>
      <c r="BY203" s="155"/>
      <c r="BZ203" s="155"/>
      <c r="CA203" s="155"/>
      <c r="CB203" s="155"/>
      <c r="CC203" s="155"/>
      <c r="CD203" s="155"/>
      <c r="CE203" s="155"/>
      <c r="CF203" s="155"/>
      <c r="CG203" s="155"/>
      <c r="CH203" s="155"/>
      <c r="CI203" s="155"/>
      <c r="CJ203" s="155"/>
      <c r="CK203" s="155"/>
      <c r="CL203" s="155"/>
      <c r="CM203" s="155"/>
      <c r="CN203" s="155"/>
      <c r="CO203" s="155"/>
      <c r="CP203" s="155"/>
      <c r="CQ203" s="155"/>
      <c r="CR203" s="155"/>
      <c r="CS203" s="155"/>
      <c r="CT203" s="155"/>
      <c r="CU203" s="155"/>
      <c r="CV203" s="155"/>
      <c r="CW203" s="155"/>
      <c r="CX203" s="155"/>
      <c r="CY203" s="155"/>
      <c r="CZ203" s="155"/>
      <c r="DA203" s="155"/>
      <c r="DB203" s="155"/>
      <c r="DC203" s="155"/>
      <c r="DD203" s="155"/>
      <c r="DE203" s="155"/>
      <c r="DF203" s="155"/>
      <c r="DG203" s="155"/>
      <c r="DH203" s="155"/>
    </row>
    <row r="204" spans="45:112" x14ac:dyDescent="0.3">
      <c r="AS204" s="6" t="s">
        <v>380</v>
      </c>
      <c r="AT204" s="6">
        <f>COUNTIFS(AJ:AJ,"B",C:C,1)/COUNTIF(C:C,1)</f>
        <v>7.6923076923076927E-2</v>
      </c>
      <c r="AU204" s="6">
        <f>COUNTIFS(AJ:AJ,"B",C:C,2)/COUNTIF(C:C,2)</f>
        <v>7.6923076923076927E-2</v>
      </c>
      <c r="AV204" s="6">
        <f>COUNTIFS(AJ:AJ,"B",C:C,3)/COUNTIF(C:C,3)</f>
        <v>0</v>
      </c>
      <c r="AW204" s="6">
        <f>COUNTIFS(AJ:AJ,"B",C:C,4)/COUNTIF(C:C,4)</f>
        <v>0.38461538461538464</v>
      </c>
      <c r="AX204" s="6">
        <f>COUNTIFS(AJ:AJ,"B",C:C,5)/COUNTIF(C:C,5)</f>
        <v>0.15384615384615385</v>
      </c>
      <c r="AY204" s="6">
        <f>COUNTIFS(AJ:AJ,"B",C:C,6)/COUNTIF(C:C,6)</f>
        <v>0.46153846153846156</v>
      </c>
      <c r="AZ204"/>
      <c r="BA204"/>
      <c r="BB204"/>
      <c r="BC204" s="155"/>
      <c r="BD204" s="155"/>
      <c r="BE204" s="155"/>
      <c r="BF204" s="155"/>
      <c r="BG204" s="155"/>
      <c r="BH204" s="155"/>
      <c r="BI204" s="161"/>
      <c r="BJ204" s="155"/>
      <c r="BK204" s="155"/>
      <c r="BL204" s="155"/>
      <c r="BM204" s="155"/>
      <c r="BN204" s="155"/>
      <c r="BO204" s="155"/>
      <c r="BP204" s="155"/>
      <c r="BQ204" s="155"/>
      <c r="BR204" s="155"/>
      <c r="BS204" s="155"/>
      <c r="BT204" s="155"/>
      <c r="BU204" s="155"/>
      <c r="BV204" s="155"/>
      <c r="BW204" s="155"/>
      <c r="BX204" s="155"/>
      <c r="BY204" s="155"/>
      <c r="BZ204" s="155"/>
      <c r="CA204" s="155"/>
      <c r="CB204" s="155"/>
      <c r="CC204" s="155"/>
      <c r="CD204" s="155"/>
      <c r="CE204" s="155"/>
      <c r="CF204" s="155"/>
      <c r="CG204" s="155"/>
      <c r="CH204" s="155"/>
      <c r="CI204" s="155"/>
      <c r="CJ204" s="155"/>
      <c r="CK204" s="155"/>
      <c r="CL204" s="155"/>
      <c r="CM204" s="155"/>
      <c r="CN204" s="155"/>
      <c r="CO204" s="155"/>
      <c r="CP204" s="155"/>
      <c r="CQ204" s="155"/>
      <c r="CR204" s="155"/>
      <c r="CS204" s="155"/>
      <c r="CT204" s="155"/>
      <c r="CU204" s="155"/>
      <c r="CV204" s="155"/>
      <c r="CW204" s="155"/>
      <c r="CX204" s="155"/>
      <c r="CY204" s="155"/>
      <c r="CZ204" s="155"/>
      <c r="DA204" s="155"/>
      <c r="DB204" s="155"/>
      <c r="DC204" s="155"/>
      <c r="DD204" s="155"/>
      <c r="DE204" s="155"/>
      <c r="DF204" s="155"/>
      <c r="DG204" s="155"/>
      <c r="DH204" s="155"/>
    </row>
    <row r="205" spans="45:112" x14ac:dyDescent="0.3">
      <c r="AZ205"/>
      <c r="BA205"/>
      <c r="BB205"/>
      <c r="BC205" s="155"/>
      <c r="BD205" s="155"/>
      <c r="BE205" s="155"/>
      <c r="BF205" s="155"/>
      <c r="BG205" s="155"/>
      <c r="BH205" s="155"/>
      <c r="BI205" s="155"/>
      <c r="BJ205" s="155"/>
      <c r="BK205" s="155"/>
      <c r="BL205" s="155"/>
      <c r="BM205" s="155"/>
      <c r="BN205" s="155"/>
      <c r="BO205" s="155"/>
      <c r="BP205" s="155"/>
      <c r="BQ205" s="155"/>
      <c r="BR205" s="155"/>
      <c r="BS205" s="155"/>
      <c r="BT205" s="155"/>
      <c r="BU205" s="155"/>
      <c r="BV205" s="155"/>
      <c r="BW205" s="155"/>
      <c r="BX205" s="155"/>
      <c r="BY205" s="155"/>
      <c r="BZ205" s="155"/>
      <c r="CA205" s="155"/>
      <c r="CB205" s="155"/>
      <c r="CC205" s="155"/>
      <c r="CD205" s="155"/>
      <c r="CE205" s="155"/>
      <c r="CF205" s="155"/>
      <c r="CG205" s="155"/>
      <c r="CH205" s="155"/>
      <c r="CI205" s="155"/>
      <c r="CJ205" s="155"/>
      <c r="CK205" s="155"/>
      <c r="CL205" s="155"/>
      <c r="CM205" s="155"/>
      <c r="CN205" s="155"/>
      <c r="CO205" s="155"/>
      <c r="CP205" s="155"/>
      <c r="CQ205" s="155"/>
      <c r="CR205" s="155"/>
      <c r="CS205" s="155"/>
      <c r="CT205" s="155"/>
      <c r="CU205" s="155"/>
      <c r="CV205" s="155"/>
      <c r="CW205" s="155"/>
      <c r="CX205" s="155"/>
      <c r="CY205" s="155"/>
      <c r="CZ205" s="155"/>
      <c r="DA205" s="155"/>
      <c r="DB205" s="155"/>
      <c r="DC205" s="155"/>
      <c r="DD205" s="155"/>
      <c r="DE205" s="155"/>
      <c r="DF205" s="155"/>
      <c r="DG205" s="155"/>
      <c r="DH205" s="155"/>
    </row>
    <row r="206" spans="45:112" x14ac:dyDescent="0.3">
      <c r="AS206" s="7" t="s">
        <v>381</v>
      </c>
      <c r="AT206" s="7">
        <v>1</v>
      </c>
      <c r="AU206" s="7">
        <v>2</v>
      </c>
      <c r="AV206" s="7">
        <v>3</v>
      </c>
      <c r="AW206" s="7">
        <v>4</v>
      </c>
      <c r="AX206" s="7">
        <v>5</v>
      </c>
      <c r="AY206" s="7">
        <v>6</v>
      </c>
      <c r="AZ206"/>
      <c r="BA206"/>
      <c r="BB206"/>
      <c r="BC206" s="155"/>
      <c r="BD206" s="155"/>
      <c r="BE206" s="155"/>
      <c r="BF206" s="155"/>
      <c r="BG206" s="155"/>
      <c r="BH206" s="155"/>
      <c r="BI206" s="161"/>
      <c r="BJ206" s="155"/>
      <c r="BK206" s="155"/>
      <c r="BL206" s="155"/>
      <c r="BM206" s="155"/>
      <c r="BN206" s="155"/>
      <c r="BO206" s="155"/>
      <c r="BP206" s="155"/>
      <c r="BQ206" s="155"/>
      <c r="BR206" s="155"/>
      <c r="BS206" s="155"/>
      <c r="BT206" s="155"/>
      <c r="BU206" s="155"/>
      <c r="BV206" s="155"/>
      <c r="BW206" s="155"/>
      <c r="BX206" s="155"/>
      <c r="BY206" s="155"/>
      <c r="BZ206" s="155"/>
      <c r="CA206" s="155"/>
      <c r="CB206" s="155"/>
      <c r="CC206" s="155"/>
      <c r="CD206" s="155"/>
      <c r="CE206" s="155"/>
      <c r="CF206" s="155"/>
      <c r="CG206" s="155"/>
      <c r="CH206" s="155"/>
      <c r="CI206" s="155"/>
      <c r="CJ206" s="155"/>
      <c r="CK206" s="155"/>
      <c r="CL206" s="155"/>
      <c r="CM206" s="155"/>
      <c r="CN206" s="155"/>
      <c r="CO206" s="155"/>
      <c r="CP206" s="155"/>
      <c r="CQ206" s="155"/>
      <c r="CR206" s="155"/>
      <c r="CS206" s="155"/>
      <c r="CT206" s="155"/>
      <c r="CU206" s="155"/>
      <c r="CV206" s="155"/>
      <c r="CW206" s="155"/>
      <c r="CX206" s="155"/>
      <c r="CY206" s="155"/>
      <c r="CZ206" s="155"/>
      <c r="DA206" s="155"/>
      <c r="DB206" s="155"/>
      <c r="DC206" s="155"/>
      <c r="DD206" s="155"/>
      <c r="DE206" s="155"/>
      <c r="DF206" s="155"/>
      <c r="DG206" s="155"/>
      <c r="DH206" s="155"/>
    </row>
    <row r="207" spans="45:112" x14ac:dyDescent="0.3">
      <c r="AS207" s="6" t="s">
        <v>382</v>
      </c>
      <c r="AT207" s="6">
        <f>COUNTIFS(AK:AK,"A",C:C,1)/COUNTIF(C:C,1)</f>
        <v>1</v>
      </c>
      <c r="AU207" s="6">
        <f>COUNTIFS(AK:AK,"A",C:C,2)/COUNTIF(C:C,2)</f>
        <v>1</v>
      </c>
      <c r="AV207" s="6">
        <f>COUNTIFS(AK:AK,"A",C:C,3)/COUNTIF(C:C,3)</f>
        <v>1</v>
      </c>
      <c r="AW207" s="6">
        <f>COUNTIFS(AK:AK,"A",C:C,4)/COUNTIF(C:C,4)</f>
        <v>1</v>
      </c>
      <c r="AX207" s="6">
        <f>COUNTIFS(AK:AK,"A",C:C,5)/COUNTIF(C:C,5)</f>
        <v>1</v>
      </c>
      <c r="AY207" s="6">
        <f>COUNTIFS(AK:AK,"A",C:C,6)/COUNTIF(C:C,6)</f>
        <v>0.46153846153846156</v>
      </c>
      <c r="AZ207"/>
      <c r="BB207" s="33"/>
      <c r="BC207" s="164"/>
      <c r="BD207" s="164"/>
      <c r="BE207" s="164"/>
      <c r="BF207" s="164"/>
      <c r="BG207" s="164"/>
      <c r="BH207" s="155"/>
      <c r="BI207" s="155"/>
      <c r="BJ207" s="155"/>
      <c r="BK207" s="155"/>
      <c r="BL207" s="155"/>
      <c r="BM207" s="155"/>
      <c r="BN207" s="155"/>
      <c r="BO207" s="155"/>
      <c r="BP207" s="155"/>
      <c r="BQ207" s="155"/>
      <c r="BR207" s="155"/>
      <c r="BS207" s="155"/>
      <c r="BT207" s="155"/>
      <c r="BU207" s="155"/>
      <c r="BV207" s="155"/>
      <c r="BW207" s="155"/>
      <c r="BX207" s="155"/>
      <c r="BY207" s="155"/>
      <c r="BZ207" s="155"/>
      <c r="CA207" s="155"/>
      <c r="CB207" s="155"/>
      <c r="CC207" s="155"/>
      <c r="CD207" s="155"/>
      <c r="CE207" s="155"/>
      <c r="CF207" s="155"/>
      <c r="CG207" s="155"/>
      <c r="CH207" s="155"/>
      <c r="CI207" s="155"/>
      <c r="CJ207" s="155"/>
      <c r="CK207" s="155"/>
      <c r="CL207" s="155"/>
      <c r="CM207" s="155"/>
      <c r="CN207" s="155"/>
      <c r="CO207" s="155"/>
      <c r="CP207" s="155"/>
      <c r="CQ207" s="155"/>
      <c r="CR207" s="155"/>
      <c r="CS207" s="155"/>
      <c r="CT207" s="155"/>
      <c r="CU207" s="155"/>
      <c r="CV207" s="155"/>
      <c r="CW207" s="155"/>
      <c r="CX207" s="155"/>
      <c r="CY207" s="155"/>
      <c r="CZ207" s="155"/>
      <c r="DA207" s="155"/>
      <c r="DB207" s="155"/>
      <c r="DC207" s="155"/>
      <c r="DD207" s="155"/>
      <c r="DE207" s="155"/>
      <c r="DF207" s="155"/>
      <c r="DG207" s="155"/>
      <c r="DH207" s="155"/>
    </row>
    <row r="208" spans="45:112" x14ac:dyDescent="0.3">
      <c r="AS208" s="6" t="s">
        <v>383</v>
      </c>
      <c r="AT208" s="6">
        <f>COUNTIFS(AK:AK,"B",C:C,1)/COUNTIF(C:C,1)</f>
        <v>0</v>
      </c>
      <c r="AU208" s="6">
        <f>COUNTIFS(AK:AK,"B",C:C,2)/COUNTIF(C:C,2)</f>
        <v>0</v>
      </c>
      <c r="AV208" s="6">
        <f>COUNTIFS(AK:AK,"B",C:C,3)/COUNTIF(C:C,3)</f>
        <v>0</v>
      </c>
      <c r="AW208" s="6">
        <f>COUNTIFS(AK:AK,"B",C:C,4)/COUNTIF(C:C,4)</f>
        <v>0</v>
      </c>
      <c r="AX208" s="6">
        <f>COUNTIFS(AK:AK,"B",C:C,5)/COUNTIF(C:C,5)</f>
        <v>0</v>
      </c>
      <c r="AY208" s="6">
        <f>COUNTIFS(AK:AK,"B",C:C,6)/COUNTIF(C:C,6)</f>
        <v>0.53846153846153844</v>
      </c>
      <c r="AZ208"/>
      <c r="BA208"/>
      <c r="BB208"/>
      <c r="BC208" s="155"/>
      <c r="BD208" s="155"/>
      <c r="BE208" s="155"/>
      <c r="BF208" s="155"/>
      <c r="BG208" s="155"/>
      <c r="BH208" s="155"/>
      <c r="BI208" s="155"/>
      <c r="BJ208" s="155"/>
      <c r="BK208" s="155"/>
      <c r="BL208" s="155"/>
      <c r="BM208" s="155"/>
      <c r="BN208" s="155"/>
      <c r="BO208" s="155"/>
      <c r="BP208" s="155"/>
      <c r="BQ208" s="155"/>
      <c r="BR208" s="155"/>
      <c r="BS208" s="155"/>
      <c r="BT208" s="155"/>
      <c r="BU208" s="155"/>
      <c r="BV208" s="155"/>
      <c r="BW208" s="155"/>
      <c r="BX208" s="155"/>
      <c r="BY208" s="155"/>
      <c r="BZ208" s="155"/>
      <c r="CA208" s="155"/>
      <c r="CB208" s="155"/>
      <c r="CC208" s="155"/>
      <c r="CD208" s="155"/>
      <c r="CE208" s="155"/>
      <c r="CF208" s="155"/>
      <c r="CG208" s="155"/>
      <c r="CH208" s="155"/>
      <c r="CI208" s="155"/>
      <c r="CJ208" s="155"/>
      <c r="CK208" s="155"/>
      <c r="CL208" s="155"/>
      <c r="CM208" s="155"/>
      <c r="CN208" s="155"/>
      <c r="CO208" s="155"/>
      <c r="CP208" s="155"/>
      <c r="CQ208" s="155"/>
      <c r="CR208" s="155"/>
      <c r="CS208" s="155"/>
      <c r="CT208" s="155"/>
      <c r="CU208" s="155"/>
      <c r="CV208" s="155"/>
      <c r="CW208" s="155"/>
      <c r="CX208" s="155"/>
      <c r="CY208" s="155"/>
      <c r="CZ208" s="155"/>
      <c r="DA208" s="155"/>
      <c r="DB208" s="155"/>
      <c r="DC208" s="155"/>
      <c r="DD208" s="155"/>
      <c r="DE208" s="155"/>
      <c r="DF208" s="155"/>
      <c r="DG208" s="155"/>
      <c r="DH208" s="155"/>
    </row>
    <row r="209" spans="45:112" x14ac:dyDescent="0.3">
      <c r="AZ209"/>
      <c r="BA209"/>
      <c r="BB209"/>
      <c r="BC209" s="155"/>
      <c r="BD209" s="155"/>
      <c r="BE209" s="155"/>
      <c r="BF209" s="155"/>
      <c r="BG209" s="155"/>
      <c r="BH209" s="155"/>
      <c r="BI209" s="162"/>
      <c r="BJ209" s="155"/>
      <c r="BK209" s="158"/>
      <c r="BL209" s="158"/>
      <c r="BM209" s="158"/>
      <c r="BN209" s="158"/>
      <c r="BO209" s="158"/>
      <c r="BP209" s="158"/>
      <c r="BQ209" s="158"/>
      <c r="BR209" s="158"/>
      <c r="BS209" s="158"/>
      <c r="BT209" s="158"/>
      <c r="BU209" s="158"/>
      <c r="BV209" s="158"/>
      <c r="BW209" s="158"/>
      <c r="BX209" s="158"/>
      <c r="BY209" s="158"/>
      <c r="BZ209" s="158"/>
      <c r="CA209" s="158"/>
      <c r="CB209" s="158"/>
      <c r="CC209" s="158"/>
      <c r="CD209" s="158"/>
      <c r="CE209" s="158"/>
      <c r="CF209" s="158"/>
      <c r="CG209" s="158"/>
      <c r="CH209" s="158"/>
      <c r="CI209" s="158"/>
      <c r="CJ209" s="158"/>
      <c r="CK209" s="158"/>
      <c r="CL209" s="158"/>
      <c r="CM209" s="158"/>
      <c r="CN209" s="158"/>
      <c r="CO209" s="158"/>
      <c r="CP209" s="158"/>
      <c r="CQ209" s="158"/>
      <c r="CR209" s="158"/>
      <c r="CS209" s="158"/>
      <c r="CT209" s="158"/>
      <c r="CU209" s="155"/>
      <c r="CV209" s="155"/>
      <c r="CW209" s="155"/>
      <c r="CX209" s="155"/>
      <c r="CY209" s="155"/>
      <c r="CZ209" s="155"/>
      <c r="DA209" s="155"/>
      <c r="DB209" s="155"/>
      <c r="DC209" s="155"/>
      <c r="DD209" s="155"/>
      <c r="DE209" s="155"/>
      <c r="DF209" s="155"/>
      <c r="DG209" s="155"/>
      <c r="DH209" s="155"/>
    </row>
    <row r="210" spans="45:112" x14ac:dyDescent="0.3">
      <c r="AS210" s="7" t="s">
        <v>384</v>
      </c>
      <c r="AT210" s="7">
        <v>1</v>
      </c>
      <c r="AU210" s="7">
        <v>2</v>
      </c>
      <c r="AV210" s="7">
        <v>3</v>
      </c>
      <c r="AW210" s="7">
        <v>4</v>
      </c>
      <c r="AX210" s="7">
        <v>5</v>
      </c>
      <c r="AY210" s="7">
        <v>6</v>
      </c>
      <c r="AZ210"/>
      <c r="BA210"/>
      <c r="BB210"/>
      <c r="BC210" s="155"/>
      <c r="BD210" s="155"/>
      <c r="BE210" s="155"/>
      <c r="BF210" s="155"/>
      <c r="BG210" s="155"/>
      <c r="BH210" s="155"/>
      <c r="BI210" s="162"/>
      <c r="BJ210" s="155"/>
      <c r="BK210" s="155"/>
      <c r="BL210" s="155"/>
      <c r="BM210" s="155"/>
      <c r="BN210" s="155"/>
      <c r="BO210" s="155"/>
      <c r="BP210" s="155"/>
      <c r="BQ210" s="155"/>
      <c r="BR210" s="155"/>
      <c r="BS210" s="155"/>
      <c r="BT210" s="155"/>
      <c r="BU210" s="155"/>
      <c r="BV210" s="155"/>
      <c r="BW210" s="155"/>
      <c r="BX210" s="155"/>
      <c r="BY210" s="155"/>
      <c r="BZ210" s="155"/>
      <c r="CA210" s="155"/>
      <c r="CB210" s="155"/>
      <c r="CC210" s="155"/>
      <c r="CD210" s="155"/>
      <c r="CE210" s="155"/>
      <c r="CF210" s="155"/>
      <c r="CG210" s="155"/>
      <c r="CH210" s="155"/>
      <c r="CI210" s="155"/>
      <c r="CJ210" s="155"/>
      <c r="CK210" s="155"/>
      <c r="CL210" s="155"/>
      <c r="CM210" s="155"/>
      <c r="CN210" s="155"/>
      <c r="CO210" s="155"/>
      <c r="CP210" s="155"/>
      <c r="CQ210" s="155"/>
      <c r="CR210" s="155"/>
      <c r="CS210" s="155"/>
      <c r="CT210" s="155"/>
      <c r="CU210" s="155"/>
      <c r="CV210" s="155"/>
      <c r="CW210" s="155"/>
      <c r="CX210" s="155"/>
      <c r="CY210" s="155"/>
      <c r="CZ210" s="155"/>
      <c r="DA210" s="155"/>
      <c r="DB210" s="155"/>
      <c r="DC210" s="155"/>
      <c r="DD210" s="155"/>
      <c r="DE210" s="155"/>
      <c r="DF210" s="155"/>
      <c r="DG210" s="155"/>
      <c r="DH210" s="155"/>
    </row>
    <row r="211" spans="45:112" x14ac:dyDescent="0.3">
      <c r="AS211" s="6" t="s">
        <v>385</v>
      </c>
      <c r="AT211" s="6">
        <f>COUNTIFS(AL:AL,"A",C:C,1)/COUNTIF(C:C,1)</f>
        <v>0.69230769230769229</v>
      </c>
      <c r="AU211" s="6">
        <f>COUNTIFS(AL:AL,"A",C:C,2)/COUNTIF(C:C,2)</f>
        <v>0.61538461538461542</v>
      </c>
      <c r="AV211" s="6">
        <f>COUNTIFS(AL:AL,"A",C:C,3)/COUNTIF(C:C,3)</f>
        <v>0.61538461538461542</v>
      </c>
      <c r="AW211" s="6">
        <f>COUNTIFS(AL:AL,"A",C:C,4)/COUNTIF(C:C,4)</f>
        <v>0.53846153846153844</v>
      </c>
      <c r="AX211" s="6">
        <f>COUNTIFS(AL:AL,"A",C:C,5)/COUNTIF(C:C,5)</f>
        <v>0.53846153846153844</v>
      </c>
      <c r="AY211" s="6">
        <f>COUNTIFS(AL:AL,"A",C:C,6)/COUNTIF(C:C,6)</f>
        <v>0.61538461538461542</v>
      </c>
      <c r="AZ211"/>
      <c r="BA211"/>
      <c r="BB211" s="35"/>
      <c r="BC211" s="168"/>
      <c r="BD211" s="168"/>
      <c r="BE211" s="168"/>
      <c r="BF211" s="168"/>
      <c r="BG211" s="168"/>
      <c r="BH211" s="155"/>
      <c r="BI211" s="155"/>
      <c r="BJ211" s="155"/>
      <c r="BK211" s="155"/>
      <c r="BL211" s="155"/>
      <c r="BM211" s="155"/>
      <c r="BN211" s="155"/>
      <c r="BO211" s="155"/>
      <c r="BP211" s="155"/>
      <c r="BQ211" s="155"/>
      <c r="BR211" s="155"/>
      <c r="BS211" s="155"/>
      <c r="BT211" s="155"/>
      <c r="BU211" s="155"/>
      <c r="BV211" s="155"/>
      <c r="BW211" s="155"/>
      <c r="BX211" s="155"/>
      <c r="BY211" s="155"/>
      <c r="BZ211" s="155"/>
      <c r="CA211" s="155"/>
      <c r="CB211" s="155"/>
      <c r="CC211" s="155"/>
      <c r="CD211" s="155"/>
      <c r="CE211" s="155"/>
      <c r="CF211" s="155"/>
      <c r="CG211" s="155"/>
      <c r="CH211" s="155"/>
      <c r="CI211" s="155"/>
      <c r="CJ211" s="155"/>
      <c r="CK211" s="155"/>
      <c r="CL211" s="155"/>
      <c r="CM211" s="155"/>
      <c r="CN211" s="155"/>
      <c r="CO211" s="155"/>
      <c r="CP211" s="155"/>
      <c r="CQ211" s="155"/>
      <c r="CR211" s="155"/>
      <c r="CS211" s="155"/>
      <c r="CT211" s="155"/>
      <c r="CU211" s="155"/>
      <c r="CV211" s="155"/>
      <c r="CW211" s="155"/>
      <c r="CX211" s="155"/>
      <c r="CY211" s="155"/>
      <c r="CZ211" s="155"/>
      <c r="DA211" s="155"/>
      <c r="DB211" s="155"/>
      <c r="DC211" s="155"/>
      <c r="DD211" s="155"/>
      <c r="DE211" s="155"/>
      <c r="DF211" s="155"/>
      <c r="DG211" s="155"/>
      <c r="DH211" s="155"/>
    </row>
    <row r="212" spans="45:112" x14ac:dyDescent="0.3">
      <c r="AS212" s="6" t="s">
        <v>386</v>
      </c>
      <c r="AT212" s="6">
        <f>COUNTIFS(AL:AL,"B",C:C,1)/COUNTIF(C:C,1)</f>
        <v>0.30769230769230771</v>
      </c>
      <c r="AU212" s="6">
        <f>COUNTIFS(AL:AL,"B",C:C,2)/COUNTIF(C:C,2)</f>
        <v>0.38461538461538464</v>
      </c>
      <c r="AV212" s="6">
        <f>COUNTIFS(AL:AL,"B",C:C,3)/COUNTIF(C:C,3)</f>
        <v>0.38461538461538464</v>
      </c>
      <c r="AW212" s="6">
        <f>COUNTIFS(AL:AL,"B",C:C,4)/COUNTIF(C:C,4)</f>
        <v>0.46153846153846156</v>
      </c>
      <c r="AX212" s="6">
        <f>COUNTIFS(AL:AL,"B",C:C,5)/COUNTIF(C:C,5)</f>
        <v>0.46153846153846156</v>
      </c>
      <c r="AY212" s="6">
        <f>COUNTIFS(AL:AL,"B",C:C,6)/COUNTIF(C:C,6)</f>
        <v>0.38461538461538464</v>
      </c>
      <c r="AZ212"/>
      <c r="BA212"/>
      <c r="BB212"/>
      <c r="BC212" s="155"/>
      <c r="BD212" s="155"/>
      <c r="BE212" s="155"/>
      <c r="BF212" s="155"/>
      <c r="BG212" s="155"/>
      <c r="BH212" s="155"/>
      <c r="BI212" s="161"/>
      <c r="BJ212" s="155"/>
      <c r="BK212" s="155"/>
      <c r="BL212" s="155"/>
      <c r="BM212" s="155"/>
      <c r="BN212" s="155"/>
      <c r="BO212" s="155"/>
      <c r="BP212" s="155"/>
      <c r="BQ212" s="155"/>
      <c r="BR212" s="155"/>
      <c r="BS212" s="155"/>
      <c r="BT212" s="155"/>
      <c r="BU212" s="155"/>
      <c r="BV212" s="155"/>
      <c r="BW212" s="155"/>
      <c r="BX212" s="155"/>
      <c r="BY212" s="155"/>
      <c r="BZ212" s="155"/>
      <c r="CA212" s="155"/>
      <c r="CB212" s="155"/>
      <c r="CC212" s="155"/>
      <c r="CD212" s="155"/>
      <c r="CE212" s="155"/>
      <c r="CF212" s="155"/>
      <c r="CG212" s="155"/>
      <c r="CH212" s="155"/>
      <c r="CI212" s="155"/>
      <c r="CJ212" s="155"/>
      <c r="CK212" s="155"/>
      <c r="CL212" s="155"/>
      <c r="CM212" s="155"/>
      <c r="CN212" s="155"/>
      <c r="CO212" s="155"/>
      <c r="CP212" s="155"/>
      <c r="CQ212" s="155"/>
      <c r="CR212" s="155"/>
      <c r="CS212" s="155"/>
      <c r="CT212" s="155"/>
      <c r="CU212" s="155"/>
      <c r="CV212" s="155"/>
      <c r="CW212" s="155"/>
      <c r="CX212" s="155"/>
      <c r="CY212" s="155"/>
      <c r="CZ212" s="155"/>
      <c r="DA212" s="155"/>
      <c r="DB212" s="155"/>
      <c r="DC212" s="155"/>
      <c r="DD212" s="155"/>
      <c r="DE212" s="155"/>
      <c r="DF212" s="155"/>
      <c r="DG212" s="155"/>
      <c r="DH212" s="155"/>
    </row>
    <row r="213" spans="45:112" x14ac:dyDescent="0.3">
      <c r="AZ213"/>
      <c r="BA213"/>
      <c r="BB213"/>
      <c r="BC213" s="155"/>
      <c r="BD213" s="155"/>
      <c r="BE213" s="155"/>
      <c r="BF213" s="155"/>
      <c r="BG213" s="155"/>
      <c r="BH213" s="155"/>
      <c r="BI213" s="155"/>
      <c r="BJ213" s="155"/>
      <c r="BK213" s="155"/>
      <c r="BL213" s="155"/>
      <c r="BM213" s="155"/>
      <c r="BN213" s="155"/>
      <c r="BO213" s="155"/>
      <c r="BP213" s="155"/>
      <c r="BQ213" s="155"/>
      <c r="BR213" s="155"/>
      <c r="BS213" s="155"/>
      <c r="BT213" s="155"/>
      <c r="BU213" s="155"/>
      <c r="BV213" s="155"/>
      <c r="BW213" s="155"/>
      <c r="BX213" s="155"/>
      <c r="BY213" s="155"/>
      <c r="BZ213" s="155"/>
      <c r="CA213" s="155"/>
      <c r="CB213" s="155"/>
      <c r="CC213" s="155"/>
      <c r="CD213" s="155"/>
      <c r="CE213" s="155"/>
      <c r="CF213" s="155"/>
      <c r="CG213" s="155"/>
      <c r="CH213" s="155"/>
      <c r="CI213" s="155"/>
      <c r="CJ213" s="155"/>
      <c r="CK213" s="155"/>
      <c r="CL213" s="155"/>
      <c r="CM213" s="155"/>
      <c r="CN213" s="155"/>
      <c r="CO213" s="155"/>
      <c r="CP213" s="155"/>
      <c r="CQ213" s="155"/>
      <c r="CR213" s="155"/>
      <c r="CS213" s="155"/>
      <c r="CT213" s="155"/>
      <c r="CU213" s="155"/>
      <c r="CV213" s="155"/>
      <c r="CW213" s="155"/>
      <c r="CX213" s="155"/>
      <c r="CY213" s="155"/>
      <c r="CZ213" s="155"/>
      <c r="DA213" s="155"/>
      <c r="DB213" s="155"/>
      <c r="DC213" s="155"/>
      <c r="DD213" s="155"/>
      <c r="DE213" s="155"/>
      <c r="DF213" s="155"/>
      <c r="DG213" s="155"/>
      <c r="DH213" s="155"/>
    </row>
    <row r="214" spans="45:112" x14ac:dyDescent="0.3">
      <c r="AS214" s="7" t="s">
        <v>387</v>
      </c>
      <c r="AT214" s="7">
        <v>1</v>
      </c>
      <c r="AU214" s="7">
        <v>2</v>
      </c>
      <c r="AV214" s="7">
        <v>3</v>
      </c>
      <c r="AW214" s="7">
        <v>4</v>
      </c>
      <c r="AX214" s="7">
        <v>5</v>
      </c>
      <c r="AY214" s="7">
        <v>6</v>
      </c>
      <c r="AZ214"/>
      <c r="BA214"/>
      <c r="BB214"/>
      <c r="BC214" s="155"/>
      <c r="BD214" s="155"/>
      <c r="BE214" s="155"/>
      <c r="BF214" s="155"/>
      <c r="BG214" s="155"/>
      <c r="BH214" s="155"/>
      <c r="BI214" s="161"/>
      <c r="BJ214" s="155"/>
      <c r="BK214" s="155"/>
      <c r="BL214" s="155"/>
      <c r="BM214" s="155"/>
      <c r="BN214" s="155"/>
      <c r="BO214" s="155"/>
      <c r="BP214" s="155"/>
      <c r="BQ214" s="155"/>
      <c r="BR214" s="155"/>
      <c r="BS214" s="155"/>
      <c r="BT214" s="155"/>
      <c r="BU214" s="155"/>
      <c r="BV214" s="155"/>
      <c r="BW214" s="155"/>
      <c r="BX214" s="155"/>
      <c r="BY214" s="155"/>
      <c r="BZ214" s="155"/>
      <c r="CA214" s="155"/>
      <c r="CB214" s="155"/>
      <c r="CC214" s="155"/>
      <c r="CD214" s="155"/>
      <c r="CE214" s="155"/>
      <c r="CF214" s="155"/>
      <c r="CG214" s="155"/>
      <c r="CH214" s="155"/>
      <c r="CI214" s="155"/>
      <c r="CJ214" s="155"/>
      <c r="CK214" s="155"/>
      <c r="CL214" s="155"/>
      <c r="CM214" s="155"/>
      <c r="CN214" s="155"/>
      <c r="CO214" s="155"/>
      <c r="CP214" s="155"/>
      <c r="CQ214" s="155"/>
      <c r="CR214" s="155"/>
      <c r="CS214" s="155"/>
      <c r="CT214" s="155"/>
      <c r="CU214" s="155"/>
      <c r="CV214" s="155"/>
      <c r="CW214" s="155"/>
      <c r="CX214" s="155"/>
      <c r="CY214" s="155"/>
      <c r="CZ214" s="155"/>
      <c r="DA214" s="155"/>
      <c r="DB214" s="155"/>
      <c r="DC214" s="155"/>
      <c r="DD214" s="155"/>
      <c r="DE214" s="155"/>
      <c r="DF214" s="155"/>
      <c r="DG214" s="155"/>
      <c r="DH214" s="155"/>
    </row>
    <row r="215" spans="45:112" x14ac:dyDescent="0.3">
      <c r="AS215" s="6" t="s">
        <v>388</v>
      </c>
      <c r="AT215" s="6">
        <f>COUNTIFS(AM:AM,"A",C:C,1)/COUNTIF(C:C,1)</f>
        <v>0</v>
      </c>
      <c r="AU215" s="6">
        <f>COUNTIFS(AM:AM,"A",C:C,2)/COUNTIF(C:C,2)</f>
        <v>0.23076923076923078</v>
      </c>
      <c r="AV215" s="6">
        <f>COUNTIFS(AM:AM,"A",C:C,3)/COUNTIF(C:C,3)</f>
        <v>0.23076923076923078</v>
      </c>
      <c r="AW215" s="6">
        <f>COUNTIFS(AM:AM,"A",C:C,4)/COUNTIF(C:C,4)</f>
        <v>0</v>
      </c>
      <c r="AX215" s="6">
        <f>COUNTIFS(AM:AM,"A",C:C,5)/COUNTIF(C:C,5)</f>
        <v>0</v>
      </c>
      <c r="AY215" s="6">
        <f>COUNTIFS(AM:AM,"A",C:C,6)/COUNTIF(C:C,6)</f>
        <v>7.6923076923076927E-2</v>
      </c>
      <c r="AZ215"/>
      <c r="BA215"/>
      <c r="BB215" s="35"/>
      <c r="BC215" s="168"/>
      <c r="BD215" s="168"/>
      <c r="BE215" s="168"/>
      <c r="BF215" s="168"/>
      <c r="BG215" s="168"/>
      <c r="BH215" s="155"/>
      <c r="BI215" s="155"/>
      <c r="BJ215" s="155"/>
      <c r="BK215" s="155"/>
      <c r="BL215" s="155"/>
      <c r="BM215" s="155"/>
      <c r="BN215" s="155"/>
      <c r="BO215" s="155"/>
      <c r="BP215" s="155"/>
      <c r="BQ215" s="155"/>
      <c r="BR215" s="155"/>
      <c r="BS215" s="155"/>
      <c r="BT215" s="155"/>
      <c r="BU215" s="155"/>
      <c r="BV215" s="155"/>
      <c r="BW215" s="155"/>
      <c r="BX215" s="155"/>
      <c r="BY215" s="155"/>
      <c r="BZ215" s="155"/>
      <c r="CA215" s="155"/>
      <c r="CB215" s="155"/>
      <c r="CC215" s="155"/>
      <c r="CD215" s="155"/>
      <c r="CE215" s="155"/>
      <c r="CF215" s="155"/>
      <c r="CG215" s="155"/>
      <c r="CH215" s="155"/>
      <c r="CI215" s="155"/>
      <c r="CJ215" s="155"/>
      <c r="CK215" s="155"/>
      <c r="CL215" s="155"/>
      <c r="CM215" s="155"/>
      <c r="CN215" s="155"/>
      <c r="CO215" s="155"/>
      <c r="CP215" s="155"/>
      <c r="CQ215" s="155"/>
      <c r="CR215" s="155"/>
      <c r="CS215" s="155"/>
      <c r="CT215" s="155"/>
      <c r="CU215" s="155"/>
      <c r="CV215" s="155"/>
      <c r="CW215" s="155"/>
      <c r="CX215" s="155"/>
      <c r="CY215" s="155"/>
      <c r="CZ215" s="155"/>
      <c r="DA215" s="155"/>
      <c r="DB215" s="155"/>
      <c r="DC215" s="155"/>
      <c r="DD215" s="155"/>
      <c r="DE215" s="155"/>
      <c r="DF215" s="155"/>
      <c r="DG215" s="155"/>
      <c r="DH215" s="155"/>
    </row>
    <row r="216" spans="45:112" x14ac:dyDescent="0.3">
      <c r="AS216" s="6" t="s">
        <v>389</v>
      </c>
      <c r="AT216" s="6">
        <f>COUNTIFS(AM:AM,"B",C:C,1)/COUNTIF(C:C,1)</f>
        <v>1</v>
      </c>
      <c r="AU216" s="6">
        <f>COUNTIFS(AM:AM,"B",C:C,2)/COUNTIF(C:C,2)</f>
        <v>0.76923076923076927</v>
      </c>
      <c r="AV216" s="6">
        <f>COUNTIFS(AM:AM,"B",C:C,3)/COUNTIF(C:C,3)</f>
        <v>0.76923076923076927</v>
      </c>
      <c r="AW216" s="6">
        <f>COUNTIFS(AM:AM,"B",C:C,4)/COUNTIF(C:C,4)</f>
        <v>1</v>
      </c>
      <c r="AX216" s="6">
        <f>COUNTIFS(AM:AM,"B",C:C,5)/COUNTIF(C:C,5)</f>
        <v>1</v>
      </c>
      <c r="AY216" s="6">
        <f>COUNTIFS(AM:AM,"B",C:C,6)/COUNTIF(C:C,6)</f>
        <v>0.92307692307692313</v>
      </c>
      <c r="AZ216"/>
      <c r="BA216"/>
      <c r="BB216"/>
      <c r="BC216" s="155"/>
      <c r="BD216" s="155"/>
      <c r="BE216" s="155"/>
      <c r="BF216" s="155"/>
      <c r="BG216" s="155"/>
      <c r="BH216" s="155"/>
      <c r="BI216" s="161"/>
      <c r="BJ216" s="155"/>
      <c r="BK216" s="155"/>
      <c r="BL216" s="155"/>
      <c r="BM216" s="155"/>
      <c r="BN216" s="155"/>
      <c r="BO216" s="155"/>
      <c r="BP216" s="155"/>
      <c r="BQ216" s="155"/>
      <c r="BR216" s="155"/>
      <c r="BS216" s="155"/>
      <c r="BT216" s="155"/>
      <c r="BU216" s="155"/>
      <c r="BV216" s="155"/>
      <c r="BW216" s="155"/>
      <c r="BX216" s="155"/>
      <c r="BY216" s="155"/>
      <c r="BZ216" s="155"/>
      <c r="CA216" s="155"/>
      <c r="CB216" s="155"/>
      <c r="CC216" s="155"/>
      <c r="CD216" s="155"/>
      <c r="CE216" s="155"/>
      <c r="CF216" s="155"/>
      <c r="CG216" s="155"/>
      <c r="CH216" s="155"/>
      <c r="CI216" s="155"/>
      <c r="CJ216" s="155"/>
      <c r="CK216" s="155"/>
      <c r="CL216" s="155"/>
      <c r="CM216" s="155"/>
      <c r="CN216" s="155"/>
      <c r="CO216" s="155"/>
      <c r="CP216" s="155"/>
      <c r="CQ216" s="155"/>
      <c r="CR216" s="155"/>
      <c r="CS216" s="155"/>
      <c r="CT216" s="155"/>
      <c r="CU216" s="155"/>
      <c r="CV216" s="155"/>
      <c r="CW216" s="155"/>
      <c r="CX216" s="155"/>
      <c r="CY216" s="155"/>
      <c r="CZ216" s="155"/>
      <c r="DA216" s="155"/>
      <c r="DB216" s="155"/>
      <c r="DC216" s="155"/>
      <c r="DD216" s="155"/>
      <c r="DE216" s="155"/>
      <c r="DF216" s="155"/>
      <c r="DG216" s="155"/>
      <c r="DH216" s="155"/>
    </row>
    <row r="217" spans="45:112" x14ac:dyDescent="0.3">
      <c r="AZ217"/>
      <c r="BA217"/>
      <c r="BB217"/>
      <c r="BC217" s="155"/>
      <c r="BD217" s="155"/>
      <c r="BE217" s="155"/>
      <c r="BF217" s="155"/>
      <c r="BG217" s="155"/>
      <c r="BH217" s="155"/>
      <c r="BI217" s="155"/>
      <c r="BJ217" s="155"/>
      <c r="BK217" s="155"/>
      <c r="BL217" s="155"/>
      <c r="BM217" s="155"/>
      <c r="BN217" s="155"/>
      <c r="BO217" s="155"/>
      <c r="BP217" s="155"/>
      <c r="BQ217" s="155"/>
      <c r="BR217" s="155"/>
      <c r="BS217" s="155"/>
      <c r="BT217" s="155"/>
      <c r="BU217" s="155"/>
      <c r="BV217" s="155"/>
      <c r="BW217" s="155"/>
      <c r="BX217" s="155"/>
      <c r="BY217" s="155"/>
      <c r="BZ217" s="155"/>
      <c r="CA217" s="155"/>
      <c r="CB217" s="155"/>
      <c r="CC217" s="155"/>
      <c r="CD217" s="155"/>
      <c r="CE217" s="155"/>
      <c r="CF217" s="155"/>
      <c r="CG217" s="155"/>
      <c r="CH217" s="155"/>
      <c r="CI217" s="155"/>
      <c r="CJ217" s="155"/>
      <c r="CK217" s="155"/>
      <c r="CL217" s="155"/>
      <c r="CM217" s="155"/>
      <c r="CN217" s="155"/>
      <c r="CO217" s="155"/>
      <c r="CP217" s="155"/>
      <c r="CQ217" s="155"/>
      <c r="CR217" s="155"/>
      <c r="CS217" s="155"/>
      <c r="CT217" s="155"/>
      <c r="CU217" s="155"/>
      <c r="CV217" s="155"/>
      <c r="CW217" s="155"/>
      <c r="CX217" s="155"/>
      <c r="CY217" s="155"/>
      <c r="CZ217" s="155"/>
      <c r="DA217" s="155"/>
      <c r="DB217" s="155"/>
      <c r="DC217" s="155"/>
      <c r="DD217" s="155"/>
      <c r="DE217" s="155"/>
      <c r="DF217" s="155"/>
      <c r="DG217" s="155"/>
      <c r="DH217" s="155"/>
    </row>
    <row r="218" spans="45:112" x14ac:dyDescent="0.3">
      <c r="AZ218"/>
      <c r="BA218"/>
      <c r="BB218"/>
      <c r="BC218" s="155"/>
      <c r="BD218" s="155"/>
      <c r="BE218" s="155"/>
      <c r="BF218" s="155"/>
      <c r="BG218" s="155"/>
      <c r="BH218" s="155"/>
      <c r="BI218" s="161"/>
      <c r="BJ218" s="155"/>
      <c r="BK218" s="155"/>
      <c r="BL218" s="155"/>
      <c r="BM218" s="155"/>
      <c r="BN218" s="155"/>
      <c r="BO218" s="155"/>
      <c r="BP218" s="155"/>
      <c r="BQ218" s="155"/>
      <c r="BR218" s="155"/>
      <c r="BS218" s="155"/>
      <c r="BT218" s="155"/>
      <c r="BU218" s="155"/>
      <c r="BV218" s="155"/>
      <c r="BW218" s="155"/>
      <c r="BX218" s="155"/>
      <c r="BY218" s="155"/>
      <c r="BZ218" s="155"/>
      <c r="CA218" s="155"/>
      <c r="CB218" s="155"/>
      <c r="CC218" s="155"/>
      <c r="CD218" s="155"/>
      <c r="CE218" s="155"/>
      <c r="CF218" s="155"/>
      <c r="CG218" s="155"/>
      <c r="CH218" s="155"/>
      <c r="CI218" s="155"/>
      <c r="CJ218" s="155"/>
      <c r="CK218" s="155"/>
      <c r="CL218" s="155"/>
      <c r="CM218" s="155"/>
      <c r="CN218" s="155"/>
      <c r="CO218" s="155"/>
      <c r="CP218" s="155"/>
      <c r="CQ218" s="155"/>
      <c r="CR218" s="155"/>
      <c r="CS218" s="155"/>
      <c r="CT218" s="155"/>
      <c r="CU218" s="155"/>
      <c r="CV218" s="155"/>
      <c r="CW218" s="155"/>
      <c r="CX218" s="155"/>
      <c r="CY218" s="155"/>
      <c r="CZ218" s="155"/>
      <c r="DA218" s="155"/>
      <c r="DB218" s="155"/>
      <c r="DC218" s="155"/>
      <c r="DD218" s="155"/>
      <c r="DE218" s="155"/>
      <c r="DF218" s="155"/>
      <c r="DG218" s="155"/>
      <c r="DH218" s="155"/>
    </row>
    <row r="219" spans="45:112" x14ac:dyDescent="0.3">
      <c r="AS219" s="41"/>
      <c r="AT219" s="41"/>
      <c r="AU219" s="41"/>
      <c r="AV219" s="41"/>
      <c r="AW219" s="41"/>
      <c r="AX219" s="41"/>
      <c r="AY219" s="23"/>
      <c r="AZ219"/>
      <c r="BA219"/>
      <c r="BB219" s="35"/>
      <c r="BC219" s="168"/>
      <c r="BD219" s="168"/>
      <c r="BE219" s="168"/>
      <c r="BF219" s="168"/>
      <c r="BG219" s="168"/>
      <c r="BH219" s="155"/>
      <c r="BI219" s="155"/>
      <c r="BJ219" s="155"/>
      <c r="BK219" s="155"/>
      <c r="BL219" s="155"/>
      <c r="BM219" s="155"/>
      <c r="BN219" s="155"/>
      <c r="BO219" s="155"/>
      <c r="BP219" s="155"/>
      <c r="BQ219" s="155"/>
      <c r="BR219" s="155"/>
      <c r="BS219" s="155"/>
      <c r="BT219" s="155"/>
      <c r="BU219" s="155"/>
      <c r="BV219" s="155"/>
      <c r="BW219" s="155"/>
      <c r="BX219" s="155"/>
      <c r="BY219" s="155"/>
      <c r="BZ219" s="155"/>
      <c r="CA219" s="155"/>
      <c r="CB219" s="155"/>
      <c r="CC219" s="155"/>
      <c r="CD219" s="155"/>
      <c r="CE219" s="155"/>
      <c r="CF219" s="155"/>
      <c r="CG219" s="155"/>
      <c r="CH219" s="155"/>
      <c r="CI219" s="155"/>
      <c r="CJ219" s="155"/>
      <c r="CK219" s="155"/>
      <c r="CL219" s="155"/>
      <c r="CM219" s="155"/>
      <c r="CN219" s="155"/>
      <c r="CO219" s="155"/>
      <c r="CP219" s="155"/>
      <c r="CQ219" s="155"/>
      <c r="CR219" s="155"/>
      <c r="CS219" s="155"/>
      <c r="CT219" s="155"/>
      <c r="CU219" s="155"/>
      <c r="CV219" s="155"/>
      <c r="CW219" s="155"/>
      <c r="CX219" s="155"/>
      <c r="CY219" s="155"/>
      <c r="CZ219" s="155"/>
      <c r="DA219" s="155"/>
      <c r="DB219" s="155"/>
      <c r="DC219" s="155"/>
      <c r="DD219" s="155"/>
      <c r="DE219" s="155"/>
      <c r="DF219" s="155"/>
      <c r="DG219" s="155"/>
      <c r="DH219" s="155"/>
    </row>
    <row r="220" spans="45:112" x14ac:dyDescent="0.3">
      <c r="AZ220"/>
      <c r="BA220"/>
      <c r="BB220"/>
      <c r="BC220" s="155"/>
      <c r="BD220" s="155"/>
      <c r="BE220" s="155"/>
      <c r="BF220" s="155"/>
      <c r="BG220" s="155"/>
      <c r="BH220" s="155"/>
      <c r="BI220" s="161"/>
      <c r="BJ220" s="155"/>
      <c r="BK220" s="155"/>
      <c r="BL220" s="155"/>
      <c r="BM220" s="155"/>
      <c r="BN220" s="155"/>
      <c r="BO220" s="155"/>
      <c r="BP220" s="155"/>
      <c r="BQ220" s="155"/>
      <c r="BR220" s="155"/>
      <c r="BS220" s="155"/>
      <c r="BT220" s="155"/>
      <c r="BU220" s="155"/>
      <c r="BV220" s="155"/>
      <c r="BW220" s="155"/>
      <c r="BX220" s="155"/>
      <c r="BY220" s="155"/>
      <c r="BZ220" s="155"/>
      <c r="CA220" s="155"/>
      <c r="CB220" s="155"/>
      <c r="CC220" s="155"/>
      <c r="CD220" s="155"/>
      <c r="CE220" s="155"/>
      <c r="CF220" s="155"/>
      <c r="CG220" s="155"/>
      <c r="CH220" s="155"/>
      <c r="CI220" s="155"/>
      <c r="CJ220" s="155"/>
      <c r="CK220" s="155"/>
      <c r="CL220" s="155"/>
      <c r="CM220" s="155"/>
      <c r="CN220" s="155"/>
      <c r="CO220" s="155"/>
      <c r="CP220" s="155"/>
      <c r="CQ220" s="155"/>
      <c r="CR220" s="155"/>
      <c r="CS220" s="155"/>
      <c r="CT220" s="155"/>
      <c r="CU220" s="155"/>
      <c r="CV220" s="155"/>
      <c r="CW220" s="155"/>
      <c r="CX220" s="155"/>
      <c r="CY220" s="155"/>
      <c r="CZ220" s="155"/>
      <c r="DA220" s="155"/>
      <c r="DB220" s="155"/>
      <c r="DC220" s="155"/>
      <c r="DD220" s="155"/>
      <c r="DE220" s="155"/>
      <c r="DF220" s="155"/>
      <c r="DG220" s="155"/>
      <c r="DH220" s="155"/>
    </row>
    <row r="221" spans="45:112" x14ac:dyDescent="0.3">
      <c r="AZ221"/>
      <c r="BA221"/>
      <c r="BB221"/>
      <c r="BC221" s="155"/>
      <c r="BD221" s="155"/>
      <c r="BE221" s="155"/>
      <c r="BF221" s="155"/>
      <c r="BG221" s="155"/>
      <c r="BH221" s="155"/>
      <c r="BI221" s="155"/>
      <c r="BJ221" s="155"/>
      <c r="BK221" s="155"/>
      <c r="BL221" s="155"/>
      <c r="BM221" s="155"/>
      <c r="BN221" s="155"/>
      <c r="BO221" s="155"/>
      <c r="BP221" s="155"/>
      <c r="BQ221" s="155"/>
      <c r="BR221" s="155"/>
      <c r="BS221" s="155"/>
      <c r="BT221" s="155"/>
      <c r="BU221" s="155"/>
      <c r="BV221" s="155"/>
      <c r="BW221" s="155"/>
      <c r="BX221" s="155"/>
      <c r="BY221" s="155"/>
      <c r="BZ221" s="155"/>
      <c r="CA221" s="155"/>
      <c r="CB221" s="155"/>
      <c r="CC221" s="155"/>
      <c r="CD221" s="155"/>
      <c r="CE221" s="155"/>
      <c r="CF221" s="155"/>
      <c r="CG221" s="155"/>
      <c r="CH221" s="155"/>
      <c r="CI221" s="155"/>
      <c r="CJ221" s="155"/>
      <c r="CK221" s="155"/>
      <c r="CL221" s="155"/>
      <c r="CM221" s="155"/>
      <c r="CN221" s="155"/>
      <c r="CO221" s="155"/>
      <c r="CP221" s="155"/>
      <c r="CQ221" s="155"/>
      <c r="CR221" s="155"/>
      <c r="CS221" s="155"/>
      <c r="CT221" s="155"/>
      <c r="CU221" s="155"/>
      <c r="CV221" s="155"/>
      <c r="CW221" s="155"/>
      <c r="CX221" s="155"/>
      <c r="CY221" s="155"/>
      <c r="CZ221" s="155"/>
      <c r="DA221" s="155"/>
      <c r="DB221" s="155"/>
      <c r="DC221" s="155"/>
      <c r="DD221" s="155"/>
      <c r="DE221" s="155"/>
      <c r="DF221" s="155"/>
      <c r="DG221" s="155"/>
      <c r="DH221" s="155"/>
    </row>
    <row r="222" spans="45:112" x14ac:dyDescent="0.3">
      <c r="AZ222"/>
      <c r="BA222"/>
      <c r="BB222"/>
      <c r="BC222" s="155"/>
      <c r="BD222" s="155"/>
      <c r="BE222" s="155"/>
      <c r="BF222" s="155"/>
      <c r="BG222" s="155"/>
      <c r="BH222" s="155"/>
      <c r="BI222" s="161"/>
      <c r="BJ222" s="155"/>
      <c r="BK222" s="155"/>
      <c r="BL222" s="155"/>
      <c r="BM222" s="155"/>
      <c r="BN222" s="155"/>
      <c r="BO222" s="155"/>
      <c r="BP222" s="155"/>
      <c r="BQ222" s="155"/>
      <c r="BR222" s="155"/>
      <c r="BS222" s="155"/>
      <c r="BT222" s="155"/>
      <c r="BU222" s="155"/>
      <c r="BV222" s="155"/>
      <c r="BW222" s="155"/>
      <c r="BX222" s="155"/>
      <c r="BY222" s="155"/>
      <c r="BZ222" s="155"/>
      <c r="CA222" s="155"/>
      <c r="CB222" s="155"/>
      <c r="CC222" s="155"/>
      <c r="CD222" s="155"/>
      <c r="CE222" s="155"/>
      <c r="CF222" s="155"/>
      <c r="CG222" s="155"/>
      <c r="CH222" s="155"/>
      <c r="CI222" s="155"/>
      <c r="CJ222" s="155"/>
      <c r="CK222" s="155"/>
      <c r="CL222" s="155"/>
      <c r="CM222" s="155"/>
      <c r="CN222" s="155"/>
      <c r="CO222" s="155"/>
      <c r="CP222" s="155"/>
      <c r="CQ222" s="155"/>
      <c r="CR222" s="155"/>
      <c r="CS222" s="155"/>
      <c r="CT222" s="155"/>
      <c r="CU222" s="155"/>
      <c r="CV222" s="155"/>
      <c r="CW222" s="155"/>
      <c r="CX222" s="155"/>
      <c r="CY222" s="155"/>
      <c r="CZ222" s="155"/>
      <c r="DA222" s="155"/>
      <c r="DB222" s="155"/>
      <c r="DC222" s="155"/>
      <c r="DD222" s="155"/>
      <c r="DE222" s="155"/>
      <c r="DF222" s="155"/>
      <c r="DG222" s="155"/>
      <c r="DH222" s="155"/>
    </row>
    <row r="223" spans="45:112" x14ac:dyDescent="0.3">
      <c r="AZ223"/>
      <c r="BC223" s="154"/>
      <c r="BD223" s="154"/>
      <c r="BE223" s="154"/>
      <c r="BF223" s="154"/>
      <c r="BG223" s="155"/>
      <c r="BH223" s="155"/>
      <c r="BI223" s="155"/>
      <c r="BJ223" s="155"/>
      <c r="BK223" s="155"/>
      <c r="BL223" s="155"/>
      <c r="BM223" s="155"/>
      <c r="BN223" s="155"/>
      <c r="BO223" s="155"/>
      <c r="BP223" s="155"/>
      <c r="BQ223" s="155"/>
      <c r="BR223" s="155"/>
      <c r="BS223" s="155"/>
      <c r="BT223" s="155"/>
      <c r="BU223" s="155"/>
      <c r="BV223" s="155"/>
      <c r="BW223" s="155"/>
      <c r="BX223" s="155"/>
      <c r="BY223" s="155"/>
      <c r="BZ223" s="155"/>
      <c r="CA223" s="155"/>
      <c r="CB223" s="155"/>
      <c r="CC223" s="155"/>
      <c r="CD223" s="155"/>
      <c r="CE223" s="155"/>
      <c r="CF223" s="155"/>
      <c r="CG223" s="155"/>
      <c r="CH223" s="155"/>
      <c r="CI223" s="155"/>
      <c r="CJ223" s="155"/>
      <c r="CK223" s="155"/>
      <c r="CL223" s="155"/>
      <c r="CM223" s="155"/>
      <c r="CN223" s="155"/>
      <c r="CO223" s="155"/>
      <c r="CP223" s="155"/>
      <c r="CQ223" s="155"/>
      <c r="CR223" s="155"/>
      <c r="CS223" s="155"/>
      <c r="CT223" s="155"/>
      <c r="CU223" s="155"/>
      <c r="CV223" s="155"/>
      <c r="CW223" s="155"/>
      <c r="CX223" s="155"/>
      <c r="CY223" s="155"/>
      <c r="CZ223" s="155"/>
      <c r="DA223" s="155"/>
      <c r="DB223" s="155"/>
      <c r="DC223" s="155"/>
      <c r="DD223" s="155"/>
      <c r="DE223" s="155"/>
      <c r="DF223" s="155"/>
      <c r="DG223" s="155"/>
      <c r="DH223" s="155"/>
    </row>
    <row r="224" spans="45:112" x14ac:dyDescent="0.3">
      <c r="BC224" s="154"/>
      <c r="BD224" s="154"/>
      <c r="BE224" s="154"/>
      <c r="BF224" s="154"/>
      <c r="BG224" s="154"/>
      <c r="BH224" s="155"/>
      <c r="BI224" s="155"/>
      <c r="BJ224" s="155"/>
      <c r="BK224" s="155"/>
      <c r="BL224" s="155"/>
      <c r="BM224" s="155"/>
      <c r="BN224" s="155"/>
      <c r="BO224" s="155"/>
      <c r="BP224" s="155"/>
      <c r="BQ224" s="155"/>
      <c r="BR224" s="155"/>
      <c r="BS224" s="155"/>
      <c r="BT224" s="155"/>
      <c r="BU224" s="155"/>
      <c r="BV224" s="155"/>
      <c r="BW224" s="155"/>
      <c r="BX224" s="155"/>
      <c r="BY224" s="155"/>
      <c r="BZ224" s="155"/>
      <c r="CA224" s="155"/>
      <c r="CB224" s="155"/>
      <c r="CC224" s="155"/>
      <c r="CD224" s="155"/>
      <c r="CE224" s="155"/>
      <c r="CF224" s="155"/>
      <c r="CG224" s="155"/>
      <c r="CH224" s="155"/>
      <c r="CI224" s="155"/>
      <c r="CJ224" s="155"/>
      <c r="CK224" s="155"/>
      <c r="CL224" s="155"/>
      <c r="CM224" s="155"/>
      <c r="CN224" s="155"/>
      <c r="CO224" s="155"/>
      <c r="CP224" s="155"/>
      <c r="CQ224" s="155"/>
      <c r="CR224" s="155"/>
      <c r="CS224" s="155"/>
      <c r="CT224" s="155"/>
      <c r="CU224" s="155"/>
      <c r="CV224" s="155"/>
      <c r="CW224" s="155"/>
      <c r="CX224" s="155"/>
      <c r="CY224" s="155"/>
      <c r="CZ224" s="155"/>
      <c r="DA224" s="155"/>
      <c r="DB224" s="155"/>
      <c r="DC224" s="155"/>
      <c r="DD224" s="155"/>
      <c r="DE224" s="155"/>
      <c r="DF224" s="155"/>
      <c r="DG224" s="155"/>
      <c r="DH224" s="155"/>
    </row>
    <row r="225" spans="44:112" x14ac:dyDescent="0.3">
      <c r="AR225" s="41"/>
      <c r="AZ225" s="23"/>
      <c r="BA225" s="23"/>
      <c r="BC225" s="169"/>
      <c r="BD225" s="154"/>
      <c r="BE225" s="154"/>
      <c r="BF225" s="154"/>
      <c r="BG225" s="154"/>
      <c r="BH225" s="155"/>
      <c r="BI225" s="162"/>
      <c r="BJ225" s="155"/>
      <c r="BK225" s="158"/>
      <c r="BL225" s="158"/>
      <c r="BM225" s="158"/>
      <c r="BN225" s="158"/>
      <c r="BO225" s="158"/>
      <c r="BP225" s="158"/>
      <c r="BQ225" s="158"/>
      <c r="BR225" s="158"/>
      <c r="BS225" s="158"/>
      <c r="BT225" s="158"/>
      <c r="BU225" s="158"/>
      <c r="BV225" s="158"/>
      <c r="BW225" s="158"/>
      <c r="BX225" s="158"/>
      <c r="BY225" s="158"/>
      <c r="BZ225" s="158"/>
      <c r="CA225" s="158"/>
      <c r="CB225" s="158"/>
      <c r="CC225" s="158"/>
      <c r="CD225" s="158"/>
      <c r="CE225" s="158"/>
      <c r="CF225" s="158"/>
      <c r="CG225" s="158"/>
      <c r="CH225" s="158"/>
      <c r="CI225" s="158"/>
      <c r="CJ225" s="158"/>
      <c r="CK225" s="158"/>
      <c r="CL225" s="158"/>
      <c r="CM225" s="158"/>
      <c r="CN225" s="158"/>
      <c r="CO225" s="158"/>
      <c r="CP225" s="158"/>
      <c r="CQ225" s="158"/>
      <c r="CR225" s="158"/>
      <c r="CS225" s="158"/>
      <c r="CT225" s="158"/>
      <c r="CU225" s="155"/>
      <c r="CV225" s="155"/>
      <c r="CW225" s="155"/>
      <c r="CX225" s="155"/>
      <c r="CY225" s="155"/>
      <c r="CZ225" s="155"/>
      <c r="DA225" s="155"/>
      <c r="DB225" s="155"/>
      <c r="DC225" s="155"/>
      <c r="DD225" s="155"/>
      <c r="DE225" s="155"/>
      <c r="DF225" s="155"/>
      <c r="DG225" s="155"/>
      <c r="DH225" s="155"/>
    </row>
    <row r="226" spans="44:112" x14ac:dyDescent="0.3">
      <c r="AZ226"/>
      <c r="BA226"/>
      <c r="BC226" s="154"/>
      <c r="BD226" s="154"/>
      <c r="BE226" s="154"/>
      <c r="BF226" s="154"/>
      <c r="BG226" s="154"/>
      <c r="BH226" s="155"/>
      <c r="BI226" s="162"/>
      <c r="BJ226" s="155"/>
      <c r="BK226" s="155"/>
      <c r="BL226" s="155"/>
      <c r="BM226" s="155"/>
      <c r="BN226" s="155"/>
      <c r="BO226" s="155"/>
      <c r="BP226" s="155"/>
      <c r="BQ226" s="155"/>
      <c r="BR226" s="155"/>
      <c r="BS226" s="155"/>
      <c r="BT226" s="155"/>
      <c r="BU226" s="155"/>
      <c r="BV226" s="155"/>
      <c r="BW226" s="155"/>
      <c r="BX226" s="155"/>
      <c r="BY226" s="155"/>
      <c r="BZ226" s="155"/>
      <c r="CA226" s="155"/>
      <c r="CB226" s="155"/>
      <c r="CC226" s="155"/>
      <c r="CD226" s="155"/>
      <c r="CE226" s="155"/>
      <c r="CF226" s="155"/>
      <c r="CG226" s="155"/>
      <c r="CH226" s="155"/>
      <c r="CI226" s="155"/>
      <c r="CJ226" s="155"/>
      <c r="CK226" s="155"/>
      <c r="CL226" s="155"/>
      <c r="CM226" s="155"/>
      <c r="CN226" s="155"/>
      <c r="CO226" s="155"/>
      <c r="CP226" s="155"/>
      <c r="CQ226" s="155"/>
      <c r="CR226" s="155"/>
      <c r="CS226" s="155"/>
      <c r="CT226" s="155"/>
      <c r="CU226" s="155"/>
      <c r="CV226" s="155"/>
      <c r="CW226" s="155"/>
      <c r="CX226" s="155"/>
      <c r="CY226" s="155"/>
      <c r="CZ226" s="155"/>
      <c r="DA226" s="155"/>
      <c r="DB226" s="155"/>
      <c r="DC226" s="155"/>
      <c r="DD226" s="155"/>
      <c r="DE226" s="155"/>
      <c r="DF226" s="155"/>
      <c r="DG226" s="155"/>
      <c r="DH226" s="155"/>
    </row>
    <row r="227" spans="44:112" x14ac:dyDescent="0.3">
      <c r="AZ227"/>
      <c r="BA227"/>
      <c r="BC227" s="154"/>
      <c r="BD227" s="154"/>
      <c r="BE227" s="154"/>
      <c r="BF227" s="154"/>
      <c r="BG227" s="154"/>
      <c r="BH227" s="155"/>
      <c r="BI227" s="155"/>
      <c r="BJ227" s="155"/>
      <c r="BK227" s="155"/>
      <c r="BL227" s="155"/>
      <c r="BM227" s="155"/>
      <c r="BN227" s="155"/>
      <c r="BO227" s="155"/>
      <c r="BP227" s="155"/>
      <c r="BQ227" s="155"/>
      <c r="BR227" s="155"/>
      <c r="BS227" s="155"/>
      <c r="BT227" s="155"/>
      <c r="BU227" s="155"/>
      <c r="BV227" s="155"/>
      <c r="BW227" s="155"/>
      <c r="BX227" s="155"/>
      <c r="BY227" s="155"/>
      <c r="BZ227" s="155"/>
      <c r="CA227" s="155"/>
      <c r="CB227" s="155"/>
      <c r="CC227" s="155"/>
      <c r="CD227" s="155"/>
      <c r="CE227" s="155"/>
      <c r="CF227" s="155"/>
      <c r="CG227" s="155"/>
      <c r="CH227" s="155"/>
      <c r="CI227" s="155"/>
      <c r="CJ227" s="155"/>
      <c r="CK227" s="155"/>
      <c r="CL227" s="155"/>
      <c r="CM227" s="155"/>
      <c r="CN227" s="155"/>
      <c r="CO227" s="155"/>
      <c r="CP227" s="155"/>
      <c r="CQ227" s="155"/>
      <c r="CR227" s="155"/>
      <c r="CS227" s="155"/>
      <c r="CT227" s="155"/>
      <c r="CU227" s="155"/>
      <c r="CV227" s="155"/>
      <c r="CW227" s="155"/>
      <c r="CX227" s="155"/>
      <c r="CY227" s="155"/>
      <c r="CZ227" s="155"/>
      <c r="DA227" s="155"/>
      <c r="DB227" s="155"/>
      <c r="DC227" s="155"/>
      <c r="DD227" s="155"/>
      <c r="DE227" s="155"/>
      <c r="DF227" s="155"/>
      <c r="DG227" s="155"/>
      <c r="DH227" s="155"/>
    </row>
    <row r="228" spans="44:112" x14ac:dyDescent="0.3">
      <c r="AZ228"/>
      <c r="BA228"/>
      <c r="BC228" s="154"/>
      <c r="BD228" s="154"/>
      <c r="BE228" s="154"/>
      <c r="BF228" s="154"/>
      <c r="BG228" s="154"/>
      <c r="BH228" s="155"/>
      <c r="BI228" s="161"/>
      <c r="BJ228" s="155"/>
      <c r="BK228" s="155"/>
      <c r="BL228" s="155"/>
      <c r="BM228" s="155"/>
      <c r="BN228" s="155"/>
      <c r="BO228" s="155"/>
      <c r="BP228" s="155"/>
      <c r="BQ228" s="155"/>
      <c r="BR228" s="155"/>
      <c r="BS228" s="155"/>
      <c r="BT228" s="155"/>
      <c r="BU228" s="155"/>
      <c r="BV228" s="155"/>
      <c r="BW228" s="155"/>
      <c r="BX228" s="155"/>
      <c r="BY228" s="155"/>
      <c r="BZ228" s="155"/>
      <c r="CA228" s="155"/>
      <c r="CB228" s="155"/>
      <c r="CC228" s="155"/>
      <c r="CD228" s="155"/>
      <c r="CE228" s="155"/>
      <c r="CF228" s="155"/>
      <c r="CG228" s="155"/>
      <c r="CH228" s="155"/>
      <c r="CI228" s="155"/>
      <c r="CJ228" s="155"/>
      <c r="CK228" s="155"/>
      <c r="CL228" s="155"/>
      <c r="CM228" s="155"/>
      <c r="CN228" s="155"/>
      <c r="CO228" s="155"/>
      <c r="CP228" s="155"/>
      <c r="CQ228" s="155"/>
      <c r="CR228" s="155"/>
      <c r="CS228" s="155"/>
      <c r="CT228" s="155"/>
      <c r="CU228" s="155"/>
      <c r="CV228" s="155"/>
      <c r="CW228" s="155"/>
      <c r="CX228" s="155"/>
      <c r="CY228" s="155"/>
      <c r="CZ228" s="155"/>
      <c r="DA228" s="155"/>
      <c r="DB228" s="155"/>
      <c r="DC228" s="155"/>
      <c r="DD228" s="155"/>
      <c r="DE228" s="155"/>
      <c r="DF228" s="155"/>
      <c r="DG228" s="155"/>
      <c r="DH228" s="155"/>
    </row>
    <row r="229" spans="44:112" x14ac:dyDescent="0.3">
      <c r="AZ229"/>
      <c r="BA229"/>
      <c r="BC229" s="154"/>
      <c r="BD229" s="154"/>
      <c r="BE229" s="154"/>
      <c r="BF229" s="154"/>
      <c r="BG229" s="154"/>
      <c r="BH229" s="155"/>
      <c r="BI229" s="155"/>
      <c r="BJ229" s="155"/>
      <c r="BK229" s="155"/>
      <c r="BL229" s="155"/>
      <c r="BM229" s="155"/>
      <c r="BN229" s="155"/>
      <c r="BO229" s="155"/>
      <c r="BP229" s="155"/>
      <c r="BQ229" s="155"/>
      <c r="BR229" s="155"/>
      <c r="BS229" s="155"/>
      <c r="BT229" s="155"/>
      <c r="BU229" s="155"/>
      <c r="BV229" s="155"/>
      <c r="BW229" s="155"/>
      <c r="BX229" s="155"/>
      <c r="BY229" s="155"/>
      <c r="BZ229" s="155"/>
      <c r="CA229" s="155"/>
      <c r="CB229" s="155"/>
      <c r="CC229" s="155"/>
      <c r="CD229" s="155"/>
      <c r="CE229" s="155"/>
      <c r="CF229" s="155"/>
      <c r="CG229" s="155"/>
      <c r="CH229" s="155"/>
      <c r="CI229" s="155"/>
      <c r="CJ229" s="155"/>
      <c r="CK229" s="155"/>
      <c r="CL229" s="155"/>
      <c r="CM229" s="155"/>
      <c r="CN229" s="155"/>
      <c r="CO229" s="155"/>
      <c r="CP229" s="155"/>
      <c r="CQ229" s="155"/>
      <c r="CR229" s="155"/>
      <c r="CS229" s="155"/>
      <c r="CT229" s="155"/>
      <c r="CU229" s="155"/>
      <c r="CV229" s="155"/>
      <c r="CW229" s="155"/>
      <c r="CX229" s="155"/>
      <c r="CY229" s="155"/>
      <c r="CZ229" s="155"/>
      <c r="DA229" s="155"/>
      <c r="DB229" s="155"/>
      <c r="DC229" s="155"/>
      <c r="DD229" s="155"/>
      <c r="DE229" s="155"/>
      <c r="DF229" s="155"/>
      <c r="DG229" s="155"/>
      <c r="DH229" s="155"/>
    </row>
    <row r="230" spans="44:112" x14ac:dyDescent="0.3">
      <c r="AZ230"/>
      <c r="BA230"/>
      <c r="BC230" s="154"/>
      <c r="BD230" s="154"/>
      <c r="BE230" s="154"/>
      <c r="BF230" s="154"/>
      <c r="BG230" s="154"/>
      <c r="BH230" s="155"/>
      <c r="BI230" s="161"/>
      <c r="BJ230" s="155"/>
      <c r="BK230" s="155"/>
      <c r="BL230" s="155"/>
      <c r="BM230" s="155"/>
      <c r="BN230" s="155"/>
      <c r="BO230" s="155"/>
      <c r="BP230" s="155"/>
      <c r="BQ230" s="155"/>
      <c r="BR230" s="155"/>
      <c r="BS230" s="155"/>
      <c r="BT230" s="155"/>
      <c r="BU230" s="155"/>
      <c r="BV230" s="155"/>
      <c r="BW230" s="155"/>
      <c r="BX230" s="155"/>
      <c r="BY230" s="155"/>
      <c r="BZ230" s="155"/>
      <c r="CA230" s="155"/>
      <c r="CB230" s="155"/>
      <c r="CC230" s="155"/>
      <c r="CD230" s="155"/>
      <c r="CE230" s="155"/>
      <c r="CF230" s="155"/>
      <c r="CG230" s="155"/>
      <c r="CH230" s="155"/>
      <c r="CI230" s="155"/>
      <c r="CJ230" s="155"/>
      <c r="CK230" s="155"/>
      <c r="CL230" s="155"/>
      <c r="CM230" s="155"/>
      <c r="CN230" s="155"/>
      <c r="CO230" s="155"/>
      <c r="CP230" s="155"/>
      <c r="CQ230" s="155"/>
      <c r="CR230" s="155"/>
      <c r="CS230" s="155"/>
      <c r="CT230" s="155"/>
      <c r="CU230" s="155"/>
      <c r="CV230" s="155"/>
      <c r="CW230" s="155"/>
      <c r="CX230" s="155"/>
      <c r="CY230" s="155"/>
      <c r="CZ230" s="155"/>
      <c r="DA230" s="155"/>
      <c r="DB230" s="155"/>
      <c r="DC230" s="155"/>
      <c r="DD230" s="155"/>
      <c r="DE230" s="155"/>
      <c r="DF230" s="155"/>
      <c r="DG230" s="155"/>
      <c r="DH230" s="155"/>
    </row>
    <row r="231" spans="44:112" x14ac:dyDescent="0.3">
      <c r="AZ231"/>
      <c r="BA231"/>
      <c r="BC231" s="154"/>
      <c r="BD231" s="154"/>
      <c r="BE231" s="154"/>
      <c r="BF231" s="154"/>
      <c r="BG231" s="154"/>
      <c r="BH231" s="155"/>
      <c r="BI231" s="155"/>
      <c r="BJ231" s="155"/>
      <c r="BK231" s="155"/>
      <c r="BL231" s="155"/>
      <c r="BM231" s="155"/>
      <c r="BN231" s="155"/>
      <c r="BO231" s="155"/>
      <c r="BP231" s="155"/>
      <c r="BQ231" s="155"/>
      <c r="BR231" s="155"/>
      <c r="BS231" s="155"/>
      <c r="BT231" s="155"/>
      <c r="BU231" s="155"/>
      <c r="BV231" s="155"/>
      <c r="BW231" s="155"/>
      <c r="BX231" s="155"/>
      <c r="BY231" s="155"/>
      <c r="BZ231" s="155"/>
      <c r="CA231" s="155"/>
      <c r="CB231" s="155"/>
      <c r="CC231" s="155"/>
      <c r="CD231" s="155"/>
      <c r="CE231" s="155"/>
      <c r="CF231" s="155"/>
      <c r="CG231" s="155"/>
      <c r="CH231" s="155"/>
      <c r="CI231" s="155"/>
      <c r="CJ231" s="155"/>
      <c r="CK231" s="155"/>
      <c r="CL231" s="155"/>
      <c r="CM231" s="155"/>
      <c r="CN231" s="155"/>
      <c r="CO231" s="155"/>
      <c r="CP231" s="155"/>
      <c r="CQ231" s="155"/>
      <c r="CR231" s="155"/>
      <c r="CS231" s="155"/>
      <c r="CT231" s="155"/>
      <c r="CU231" s="155"/>
      <c r="CV231" s="155"/>
      <c r="CW231" s="155"/>
      <c r="CX231" s="155"/>
      <c r="CY231" s="155"/>
      <c r="CZ231" s="155"/>
      <c r="DA231" s="155"/>
      <c r="DB231" s="155"/>
      <c r="DC231" s="155"/>
      <c r="DD231" s="155"/>
      <c r="DE231" s="155"/>
      <c r="DF231" s="155"/>
      <c r="DG231" s="155"/>
      <c r="DH231" s="155"/>
    </row>
    <row r="232" spans="44:112" x14ac:dyDescent="0.3">
      <c r="AZ232"/>
      <c r="BA232"/>
      <c r="BC232" s="154"/>
      <c r="BD232" s="154"/>
      <c r="BE232" s="154"/>
      <c r="BF232" s="154"/>
      <c r="BG232" s="154"/>
      <c r="BH232" s="155"/>
      <c r="BI232" s="161"/>
      <c r="BJ232" s="155"/>
      <c r="BK232" s="155"/>
      <c r="BL232" s="155"/>
      <c r="BM232" s="155"/>
      <c r="BN232" s="155"/>
      <c r="BO232" s="155"/>
      <c r="BP232" s="155"/>
      <c r="BQ232" s="155"/>
      <c r="BR232" s="155"/>
      <c r="BS232" s="155"/>
      <c r="BT232" s="155"/>
      <c r="BU232" s="155"/>
      <c r="BV232" s="155"/>
      <c r="BW232" s="155"/>
      <c r="BX232" s="155"/>
      <c r="BY232" s="155"/>
      <c r="BZ232" s="155"/>
      <c r="CA232" s="155"/>
      <c r="CB232" s="155"/>
      <c r="CC232" s="155"/>
      <c r="CD232" s="155"/>
      <c r="CE232" s="155"/>
      <c r="CF232" s="155"/>
      <c r="CG232" s="155"/>
      <c r="CH232" s="155"/>
      <c r="CI232" s="155"/>
      <c r="CJ232" s="155"/>
      <c r="CK232" s="155"/>
      <c r="CL232" s="155"/>
      <c r="CM232" s="155"/>
      <c r="CN232" s="155"/>
      <c r="CO232" s="155"/>
      <c r="CP232" s="155"/>
      <c r="CQ232" s="155"/>
      <c r="CR232" s="155"/>
      <c r="CS232" s="155"/>
      <c r="CT232" s="155"/>
      <c r="CU232" s="155"/>
      <c r="CV232" s="155"/>
      <c r="CW232" s="155"/>
      <c r="CX232" s="155"/>
      <c r="CY232" s="155"/>
      <c r="CZ232" s="155"/>
      <c r="DA232" s="155"/>
      <c r="DB232" s="155"/>
      <c r="DC232" s="155"/>
      <c r="DD232" s="155"/>
      <c r="DE232" s="155"/>
      <c r="DF232" s="155"/>
      <c r="DG232" s="155"/>
      <c r="DH232" s="155"/>
    </row>
    <row r="233" spans="44:112" x14ac:dyDescent="0.3">
      <c r="AZ233"/>
      <c r="BA233"/>
      <c r="BC233" s="154"/>
      <c r="BD233" s="154"/>
      <c r="BE233" s="154"/>
      <c r="BF233" s="154"/>
      <c r="BG233" s="154"/>
      <c r="BH233" s="155"/>
      <c r="BI233" s="155"/>
      <c r="BJ233" s="155"/>
      <c r="BK233" s="155"/>
      <c r="BL233" s="155"/>
      <c r="BM233" s="155"/>
      <c r="BN233" s="155"/>
      <c r="BO233" s="155"/>
      <c r="BP233" s="155"/>
      <c r="BQ233" s="155"/>
      <c r="BR233" s="155"/>
      <c r="BS233" s="155"/>
      <c r="BT233" s="155"/>
      <c r="BU233" s="155"/>
      <c r="BV233" s="155"/>
      <c r="BW233" s="155"/>
      <c r="BX233" s="155"/>
      <c r="BY233" s="155"/>
      <c r="BZ233" s="155"/>
      <c r="CA233" s="155"/>
      <c r="CB233" s="155"/>
      <c r="CC233" s="155"/>
      <c r="CD233" s="155"/>
      <c r="CE233" s="155"/>
      <c r="CF233" s="155"/>
      <c r="CG233" s="155"/>
      <c r="CH233" s="155"/>
      <c r="CI233" s="155"/>
      <c r="CJ233" s="155"/>
      <c r="CK233" s="155"/>
      <c r="CL233" s="155"/>
      <c r="CM233" s="155"/>
      <c r="CN233" s="155"/>
      <c r="CO233" s="155"/>
      <c r="CP233" s="155"/>
      <c r="CQ233" s="155"/>
      <c r="CR233" s="155"/>
      <c r="CS233" s="155"/>
      <c r="CT233" s="155"/>
      <c r="CU233" s="155"/>
      <c r="CV233" s="155"/>
      <c r="CW233" s="155"/>
      <c r="CX233" s="155"/>
      <c r="CY233" s="155"/>
      <c r="CZ233" s="155"/>
      <c r="DA233" s="155"/>
      <c r="DB233" s="155"/>
      <c r="DC233" s="155"/>
      <c r="DD233" s="155"/>
      <c r="DE233" s="155"/>
      <c r="DF233" s="155"/>
      <c r="DG233" s="155"/>
      <c r="DH233" s="155"/>
    </row>
    <row r="234" spans="44:112" x14ac:dyDescent="0.3">
      <c r="AZ234"/>
      <c r="BA234"/>
      <c r="BC234" s="154"/>
      <c r="BD234" s="154"/>
      <c r="BE234" s="154"/>
      <c r="BF234" s="154"/>
      <c r="BG234" s="154"/>
      <c r="BH234" s="155"/>
      <c r="BI234" s="161"/>
      <c r="BJ234" s="155"/>
      <c r="BK234" s="155"/>
      <c r="BL234" s="155"/>
      <c r="BM234" s="155"/>
      <c r="BN234" s="155"/>
      <c r="BO234" s="155"/>
      <c r="BP234" s="155"/>
      <c r="BQ234" s="155"/>
      <c r="BR234" s="155"/>
      <c r="BS234" s="155"/>
      <c r="BT234" s="155"/>
      <c r="BU234" s="155"/>
      <c r="BV234" s="155"/>
      <c r="BW234" s="155"/>
      <c r="BX234" s="155"/>
      <c r="BY234" s="155"/>
      <c r="BZ234" s="155"/>
      <c r="CA234" s="155"/>
      <c r="CB234" s="155"/>
      <c r="CC234" s="155"/>
      <c r="CD234" s="155"/>
      <c r="CE234" s="155"/>
      <c r="CF234" s="155"/>
      <c r="CG234" s="155"/>
      <c r="CH234" s="155"/>
      <c r="CI234" s="155"/>
      <c r="CJ234" s="155"/>
      <c r="CK234" s="155"/>
      <c r="CL234" s="155"/>
      <c r="CM234" s="155"/>
      <c r="CN234" s="155"/>
      <c r="CO234" s="155"/>
      <c r="CP234" s="155"/>
      <c r="CQ234" s="155"/>
      <c r="CR234" s="155"/>
      <c r="CS234" s="155"/>
      <c r="CT234" s="155"/>
      <c r="CU234" s="155"/>
      <c r="CV234" s="155"/>
      <c r="CW234" s="155"/>
      <c r="CX234" s="155"/>
      <c r="CY234" s="155"/>
      <c r="CZ234" s="155"/>
      <c r="DA234" s="155"/>
      <c r="DB234" s="155"/>
      <c r="DC234" s="155"/>
      <c r="DD234" s="155"/>
      <c r="DE234" s="155"/>
      <c r="DF234" s="155"/>
      <c r="DG234" s="155"/>
      <c r="DH234" s="155"/>
    </row>
    <row r="235" spans="44:112" x14ac:dyDescent="0.3">
      <c r="AZ235"/>
      <c r="BA235"/>
      <c r="BG235" s="19"/>
    </row>
    <row r="236" spans="44:112" x14ac:dyDescent="0.3">
      <c r="AZ236"/>
      <c r="BA236"/>
      <c r="BG236" s="19"/>
      <c r="BI236" s="3"/>
    </row>
    <row r="237" spans="44:112" x14ac:dyDescent="0.3">
      <c r="AZ237"/>
      <c r="BA237"/>
      <c r="BG237" s="19"/>
    </row>
    <row r="238" spans="44:112" x14ac:dyDescent="0.3">
      <c r="AZ238"/>
      <c r="BA238"/>
      <c r="BG238" s="19"/>
      <c r="BI238" s="3"/>
    </row>
    <row r="239" spans="44:112" x14ac:dyDescent="0.3">
      <c r="AZ239"/>
      <c r="BA239"/>
      <c r="BG239" s="19"/>
    </row>
    <row r="240" spans="44:112" x14ac:dyDescent="0.3">
      <c r="AZ240"/>
      <c r="BA240"/>
      <c r="BG240" s="19"/>
    </row>
    <row r="241" spans="52:98" x14ac:dyDescent="0.3">
      <c r="AZ241"/>
      <c r="BA241"/>
      <c r="BG241" s="19"/>
      <c r="BI241" s="7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row>
    <row r="242" spans="52:98" x14ac:dyDescent="0.3">
      <c r="AZ242"/>
      <c r="BA242"/>
      <c r="BG242" s="19"/>
      <c r="BI242" s="72"/>
    </row>
    <row r="243" spans="52:98" x14ac:dyDescent="0.3">
      <c r="AZ243"/>
      <c r="BA243"/>
      <c r="BG243" s="19"/>
    </row>
    <row r="244" spans="52:98" x14ac:dyDescent="0.3">
      <c r="AZ244"/>
      <c r="BA244"/>
      <c r="BG244" s="19"/>
      <c r="BI244" s="3"/>
    </row>
    <row r="245" spans="52:98" x14ac:dyDescent="0.3">
      <c r="AZ245"/>
      <c r="BA245"/>
      <c r="BG245" s="19"/>
    </row>
    <row r="246" spans="52:98" x14ac:dyDescent="0.3">
      <c r="AZ246"/>
      <c r="BA246"/>
      <c r="BG246" s="19"/>
      <c r="BI246" s="3"/>
    </row>
    <row r="247" spans="52:98" x14ac:dyDescent="0.3">
      <c r="AZ247"/>
      <c r="BA247"/>
      <c r="BG247" s="19"/>
    </row>
    <row r="248" spans="52:98" x14ac:dyDescent="0.3">
      <c r="AZ248"/>
      <c r="BA248"/>
      <c r="BG248" s="19"/>
      <c r="BI248" s="3"/>
    </row>
    <row r="249" spans="52:98" x14ac:dyDescent="0.3">
      <c r="AZ249"/>
      <c r="BA249"/>
    </row>
    <row r="250" spans="52:98" x14ac:dyDescent="0.3">
      <c r="AZ250"/>
      <c r="BA250"/>
      <c r="BI250" s="3"/>
    </row>
    <row r="251" spans="52:98" x14ac:dyDescent="0.3">
      <c r="AZ251"/>
      <c r="BA251"/>
    </row>
    <row r="252" spans="52:98" x14ac:dyDescent="0.3">
      <c r="AZ252"/>
      <c r="BA252"/>
      <c r="BI252" s="3"/>
    </row>
    <row r="253" spans="52:98" x14ac:dyDescent="0.3">
      <c r="AZ253"/>
      <c r="BA253"/>
    </row>
    <row r="254" spans="52:98" x14ac:dyDescent="0.3">
      <c r="AZ254"/>
      <c r="BA254"/>
      <c r="BI254" s="3"/>
    </row>
    <row r="255" spans="52:98" x14ac:dyDescent="0.3">
      <c r="AZ255"/>
      <c r="BA255"/>
    </row>
    <row r="256" spans="52:98" x14ac:dyDescent="0.3">
      <c r="AZ256"/>
      <c r="BA256"/>
    </row>
    <row r="257" spans="52:98" x14ac:dyDescent="0.3">
      <c r="AZ257"/>
      <c r="BA257"/>
      <c r="BI257" s="7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row>
    <row r="258" spans="52:98" x14ac:dyDescent="0.3">
      <c r="AZ258"/>
      <c r="BA258"/>
      <c r="BI258" s="72"/>
    </row>
    <row r="259" spans="52:98" x14ac:dyDescent="0.3">
      <c r="AZ259"/>
      <c r="BA259"/>
    </row>
    <row r="260" spans="52:98" x14ac:dyDescent="0.3">
      <c r="AZ260"/>
      <c r="BA260"/>
      <c r="BI260" s="3"/>
    </row>
    <row r="261" spans="52:98" x14ac:dyDescent="0.3">
      <c r="AZ261"/>
      <c r="BA261"/>
    </row>
    <row r="262" spans="52:98" x14ac:dyDescent="0.3">
      <c r="AZ262"/>
      <c r="BA262"/>
      <c r="BI262" s="3"/>
    </row>
    <row r="263" spans="52:98" x14ac:dyDescent="0.3">
      <c r="AZ263"/>
      <c r="BA263"/>
    </row>
    <row r="264" spans="52:98" x14ac:dyDescent="0.3">
      <c r="AZ264"/>
      <c r="BA264"/>
      <c r="BI264" s="3"/>
    </row>
    <row r="265" spans="52:98" x14ac:dyDescent="0.3">
      <c r="AZ265"/>
      <c r="BA265"/>
    </row>
    <row r="266" spans="52:98" x14ac:dyDescent="0.3">
      <c r="AZ266"/>
      <c r="BA266"/>
      <c r="BI266" s="3"/>
    </row>
    <row r="267" spans="52:98" x14ac:dyDescent="0.3">
      <c r="AZ267"/>
      <c r="BA267"/>
    </row>
    <row r="268" spans="52:98" x14ac:dyDescent="0.3">
      <c r="AZ268"/>
      <c r="BA268"/>
      <c r="BI268" s="3"/>
    </row>
    <row r="269" spans="52:98" x14ac:dyDescent="0.3">
      <c r="AZ269"/>
      <c r="BA269"/>
    </row>
    <row r="270" spans="52:98" x14ac:dyDescent="0.3">
      <c r="AZ270"/>
      <c r="BA270"/>
      <c r="BI270" s="3"/>
    </row>
    <row r="271" spans="52:98" x14ac:dyDescent="0.3">
      <c r="AZ271"/>
      <c r="BA271"/>
    </row>
    <row r="272" spans="52:98" x14ac:dyDescent="0.3">
      <c r="AZ272"/>
      <c r="BA272"/>
    </row>
    <row r="273" spans="44:98" x14ac:dyDescent="0.3">
      <c r="AZ273"/>
      <c r="BA273"/>
      <c r="BI273" s="7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row>
    <row r="274" spans="44:98" x14ac:dyDescent="0.3">
      <c r="AZ274"/>
      <c r="BA274"/>
      <c r="BI274" s="72"/>
    </row>
    <row r="275" spans="44:98" x14ac:dyDescent="0.3">
      <c r="AZ275"/>
      <c r="BA275"/>
    </row>
    <row r="276" spans="44:98" x14ac:dyDescent="0.3">
      <c r="AZ276"/>
      <c r="BA276"/>
      <c r="BI276" s="3"/>
    </row>
    <row r="277" spans="44:98" x14ac:dyDescent="0.3">
      <c r="AZ277"/>
      <c r="BA277"/>
    </row>
    <row r="278" spans="44:98" x14ac:dyDescent="0.3">
      <c r="AZ278"/>
      <c r="BA278"/>
      <c r="BI278" s="3"/>
    </row>
    <row r="279" spans="44:98" x14ac:dyDescent="0.3">
      <c r="AZ279"/>
      <c r="BA279"/>
    </row>
    <row r="280" spans="44:98" x14ac:dyDescent="0.3">
      <c r="AZ280"/>
      <c r="BA280"/>
      <c r="BI280" s="3"/>
    </row>
    <row r="281" spans="44:98" x14ac:dyDescent="0.3">
      <c r="AZ281"/>
      <c r="BA281"/>
    </row>
    <row r="282" spans="44:98" x14ac:dyDescent="0.3">
      <c r="AS282" s="72"/>
      <c r="AT282" s="72"/>
      <c r="AU282" s="72"/>
      <c r="AV282" s="72"/>
      <c r="AW282" s="72"/>
      <c r="AX282" s="72"/>
      <c r="AY282" s="72"/>
      <c r="AZ282"/>
      <c r="BA282"/>
      <c r="BI282" s="3"/>
    </row>
    <row r="283" spans="44:98" x14ac:dyDescent="0.3">
      <c r="AY283" s="72"/>
      <c r="AZ283"/>
      <c r="BA283"/>
    </row>
    <row r="284" spans="44:98" x14ac:dyDescent="0.3">
      <c r="AZ284"/>
      <c r="BA284"/>
      <c r="BI284" s="3"/>
    </row>
    <row r="285" spans="44:98" x14ac:dyDescent="0.3">
      <c r="AZ285"/>
      <c r="BA285"/>
    </row>
    <row r="286" spans="44:98" x14ac:dyDescent="0.3">
      <c r="BI286" s="3"/>
    </row>
    <row r="288" spans="44:98" x14ac:dyDescent="0.3">
      <c r="AR288" s="72"/>
    </row>
    <row r="289" spans="44:98" x14ac:dyDescent="0.3">
      <c r="AR289" s="72"/>
      <c r="BI289" s="7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row>
    <row r="290" spans="44:98" x14ac:dyDescent="0.3">
      <c r="BI290" s="72"/>
    </row>
    <row r="292" spans="44:98" x14ac:dyDescent="0.3">
      <c r="BI292" s="3"/>
    </row>
    <row r="293" spans="44:98" x14ac:dyDescent="0.3">
      <c r="AS293" s="5"/>
    </row>
    <row r="294" spans="44:98" x14ac:dyDescent="0.3">
      <c r="AS294" s="42"/>
      <c r="BI294" s="3"/>
    </row>
    <row r="296" spans="44:98" x14ac:dyDescent="0.3">
      <c r="BI296" s="3"/>
    </row>
    <row r="297" spans="44:98" x14ac:dyDescent="0.3">
      <c r="AS297" s="73"/>
      <c r="AT297" s="73"/>
      <c r="AU297" s="73"/>
      <c r="AV297" s="73"/>
    </row>
    <row r="298" spans="44:98" x14ac:dyDescent="0.3">
      <c r="AS298" s="41"/>
      <c r="AT298" s="41"/>
      <c r="AU298" s="41"/>
      <c r="AV298" s="41"/>
      <c r="BI298" s="3"/>
    </row>
    <row r="299" spans="44:98" x14ac:dyDescent="0.3">
      <c r="AR299" s="5"/>
      <c r="AV299" s="25"/>
      <c r="AZ299"/>
      <c r="BG299" s="19"/>
    </row>
    <row r="300" spans="44:98" x14ac:dyDescent="0.3">
      <c r="AR300" s="5"/>
      <c r="AV300" s="25"/>
      <c r="BI300" s="3"/>
    </row>
    <row r="301" spans="44:98" x14ac:dyDescent="0.3">
      <c r="AV301" s="25"/>
    </row>
    <row r="302" spans="44:98" x14ac:dyDescent="0.3">
      <c r="AV302" s="25"/>
      <c r="BI302" s="3"/>
    </row>
    <row r="303" spans="44:98" x14ac:dyDescent="0.3">
      <c r="AR303" s="5"/>
      <c r="AV303" s="25"/>
    </row>
    <row r="304" spans="44:98" x14ac:dyDescent="0.3">
      <c r="AV304" s="25"/>
    </row>
    <row r="305" spans="44:98" x14ac:dyDescent="0.3">
      <c r="AR305" s="5"/>
      <c r="BI305" s="7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row>
    <row r="306" spans="44:98" x14ac:dyDescent="0.3">
      <c r="AS306" s="73"/>
      <c r="AT306" s="73"/>
      <c r="AU306" s="73"/>
      <c r="AV306" s="73"/>
      <c r="BI306" s="72"/>
    </row>
    <row r="307" spans="44:98" x14ac:dyDescent="0.3">
      <c r="AS307" s="41"/>
      <c r="AT307" s="41"/>
      <c r="AU307" s="41"/>
      <c r="AV307" s="41"/>
    </row>
    <row r="308" spans="44:98" x14ac:dyDescent="0.3">
      <c r="AV308" s="25"/>
      <c r="BI308" s="3"/>
    </row>
    <row r="309" spans="44:98" x14ac:dyDescent="0.3">
      <c r="AV309" s="25"/>
    </row>
    <row r="310" spans="44:98" x14ac:dyDescent="0.3">
      <c r="AV310" s="25"/>
      <c r="BI310" s="3"/>
    </row>
    <row r="311" spans="44:98" x14ac:dyDescent="0.3">
      <c r="AV311" s="25"/>
    </row>
    <row r="312" spans="44:98" x14ac:dyDescent="0.3">
      <c r="AR312" s="5"/>
      <c r="AV312" s="25"/>
      <c r="BI312" s="3"/>
    </row>
    <row r="313" spans="44:98" x14ac:dyDescent="0.3">
      <c r="AV313" s="25"/>
    </row>
    <row r="314" spans="44:98" x14ac:dyDescent="0.3">
      <c r="BI314" s="3"/>
    </row>
    <row r="316" spans="44:98" x14ac:dyDescent="0.3">
      <c r="BI316" s="3"/>
    </row>
    <row r="318" spans="44:98" x14ac:dyDescent="0.3">
      <c r="BI318" s="3"/>
    </row>
    <row r="321" spans="45:98" x14ac:dyDescent="0.3">
      <c r="AS321" s="5"/>
      <c r="BI321" s="7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row>
    <row r="322" spans="45:98" x14ac:dyDescent="0.3">
      <c r="AS322" s="5"/>
      <c r="BI322" s="72"/>
    </row>
    <row r="323" spans="45:98" x14ac:dyDescent="0.3">
      <c r="AS323" s="5"/>
    </row>
    <row r="324" spans="45:98" x14ac:dyDescent="0.3">
      <c r="AS324" s="5"/>
      <c r="BI324" s="3"/>
    </row>
    <row r="325" spans="45:98" x14ac:dyDescent="0.3">
      <c r="AS325" s="5"/>
    </row>
    <row r="326" spans="45:98" x14ac:dyDescent="0.3">
      <c r="AS326" s="5"/>
      <c r="BI326" s="3"/>
    </row>
    <row r="327" spans="45:98" x14ac:dyDescent="0.3">
      <c r="AS327" s="5"/>
    </row>
    <row r="328" spans="45:98" x14ac:dyDescent="0.3">
      <c r="BI328" s="3"/>
    </row>
    <row r="330" spans="45:98" x14ac:dyDescent="0.3">
      <c r="BI330" s="3"/>
    </row>
    <row r="332" spans="45:98" x14ac:dyDescent="0.3">
      <c r="BI332" s="3"/>
    </row>
    <row r="334" spans="45:98" x14ac:dyDescent="0.3">
      <c r="BI334" s="3"/>
    </row>
    <row r="337" spans="52:98" x14ac:dyDescent="0.3">
      <c r="BI337" s="7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row>
    <row r="338" spans="52:98" x14ac:dyDescent="0.3">
      <c r="BI338" s="72"/>
    </row>
    <row r="340" spans="52:98" x14ac:dyDescent="0.3">
      <c r="BI340" s="3"/>
    </row>
    <row r="342" spans="52:98" x14ac:dyDescent="0.3">
      <c r="BI342" s="3"/>
    </row>
    <row r="343" spans="52:98" x14ac:dyDescent="0.3">
      <c r="AZ343"/>
      <c r="BA343"/>
      <c r="BB343"/>
      <c r="BC343"/>
      <c r="BD343"/>
      <c r="BE343"/>
      <c r="BF343"/>
    </row>
    <row r="344" spans="52:98" x14ac:dyDescent="0.3">
      <c r="AZ344"/>
      <c r="BA344"/>
      <c r="BB344"/>
      <c r="BC344"/>
      <c r="BD344"/>
      <c r="BE344"/>
      <c r="BF344"/>
      <c r="BI344" s="3"/>
    </row>
    <row r="345" spans="52:98" x14ac:dyDescent="0.3">
      <c r="AZ345"/>
      <c r="BA345"/>
      <c r="BB345"/>
      <c r="BC345"/>
      <c r="BD345"/>
      <c r="BE345"/>
      <c r="BF345"/>
    </row>
    <row r="346" spans="52:98" x14ac:dyDescent="0.3">
      <c r="AZ346"/>
      <c r="BA346"/>
      <c r="BB346"/>
      <c r="BC346"/>
      <c r="BD346"/>
      <c r="BE346"/>
      <c r="BF346"/>
      <c r="BI346" s="3"/>
    </row>
    <row r="347" spans="52:98" x14ac:dyDescent="0.3">
      <c r="AZ347"/>
      <c r="BA347"/>
      <c r="BB347"/>
      <c r="BC347"/>
      <c r="BD347"/>
      <c r="BE347"/>
      <c r="BF347"/>
    </row>
    <row r="348" spans="52:98" x14ac:dyDescent="0.3">
      <c r="BI348" s="3"/>
    </row>
    <row r="349" spans="52:98" x14ac:dyDescent="0.3">
      <c r="AZ349"/>
      <c r="BA349"/>
      <c r="BB349"/>
      <c r="BC349"/>
      <c r="BD349"/>
      <c r="BE349"/>
      <c r="BF349"/>
    </row>
    <row r="350" spans="52:98" x14ac:dyDescent="0.3">
      <c r="AZ350"/>
      <c r="BA350"/>
      <c r="BB350"/>
      <c r="BC350"/>
      <c r="BD350"/>
      <c r="BE350"/>
      <c r="BF350"/>
      <c r="BI350" s="3"/>
    </row>
    <row r="351" spans="52:98" x14ac:dyDescent="0.3">
      <c r="AZ351"/>
      <c r="BA351"/>
      <c r="BB351"/>
      <c r="BC351"/>
      <c r="BD351"/>
      <c r="BE351"/>
      <c r="BF351"/>
    </row>
    <row r="352" spans="52:98" x14ac:dyDescent="0.3">
      <c r="AZ352"/>
      <c r="BA352"/>
      <c r="BB352"/>
      <c r="BC352"/>
      <c r="BD352"/>
      <c r="BE352"/>
      <c r="BF352"/>
    </row>
    <row r="353" spans="52:98" x14ac:dyDescent="0.3">
      <c r="AZ353"/>
      <c r="BA353"/>
      <c r="BB353"/>
      <c r="BC353"/>
      <c r="BD353"/>
      <c r="BE353"/>
      <c r="BF353"/>
      <c r="BI353" s="7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row>
    <row r="354" spans="52:98" x14ac:dyDescent="0.3">
      <c r="AZ354"/>
      <c r="BA354"/>
      <c r="BB354"/>
      <c r="BC354"/>
      <c r="BD354"/>
      <c r="BE354"/>
      <c r="BF354"/>
      <c r="BI354" s="72"/>
    </row>
    <row r="355" spans="52:98" x14ac:dyDescent="0.3">
      <c r="AZ355"/>
      <c r="BA355"/>
      <c r="BB355"/>
      <c r="BC355"/>
      <c r="BD355"/>
      <c r="BE355"/>
      <c r="BF355"/>
    </row>
    <row r="356" spans="52:98" x14ac:dyDescent="0.3">
      <c r="AZ356"/>
      <c r="BA356"/>
      <c r="BB356"/>
      <c r="BC356"/>
      <c r="BD356"/>
      <c r="BE356"/>
      <c r="BF356"/>
      <c r="BI356" s="3"/>
    </row>
    <row r="357" spans="52:98" x14ac:dyDescent="0.3">
      <c r="AZ357"/>
      <c r="BA357"/>
      <c r="BB357"/>
      <c r="BC357"/>
      <c r="BD357"/>
      <c r="BE357"/>
      <c r="BF357"/>
    </row>
    <row r="358" spans="52:98" x14ac:dyDescent="0.3">
      <c r="AZ358"/>
      <c r="BA358"/>
      <c r="BB358"/>
      <c r="BC358"/>
      <c r="BD358"/>
      <c r="BE358"/>
      <c r="BF358"/>
      <c r="BI358" s="3"/>
    </row>
    <row r="359" spans="52:98" x14ac:dyDescent="0.3">
      <c r="AZ359"/>
      <c r="BA359"/>
      <c r="BB359"/>
      <c r="BC359"/>
      <c r="BD359"/>
      <c r="BE359"/>
      <c r="BF359"/>
    </row>
    <row r="360" spans="52:98" x14ac:dyDescent="0.3">
      <c r="AZ360"/>
      <c r="BA360"/>
      <c r="BB360"/>
      <c r="BC360"/>
      <c r="BD360"/>
      <c r="BE360"/>
      <c r="BF360"/>
      <c r="BI360" s="3"/>
    </row>
    <row r="361" spans="52:98" x14ac:dyDescent="0.3">
      <c r="AZ361"/>
      <c r="BA361"/>
      <c r="BB361"/>
      <c r="BC361"/>
      <c r="BD361"/>
      <c r="BE361"/>
      <c r="BF361"/>
    </row>
    <row r="362" spans="52:98" x14ac:dyDescent="0.3">
      <c r="AZ362"/>
      <c r="BA362"/>
      <c r="BB362"/>
      <c r="BC362"/>
      <c r="BD362"/>
      <c r="BE362"/>
      <c r="BF362"/>
      <c r="BI362" s="3"/>
    </row>
    <row r="363" spans="52:98" x14ac:dyDescent="0.3">
      <c r="AZ363"/>
      <c r="BA363"/>
      <c r="BB363"/>
      <c r="BC363"/>
      <c r="BD363"/>
      <c r="BE363"/>
      <c r="BF363"/>
    </row>
    <row r="364" spans="52:98" x14ac:dyDescent="0.3">
      <c r="BI364" s="3"/>
    </row>
    <row r="365" spans="52:98" x14ac:dyDescent="0.3">
      <c r="AZ365"/>
      <c r="BA365"/>
      <c r="BB365"/>
      <c r="BC365"/>
      <c r="BD365"/>
      <c r="BE365"/>
      <c r="BF365"/>
    </row>
    <row r="366" spans="52:98" x14ac:dyDescent="0.3">
      <c r="AZ366"/>
      <c r="BA366"/>
      <c r="BB366"/>
      <c r="BC366"/>
      <c r="BD366"/>
      <c r="BE366"/>
      <c r="BF366"/>
      <c r="BI366" s="3"/>
    </row>
    <row r="367" spans="52:98" x14ac:dyDescent="0.3">
      <c r="AZ367"/>
      <c r="BA367"/>
      <c r="BB367"/>
      <c r="BC367"/>
      <c r="BD367"/>
      <c r="BE367"/>
      <c r="BF367"/>
    </row>
    <row r="368" spans="52:98" x14ac:dyDescent="0.3">
      <c r="AZ368"/>
      <c r="BA368"/>
      <c r="BB368"/>
      <c r="BC368"/>
      <c r="BD368"/>
      <c r="BE368"/>
      <c r="BF368"/>
    </row>
    <row r="369" spans="52:98" x14ac:dyDescent="0.3">
      <c r="AZ369"/>
      <c r="BA369"/>
      <c r="BB369"/>
      <c r="BC369"/>
      <c r="BD369"/>
      <c r="BE369"/>
      <c r="BF369"/>
      <c r="BI369" s="7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row>
    <row r="370" spans="52:98" x14ac:dyDescent="0.3">
      <c r="AZ370"/>
      <c r="BA370"/>
      <c r="BB370"/>
      <c r="BC370"/>
      <c r="BD370"/>
      <c r="BE370"/>
      <c r="BF370"/>
      <c r="BI370" s="72"/>
    </row>
    <row r="371" spans="52:98" x14ac:dyDescent="0.3">
      <c r="AZ371"/>
      <c r="BA371"/>
      <c r="BB371"/>
      <c r="BC371"/>
      <c r="BD371"/>
      <c r="BE371"/>
      <c r="BF371"/>
    </row>
    <row r="372" spans="52:98" x14ac:dyDescent="0.3">
      <c r="AZ372"/>
      <c r="BA372"/>
      <c r="BB372"/>
      <c r="BC372"/>
      <c r="BD372"/>
      <c r="BE372"/>
      <c r="BF372"/>
      <c r="BI372" s="3"/>
    </row>
    <row r="373" spans="52:98" x14ac:dyDescent="0.3">
      <c r="AZ373"/>
      <c r="BA373"/>
      <c r="BB373"/>
      <c r="BC373"/>
      <c r="BD373"/>
      <c r="BE373"/>
      <c r="BF373"/>
    </row>
    <row r="374" spans="52:98" x14ac:dyDescent="0.3">
      <c r="AZ374"/>
      <c r="BA374"/>
      <c r="BB374"/>
      <c r="BC374"/>
      <c r="BD374"/>
      <c r="BE374"/>
      <c r="BF374"/>
      <c r="BI374" s="3"/>
    </row>
    <row r="375" spans="52:98" x14ac:dyDescent="0.3">
      <c r="AZ375"/>
      <c r="BA375"/>
      <c r="BB375"/>
      <c r="BC375"/>
      <c r="BD375"/>
      <c r="BE375"/>
      <c r="BF375"/>
    </row>
    <row r="376" spans="52:98" x14ac:dyDescent="0.3">
      <c r="AZ376"/>
      <c r="BA376"/>
      <c r="BB376"/>
      <c r="BC376"/>
      <c r="BD376"/>
      <c r="BE376"/>
      <c r="BF376"/>
      <c r="BI376" s="3"/>
    </row>
    <row r="377" spans="52:98" x14ac:dyDescent="0.3">
      <c r="AZ377"/>
      <c r="BA377"/>
      <c r="BB377"/>
      <c r="BC377"/>
      <c r="BD377"/>
      <c r="BE377"/>
      <c r="BF377"/>
    </row>
    <row r="378" spans="52:98" x14ac:dyDescent="0.3">
      <c r="AZ378"/>
      <c r="BA378"/>
      <c r="BB378"/>
      <c r="BC378"/>
      <c r="BD378"/>
      <c r="BE378"/>
      <c r="BF378"/>
      <c r="BI378" s="3"/>
    </row>
    <row r="379" spans="52:98" x14ac:dyDescent="0.3">
      <c r="AZ379"/>
      <c r="BA379"/>
      <c r="BB379"/>
      <c r="BC379"/>
      <c r="BD379"/>
      <c r="BE379"/>
      <c r="BF379"/>
    </row>
    <row r="380" spans="52:98" x14ac:dyDescent="0.3">
      <c r="BI380" s="3"/>
    </row>
    <row r="381" spans="52:98" x14ac:dyDescent="0.3">
      <c r="AZ381"/>
      <c r="BA381"/>
      <c r="BB381"/>
      <c r="BC381"/>
      <c r="BD381"/>
      <c r="BE381"/>
      <c r="BF381"/>
    </row>
    <row r="382" spans="52:98" x14ac:dyDescent="0.3">
      <c r="AZ382"/>
      <c r="BA382"/>
      <c r="BB382"/>
      <c r="BC382"/>
      <c r="BD382"/>
      <c r="BE382"/>
      <c r="BF382"/>
      <c r="BI382" s="3"/>
    </row>
    <row r="383" spans="52:98" x14ac:dyDescent="0.3">
      <c r="AZ383"/>
      <c r="BA383"/>
      <c r="BB383"/>
      <c r="BC383"/>
      <c r="BD383"/>
      <c r="BE383"/>
      <c r="BF383"/>
    </row>
    <row r="384" spans="52:98" x14ac:dyDescent="0.3">
      <c r="AZ384"/>
      <c r="BA384"/>
      <c r="BB384"/>
      <c r="BC384"/>
      <c r="BD384"/>
      <c r="BE384"/>
      <c r="BF384"/>
    </row>
    <row r="385" spans="52:98" x14ac:dyDescent="0.3">
      <c r="AZ385"/>
      <c r="BA385"/>
      <c r="BB385"/>
      <c r="BC385"/>
      <c r="BD385"/>
      <c r="BE385"/>
      <c r="BF385"/>
      <c r="BI385" s="7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row>
    <row r="386" spans="52:98" x14ac:dyDescent="0.3">
      <c r="AZ386"/>
      <c r="BA386"/>
      <c r="BB386"/>
      <c r="BC386"/>
      <c r="BD386"/>
      <c r="BE386"/>
      <c r="BF386"/>
      <c r="BI386" s="72"/>
    </row>
    <row r="387" spans="52:98" x14ac:dyDescent="0.3">
      <c r="AZ387"/>
      <c r="BA387"/>
      <c r="BB387"/>
      <c r="BC387"/>
      <c r="BD387"/>
      <c r="BE387"/>
      <c r="BF387"/>
    </row>
    <row r="388" spans="52:98" x14ac:dyDescent="0.3">
      <c r="AZ388"/>
      <c r="BA388"/>
      <c r="BB388"/>
      <c r="BC388"/>
      <c r="BD388"/>
      <c r="BE388"/>
      <c r="BF388"/>
      <c r="BI388" s="3"/>
    </row>
    <row r="389" spans="52:98" x14ac:dyDescent="0.3">
      <c r="AZ389"/>
      <c r="BA389"/>
      <c r="BB389"/>
      <c r="BC389"/>
      <c r="BD389"/>
      <c r="BE389"/>
      <c r="BF389"/>
    </row>
    <row r="390" spans="52:98" x14ac:dyDescent="0.3">
      <c r="AZ390"/>
      <c r="BA390"/>
      <c r="BB390"/>
      <c r="BC390"/>
      <c r="BD390"/>
      <c r="BE390"/>
      <c r="BF390"/>
      <c r="BI390" s="3"/>
    </row>
    <row r="391" spans="52:98" x14ac:dyDescent="0.3">
      <c r="AZ391"/>
      <c r="BA391"/>
      <c r="BB391"/>
      <c r="BC391"/>
      <c r="BD391"/>
      <c r="BE391"/>
      <c r="BF391"/>
    </row>
    <row r="392" spans="52:98" x14ac:dyDescent="0.3">
      <c r="AZ392"/>
      <c r="BA392"/>
      <c r="BB392"/>
      <c r="BC392"/>
      <c r="BD392"/>
      <c r="BE392"/>
      <c r="BF392"/>
      <c r="BI392" s="3"/>
    </row>
    <row r="393" spans="52:98" x14ac:dyDescent="0.3">
      <c r="AZ393"/>
      <c r="BA393"/>
      <c r="BB393"/>
      <c r="BC393"/>
      <c r="BD393"/>
      <c r="BE393"/>
      <c r="BF393"/>
    </row>
    <row r="394" spans="52:98" x14ac:dyDescent="0.3">
      <c r="AZ394"/>
      <c r="BA394"/>
      <c r="BB394"/>
      <c r="BC394"/>
      <c r="BD394"/>
      <c r="BE394"/>
      <c r="BF394"/>
      <c r="BI394" s="3"/>
    </row>
    <row r="395" spans="52:98" x14ac:dyDescent="0.3">
      <c r="AZ395"/>
      <c r="BA395"/>
      <c r="BB395"/>
      <c r="BC395"/>
      <c r="BD395"/>
      <c r="BE395"/>
      <c r="BF395"/>
    </row>
    <row r="396" spans="52:98" x14ac:dyDescent="0.3">
      <c r="BI396" s="3"/>
    </row>
    <row r="397" spans="52:98" x14ac:dyDescent="0.3">
      <c r="AZ397"/>
      <c r="BA397"/>
      <c r="BB397"/>
      <c r="BC397"/>
      <c r="BD397"/>
      <c r="BE397"/>
      <c r="BF397"/>
    </row>
    <row r="398" spans="52:98" x14ac:dyDescent="0.3">
      <c r="AZ398"/>
      <c r="BA398"/>
      <c r="BB398"/>
      <c r="BC398"/>
      <c r="BD398"/>
      <c r="BE398"/>
      <c r="BF398"/>
      <c r="BI398" s="3"/>
    </row>
    <row r="399" spans="52:98" x14ac:dyDescent="0.3">
      <c r="AZ399"/>
      <c r="BA399"/>
      <c r="BB399"/>
      <c r="BC399"/>
      <c r="BD399"/>
      <c r="BE399"/>
      <c r="BF399"/>
    </row>
    <row r="400" spans="52:98" x14ac:dyDescent="0.3">
      <c r="AZ400"/>
      <c r="BA400"/>
      <c r="BB400"/>
      <c r="BC400"/>
      <c r="BD400"/>
      <c r="BE400"/>
      <c r="BF400"/>
    </row>
    <row r="401" spans="52:98" x14ac:dyDescent="0.3">
      <c r="AZ401"/>
      <c r="BA401"/>
      <c r="BB401"/>
      <c r="BC401"/>
      <c r="BD401"/>
      <c r="BE401"/>
      <c r="BF401"/>
      <c r="BI401" s="7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row>
    <row r="402" spans="52:98" x14ac:dyDescent="0.3">
      <c r="AZ402"/>
      <c r="BA402"/>
      <c r="BB402"/>
      <c r="BC402"/>
      <c r="BD402"/>
      <c r="BE402"/>
      <c r="BF402"/>
      <c r="BI402" s="72"/>
    </row>
    <row r="403" spans="52:98" x14ac:dyDescent="0.3">
      <c r="AZ403"/>
      <c r="BA403"/>
      <c r="BB403"/>
      <c r="BC403"/>
      <c r="BD403"/>
      <c r="BE403"/>
      <c r="BF403"/>
    </row>
    <row r="404" spans="52:98" x14ac:dyDescent="0.3">
      <c r="AZ404"/>
      <c r="BA404"/>
      <c r="BB404"/>
      <c r="BC404"/>
      <c r="BD404"/>
      <c r="BE404"/>
      <c r="BF404"/>
      <c r="BI404" s="3"/>
    </row>
    <row r="405" spans="52:98" x14ac:dyDescent="0.3">
      <c r="AZ405"/>
      <c r="BA405"/>
      <c r="BB405"/>
      <c r="BC405"/>
      <c r="BD405"/>
      <c r="BE405"/>
      <c r="BF405"/>
    </row>
    <row r="406" spans="52:98" x14ac:dyDescent="0.3">
      <c r="AZ406"/>
      <c r="BA406"/>
      <c r="BB406"/>
      <c r="BC406"/>
      <c r="BD406"/>
      <c r="BE406"/>
      <c r="BF406"/>
      <c r="BI406" s="3"/>
    </row>
    <row r="407" spans="52:98" x14ac:dyDescent="0.3">
      <c r="AZ407"/>
      <c r="BA407"/>
      <c r="BB407"/>
      <c r="BC407"/>
      <c r="BD407"/>
      <c r="BE407"/>
      <c r="BF407"/>
    </row>
    <row r="408" spans="52:98" x14ac:dyDescent="0.3">
      <c r="AZ408"/>
      <c r="BA408"/>
      <c r="BB408"/>
      <c r="BC408"/>
      <c r="BD408"/>
      <c r="BE408"/>
      <c r="BF408"/>
      <c r="BI408" s="3"/>
    </row>
    <row r="409" spans="52:98" x14ac:dyDescent="0.3">
      <c r="AZ409"/>
      <c r="BA409"/>
      <c r="BB409"/>
      <c r="BC409"/>
      <c r="BD409"/>
      <c r="BE409"/>
      <c r="BF409"/>
    </row>
    <row r="410" spans="52:98" x14ac:dyDescent="0.3">
      <c r="AZ410"/>
      <c r="BA410"/>
      <c r="BB410"/>
      <c r="BC410"/>
      <c r="BD410"/>
      <c r="BE410"/>
      <c r="BF410"/>
      <c r="BI410" s="3"/>
    </row>
    <row r="411" spans="52:98" x14ac:dyDescent="0.3">
      <c r="AZ411"/>
      <c r="BA411"/>
      <c r="BB411"/>
      <c r="BC411"/>
      <c r="BD411"/>
      <c r="BE411"/>
      <c r="BF411"/>
    </row>
    <row r="412" spans="52:98" x14ac:dyDescent="0.3">
      <c r="BI412" s="3"/>
    </row>
    <row r="413" spans="52:98" x14ac:dyDescent="0.3">
      <c r="AZ413"/>
      <c r="BA413"/>
      <c r="BB413"/>
      <c r="BC413"/>
      <c r="BD413"/>
      <c r="BE413"/>
      <c r="BF413"/>
    </row>
    <row r="414" spans="52:98" x14ac:dyDescent="0.3">
      <c r="AZ414"/>
      <c r="BA414"/>
      <c r="BB414"/>
      <c r="BC414"/>
      <c r="BD414"/>
      <c r="BE414"/>
      <c r="BF414"/>
      <c r="BI414" s="3"/>
    </row>
    <row r="415" spans="52:98" x14ac:dyDescent="0.3">
      <c r="AZ415"/>
      <c r="BA415"/>
      <c r="BB415"/>
      <c r="BC415"/>
      <c r="BD415"/>
      <c r="BE415"/>
      <c r="BF415"/>
    </row>
    <row r="416" spans="52:98" x14ac:dyDescent="0.3">
      <c r="AZ416"/>
      <c r="BA416"/>
      <c r="BB416"/>
      <c r="BC416"/>
      <c r="BD416"/>
      <c r="BE416"/>
      <c r="BF416"/>
    </row>
    <row r="417" spans="52:98" x14ac:dyDescent="0.3">
      <c r="AZ417"/>
      <c r="BA417"/>
      <c r="BB417"/>
      <c r="BC417"/>
      <c r="BD417"/>
      <c r="BE417"/>
      <c r="BF417"/>
      <c r="BI417" s="7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row>
    <row r="418" spans="52:98" x14ac:dyDescent="0.3">
      <c r="AZ418"/>
      <c r="BA418"/>
      <c r="BB418"/>
      <c r="BC418"/>
      <c r="BD418"/>
      <c r="BE418"/>
      <c r="BF418"/>
      <c r="BI418" s="72"/>
    </row>
    <row r="419" spans="52:98" x14ac:dyDescent="0.3">
      <c r="AZ419"/>
      <c r="BA419"/>
      <c r="BB419"/>
      <c r="BC419"/>
      <c r="BD419"/>
      <c r="BE419"/>
      <c r="BF419"/>
    </row>
    <row r="420" spans="52:98" x14ac:dyDescent="0.3">
      <c r="AZ420"/>
      <c r="BA420"/>
      <c r="BB420"/>
      <c r="BC420"/>
      <c r="BD420"/>
      <c r="BE420"/>
      <c r="BF420"/>
      <c r="BI420" s="3"/>
    </row>
    <row r="421" spans="52:98" x14ac:dyDescent="0.3">
      <c r="AZ421"/>
      <c r="BA421"/>
      <c r="BB421"/>
      <c r="BC421"/>
      <c r="BD421"/>
      <c r="BE421"/>
      <c r="BF421"/>
    </row>
    <row r="422" spans="52:98" x14ac:dyDescent="0.3">
      <c r="AZ422"/>
      <c r="BA422"/>
      <c r="BB422"/>
      <c r="BC422"/>
      <c r="BD422"/>
      <c r="BE422"/>
      <c r="BF422"/>
      <c r="BI422" s="3"/>
    </row>
    <row r="423" spans="52:98" x14ac:dyDescent="0.3">
      <c r="AZ423"/>
      <c r="BA423"/>
      <c r="BB423"/>
      <c r="BC423"/>
      <c r="BD423"/>
      <c r="BE423"/>
      <c r="BF423"/>
    </row>
    <row r="424" spans="52:98" x14ac:dyDescent="0.3">
      <c r="AZ424"/>
      <c r="BA424"/>
      <c r="BB424"/>
      <c r="BC424"/>
      <c r="BD424"/>
      <c r="BE424"/>
      <c r="BF424"/>
      <c r="BI424" s="3"/>
    </row>
    <row r="425" spans="52:98" x14ac:dyDescent="0.3">
      <c r="AZ425"/>
      <c r="BA425"/>
      <c r="BB425"/>
      <c r="BC425"/>
      <c r="BD425"/>
      <c r="BE425"/>
      <c r="BF425"/>
    </row>
    <row r="426" spans="52:98" x14ac:dyDescent="0.3">
      <c r="AZ426"/>
      <c r="BA426"/>
      <c r="BB426"/>
      <c r="BC426"/>
      <c r="BD426"/>
      <c r="BE426"/>
      <c r="BF426"/>
      <c r="BI426" s="3"/>
    </row>
    <row r="427" spans="52:98" x14ac:dyDescent="0.3">
      <c r="AZ427"/>
      <c r="BA427"/>
      <c r="BB427"/>
      <c r="BC427"/>
      <c r="BD427"/>
      <c r="BE427"/>
      <c r="BF427"/>
    </row>
    <row r="428" spans="52:98" x14ac:dyDescent="0.3">
      <c r="BI428" s="3"/>
    </row>
    <row r="429" spans="52:98" x14ac:dyDescent="0.3">
      <c r="AZ429"/>
      <c r="BA429"/>
      <c r="BB429"/>
      <c r="BC429"/>
      <c r="BD429"/>
      <c r="BE429"/>
      <c r="BF429"/>
    </row>
    <row r="430" spans="52:98" x14ac:dyDescent="0.3">
      <c r="AZ430"/>
      <c r="BA430"/>
      <c r="BB430"/>
      <c r="BC430"/>
      <c r="BD430"/>
      <c r="BE430"/>
      <c r="BF430"/>
      <c r="BI430" s="3"/>
    </row>
    <row r="431" spans="52:98" x14ac:dyDescent="0.3">
      <c r="AZ431"/>
      <c r="BA431"/>
      <c r="BB431"/>
      <c r="BC431"/>
      <c r="BD431"/>
      <c r="BE431"/>
      <c r="BF431"/>
    </row>
    <row r="432" spans="52:98" x14ac:dyDescent="0.3">
      <c r="AZ432"/>
      <c r="BA432"/>
      <c r="BB432"/>
      <c r="BC432"/>
      <c r="BD432"/>
      <c r="BE432"/>
      <c r="BF432"/>
    </row>
    <row r="433" spans="52:98" x14ac:dyDescent="0.3">
      <c r="AZ433"/>
      <c r="BA433"/>
      <c r="BB433"/>
      <c r="BC433"/>
      <c r="BD433"/>
      <c r="BE433"/>
      <c r="BF433"/>
      <c r="BI433" s="7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row>
    <row r="434" spans="52:98" x14ac:dyDescent="0.3">
      <c r="AZ434"/>
      <c r="BA434"/>
      <c r="BB434"/>
      <c r="BC434"/>
      <c r="BD434"/>
      <c r="BE434"/>
      <c r="BF434"/>
      <c r="BI434" s="72"/>
    </row>
    <row r="435" spans="52:98" x14ac:dyDescent="0.3">
      <c r="AZ435"/>
      <c r="BA435"/>
      <c r="BB435"/>
      <c r="BC435"/>
      <c r="BD435"/>
      <c r="BE435"/>
      <c r="BF435"/>
    </row>
    <row r="436" spans="52:98" x14ac:dyDescent="0.3">
      <c r="AZ436"/>
      <c r="BA436"/>
      <c r="BB436"/>
      <c r="BC436"/>
      <c r="BD436"/>
      <c r="BE436"/>
      <c r="BF436"/>
      <c r="BI436" s="3"/>
    </row>
    <row r="437" spans="52:98" x14ac:dyDescent="0.3">
      <c r="AZ437"/>
      <c r="BA437"/>
      <c r="BB437"/>
      <c r="BC437"/>
      <c r="BD437"/>
      <c r="BE437"/>
      <c r="BF437"/>
    </row>
    <row r="438" spans="52:98" x14ac:dyDescent="0.3">
      <c r="AZ438"/>
      <c r="BA438"/>
      <c r="BB438"/>
      <c r="BC438"/>
      <c r="BD438"/>
      <c r="BE438"/>
      <c r="BF438"/>
      <c r="BI438" s="3"/>
    </row>
    <row r="439" spans="52:98" x14ac:dyDescent="0.3">
      <c r="AZ439"/>
      <c r="BA439"/>
      <c r="BB439"/>
      <c r="BC439"/>
      <c r="BD439"/>
      <c r="BE439"/>
      <c r="BF439"/>
    </row>
    <row r="440" spans="52:98" x14ac:dyDescent="0.3">
      <c r="AZ440"/>
      <c r="BA440"/>
      <c r="BB440"/>
      <c r="BC440"/>
      <c r="BD440"/>
      <c r="BE440"/>
      <c r="BF440"/>
      <c r="BI440" s="3"/>
    </row>
    <row r="441" spans="52:98" x14ac:dyDescent="0.3">
      <c r="AZ441"/>
      <c r="BA441"/>
      <c r="BB441"/>
      <c r="BC441"/>
      <c r="BD441"/>
      <c r="BE441"/>
      <c r="BF441"/>
    </row>
    <row r="442" spans="52:98" x14ac:dyDescent="0.3">
      <c r="AZ442"/>
      <c r="BA442"/>
      <c r="BB442"/>
      <c r="BC442"/>
      <c r="BD442"/>
      <c r="BE442"/>
      <c r="BF442"/>
      <c r="BI442" s="3"/>
    </row>
    <row r="443" spans="52:98" x14ac:dyDescent="0.3">
      <c r="AZ443"/>
      <c r="BA443"/>
      <c r="BB443"/>
      <c r="BC443"/>
      <c r="BD443"/>
      <c r="BE443"/>
      <c r="BF443"/>
    </row>
    <row r="444" spans="52:98" x14ac:dyDescent="0.3">
      <c r="BI444" s="3"/>
    </row>
    <row r="445" spans="52:98" x14ac:dyDescent="0.3">
      <c r="AZ445"/>
      <c r="BA445"/>
      <c r="BB445"/>
      <c r="BC445"/>
      <c r="BD445"/>
      <c r="BE445"/>
      <c r="BF445"/>
    </row>
    <row r="446" spans="52:98" x14ac:dyDescent="0.3">
      <c r="AZ446"/>
      <c r="BA446"/>
      <c r="BB446"/>
      <c r="BC446"/>
      <c r="BD446"/>
      <c r="BE446"/>
      <c r="BF446"/>
      <c r="BI446" s="3"/>
    </row>
    <row r="447" spans="52:98" x14ac:dyDescent="0.3">
      <c r="AZ447"/>
      <c r="BA447"/>
      <c r="BB447"/>
      <c r="BC447"/>
      <c r="BD447"/>
      <c r="BE447"/>
      <c r="BF447"/>
    </row>
    <row r="448" spans="52:98" x14ac:dyDescent="0.3">
      <c r="AZ448"/>
      <c r="BA448"/>
      <c r="BB448"/>
      <c r="BC448"/>
      <c r="BD448"/>
      <c r="BE448"/>
      <c r="BF448"/>
    </row>
    <row r="449" spans="52:98" x14ac:dyDescent="0.3">
      <c r="AZ449"/>
      <c r="BA449"/>
      <c r="BB449"/>
      <c r="BC449"/>
      <c r="BD449"/>
      <c r="BE449"/>
      <c r="BF449"/>
      <c r="BI449" s="7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row>
    <row r="450" spans="52:98" x14ac:dyDescent="0.3">
      <c r="AZ450"/>
      <c r="BA450"/>
      <c r="BB450"/>
      <c r="BC450"/>
      <c r="BD450"/>
      <c r="BE450"/>
      <c r="BF450"/>
      <c r="BI450" s="72"/>
    </row>
    <row r="451" spans="52:98" x14ac:dyDescent="0.3">
      <c r="AZ451"/>
      <c r="BA451"/>
      <c r="BB451"/>
      <c r="BC451"/>
      <c r="BD451"/>
      <c r="BE451"/>
      <c r="BF451"/>
    </row>
    <row r="452" spans="52:98" x14ac:dyDescent="0.3">
      <c r="AZ452"/>
      <c r="BA452"/>
      <c r="BB452"/>
      <c r="BC452"/>
      <c r="BD452"/>
      <c r="BE452"/>
      <c r="BF452"/>
      <c r="BI452" s="3"/>
    </row>
    <row r="453" spans="52:98" x14ac:dyDescent="0.3">
      <c r="AZ453"/>
      <c r="BA453"/>
      <c r="BB453"/>
      <c r="BC453"/>
      <c r="BD453"/>
      <c r="BE453"/>
      <c r="BF453"/>
    </row>
    <row r="454" spans="52:98" x14ac:dyDescent="0.3">
      <c r="AZ454"/>
      <c r="BA454"/>
      <c r="BB454"/>
      <c r="BC454"/>
      <c r="BD454"/>
      <c r="BE454"/>
      <c r="BF454"/>
      <c r="BI454" s="3"/>
    </row>
    <row r="455" spans="52:98" x14ac:dyDescent="0.3">
      <c r="AZ455"/>
      <c r="BA455"/>
      <c r="BB455"/>
      <c r="BC455"/>
      <c r="BD455"/>
      <c r="BE455"/>
      <c r="BF455"/>
    </row>
    <row r="456" spans="52:98" x14ac:dyDescent="0.3">
      <c r="AZ456"/>
      <c r="BA456"/>
      <c r="BB456"/>
      <c r="BC456"/>
      <c r="BD456"/>
      <c r="BE456"/>
      <c r="BF456"/>
      <c r="BI456" s="3"/>
    </row>
    <row r="457" spans="52:98" x14ac:dyDescent="0.3">
      <c r="AZ457"/>
      <c r="BA457"/>
      <c r="BB457"/>
      <c r="BC457"/>
      <c r="BD457"/>
      <c r="BE457"/>
      <c r="BF457"/>
    </row>
    <row r="458" spans="52:98" x14ac:dyDescent="0.3">
      <c r="AZ458"/>
      <c r="BA458"/>
      <c r="BB458"/>
      <c r="BC458"/>
      <c r="BD458"/>
      <c r="BE458"/>
      <c r="BF458"/>
      <c r="BI458" s="3"/>
    </row>
    <row r="459" spans="52:98" x14ac:dyDescent="0.3">
      <c r="AZ459"/>
      <c r="BA459"/>
      <c r="BB459"/>
      <c r="BC459"/>
      <c r="BD459"/>
      <c r="BE459"/>
      <c r="BF459"/>
    </row>
    <row r="460" spans="52:98" x14ac:dyDescent="0.3">
      <c r="BI460" s="3"/>
    </row>
    <row r="461" spans="52:98" x14ac:dyDescent="0.3">
      <c r="AZ461"/>
      <c r="BA461"/>
      <c r="BB461"/>
      <c r="BC461"/>
      <c r="BD461"/>
      <c r="BE461"/>
      <c r="BF461"/>
    </row>
    <row r="462" spans="52:98" x14ac:dyDescent="0.3">
      <c r="AZ462"/>
      <c r="BA462"/>
      <c r="BB462"/>
      <c r="BC462"/>
      <c r="BD462"/>
      <c r="BE462"/>
      <c r="BF462"/>
      <c r="BI462" s="3"/>
    </row>
    <row r="463" spans="52:98" x14ac:dyDescent="0.3">
      <c r="AZ463"/>
      <c r="BA463"/>
      <c r="BB463"/>
      <c r="BC463"/>
      <c r="BD463"/>
      <c r="BE463"/>
      <c r="BF463"/>
    </row>
    <row r="464" spans="52:98" x14ac:dyDescent="0.3">
      <c r="AZ464"/>
      <c r="BA464"/>
      <c r="BB464"/>
      <c r="BC464"/>
      <c r="BD464"/>
      <c r="BE464"/>
      <c r="BF464"/>
    </row>
    <row r="465" spans="52:98" x14ac:dyDescent="0.3">
      <c r="AZ465"/>
      <c r="BA465"/>
      <c r="BB465"/>
      <c r="BC465"/>
      <c r="BD465"/>
      <c r="BE465"/>
      <c r="BF465"/>
      <c r="BI465" s="7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row>
    <row r="466" spans="52:98" x14ac:dyDescent="0.3">
      <c r="AZ466"/>
      <c r="BA466"/>
      <c r="BB466"/>
      <c r="BC466"/>
      <c r="BD466"/>
      <c r="BE466"/>
      <c r="BF466"/>
      <c r="BI466" s="72"/>
    </row>
    <row r="467" spans="52:98" x14ac:dyDescent="0.3">
      <c r="AZ467"/>
      <c r="BA467"/>
      <c r="BB467"/>
      <c r="BC467"/>
      <c r="BD467"/>
      <c r="BE467"/>
      <c r="BF467"/>
    </row>
    <row r="468" spans="52:98" x14ac:dyDescent="0.3">
      <c r="AZ468"/>
      <c r="BA468"/>
      <c r="BB468"/>
      <c r="BC468"/>
      <c r="BD468"/>
      <c r="BE468"/>
      <c r="BF468"/>
      <c r="BI468" s="3"/>
    </row>
    <row r="469" spans="52:98" x14ac:dyDescent="0.3">
      <c r="AZ469"/>
      <c r="BA469"/>
      <c r="BB469"/>
      <c r="BC469"/>
      <c r="BD469"/>
      <c r="BE469"/>
      <c r="BF469"/>
    </row>
    <row r="470" spans="52:98" x14ac:dyDescent="0.3">
      <c r="AZ470"/>
      <c r="BA470"/>
      <c r="BB470"/>
      <c r="BC470"/>
      <c r="BD470"/>
      <c r="BE470"/>
      <c r="BF470"/>
      <c r="BI470" s="3"/>
    </row>
    <row r="471" spans="52:98" x14ac:dyDescent="0.3">
      <c r="AZ471"/>
      <c r="BA471"/>
      <c r="BB471"/>
      <c r="BC471"/>
      <c r="BD471"/>
      <c r="BE471"/>
      <c r="BF471"/>
    </row>
    <row r="472" spans="52:98" x14ac:dyDescent="0.3">
      <c r="AZ472"/>
      <c r="BA472"/>
      <c r="BB472"/>
      <c r="BC472"/>
      <c r="BD472"/>
      <c r="BE472"/>
      <c r="BF472"/>
      <c r="BI472" s="3"/>
    </row>
    <row r="473" spans="52:98" x14ac:dyDescent="0.3">
      <c r="AZ473"/>
      <c r="BA473"/>
      <c r="BB473"/>
      <c r="BC473"/>
      <c r="BD473"/>
      <c r="BE473"/>
      <c r="BF473"/>
    </row>
    <row r="474" spans="52:98" x14ac:dyDescent="0.3">
      <c r="AZ474"/>
      <c r="BA474"/>
      <c r="BB474"/>
      <c r="BC474"/>
      <c r="BD474"/>
      <c r="BE474"/>
      <c r="BF474"/>
      <c r="BI474" s="3"/>
    </row>
    <row r="475" spans="52:98" x14ac:dyDescent="0.3">
      <c r="AZ475"/>
      <c r="BA475"/>
      <c r="BB475"/>
      <c r="BC475"/>
      <c r="BD475"/>
      <c r="BE475"/>
      <c r="BF475"/>
    </row>
    <row r="476" spans="52:98" x14ac:dyDescent="0.3">
      <c r="BI476" s="3"/>
    </row>
    <row r="477" spans="52:98" x14ac:dyDescent="0.3">
      <c r="AZ477"/>
      <c r="BA477"/>
      <c r="BB477"/>
      <c r="BC477"/>
      <c r="BD477"/>
      <c r="BE477"/>
      <c r="BF477"/>
    </row>
    <row r="478" spans="52:98" x14ac:dyDescent="0.3">
      <c r="AZ478"/>
      <c r="BA478"/>
      <c r="BB478"/>
      <c r="BC478"/>
      <c r="BD478"/>
      <c r="BE478"/>
      <c r="BF478"/>
      <c r="BI478" s="3"/>
    </row>
    <row r="479" spans="52:98" x14ac:dyDescent="0.3">
      <c r="AZ479"/>
      <c r="BA479"/>
      <c r="BB479"/>
      <c r="BC479"/>
      <c r="BD479"/>
      <c r="BE479"/>
      <c r="BF479"/>
    </row>
    <row r="480" spans="52:98" x14ac:dyDescent="0.3">
      <c r="AZ480"/>
      <c r="BA480"/>
      <c r="BB480"/>
      <c r="BC480"/>
      <c r="BD480"/>
      <c r="BE480"/>
      <c r="BF480"/>
    </row>
    <row r="481" spans="52:98" x14ac:dyDescent="0.3">
      <c r="AZ481"/>
      <c r="BA481"/>
      <c r="BB481"/>
      <c r="BC481"/>
      <c r="BD481"/>
      <c r="BE481"/>
      <c r="BF481"/>
      <c r="BI481" s="7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row>
    <row r="482" spans="52:98" x14ac:dyDescent="0.3">
      <c r="AZ482"/>
      <c r="BA482"/>
      <c r="BB482"/>
      <c r="BC482"/>
      <c r="BD482"/>
      <c r="BE482"/>
      <c r="BF482"/>
      <c r="BI482" s="72"/>
    </row>
    <row r="483" spans="52:98" x14ac:dyDescent="0.3">
      <c r="AZ483"/>
      <c r="BA483"/>
      <c r="BB483"/>
      <c r="BC483"/>
      <c r="BD483"/>
      <c r="BE483"/>
      <c r="BF483"/>
    </row>
    <row r="484" spans="52:98" x14ac:dyDescent="0.3">
      <c r="AZ484"/>
      <c r="BA484"/>
      <c r="BB484"/>
      <c r="BC484"/>
      <c r="BD484"/>
      <c r="BE484"/>
      <c r="BF484"/>
      <c r="BI484" s="3"/>
    </row>
    <row r="485" spans="52:98" x14ac:dyDescent="0.3">
      <c r="AZ485"/>
      <c r="BA485"/>
      <c r="BB485"/>
      <c r="BC485"/>
      <c r="BD485"/>
      <c r="BE485"/>
      <c r="BF485"/>
    </row>
    <row r="486" spans="52:98" x14ac:dyDescent="0.3">
      <c r="AZ486"/>
      <c r="BA486"/>
      <c r="BB486"/>
      <c r="BC486"/>
      <c r="BD486"/>
      <c r="BE486"/>
      <c r="BF486"/>
      <c r="BI486" s="3"/>
    </row>
    <row r="487" spans="52:98" x14ac:dyDescent="0.3">
      <c r="AZ487"/>
      <c r="BA487"/>
      <c r="BB487"/>
      <c r="BC487"/>
      <c r="BD487"/>
      <c r="BE487"/>
      <c r="BF487"/>
    </row>
    <row r="488" spans="52:98" x14ac:dyDescent="0.3">
      <c r="AZ488"/>
      <c r="BA488"/>
      <c r="BB488"/>
      <c r="BC488"/>
      <c r="BD488"/>
      <c r="BE488"/>
      <c r="BF488"/>
      <c r="BI488" s="3"/>
    </row>
    <row r="489" spans="52:98" x14ac:dyDescent="0.3">
      <c r="AZ489"/>
      <c r="BA489"/>
      <c r="BB489"/>
      <c r="BC489"/>
      <c r="BD489"/>
      <c r="BE489"/>
      <c r="BF489"/>
    </row>
    <row r="490" spans="52:98" x14ac:dyDescent="0.3">
      <c r="AZ490"/>
      <c r="BA490"/>
      <c r="BB490"/>
      <c r="BC490"/>
      <c r="BD490"/>
      <c r="BE490"/>
      <c r="BF490"/>
      <c r="BI490" s="3"/>
    </row>
    <row r="491" spans="52:98" x14ac:dyDescent="0.3">
      <c r="AZ491"/>
      <c r="BA491"/>
      <c r="BB491"/>
      <c r="BC491"/>
      <c r="BD491"/>
      <c r="BE491"/>
      <c r="BF491"/>
    </row>
    <row r="492" spans="52:98" x14ac:dyDescent="0.3">
      <c r="BI492" s="3"/>
    </row>
    <row r="493" spans="52:98" x14ac:dyDescent="0.3">
      <c r="AZ493"/>
      <c r="BA493"/>
      <c r="BB493"/>
      <c r="BC493"/>
      <c r="BD493"/>
      <c r="BE493"/>
      <c r="BF493"/>
    </row>
    <row r="494" spans="52:98" x14ac:dyDescent="0.3">
      <c r="AZ494"/>
      <c r="BA494"/>
      <c r="BB494"/>
      <c r="BC494"/>
      <c r="BD494"/>
      <c r="BE494"/>
      <c r="BF494"/>
      <c r="BI494" s="3"/>
    </row>
    <row r="495" spans="52:98" x14ac:dyDescent="0.3">
      <c r="AZ495"/>
      <c r="BA495"/>
      <c r="BB495"/>
      <c r="BC495"/>
      <c r="BD495"/>
      <c r="BE495"/>
      <c r="BF495"/>
    </row>
    <row r="496" spans="52:98" x14ac:dyDescent="0.3">
      <c r="AZ496"/>
      <c r="BA496"/>
      <c r="BB496"/>
      <c r="BC496"/>
      <c r="BD496"/>
      <c r="BE496"/>
      <c r="BF496"/>
    </row>
    <row r="497" spans="52:98" x14ac:dyDescent="0.3">
      <c r="AZ497"/>
      <c r="BA497"/>
      <c r="BB497"/>
      <c r="BC497"/>
      <c r="BD497"/>
      <c r="BE497"/>
      <c r="BF497"/>
      <c r="BI497" s="7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row>
    <row r="498" spans="52:98" x14ac:dyDescent="0.3">
      <c r="AZ498"/>
      <c r="BA498"/>
      <c r="BB498"/>
      <c r="BC498"/>
      <c r="BD498"/>
      <c r="BE498"/>
      <c r="BF498"/>
      <c r="BI498" s="72"/>
    </row>
    <row r="499" spans="52:98" x14ac:dyDescent="0.3">
      <c r="AZ499"/>
      <c r="BA499"/>
      <c r="BB499"/>
      <c r="BC499"/>
      <c r="BD499"/>
      <c r="BE499"/>
      <c r="BF499"/>
    </row>
    <row r="500" spans="52:98" x14ac:dyDescent="0.3">
      <c r="AZ500"/>
      <c r="BA500"/>
      <c r="BB500"/>
      <c r="BC500"/>
      <c r="BD500"/>
      <c r="BE500"/>
      <c r="BF500"/>
      <c r="BI500" s="3"/>
    </row>
    <row r="501" spans="52:98" x14ac:dyDescent="0.3">
      <c r="AZ501"/>
      <c r="BA501"/>
      <c r="BB501"/>
      <c r="BC501"/>
      <c r="BD501"/>
      <c r="BE501"/>
      <c r="BF501"/>
    </row>
    <row r="502" spans="52:98" x14ac:dyDescent="0.3">
      <c r="AZ502"/>
      <c r="BA502"/>
      <c r="BB502"/>
      <c r="BC502"/>
      <c r="BD502"/>
      <c r="BE502"/>
      <c r="BF502"/>
      <c r="BI502" s="3"/>
    </row>
    <row r="503" spans="52:98" x14ac:dyDescent="0.3">
      <c r="AZ503"/>
      <c r="BA503"/>
      <c r="BB503"/>
      <c r="BC503"/>
      <c r="BD503"/>
      <c r="BE503"/>
      <c r="BF503"/>
    </row>
    <row r="504" spans="52:98" x14ac:dyDescent="0.3">
      <c r="AZ504"/>
      <c r="BA504"/>
      <c r="BB504"/>
      <c r="BC504"/>
      <c r="BD504"/>
      <c r="BE504"/>
      <c r="BF504"/>
      <c r="BI504" s="3"/>
    </row>
    <row r="505" spans="52:98" x14ac:dyDescent="0.3">
      <c r="AZ505"/>
      <c r="BA505"/>
      <c r="BB505"/>
      <c r="BC505"/>
      <c r="BD505"/>
      <c r="BE505"/>
      <c r="BF505"/>
    </row>
    <row r="506" spans="52:98" x14ac:dyDescent="0.3">
      <c r="AZ506"/>
      <c r="BA506"/>
      <c r="BB506"/>
      <c r="BC506"/>
      <c r="BD506"/>
      <c r="BE506"/>
      <c r="BF506"/>
      <c r="BI506" s="3"/>
    </row>
    <row r="507" spans="52:98" x14ac:dyDescent="0.3">
      <c r="AZ507"/>
      <c r="BA507"/>
      <c r="BB507"/>
      <c r="BC507"/>
      <c r="BD507"/>
      <c r="BE507"/>
      <c r="BF507"/>
    </row>
    <row r="508" spans="52:98" x14ac:dyDescent="0.3">
      <c r="BI508" s="3"/>
    </row>
    <row r="509" spans="52:98" x14ac:dyDescent="0.3">
      <c r="AZ509"/>
      <c r="BA509"/>
      <c r="BB509"/>
      <c r="BC509"/>
      <c r="BD509"/>
      <c r="BE509"/>
      <c r="BF509"/>
    </row>
    <row r="510" spans="52:98" x14ac:dyDescent="0.3">
      <c r="AZ510"/>
      <c r="BA510"/>
      <c r="BB510"/>
      <c r="BC510"/>
      <c r="BD510"/>
      <c r="BE510"/>
      <c r="BF510"/>
      <c r="BI510" s="3"/>
    </row>
    <row r="511" spans="52:98" x14ac:dyDescent="0.3">
      <c r="AZ511"/>
      <c r="BA511"/>
      <c r="BB511"/>
      <c r="BC511"/>
      <c r="BD511"/>
      <c r="BE511"/>
      <c r="BF511"/>
    </row>
    <row r="512" spans="52:98" x14ac:dyDescent="0.3">
      <c r="AZ512"/>
      <c r="BA512"/>
      <c r="BB512"/>
      <c r="BC512"/>
      <c r="BD512"/>
      <c r="BE512"/>
      <c r="BF512"/>
    </row>
    <row r="513" spans="52:98" x14ac:dyDescent="0.3">
      <c r="AZ513"/>
      <c r="BA513"/>
      <c r="BB513"/>
      <c r="BC513"/>
      <c r="BD513"/>
      <c r="BE513"/>
      <c r="BF513"/>
      <c r="BI513" s="7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row>
    <row r="514" spans="52:98" x14ac:dyDescent="0.3">
      <c r="AZ514"/>
      <c r="BA514"/>
      <c r="BB514"/>
      <c r="BC514"/>
      <c r="BD514"/>
      <c r="BE514"/>
      <c r="BF514"/>
      <c r="BI514" s="72"/>
    </row>
    <row r="515" spans="52:98" x14ac:dyDescent="0.3">
      <c r="AZ515"/>
      <c r="BA515"/>
      <c r="BB515"/>
      <c r="BC515"/>
      <c r="BD515"/>
      <c r="BE515"/>
      <c r="BF515"/>
    </row>
    <row r="516" spans="52:98" x14ac:dyDescent="0.3">
      <c r="AZ516"/>
      <c r="BA516"/>
      <c r="BB516"/>
      <c r="BC516"/>
      <c r="BD516"/>
      <c r="BE516"/>
      <c r="BF516"/>
      <c r="BI516" s="3"/>
    </row>
    <row r="517" spans="52:98" x14ac:dyDescent="0.3">
      <c r="AZ517"/>
      <c r="BA517"/>
      <c r="BB517"/>
      <c r="BC517"/>
      <c r="BD517"/>
      <c r="BE517"/>
      <c r="BF517"/>
    </row>
    <row r="518" spans="52:98" x14ac:dyDescent="0.3">
      <c r="AZ518"/>
      <c r="BA518"/>
      <c r="BB518"/>
      <c r="BC518"/>
      <c r="BD518"/>
      <c r="BE518"/>
      <c r="BF518"/>
      <c r="BI518" s="3"/>
    </row>
    <row r="519" spans="52:98" x14ac:dyDescent="0.3">
      <c r="AZ519"/>
      <c r="BA519"/>
      <c r="BB519"/>
      <c r="BC519"/>
      <c r="BD519"/>
      <c r="BE519"/>
      <c r="BF519"/>
    </row>
    <row r="520" spans="52:98" x14ac:dyDescent="0.3">
      <c r="AZ520"/>
      <c r="BA520"/>
      <c r="BB520"/>
      <c r="BC520"/>
      <c r="BD520"/>
      <c r="BE520"/>
      <c r="BF520"/>
      <c r="BI520" s="3"/>
    </row>
    <row r="521" spans="52:98" x14ac:dyDescent="0.3">
      <c r="AZ521"/>
      <c r="BA521"/>
      <c r="BB521"/>
      <c r="BC521"/>
      <c r="BD521"/>
      <c r="BE521"/>
      <c r="BF521"/>
    </row>
    <row r="522" spans="52:98" x14ac:dyDescent="0.3">
      <c r="AZ522"/>
      <c r="BA522"/>
      <c r="BB522"/>
      <c r="BC522"/>
      <c r="BD522"/>
      <c r="BE522"/>
      <c r="BF522"/>
    </row>
    <row r="523" spans="52:98" x14ac:dyDescent="0.3">
      <c r="AZ523"/>
      <c r="BA523"/>
      <c r="BB523"/>
      <c r="BC523"/>
      <c r="BD523"/>
      <c r="BE523"/>
      <c r="BF523"/>
    </row>
    <row r="525" spans="52:98" x14ac:dyDescent="0.3">
      <c r="AZ525"/>
      <c r="BA525"/>
      <c r="BB525"/>
      <c r="BC525"/>
      <c r="BD525"/>
      <c r="BE525"/>
      <c r="BF525"/>
    </row>
    <row r="526" spans="52:98" x14ac:dyDescent="0.3">
      <c r="AZ526"/>
      <c r="BA526"/>
      <c r="BB526"/>
      <c r="BC526"/>
      <c r="BD526"/>
      <c r="BE526"/>
      <c r="BF526"/>
    </row>
    <row r="527" spans="52:98" x14ac:dyDescent="0.3">
      <c r="AZ527"/>
      <c r="BA527"/>
      <c r="BB527"/>
      <c r="BC527"/>
      <c r="BD527"/>
      <c r="BE527"/>
      <c r="BF527"/>
    </row>
    <row r="528" spans="52:98" x14ac:dyDescent="0.3">
      <c r="AZ528"/>
      <c r="BA528"/>
      <c r="BB528"/>
      <c r="BC528"/>
      <c r="BD528"/>
      <c r="BE528"/>
      <c r="BF528"/>
    </row>
    <row r="529" spans="52:98" x14ac:dyDescent="0.3">
      <c r="AZ529"/>
      <c r="BA529"/>
      <c r="BB529"/>
      <c r="BC529"/>
      <c r="BD529"/>
      <c r="BE529"/>
      <c r="BF529"/>
      <c r="BI529" s="7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row>
    <row r="530" spans="52:98" x14ac:dyDescent="0.3">
      <c r="AZ530"/>
      <c r="BA530"/>
      <c r="BB530"/>
      <c r="BC530"/>
      <c r="BD530"/>
      <c r="BE530"/>
      <c r="BF530"/>
      <c r="BI530" s="72"/>
    </row>
    <row r="531" spans="52:98" x14ac:dyDescent="0.3">
      <c r="AZ531"/>
      <c r="BA531"/>
      <c r="BB531"/>
      <c r="BC531"/>
      <c r="BD531"/>
      <c r="BE531"/>
      <c r="BF531"/>
    </row>
    <row r="532" spans="52:98" x14ac:dyDescent="0.3">
      <c r="AZ532"/>
      <c r="BA532"/>
      <c r="BB532"/>
      <c r="BC532"/>
      <c r="BD532"/>
      <c r="BE532"/>
      <c r="BF532"/>
      <c r="BI532" s="3"/>
    </row>
    <row r="533" spans="52:98" x14ac:dyDescent="0.3">
      <c r="AZ533"/>
      <c r="BA533"/>
      <c r="BB533"/>
      <c r="BC533"/>
      <c r="BD533"/>
      <c r="BE533"/>
      <c r="BF533"/>
    </row>
    <row r="534" spans="52:98" x14ac:dyDescent="0.3">
      <c r="AZ534"/>
      <c r="BA534"/>
      <c r="BB534"/>
      <c r="BC534"/>
      <c r="BD534"/>
      <c r="BE534"/>
      <c r="BF534"/>
      <c r="BI534" s="3"/>
    </row>
    <row r="535" spans="52:98" x14ac:dyDescent="0.3">
      <c r="AZ535"/>
      <c r="BA535"/>
      <c r="BB535"/>
      <c r="BC535"/>
      <c r="BD535"/>
      <c r="BE535"/>
      <c r="BF535"/>
    </row>
    <row r="536" spans="52:98" x14ac:dyDescent="0.3">
      <c r="AZ536"/>
      <c r="BA536"/>
      <c r="BB536"/>
      <c r="BC536"/>
      <c r="BD536"/>
      <c r="BE536"/>
      <c r="BF536"/>
      <c r="BI536" s="3"/>
    </row>
    <row r="537" spans="52:98" x14ac:dyDescent="0.3">
      <c r="AZ537"/>
      <c r="BA537"/>
      <c r="BB537"/>
      <c r="BC537"/>
      <c r="BD537"/>
      <c r="BE537"/>
      <c r="BF537"/>
    </row>
    <row r="538" spans="52:98" x14ac:dyDescent="0.3">
      <c r="AZ538"/>
      <c r="BA538"/>
      <c r="BB538"/>
      <c r="BC538"/>
      <c r="BD538"/>
      <c r="BE538"/>
      <c r="BF538"/>
      <c r="BI538" s="3"/>
    </row>
    <row r="539" spans="52:98" x14ac:dyDescent="0.3">
      <c r="AZ539"/>
      <c r="BA539"/>
      <c r="BB539"/>
      <c r="BC539"/>
      <c r="BD539"/>
      <c r="BE539"/>
      <c r="BF539"/>
    </row>
    <row r="540" spans="52:98" x14ac:dyDescent="0.3">
      <c r="BI540" s="3"/>
    </row>
    <row r="541" spans="52:98" x14ac:dyDescent="0.3">
      <c r="AZ541"/>
      <c r="BA541"/>
      <c r="BB541"/>
      <c r="BC541"/>
      <c r="BD541"/>
      <c r="BE541"/>
      <c r="BF541"/>
    </row>
    <row r="542" spans="52:98" x14ac:dyDescent="0.3">
      <c r="AZ542"/>
      <c r="BA542"/>
      <c r="BB542"/>
      <c r="BC542"/>
      <c r="BD542"/>
      <c r="BE542"/>
      <c r="BF542"/>
      <c r="BI542" s="3"/>
    </row>
    <row r="543" spans="52:98" x14ac:dyDescent="0.3">
      <c r="AZ543"/>
      <c r="BA543"/>
      <c r="BB543"/>
      <c r="BC543"/>
      <c r="BD543"/>
      <c r="BE543"/>
      <c r="BF543"/>
    </row>
    <row r="544" spans="52:98" x14ac:dyDescent="0.3">
      <c r="AZ544"/>
      <c r="BA544"/>
      <c r="BB544"/>
      <c r="BC544"/>
      <c r="BD544"/>
      <c r="BE544"/>
      <c r="BF544"/>
    </row>
    <row r="545" spans="52:98" x14ac:dyDescent="0.3">
      <c r="AZ545"/>
      <c r="BA545"/>
      <c r="BB545"/>
      <c r="BC545"/>
      <c r="BD545"/>
      <c r="BE545"/>
      <c r="BF545"/>
      <c r="BI545" s="7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row>
    <row r="546" spans="52:98" x14ac:dyDescent="0.3">
      <c r="AZ546"/>
      <c r="BA546"/>
      <c r="BB546"/>
      <c r="BC546"/>
      <c r="BD546"/>
      <c r="BE546"/>
      <c r="BF546"/>
      <c r="BI546" s="72"/>
    </row>
    <row r="547" spans="52:98" x14ac:dyDescent="0.3">
      <c r="AZ547"/>
      <c r="BA547"/>
      <c r="BB547"/>
      <c r="BC547"/>
      <c r="BD547"/>
      <c r="BE547"/>
      <c r="BF547"/>
    </row>
    <row r="548" spans="52:98" x14ac:dyDescent="0.3">
      <c r="AZ548"/>
      <c r="BA548"/>
      <c r="BB548"/>
      <c r="BC548"/>
      <c r="BD548"/>
      <c r="BE548"/>
      <c r="BF548"/>
      <c r="BI548" s="3"/>
    </row>
    <row r="549" spans="52:98" x14ac:dyDescent="0.3">
      <c r="AZ549"/>
      <c r="BA549"/>
      <c r="BB549"/>
      <c r="BC549"/>
      <c r="BD549"/>
      <c r="BE549"/>
      <c r="BF549"/>
    </row>
    <row r="550" spans="52:98" x14ac:dyDescent="0.3">
      <c r="AZ550"/>
      <c r="BA550"/>
      <c r="BB550"/>
      <c r="BC550"/>
      <c r="BD550"/>
      <c r="BE550"/>
      <c r="BF550"/>
      <c r="BI550" s="3"/>
    </row>
    <row r="551" spans="52:98" x14ac:dyDescent="0.3">
      <c r="AZ551"/>
      <c r="BA551"/>
      <c r="BB551"/>
      <c r="BC551"/>
      <c r="BD551"/>
      <c r="BE551"/>
      <c r="BF551"/>
    </row>
    <row r="552" spans="52:98" x14ac:dyDescent="0.3">
      <c r="AZ552"/>
      <c r="BA552"/>
      <c r="BB552"/>
      <c r="BC552"/>
      <c r="BD552"/>
      <c r="BE552"/>
      <c r="BF552"/>
      <c r="BI552" s="3"/>
    </row>
    <row r="553" spans="52:98" x14ac:dyDescent="0.3">
      <c r="AZ553"/>
      <c r="BA553"/>
      <c r="BB553"/>
      <c r="BC553"/>
      <c r="BD553"/>
      <c r="BE553"/>
      <c r="BF553"/>
    </row>
    <row r="554" spans="52:98" x14ac:dyDescent="0.3">
      <c r="AZ554"/>
      <c r="BA554"/>
      <c r="BB554"/>
      <c r="BC554"/>
      <c r="BD554"/>
      <c r="BE554"/>
      <c r="BF554"/>
      <c r="BI554" s="3"/>
    </row>
    <row r="555" spans="52:98" x14ac:dyDescent="0.3">
      <c r="AZ555"/>
      <c r="BA555"/>
      <c r="BB555"/>
      <c r="BC555"/>
      <c r="BD555"/>
      <c r="BE555"/>
      <c r="BF555"/>
    </row>
    <row r="556" spans="52:98" x14ac:dyDescent="0.3">
      <c r="BI556" s="3"/>
    </row>
    <row r="557" spans="52:98" x14ac:dyDescent="0.3">
      <c r="AZ557"/>
      <c r="BA557"/>
      <c r="BB557"/>
      <c r="BC557"/>
      <c r="BD557"/>
      <c r="BE557"/>
      <c r="BF557"/>
    </row>
    <row r="558" spans="52:98" x14ac:dyDescent="0.3">
      <c r="AZ558"/>
      <c r="BA558"/>
      <c r="BB558"/>
      <c r="BC558"/>
      <c r="BD558"/>
      <c r="BE558"/>
      <c r="BF558"/>
      <c r="BI558" s="3"/>
    </row>
    <row r="559" spans="52:98" x14ac:dyDescent="0.3">
      <c r="AZ559"/>
      <c r="BA559"/>
      <c r="BB559"/>
      <c r="BC559"/>
      <c r="BD559"/>
      <c r="BE559"/>
      <c r="BF559"/>
    </row>
    <row r="560" spans="52:98" x14ac:dyDescent="0.3">
      <c r="AZ560"/>
      <c r="BA560"/>
      <c r="BB560"/>
      <c r="BC560"/>
      <c r="BD560"/>
      <c r="BE560"/>
      <c r="BF560"/>
    </row>
    <row r="561" spans="52:98" x14ac:dyDescent="0.3">
      <c r="AZ561"/>
      <c r="BA561"/>
      <c r="BB561"/>
      <c r="BC561"/>
      <c r="BD561"/>
      <c r="BE561"/>
      <c r="BF561"/>
      <c r="BI561" s="7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row>
    <row r="562" spans="52:98" x14ac:dyDescent="0.3">
      <c r="AZ562"/>
      <c r="BA562"/>
      <c r="BB562"/>
      <c r="BC562"/>
      <c r="BD562"/>
      <c r="BE562"/>
      <c r="BF562"/>
      <c r="BI562" s="72"/>
    </row>
    <row r="563" spans="52:98" x14ac:dyDescent="0.3">
      <c r="AZ563"/>
      <c r="BA563"/>
      <c r="BB563"/>
      <c r="BC563"/>
      <c r="BD563"/>
      <c r="BE563"/>
      <c r="BF563"/>
    </row>
    <row r="564" spans="52:98" x14ac:dyDescent="0.3">
      <c r="AZ564"/>
      <c r="BA564"/>
      <c r="BB564"/>
      <c r="BC564"/>
      <c r="BD564"/>
      <c r="BE564"/>
      <c r="BF564"/>
      <c r="BI564" s="3"/>
    </row>
    <row r="565" spans="52:98" x14ac:dyDescent="0.3">
      <c r="AZ565"/>
      <c r="BA565"/>
      <c r="BB565"/>
      <c r="BC565"/>
      <c r="BD565"/>
      <c r="BE565"/>
      <c r="BF565"/>
    </row>
    <row r="566" spans="52:98" x14ac:dyDescent="0.3">
      <c r="AZ566"/>
      <c r="BA566"/>
      <c r="BB566"/>
      <c r="BC566"/>
      <c r="BD566"/>
      <c r="BE566"/>
      <c r="BF566"/>
      <c r="BI566" s="3"/>
    </row>
    <row r="567" spans="52:98" x14ac:dyDescent="0.3">
      <c r="AZ567"/>
      <c r="BA567"/>
      <c r="BB567"/>
      <c r="BC567"/>
      <c r="BD567"/>
      <c r="BE567"/>
      <c r="BF567"/>
    </row>
    <row r="568" spans="52:98" x14ac:dyDescent="0.3">
      <c r="AZ568"/>
      <c r="BA568"/>
      <c r="BB568"/>
      <c r="BC568"/>
      <c r="BD568"/>
      <c r="BE568"/>
      <c r="BF568"/>
      <c r="BI568" s="3"/>
    </row>
    <row r="569" spans="52:98" x14ac:dyDescent="0.3">
      <c r="AZ569"/>
      <c r="BA569"/>
      <c r="BB569"/>
      <c r="BC569"/>
      <c r="BD569"/>
      <c r="BE569"/>
      <c r="BF569"/>
    </row>
    <row r="570" spans="52:98" x14ac:dyDescent="0.3">
      <c r="AZ570"/>
      <c r="BA570"/>
      <c r="BB570"/>
      <c r="BC570"/>
      <c r="BD570"/>
      <c r="BE570"/>
      <c r="BF570"/>
      <c r="BI570" s="3"/>
    </row>
    <row r="571" spans="52:98" x14ac:dyDescent="0.3">
      <c r="AZ571"/>
      <c r="BA571"/>
      <c r="BB571"/>
      <c r="BC571"/>
      <c r="BD571"/>
      <c r="BE571"/>
      <c r="BF571"/>
    </row>
    <row r="572" spans="52:98" x14ac:dyDescent="0.3">
      <c r="BI572" s="3"/>
    </row>
    <row r="573" spans="52:98" x14ac:dyDescent="0.3">
      <c r="AZ573"/>
      <c r="BA573"/>
      <c r="BB573"/>
      <c r="BC573"/>
      <c r="BD573"/>
      <c r="BE573"/>
      <c r="BF573"/>
    </row>
    <row r="574" spans="52:98" x14ac:dyDescent="0.3">
      <c r="AZ574"/>
      <c r="BA574"/>
      <c r="BB574"/>
      <c r="BC574"/>
      <c r="BD574"/>
      <c r="BE574"/>
      <c r="BF574"/>
      <c r="BI574" s="3"/>
    </row>
    <row r="575" spans="52:98" x14ac:dyDescent="0.3">
      <c r="AZ575"/>
      <c r="BA575"/>
      <c r="BB575"/>
      <c r="BC575"/>
      <c r="BD575"/>
      <c r="BE575"/>
      <c r="BF575"/>
    </row>
    <row r="576" spans="52:98" x14ac:dyDescent="0.3">
      <c r="AZ576"/>
      <c r="BA576"/>
      <c r="BB576"/>
      <c r="BC576"/>
      <c r="BD576"/>
      <c r="BE576"/>
      <c r="BF576"/>
    </row>
    <row r="577" spans="52:98" x14ac:dyDescent="0.3">
      <c r="AZ577"/>
      <c r="BA577"/>
      <c r="BB577"/>
      <c r="BC577"/>
      <c r="BD577"/>
      <c r="BE577"/>
      <c r="BF577"/>
      <c r="BI577" s="7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row>
    <row r="578" spans="52:98" x14ac:dyDescent="0.3">
      <c r="AZ578"/>
      <c r="BA578"/>
      <c r="BB578"/>
      <c r="BC578"/>
      <c r="BD578"/>
      <c r="BE578"/>
      <c r="BF578"/>
      <c r="BI578" s="72"/>
    </row>
    <row r="579" spans="52:98" x14ac:dyDescent="0.3">
      <c r="AZ579"/>
      <c r="BA579"/>
      <c r="BB579"/>
      <c r="BC579"/>
      <c r="BD579"/>
      <c r="BE579"/>
      <c r="BF579"/>
    </row>
    <row r="580" spans="52:98" x14ac:dyDescent="0.3">
      <c r="AZ580"/>
      <c r="BA580"/>
      <c r="BB580"/>
      <c r="BC580"/>
      <c r="BD580"/>
      <c r="BE580"/>
      <c r="BF580"/>
      <c r="BI580" s="3"/>
    </row>
    <row r="581" spans="52:98" x14ac:dyDescent="0.3">
      <c r="AZ581"/>
      <c r="BA581"/>
      <c r="BB581"/>
      <c r="BC581"/>
      <c r="BD581"/>
      <c r="BE581"/>
      <c r="BF581"/>
    </row>
    <row r="582" spans="52:98" x14ac:dyDescent="0.3">
      <c r="AZ582"/>
      <c r="BA582"/>
      <c r="BB582"/>
      <c r="BC582"/>
      <c r="BD582"/>
      <c r="BE582"/>
      <c r="BF582"/>
      <c r="BI582" s="3"/>
    </row>
    <row r="583" spans="52:98" x14ac:dyDescent="0.3">
      <c r="AZ583"/>
      <c r="BA583"/>
      <c r="BB583"/>
      <c r="BC583"/>
      <c r="BD583"/>
      <c r="BE583"/>
      <c r="BF583"/>
    </row>
    <row r="584" spans="52:98" x14ac:dyDescent="0.3">
      <c r="AZ584"/>
      <c r="BA584"/>
      <c r="BB584"/>
      <c r="BC584"/>
      <c r="BD584"/>
      <c r="BE584"/>
      <c r="BF584"/>
      <c r="BI584" s="3"/>
    </row>
    <row r="585" spans="52:98" x14ac:dyDescent="0.3">
      <c r="AZ585"/>
      <c r="BA585"/>
      <c r="BB585"/>
      <c r="BC585"/>
      <c r="BD585"/>
      <c r="BE585"/>
      <c r="BF585"/>
    </row>
    <row r="586" spans="52:98" x14ac:dyDescent="0.3">
      <c r="AZ586"/>
      <c r="BA586"/>
      <c r="BB586"/>
      <c r="BC586"/>
      <c r="BD586"/>
      <c r="BE586"/>
      <c r="BF586"/>
      <c r="BI586" s="3"/>
    </row>
    <row r="587" spans="52:98" x14ac:dyDescent="0.3">
      <c r="AZ587"/>
      <c r="BA587"/>
      <c r="BB587"/>
      <c r="BC587"/>
      <c r="BD587"/>
      <c r="BE587"/>
      <c r="BF587"/>
    </row>
    <row r="588" spans="52:98" x14ac:dyDescent="0.3">
      <c r="BI588" s="3"/>
    </row>
    <row r="589" spans="52:98" x14ac:dyDescent="0.3">
      <c r="AZ589"/>
      <c r="BA589"/>
      <c r="BB589"/>
      <c r="BC589"/>
      <c r="BD589"/>
      <c r="BE589"/>
      <c r="BF589"/>
    </row>
    <row r="590" spans="52:98" x14ac:dyDescent="0.3">
      <c r="AZ590"/>
      <c r="BA590"/>
      <c r="BB590"/>
      <c r="BC590"/>
      <c r="BD590"/>
      <c r="BE590"/>
      <c r="BF590"/>
      <c r="BI590" s="3"/>
    </row>
    <row r="591" spans="52:98" x14ac:dyDescent="0.3">
      <c r="AZ591"/>
      <c r="BA591"/>
      <c r="BB591"/>
      <c r="BC591"/>
      <c r="BD591"/>
      <c r="BE591"/>
      <c r="BF591"/>
    </row>
    <row r="592" spans="52:98" x14ac:dyDescent="0.3">
      <c r="AZ592"/>
      <c r="BA592"/>
      <c r="BB592"/>
      <c r="BC592"/>
      <c r="BD592"/>
      <c r="BE592"/>
      <c r="BF592"/>
    </row>
    <row r="593" spans="52:98" x14ac:dyDescent="0.3">
      <c r="AZ593"/>
      <c r="BA593"/>
      <c r="BB593"/>
      <c r="BC593"/>
      <c r="BD593"/>
      <c r="BE593"/>
      <c r="BF593"/>
      <c r="BI593" s="7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row>
    <row r="594" spans="52:98" x14ac:dyDescent="0.3">
      <c r="AZ594"/>
      <c r="BA594"/>
      <c r="BB594"/>
      <c r="BC594"/>
      <c r="BD594"/>
      <c r="BE594"/>
      <c r="BF594"/>
      <c r="BI594" s="72"/>
    </row>
    <row r="595" spans="52:98" x14ac:dyDescent="0.3">
      <c r="AZ595"/>
      <c r="BA595"/>
      <c r="BB595"/>
      <c r="BC595"/>
      <c r="BD595"/>
      <c r="BE595"/>
      <c r="BF595"/>
    </row>
    <row r="596" spans="52:98" x14ac:dyDescent="0.3">
      <c r="AZ596"/>
      <c r="BA596"/>
      <c r="BB596"/>
      <c r="BC596"/>
      <c r="BD596"/>
      <c r="BE596"/>
      <c r="BF596"/>
      <c r="BI596" s="3"/>
    </row>
    <row r="597" spans="52:98" x14ac:dyDescent="0.3">
      <c r="AZ597"/>
      <c r="BA597"/>
      <c r="BB597"/>
      <c r="BC597"/>
      <c r="BD597"/>
      <c r="BE597"/>
      <c r="BF597"/>
    </row>
    <row r="598" spans="52:98" x14ac:dyDescent="0.3">
      <c r="AZ598"/>
      <c r="BA598"/>
      <c r="BB598"/>
      <c r="BC598"/>
      <c r="BD598"/>
      <c r="BE598"/>
      <c r="BF598"/>
      <c r="BI598" s="3"/>
    </row>
    <row r="599" spans="52:98" x14ac:dyDescent="0.3">
      <c r="AZ599"/>
      <c r="BA599"/>
      <c r="BB599"/>
      <c r="BC599"/>
      <c r="BD599"/>
      <c r="BE599"/>
      <c r="BF599"/>
    </row>
    <row r="600" spans="52:98" x14ac:dyDescent="0.3">
      <c r="AZ600"/>
      <c r="BA600"/>
      <c r="BB600"/>
      <c r="BC600"/>
      <c r="BD600"/>
      <c r="BE600"/>
      <c r="BF600"/>
      <c r="BI600" s="3"/>
    </row>
    <row r="601" spans="52:98" x14ac:dyDescent="0.3">
      <c r="AZ601"/>
      <c r="BA601"/>
      <c r="BB601"/>
      <c r="BC601"/>
      <c r="BD601"/>
      <c r="BE601"/>
      <c r="BF601"/>
    </row>
    <row r="602" spans="52:98" x14ac:dyDescent="0.3">
      <c r="AZ602"/>
      <c r="BA602"/>
      <c r="BB602"/>
      <c r="BC602"/>
      <c r="BD602"/>
      <c r="BE602"/>
      <c r="BF602"/>
      <c r="BI602" s="3"/>
    </row>
    <row r="603" spans="52:98" x14ac:dyDescent="0.3">
      <c r="AZ603"/>
      <c r="BA603"/>
      <c r="BB603"/>
      <c r="BC603"/>
      <c r="BD603"/>
      <c r="BE603"/>
      <c r="BF603"/>
    </row>
    <row r="604" spans="52:98" x14ac:dyDescent="0.3">
      <c r="BI604" s="3"/>
    </row>
    <row r="605" spans="52:98" x14ac:dyDescent="0.3">
      <c r="AZ605"/>
      <c r="BA605"/>
      <c r="BB605"/>
      <c r="BC605"/>
      <c r="BD605"/>
      <c r="BE605"/>
      <c r="BF605"/>
    </row>
    <row r="606" spans="52:98" x14ac:dyDescent="0.3">
      <c r="AZ606"/>
      <c r="BA606"/>
      <c r="BB606"/>
      <c r="BC606"/>
      <c r="BD606"/>
      <c r="BE606"/>
      <c r="BF606"/>
      <c r="BI606" s="3"/>
    </row>
    <row r="607" spans="52:98" x14ac:dyDescent="0.3">
      <c r="AZ607"/>
      <c r="BA607"/>
      <c r="BB607"/>
      <c r="BC607"/>
      <c r="BD607"/>
      <c r="BE607"/>
      <c r="BF607"/>
    </row>
    <row r="608" spans="52:98" x14ac:dyDescent="0.3">
      <c r="AZ608"/>
      <c r="BA608"/>
      <c r="BB608"/>
      <c r="BC608"/>
      <c r="BD608"/>
      <c r="BE608"/>
      <c r="BF608"/>
    </row>
    <row r="609" spans="52:98" x14ac:dyDescent="0.3">
      <c r="AZ609"/>
      <c r="BA609"/>
      <c r="BB609"/>
      <c r="BC609"/>
      <c r="BD609"/>
      <c r="BE609"/>
      <c r="BF609"/>
      <c r="BI609" s="7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row>
    <row r="610" spans="52:98" x14ac:dyDescent="0.3">
      <c r="AZ610"/>
      <c r="BA610"/>
      <c r="BB610"/>
      <c r="BC610"/>
      <c r="BD610"/>
      <c r="BE610"/>
      <c r="BF610"/>
      <c r="BI610" s="72"/>
    </row>
    <row r="611" spans="52:98" x14ac:dyDescent="0.3">
      <c r="AZ611"/>
      <c r="BA611"/>
      <c r="BB611"/>
      <c r="BC611"/>
      <c r="BD611"/>
      <c r="BE611"/>
      <c r="BF611"/>
    </row>
    <row r="612" spans="52:98" x14ac:dyDescent="0.3">
      <c r="AZ612"/>
      <c r="BA612"/>
      <c r="BB612"/>
      <c r="BC612"/>
      <c r="BD612"/>
      <c r="BE612"/>
      <c r="BF612"/>
      <c r="BI612" s="3"/>
    </row>
    <row r="613" spans="52:98" x14ac:dyDescent="0.3">
      <c r="AZ613"/>
      <c r="BA613"/>
      <c r="BB613"/>
      <c r="BC613"/>
      <c r="BD613"/>
      <c r="BE613"/>
      <c r="BF613"/>
    </row>
    <row r="614" spans="52:98" x14ac:dyDescent="0.3">
      <c r="AZ614"/>
      <c r="BA614"/>
      <c r="BB614"/>
      <c r="BC614"/>
      <c r="BD614"/>
      <c r="BE614"/>
      <c r="BF614"/>
      <c r="BI614" s="3"/>
    </row>
    <row r="615" spans="52:98" x14ac:dyDescent="0.3">
      <c r="AZ615"/>
      <c r="BA615"/>
      <c r="BB615"/>
      <c r="BC615"/>
      <c r="BD615"/>
      <c r="BE615"/>
      <c r="BF615"/>
    </row>
    <row r="616" spans="52:98" x14ac:dyDescent="0.3">
      <c r="AZ616"/>
      <c r="BA616"/>
      <c r="BB616"/>
      <c r="BC616"/>
      <c r="BD616"/>
      <c r="BE616"/>
      <c r="BF616"/>
      <c r="BI616" s="3"/>
    </row>
    <row r="617" spans="52:98" x14ac:dyDescent="0.3">
      <c r="AZ617"/>
      <c r="BA617"/>
      <c r="BB617"/>
      <c r="BC617"/>
      <c r="BD617"/>
      <c r="BE617"/>
      <c r="BF617"/>
    </row>
    <row r="618" spans="52:98" x14ac:dyDescent="0.3">
      <c r="AZ618"/>
      <c r="BA618"/>
      <c r="BB618"/>
      <c r="BC618"/>
      <c r="BD618"/>
      <c r="BE618"/>
      <c r="BF618"/>
      <c r="BI618" s="3"/>
    </row>
    <row r="619" spans="52:98" x14ac:dyDescent="0.3">
      <c r="AZ619"/>
      <c r="BA619"/>
      <c r="BB619"/>
      <c r="BC619"/>
      <c r="BD619"/>
      <c r="BE619"/>
      <c r="BF619"/>
    </row>
    <row r="620" spans="52:98" x14ac:dyDescent="0.3">
      <c r="BI620" s="3"/>
    </row>
    <row r="621" spans="52:98" x14ac:dyDescent="0.3">
      <c r="AZ621"/>
      <c r="BA621"/>
      <c r="BB621"/>
      <c r="BC621"/>
      <c r="BD621"/>
      <c r="BE621"/>
      <c r="BF621"/>
    </row>
    <row r="622" spans="52:98" x14ac:dyDescent="0.3">
      <c r="AZ622"/>
      <c r="BA622"/>
      <c r="BB622"/>
      <c r="BC622"/>
      <c r="BD622"/>
      <c r="BE622"/>
      <c r="BF622"/>
      <c r="BI622" s="3"/>
    </row>
    <row r="623" spans="52:98" x14ac:dyDescent="0.3">
      <c r="AZ623"/>
      <c r="BA623"/>
      <c r="BB623"/>
      <c r="BC623"/>
      <c r="BD623"/>
      <c r="BE623"/>
      <c r="BF623"/>
    </row>
    <row r="624" spans="52:98" x14ac:dyDescent="0.3">
      <c r="AZ624"/>
      <c r="BA624"/>
      <c r="BB624"/>
      <c r="BC624"/>
      <c r="BD624"/>
      <c r="BE624"/>
      <c r="BF624"/>
    </row>
    <row r="625" spans="52:98" x14ac:dyDescent="0.3">
      <c r="AZ625"/>
      <c r="BA625"/>
      <c r="BB625"/>
      <c r="BC625"/>
      <c r="BD625"/>
      <c r="BE625"/>
      <c r="BF625"/>
      <c r="BI625" s="7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row>
    <row r="626" spans="52:98" x14ac:dyDescent="0.3">
      <c r="AZ626"/>
      <c r="BA626"/>
      <c r="BB626"/>
      <c r="BC626"/>
      <c r="BD626"/>
      <c r="BE626"/>
      <c r="BF626"/>
      <c r="BI626" s="72"/>
    </row>
    <row r="627" spans="52:98" x14ac:dyDescent="0.3">
      <c r="AZ627"/>
      <c r="BA627"/>
      <c r="BB627"/>
      <c r="BC627"/>
      <c r="BD627"/>
      <c r="BE627"/>
      <c r="BF627"/>
    </row>
    <row r="628" spans="52:98" x14ac:dyDescent="0.3">
      <c r="AZ628"/>
      <c r="BA628"/>
      <c r="BB628"/>
      <c r="BC628"/>
      <c r="BD628"/>
      <c r="BE628"/>
      <c r="BF628"/>
      <c r="BI628" s="3"/>
    </row>
    <row r="629" spans="52:98" x14ac:dyDescent="0.3">
      <c r="AZ629"/>
      <c r="BA629"/>
      <c r="BB629"/>
      <c r="BC629"/>
      <c r="BD629"/>
      <c r="BE629"/>
      <c r="BF629"/>
    </row>
    <row r="630" spans="52:98" x14ac:dyDescent="0.3">
      <c r="AZ630"/>
      <c r="BA630"/>
      <c r="BB630"/>
      <c r="BC630"/>
      <c r="BD630"/>
      <c r="BE630"/>
      <c r="BF630"/>
      <c r="BI630" s="3"/>
    </row>
    <row r="631" spans="52:98" x14ac:dyDescent="0.3">
      <c r="AZ631"/>
      <c r="BA631"/>
      <c r="BB631"/>
      <c r="BC631"/>
      <c r="BD631"/>
      <c r="BE631"/>
      <c r="BF631"/>
    </row>
    <row r="632" spans="52:98" x14ac:dyDescent="0.3">
      <c r="AZ632"/>
      <c r="BA632"/>
      <c r="BB632"/>
      <c r="BC632"/>
      <c r="BD632"/>
      <c r="BE632"/>
      <c r="BF632"/>
      <c r="BI632" s="3"/>
    </row>
    <row r="633" spans="52:98" x14ac:dyDescent="0.3">
      <c r="AZ633"/>
      <c r="BA633"/>
      <c r="BB633"/>
      <c r="BC633"/>
      <c r="BD633"/>
      <c r="BE633"/>
      <c r="BF633"/>
    </row>
    <row r="634" spans="52:98" x14ac:dyDescent="0.3">
      <c r="AZ634"/>
      <c r="BA634"/>
      <c r="BB634"/>
      <c r="BC634"/>
      <c r="BD634"/>
      <c r="BE634"/>
      <c r="BF634"/>
      <c r="BI634" s="3"/>
    </row>
    <row r="635" spans="52:98" x14ac:dyDescent="0.3">
      <c r="AZ635"/>
      <c r="BA635"/>
      <c r="BB635"/>
      <c r="BC635"/>
      <c r="BD635"/>
      <c r="BE635"/>
      <c r="BF635"/>
    </row>
    <row r="636" spans="52:98" x14ac:dyDescent="0.3">
      <c r="BI636" s="3"/>
    </row>
    <row r="637" spans="52:98" x14ac:dyDescent="0.3">
      <c r="AZ637"/>
      <c r="BA637"/>
      <c r="BB637"/>
      <c r="BC637"/>
      <c r="BD637"/>
      <c r="BE637"/>
      <c r="BF637"/>
    </row>
    <row r="638" spans="52:98" x14ac:dyDescent="0.3">
      <c r="AZ638"/>
      <c r="BA638"/>
      <c r="BB638"/>
      <c r="BC638"/>
      <c r="BD638"/>
      <c r="BE638"/>
      <c r="BF638"/>
      <c r="BI638" s="3"/>
    </row>
    <row r="639" spans="52:98" x14ac:dyDescent="0.3">
      <c r="AZ639"/>
      <c r="BA639"/>
      <c r="BB639"/>
      <c r="BC639"/>
      <c r="BD639"/>
      <c r="BE639"/>
      <c r="BF639"/>
    </row>
    <row r="640" spans="52:98" x14ac:dyDescent="0.3">
      <c r="AZ640"/>
      <c r="BA640"/>
      <c r="BB640"/>
      <c r="BC640"/>
      <c r="BD640"/>
      <c r="BE640"/>
      <c r="BF640"/>
    </row>
    <row r="641" spans="52:98" x14ac:dyDescent="0.3">
      <c r="AZ641"/>
      <c r="BA641"/>
      <c r="BB641"/>
      <c r="BC641"/>
      <c r="BD641"/>
      <c r="BE641"/>
      <c r="BF641"/>
      <c r="BI641" s="7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row>
    <row r="642" spans="52:98" x14ac:dyDescent="0.3">
      <c r="AZ642"/>
      <c r="BA642"/>
      <c r="BB642"/>
      <c r="BC642"/>
      <c r="BD642"/>
      <c r="BE642"/>
      <c r="BF642"/>
      <c r="BI642" s="72"/>
    </row>
    <row r="643" spans="52:98" x14ac:dyDescent="0.3">
      <c r="AZ643"/>
      <c r="BA643"/>
      <c r="BB643"/>
      <c r="BC643"/>
      <c r="BD643"/>
      <c r="BE643"/>
      <c r="BF643"/>
    </row>
    <row r="644" spans="52:98" x14ac:dyDescent="0.3">
      <c r="AZ644"/>
      <c r="BA644"/>
      <c r="BB644"/>
      <c r="BC644"/>
      <c r="BD644"/>
      <c r="BE644"/>
      <c r="BF644"/>
      <c r="BI644" s="3"/>
    </row>
    <row r="645" spans="52:98" x14ac:dyDescent="0.3">
      <c r="AZ645"/>
      <c r="BA645"/>
      <c r="BB645"/>
      <c r="BC645"/>
      <c r="BD645"/>
      <c r="BE645"/>
      <c r="BF645"/>
    </row>
    <row r="646" spans="52:98" x14ac:dyDescent="0.3">
      <c r="AZ646"/>
      <c r="BA646"/>
      <c r="BB646"/>
      <c r="BC646"/>
      <c r="BD646"/>
      <c r="BE646"/>
      <c r="BF646"/>
      <c r="BI646" s="3"/>
    </row>
    <row r="647" spans="52:98" x14ac:dyDescent="0.3">
      <c r="AZ647"/>
      <c r="BA647"/>
      <c r="BB647"/>
      <c r="BC647"/>
      <c r="BD647"/>
      <c r="BE647"/>
      <c r="BF647"/>
    </row>
    <row r="648" spans="52:98" x14ac:dyDescent="0.3">
      <c r="AZ648"/>
      <c r="BA648"/>
      <c r="BB648"/>
      <c r="BC648"/>
      <c r="BD648"/>
      <c r="BE648"/>
      <c r="BF648"/>
      <c r="BI648" s="3"/>
    </row>
    <row r="649" spans="52:98" x14ac:dyDescent="0.3">
      <c r="AZ649"/>
      <c r="BA649"/>
      <c r="BB649"/>
      <c r="BC649"/>
      <c r="BD649"/>
      <c r="BE649"/>
      <c r="BF649"/>
    </row>
    <row r="650" spans="52:98" x14ac:dyDescent="0.3">
      <c r="AZ650"/>
      <c r="BA650"/>
      <c r="BB650"/>
      <c r="BC650"/>
      <c r="BD650"/>
      <c r="BE650"/>
      <c r="BF650"/>
      <c r="BI650" s="3"/>
    </row>
    <row r="651" spans="52:98" x14ac:dyDescent="0.3">
      <c r="AZ651"/>
      <c r="BA651"/>
      <c r="BB651"/>
      <c r="BC651"/>
      <c r="BD651"/>
      <c r="BE651"/>
      <c r="BF651"/>
    </row>
    <row r="652" spans="52:98" x14ac:dyDescent="0.3">
      <c r="BI652" s="3"/>
    </row>
    <row r="653" spans="52:98" x14ac:dyDescent="0.3">
      <c r="AZ653"/>
      <c r="BA653"/>
      <c r="BB653"/>
      <c r="BC653"/>
      <c r="BD653"/>
      <c r="BE653"/>
      <c r="BF653"/>
    </row>
    <row r="654" spans="52:98" x14ac:dyDescent="0.3">
      <c r="AZ654"/>
      <c r="BA654"/>
      <c r="BB654"/>
      <c r="BC654"/>
      <c r="BD654"/>
      <c r="BE654"/>
      <c r="BF654"/>
      <c r="BI654" s="3"/>
    </row>
    <row r="655" spans="52:98" x14ac:dyDescent="0.3">
      <c r="AZ655"/>
      <c r="BA655"/>
      <c r="BB655"/>
      <c r="BC655"/>
      <c r="BD655"/>
      <c r="BE655"/>
      <c r="BF655"/>
    </row>
    <row r="656" spans="52:98" x14ac:dyDescent="0.3">
      <c r="AZ656"/>
      <c r="BA656"/>
      <c r="BB656"/>
      <c r="BC656"/>
      <c r="BD656"/>
      <c r="BE656"/>
      <c r="BF656"/>
    </row>
    <row r="657" spans="52:98" x14ac:dyDescent="0.3">
      <c r="AZ657"/>
      <c r="BA657"/>
      <c r="BB657"/>
      <c r="BC657"/>
      <c r="BD657"/>
      <c r="BE657"/>
      <c r="BF657"/>
      <c r="BI657" s="7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row>
    <row r="658" spans="52:98" x14ac:dyDescent="0.3">
      <c r="AZ658"/>
      <c r="BA658"/>
      <c r="BB658"/>
      <c r="BC658"/>
      <c r="BD658"/>
      <c r="BE658"/>
      <c r="BF658"/>
      <c r="BI658" s="72"/>
    </row>
    <row r="659" spans="52:98" x14ac:dyDescent="0.3">
      <c r="AZ659"/>
      <c r="BA659"/>
      <c r="BB659"/>
      <c r="BC659"/>
      <c r="BD659"/>
      <c r="BE659"/>
      <c r="BF659"/>
    </row>
    <row r="660" spans="52:98" x14ac:dyDescent="0.3">
      <c r="AZ660"/>
      <c r="BA660"/>
      <c r="BB660"/>
      <c r="BC660"/>
      <c r="BD660"/>
      <c r="BE660"/>
      <c r="BF660"/>
      <c r="BI660" s="3"/>
    </row>
    <row r="661" spans="52:98" x14ac:dyDescent="0.3">
      <c r="AZ661"/>
      <c r="BA661"/>
      <c r="BB661"/>
      <c r="BC661"/>
      <c r="BD661"/>
      <c r="BE661"/>
      <c r="BF661"/>
    </row>
    <row r="662" spans="52:98" x14ac:dyDescent="0.3">
      <c r="AZ662"/>
      <c r="BA662"/>
      <c r="BB662"/>
      <c r="BC662"/>
      <c r="BD662"/>
      <c r="BE662"/>
      <c r="BF662"/>
      <c r="BI662" s="3"/>
    </row>
    <row r="663" spans="52:98" x14ac:dyDescent="0.3">
      <c r="AZ663"/>
      <c r="BA663"/>
      <c r="BB663"/>
      <c r="BC663"/>
      <c r="BD663"/>
      <c r="BE663"/>
      <c r="BF663"/>
    </row>
    <row r="664" spans="52:98" x14ac:dyDescent="0.3">
      <c r="AZ664"/>
      <c r="BA664"/>
      <c r="BB664"/>
      <c r="BC664"/>
      <c r="BD664"/>
      <c r="BE664"/>
      <c r="BF664"/>
      <c r="BI664" s="3"/>
    </row>
    <row r="665" spans="52:98" x14ac:dyDescent="0.3">
      <c r="AZ665"/>
      <c r="BA665"/>
      <c r="BB665"/>
      <c r="BC665"/>
      <c r="BD665"/>
      <c r="BE665"/>
      <c r="BF665"/>
    </row>
    <row r="666" spans="52:98" x14ac:dyDescent="0.3">
      <c r="AZ666"/>
      <c r="BA666"/>
      <c r="BB666"/>
      <c r="BC666"/>
      <c r="BD666"/>
      <c r="BE666"/>
      <c r="BF666"/>
      <c r="BI666" s="3"/>
    </row>
    <row r="667" spans="52:98" x14ac:dyDescent="0.3">
      <c r="AZ667"/>
      <c r="BA667"/>
      <c r="BB667"/>
      <c r="BC667"/>
      <c r="BD667"/>
      <c r="BE667"/>
      <c r="BF667"/>
    </row>
    <row r="668" spans="52:98" x14ac:dyDescent="0.3">
      <c r="BI668" s="3"/>
    </row>
    <row r="669" spans="52:98" x14ac:dyDescent="0.3">
      <c r="AZ669"/>
      <c r="BA669"/>
      <c r="BB669"/>
      <c r="BC669"/>
      <c r="BD669"/>
      <c r="BE669"/>
      <c r="BF669"/>
    </row>
    <row r="670" spans="52:98" x14ac:dyDescent="0.3">
      <c r="AZ670"/>
      <c r="BA670"/>
      <c r="BB670"/>
      <c r="BC670"/>
      <c r="BD670"/>
      <c r="BE670"/>
      <c r="BF670"/>
      <c r="BI670" s="3"/>
    </row>
    <row r="671" spans="52:98" x14ac:dyDescent="0.3">
      <c r="AZ671"/>
      <c r="BA671"/>
      <c r="BB671"/>
      <c r="BC671"/>
      <c r="BD671"/>
      <c r="BE671"/>
      <c r="BF671"/>
    </row>
    <row r="672" spans="52:98" x14ac:dyDescent="0.3">
      <c r="AZ672"/>
      <c r="BA672"/>
      <c r="BB672"/>
      <c r="BC672"/>
      <c r="BD672"/>
      <c r="BE672"/>
      <c r="BF672"/>
    </row>
    <row r="673" spans="52:98" x14ac:dyDescent="0.3">
      <c r="AZ673"/>
      <c r="BA673"/>
      <c r="BB673"/>
      <c r="BC673"/>
      <c r="BD673"/>
      <c r="BE673"/>
      <c r="BF673"/>
      <c r="BI673" s="7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row>
    <row r="674" spans="52:98" x14ac:dyDescent="0.3">
      <c r="AZ674"/>
      <c r="BA674"/>
      <c r="BB674"/>
      <c r="BC674"/>
      <c r="BD674"/>
      <c r="BE674"/>
      <c r="BF674"/>
      <c r="BI674" s="72"/>
    </row>
    <row r="675" spans="52:98" x14ac:dyDescent="0.3">
      <c r="AZ675"/>
      <c r="BA675"/>
      <c r="BB675"/>
      <c r="BC675"/>
      <c r="BD675"/>
      <c r="BE675"/>
      <c r="BF675"/>
    </row>
    <row r="676" spans="52:98" x14ac:dyDescent="0.3">
      <c r="AZ676"/>
      <c r="BA676"/>
      <c r="BB676"/>
      <c r="BC676"/>
      <c r="BD676"/>
      <c r="BE676"/>
      <c r="BF676"/>
      <c r="BI676" s="3"/>
    </row>
    <row r="677" spans="52:98" x14ac:dyDescent="0.3">
      <c r="AZ677"/>
      <c r="BA677"/>
      <c r="BB677"/>
      <c r="BC677"/>
      <c r="BD677"/>
      <c r="BE677"/>
      <c r="BF677"/>
    </row>
    <row r="678" spans="52:98" x14ac:dyDescent="0.3">
      <c r="AZ678"/>
      <c r="BA678"/>
      <c r="BB678"/>
      <c r="BC678"/>
      <c r="BD678"/>
      <c r="BE678"/>
      <c r="BF678"/>
      <c r="BI678" s="3"/>
    </row>
    <row r="679" spans="52:98" x14ac:dyDescent="0.3">
      <c r="AZ679"/>
      <c r="BA679"/>
      <c r="BB679"/>
      <c r="BC679"/>
      <c r="BD679"/>
      <c r="BE679"/>
      <c r="BF679"/>
    </row>
    <row r="680" spans="52:98" x14ac:dyDescent="0.3">
      <c r="AZ680"/>
      <c r="BA680"/>
      <c r="BB680"/>
      <c r="BC680"/>
      <c r="BD680"/>
      <c r="BE680"/>
      <c r="BF680"/>
      <c r="BI680" s="3"/>
    </row>
    <row r="681" spans="52:98" x14ac:dyDescent="0.3">
      <c r="AZ681"/>
      <c r="BA681"/>
      <c r="BB681"/>
      <c r="BC681"/>
      <c r="BD681"/>
      <c r="BE681"/>
      <c r="BF681"/>
    </row>
    <row r="682" spans="52:98" x14ac:dyDescent="0.3">
      <c r="AZ682"/>
      <c r="BA682"/>
      <c r="BB682"/>
      <c r="BC682"/>
      <c r="BD682"/>
      <c r="BE682"/>
      <c r="BF682"/>
      <c r="BI682" s="3"/>
    </row>
    <row r="683" spans="52:98" x14ac:dyDescent="0.3">
      <c r="AZ683"/>
      <c r="BA683"/>
      <c r="BB683"/>
      <c r="BC683"/>
      <c r="BD683"/>
      <c r="BE683"/>
      <c r="BF683"/>
    </row>
    <row r="684" spans="52:98" x14ac:dyDescent="0.3">
      <c r="BI684" s="3"/>
    </row>
    <row r="685" spans="52:98" x14ac:dyDescent="0.3">
      <c r="AZ685"/>
      <c r="BA685"/>
      <c r="BB685"/>
      <c r="BC685"/>
      <c r="BD685"/>
      <c r="BE685"/>
      <c r="BF685"/>
    </row>
    <row r="686" spans="52:98" x14ac:dyDescent="0.3">
      <c r="AZ686"/>
      <c r="BA686"/>
      <c r="BB686"/>
      <c r="BC686"/>
      <c r="BD686"/>
      <c r="BE686"/>
      <c r="BF686"/>
      <c r="BI686" s="3"/>
    </row>
    <row r="687" spans="52:98" x14ac:dyDescent="0.3">
      <c r="AZ687"/>
      <c r="BA687"/>
      <c r="BB687"/>
      <c r="BC687"/>
      <c r="BD687"/>
      <c r="BE687"/>
      <c r="BF687"/>
    </row>
    <row r="688" spans="52:98" x14ac:dyDescent="0.3">
      <c r="AZ688"/>
      <c r="BA688"/>
      <c r="BB688"/>
      <c r="BC688"/>
      <c r="BD688"/>
      <c r="BE688"/>
      <c r="BF688"/>
    </row>
    <row r="689" spans="52:98" x14ac:dyDescent="0.3">
      <c r="AZ689"/>
      <c r="BA689"/>
      <c r="BB689"/>
      <c r="BC689"/>
      <c r="BD689"/>
      <c r="BE689"/>
      <c r="BF689"/>
      <c r="BI689" s="7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row>
    <row r="690" spans="52:98" x14ac:dyDescent="0.3">
      <c r="AZ690"/>
      <c r="BA690"/>
      <c r="BB690"/>
      <c r="BC690"/>
      <c r="BD690"/>
      <c r="BE690"/>
      <c r="BF690"/>
      <c r="BI690" s="72"/>
    </row>
    <row r="691" spans="52:98" x14ac:dyDescent="0.3">
      <c r="AZ691"/>
      <c r="BA691"/>
      <c r="BB691"/>
      <c r="BC691"/>
      <c r="BD691"/>
      <c r="BE691"/>
      <c r="BF691"/>
    </row>
    <row r="692" spans="52:98" x14ac:dyDescent="0.3">
      <c r="AZ692"/>
      <c r="BA692"/>
      <c r="BB692"/>
      <c r="BC692"/>
      <c r="BD692"/>
      <c r="BE692"/>
      <c r="BF692"/>
      <c r="BI692" s="3"/>
    </row>
    <row r="693" spans="52:98" x14ac:dyDescent="0.3">
      <c r="AZ693"/>
      <c r="BA693"/>
      <c r="BB693"/>
      <c r="BC693"/>
      <c r="BD693"/>
      <c r="BE693"/>
      <c r="BF693"/>
    </row>
    <row r="694" spans="52:98" x14ac:dyDescent="0.3">
      <c r="AZ694"/>
      <c r="BA694"/>
      <c r="BB694"/>
      <c r="BC694"/>
      <c r="BD694"/>
      <c r="BE694"/>
      <c r="BF694"/>
      <c r="BI694" s="3"/>
    </row>
    <row r="695" spans="52:98" x14ac:dyDescent="0.3">
      <c r="AZ695"/>
      <c r="BA695"/>
      <c r="BB695"/>
      <c r="BC695"/>
      <c r="BD695"/>
      <c r="BE695"/>
      <c r="BF695"/>
    </row>
    <row r="696" spans="52:98" x14ac:dyDescent="0.3">
      <c r="AZ696"/>
      <c r="BA696"/>
      <c r="BB696"/>
      <c r="BC696"/>
      <c r="BD696"/>
      <c r="BE696"/>
      <c r="BF696"/>
      <c r="BI696" s="3"/>
    </row>
    <row r="697" spans="52:98" x14ac:dyDescent="0.3">
      <c r="AZ697"/>
      <c r="BA697"/>
      <c r="BB697"/>
      <c r="BC697"/>
      <c r="BD697"/>
      <c r="BE697"/>
      <c r="BF697"/>
    </row>
    <row r="698" spans="52:98" x14ac:dyDescent="0.3">
      <c r="AZ698"/>
      <c r="BA698"/>
      <c r="BB698"/>
      <c r="BC698"/>
      <c r="BD698"/>
      <c r="BE698"/>
      <c r="BF698"/>
      <c r="BI698" s="3"/>
    </row>
    <row r="699" spans="52:98" x14ac:dyDescent="0.3">
      <c r="AZ699"/>
      <c r="BA699"/>
      <c r="BB699"/>
      <c r="BC699"/>
      <c r="BD699"/>
      <c r="BE699"/>
      <c r="BF699"/>
    </row>
    <row r="700" spans="52:98" x14ac:dyDescent="0.3">
      <c r="BI700" s="3"/>
    </row>
    <row r="701" spans="52:98" x14ac:dyDescent="0.3">
      <c r="AZ701"/>
      <c r="BA701"/>
      <c r="BB701"/>
      <c r="BC701"/>
      <c r="BD701"/>
      <c r="BE701"/>
      <c r="BF701"/>
    </row>
    <row r="702" spans="52:98" x14ac:dyDescent="0.3">
      <c r="AZ702"/>
      <c r="BA702"/>
      <c r="BB702"/>
      <c r="BC702"/>
      <c r="BD702"/>
      <c r="BE702"/>
      <c r="BF702"/>
      <c r="BI702" s="3"/>
    </row>
    <row r="703" spans="52:98" x14ac:dyDescent="0.3">
      <c r="AZ703"/>
      <c r="BA703"/>
      <c r="BB703"/>
      <c r="BC703"/>
      <c r="BD703"/>
      <c r="BE703"/>
      <c r="BF703"/>
    </row>
    <row r="704" spans="52:98" x14ac:dyDescent="0.3">
      <c r="AZ704"/>
      <c r="BA704"/>
      <c r="BB704"/>
      <c r="BC704"/>
      <c r="BD704"/>
      <c r="BE704"/>
      <c r="BF704"/>
    </row>
    <row r="705" spans="52:98" x14ac:dyDescent="0.3">
      <c r="AZ705"/>
      <c r="BA705"/>
      <c r="BB705"/>
      <c r="BC705"/>
      <c r="BD705"/>
      <c r="BE705"/>
      <c r="BF705"/>
      <c r="BI705" s="7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row>
    <row r="706" spans="52:98" x14ac:dyDescent="0.3">
      <c r="AZ706"/>
      <c r="BA706"/>
      <c r="BB706"/>
      <c r="BC706"/>
      <c r="BD706"/>
      <c r="BE706"/>
      <c r="BF706"/>
      <c r="BI706" s="72"/>
    </row>
    <row r="707" spans="52:98" x14ac:dyDescent="0.3">
      <c r="AZ707"/>
      <c r="BA707"/>
      <c r="BB707"/>
      <c r="BC707"/>
      <c r="BD707"/>
      <c r="BE707"/>
      <c r="BF707"/>
    </row>
    <row r="708" spans="52:98" x14ac:dyDescent="0.3">
      <c r="AZ708"/>
      <c r="BA708"/>
      <c r="BB708"/>
      <c r="BC708"/>
      <c r="BD708"/>
      <c r="BE708"/>
      <c r="BF708"/>
      <c r="BI708" s="3"/>
    </row>
    <row r="709" spans="52:98" x14ac:dyDescent="0.3">
      <c r="AZ709"/>
      <c r="BA709"/>
      <c r="BB709"/>
      <c r="BC709"/>
      <c r="BD709"/>
      <c r="BE709"/>
      <c r="BF709"/>
    </row>
    <row r="710" spans="52:98" x14ac:dyDescent="0.3">
      <c r="AZ710"/>
      <c r="BA710"/>
      <c r="BB710"/>
      <c r="BC710"/>
      <c r="BD710"/>
      <c r="BE710"/>
      <c r="BF710"/>
      <c r="BI710" s="3"/>
    </row>
    <row r="711" spans="52:98" x14ac:dyDescent="0.3">
      <c r="AZ711"/>
      <c r="BA711"/>
      <c r="BB711"/>
      <c r="BC711"/>
      <c r="BD711"/>
      <c r="BE711"/>
      <c r="BF711"/>
    </row>
    <row r="712" spans="52:98" x14ac:dyDescent="0.3">
      <c r="AZ712"/>
      <c r="BA712"/>
      <c r="BB712"/>
      <c r="BC712"/>
      <c r="BD712"/>
      <c r="BE712"/>
      <c r="BF712"/>
      <c r="BI712" s="3"/>
    </row>
    <row r="713" spans="52:98" x14ac:dyDescent="0.3">
      <c r="AZ713"/>
      <c r="BA713"/>
      <c r="BB713"/>
      <c r="BC713"/>
      <c r="BD713"/>
      <c r="BE713"/>
      <c r="BF713"/>
    </row>
    <row r="714" spans="52:98" x14ac:dyDescent="0.3">
      <c r="AZ714"/>
      <c r="BA714"/>
      <c r="BB714"/>
      <c r="BC714"/>
      <c r="BD714"/>
      <c r="BE714"/>
      <c r="BF714"/>
      <c r="BI714" s="3"/>
    </row>
    <row r="715" spans="52:98" x14ac:dyDescent="0.3">
      <c r="AZ715"/>
      <c r="BA715"/>
      <c r="BB715"/>
      <c r="BC715"/>
      <c r="BD715"/>
      <c r="BE715"/>
      <c r="BF715"/>
    </row>
    <row r="716" spans="52:98" x14ac:dyDescent="0.3">
      <c r="BI716" s="3"/>
    </row>
    <row r="717" spans="52:98" x14ac:dyDescent="0.3">
      <c r="AZ717"/>
      <c r="BA717"/>
      <c r="BB717"/>
      <c r="BC717"/>
      <c r="BD717"/>
      <c r="BE717"/>
      <c r="BF717"/>
    </row>
    <row r="718" spans="52:98" x14ac:dyDescent="0.3">
      <c r="AZ718"/>
      <c r="BA718"/>
      <c r="BB718"/>
      <c r="BC718"/>
      <c r="BD718"/>
      <c r="BE718"/>
      <c r="BF718"/>
      <c r="BI718" s="3"/>
    </row>
    <row r="719" spans="52:98" x14ac:dyDescent="0.3">
      <c r="AZ719"/>
      <c r="BA719"/>
      <c r="BB719"/>
      <c r="BC719"/>
      <c r="BD719"/>
      <c r="BE719"/>
      <c r="BF719"/>
    </row>
    <row r="720" spans="52:98" x14ac:dyDescent="0.3">
      <c r="AZ720"/>
      <c r="BA720"/>
      <c r="BB720"/>
      <c r="BC720"/>
      <c r="BD720"/>
      <c r="BE720"/>
      <c r="BF720"/>
    </row>
    <row r="721" spans="52:98" x14ac:dyDescent="0.3">
      <c r="AZ721"/>
      <c r="BA721"/>
      <c r="BB721"/>
      <c r="BC721"/>
      <c r="BD721"/>
      <c r="BE721"/>
      <c r="BF721"/>
      <c r="BI721" s="7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row>
    <row r="722" spans="52:98" x14ac:dyDescent="0.3">
      <c r="AZ722"/>
      <c r="BA722"/>
      <c r="BB722"/>
      <c r="BC722"/>
      <c r="BD722"/>
      <c r="BE722"/>
      <c r="BF722"/>
      <c r="BI722" s="72"/>
    </row>
    <row r="723" spans="52:98" x14ac:dyDescent="0.3">
      <c r="AZ723"/>
      <c r="BA723"/>
      <c r="BB723"/>
      <c r="BC723"/>
      <c r="BD723"/>
      <c r="BE723"/>
      <c r="BF723"/>
    </row>
    <row r="724" spans="52:98" x14ac:dyDescent="0.3">
      <c r="AZ724"/>
      <c r="BA724"/>
      <c r="BB724"/>
      <c r="BC724"/>
      <c r="BD724"/>
      <c r="BE724"/>
      <c r="BF724"/>
      <c r="BI724" s="3"/>
    </row>
    <row r="725" spans="52:98" x14ac:dyDescent="0.3">
      <c r="AZ725"/>
      <c r="BA725"/>
      <c r="BB725"/>
      <c r="BC725"/>
      <c r="BD725"/>
      <c r="BE725"/>
      <c r="BF725"/>
    </row>
    <row r="726" spans="52:98" x14ac:dyDescent="0.3">
      <c r="AZ726"/>
      <c r="BA726"/>
      <c r="BB726"/>
      <c r="BC726"/>
      <c r="BD726"/>
      <c r="BE726"/>
      <c r="BF726"/>
      <c r="BI726" s="3"/>
    </row>
    <row r="727" spans="52:98" x14ac:dyDescent="0.3">
      <c r="AZ727"/>
      <c r="BA727"/>
      <c r="BB727"/>
      <c r="BC727"/>
      <c r="BD727"/>
      <c r="BE727"/>
      <c r="BF727"/>
    </row>
    <row r="728" spans="52:98" x14ac:dyDescent="0.3">
      <c r="AZ728"/>
      <c r="BA728"/>
      <c r="BB728"/>
      <c r="BC728"/>
      <c r="BD728"/>
      <c r="BE728"/>
      <c r="BF728"/>
      <c r="BI728" s="3"/>
    </row>
    <row r="729" spans="52:98" x14ac:dyDescent="0.3">
      <c r="AZ729"/>
      <c r="BA729"/>
      <c r="BB729"/>
      <c r="BC729"/>
      <c r="BD729"/>
      <c r="BE729"/>
      <c r="BF729"/>
    </row>
    <row r="730" spans="52:98" x14ac:dyDescent="0.3">
      <c r="AZ730"/>
      <c r="BA730"/>
      <c r="BB730"/>
      <c r="BC730"/>
      <c r="BD730"/>
      <c r="BE730"/>
      <c r="BF730"/>
      <c r="BI730" s="3"/>
    </row>
    <row r="731" spans="52:98" x14ac:dyDescent="0.3">
      <c r="AZ731"/>
      <c r="BA731"/>
      <c r="BB731"/>
      <c r="BC731"/>
      <c r="BD731"/>
      <c r="BE731"/>
      <c r="BF731"/>
    </row>
    <row r="732" spans="52:98" x14ac:dyDescent="0.3">
      <c r="BI732" s="3"/>
    </row>
    <row r="733" spans="52:98" x14ac:dyDescent="0.3">
      <c r="AZ733"/>
      <c r="BA733"/>
      <c r="BB733"/>
      <c r="BC733"/>
      <c r="BD733"/>
      <c r="BE733"/>
      <c r="BF733"/>
    </row>
    <row r="734" spans="52:98" x14ac:dyDescent="0.3">
      <c r="AZ734"/>
      <c r="BA734"/>
      <c r="BB734"/>
      <c r="BC734"/>
      <c r="BD734"/>
      <c r="BE734"/>
      <c r="BF734"/>
      <c r="BI734" s="3"/>
    </row>
    <row r="735" spans="52:98" x14ac:dyDescent="0.3">
      <c r="AZ735"/>
      <c r="BA735"/>
      <c r="BB735"/>
      <c r="BC735"/>
      <c r="BD735"/>
      <c r="BE735"/>
      <c r="BF735"/>
    </row>
    <row r="736" spans="52:98" x14ac:dyDescent="0.3">
      <c r="AZ736"/>
      <c r="BA736"/>
      <c r="BB736"/>
      <c r="BC736"/>
      <c r="BD736"/>
      <c r="BE736"/>
      <c r="BF736"/>
    </row>
    <row r="737" spans="52:98" x14ac:dyDescent="0.3">
      <c r="AZ737"/>
      <c r="BA737"/>
      <c r="BB737"/>
      <c r="BC737"/>
      <c r="BD737"/>
      <c r="BE737"/>
      <c r="BF737"/>
      <c r="BI737" s="7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row>
    <row r="738" spans="52:98" x14ac:dyDescent="0.3">
      <c r="AZ738"/>
      <c r="BA738"/>
      <c r="BB738"/>
      <c r="BC738"/>
      <c r="BD738"/>
      <c r="BE738"/>
      <c r="BF738"/>
      <c r="BI738" s="72"/>
    </row>
    <row r="739" spans="52:98" x14ac:dyDescent="0.3">
      <c r="AZ739"/>
      <c r="BA739"/>
      <c r="BB739"/>
      <c r="BC739"/>
      <c r="BD739"/>
      <c r="BE739"/>
      <c r="BF739"/>
    </row>
    <row r="740" spans="52:98" x14ac:dyDescent="0.3">
      <c r="AZ740"/>
      <c r="BA740"/>
      <c r="BB740"/>
      <c r="BC740"/>
      <c r="BD740"/>
      <c r="BE740"/>
      <c r="BF740"/>
      <c r="BI740" s="3"/>
    </row>
    <row r="741" spans="52:98" x14ac:dyDescent="0.3">
      <c r="AZ741"/>
      <c r="BA741"/>
      <c r="BB741"/>
      <c r="BC741"/>
      <c r="BD741"/>
      <c r="BE741"/>
      <c r="BF741"/>
    </row>
    <row r="742" spans="52:98" x14ac:dyDescent="0.3">
      <c r="AZ742"/>
      <c r="BA742"/>
      <c r="BB742"/>
      <c r="BC742"/>
      <c r="BD742"/>
      <c r="BE742"/>
      <c r="BF742"/>
      <c r="BI742" s="3"/>
    </row>
    <row r="743" spans="52:98" x14ac:dyDescent="0.3">
      <c r="AZ743"/>
      <c r="BA743"/>
      <c r="BB743"/>
      <c r="BC743"/>
      <c r="BD743"/>
      <c r="BE743"/>
      <c r="BF743"/>
    </row>
    <row r="744" spans="52:98" x14ac:dyDescent="0.3">
      <c r="AZ744"/>
      <c r="BA744"/>
      <c r="BB744"/>
      <c r="BC744"/>
      <c r="BD744"/>
      <c r="BE744"/>
      <c r="BF744"/>
      <c r="BI744" s="3"/>
    </row>
    <row r="745" spans="52:98" x14ac:dyDescent="0.3">
      <c r="AZ745"/>
      <c r="BA745"/>
      <c r="BB745"/>
      <c r="BC745"/>
      <c r="BD745"/>
      <c r="BE745"/>
      <c r="BF745"/>
    </row>
    <row r="746" spans="52:98" x14ac:dyDescent="0.3">
      <c r="AZ746"/>
      <c r="BA746"/>
      <c r="BB746"/>
      <c r="BC746"/>
      <c r="BD746"/>
      <c r="BE746"/>
      <c r="BF746"/>
      <c r="BI746" s="3"/>
    </row>
    <row r="747" spans="52:98" x14ac:dyDescent="0.3">
      <c r="AZ747"/>
      <c r="BA747"/>
      <c r="BB747"/>
      <c r="BC747"/>
      <c r="BD747"/>
      <c r="BE747"/>
      <c r="BF747"/>
    </row>
    <row r="748" spans="52:98" x14ac:dyDescent="0.3">
      <c r="BI748" s="3"/>
    </row>
    <row r="749" spans="52:98" x14ac:dyDescent="0.3">
      <c r="AZ749"/>
      <c r="BA749"/>
      <c r="BB749"/>
      <c r="BC749"/>
      <c r="BD749"/>
      <c r="BE749"/>
      <c r="BF749"/>
    </row>
    <row r="750" spans="52:98" x14ac:dyDescent="0.3">
      <c r="AZ750"/>
      <c r="BA750"/>
      <c r="BB750"/>
      <c r="BC750"/>
      <c r="BD750"/>
      <c r="BE750"/>
      <c r="BF750"/>
      <c r="BI750" s="3"/>
    </row>
    <row r="751" spans="52:98" x14ac:dyDescent="0.3">
      <c r="AZ751"/>
      <c r="BA751"/>
      <c r="BB751"/>
      <c r="BC751"/>
      <c r="BD751"/>
      <c r="BE751"/>
      <c r="BF751"/>
    </row>
    <row r="752" spans="52:98" x14ac:dyDescent="0.3">
      <c r="AZ752"/>
      <c r="BA752"/>
      <c r="BB752"/>
      <c r="BC752"/>
      <c r="BD752"/>
      <c r="BE752"/>
      <c r="BF752"/>
    </row>
    <row r="753" spans="52:98" x14ac:dyDescent="0.3">
      <c r="AZ753"/>
      <c r="BA753"/>
      <c r="BB753"/>
      <c r="BC753"/>
      <c r="BD753"/>
      <c r="BE753"/>
      <c r="BF753"/>
      <c r="BI753" s="7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row>
    <row r="754" spans="52:98" x14ac:dyDescent="0.3">
      <c r="AZ754"/>
      <c r="BA754"/>
      <c r="BB754"/>
      <c r="BC754"/>
      <c r="BD754"/>
      <c r="BE754"/>
      <c r="BF754"/>
      <c r="BI754" s="72"/>
    </row>
    <row r="755" spans="52:98" x14ac:dyDescent="0.3">
      <c r="AZ755"/>
      <c r="BA755"/>
      <c r="BB755"/>
      <c r="BC755"/>
      <c r="BD755"/>
      <c r="BE755"/>
      <c r="BF755"/>
    </row>
    <row r="756" spans="52:98" x14ac:dyDescent="0.3">
      <c r="AZ756"/>
      <c r="BA756"/>
      <c r="BB756"/>
      <c r="BC756"/>
      <c r="BD756"/>
      <c r="BE756"/>
      <c r="BF756"/>
      <c r="BI756" s="3"/>
    </row>
    <row r="757" spans="52:98" x14ac:dyDescent="0.3">
      <c r="AZ757"/>
      <c r="BA757"/>
      <c r="BB757"/>
      <c r="BC757"/>
      <c r="BD757"/>
      <c r="BE757"/>
      <c r="BF757"/>
    </row>
    <row r="758" spans="52:98" x14ac:dyDescent="0.3">
      <c r="AZ758"/>
      <c r="BA758"/>
      <c r="BB758"/>
      <c r="BC758"/>
      <c r="BD758"/>
      <c r="BE758"/>
      <c r="BF758"/>
      <c r="BI758" s="3"/>
    </row>
    <row r="759" spans="52:98" x14ac:dyDescent="0.3">
      <c r="AZ759"/>
      <c r="BA759"/>
      <c r="BB759"/>
      <c r="BC759"/>
      <c r="BD759"/>
      <c r="BE759"/>
      <c r="BF759"/>
    </row>
    <row r="760" spans="52:98" x14ac:dyDescent="0.3">
      <c r="AZ760"/>
      <c r="BA760"/>
      <c r="BB760"/>
      <c r="BC760"/>
      <c r="BD760"/>
      <c r="BE760"/>
      <c r="BF760"/>
      <c r="BI760" s="3"/>
    </row>
    <row r="761" spans="52:98" x14ac:dyDescent="0.3">
      <c r="AZ761"/>
      <c r="BA761"/>
      <c r="BB761"/>
      <c r="BC761"/>
      <c r="BD761"/>
      <c r="BE761"/>
      <c r="BF761"/>
    </row>
    <row r="762" spans="52:98" x14ac:dyDescent="0.3">
      <c r="AZ762"/>
      <c r="BA762"/>
      <c r="BB762"/>
      <c r="BC762"/>
      <c r="BD762"/>
      <c r="BE762"/>
      <c r="BF762"/>
      <c r="BI762" s="3"/>
    </row>
    <row r="763" spans="52:98" x14ac:dyDescent="0.3">
      <c r="AZ763"/>
      <c r="BA763"/>
      <c r="BB763"/>
      <c r="BC763"/>
      <c r="BD763"/>
      <c r="BE763"/>
      <c r="BF763"/>
    </row>
    <row r="764" spans="52:98" x14ac:dyDescent="0.3">
      <c r="BI764" s="3"/>
    </row>
    <row r="765" spans="52:98" x14ac:dyDescent="0.3">
      <c r="AZ765"/>
      <c r="BA765"/>
      <c r="BB765"/>
      <c r="BC765"/>
      <c r="BD765"/>
      <c r="BE765"/>
      <c r="BF765"/>
    </row>
    <row r="766" spans="52:98" x14ac:dyDescent="0.3">
      <c r="AZ766"/>
      <c r="BA766"/>
      <c r="BB766"/>
      <c r="BC766"/>
      <c r="BD766"/>
      <c r="BE766"/>
      <c r="BF766"/>
      <c r="BI766" s="3"/>
    </row>
    <row r="767" spans="52:98" x14ac:dyDescent="0.3">
      <c r="AZ767"/>
      <c r="BA767"/>
      <c r="BB767"/>
      <c r="BC767"/>
      <c r="BD767"/>
      <c r="BE767"/>
      <c r="BF767"/>
    </row>
    <row r="768" spans="52:98" x14ac:dyDescent="0.3">
      <c r="AZ768"/>
      <c r="BA768"/>
      <c r="BB768"/>
      <c r="BC768"/>
      <c r="BD768"/>
      <c r="BE768"/>
      <c r="BF768"/>
    </row>
    <row r="769" spans="52:98" x14ac:dyDescent="0.3">
      <c r="AZ769"/>
      <c r="BA769"/>
      <c r="BB769"/>
      <c r="BC769"/>
      <c r="BD769"/>
      <c r="BE769"/>
      <c r="BF769"/>
      <c r="BI769" s="7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row>
    <row r="770" spans="52:98" x14ac:dyDescent="0.3">
      <c r="AZ770"/>
      <c r="BA770"/>
      <c r="BB770"/>
      <c r="BC770"/>
      <c r="BD770"/>
      <c r="BE770"/>
      <c r="BF770"/>
      <c r="BI770" s="72"/>
    </row>
    <row r="771" spans="52:98" x14ac:dyDescent="0.3">
      <c r="AZ771"/>
      <c r="BA771"/>
      <c r="BB771"/>
      <c r="BC771"/>
      <c r="BD771"/>
      <c r="BE771"/>
      <c r="BF771"/>
    </row>
    <row r="772" spans="52:98" x14ac:dyDescent="0.3">
      <c r="AZ772"/>
      <c r="BA772"/>
      <c r="BB772"/>
      <c r="BC772"/>
      <c r="BD772"/>
      <c r="BE772"/>
      <c r="BF772"/>
      <c r="BI772" s="3"/>
    </row>
    <row r="773" spans="52:98" x14ac:dyDescent="0.3">
      <c r="AZ773"/>
      <c r="BA773"/>
      <c r="BB773"/>
      <c r="BC773"/>
      <c r="BD773"/>
      <c r="BE773"/>
      <c r="BF773"/>
    </row>
    <row r="774" spans="52:98" x14ac:dyDescent="0.3">
      <c r="AZ774"/>
      <c r="BA774"/>
      <c r="BB774"/>
      <c r="BC774"/>
      <c r="BD774"/>
      <c r="BE774"/>
      <c r="BF774"/>
      <c r="BI774" s="3"/>
    </row>
    <row r="775" spans="52:98" x14ac:dyDescent="0.3">
      <c r="AZ775"/>
      <c r="BA775"/>
      <c r="BB775"/>
      <c r="BC775"/>
      <c r="BD775"/>
      <c r="BE775"/>
      <c r="BF775"/>
    </row>
    <row r="776" spans="52:98" x14ac:dyDescent="0.3">
      <c r="AZ776"/>
      <c r="BA776"/>
      <c r="BB776"/>
      <c r="BC776"/>
      <c r="BD776"/>
      <c r="BE776"/>
      <c r="BF776"/>
      <c r="BI776" s="3"/>
    </row>
    <row r="777" spans="52:98" x14ac:dyDescent="0.3">
      <c r="AZ777"/>
      <c r="BA777"/>
      <c r="BB777"/>
      <c r="BC777"/>
      <c r="BD777"/>
      <c r="BE777"/>
      <c r="BF777"/>
    </row>
    <row r="778" spans="52:98" x14ac:dyDescent="0.3">
      <c r="AZ778"/>
      <c r="BA778"/>
      <c r="BB778"/>
      <c r="BC778"/>
      <c r="BD778"/>
      <c r="BE778"/>
      <c r="BF778"/>
      <c r="BI778" s="3"/>
    </row>
    <row r="779" spans="52:98" x14ac:dyDescent="0.3">
      <c r="AZ779"/>
      <c r="BA779"/>
      <c r="BB779"/>
      <c r="BC779"/>
      <c r="BD779"/>
      <c r="BE779"/>
      <c r="BF779"/>
    </row>
    <row r="780" spans="52:98" x14ac:dyDescent="0.3">
      <c r="BI780" s="3"/>
    </row>
    <row r="781" spans="52:98" x14ac:dyDescent="0.3">
      <c r="AZ781"/>
      <c r="BA781"/>
      <c r="BB781"/>
      <c r="BC781"/>
      <c r="BD781"/>
      <c r="BE781"/>
      <c r="BF781"/>
    </row>
    <row r="782" spans="52:98" x14ac:dyDescent="0.3">
      <c r="AZ782"/>
      <c r="BA782"/>
      <c r="BB782"/>
      <c r="BC782"/>
      <c r="BD782"/>
      <c r="BE782"/>
      <c r="BF782"/>
      <c r="BI782" s="3"/>
    </row>
    <row r="783" spans="52:98" x14ac:dyDescent="0.3">
      <c r="AZ783"/>
      <c r="BA783"/>
      <c r="BB783"/>
      <c r="BC783"/>
      <c r="BD783"/>
      <c r="BE783"/>
      <c r="BF783"/>
    </row>
    <row r="784" spans="52:98" x14ac:dyDescent="0.3">
      <c r="AZ784"/>
      <c r="BA784"/>
      <c r="BB784"/>
      <c r="BC784"/>
      <c r="BD784"/>
      <c r="BE784"/>
      <c r="BF784"/>
    </row>
    <row r="785" spans="52:98" x14ac:dyDescent="0.3">
      <c r="AZ785"/>
      <c r="BA785"/>
      <c r="BB785"/>
      <c r="BC785"/>
      <c r="BD785"/>
      <c r="BE785"/>
      <c r="BF785"/>
      <c r="BI785" s="7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row>
    <row r="786" spans="52:98" x14ac:dyDescent="0.3">
      <c r="AZ786"/>
      <c r="BA786"/>
      <c r="BB786"/>
      <c r="BC786"/>
      <c r="BD786"/>
      <c r="BE786"/>
      <c r="BF786"/>
      <c r="BI786" s="72"/>
    </row>
    <row r="787" spans="52:98" x14ac:dyDescent="0.3">
      <c r="AZ787"/>
      <c r="BA787"/>
      <c r="BB787"/>
      <c r="BC787"/>
      <c r="BD787"/>
      <c r="BE787"/>
      <c r="BF787"/>
    </row>
    <row r="788" spans="52:98" x14ac:dyDescent="0.3">
      <c r="AZ788"/>
      <c r="BA788"/>
      <c r="BB788"/>
      <c r="BC788"/>
      <c r="BD788"/>
      <c r="BE788"/>
      <c r="BF788"/>
      <c r="BI788" s="3"/>
    </row>
    <row r="789" spans="52:98" x14ac:dyDescent="0.3">
      <c r="AZ789"/>
      <c r="BA789"/>
      <c r="BB789"/>
      <c r="BC789"/>
      <c r="BD789"/>
      <c r="BE789"/>
      <c r="BF789"/>
    </row>
    <row r="790" spans="52:98" x14ac:dyDescent="0.3">
      <c r="AZ790"/>
      <c r="BA790"/>
      <c r="BB790"/>
      <c r="BC790"/>
      <c r="BD790"/>
      <c r="BE790"/>
      <c r="BF790"/>
      <c r="BI790" s="3"/>
    </row>
    <row r="791" spans="52:98" x14ac:dyDescent="0.3">
      <c r="AZ791"/>
      <c r="BA791"/>
      <c r="BB791"/>
      <c r="BC791"/>
      <c r="BD791"/>
      <c r="BE791"/>
      <c r="BF791"/>
    </row>
    <row r="792" spans="52:98" x14ac:dyDescent="0.3">
      <c r="AZ792"/>
      <c r="BA792"/>
      <c r="BB792"/>
      <c r="BC792"/>
      <c r="BD792"/>
      <c r="BE792"/>
      <c r="BF792"/>
      <c r="BI792" s="3"/>
    </row>
    <row r="793" spans="52:98" x14ac:dyDescent="0.3">
      <c r="AZ793"/>
      <c r="BA793"/>
      <c r="BB793"/>
      <c r="BC793"/>
      <c r="BD793"/>
      <c r="BE793"/>
      <c r="BF793"/>
    </row>
    <row r="794" spans="52:98" x14ac:dyDescent="0.3">
      <c r="AZ794"/>
      <c r="BA794"/>
      <c r="BB794"/>
      <c r="BC794"/>
      <c r="BD794"/>
      <c r="BE794"/>
      <c r="BF794"/>
      <c r="BI794" s="3"/>
    </row>
    <row r="795" spans="52:98" x14ac:dyDescent="0.3">
      <c r="AZ795"/>
      <c r="BA795"/>
      <c r="BB795"/>
      <c r="BC795"/>
      <c r="BD795"/>
      <c r="BE795"/>
      <c r="BF795"/>
    </row>
    <row r="796" spans="52:98" x14ac:dyDescent="0.3">
      <c r="BI796" s="3"/>
    </row>
    <row r="797" spans="52:98" x14ac:dyDescent="0.3">
      <c r="AZ797"/>
      <c r="BA797"/>
      <c r="BB797"/>
      <c r="BC797"/>
      <c r="BD797"/>
      <c r="BE797"/>
      <c r="BF797"/>
    </row>
    <row r="798" spans="52:98" x14ac:dyDescent="0.3">
      <c r="AZ798"/>
      <c r="BA798"/>
      <c r="BB798"/>
      <c r="BC798"/>
      <c r="BD798"/>
      <c r="BE798"/>
      <c r="BF798"/>
      <c r="BI798" s="3"/>
    </row>
    <row r="799" spans="52:98" x14ac:dyDescent="0.3">
      <c r="AZ799"/>
      <c r="BA799"/>
      <c r="BB799"/>
      <c r="BC799"/>
      <c r="BD799"/>
      <c r="BE799"/>
      <c r="BF799"/>
      <c r="BI799" s="51"/>
    </row>
    <row r="800" spans="52:98" x14ac:dyDescent="0.3">
      <c r="AZ800"/>
      <c r="BA800"/>
      <c r="BB800"/>
      <c r="BC800"/>
      <c r="BD800"/>
      <c r="BE800"/>
      <c r="BF800"/>
      <c r="BI800" s="3"/>
    </row>
    <row r="801" spans="52:98" x14ac:dyDescent="0.3">
      <c r="AZ801"/>
      <c r="BA801"/>
      <c r="BB801"/>
      <c r="BC801"/>
      <c r="BD801"/>
      <c r="BE801"/>
      <c r="BF801"/>
      <c r="BI801" s="7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row>
    <row r="802" spans="52:98" x14ac:dyDescent="0.3">
      <c r="AZ802"/>
      <c r="BA802"/>
      <c r="BB802"/>
      <c r="BC802"/>
      <c r="BD802"/>
      <c r="BE802"/>
      <c r="BF802"/>
      <c r="BI802" s="72"/>
    </row>
    <row r="803" spans="52:98" x14ac:dyDescent="0.3">
      <c r="AZ803"/>
      <c r="BA803"/>
      <c r="BB803"/>
      <c r="BC803"/>
      <c r="BD803"/>
      <c r="BE803"/>
      <c r="BF803"/>
    </row>
    <row r="804" spans="52:98" x14ac:dyDescent="0.3">
      <c r="AZ804"/>
      <c r="BA804"/>
      <c r="BB804"/>
      <c r="BC804"/>
      <c r="BD804"/>
      <c r="BE804"/>
      <c r="BF804"/>
      <c r="BI804" s="3"/>
    </row>
    <row r="805" spans="52:98" x14ac:dyDescent="0.3">
      <c r="AZ805"/>
      <c r="BA805"/>
      <c r="BB805"/>
      <c r="BC805"/>
      <c r="BD805"/>
      <c r="BE805"/>
      <c r="BF805"/>
    </row>
    <row r="806" spans="52:98" x14ac:dyDescent="0.3">
      <c r="AZ806"/>
      <c r="BA806"/>
      <c r="BB806"/>
      <c r="BC806"/>
      <c r="BD806"/>
      <c r="BE806"/>
      <c r="BF806"/>
      <c r="BI806" s="3"/>
    </row>
    <row r="807" spans="52:98" x14ac:dyDescent="0.3">
      <c r="AZ807"/>
      <c r="BA807"/>
      <c r="BB807"/>
      <c r="BC807"/>
      <c r="BD807"/>
      <c r="BE807"/>
      <c r="BF807"/>
    </row>
    <row r="808" spans="52:98" x14ac:dyDescent="0.3">
      <c r="AZ808"/>
      <c r="BA808"/>
      <c r="BB808"/>
      <c r="BC808"/>
      <c r="BD808"/>
      <c r="BE808"/>
      <c r="BF808"/>
      <c r="BI808" s="3"/>
    </row>
    <row r="809" spans="52:98" x14ac:dyDescent="0.3">
      <c r="AZ809"/>
      <c r="BA809"/>
      <c r="BB809"/>
      <c r="BC809"/>
      <c r="BD809"/>
      <c r="BE809"/>
      <c r="BF809"/>
    </row>
    <row r="810" spans="52:98" x14ac:dyDescent="0.3">
      <c r="AZ810"/>
      <c r="BA810"/>
      <c r="BB810"/>
      <c r="BC810"/>
      <c r="BD810"/>
      <c r="BE810"/>
      <c r="BF810"/>
      <c r="BI810" s="3"/>
    </row>
    <row r="811" spans="52:98" x14ac:dyDescent="0.3">
      <c r="AZ811"/>
      <c r="BA811"/>
      <c r="BB811"/>
      <c r="BC811"/>
      <c r="BD811"/>
      <c r="BE811"/>
      <c r="BF811"/>
    </row>
    <row r="812" spans="52:98" x14ac:dyDescent="0.3">
      <c r="AZ812"/>
      <c r="BA812"/>
      <c r="BB812"/>
      <c r="BC812"/>
      <c r="BD812"/>
      <c r="BE812"/>
      <c r="BF812"/>
      <c r="BI812" s="3"/>
    </row>
    <row r="813" spans="52:98" x14ac:dyDescent="0.3">
      <c r="AZ813"/>
      <c r="BA813"/>
      <c r="BB813"/>
      <c r="BC813"/>
      <c r="BD813"/>
      <c r="BE813"/>
      <c r="BF813"/>
    </row>
    <row r="814" spans="52:98" x14ac:dyDescent="0.3">
      <c r="AZ814"/>
      <c r="BA814"/>
      <c r="BB814"/>
      <c r="BC814"/>
      <c r="BD814"/>
      <c r="BE814"/>
      <c r="BF814"/>
      <c r="BI814" s="3"/>
    </row>
    <row r="815" spans="52:98" x14ac:dyDescent="0.3">
      <c r="AZ815"/>
      <c r="BA815"/>
      <c r="BB815"/>
      <c r="BC815"/>
      <c r="BD815"/>
      <c r="BE815"/>
      <c r="BF815"/>
      <c r="BI815" s="51"/>
    </row>
    <row r="816" spans="52:98" x14ac:dyDescent="0.3">
      <c r="AZ816"/>
      <c r="BA816"/>
      <c r="BB816"/>
      <c r="BC816"/>
      <c r="BD816"/>
      <c r="BE816"/>
      <c r="BF816"/>
    </row>
    <row r="817" spans="52:98" x14ac:dyDescent="0.3">
      <c r="AZ817"/>
      <c r="BA817"/>
      <c r="BB817"/>
      <c r="BC817"/>
      <c r="BD817"/>
      <c r="BE817"/>
      <c r="BF817"/>
      <c r="BI817" s="7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row>
    <row r="818" spans="52:98" x14ac:dyDescent="0.3">
      <c r="AZ818"/>
      <c r="BA818"/>
      <c r="BB818"/>
      <c r="BC818"/>
      <c r="BD818"/>
      <c r="BE818"/>
      <c r="BF818"/>
      <c r="BI818" s="72"/>
    </row>
    <row r="819" spans="52:98" x14ac:dyDescent="0.3">
      <c r="AZ819"/>
      <c r="BA819"/>
      <c r="BB819"/>
      <c r="BC819"/>
      <c r="BD819"/>
      <c r="BE819"/>
      <c r="BF819"/>
    </row>
    <row r="820" spans="52:98" x14ac:dyDescent="0.3">
      <c r="AZ820"/>
      <c r="BA820"/>
      <c r="BB820"/>
      <c r="BC820"/>
      <c r="BD820"/>
      <c r="BE820"/>
      <c r="BF820"/>
      <c r="BI820" s="3"/>
    </row>
    <row r="821" spans="52:98" x14ac:dyDescent="0.3">
      <c r="AZ821"/>
      <c r="BA821"/>
      <c r="BB821"/>
      <c r="BC821"/>
      <c r="BD821"/>
      <c r="BE821"/>
      <c r="BF821"/>
    </row>
    <row r="822" spans="52:98" x14ac:dyDescent="0.3">
      <c r="AZ822"/>
      <c r="BA822"/>
      <c r="BB822"/>
      <c r="BC822"/>
      <c r="BD822"/>
      <c r="BE822"/>
      <c r="BF822"/>
      <c r="BI822" s="3"/>
    </row>
    <row r="823" spans="52:98" x14ac:dyDescent="0.3">
      <c r="AZ823"/>
      <c r="BA823"/>
      <c r="BB823"/>
      <c r="BC823"/>
      <c r="BD823"/>
      <c r="BE823"/>
      <c r="BF823"/>
    </row>
    <row r="824" spans="52:98" x14ac:dyDescent="0.3">
      <c r="AZ824"/>
      <c r="BA824"/>
      <c r="BB824"/>
      <c r="BC824"/>
      <c r="BD824"/>
      <c r="BE824"/>
      <c r="BF824"/>
      <c r="BI824" s="3"/>
    </row>
    <row r="825" spans="52:98" x14ac:dyDescent="0.3">
      <c r="AZ825"/>
      <c r="BA825"/>
      <c r="BB825"/>
      <c r="BC825"/>
      <c r="BD825"/>
      <c r="BE825"/>
      <c r="BF825"/>
    </row>
    <row r="826" spans="52:98" x14ac:dyDescent="0.3">
      <c r="AZ826"/>
      <c r="BA826"/>
      <c r="BB826"/>
      <c r="BC826"/>
      <c r="BD826"/>
      <c r="BE826"/>
      <c r="BF826"/>
      <c r="BI826" s="3"/>
    </row>
    <row r="827" spans="52:98" x14ac:dyDescent="0.3">
      <c r="AZ827"/>
      <c r="BA827"/>
      <c r="BB827"/>
      <c r="BC827"/>
      <c r="BD827"/>
      <c r="BE827"/>
      <c r="BF827"/>
    </row>
    <row r="828" spans="52:98" x14ac:dyDescent="0.3">
      <c r="BI828" s="3"/>
    </row>
    <row r="829" spans="52:98" x14ac:dyDescent="0.3">
      <c r="AZ829"/>
      <c r="BA829"/>
      <c r="BB829"/>
      <c r="BC829"/>
      <c r="BD829"/>
      <c r="BE829"/>
      <c r="BF829"/>
    </row>
    <row r="830" spans="52:98" x14ac:dyDescent="0.3">
      <c r="AZ830"/>
      <c r="BA830"/>
      <c r="BB830"/>
      <c r="BC830"/>
      <c r="BD830"/>
      <c r="BE830"/>
      <c r="BF830"/>
      <c r="BI830" s="3"/>
    </row>
    <row r="831" spans="52:98" x14ac:dyDescent="0.3">
      <c r="AZ831"/>
      <c r="BA831"/>
      <c r="BB831"/>
      <c r="BC831"/>
      <c r="BD831"/>
      <c r="BE831"/>
      <c r="BF831"/>
    </row>
    <row r="832" spans="52:98" x14ac:dyDescent="0.3">
      <c r="AZ832"/>
      <c r="BA832"/>
      <c r="BB832"/>
      <c r="BC832"/>
      <c r="BD832"/>
      <c r="BE832"/>
      <c r="BF832"/>
    </row>
    <row r="833" spans="52:98" x14ac:dyDescent="0.3">
      <c r="AZ833"/>
      <c r="BA833"/>
      <c r="BB833"/>
      <c r="BC833"/>
      <c r="BD833"/>
      <c r="BE833"/>
      <c r="BF833"/>
      <c r="BI833" s="7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row>
    <row r="834" spans="52:98" x14ac:dyDescent="0.3">
      <c r="AZ834"/>
      <c r="BA834"/>
      <c r="BB834"/>
      <c r="BC834"/>
      <c r="BD834"/>
      <c r="BE834"/>
      <c r="BF834"/>
      <c r="BI834" s="72"/>
    </row>
    <row r="835" spans="52:98" x14ac:dyDescent="0.3">
      <c r="AZ835"/>
      <c r="BA835"/>
      <c r="BB835"/>
      <c r="BC835"/>
      <c r="BD835"/>
      <c r="BE835"/>
      <c r="BF835"/>
    </row>
    <row r="836" spans="52:98" x14ac:dyDescent="0.3">
      <c r="AZ836"/>
      <c r="BA836"/>
      <c r="BB836"/>
      <c r="BC836"/>
      <c r="BD836"/>
      <c r="BE836"/>
      <c r="BF836"/>
      <c r="BI836" s="3"/>
    </row>
    <row r="837" spans="52:98" x14ac:dyDescent="0.3">
      <c r="AZ837"/>
      <c r="BA837"/>
      <c r="BB837"/>
      <c r="BC837"/>
      <c r="BD837"/>
      <c r="BE837"/>
      <c r="BF837"/>
    </row>
    <row r="838" spans="52:98" x14ac:dyDescent="0.3">
      <c r="AZ838"/>
      <c r="BA838"/>
      <c r="BB838"/>
      <c r="BC838"/>
      <c r="BD838"/>
      <c r="BE838"/>
      <c r="BF838"/>
      <c r="BI838" s="3"/>
    </row>
    <row r="839" spans="52:98" x14ac:dyDescent="0.3">
      <c r="AZ839"/>
      <c r="BA839"/>
      <c r="BB839"/>
      <c r="BC839"/>
      <c r="BD839"/>
      <c r="BE839"/>
      <c r="BF839"/>
    </row>
    <row r="840" spans="52:98" x14ac:dyDescent="0.3">
      <c r="AZ840"/>
      <c r="BA840"/>
      <c r="BB840"/>
      <c r="BC840"/>
      <c r="BD840"/>
      <c r="BE840"/>
      <c r="BF840"/>
      <c r="BI840" s="3"/>
    </row>
    <row r="841" spans="52:98" x14ac:dyDescent="0.3">
      <c r="AZ841"/>
      <c r="BA841"/>
      <c r="BB841"/>
      <c r="BC841"/>
      <c r="BD841"/>
      <c r="BE841"/>
      <c r="BF841"/>
    </row>
    <row r="842" spans="52:98" x14ac:dyDescent="0.3">
      <c r="AZ842"/>
      <c r="BA842"/>
      <c r="BB842"/>
      <c r="BC842"/>
      <c r="BD842"/>
      <c r="BE842"/>
      <c r="BF842"/>
      <c r="BI842" s="3"/>
    </row>
    <row r="843" spans="52:98" x14ac:dyDescent="0.3">
      <c r="AZ843"/>
      <c r="BA843"/>
      <c r="BB843"/>
      <c r="BC843"/>
      <c r="BD843"/>
      <c r="BE843"/>
      <c r="BF843"/>
    </row>
    <row r="844" spans="52:98" x14ac:dyDescent="0.3">
      <c r="BI844" s="3"/>
    </row>
    <row r="845" spans="52:98" x14ac:dyDescent="0.3">
      <c r="AZ845"/>
      <c r="BA845"/>
      <c r="BB845"/>
      <c r="BC845"/>
      <c r="BD845"/>
      <c r="BE845"/>
      <c r="BF845"/>
    </row>
    <row r="846" spans="52:98" x14ac:dyDescent="0.3">
      <c r="AZ846"/>
      <c r="BA846"/>
      <c r="BB846"/>
      <c r="BC846"/>
      <c r="BD846"/>
      <c r="BE846"/>
      <c r="BF846"/>
      <c r="BI846" s="3"/>
    </row>
    <row r="847" spans="52:98" x14ac:dyDescent="0.3">
      <c r="AZ847"/>
      <c r="BA847"/>
      <c r="BB847"/>
      <c r="BC847"/>
      <c r="BD847"/>
      <c r="BE847"/>
      <c r="BF847"/>
    </row>
    <row r="848" spans="52:98" x14ac:dyDescent="0.3">
      <c r="AZ848"/>
      <c r="BA848"/>
      <c r="BB848"/>
      <c r="BC848"/>
      <c r="BD848"/>
      <c r="BE848"/>
      <c r="BF848"/>
    </row>
    <row r="849" spans="52:98" x14ac:dyDescent="0.3">
      <c r="AZ849"/>
      <c r="BA849"/>
      <c r="BB849"/>
      <c r="BC849"/>
      <c r="BD849"/>
      <c r="BE849"/>
      <c r="BF849"/>
      <c r="BI849" s="7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row>
    <row r="850" spans="52:98" x14ac:dyDescent="0.3">
      <c r="AZ850"/>
      <c r="BA850"/>
      <c r="BB850"/>
      <c r="BC850"/>
      <c r="BD850"/>
      <c r="BE850"/>
      <c r="BF850"/>
      <c r="BI850" s="72"/>
    </row>
    <row r="851" spans="52:98" x14ac:dyDescent="0.3">
      <c r="AZ851"/>
      <c r="BA851"/>
      <c r="BB851"/>
      <c r="BC851"/>
      <c r="BD851"/>
      <c r="BE851"/>
      <c r="BF851"/>
    </row>
    <row r="852" spans="52:98" x14ac:dyDescent="0.3">
      <c r="AZ852"/>
      <c r="BA852"/>
      <c r="BB852"/>
      <c r="BC852"/>
      <c r="BD852"/>
      <c r="BE852"/>
      <c r="BF852"/>
      <c r="BI852" s="3"/>
    </row>
    <row r="853" spans="52:98" x14ac:dyDescent="0.3">
      <c r="AZ853"/>
      <c r="BA853"/>
      <c r="BB853"/>
      <c r="BC853"/>
      <c r="BD853"/>
      <c r="BE853"/>
      <c r="BF853"/>
    </row>
    <row r="854" spans="52:98" x14ac:dyDescent="0.3">
      <c r="AZ854"/>
      <c r="BA854"/>
      <c r="BB854"/>
      <c r="BC854"/>
      <c r="BD854"/>
      <c r="BE854"/>
      <c r="BF854"/>
      <c r="BI854" s="3"/>
    </row>
    <row r="855" spans="52:98" x14ac:dyDescent="0.3">
      <c r="AZ855"/>
      <c r="BA855"/>
      <c r="BB855"/>
      <c r="BC855"/>
      <c r="BD855"/>
      <c r="BE855"/>
      <c r="BF855"/>
    </row>
    <row r="856" spans="52:98" x14ac:dyDescent="0.3">
      <c r="AZ856"/>
      <c r="BA856"/>
      <c r="BB856"/>
      <c r="BC856"/>
      <c r="BD856"/>
      <c r="BE856"/>
      <c r="BF856"/>
      <c r="BI856" s="3"/>
    </row>
    <row r="857" spans="52:98" x14ac:dyDescent="0.3">
      <c r="AZ857"/>
      <c r="BA857"/>
      <c r="BB857"/>
      <c r="BC857"/>
      <c r="BD857"/>
      <c r="BE857"/>
      <c r="BF857"/>
    </row>
    <row r="858" spans="52:98" x14ac:dyDescent="0.3">
      <c r="AZ858"/>
      <c r="BA858"/>
      <c r="BB858"/>
      <c r="BC858"/>
      <c r="BD858"/>
      <c r="BE858"/>
      <c r="BF858"/>
      <c r="BI858" s="3"/>
    </row>
    <row r="859" spans="52:98" x14ac:dyDescent="0.3">
      <c r="AZ859"/>
      <c r="BA859"/>
      <c r="BB859"/>
      <c r="BC859"/>
      <c r="BD859"/>
      <c r="BE859"/>
      <c r="BF859"/>
    </row>
    <row r="860" spans="52:98" x14ac:dyDescent="0.3">
      <c r="BI860" s="3"/>
    </row>
    <row r="861" spans="52:98" x14ac:dyDescent="0.3">
      <c r="AZ861"/>
      <c r="BA861"/>
      <c r="BB861"/>
      <c r="BC861"/>
      <c r="BD861"/>
      <c r="BE861"/>
      <c r="BF861"/>
    </row>
    <row r="862" spans="52:98" x14ac:dyDescent="0.3">
      <c r="AZ862"/>
      <c r="BA862"/>
      <c r="BB862"/>
      <c r="BC862"/>
      <c r="BD862"/>
      <c r="BE862"/>
      <c r="BF862"/>
      <c r="BI862" s="3"/>
    </row>
    <row r="863" spans="52:98" x14ac:dyDescent="0.3">
      <c r="AZ863"/>
      <c r="BA863"/>
      <c r="BB863"/>
      <c r="BC863"/>
      <c r="BD863"/>
      <c r="BE863"/>
      <c r="BF863"/>
    </row>
    <row r="864" spans="52:98" x14ac:dyDescent="0.3">
      <c r="AZ864"/>
      <c r="BA864"/>
      <c r="BB864"/>
      <c r="BC864"/>
      <c r="BD864"/>
      <c r="BE864"/>
      <c r="BF864"/>
    </row>
    <row r="865" spans="52:98" x14ac:dyDescent="0.3">
      <c r="AZ865"/>
      <c r="BA865"/>
      <c r="BB865"/>
      <c r="BC865"/>
      <c r="BD865"/>
      <c r="BE865"/>
      <c r="BF865"/>
      <c r="BI865" s="7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row>
    <row r="866" spans="52:98" x14ac:dyDescent="0.3">
      <c r="AZ866"/>
      <c r="BA866"/>
      <c r="BB866"/>
      <c r="BC866"/>
      <c r="BD866"/>
      <c r="BE866"/>
      <c r="BF866"/>
      <c r="BI866" s="72"/>
    </row>
    <row r="867" spans="52:98" x14ac:dyDescent="0.3">
      <c r="AZ867"/>
      <c r="BA867"/>
      <c r="BB867"/>
      <c r="BC867"/>
      <c r="BD867"/>
      <c r="BE867"/>
      <c r="BF867"/>
    </row>
    <row r="868" spans="52:98" x14ac:dyDescent="0.3">
      <c r="AZ868"/>
      <c r="BA868"/>
      <c r="BB868"/>
      <c r="BC868"/>
      <c r="BD868"/>
      <c r="BE868"/>
      <c r="BF868"/>
      <c r="BI868" s="3"/>
    </row>
    <row r="869" spans="52:98" x14ac:dyDescent="0.3">
      <c r="AZ869"/>
      <c r="BA869"/>
      <c r="BB869"/>
      <c r="BC869"/>
      <c r="BD869"/>
      <c r="BE869"/>
      <c r="BF869"/>
    </row>
    <row r="870" spans="52:98" x14ac:dyDescent="0.3">
      <c r="AZ870"/>
      <c r="BA870"/>
      <c r="BB870"/>
      <c r="BC870"/>
      <c r="BD870"/>
      <c r="BE870"/>
      <c r="BF870"/>
      <c r="BI870" s="3"/>
    </row>
    <row r="871" spans="52:98" x14ac:dyDescent="0.3">
      <c r="AZ871"/>
      <c r="BA871"/>
      <c r="BB871"/>
      <c r="BC871"/>
      <c r="BD871"/>
      <c r="BE871"/>
      <c r="BF871"/>
    </row>
    <row r="872" spans="52:98" x14ac:dyDescent="0.3">
      <c r="AZ872"/>
      <c r="BA872"/>
      <c r="BB872"/>
      <c r="BC872"/>
      <c r="BD872"/>
      <c r="BE872"/>
      <c r="BF872"/>
      <c r="BI872" s="3"/>
    </row>
    <row r="873" spans="52:98" x14ac:dyDescent="0.3">
      <c r="AZ873"/>
      <c r="BA873"/>
      <c r="BB873"/>
      <c r="BC873"/>
      <c r="BD873"/>
      <c r="BE873"/>
      <c r="BF873"/>
    </row>
    <row r="874" spans="52:98" x14ac:dyDescent="0.3">
      <c r="AZ874"/>
      <c r="BA874"/>
      <c r="BB874"/>
      <c r="BC874"/>
      <c r="BD874"/>
      <c r="BE874"/>
      <c r="BF874"/>
      <c r="BI874" s="3"/>
    </row>
    <row r="875" spans="52:98" x14ac:dyDescent="0.3">
      <c r="AZ875"/>
      <c r="BA875"/>
      <c r="BB875"/>
      <c r="BC875"/>
      <c r="BD875"/>
      <c r="BE875"/>
      <c r="BF875"/>
    </row>
    <row r="876" spans="52:98" x14ac:dyDescent="0.3">
      <c r="BI876" s="3"/>
    </row>
    <row r="877" spans="52:98" x14ac:dyDescent="0.3">
      <c r="AZ877"/>
      <c r="BA877"/>
      <c r="BB877"/>
      <c r="BC877"/>
      <c r="BD877"/>
      <c r="BE877"/>
      <c r="BF877"/>
    </row>
    <row r="878" spans="52:98" x14ac:dyDescent="0.3">
      <c r="AZ878"/>
      <c r="BA878"/>
      <c r="BB878"/>
      <c r="BC878"/>
      <c r="BD878"/>
      <c r="BE878"/>
      <c r="BF878"/>
      <c r="BI878" s="3"/>
    </row>
    <row r="879" spans="52:98" x14ac:dyDescent="0.3">
      <c r="AZ879"/>
      <c r="BA879"/>
      <c r="BB879"/>
      <c r="BC879"/>
      <c r="BD879"/>
      <c r="BE879"/>
      <c r="BF879"/>
    </row>
    <row r="880" spans="52:98" x14ac:dyDescent="0.3">
      <c r="AZ880"/>
      <c r="BA880"/>
      <c r="BB880"/>
      <c r="BC880"/>
      <c r="BD880"/>
      <c r="BE880"/>
      <c r="BF880"/>
    </row>
    <row r="881" spans="52:98" x14ac:dyDescent="0.3">
      <c r="AZ881"/>
      <c r="BA881"/>
      <c r="BB881"/>
      <c r="BC881"/>
      <c r="BD881"/>
      <c r="BE881"/>
      <c r="BF881"/>
      <c r="BI881" s="7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row>
    <row r="882" spans="52:98" x14ac:dyDescent="0.3">
      <c r="AZ882"/>
      <c r="BA882"/>
      <c r="BB882"/>
      <c r="BC882"/>
      <c r="BD882"/>
      <c r="BE882"/>
      <c r="BF882"/>
      <c r="BI882" s="72"/>
    </row>
    <row r="883" spans="52:98" x14ac:dyDescent="0.3">
      <c r="AZ883"/>
      <c r="BA883"/>
      <c r="BB883"/>
      <c r="BC883"/>
      <c r="BD883"/>
      <c r="BE883"/>
      <c r="BF883"/>
    </row>
    <row r="884" spans="52:98" x14ac:dyDescent="0.3">
      <c r="AZ884"/>
      <c r="BA884"/>
      <c r="BB884"/>
      <c r="BC884"/>
      <c r="BD884"/>
      <c r="BE884"/>
      <c r="BF884"/>
      <c r="BI884" s="3"/>
    </row>
    <row r="885" spans="52:98" x14ac:dyDescent="0.3">
      <c r="AZ885"/>
      <c r="BA885"/>
      <c r="BB885"/>
      <c r="BC885"/>
      <c r="BD885"/>
      <c r="BE885"/>
      <c r="BF885"/>
    </row>
    <row r="886" spans="52:98" x14ac:dyDescent="0.3">
      <c r="AZ886"/>
      <c r="BA886"/>
      <c r="BB886"/>
      <c r="BC886"/>
      <c r="BD886"/>
      <c r="BE886"/>
      <c r="BF886"/>
      <c r="BI886" s="3"/>
    </row>
    <row r="887" spans="52:98" x14ac:dyDescent="0.3">
      <c r="AZ887"/>
      <c r="BA887"/>
      <c r="BB887"/>
      <c r="BC887"/>
      <c r="BD887"/>
      <c r="BE887"/>
      <c r="BF887"/>
    </row>
    <row r="888" spans="52:98" x14ac:dyDescent="0.3">
      <c r="AZ888"/>
      <c r="BA888"/>
      <c r="BB888"/>
      <c r="BC888"/>
      <c r="BD888"/>
      <c r="BE888"/>
      <c r="BF888"/>
      <c r="BI888" s="3"/>
    </row>
    <row r="889" spans="52:98" x14ac:dyDescent="0.3">
      <c r="AZ889"/>
      <c r="BA889"/>
      <c r="BB889"/>
      <c r="BC889"/>
      <c r="BD889"/>
      <c r="BE889"/>
      <c r="BF889"/>
    </row>
    <row r="890" spans="52:98" x14ac:dyDescent="0.3">
      <c r="AZ890"/>
      <c r="BA890"/>
      <c r="BB890"/>
      <c r="BC890"/>
      <c r="BD890"/>
      <c r="BE890"/>
      <c r="BF890"/>
      <c r="BI890" s="3"/>
    </row>
    <row r="891" spans="52:98" x14ac:dyDescent="0.3">
      <c r="AZ891"/>
      <c r="BA891"/>
      <c r="BB891"/>
      <c r="BC891"/>
      <c r="BD891"/>
      <c r="BE891"/>
      <c r="BF891"/>
    </row>
    <row r="892" spans="52:98" x14ac:dyDescent="0.3">
      <c r="BI892" s="3"/>
    </row>
    <row r="893" spans="52:98" x14ac:dyDescent="0.3">
      <c r="AZ893"/>
      <c r="BA893"/>
      <c r="BB893"/>
      <c r="BC893"/>
      <c r="BD893"/>
      <c r="BE893"/>
      <c r="BF893"/>
    </row>
    <row r="894" spans="52:98" x14ac:dyDescent="0.3">
      <c r="AZ894"/>
      <c r="BA894"/>
      <c r="BB894"/>
      <c r="BC894"/>
      <c r="BD894"/>
      <c r="BE894"/>
      <c r="BF894"/>
      <c r="BI894" s="3"/>
    </row>
    <row r="895" spans="52:98" x14ac:dyDescent="0.3">
      <c r="AZ895"/>
      <c r="BA895"/>
      <c r="BB895"/>
      <c r="BC895"/>
      <c r="BD895"/>
      <c r="BE895"/>
      <c r="BF895"/>
    </row>
    <row r="896" spans="52:98" x14ac:dyDescent="0.3">
      <c r="AZ896"/>
      <c r="BA896"/>
      <c r="BB896"/>
      <c r="BC896"/>
      <c r="BD896"/>
      <c r="BE896"/>
      <c r="BF896"/>
    </row>
    <row r="897" spans="52:98" x14ac:dyDescent="0.3">
      <c r="AZ897"/>
      <c r="BA897"/>
      <c r="BB897"/>
      <c r="BC897"/>
      <c r="BD897"/>
      <c r="BE897"/>
      <c r="BF897"/>
      <c r="BI897" s="7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row>
    <row r="898" spans="52:98" x14ac:dyDescent="0.3">
      <c r="AZ898"/>
      <c r="BA898"/>
      <c r="BB898"/>
      <c r="BC898"/>
      <c r="BD898"/>
      <c r="BE898"/>
      <c r="BF898"/>
      <c r="BI898" s="72"/>
    </row>
    <row r="899" spans="52:98" x14ac:dyDescent="0.3">
      <c r="AZ899"/>
      <c r="BA899"/>
      <c r="BB899"/>
      <c r="BC899"/>
      <c r="BD899"/>
      <c r="BE899"/>
      <c r="BF899"/>
    </row>
    <row r="900" spans="52:98" x14ac:dyDescent="0.3">
      <c r="AZ900"/>
      <c r="BA900"/>
      <c r="BB900"/>
      <c r="BC900"/>
      <c r="BD900"/>
      <c r="BE900"/>
      <c r="BF900"/>
      <c r="BI900" s="3"/>
    </row>
    <row r="901" spans="52:98" x14ac:dyDescent="0.3">
      <c r="AZ901"/>
      <c r="BA901"/>
      <c r="BB901"/>
      <c r="BC901"/>
      <c r="BD901"/>
      <c r="BE901"/>
      <c r="BF901"/>
    </row>
    <row r="902" spans="52:98" x14ac:dyDescent="0.3">
      <c r="AZ902"/>
      <c r="BA902"/>
      <c r="BB902"/>
      <c r="BC902"/>
      <c r="BD902"/>
      <c r="BE902"/>
      <c r="BF902"/>
      <c r="BI902" s="3"/>
    </row>
    <row r="903" spans="52:98" x14ac:dyDescent="0.3">
      <c r="AZ903"/>
      <c r="BA903"/>
      <c r="BB903"/>
      <c r="BC903"/>
      <c r="BD903"/>
      <c r="BE903"/>
      <c r="BF903"/>
    </row>
    <row r="904" spans="52:98" x14ac:dyDescent="0.3">
      <c r="AZ904"/>
      <c r="BA904"/>
      <c r="BB904"/>
      <c r="BC904"/>
      <c r="BD904"/>
      <c r="BE904"/>
      <c r="BF904"/>
      <c r="BI904" s="3"/>
    </row>
    <row r="905" spans="52:98" x14ac:dyDescent="0.3">
      <c r="AZ905"/>
      <c r="BA905"/>
      <c r="BB905"/>
      <c r="BC905"/>
      <c r="BD905"/>
      <c r="BE905"/>
      <c r="BF905"/>
    </row>
    <row r="906" spans="52:98" x14ac:dyDescent="0.3">
      <c r="AZ906"/>
      <c r="BA906"/>
      <c r="BB906"/>
      <c r="BC906"/>
      <c r="BD906"/>
      <c r="BE906"/>
      <c r="BF906"/>
      <c r="BI906" s="3"/>
    </row>
    <row r="907" spans="52:98" x14ac:dyDescent="0.3">
      <c r="AZ907"/>
      <c r="BA907"/>
      <c r="BB907"/>
      <c r="BC907"/>
      <c r="BD907"/>
      <c r="BE907"/>
      <c r="BF907"/>
    </row>
    <row r="908" spans="52:98" x14ac:dyDescent="0.3">
      <c r="BI908" s="3"/>
    </row>
    <row r="909" spans="52:98" x14ac:dyDescent="0.3">
      <c r="AZ909"/>
      <c r="BA909"/>
      <c r="BB909"/>
      <c r="BC909"/>
      <c r="BD909"/>
      <c r="BE909"/>
      <c r="BF909"/>
    </row>
    <row r="910" spans="52:98" x14ac:dyDescent="0.3">
      <c r="AZ910"/>
      <c r="BA910"/>
      <c r="BB910"/>
      <c r="BC910"/>
      <c r="BD910"/>
      <c r="BE910"/>
      <c r="BF910"/>
      <c r="BI910" s="3"/>
    </row>
    <row r="911" spans="52:98" x14ac:dyDescent="0.3">
      <c r="AZ911"/>
      <c r="BA911"/>
      <c r="BB911"/>
      <c r="BC911"/>
      <c r="BD911"/>
      <c r="BE911"/>
      <c r="BF911"/>
    </row>
    <row r="912" spans="52:98" x14ac:dyDescent="0.3">
      <c r="AZ912"/>
      <c r="BA912"/>
      <c r="BB912"/>
      <c r="BC912"/>
      <c r="BD912"/>
      <c r="BE912"/>
      <c r="BF912"/>
      <c r="BI912" s="3"/>
    </row>
    <row r="913" spans="52:98" x14ac:dyDescent="0.3">
      <c r="AZ913"/>
      <c r="BA913"/>
      <c r="BB913"/>
      <c r="BC913"/>
      <c r="BD913"/>
      <c r="BE913"/>
      <c r="BF913"/>
      <c r="BI913" s="7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row>
    <row r="914" spans="52:98" x14ac:dyDescent="0.3">
      <c r="AZ914"/>
      <c r="BA914"/>
      <c r="BB914"/>
      <c r="BC914"/>
      <c r="BD914"/>
      <c r="BE914"/>
      <c r="BF914"/>
      <c r="BI914" s="72"/>
    </row>
    <row r="915" spans="52:98" x14ac:dyDescent="0.3">
      <c r="AZ915"/>
      <c r="BA915"/>
      <c r="BB915"/>
      <c r="BC915"/>
      <c r="BD915"/>
      <c r="BE915"/>
      <c r="BF915"/>
    </row>
    <row r="916" spans="52:98" x14ac:dyDescent="0.3">
      <c r="AZ916"/>
      <c r="BA916"/>
      <c r="BB916"/>
      <c r="BC916"/>
      <c r="BD916"/>
      <c r="BE916"/>
      <c r="BF916"/>
      <c r="BI916" s="3"/>
    </row>
    <row r="917" spans="52:98" x14ac:dyDescent="0.3">
      <c r="AZ917"/>
      <c r="BA917"/>
      <c r="BB917"/>
      <c r="BC917"/>
      <c r="BD917"/>
      <c r="BE917"/>
      <c r="BF917"/>
    </row>
    <row r="918" spans="52:98" x14ac:dyDescent="0.3">
      <c r="AZ918"/>
      <c r="BA918"/>
      <c r="BB918"/>
      <c r="BC918"/>
      <c r="BD918"/>
      <c r="BE918"/>
      <c r="BF918"/>
      <c r="BI918" s="3"/>
    </row>
    <row r="919" spans="52:98" x14ac:dyDescent="0.3">
      <c r="AZ919"/>
      <c r="BA919"/>
      <c r="BB919"/>
      <c r="BC919"/>
      <c r="BD919"/>
      <c r="BE919"/>
      <c r="BF919"/>
    </row>
    <row r="920" spans="52:98" x14ac:dyDescent="0.3">
      <c r="AZ920"/>
      <c r="BA920"/>
      <c r="BB920"/>
      <c r="BC920"/>
      <c r="BD920"/>
      <c r="BE920"/>
      <c r="BF920"/>
      <c r="BI920" s="3"/>
    </row>
    <row r="921" spans="52:98" x14ac:dyDescent="0.3">
      <c r="AZ921"/>
      <c r="BA921"/>
      <c r="BB921"/>
      <c r="BC921"/>
      <c r="BD921"/>
      <c r="BE921"/>
      <c r="BF921"/>
    </row>
    <row r="922" spans="52:98" x14ac:dyDescent="0.3">
      <c r="AZ922"/>
      <c r="BA922"/>
      <c r="BB922"/>
      <c r="BC922"/>
      <c r="BD922"/>
      <c r="BE922"/>
      <c r="BF922"/>
      <c r="BI922" s="3"/>
    </row>
    <row r="923" spans="52:98" x14ac:dyDescent="0.3">
      <c r="AZ923"/>
      <c r="BA923"/>
      <c r="BB923"/>
      <c r="BC923"/>
      <c r="BD923"/>
      <c r="BE923"/>
      <c r="BF923"/>
    </row>
    <row r="924" spans="52:98" x14ac:dyDescent="0.3">
      <c r="AZ924"/>
      <c r="BA924"/>
      <c r="BB924"/>
      <c r="BC924"/>
      <c r="BD924"/>
      <c r="BE924"/>
      <c r="BF924"/>
      <c r="BI924" s="3"/>
    </row>
    <row r="925" spans="52:98" x14ac:dyDescent="0.3">
      <c r="AZ925"/>
      <c r="BA925"/>
      <c r="BB925"/>
      <c r="BC925"/>
      <c r="BD925"/>
      <c r="BE925"/>
      <c r="BF925"/>
    </row>
    <row r="926" spans="52:98" x14ac:dyDescent="0.3">
      <c r="AZ926"/>
      <c r="BA926"/>
      <c r="BB926"/>
      <c r="BC926"/>
      <c r="BD926"/>
      <c r="BE926"/>
      <c r="BF926"/>
      <c r="BI926" s="3"/>
    </row>
    <row r="927" spans="52:98" x14ac:dyDescent="0.3">
      <c r="AZ927"/>
      <c r="BA927"/>
      <c r="BB927"/>
      <c r="BC927"/>
      <c r="BD927"/>
      <c r="BE927"/>
      <c r="BF927"/>
    </row>
    <row r="928" spans="52:98" x14ac:dyDescent="0.3">
      <c r="AZ928"/>
      <c r="BA928"/>
      <c r="BB928"/>
      <c r="BC928"/>
      <c r="BD928"/>
      <c r="BE928"/>
      <c r="BF928"/>
    </row>
    <row r="929" spans="52:98" x14ac:dyDescent="0.3">
      <c r="AZ929"/>
      <c r="BA929"/>
      <c r="BB929"/>
      <c r="BC929"/>
      <c r="BD929"/>
      <c r="BE929"/>
      <c r="BF929"/>
      <c r="BI929" s="7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row>
    <row r="930" spans="52:98" x14ac:dyDescent="0.3">
      <c r="AZ930"/>
      <c r="BA930"/>
      <c r="BB930"/>
      <c r="BC930"/>
      <c r="BD930"/>
      <c r="BE930"/>
      <c r="BF930"/>
      <c r="BI930" s="72"/>
    </row>
    <row r="931" spans="52:98" x14ac:dyDescent="0.3">
      <c r="AZ931"/>
      <c r="BA931"/>
      <c r="BB931"/>
      <c r="BC931"/>
      <c r="BD931"/>
      <c r="BE931"/>
      <c r="BF931"/>
    </row>
    <row r="932" spans="52:98" x14ac:dyDescent="0.3">
      <c r="AZ932"/>
      <c r="BA932"/>
      <c r="BB932"/>
      <c r="BC932"/>
      <c r="BD932"/>
      <c r="BE932"/>
      <c r="BF932"/>
      <c r="BI932" s="3"/>
    </row>
    <row r="933" spans="52:98" x14ac:dyDescent="0.3">
      <c r="AZ933"/>
      <c r="BA933"/>
      <c r="BB933"/>
      <c r="BC933"/>
      <c r="BD933"/>
      <c r="BE933"/>
      <c r="BF933"/>
    </row>
    <row r="934" spans="52:98" x14ac:dyDescent="0.3">
      <c r="AZ934"/>
      <c r="BA934"/>
      <c r="BB934"/>
      <c r="BC934"/>
      <c r="BD934"/>
      <c r="BE934"/>
      <c r="BF934"/>
      <c r="BI934" s="3"/>
    </row>
    <row r="935" spans="52:98" x14ac:dyDescent="0.3">
      <c r="AZ935"/>
      <c r="BA935"/>
      <c r="BB935"/>
      <c r="BC935"/>
      <c r="BD935"/>
      <c r="BE935"/>
      <c r="BF935"/>
    </row>
    <row r="936" spans="52:98" x14ac:dyDescent="0.3">
      <c r="AZ936"/>
      <c r="BA936"/>
      <c r="BB936"/>
      <c r="BC936"/>
      <c r="BD936"/>
      <c r="BE936"/>
      <c r="BF936"/>
      <c r="BI936" s="3"/>
    </row>
    <row r="937" spans="52:98" x14ac:dyDescent="0.3">
      <c r="AZ937"/>
      <c r="BA937"/>
      <c r="BB937"/>
      <c r="BC937"/>
      <c r="BD937"/>
      <c r="BE937"/>
      <c r="BF937"/>
    </row>
    <row r="938" spans="52:98" x14ac:dyDescent="0.3">
      <c r="AZ938"/>
      <c r="BA938"/>
      <c r="BB938"/>
      <c r="BC938"/>
      <c r="BD938"/>
      <c r="BE938"/>
      <c r="BF938"/>
      <c r="BI938" s="3"/>
    </row>
    <row r="939" spans="52:98" x14ac:dyDescent="0.3">
      <c r="AZ939"/>
      <c r="BA939"/>
      <c r="BB939"/>
      <c r="BC939"/>
      <c r="BD939"/>
      <c r="BE939"/>
      <c r="BF939"/>
    </row>
    <row r="940" spans="52:98" x14ac:dyDescent="0.3">
      <c r="BI940" s="3"/>
    </row>
    <row r="941" spans="52:98" x14ac:dyDescent="0.3">
      <c r="AZ941"/>
      <c r="BA941"/>
      <c r="BB941"/>
      <c r="BC941"/>
      <c r="BD941"/>
      <c r="BE941"/>
      <c r="BF941"/>
    </row>
    <row r="942" spans="52:98" x14ac:dyDescent="0.3">
      <c r="AZ942"/>
      <c r="BA942"/>
      <c r="BB942"/>
      <c r="BC942"/>
      <c r="BD942"/>
      <c r="BE942"/>
      <c r="BF942"/>
      <c r="BI942" s="3"/>
    </row>
    <row r="943" spans="52:98" x14ac:dyDescent="0.3">
      <c r="AZ943"/>
      <c r="BA943"/>
      <c r="BB943"/>
      <c r="BC943"/>
      <c r="BD943"/>
      <c r="BE943"/>
      <c r="BF943"/>
    </row>
    <row r="944" spans="52:98" x14ac:dyDescent="0.3">
      <c r="AZ944"/>
      <c r="BA944"/>
      <c r="BB944"/>
      <c r="BC944"/>
      <c r="BD944"/>
      <c r="BE944"/>
      <c r="BF944"/>
    </row>
    <row r="945" spans="52:98" x14ac:dyDescent="0.3">
      <c r="AZ945"/>
      <c r="BA945"/>
      <c r="BB945"/>
      <c r="BC945"/>
      <c r="BD945"/>
      <c r="BE945"/>
      <c r="BF945"/>
      <c r="BI945" s="7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row>
    <row r="946" spans="52:98" x14ac:dyDescent="0.3">
      <c r="AZ946"/>
      <c r="BA946"/>
      <c r="BB946"/>
      <c r="BC946"/>
      <c r="BD946"/>
      <c r="BE946"/>
      <c r="BF946"/>
      <c r="BI946" s="72"/>
    </row>
    <row r="947" spans="52:98" x14ac:dyDescent="0.3">
      <c r="AZ947"/>
      <c r="BA947"/>
      <c r="BB947"/>
      <c r="BC947"/>
      <c r="BD947"/>
      <c r="BE947"/>
      <c r="BF947"/>
    </row>
    <row r="948" spans="52:98" x14ac:dyDescent="0.3">
      <c r="AZ948"/>
      <c r="BA948"/>
      <c r="BB948"/>
      <c r="BC948"/>
      <c r="BD948"/>
      <c r="BE948"/>
      <c r="BF948"/>
      <c r="BI948" s="3"/>
    </row>
    <row r="949" spans="52:98" x14ac:dyDescent="0.3">
      <c r="AZ949"/>
      <c r="BA949"/>
      <c r="BB949"/>
      <c r="BC949"/>
      <c r="BD949"/>
      <c r="BE949"/>
      <c r="BF949"/>
    </row>
    <row r="950" spans="52:98" x14ac:dyDescent="0.3">
      <c r="AZ950"/>
      <c r="BA950"/>
      <c r="BB950"/>
      <c r="BC950"/>
      <c r="BD950"/>
      <c r="BE950"/>
      <c r="BF950"/>
      <c r="BI950" s="3"/>
    </row>
    <row r="951" spans="52:98" x14ac:dyDescent="0.3">
      <c r="AZ951"/>
      <c r="BA951"/>
      <c r="BB951"/>
      <c r="BC951"/>
      <c r="BD951"/>
      <c r="BE951"/>
      <c r="BF951"/>
    </row>
    <row r="952" spans="52:98" x14ac:dyDescent="0.3">
      <c r="AZ952"/>
      <c r="BA952"/>
      <c r="BB952"/>
      <c r="BC952"/>
      <c r="BD952"/>
      <c r="BE952"/>
      <c r="BF952"/>
      <c r="BI952" s="3"/>
    </row>
    <row r="953" spans="52:98" x14ac:dyDescent="0.3">
      <c r="AZ953"/>
      <c r="BA953"/>
      <c r="BB953"/>
      <c r="BC953"/>
      <c r="BD953"/>
      <c r="BE953"/>
      <c r="BF953"/>
    </row>
    <row r="954" spans="52:98" x14ac:dyDescent="0.3">
      <c r="AZ954"/>
      <c r="BA954"/>
      <c r="BB954"/>
      <c r="BC954"/>
      <c r="BD954"/>
      <c r="BE954"/>
      <c r="BF954"/>
      <c r="BI954" s="3"/>
    </row>
    <row r="955" spans="52:98" x14ac:dyDescent="0.3">
      <c r="AZ955"/>
      <c r="BA955"/>
      <c r="BB955"/>
      <c r="BC955"/>
      <c r="BD955"/>
      <c r="BE955"/>
      <c r="BF955"/>
    </row>
    <row r="956" spans="52:98" x14ac:dyDescent="0.3">
      <c r="BI956" s="3"/>
    </row>
    <row r="957" spans="52:98" x14ac:dyDescent="0.3">
      <c r="AZ957"/>
      <c r="BA957"/>
      <c r="BB957"/>
      <c r="BC957"/>
      <c r="BD957"/>
      <c r="BE957"/>
      <c r="BF957"/>
    </row>
    <row r="958" spans="52:98" x14ac:dyDescent="0.3">
      <c r="AZ958"/>
      <c r="BA958"/>
      <c r="BB958"/>
      <c r="BC958"/>
      <c r="BD958"/>
      <c r="BE958"/>
      <c r="BF958"/>
      <c r="BI958" s="3"/>
    </row>
    <row r="959" spans="52:98" x14ac:dyDescent="0.3">
      <c r="AZ959"/>
      <c r="BA959"/>
      <c r="BB959"/>
      <c r="BC959"/>
      <c r="BD959"/>
      <c r="BE959"/>
      <c r="BF959"/>
    </row>
    <row r="960" spans="52:98" x14ac:dyDescent="0.3">
      <c r="AZ960"/>
      <c r="BA960"/>
      <c r="BB960"/>
      <c r="BC960"/>
      <c r="BD960"/>
      <c r="BE960"/>
      <c r="BF960"/>
    </row>
    <row r="961" spans="45:83" x14ac:dyDescent="0.3">
      <c r="AZ961"/>
      <c r="BA961"/>
      <c r="BB961"/>
      <c r="BC961"/>
      <c r="BD961"/>
      <c r="BE961"/>
      <c r="BF961"/>
    </row>
    <row r="962" spans="45:83" x14ac:dyDescent="0.3">
      <c r="AS962" s="65" t="s">
        <v>497</v>
      </c>
      <c r="AT962" s="65"/>
      <c r="AU962" s="20" t="s">
        <v>64</v>
      </c>
      <c r="AV962" s="1" t="s">
        <v>43</v>
      </c>
      <c r="AW962" s="1" t="s">
        <v>44</v>
      </c>
      <c r="AX962" s="1" t="s">
        <v>45</v>
      </c>
      <c r="AY962" s="1" t="s">
        <v>46</v>
      </c>
      <c r="AZ962" s="1" t="s">
        <v>47</v>
      </c>
      <c r="BA962" s="1" t="s">
        <v>48</v>
      </c>
      <c r="BB962" s="1" t="s">
        <v>49</v>
      </c>
      <c r="BC962" s="1" t="s">
        <v>50</v>
      </c>
      <c r="BD962" s="1" t="s">
        <v>51</v>
      </c>
      <c r="BE962" s="1" t="s">
        <v>52</v>
      </c>
      <c r="BF962" s="1" t="s">
        <v>53</v>
      </c>
      <c r="BG962" s="1" t="s">
        <v>54</v>
      </c>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row>
    <row r="963" spans="45:83" x14ac:dyDescent="0.3">
      <c r="AS963" s="65"/>
      <c r="AT963" s="65"/>
      <c r="AU963" s="20">
        <v>1</v>
      </c>
      <c r="AV963" t="s">
        <v>3</v>
      </c>
      <c r="AW963" t="s">
        <v>5</v>
      </c>
      <c r="AX963" t="s">
        <v>3</v>
      </c>
      <c r="AY963" t="s">
        <v>5</v>
      </c>
      <c r="AZ963" t="s">
        <v>5</v>
      </c>
      <c r="BA963" t="s">
        <v>5</v>
      </c>
      <c r="BB963" t="s">
        <v>2</v>
      </c>
      <c r="BC963" t="s">
        <v>2</v>
      </c>
      <c r="BD963" t="s">
        <v>2</v>
      </c>
      <c r="BE963" t="s">
        <v>2</v>
      </c>
      <c r="BF963" t="s">
        <v>3</v>
      </c>
      <c r="BG963" t="s">
        <v>5</v>
      </c>
    </row>
    <row r="964" spans="45:83" x14ac:dyDescent="0.3">
      <c r="AT964" t="s">
        <v>504</v>
      </c>
      <c r="AU964">
        <f>AW22*AT32*AT40*AT44*AT52*AT58*AT64*AT69*AT75*AT81*AT87*AT92*AT100*AT106*AT110*AT116*AT124*AT130*AT136*AT141*AT145*AT151*AT159*AT163*AT167*AT171*AT175*AT179*AT183*AT187*AT192*AT195*AT200*AT203*AT207*AT211*AT216</f>
        <v>9.2615510597209009E-10</v>
      </c>
      <c r="AZ964"/>
      <c r="BA964"/>
      <c r="BB964"/>
      <c r="BC964"/>
      <c r="BD964"/>
      <c r="BE964"/>
      <c r="BF964"/>
    </row>
    <row r="965" spans="45:83" x14ac:dyDescent="0.3">
      <c r="AT965" t="s">
        <v>505</v>
      </c>
      <c r="AU965">
        <f>AW23*AU32*AU40*AU44*AU52*AU58*AU64*AU69*AU75*AU81*AU87*AU92*AU100*AU106*AU110*AU116*AU124*AU130*AU136*AU141*AU145*AU151*AU159*AU163*AU167*AU171*AU175*AU179*AU183*AU187*AU192*AU195*AU200*AU203*AU207*AU211*AU216</f>
        <v>0</v>
      </c>
      <c r="AZ965"/>
      <c r="BA965"/>
      <c r="BB965"/>
      <c r="BC965"/>
      <c r="BD965"/>
      <c r="BE965"/>
      <c r="BF965"/>
    </row>
    <row r="966" spans="45:83" x14ac:dyDescent="0.3">
      <c r="AT966" t="s">
        <v>506</v>
      </c>
      <c r="AU966">
        <f>AW24*AV32*AV40*AV44*AV52*AV58*AV64*AV69*AV75*AV81*AV87*AV92*AV100*AV106*AV110*AV116*AV124*AV130*AV136*AV141*AV145*AV151*AV159*AV163*AV167*AV171*AV175*AV179*AV183*AV187*AV192*AV195*AV200*AV203*AV207*AV211*AV216</f>
        <v>0</v>
      </c>
      <c r="AZ966"/>
      <c r="BA966"/>
      <c r="BB966"/>
      <c r="BC966"/>
      <c r="BD966"/>
      <c r="BE966"/>
      <c r="BF966"/>
    </row>
    <row r="967" spans="45:83" x14ac:dyDescent="0.3">
      <c r="AT967" t="s">
        <v>507</v>
      </c>
      <c r="AU967">
        <f>AW25*AW32*AW40*AW44*AW52*AW58*AW64*AW69*AW75*AW81*AW87*AW92*AW100*AW106*AW110*AW116*AW124*AW130*AW136*AW141*AW145*AW151*AW159*AW163*AW167*AW171*AW175*AW179*AW183*AW187*AW192*AW195*AW200*AW203*AW207*AW211*AW216</f>
        <v>0</v>
      </c>
      <c r="AZ967"/>
      <c r="BA967"/>
      <c r="BB967"/>
      <c r="BC967"/>
      <c r="BD967"/>
      <c r="BE967"/>
      <c r="BF967"/>
    </row>
    <row r="968" spans="45:83" x14ac:dyDescent="0.3">
      <c r="AT968" t="s">
        <v>508</v>
      </c>
      <c r="AU968">
        <f>AW26*AX32*AX40*AX44*AX52*AX58*AX64*AX69*AX75*AX81*AX87*AX92*AX100*AX106*AX110*AX116*AX124*AX130*AX136*AX141*AX145*AX151*AX159*AX163*AX167*AX171*AX175*AX179*AX183*AX187*AX192*AX195*AX200*AX203*AX207*AX211*AX216</f>
        <v>0</v>
      </c>
      <c r="AZ968"/>
      <c r="BA968"/>
      <c r="BB968"/>
      <c r="BC968"/>
      <c r="BD968"/>
      <c r="BE968"/>
      <c r="BF968"/>
    </row>
    <row r="969" spans="45:83" x14ac:dyDescent="0.3">
      <c r="AT969" t="s">
        <v>509</v>
      </c>
      <c r="AU969">
        <f>AW27*AY32*AY40*AY44*AY52*AY58*AY64*AY69*AY75*AY81*AY87*AY92*AY100*AY106*AY110*AY116*AY124*AY130*AY136*AY141*AY145*AY151*AY159*AY163*AY167*AY171*AY175*AY179*AY183*AY187*AY192*AY195*AY200*AY203*AY207*AY211*AY216</f>
        <v>0</v>
      </c>
      <c r="AZ969"/>
      <c r="BA969"/>
      <c r="BB969"/>
      <c r="BC969"/>
      <c r="BD969"/>
      <c r="BE969"/>
      <c r="BF969"/>
    </row>
    <row r="970" spans="45:83" x14ac:dyDescent="0.3">
      <c r="AT970" s="20" t="s">
        <v>437</v>
      </c>
      <c r="AU970" t="s">
        <v>285</v>
      </c>
      <c r="AV970" s="21" t="s">
        <v>438</v>
      </c>
      <c r="AW970" s="21"/>
      <c r="AZ970"/>
      <c r="BA970"/>
      <c r="BB970"/>
      <c r="BC970"/>
      <c r="BD970"/>
      <c r="BE970"/>
      <c r="BF970"/>
    </row>
    <row r="972" spans="45:83" x14ac:dyDescent="0.3">
      <c r="AS972" s="65" t="s">
        <v>484</v>
      </c>
      <c r="AT972" s="65"/>
      <c r="AU972" s="20" t="s">
        <v>64</v>
      </c>
      <c r="AV972" s="1" t="s">
        <v>43</v>
      </c>
      <c r="AW972" s="1" t="s">
        <v>44</v>
      </c>
      <c r="AX972" s="1" t="s">
        <v>45</v>
      </c>
      <c r="AY972" s="1" t="s">
        <v>46</v>
      </c>
      <c r="AZ972" s="1" t="s">
        <v>47</v>
      </c>
      <c r="BA972" s="1" t="s">
        <v>48</v>
      </c>
      <c r="BB972" s="1" t="s">
        <v>49</v>
      </c>
      <c r="BC972" s="1" t="s">
        <v>50</v>
      </c>
      <c r="BD972" s="1" t="s">
        <v>51</v>
      </c>
      <c r="BE972" s="1" t="s">
        <v>52</v>
      </c>
      <c r="BF972" s="1" t="s">
        <v>53</v>
      </c>
      <c r="BG972" s="1" t="s">
        <v>54</v>
      </c>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row>
    <row r="973" spans="45:83" x14ac:dyDescent="0.3">
      <c r="AS973" s="65"/>
      <c r="AT973" s="65"/>
      <c r="AU973" s="20">
        <v>1</v>
      </c>
      <c r="AV973" t="s">
        <v>5</v>
      </c>
      <c r="AW973" t="s">
        <v>3</v>
      </c>
      <c r="AX973" t="s">
        <v>2</v>
      </c>
      <c r="AY973" t="s">
        <v>3</v>
      </c>
      <c r="AZ973" t="s">
        <v>5</v>
      </c>
      <c r="BA973" t="s">
        <v>5</v>
      </c>
      <c r="BB973" t="s">
        <v>5</v>
      </c>
      <c r="BC973" t="s">
        <v>2</v>
      </c>
      <c r="BD973" t="s">
        <v>2</v>
      </c>
      <c r="BE973" t="s">
        <v>2</v>
      </c>
      <c r="BF973" t="s">
        <v>2</v>
      </c>
      <c r="BG973" t="s">
        <v>5</v>
      </c>
    </row>
    <row r="974" spans="45:83" x14ac:dyDescent="0.3">
      <c r="AT974" t="s">
        <v>504</v>
      </c>
      <c r="AU974">
        <f>AW22*AT34*AT38*AT45*AT50*AT58*AT64*AT70*AT75*AT81*AT87*AT93*AT100*AT106*AT110*AT116*AT124*AT130*AT136*AT142*AT145*AT151*AT157*AT164*AT168*AT172*AT175*AT179*AT183*AT187*AT192*AT195*AT200*AT204*AT207*AT211*AT216</f>
        <v>1.3644249329053112E-9</v>
      </c>
      <c r="AZ974"/>
      <c r="BA974"/>
      <c r="BB974"/>
      <c r="BC974"/>
      <c r="BD974"/>
      <c r="BE974"/>
      <c r="BF974"/>
    </row>
    <row r="975" spans="45:83" x14ac:dyDescent="0.3">
      <c r="AT975" t="s">
        <v>505</v>
      </c>
      <c r="AU975">
        <f>AW23*AU34*AU38*AU45*AU50*AU58*AU64*AU70*AU75*AU81*AU87*AU93*AU100*AU106*AU110*AU116*AU124*AU130*AU136*AU142*AU145*AU151*AU157*AU164*AU168*AU172*AU175*AU179*AU183*AU187*AU192*AU195*AU200*AU204*AU207*AU211*AU216</f>
        <v>1.1025656023477264E-11</v>
      </c>
      <c r="AZ975"/>
      <c r="BA975"/>
      <c r="BB975"/>
      <c r="BC975"/>
      <c r="BD975"/>
      <c r="BE975"/>
      <c r="BF975"/>
    </row>
    <row r="976" spans="45:83" x14ac:dyDescent="0.3">
      <c r="AT976" t="s">
        <v>506</v>
      </c>
      <c r="AU976">
        <f>AW24*AV34*AV38*AV45*AV50*AV58*AV64*AV70*AV75*AV81*AV87*AV93*AV100*AV106*AV110*AV116*AV124*AV130*AV136*AV142*AV145*AV151*AV157*AV164*AV168*AV172*AV175*AV179*AV183*AV187*AV192*AV195*AV200*AV204*AV207*AV211*AV216</f>
        <v>0</v>
      </c>
      <c r="AZ976"/>
      <c r="BA976"/>
      <c r="BB976"/>
      <c r="BC976"/>
      <c r="BD976"/>
      <c r="BE976"/>
      <c r="BF976"/>
    </row>
    <row r="977" spans="34:83" x14ac:dyDescent="0.3">
      <c r="AT977" t="s">
        <v>507</v>
      </c>
      <c r="AU977">
        <f>AW25*AW34*AW38*AW45*AW50*AW58*AW64*AW70*AW75*AW81*AW87*AW93*AW100*AW106*AW110*AW116*AW124*AW130*AW136*AW142*AW145*AW151*AW157*AW164*AW168*AW172*AW175*AW179*AW183*AW187*AW192*AW195*AW200*AW204*AW207*AW211*AW216</f>
        <v>0</v>
      </c>
      <c r="AZ977"/>
      <c r="BA977"/>
      <c r="BB977"/>
      <c r="BC977"/>
      <c r="BD977"/>
      <c r="BE977"/>
      <c r="BF977"/>
    </row>
    <row r="978" spans="34:83" x14ac:dyDescent="0.3">
      <c r="AT978" t="s">
        <v>508</v>
      </c>
      <c r="AU978">
        <f>AW26*AX34*AX38*AX45*AX50*AX58*AX64*AX70*AX75*AX81*AX87*AX93*AX100*AX106*AX110*AX116*AX124*AX130*AX136*AX142*AX145*AX151*AX157*AX164*AX168*AX172*AX175*AX179*AX183*AX187*AX192*AX195*AX200*AX204*AX207*AX211*AX216</f>
        <v>0</v>
      </c>
      <c r="AZ978"/>
      <c r="BA978"/>
      <c r="BB978"/>
      <c r="BC978"/>
      <c r="BD978"/>
      <c r="BE978"/>
      <c r="BF978"/>
    </row>
    <row r="979" spans="34:83" x14ac:dyDescent="0.3">
      <c r="AT979" t="s">
        <v>509</v>
      </c>
      <c r="AU979">
        <f>AW27*AY34*AY38*AY45*AY50*AY58*AY64*AY70*AY75*AY81*AY87*AY93*AY100*AY106*AY110*AY116*AY124*AY130*AY136*AY142*AY145*AY151*AY157*AY164*AY168*AY172*AY175*AY179*AY183*AY187*AY192*AY195*AY200*AY204*AY207*AY211*AY216</f>
        <v>0</v>
      </c>
      <c r="AZ979"/>
      <c r="BA979"/>
      <c r="BB979"/>
      <c r="BC979"/>
      <c r="BD979"/>
      <c r="BE979"/>
      <c r="BF979"/>
    </row>
    <row r="980" spans="34:83" x14ac:dyDescent="0.3">
      <c r="AT980" s="20" t="s">
        <v>437</v>
      </c>
      <c r="AU980" t="s">
        <v>285</v>
      </c>
      <c r="AV980" s="74" t="s">
        <v>438</v>
      </c>
      <c r="AW980" s="74"/>
      <c r="AZ980"/>
      <c r="BA980"/>
      <c r="BB980"/>
      <c r="BC980"/>
      <c r="BD980"/>
      <c r="BE980"/>
      <c r="BF980"/>
    </row>
    <row r="982" spans="34:83" x14ac:dyDescent="0.3">
      <c r="AS982" s="65" t="s">
        <v>460</v>
      </c>
      <c r="AT982" s="65"/>
      <c r="AU982" s="20" t="s">
        <v>64</v>
      </c>
      <c r="AV982" s="1" t="s">
        <v>43</v>
      </c>
      <c r="AW982" s="1" t="s">
        <v>44</v>
      </c>
      <c r="AX982" s="1" t="s">
        <v>45</v>
      </c>
      <c r="AY982" s="1" t="s">
        <v>46</v>
      </c>
      <c r="AZ982" s="1" t="s">
        <v>47</v>
      </c>
      <c r="BA982" s="1" t="s">
        <v>48</v>
      </c>
      <c r="BB982" s="1" t="s">
        <v>49</v>
      </c>
      <c r="BC982" s="1" t="s">
        <v>50</v>
      </c>
      <c r="BD982" s="1" t="s">
        <v>51</v>
      </c>
      <c r="BE982" s="1" t="s">
        <v>52</v>
      </c>
      <c r="BF982" s="1" t="s">
        <v>53</v>
      </c>
      <c r="BG982" s="1" t="s">
        <v>54</v>
      </c>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row>
    <row r="983" spans="34:83" x14ac:dyDescent="0.3">
      <c r="AS983" s="65"/>
      <c r="AT983" s="65"/>
      <c r="AU983" s="20">
        <v>1</v>
      </c>
      <c r="AV983" t="s">
        <v>5</v>
      </c>
      <c r="AW983" t="s">
        <v>3</v>
      </c>
      <c r="AX983" t="s">
        <v>4</v>
      </c>
      <c r="AY983" t="s">
        <v>3</v>
      </c>
      <c r="AZ983" t="s">
        <v>5</v>
      </c>
      <c r="BA983" t="s">
        <v>5</v>
      </c>
      <c r="BB983" t="s">
        <v>5</v>
      </c>
      <c r="BC983" t="s">
        <v>2</v>
      </c>
      <c r="BD983" t="s">
        <v>3</v>
      </c>
      <c r="BE983" t="s">
        <v>3</v>
      </c>
      <c r="BF983" t="s">
        <v>2</v>
      </c>
      <c r="BG983" t="s">
        <v>4</v>
      </c>
    </row>
    <row r="984" spans="34:83" x14ac:dyDescent="0.3">
      <c r="AH984" t="s">
        <v>295</v>
      </c>
      <c r="AT984" t="s">
        <v>504</v>
      </c>
      <c r="AU984">
        <f>AW22*AT34*AT38*AT43*AT50*AT58*AT64*AT70*AT75*AT80*AT86*AT93*AT97*AT106*AT110*AT117*AT124*AT130*AT136*AT142*AT145*AT151*AT157*AT164*AT168*AT172*AT175*AT179*AT183*AT187*AT191*AT195*AT199*AT203*AT207*AT211*AT216</f>
        <v>1.9897863604869115E-9</v>
      </c>
      <c r="AZ984"/>
      <c r="BA984"/>
      <c r="BB984"/>
      <c r="BC984"/>
      <c r="BD984"/>
      <c r="BE984"/>
      <c r="BF984"/>
    </row>
    <row r="985" spans="34:83" x14ac:dyDescent="0.3">
      <c r="AT985" t="s">
        <v>505</v>
      </c>
      <c r="AU985">
        <f>AW23*AU34*AU38*AU43*AU50*AU58*AU64*AU70*AU75*AU80*AU86*AU93*AU97*AU106*AU110*AU117*AU124*AU130*AU136*AU142*AU145*AU151*AU157*AU164*AU168*AU172*AU175*AU179*AU183*AU187*AU191*AU195*AU199*AU203*AU207*AU211*AU216</f>
        <v>2.13830904697741E-12</v>
      </c>
      <c r="AZ985"/>
      <c r="BA985"/>
      <c r="BB985"/>
      <c r="BC985"/>
      <c r="BD985"/>
      <c r="BE985"/>
      <c r="BF985"/>
    </row>
    <row r="986" spans="34:83" x14ac:dyDescent="0.3">
      <c r="AT986" t="s">
        <v>506</v>
      </c>
      <c r="AU986">
        <f>AW24*AV34*AV38*AV43*AV50*AV58*AV64*AV70*AV75*AV80*AV86*AV93*AV97*AV106*AV110*AV117*AV124*AV130*AV136*AV142*AV145*AV151*AV157*AV164*AV168*AV172*AV175*AV179*AV183*AV187*AV191*AV195*AV199*AV203*AV207*AV211*AV216</f>
        <v>0</v>
      </c>
      <c r="AZ986"/>
      <c r="BA986"/>
      <c r="BB986"/>
      <c r="BC986"/>
      <c r="BD986"/>
      <c r="BE986"/>
      <c r="BF986"/>
    </row>
    <row r="987" spans="34:83" x14ac:dyDescent="0.3">
      <c r="AT987" t="s">
        <v>507</v>
      </c>
      <c r="AU987">
        <f>AW25*AW34*AW38*AW43*AW50*AW58*AW64*AW70*AW75*AW80*AW86*AW93*AW97*AW106*AW110*AW117*AW124*AW130*AW136*AW142*AW145*AW151*AW157*AW164*AW168*AW172*AW175*AW179*AW183*AW187*AW191*AW195*AW199*AW203*AW207*AW211*AW216</f>
        <v>0</v>
      </c>
      <c r="AZ987"/>
      <c r="BA987"/>
      <c r="BB987"/>
      <c r="BC987"/>
      <c r="BD987"/>
      <c r="BE987"/>
      <c r="BF987"/>
    </row>
    <row r="988" spans="34:83" x14ac:dyDescent="0.3">
      <c r="AT988" t="s">
        <v>508</v>
      </c>
      <c r="AU988">
        <f>AW26*AX34*AX38*AX43*AX50*AX58*AX64*AX70*AX75*AX80*AX86*AX93*AX97*AX106*AX110*AX117*AX124*AX130*AX136*AX142*AX145*AX151*AX157*AX164*AX168*AX172*AX175*AX179*AX183*AX187*AX191*AX195*AX199*AX203*AX207*AX211*AX216</f>
        <v>0</v>
      </c>
      <c r="AZ988"/>
      <c r="BA988"/>
      <c r="BB988"/>
      <c r="BC988"/>
      <c r="BD988"/>
      <c r="BE988"/>
      <c r="BF988"/>
    </row>
    <row r="989" spans="34:83" x14ac:dyDescent="0.3">
      <c r="AT989" t="s">
        <v>509</v>
      </c>
      <c r="AU989">
        <f>AW27*AY34*AY38*AY43*AY50*AY58*AY64*AY70*AY75*AY80*AY86*AY93*AY97*AY106*AY110*AY117*AY124*AY130*AY136*AY142*AY145*AY151*AY157*AY164*AY168*AY172*AY175*AY179*AY183*AY187*AY191*AY195*AY199*AY203*AY207*AY211*AY216</f>
        <v>0</v>
      </c>
      <c r="AZ989"/>
      <c r="BA989"/>
      <c r="BB989"/>
      <c r="BC989"/>
      <c r="BD989"/>
      <c r="BE989"/>
      <c r="BF989"/>
    </row>
    <row r="990" spans="34:83" x14ac:dyDescent="0.3">
      <c r="AZ990"/>
      <c r="BA990"/>
      <c r="BB990"/>
      <c r="BC990"/>
      <c r="BD990"/>
      <c r="BE990"/>
      <c r="BF990"/>
    </row>
    <row r="991" spans="34:83" x14ac:dyDescent="0.3">
      <c r="AS991" s="65" t="s">
        <v>513</v>
      </c>
      <c r="AT991" s="65"/>
      <c r="AU991" s="20" t="s">
        <v>64</v>
      </c>
      <c r="AV991" s="1" t="s">
        <v>43</v>
      </c>
      <c r="AW991" s="1" t="s">
        <v>44</v>
      </c>
      <c r="AX991" s="1" t="s">
        <v>45</v>
      </c>
      <c r="AY991" s="1" t="s">
        <v>46</v>
      </c>
      <c r="AZ991" s="1" t="s">
        <v>47</v>
      </c>
      <c r="BA991" s="1" t="s">
        <v>48</v>
      </c>
      <c r="BB991" s="1" t="s">
        <v>49</v>
      </c>
      <c r="BC991" s="1" t="s">
        <v>50</v>
      </c>
      <c r="BD991" s="1" t="s">
        <v>51</v>
      </c>
      <c r="BE991" s="1" t="s">
        <v>52</v>
      </c>
      <c r="BF991" s="1" t="s">
        <v>53</v>
      </c>
      <c r="BG991" s="1" t="s">
        <v>54</v>
      </c>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row>
    <row r="992" spans="34:83" x14ac:dyDescent="0.3">
      <c r="AS992" s="65"/>
      <c r="AT992" s="65"/>
      <c r="AU992" s="20">
        <v>1</v>
      </c>
      <c r="AV992" t="s">
        <v>5</v>
      </c>
      <c r="AW992" t="s">
        <v>3</v>
      </c>
      <c r="AX992" t="s">
        <v>2</v>
      </c>
      <c r="AY992" t="s">
        <v>3</v>
      </c>
      <c r="AZ992" t="s">
        <v>5</v>
      </c>
      <c r="BA992" t="s">
        <v>5</v>
      </c>
      <c r="BB992" t="s">
        <v>5</v>
      </c>
      <c r="BC992" t="s">
        <v>2</v>
      </c>
      <c r="BD992" t="s">
        <v>3</v>
      </c>
      <c r="BE992" t="s">
        <v>3</v>
      </c>
      <c r="BF992" t="s">
        <v>2</v>
      </c>
      <c r="BG992" t="s">
        <v>5</v>
      </c>
    </row>
    <row r="993" spans="45:83" x14ac:dyDescent="0.3">
      <c r="AT993" t="s">
        <v>504</v>
      </c>
      <c r="AU993">
        <f>AW22*AT34*AT38*AT45*AT50*AT58*AT64*AT70*AT75*AT80*AT86*AT93*AT100*AT106*AT110*AT117*AT124*AT130*AT136*AT139*AT145*AT151*AT157*AT164*AT168*AT172*AT175*AT179*AT183*AT187*AT192*AT195*AT200*AT203*AT207*AT212*AT216</f>
        <v>3.1836581767790587E-9</v>
      </c>
      <c r="AZ993"/>
      <c r="BA993"/>
      <c r="BB993"/>
      <c r="BC993"/>
      <c r="BD993"/>
      <c r="BE993"/>
      <c r="BF993"/>
    </row>
    <row r="994" spans="45:83" x14ac:dyDescent="0.3">
      <c r="AT994" t="s">
        <v>505</v>
      </c>
      <c r="AU994">
        <f>AW23*AU34*AU38*AU45*AU50*AU58*AU64*AU70*AU75*AU80*AU86*AU93*AU100*AU106*AU110*AU117*AU124*AU130*AU136*AU139*AU145*AU151*AU157*AU164*AU168*AU172*AU175*AU179*AU183*AU187*AU192*AU195*AU200*AU203*AU207*AU212*AU216</f>
        <v>4.9002915659898956E-12</v>
      </c>
      <c r="AZ994"/>
      <c r="BA994"/>
      <c r="BB994"/>
      <c r="BC994"/>
      <c r="BD994"/>
      <c r="BE994"/>
      <c r="BF994"/>
    </row>
    <row r="995" spans="45:83" x14ac:dyDescent="0.3">
      <c r="AT995" t="s">
        <v>506</v>
      </c>
      <c r="AU995">
        <f>AW24*AV34*AV38*AV45*AV50*AV58*AV64*AV70*AV75*AV80*AV86*AV93*AV100*AV106*AV110*AV117*AV124*AV130*AV136*AV139*AV145*AV151*AV157*AV164*AV168*AV172*AV175*AV179*AV183*AV187*AV192*AV195*AV200*AV203*AV207*AV212*AV216</f>
        <v>0</v>
      </c>
      <c r="AZ995"/>
      <c r="BA995"/>
      <c r="BB995"/>
      <c r="BC995"/>
      <c r="BD995"/>
      <c r="BE995"/>
      <c r="BF995"/>
    </row>
    <row r="996" spans="45:83" x14ac:dyDescent="0.3">
      <c r="AT996" t="s">
        <v>507</v>
      </c>
      <c r="AU996">
        <f>AW25*AW34*AW38*AW45*AW50*AW58*AW64*AW70*AW75*AW80*AW86*AW93*AW100*AW106*AW110*AW117*AW124*AW130*AW136*AW139*AW145*AW151*AW157*AW164*AW168*AW172*AW175*AW179*AW183*AW187*AW192*AW195*AW200*AW203*AW207*AW212*AW216</f>
        <v>0</v>
      </c>
      <c r="AZ996"/>
      <c r="BA996"/>
      <c r="BB996"/>
      <c r="BC996"/>
      <c r="BD996"/>
      <c r="BE996"/>
      <c r="BF996"/>
    </row>
    <row r="997" spans="45:83" x14ac:dyDescent="0.3">
      <c r="AT997" t="s">
        <v>508</v>
      </c>
      <c r="AU997">
        <f>AW26*AX34*AX38*AX45*AX50*AX58*AX64*AX70*AX75*AX80*AX86*AX93*AX100*AX106*AX110*AX117*AX124*AX130*AX136*AX139*AX145*AX151*AX157*AX164*AX168*AX172*AX175*AX179*AX183*AX187*AX192*AX195*AX200*AX203*AX207*AX212*AX216</f>
        <v>0</v>
      </c>
      <c r="AZ997"/>
      <c r="BA997"/>
      <c r="BB997"/>
      <c r="BC997"/>
      <c r="BD997"/>
      <c r="BE997"/>
      <c r="BF997"/>
    </row>
    <row r="998" spans="45:83" x14ac:dyDescent="0.3">
      <c r="AT998" t="s">
        <v>509</v>
      </c>
      <c r="AU998">
        <f>AW27*AY34*AY38*AY45*AY50*AY58*AY64*AY70*AY75*AY80*AY86*AY93*AY100*AY106*AY110*AY117*AY124*AY130*AY136*AY139*AY145*AY151*AY157*AY164*AY168*AY172*AY175*AY179*AY183*AY187*AY192*AY195*AY200*AY203*AY207*AY212*AY216</f>
        <v>0</v>
      </c>
      <c r="AZ998"/>
      <c r="BA998"/>
      <c r="BB998"/>
      <c r="BC998"/>
      <c r="BD998"/>
      <c r="BE998"/>
      <c r="BF998"/>
    </row>
    <row r="999" spans="45:83" x14ac:dyDescent="0.3">
      <c r="AZ999"/>
      <c r="BA999"/>
      <c r="BB999"/>
      <c r="BC999"/>
      <c r="BD999"/>
      <c r="BE999"/>
      <c r="BF999"/>
    </row>
    <row r="1000" spans="45:83" x14ac:dyDescent="0.3">
      <c r="AS1000" s="65" t="s">
        <v>500</v>
      </c>
      <c r="AT1000" s="65"/>
      <c r="AU1000" s="20" t="s">
        <v>64</v>
      </c>
      <c r="AV1000" s="1" t="s">
        <v>43</v>
      </c>
      <c r="AW1000" s="1" t="s">
        <v>44</v>
      </c>
      <c r="AX1000" s="1" t="s">
        <v>45</v>
      </c>
      <c r="AY1000" s="1" t="s">
        <v>46</v>
      </c>
      <c r="AZ1000" s="1" t="s">
        <v>47</v>
      </c>
      <c r="BA1000" s="1" t="s">
        <v>48</v>
      </c>
      <c r="BB1000" s="1" t="s">
        <v>49</v>
      </c>
      <c r="BC1000" s="1" t="s">
        <v>50</v>
      </c>
      <c r="BD1000" s="1" t="s">
        <v>51</v>
      </c>
      <c r="BE1000" s="1" t="s">
        <v>52</v>
      </c>
      <c r="BF1000" s="1" t="s">
        <v>53</v>
      </c>
      <c r="BG1000" s="1" t="s">
        <v>54</v>
      </c>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row>
    <row r="1001" spans="45:83" x14ac:dyDescent="0.3">
      <c r="AS1001" s="65"/>
      <c r="AT1001" s="65"/>
      <c r="AU1001" s="20">
        <v>2</v>
      </c>
      <c r="AV1001" t="s">
        <v>5</v>
      </c>
      <c r="AW1001" t="s">
        <v>3</v>
      </c>
      <c r="AX1001" t="s">
        <v>4</v>
      </c>
      <c r="AY1001" t="s">
        <v>3</v>
      </c>
      <c r="AZ1001" t="s">
        <v>5</v>
      </c>
      <c r="BA1001" t="s">
        <v>5</v>
      </c>
      <c r="BB1001" t="s">
        <v>3</v>
      </c>
      <c r="BC1001" t="s">
        <v>4</v>
      </c>
      <c r="BD1001" t="s">
        <v>3</v>
      </c>
      <c r="BE1001" t="s">
        <v>3</v>
      </c>
      <c r="BF1001" t="s">
        <v>4</v>
      </c>
      <c r="BG1001" t="s">
        <v>4</v>
      </c>
    </row>
    <row r="1002" spans="45:83" x14ac:dyDescent="0.3">
      <c r="AT1002" t="s">
        <v>504</v>
      </c>
      <c r="AU1002">
        <f>AW22*AT34*AT38*AT43*AT50*AT58*AT64*AT68*AT73*AT80*AT86*AT91*AT97*AT106*AT110*AT115*AT124*AT130*AT136*AT140*AT145*AT151*AT157*AT164*AT167*AT171*AT175*AT179*AT183*AT187*AT192*AT195*AT200*AT203*AT207*AT211*AT216</f>
        <v>0</v>
      </c>
      <c r="AZ1002"/>
      <c r="BA1002"/>
      <c r="BB1002"/>
      <c r="BC1002"/>
      <c r="BD1002"/>
      <c r="BE1002"/>
      <c r="BF1002"/>
    </row>
    <row r="1003" spans="45:83" x14ac:dyDescent="0.3">
      <c r="AT1003" t="s">
        <v>505</v>
      </c>
      <c r="AU1003">
        <f>AW22*AU34*AU38*AU43*AU50*AU58*AU64*AU68*AU73*AU80*AU86*AU91*AU97*AU106*AU110*AU115*AU124*AU130*AU136*AU140*AU145*AU151*AU157*AU164*AU167*AU171*AU175*AU179*AU183*AU187*AU192*AU195*AU200*AU203*AU207*AU211*AU216</f>
        <v>1.9405154601319988E-11</v>
      </c>
      <c r="AZ1003"/>
      <c r="BA1003"/>
      <c r="BB1003"/>
      <c r="BC1003"/>
      <c r="BD1003"/>
      <c r="BE1003"/>
      <c r="BF1003"/>
    </row>
    <row r="1004" spans="45:83" x14ac:dyDescent="0.3">
      <c r="AT1004" t="s">
        <v>506</v>
      </c>
      <c r="AZ1004"/>
      <c r="BA1004"/>
      <c r="BB1004"/>
      <c r="BC1004"/>
      <c r="BD1004"/>
      <c r="BE1004"/>
      <c r="BF1004"/>
    </row>
    <row r="1005" spans="45:83" x14ac:dyDescent="0.3">
      <c r="AT1005" t="s">
        <v>507</v>
      </c>
      <c r="AZ1005"/>
      <c r="BA1005"/>
      <c r="BB1005"/>
      <c r="BC1005"/>
      <c r="BD1005"/>
      <c r="BE1005"/>
      <c r="BF1005"/>
    </row>
    <row r="1006" spans="45:83" x14ac:dyDescent="0.3">
      <c r="AT1006" t="s">
        <v>508</v>
      </c>
      <c r="AZ1006"/>
      <c r="BA1006"/>
      <c r="BB1006"/>
      <c r="BC1006"/>
      <c r="BD1006"/>
      <c r="BE1006"/>
      <c r="BF1006"/>
    </row>
    <row r="1007" spans="45:83" x14ac:dyDescent="0.3">
      <c r="AT1007" t="s">
        <v>509</v>
      </c>
      <c r="AZ1007"/>
      <c r="BA1007"/>
      <c r="BB1007"/>
      <c r="BC1007"/>
      <c r="BD1007"/>
      <c r="BE1007"/>
      <c r="BF1007"/>
    </row>
    <row r="1008" spans="45:83" x14ac:dyDescent="0.3">
      <c r="AZ1008"/>
      <c r="BA1008"/>
      <c r="BB1008"/>
      <c r="BC1008"/>
      <c r="BD1008"/>
      <c r="BE1008"/>
      <c r="BF1008"/>
    </row>
    <row r="1009" spans="45:83" x14ac:dyDescent="0.3">
      <c r="AS1009" s="65" t="s">
        <v>463</v>
      </c>
      <c r="AT1009" s="65"/>
      <c r="AU1009" s="20" t="s">
        <v>64</v>
      </c>
      <c r="AV1009" s="1" t="s">
        <v>43</v>
      </c>
      <c r="AW1009" s="1" t="s">
        <v>44</v>
      </c>
      <c r="AX1009" s="1" t="s">
        <v>45</v>
      </c>
      <c r="AY1009" s="1" t="s">
        <v>46</v>
      </c>
      <c r="AZ1009" s="1" t="s">
        <v>47</v>
      </c>
      <c r="BA1009" s="1" t="s">
        <v>48</v>
      </c>
      <c r="BB1009" s="1" t="s">
        <v>49</v>
      </c>
      <c r="BC1009" s="1" t="s">
        <v>50</v>
      </c>
      <c r="BD1009" s="1" t="s">
        <v>51</v>
      </c>
      <c r="BE1009" s="1" t="s">
        <v>52</v>
      </c>
      <c r="BF1009" s="1" t="s">
        <v>53</v>
      </c>
      <c r="BG1009" s="1" t="s">
        <v>54</v>
      </c>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row>
    <row r="1010" spans="45:83" x14ac:dyDescent="0.3">
      <c r="AS1010" s="65"/>
      <c r="AT1010" s="65"/>
      <c r="AU1010" s="20">
        <v>2</v>
      </c>
      <c r="AV1010" s="22" t="s">
        <v>2</v>
      </c>
      <c r="AW1010" t="s">
        <v>3</v>
      </c>
      <c r="AX1010" t="s">
        <v>2</v>
      </c>
      <c r="AY1010" t="s">
        <v>5</v>
      </c>
      <c r="AZ1010" t="s">
        <v>5</v>
      </c>
      <c r="BA1010" t="s">
        <v>5</v>
      </c>
      <c r="BB1010" t="s">
        <v>5</v>
      </c>
      <c r="BC1010" t="s">
        <v>2</v>
      </c>
      <c r="BD1010" t="s">
        <v>3</v>
      </c>
      <c r="BE1010" t="s">
        <v>3</v>
      </c>
      <c r="BF1010" s="22" t="s">
        <v>2</v>
      </c>
      <c r="BG1010" t="s">
        <v>5</v>
      </c>
    </row>
    <row r="1011" spans="45:83" x14ac:dyDescent="0.3">
      <c r="AT1011" t="s">
        <v>504</v>
      </c>
      <c r="AU1011">
        <f>AW22*AT33*AT38*AT45*AT52*AT58*AT64*AT70*AT75*AT80*AT86*AT93*AT100*AT106*AT110*AT117*AT124*AT130*AT136*AT142*AT145*AT151*AT157*AT164*AT167*AT171*AT175*AT179*AT183*AT187*AT192*AT195*AT200*AT203*AT207*AT211*AT216</f>
        <v>2.785700904681676E-7</v>
      </c>
      <c r="AZ1011"/>
      <c r="BA1011"/>
      <c r="BB1011"/>
      <c r="BC1011"/>
      <c r="BD1011"/>
      <c r="BE1011"/>
      <c r="BF1011"/>
    </row>
    <row r="1012" spans="45:83" x14ac:dyDescent="0.3">
      <c r="AT1012" t="s">
        <v>505</v>
      </c>
      <c r="AU1012">
        <f>AW23*AU33*AU38*AU45*AU52*AU58*AU64*AU70*AU75*AU80*AU86*AU93*AU100*AU106*AU110*AU117*AU124*AU130*AU136*AU142*AU145*AU151*AU157*AU164*AU167*AU171*AU175*AU179*AU183*AU187*AU192*AU195*AU200*AU203*AU207*AU211*AU216</f>
        <v>4.657237104316797E-9</v>
      </c>
      <c r="AZ1012"/>
      <c r="BA1012"/>
      <c r="BB1012"/>
      <c r="BC1012"/>
      <c r="BD1012"/>
      <c r="BE1012"/>
      <c r="BF1012"/>
    </row>
    <row r="1013" spans="45:83" x14ac:dyDescent="0.3">
      <c r="AT1013" t="s">
        <v>506</v>
      </c>
      <c r="AU1013">
        <f>AW24*AV33*AV38*AV45*AV52*AV58*AV64*AV70*AV75*AV80*AV86*AV93*AV100*AV106*AV110*AV117*AV124*AV130*AV136*AV142*AV145*AV151*AV157*AV164*AV167*AV171*AV175*AV179*AV183*AV187*AV192*AV195*AV200*AV203*AV207*AV211*AV216</f>
        <v>0</v>
      </c>
      <c r="AZ1013"/>
      <c r="BA1013"/>
      <c r="BB1013"/>
      <c r="BC1013"/>
      <c r="BD1013"/>
      <c r="BE1013"/>
      <c r="BF1013"/>
    </row>
    <row r="1014" spans="45:83" x14ac:dyDescent="0.3">
      <c r="AT1014" t="s">
        <v>507</v>
      </c>
      <c r="AU1014">
        <f>AW25*AW33*AW38*AW45*AW52*AW58*AW64*AW70*AW75*AW80*AW86*AW93*AW100*AW106*AW110*AW117*AW124*AW130*AW136*AW142*AW145*AW151*AW157*AW164*AW167*AW171*AW175*AW179*AW183*AW187*AW192*AW195*AW200*AW203*AW207*AW211*AW216</f>
        <v>0</v>
      </c>
      <c r="AZ1014"/>
      <c r="BA1014"/>
      <c r="BB1014"/>
      <c r="BC1014"/>
      <c r="BD1014"/>
      <c r="BE1014"/>
      <c r="BF1014"/>
    </row>
    <row r="1015" spans="45:83" x14ac:dyDescent="0.3">
      <c r="AT1015" t="s">
        <v>508</v>
      </c>
      <c r="AU1015">
        <f>AW26*AX33*AX38*AX45*AX52*AX58*AX64*AX70*AX75*AX80*AX86*AX93*AX100*AX106*AX110*AX117*AX124*AX130*AX136*AX142*AX145*AX151*AX157*AX164*AX167*AX171*AX175*AX179*AX183*AX187*AX192*AX195*AX200*AX203*AX207*AX211*AX216</f>
        <v>4.1330783244220867E-10</v>
      </c>
      <c r="AZ1015"/>
      <c r="BA1015"/>
      <c r="BB1015"/>
      <c r="BC1015"/>
      <c r="BD1015"/>
      <c r="BE1015"/>
      <c r="BF1015"/>
    </row>
    <row r="1016" spans="45:83" x14ac:dyDescent="0.3">
      <c r="AT1016" t="s">
        <v>509</v>
      </c>
      <c r="AU1016">
        <f>AW27*AY33*AY38*AY45*AY52*AY58*AY64*AY70*AY75*AY80*AY86*AY93*AY100*AY106*AY110*AY117*AY124*AY130*AY136*AY142*AY145*AY151*AY157*AY164*AY167*AY171*AY175*AY179*AY183*AY187*AY192*AY195*AY200*AY203*AY207*AY211*AY216</f>
        <v>0</v>
      </c>
      <c r="AZ1016"/>
      <c r="BA1016"/>
      <c r="BB1016"/>
      <c r="BC1016"/>
      <c r="BD1016"/>
      <c r="BE1016"/>
      <c r="BF1016"/>
    </row>
    <row r="1017" spans="45:83" x14ac:dyDescent="0.3">
      <c r="AZ1017"/>
      <c r="BA1017"/>
      <c r="BB1017"/>
      <c r="BC1017"/>
      <c r="BD1017"/>
      <c r="BE1017"/>
      <c r="BF1017"/>
    </row>
    <row r="1018" spans="45:83" x14ac:dyDescent="0.3">
      <c r="AS1018" s="65" t="s">
        <v>464</v>
      </c>
      <c r="AT1018" s="65"/>
      <c r="AU1018" s="20" t="s">
        <v>64</v>
      </c>
      <c r="AV1018" s="1" t="s">
        <v>43</v>
      </c>
      <c r="AW1018" s="1" t="s">
        <v>44</v>
      </c>
      <c r="AX1018" s="1" t="s">
        <v>45</v>
      </c>
      <c r="AY1018" s="1" t="s">
        <v>46</v>
      </c>
      <c r="AZ1018" s="1" t="s">
        <v>47</v>
      </c>
      <c r="BA1018" s="1" t="s">
        <v>48</v>
      </c>
      <c r="BB1018" s="1" t="s">
        <v>49</v>
      </c>
      <c r="BC1018" s="1" t="s">
        <v>50</v>
      </c>
      <c r="BD1018" s="1" t="s">
        <v>51</v>
      </c>
      <c r="BE1018" s="1" t="s">
        <v>52</v>
      </c>
      <c r="BF1018" s="1" t="s">
        <v>53</v>
      </c>
      <c r="BG1018" s="1" t="s">
        <v>54</v>
      </c>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row>
    <row r="1019" spans="45:83" x14ac:dyDescent="0.3">
      <c r="AS1019" s="65"/>
      <c r="AT1019" s="65"/>
      <c r="AU1019" s="20">
        <v>2</v>
      </c>
      <c r="AV1019" t="s">
        <v>4</v>
      </c>
      <c r="AW1019" t="s">
        <v>5</v>
      </c>
      <c r="AX1019" t="s">
        <v>5</v>
      </c>
      <c r="AY1019" t="s">
        <v>5</v>
      </c>
      <c r="AZ1019" t="s">
        <v>5</v>
      </c>
      <c r="BA1019" t="s">
        <v>5</v>
      </c>
      <c r="BB1019" t="s">
        <v>5</v>
      </c>
      <c r="BC1019" t="s">
        <v>2</v>
      </c>
      <c r="BD1019" t="s">
        <v>3</v>
      </c>
      <c r="BE1019" t="s">
        <v>4</v>
      </c>
      <c r="BF1019" t="s">
        <v>4</v>
      </c>
      <c r="BG1019" t="s">
        <v>2</v>
      </c>
    </row>
    <row r="1020" spans="45:83" x14ac:dyDescent="0.3">
      <c r="AT1020" t="s">
        <v>504</v>
      </c>
      <c r="AU1020">
        <f>AW22*AT31*AT40*AT46*AT52*AT58*AT64*AT70*AT75*AT80*AT85*AT91*AT99*AT106*AT109*AT117*AT124*AT129*AT136*AT142*AT147*AT153*AT157*AT164*AT167*AT171*AT175*AT179*AT183*AT187*AT191*AT195*AT199*AT203*AT207*AT211*AT216</f>
        <v>0</v>
      </c>
      <c r="AZ1020"/>
      <c r="BA1020"/>
      <c r="BB1020"/>
      <c r="BC1020"/>
      <c r="BD1020"/>
      <c r="BE1020"/>
      <c r="BF1020"/>
    </row>
    <row r="1021" spans="45:83" x14ac:dyDescent="0.3">
      <c r="AT1021" t="s">
        <v>505</v>
      </c>
      <c r="AU1021">
        <f>AW23*AU31*AU40*AU46*AU52*AU58*AU64*AU70*AU75*AU80*AU85*AU91*AU99*AU106*AU109*AU117*AU124*AU129*AU136*AU142*AU147*AU151*AU157*AU164*AU167*AU171*AU175*AU179*AU183*AU187*AU191*AU195*AU199*AU203*AU207*AU211*AU216</f>
        <v>2.3521399516751493E-11</v>
      </c>
      <c r="AZ1021"/>
      <c r="BA1021"/>
      <c r="BB1021"/>
      <c r="BC1021"/>
      <c r="BD1021"/>
      <c r="BE1021"/>
      <c r="BF1021"/>
    </row>
    <row r="1022" spans="45:83" x14ac:dyDescent="0.3">
      <c r="AT1022" t="s">
        <v>506</v>
      </c>
      <c r="AZ1022"/>
      <c r="BA1022"/>
      <c r="BB1022"/>
      <c r="BC1022"/>
      <c r="BD1022"/>
      <c r="BE1022"/>
      <c r="BF1022"/>
    </row>
    <row r="1023" spans="45:83" x14ac:dyDescent="0.3">
      <c r="AT1023" t="s">
        <v>507</v>
      </c>
      <c r="AZ1023"/>
      <c r="BA1023"/>
      <c r="BB1023"/>
      <c r="BC1023"/>
      <c r="BD1023"/>
      <c r="BE1023"/>
      <c r="BF1023"/>
    </row>
    <row r="1024" spans="45:83" x14ac:dyDescent="0.3">
      <c r="AT1024" t="s">
        <v>508</v>
      </c>
      <c r="AZ1024"/>
      <c r="BA1024"/>
      <c r="BB1024"/>
      <c r="BC1024"/>
      <c r="BD1024"/>
      <c r="BE1024"/>
      <c r="BF1024"/>
    </row>
    <row r="1025" spans="45:83" x14ac:dyDescent="0.3">
      <c r="AT1025" t="s">
        <v>509</v>
      </c>
      <c r="AU1025">
        <f>AW27*AY31*AY40*AY46*AY52*AY58*AY64*AY70*AY75*AY80*AY85*AY91*AY99*AY106*AY109*AY117*AY124*AY129*AY136*AY142*AY147*AY151*AY157*AY164*AY167*AY171*AY175*AY179*AY183*AY187*AY191*AY195*AY199*AY203*AY207*AY211*AY216</f>
        <v>1.0756884473246228E-12</v>
      </c>
      <c r="AZ1025"/>
      <c r="BA1025"/>
      <c r="BB1025"/>
      <c r="BC1025"/>
      <c r="BD1025"/>
      <c r="BE1025"/>
      <c r="BF1025"/>
    </row>
    <row r="1026" spans="45:83" x14ac:dyDescent="0.3">
      <c r="AZ1026"/>
      <c r="BA1026"/>
      <c r="BB1026"/>
      <c r="BC1026"/>
      <c r="BD1026"/>
      <c r="BE1026"/>
      <c r="BF1026"/>
    </row>
    <row r="1027" spans="45:83" x14ac:dyDescent="0.3">
      <c r="AS1027" s="65" t="s">
        <v>490</v>
      </c>
      <c r="AT1027" s="65"/>
      <c r="AU1027" s="20" t="s">
        <v>64</v>
      </c>
      <c r="AV1027" s="1" t="s">
        <v>43</v>
      </c>
      <c r="AW1027" s="1" t="s">
        <v>44</v>
      </c>
      <c r="AX1027" s="1" t="s">
        <v>45</v>
      </c>
      <c r="AY1027" s="1" t="s">
        <v>46</v>
      </c>
      <c r="AZ1027" s="1" t="s">
        <v>47</v>
      </c>
      <c r="BA1027" s="1" t="s">
        <v>48</v>
      </c>
      <c r="BB1027" s="1" t="s">
        <v>49</v>
      </c>
      <c r="BC1027" s="1" t="s">
        <v>50</v>
      </c>
      <c r="BD1027" s="1" t="s">
        <v>51</v>
      </c>
      <c r="BE1027" s="1" t="s">
        <v>52</v>
      </c>
      <c r="BF1027" s="1" t="s">
        <v>53</v>
      </c>
      <c r="BG1027" s="1" t="s">
        <v>54</v>
      </c>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row>
    <row r="1028" spans="45:83" x14ac:dyDescent="0.3">
      <c r="AS1028" s="65"/>
      <c r="AT1028" s="65"/>
      <c r="AU1028" s="20">
        <v>2</v>
      </c>
      <c r="AV1028" t="s">
        <v>4</v>
      </c>
      <c r="AW1028" t="s">
        <v>5</v>
      </c>
      <c r="AX1028" t="s">
        <v>3</v>
      </c>
      <c r="AY1028" t="s">
        <v>2</v>
      </c>
      <c r="AZ1028" t="s">
        <v>5</v>
      </c>
      <c r="BA1028" t="s">
        <v>5</v>
      </c>
      <c r="BB1028" t="s">
        <v>5</v>
      </c>
      <c r="BC1028" t="s">
        <v>2</v>
      </c>
      <c r="BD1028" t="s">
        <v>2</v>
      </c>
      <c r="BE1028" t="s">
        <v>3</v>
      </c>
      <c r="BF1028" t="s">
        <v>4</v>
      </c>
      <c r="BG1028" t="s">
        <v>2</v>
      </c>
    </row>
    <row r="1029" spans="45:83" x14ac:dyDescent="0.3">
      <c r="AT1029" t="s">
        <v>504</v>
      </c>
      <c r="AU1029">
        <f>AW22*AT31*AT40*AT44*AT51*AT58*AT64*AT70*AT75*AT81*AT86*AT91*AT99*AT106*AT110*AT115*AT124*AT130*AT136*AT139*AT145*AT152*AT157*AT164*AT167*AT171*AT175*AT179*AT183*AT187*AT192*AT195*AT200*AT203*AT207*AT211*AT215</f>
        <v>0</v>
      </c>
      <c r="AZ1029"/>
      <c r="BA1029"/>
      <c r="BB1029"/>
      <c r="BC1029"/>
      <c r="BD1029"/>
      <c r="BE1029"/>
      <c r="BF1029"/>
    </row>
    <row r="1030" spans="45:83" x14ac:dyDescent="0.3">
      <c r="AT1030" t="s">
        <v>505</v>
      </c>
      <c r="AU1030">
        <f>AW23*AU31*AU40*AU44*AU51*AU58*AU64*AU70*AU75*AU81*AU86*AU91*AU99*AU106*AU110*AU115*AU124*AU130*AU136*AU139*AU145*AU152*AU157*AU164*AU167*AU171*AU175*AU179*AU183*AU187*AU192*AU195*AU200*AU203*AU207*AU211*AU215</f>
        <v>4.3661597852969987E-10</v>
      </c>
      <c r="AZ1030"/>
      <c r="BA1030"/>
      <c r="BB1030"/>
      <c r="BC1030"/>
      <c r="BD1030"/>
      <c r="BE1030"/>
      <c r="BF1030"/>
    </row>
    <row r="1031" spans="45:83" x14ac:dyDescent="0.3">
      <c r="AT1031" t="s">
        <v>506</v>
      </c>
      <c r="AZ1031"/>
      <c r="BA1031"/>
      <c r="BB1031"/>
      <c r="BC1031"/>
      <c r="BD1031"/>
      <c r="BE1031"/>
      <c r="BF1031"/>
    </row>
    <row r="1032" spans="45:83" x14ac:dyDescent="0.3">
      <c r="AT1032" t="s">
        <v>507</v>
      </c>
      <c r="AZ1032"/>
      <c r="BA1032"/>
      <c r="BB1032"/>
      <c r="BC1032"/>
      <c r="BD1032"/>
      <c r="BE1032"/>
      <c r="BF1032"/>
    </row>
    <row r="1033" spans="45:83" x14ac:dyDescent="0.3">
      <c r="AT1033" t="s">
        <v>508</v>
      </c>
      <c r="AZ1033"/>
      <c r="BA1033"/>
      <c r="BB1033"/>
      <c r="BC1033"/>
      <c r="BD1033"/>
      <c r="BE1033"/>
      <c r="BF1033"/>
    </row>
    <row r="1034" spans="45:83" x14ac:dyDescent="0.3">
      <c r="AT1034" t="s">
        <v>509</v>
      </c>
      <c r="AZ1034"/>
      <c r="BA1034"/>
      <c r="BB1034"/>
      <c r="BC1034"/>
      <c r="BD1034"/>
      <c r="BE1034"/>
      <c r="BF1034"/>
    </row>
    <row r="1035" spans="45:83" x14ac:dyDescent="0.3">
      <c r="AZ1035"/>
      <c r="BA1035"/>
      <c r="BB1035"/>
      <c r="BC1035"/>
      <c r="BD1035"/>
      <c r="BE1035"/>
      <c r="BF1035"/>
    </row>
    <row r="1036" spans="45:83" x14ac:dyDescent="0.3">
      <c r="AS1036" s="65" t="s">
        <v>319</v>
      </c>
      <c r="AT1036" s="65"/>
      <c r="AU1036" s="20" t="s">
        <v>64</v>
      </c>
      <c r="AV1036" s="1" t="s">
        <v>43</v>
      </c>
      <c r="AW1036" s="1" t="s">
        <v>44</v>
      </c>
      <c r="AX1036" s="1" t="s">
        <v>45</v>
      </c>
      <c r="AY1036" s="1" t="s">
        <v>46</v>
      </c>
      <c r="AZ1036" s="1" t="s">
        <v>47</v>
      </c>
      <c r="BA1036" s="1" t="s">
        <v>48</v>
      </c>
      <c r="BB1036" s="1" t="s">
        <v>49</v>
      </c>
      <c r="BC1036" s="1" t="s">
        <v>50</v>
      </c>
      <c r="BD1036" s="1" t="s">
        <v>51</v>
      </c>
      <c r="BE1036" s="1" t="s">
        <v>52</v>
      </c>
      <c r="BF1036" s="1" t="s">
        <v>53</v>
      </c>
      <c r="BG1036" s="1" t="s">
        <v>54</v>
      </c>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row>
    <row r="1037" spans="45:83" x14ac:dyDescent="0.3">
      <c r="AS1037" s="65"/>
      <c r="AT1037" s="65"/>
      <c r="AU1037" s="20">
        <v>3</v>
      </c>
      <c r="AV1037" s="22" t="s">
        <v>2</v>
      </c>
      <c r="AW1037" t="s">
        <v>3</v>
      </c>
      <c r="AX1037" t="s">
        <v>3</v>
      </c>
      <c r="AY1037" t="s">
        <v>2</v>
      </c>
      <c r="AZ1037" t="s">
        <v>5</v>
      </c>
      <c r="BA1037" t="s">
        <v>5</v>
      </c>
      <c r="BB1037" t="s">
        <v>5</v>
      </c>
      <c r="BC1037" t="s">
        <v>2</v>
      </c>
      <c r="BD1037" t="s">
        <v>3</v>
      </c>
      <c r="BE1037" t="s">
        <v>3</v>
      </c>
      <c r="BF1037" t="s">
        <v>3</v>
      </c>
      <c r="BG1037" t="s">
        <v>2</v>
      </c>
    </row>
    <row r="1038" spans="45:83" x14ac:dyDescent="0.3">
      <c r="AT1038" t="s">
        <v>504</v>
      </c>
      <c r="AU1038">
        <f>AW22*AT33*AT38*AT44*AT51*AT58*AT64*AT70*AT75*AT80*AT86*AT92*AT99*AT106*AT110*AT116*AT124*AT130*AT136*AT142*AT145*AT152*AT159*AT164*AT167*AT171*AT175*AT179*AT183*AT187*AT192*AT195*AT200*AT203*AT207*AT212*AT216</f>
        <v>0</v>
      </c>
      <c r="AZ1038"/>
      <c r="BA1038"/>
      <c r="BB1038"/>
      <c r="BC1038"/>
      <c r="BD1038"/>
      <c r="BE1038"/>
      <c r="BF1038"/>
    </row>
    <row r="1039" spans="45:83" x14ac:dyDescent="0.3">
      <c r="AT1039" t="s">
        <v>505</v>
      </c>
      <c r="AU1039">
        <f>AW23*AU33*AU38*AU44*AU51*AU58*AU64*AU70*AU75*AU80*AU86*AU92*AU99*AU106*AU110*AU116*AU124*AU130*AU136*AU142*AU145*AU152*AU159*AU164*AU167*AU171*AU175*AU179*AU183*AU187*AU192*AU195*AU200*AU203*AU207*AU212*AU216</f>
        <v>2.2639347034873317E-9</v>
      </c>
      <c r="AZ1039"/>
      <c r="BA1039"/>
      <c r="BB1039"/>
      <c r="BC1039"/>
      <c r="BD1039"/>
      <c r="BE1039"/>
      <c r="BF1039"/>
    </row>
    <row r="1040" spans="45:83" x14ac:dyDescent="0.3">
      <c r="AT1040" t="s">
        <v>506</v>
      </c>
      <c r="AU1040">
        <f>AW24*AV33*AV38*AV44*AV51*AV58*AV64*AV70*AV75*AV80*AV86*AV92*AV99*AV106*AV110*AV116*AV124*AV130*AV136*AV142*AV145*AV152*AV159*AV164*AV167*AV171*AV175*AV179*AV183*AV187*AV192*AV195*AV200*AV203*AV207*AV212*AV216</f>
        <v>5.5332311688297959E-8</v>
      </c>
      <c r="AZ1040"/>
      <c r="BA1040"/>
      <c r="BB1040"/>
      <c r="BC1040"/>
      <c r="BD1040"/>
      <c r="BE1040"/>
      <c r="BF1040"/>
    </row>
    <row r="1041" spans="45:83" x14ac:dyDescent="0.3">
      <c r="AT1041" t="s">
        <v>507</v>
      </c>
      <c r="AU1041">
        <f>AW25*AW33*AW38*AW44*AW51*AW58*AW64*AW70*AW75*AW80*AW86*AW92*AW99*AW106*AW110*AW116*AW124*AW130*AW136*AW142*AW145*AW152*AW159*AW164*AW167*AW171*AW175*AW179*AW183*AW187*AW192*AW195*AW200*AW203*AW207*AW212*AW216</f>
        <v>5.0285880902225259E-9</v>
      </c>
      <c r="AZ1041"/>
      <c r="BA1041"/>
      <c r="BB1041"/>
      <c r="BC1041"/>
      <c r="BD1041"/>
      <c r="BE1041"/>
      <c r="BF1041"/>
    </row>
    <row r="1042" spans="45:83" x14ac:dyDescent="0.3">
      <c r="AT1042" t="s">
        <v>508</v>
      </c>
      <c r="AU1042">
        <f>AW26*AX33*AX38*AX44*AX51*AX58*AX64*AX70*AX75*AX80*AX86*AX92*AX99*AX106*AX110*AX116*AX124*AX130*AX136*AX142*AX145*AX152*AX159*AX164*AX167*AX171*AX175*AX179*AX183*AX187*AX192*AX195*AX200*AX203*AX207*AX212*AX216</f>
        <v>0</v>
      </c>
      <c r="AZ1042"/>
      <c r="BA1042"/>
      <c r="BB1042"/>
      <c r="BC1042"/>
      <c r="BD1042"/>
      <c r="BE1042"/>
      <c r="BF1042"/>
    </row>
    <row r="1043" spans="45:83" x14ac:dyDescent="0.3">
      <c r="AT1043" t="s">
        <v>509</v>
      </c>
      <c r="AU1043">
        <f>AW27*AY33*AY38*AY44*AY51*AY58*AY64*AY70*AY75*AY80*AY86*AY92*AY99*AY106*AY110*AY116*AY124*AY130*AY136*AY142*AY145*AY152*AY159*AY164*AY167*AY171*AY175*AY179*AY183*AY187*AY192*AY195*AY200*AY203*AY207*AY212*AY216</f>
        <v>0</v>
      </c>
      <c r="AZ1043"/>
      <c r="BA1043"/>
      <c r="BB1043"/>
      <c r="BC1043"/>
      <c r="BD1043"/>
      <c r="BE1043"/>
      <c r="BF1043"/>
    </row>
    <row r="1044" spans="45:83" x14ac:dyDescent="0.3">
      <c r="AZ1044"/>
      <c r="BA1044"/>
      <c r="BB1044"/>
      <c r="BC1044"/>
      <c r="BD1044"/>
      <c r="BE1044"/>
      <c r="BF1044"/>
    </row>
    <row r="1045" spans="45:83" x14ac:dyDescent="0.3">
      <c r="AS1045" s="65" t="s">
        <v>501</v>
      </c>
      <c r="AT1045" s="65"/>
      <c r="AU1045" s="20" t="s">
        <v>64</v>
      </c>
      <c r="AV1045" s="1" t="s">
        <v>43</v>
      </c>
      <c r="AW1045" s="1" t="s">
        <v>44</v>
      </c>
      <c r="AX1045" s="1" t="s">
        <v>45</v>
      </c>
      <c r="AY1045" s="1" t="s">
        <v>46</v>
      </c>
      <c r="AZ1045" s="1" t="s">
        <v>47</v>
      </c>
      <c r="BA1045" s="1" t="s">
        <v>48</v>
      </c>
      <c r="BB1045" s="1" t="s">
        <v>49</v>
      </c>
      <c r="BC1045" s="1" t="s">
        <v>50</v>
      </c>
      <c r="BD1045" s="1" t="s">
        <v>51</v>
      </c>
      <c r="BE1045" s="1" t="s">
        <v>52</v>
      </c>
      <c r="BF1045" s="1" t="s">
        <v>53</v>
      </c>
      <c r="BG1045" s="1" t="s">
        <v>54</v>
      </c>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row>
    <row r="1046" spans="45:83" x14ac:dyDescent="0.3">
      <c r="AS1046" s="65"/>
      <c r="AT1046" s="65"/>
      <c r="AU1046" s="20">
        <v>3</v>
      </c>
      <c r="AV1046" t="s">
        <v>2</v>
      </c>
      <c r="AW1046" t="s">
        <v>3</v>
      </c>
      <c r="AX1046" t="s">
        <v>3</v>
      </c>
      <c r="AY1046" t="s">
        <v>2</v>
      </c>
      <c r="AZ1046" t="s">
        <v>5</v>
      </c>
      <c r="BA1046" t="s">
        <v>2</v>
      </c>
      <c r="BB1046" t="s">
        <v>5</v>
      </c>
      <c r="BC1046" t="s">
        <v>2</v>
      </c>
      <c r="BD1046" t="s">
        <v>3</v>
      </c>
      <c r="BE1046" t="s">
        <v>4</v>
      </c>
      <c r="BF1046" t="s">
        <v>4</v>
      </c>
      <c r="BG1046" t="s">
        <v>5</v>
      </c>
    </row>
    <row r="1047" spans="45:83" x14ac:dyDescent="0.3">
      <c r="AT1047" t="s">
        <v>504</v>
      </c>
      <c r="AU1047">
        <f>AW22*AT33*AT38*AT44*AT51*AT58*AT63*AT70*AT75*AT80*AT85*AT91*AT100*AT106*AT109*AT118*AT124*AT130*AT136*AT142*AT145*AT152*AT157*AT163*AT167*AT171*AT175*AT179*AT183*AT187*AT191*AT195*AT200*AT203*AT207*AT212*AT215</f>
        <v>0</v>
      </c>
      <c r="AZ1047"/>
      <c r="BA1047"/>
      <c r="BB1047"/>
      <c r="BC1047"/>
      <c r="BD1047"/>
      <c r="BE1047"/>
      <c r="BF1047"/>
    </row>
    <row r="1048" spans="45:83" x14ac:dyDescent="0.3">
      <c r="AZ1048"/>
      <c r="BA1048"/>
      <c r="BB1048"/>
      <c r="BC1048"/>
      <c r="BD1048"/>
      <c r="BE1048"/>
      <c r="BF1048"/>
    </row>
    <row r="1049" spans="45:83" x14ac:dyDescent="0.3">
      <c r="AT1049" t="s">
        <v>506</v>
      </c>
      <c r="AU1049">
        <f>AW24*AV33*AV38*AV44*AV51*AV58*AV63*AV70*AV75*AV80*AV85*AV91*AV100*AV106*AV109*AV118*AV124*AV130*AV136*AV142*AV145*AV152*AV157*AV163*AV167*AV171*AV175*AV179*AV183*AV187*AV191*AV195*AV200*AV203*AV207*AV212*AV215</f>
        <v>7.1134284998730203E-11</v>
      </c>
      <c r="AZ1049"/>
      <c r="BA1049"/>
      <c r="BB1049"/>
      <c r="BC1049"/>
      <c r="BD1049"/>
      <c r="BE1049"/>
      <c r="BF1049"/>
    </row>
    <row r="1050" spans="45:83" x14ac:dyDescent="0.3">
      <c r="AZ1050"/>
      <c r="BA1050"/>
      <c r="BB1050"/>
      <c r="BC1050"/>
      <c r="BD1050"/>
      <c r="BE1050"/>
      <c r="BF1050"/>
    </row>
    <row r="1051" spans="45:83" x14ac:dyDescent="0.3">
      <c r="AS1051" s="65" t="s">
        <v>320</v>
      </c>
      <c r="AT1051" s="65"/>
      <c r="AU1051" s="20" t="s">
        <v>64</v>
      </c>
      <c r="AV1051" s="1" t="s">
        <v>43</v>
      </c>
      <c r="AW1051" s="1" t="s">
        <v>44</v>
      </c>
      <c r="AX1051" s="1" t="s">
        <v>45</v>
      </c>
      <c r="AY1051" s="1" t="s">
        <v>46</v>
      </c>
      <c r="AZ1051" s="1" t="s">
        <v>47</v>
      </c>
      <c r="BA1051" s="1" t="s">
        <v>48</v>
      </c>
      <c r="BB1051" s="1" t="s">
        <v>49</v>
      </c>
      <c r="BC1051" s="1" t="s">
        <v>50</v>
      </c>
      <c r="BD1051" s="1" t="s">
        <v>51</v>
      </c>
      <c r="BE1051" s="1" t="s">
        <v>52</v>
      </c>
      <c r="BF1051" s="1" t="s">
        <v>53</v>
      </c>
      <c r="BG1051" s="1" t="s">
        <v>54</v>
      </c>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row>
    <row r="1052" spans="45:83" x14ac:dyDescent="0.3">
      <c r="AS1052" s="65"/>
      <c r="AT1052" s="65"/>
      <c r="AU1052" s="20">
        <v>3</v>
      </c>
      <c r="AV1052" s="22" t="s">
        <v>2</v>
      </c>
      <c r="AW1052" t="s">
        <v>3</v>
      </c>
      <c r="AX1052" t="s">
        <v>3</v>
      </c>
      <c r="AY1052" t="s">
        <v>5</v>
      </c>
      <c r="AZ1052" t="s">
        <v>5</v>
      </c>
      <c r="BA1052" t="s">
        <v>5</v>
      </c>
      <c r="BB1052" t="s">
        <v>2</v>
      </c>
      <c r="BC1052" t="s">
        <v>2</v>
      </c>
      <c r="BD1052" t="s">
        <v>3</v>
      </c>
      <c r="BE1052" t="s">
        <v>3</v>
      </c>
      <c r="BF1052" t="s">
        <v>4</v>
      </c>
      <c r="BG1052" t="s">
        <v>5</v>
      </c>
    </row>
    <row r="1053" spans="45:83" x14ac:dyDescent="0.3">
      <c r="AZ1053"/>
      <c r="BA1053"/>
      <c r="BB1053"/>
      <c r="BC1053"/>
      <c r="BD1053"/>
      <c r="BE1053"/>
      <c r="BF1053"/>
    </row>
    <row r="1054" spans="45:83" x14ac:dyDescent="0.3">
      <c r="AZ1054"/>
      <c r="BA1054"/>
      <c r="BB1054"/>
      <c r="BC1054"/>
      <c r="BD1054"/>
      <c r="BE1054"/>
      <c r="BF1054"/>
    </row>
    <row r="1055" spans="45:83" x14ac:dyDescent="0.3">
      <c r="AT1055" t="s">
        <v>506</v>
      </c>
      <c r="AU1055">
        <f>AW24*AV33*AV38*AV44*AV52*AV58*AV64*AV69*AV75*AV80*AV86*AV91*AV100*AV105*AV110*AV117*AV124*AV130*AV136*AV142*AV145*AV152*AV158*AV164*AV167*AV171*AV175*AV179*AV183*AV187*AV192*AV195*AV200*AV203*AV207*AV212*AV216</f>
        <v>5.5891223927573679E-8</v>
      </c>
      <c r="AZ1055"/>
      <c r="BA1055"/>
      <c r="BB1055"/>
      <c r="BC1055"/>
      <c r="BD1055"/>
      <c r="BE1055"/>
      <c r="BF1055"/>
    </row>
    <row r="1056" spans="45:83" x14ac:dyDescent="0.3">
      <c r="AZ1056"/>
      <c r="BA1056"/>
      <c r="BB1056"/>
      <c r="BC1056"/>
      <c r="BD1056"/>
      <c r="BE1056"/>
      <c r="BF1056"/>
    </row>
    <row r="1057" spans="45:83" x14ac:dyDescent="0.3">
      <c r="AT1057" t="s">
        <v>508</v>
      </c>
      <c r="AU1057">
        <f>AW26*AX33*AX38*AX44*AX52*AX58*AX64*AX69*AX75*AX80*AX86*AX91*AX100*AX105*AX110*AX117*AX124*AX130*AX136*AX142*AX145*AX152*AX158*AX164*AX167*AX171*AX175*AX179*AX183*AX187*AX192*AX195*AX200*AX203*AX207*AX212*AX216</f>
        <v>3.9362650708781791E-11</v>
      </c>
      <c r="AZ1057"/>
      <c r="BA1057"/>
      <c r="BB1057"/>
      <c r="BC1057"/>
      <c r="BD1057"/>
      <c r="BE1057"/>
      <c r="BF1057"/>
    </row>
    <row r="1058" spans="45:83" x14ac:dyDescent="0.3">
      <c r="AZ1058"/>
      <c r="BA1058"/>
      <c r="BB1058"/>
      <c r="BC1058"/>
      <c r="BD1058"/>
      <c r="BE1058"/>
      <c r="BF1058"/>
    </row>
    <row r="1059" spans="45:83" x14ac:dyDescent="0.3">
      <c r="AS1059" s="65" t="s">
        <v>515</v>
      </c>
      <c r="AT1059" s="65"/>
      <c r="AU1059" s="20" t="s">
        <v>64</v>
      </c>
      <c r="AV1059" s="1" t="s">
        <v>43</v>
      </c>
      <c r="AW1059" s="1" t="s">
        <v>44</v>
      </c>
      <c r="AX1059" s="1" t="s">
        <v>45</v>
      </c>
      <c r="AY1059" s="1" t="s">
        <v>46</v>
      </c>
      <c r="AZ1059" s="1" t="s">
        <v>47</v>
      </c>
      <c r="BA1059" s="1" t="s">
        <v>48</v>
      </c>
      <c r="BB1059" s="1" t="s">
        <v>49</v>
      </c>
      <c r="BC1059" s="1" t="s">
        <v>50</v>
      </c>
      <c r="BD1059" s="1" t="s">
        <v>51</v>
      </c>
      <c r="BE1059" s="1" t="s">
        <v>52</v>
      </c>
      <c r="BF1059" s="1" t="s">
        <v>53</v>
      </c>
      <c r="BG1059" s="1" t="s">
        <v>54</v>
      </c>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row>
    <row r="1060" spans="45:83" x14ac:dyDescent="0.3">
      <c r="AS1060" s="65"/>
      <c r="AT1060" s="65"/>
      <c r="AU1060" s="20">
        <v>3</v>
      </c>
      <c r="AV1060" t="s">
        <v>2</v>
      </c>
      <c r="AW1060" t="s">
        <v>5</v>
      </c>
      <c r="AX1060" t="s">
        <v>3</v>
      </c>
      <c r="AY1060" t="s">
        <v>3</v>
      </c>
      <c r="AZ1060" t="s">
        <v>5</v>
      </c>
      <c r="BA1060" t="s">
        <v>5</v>
      </c>
      <c r="BB1060" t="s">
        <v>2</v>
      </c>
      <c r="BC1060" t="s">
        <v>2</v>
      </c>
      <c r="BD1060" t="s">
        <v>3</v>
      </c>
      <c r="BE1060" t="s">
        <v>4</v>
      </c>
      <c r="BF1060" t="s">
        <v>4</v>
      </c>
      <c r="BG1060" t="s">
        <v>5</v>
      </c>
    </row>
    <row r="1061" spans="45:83" x14ac:dyDescent="0.3">
      <c r="AT1061" t="s">
        <v>504</v>
      </c>
      <c r="AU1061">
        <f>AW22*AT33*AT40*AT44*AT50*AT58*AT64*AT69*AT75*AT80*AT85*AT91*AT100*AT104*AT110*AT117*AT124*AT128*AT135*AT142*AT145*AT152*AT159*AT164*AT167*AT171*AT175*AT179*AT183*AT187*AT192*AT195*AT200*AT203*AT207*AT211*AT216</f>
        <v>0</v>
      </c>
      <c r="AZ1061"/>
      <c r="BA1061"/>
      <c r="BB1061"/>
      <c r="BC1061"/>
      <c r="BD1061"/>
      <c r="BE1061"/>
      <c r="BF1061"/>
    </row>
    <row r="1062" spans="45:83" x14ac:dyDescent="0.3">
      <c r="AT1062" t="s">
        <v>505</v>
      </c>
      <c r="AU1062">
        <f>AW23*AU33*AU40*AU44*AU50*AU58*AU64*AU69*AU75*AU80*AU85*AU91*AU100*AU104*AU110*AU117*AU124*AU128*AU135*AU142*AU145*AU152*AU159*AU164*AU167*AU171*AU175*AU179*AU183*AU187*AU192*AU195*AU200*AU203*AU207*AU211*AU216</f>
        <v>0</v>
      </c>
      <c r="AZ1062"/>
      <c r="BA1062"/>
      <c r="BB1062"/>
      <c r="BC1062"/>
      <c r="BD1062"/>
      <c r="BE1062"/>
      <c r="BF1062"/>
    </row>
    <row r="1063" spans="45:83" x14ac:dyDescent="0.3">
      <c r="AT1063" t="s">
        <v>506</v>
      </c>
      <c r="AU1063">
        <f>AW24*AV33*AV40*AV44*AV50*AV58*AV64*AV69*AV75*AV80*AV85*AV91*AV100*AV104*AV110*AV117*AV124*AV128*AV135*AV142*AV145*AV152*AV159*AV164*AV167*AV171*AV175*AV179*AV183*AV187*AV192*AV195*AV200*AV203*AV207*AV211*AV216</f>
        <v>2.1898000192009295E-11</v>
      </c>
      <c r="AZ1063"/>
      <c r="BA1063"/>
      <c r="BB1063"/>
      <c r="BC1063"/>
      <c r="BD1063"/>
      <c r="BE1063"/>
      <c r="BF1063"/>
    </row>
    <row r="1064" spans="45:83" x14ac:dyDescent="0.3">
      <c r="AT1064" t="s">
        <v>507</v>
      </c>
      <c r="AU1064">
        <f>AW25*AW33*AW40*AW44*AW50*AW58*AW64*AW69*AW75*AW80*AW85*AW91*AW100*AW104*AW110*AW117*AW124*AW128*AW135*AW142*AW145*AW152*AW159*AW164*AW167*AW171*AW175*AW179*AW183*AW187*AW192*AW195*AW200*AW203*AW207*AW211*AW216</f>
        <v>0</v>
      </c>
      <c r="AZ1064"/>
      <c r="BA1064"/>
      <c r="BB1064"/>
      <c r="BC1064"/>
      <c r="BD1064"/>
      <c r="BE1064"/>
      <c r="BF1064"/>
    </row>
    <row r="1065" spans="45:83" x14ac:dyDescent="0.3">
      <c r="AT1065" t="s">
        <v>508</v>
      </c>
      <c r="AU1065">
        <f>AW26*AX33*AX40*AX44*AX50*AX58*AX64*AX69*AX75*AX80*AX85*AX91*AX100*AX104*AX110*AX117*AX124*AX128*AX135*AX142*AX145*AX152*AX159*AX164*AX167*AX171*AX175*AX179*AX183*AX187*AX192*AX195*AX200*AX203*AX207*AX211*AX216</f>
        <v>0</v>
      </c>
      <c r="AZ1065"/>
      <c r="BA1065"/>
      <c r="BB1065"/>
      <c r="BC1065"/>
      <c r="BD1065"/>
      <c r="BE1065"/>
      <c r="BF1065"/>
    </row>
    <row r="1066" spans="45:83" x14ac:dyDescent="0.3">
      <c r="AT1066" t="s">
        <v>509</v>
      </c>
      <c r="AU1066">
        <f>AW27*AY33*AY40*AY44*AY50*AY58*AY64*AY69*AY75*AY80*AY85*AY91*AY100*AY104*AY110*AY117*AY124*AY128*AY135*AY142*AY145*AY152*AY159*AY164*AY167*AY171*AY175*AY179*AY183*AY187*AY192*AY195*AY200*AY203*AY207*AY211*AY216</f>
        <v>0</v>
      </c>
      <c r="AZ1066"/>
      <c r="BA1066"/>
      <c r="BB1066"/>
      <c r="BC1066"/>
      <c r="BD1066"/>
      <c r="BE1066"/>
      <c r="BF1066"/>
    </row>
    <row r="1067" spans="45:83" x14ac:dyDescent="0.3">
      <c r="AZ1067"/>
      <c r="BA1067"/>
      <c r="BB1067"/>
      <c r="BC1067"/>
      <c r="BD1067"/>
      <c r="BE1067"/>
      <c r="BF1067"/>
    </row>
    <row r="1068" spans="45:83" x14ac:dyDescent="0.3">
      <c r="AS1068" s="65" t="s">
        <v>468</v>
      </c>
      <c r="AT1068" s="65"/>
      <c r="AU1068" s="20" t="s">
        <v>64</v>
      </c>
      <c r="AV1068" s="1" t="s">
        <v>43</v>
      </c>
      <c r="AW1068" s="1" t="s">
        <v>44</v>
      </c>
      <c r="AX1068" s="1" t="s">
        <v>45</v>
      </c>
      <c r="AY1068" s="1" t="s">
        <v>46</v>
      </c>
      <c r="AZ1068" s="1" t="s">
        <v>47</v>
      </c>
      <c r="BA1068" s="1" t="s">
        <v>48</v>
      </c>
      <c r="BB1068" s="1" t="s">
        <v>49</v>
      </c>
      <c r="BC1068" s="1" t="s">
        <v>50</v>
      </c>
      <c r="BD1068" s="1" t="s">
        <v>51</v>
      </c>
      <c r="BE1068" s="1" t="s">
        <v>52</v>
      </c>
      <c r="BF1068" s="1" t="s">
        <v>53</v>
      </c>
      <c r="BG1068" s="1" t="s">
        <v>54</v>
      </c>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row>
    <row r="1069" spans="45:83" x14ac:dyDescent="0.3">
      <c r="AS1069" s="65"/>
      <c r="AT1069" s="65"/>
      <c r="AU1069" s="20">
        <v>3</v>
      </c>
      <c r="AV1069" t="s">
        <v>4</v>
      </c>
      <c r="AW1069" t="s">
        <v>3</v>
      </c>
      <c r="AX1069" t="s">
        <v>5</v>
      </c>
      <c r="AY1069" t="s">
        <v>5</v>
      </c>
      <c r="AZ1069" t="s">
        <v>5</v>
      </c>
      <c r="BA1069" t="s">
        <v>5</v>
      </c>
      <c r="BB1069" t="s">
        <v>5</v>
      </c>
      <c r="BC1069" t="s">
        <v>2</v>
      </c>
      <c r="BD1069" t="s">
        <v>3</v>
      </c>
      <c r="BE1069" t="s">
        <v>3</v>
      </c>
      <c r="BF1069" t="s">
        <v>2</v>
      </c>
      <c r="BG1069" t="s">
        <v>2</v>
      </c>
    </row>
    <row r="1070" spans="45:83" x14ac:dyDescent="0.3">
      <c r="AT1070" t="s">
        <v>504</v>
      </c>
      <c r="AU1070">
        <f xml:space="preserve"> AW22*AT31*AT38*AT46*AT52*AT58*AT64*AT70*AT75*AT80*AT86*AT93*AT99*AT106*AT110*AT117*AT123*AT130*AT136*AT142*AT146*AT154*AT160*AT163*AT167*AT171*AT175*AT179*AT183*AT187*AT192*AT195*AT200*AT203*AT207*AT212*AT216</f>
        <v>0</v>
      </c>
      <c r="AZ1070"/>
      <c r="BA1070"/>
      <c r="BB1070"/>
      <c r="BC1070"/>
      <c r="BD1070"/>
      <c r="BE1070"/>
      <c r="BF1070"/>
    </row>
    <row r="1071" spans="45:83" x14ac:dyDescent="0.3">
      <c r="AT1071" t="s">
        <v>505</v>
      </c>
      <c r="AU1071">
        <f xml:space="preserve"> AW23*AU31*AU38*AU46*AU52*AU58*AU64*AU70*AU75*AU80*AU86*AU93*AU99*AU106*AU110*AU117*AU123*AU130*AU136*AU142*AU146*AU154*AU160*AU163*AU167*AU171*AU175*AU179*AU183*AU187*AU192*AU195*AU200*AU203*AU207*AU212*AU216</f>
        <v>0</v>
      </c>
      <c r="AZ1071"/>
      <c r="BA1071"/>
      <c r="BB1071"/>
      <c r="BC1071"/>
      <c r="BD1071"/>
      <c r="BE1071"/>
      <c r="BF1071"/>
    </row>
    <row r="1072" spans="45:83" x14ac:dyDescent="0.3">
      <c r="AT1072" t="s">
        <v>506</v>
      </c>
      <c r="AU1072">
        <f xml:space="preserve"> AW24*AV31*AV38*AV46*AV52*AV58*AV64*AV70*AV75*AV80*AV86*AV93*AV99*AV106*AV110*AV117*AV123*AV130*AV136*AV142*AV146*AV154*AV160*AV163*AV167*AV171*AV175*AV179*AV183*AV187*AV192*AV195*AV200*AV203*AV207*AV212*AV216</f>
        <v>2.1170918154383975E-13</v>
      </c>
      <c r="AZ1072"/>
      <c r="BA1072"/>
      <c r="BB1072"/>
      <c r="BC1072"/>
      <c r="BD1072"/>
      <c r="BE1072"/>
      <c r="BF1072"/>
    </row>
    <row r="1073" spans="45:83" x14ac:dyDescent="0.3">
      <c r="AT1073" t="s">
        <v>507</v>
      </c>
      <c r="AU1073">
        <f xml:space="preserve"> AW25*AW31*AW38*AW46*AW52*AW58*AW64*AW70*AW75*AW80*AW86*AW93*AW99*AW106*AW110*AW117*AW123*AW130*AW136*AW142*AW146*AW154*AW160*AW163*AW167*AW171*AW175*AW179*AW183*AW187*AW192*AW195*AW200*AW203*AW207*AW212*AW216</f>
        <v>0</v>
      </c>
      <c r="AZ1073"/>
      <c r="BA1073"/>
      <c r="BB1073"/>
      <c r="BC1073"/>
      <c r="BD1073"/>
      <c r="BE1073"/>
      <c r="BF1073"/>
    </row>
    <row r="1074" spans="45:83" x14ac:dyDescent="0.3">
      <c r="AT1074" t="s">
        <v>508</v>
      </c>
      <c r="AU1074">
        <f xml:space="preserve"> AW26*AX31*AX38*AX46*AX52*AX58*AX64*AX70*AX75*AX80*AX86*AX93*AX99*AX106*AX110*AX117*AX123*AX130*AX136*AX142*AX146*AX154*AX160*AX163*AX167*AX171*AX175*AX179*AX183*AX187*AX192*AX195*AX200*AX203*AX207*AX212*AX216</f>
        <v>0</v>
      </c>
      <c r="AZ1074"/>
      <c r="BA1074"/>
      <c r="BB1074"/>
      <c r="BC1074"/>
      <c r="BD1074"/>
      <c r="BE1074"/>
      <c r="BF1074"/>
    </row>
    <row r="1075" spans="45:83" x14ac:dyDescent="0.3">
      <c r="AT1075" t="s">
        <v>509</v>
      </c>
      <c r="AU1075">
        <f xml:space="preserve"> AW27*AY31*AY38*AY46*AY52*AY58*AY64*AY70*AY75*AY80*AY86*AY93*AY99*AY106*AY110*AY117*AY123*AY130*AY136*AY142*AY146*AY154*AY160*AY163*AY167*AY171*AY175*AY179*AY183*AY187*AY192*AY195*AY200*AY203*AY207*AY212*AY216</f>
        <v>0</v>
      </c>
      <c r="AZ1075"/>
      <c r="BA1075"/>
      <c r="BB1075"/>
      <c r="BC1075"/>
      <c r="BD1075"/>
      <c r="BE1075"/>
      <c r="BF1075"/>
    </row>
    <row r="1076" spans="45:83" x14ac:dyDescent="0.3">
      <c r="AZ1076"/>
      <c r="BA1076"/>
      <c r="BB1076"/>
      <c r="BC1076"/>
      <c r="BD1076"/>
      <c r="BE1076"/>
      <c r="BF1076"/>
    </row>
    <row r="1077" spans="45:83" x14ac:dyDescent="0.3">
      <c r="AS1077" s="65" t="s">
        <v>492</v>
      </c>
      <c r="AT1077" s="65"/>
      <c r="AU1077" s="20" t="s">
        <v>64</v>
      </c>
      <c r="AV1077" s="1" t="s">
        <v>43</v>
      </c>
      <c r="AW1077" s="1" t="s">
        <v>44</v>
      </c>
      <c r="AX1077" s="1" t="s">
        <v>45</v>
      </c>
      <c r="AY1077" s="1" t="s">
        <v>46</v>
      </c>
      <c r="AZ1077" s="1" t="s">
        <v>47</v>
      </c>
      <c r="BA1077" s="1" t="s">
        <v>48</v>
      </c>
      <c r="BB1077" s="1" t="s">
        <v>49</v>
      </c>
      <c r="BC1077" s="1" t="s">
        <v>50</v>
      </c>
      <c r="BD1077" s="1" t="s">
        <v>51</v>
      </c>
      <c r="BE1077" s="1" t="s">
        <v>52</v>
      </c>
      <c r="BF1077" s="1" t="s">
        <v>53</v>
      </c>
      <c r="BG1077" s="1" t="s">
        <v>54</v>
      </c>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row>
    <row r="1078" spans="45:83" x14ac:dyDescent="0.3">
      <c r="AS1078" s="65"/>
      <c r="AT1078" s="65"/>
      <c r="AU1078" s="20">
        <v>3</v>
      </c>
      <c r="AV1078" t="s">
        <v>5</v>
      </c>
      <c r="AW1078" t="s">
        <v>4</v>
      </c>
      <c r="AX1078" t="s">
        <v>4</v>
      </c>
      <c r="AY1078" t="s">
        <v>5</v>
      </c>
      <c r="AZ1078" t="s">
        <v>5</v>
      </c>
      <c r="BA1078" t="s">
        <v>5</v>
      </c>
      <c r="BB1078" t="s">
        <v>5</v>
      </c>
      <c r="BC1078" t="s">
        <v>2</v>
      </c>
      <c r="BD1078" t="s">
        <v>2</v>
      </c>
      <c r="BE1078" t="s">
        <v>3</v>
      </c>
      <c r="BF1078" t="s">
        <v>4</v>
      </c>
      <c r="BG1078" t="s">
        <v>2</v>
      </c>
    </row>
    <row r="1079" spans="45:83" x14ac:dyDescent="0.3">
      <c r="AT1079" t="s">
        <v>504</v>
      </c>
      <c r="AU1079">
        <f>AW22*AT34*AT37*AT43*AT52*AT58*AT64*AT70*AT75*AT81*AT86*AT91*AT99*AT105*AT111*AT118*AT124*AT128*AT134*AT141*AT145*AT154*AT158*AT164*AT168*AT172*AT175*AT179*AT183*AT187*AT192*AT195*AT199*AT203*AT207*AT211*AT216</f>
        <v>0</v>
      </c>
      <c r="AZ1079"/>
      <c r="BA1079"/>
      <c r="BB1079"/>
      <c r="BC1079"/>
      <c r="BD1079"/>
      <c r="BE1079"/>
      <c r="BF1079"/>
    </row>
    <row r="1080" spans="45:83" x14ac:dyDescent="0.3">
      <c r="AT1080" t="s">
        <v>505</v>
      </c>
      <c r="AU1080">
        <f>AW23*AU34*AU37*AU43*AU52*AU58*AU64*AU70*AU75*AU81*AU86*AU91*AU99*AU105*AU111*AU118*AU124*AU128*AU134*AU141*AU145*AU154*AU158*AU164*AU168*AU172*AU175*AU179*AU183*AU187*AU192*AU195*AU199*AU203*AU207*AU211*AU216</f>
        <v>0</v>
      </c>
      <c r="AZ1080"/>
      <c r="BA1080"/>
      <c r="BB1080"/>
      <c r="BC1080"/>
      <c r="BD1080"/>
      <c r="BE1080"/>
      <c r="BF1080"/>
    </row>
    <row r="1081" spans="45:83" x14ac:dyDescent="0.3">
      <c r="AT1081" t="s">
        <v>506</v>
      </c>
      <c r="AU1081">
        <f>AW24*AV34*AV37*AV43*AV52*AV58*AV64*AV70*AV75*AV81*AV86*AV91*AV99*AV105*AV111*AV118*AV124*AV128*AV134*AV141*AV145*AV154*AV158*AV164*AV168*AV172*AV175*AV179*AV183*AV187*AV192*AV195*AV199*AV203*AV207*AV211*AV216</f>
        <v>7.3319197071459694E-15</v>
      </c>
      <c r="AZ1081"/>
      <c r="BA1081"/>
      <c r="BB1081"/>
      <c r="BC1081"/>
      <c r="BD1081"/>
      <c r="BE1081"/>
      <c r="BF1081"/>
    </row>
    <row r="1082" spans="45:83" x14ac:dyDescent="0.3">
      <c r="AT1082" t="s">
        <v>507</v>
      </c>
      <c r="AU1082">
        <f>AW25*AW34*AW37*AW43*AW52*AW58*AW64*AW70*AW75*AW81*AW86*AW91*AW99*AW105*AW111*AW118*AW124*AW128*AW134*AW141*AW145*AW154*AW158*AW164*AW168*AW172*AW175*AW179*AW183*AW187*AW192*AW195*AW199*AW203*AW207*AW211*AW216</f>
        <v>0</v>
      </c>
      <c r="AZ1082"/>
      <c r="BA1082"/>
      <c r="BB1082"/>
      <c r="BC1082"/>
      <c r="BD1082"/>
      <c r="BE1082"/>
      <c r="BF1082"/>
    </row>
    <row r="1083" spans="45:83" x14ac:dyDescent="0.3">
      <c r="AT1083" t="s">
        <v>508</v>
      </c>
      <c r="AU1083">
        <f>AW26*AX34*AX37*AX43*AX52*AX58*AX64*AX70*AX75*AX81*AX86*AX91*AX99*AX105*AX111*AX118*AX124*AX128*AX134*AX141*AX145*AX154*AX158*AX164*AX168*AX172*AX175*AX179*AX183*AX187*AX192*AX195*AX199*AX203*AX207*AX211*AX216</f>
        <v>0</v>
      </c>
      <c r="AZ1083"/>
      <c r="BA1083"/>
      <c r="BB1083"/>
      <c r="BC1083"/>
      <c r="BD1083"/>
      <c r="BE1083"/>
      <c r="BF1083"/>
    </row>
    <row r="1084" spans="45:83" x14ac:dyDescent="0.3">
      <c r="AT1084" t="s">
        <v>509</v>
      </c>
      <c r="AU1084">
        <f>AW27*AY34*AY37*AY43*AY52*AY58*AY64*AY70*AY75*AY81*AY86*AY91*AY99*AY105*AY111*AY118*AY124*AY128*AY134*AY141*AY145*AY154*AY158*AY164*AY168*AY172*AY175*AY179*AY183*AY187*AY192*AY195*AY199*AY203*AY207*AY211*AY216</f>
        <v>0</v>
      </c>
      <c r="AZ1084"/>
      <c r="BA1084"/>
      <c r="BB1084"/>
      <c r="BC1084"/>
      <c r="BD1084"/>
      <c r="BE1084"/>
      <c r="BF1084"/>
    </row>
    <row r="1085" spans="45:83" x14ac:dyDescent="0.3">
      <c r="AZ1085"/>
      <c r="BA1085"/>
      <c r="BB1085"/>
      <c r="BC1085"/>
      <c r="BD1085"/>
      <c r="BE1085"/>
      <c r="BF1085"/>
    </row>
    <row r="1086" spans="45:83" x14ac:dyDescent="0.3">
      <c r="AS1086" s="65" t="s">
        <v>321</v>
      </c>
      <c r="AT1086" s="65"/>
      <c r="AU1086" s="20" t="s">
        <v>64</v>
      </c>
      <c r="AV1086" s="1" t="s">
        <v>43</v>
      </c>
      <c r="AW1086" s="1" t="s">
        <v>44</v>
      </c>
      <c r="AX1086" s="1" t="s">
        <v>45</v>
      </c>
      <c r="AY1086" s="1" t="s">
        <v>46</v>
      </c>
      <c r="AZ1086" s="1" t="s">
        <v>47</v>
      </c>
      <c r="BA1086" s="1" t="s">
        <v>48</v>
      </c>
      <c r="BB1086" s="1" t="s">
        <v>49</v>
      </c>
      <c r="BC1086" s="1" t="s">
        <v>50</v>
      </c>
      <c r="BD1086" s="1" t="s">
        <v>51</v>
      </c>
      <c r="BE1086" s="1" t="s">
        <v>52</v>
      </c>
      <c r="BF1086" s="1" t="s">
        <v>53</v>
      </c>
      <c r="BG1086" s="1" t="s">
        <v>54</v>
      </c>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row>
    <row r="1087" spans="45:83" x14ac:dyDescent="0.3">
      <c r="AS1087" s="65"/>
      <c r="AT1087" s="65"/>
      <c r="AU1087" s="20">
        <v>4</v>
      </c>
      <c r="AV1087" s="22" t="s">
        <v>3</v>
      </c>
      <c r="AW1087" t="s">
        <v>3</v>
      </c>
      <c r="AX1087" t="s">
        <v>3</v>
      </c>
      <c r="AY1087" t="s">
        <v>5</v>
      </c>
      <c r="AZ1087" t="s">
        <v>5</v>
      </c>
      <c r="BA1087" t="s">
        <v>5</v>
      </c>
      <c r="BB1087" t="s">
        <v>5</v>
      </c>
      <c r="BC1087" t="s">
        <v>2</v>
      </c>
      <c r="BD1087" t="s">
        <v>2</v>
      </c>
      <c r="BE1087" s="22" t="s">
        <v>3</v>
      </c>
      <c r="BF1087" s="22" t="s">
        <v>3</v>
      </c>
      <c r="BG1087" t="s">
        <v>5</v>
      </c>
    </row>
    <row r="1088" spans="45:83" x14ac:dyDescent="0.3">
      <c r="AT1088" t="s">
        <v>504</v>
      </c>
      <c r="AU1088">
        <f>AW22*AT32*AT38*AT44*AT52*AT58*AT64*AT70*AT75*AT81*AT86*AT92*AT100*AT106*AT110*AT117*AT124*AT130*AT136*AT139*AT145*AT151*AT159*AT164*AT167*AT171*AT175*AT179*AT183*AT188*AT192*AT195*AT200*AT204*AT207*AT211*AT216</f>
        <v>5.7305847182023058E-10</v>
      </c>
      <c r="AZ1088"/>
      <c r="BA1088"/>
      <c r="BB1088"/>
      <c r="BC1088"/>
      <c r="BD1088"/>
      <c r="BE1088"/>
      <c r="BF1088"/>
    </row>
    <row r="1089" spans="45:83" x14ac:dyDescent="0.3">
      <c r="AT1089" t="s">
        <v>505</v>
      </c>
      <c r="AU1089">
        <f>AW23*AU32*AU38*AU44*AU52*AU58*AU64*AU70*AU75*AU81*AU86*AU92*AU100*AU106*AU110*AU117*AU124*AU130*AU136*AU139*AU145*AU151*AU159*AU164*AU167*AU171*AU175*AU179*AU183*AU188*AU192*AU195*AU200*AU204*AU207*AU211*AU216</f>
        <v>0</v>
      </c>
      <c r="AZ1089"/>
      <c r="BA1089"/>
      <c r="BB1089"/>
      <c r="BC1089"/>
      <c r="BD1089"/>
      <c r="BE1089"/>
      <c r="BF1089"/>
    </row>
    <row r="1090" spans="45:83" x14ac:dyDescent="0.3">
      <c r="AT1090" t="s">
        <v>506</v>
      </c>
      <c r="AU1090">
        <f>AW24*AV32*AV38*AV44*AV52*AV58*AV64*AV70*AV75*AV81*AV86*AV92*AV100*AV106*AV110*AV117*AV124*AV130*AV136*AV139*AV145*AV151*AV159*AV164*AV167*AV171*AV175*AV179*AV183*AV188*AV192*AV195*AV200*AV204*AV207*AV211*AV216</f>
        <v>0</v>
      </c>
      <c r="AZ1090"/>
      <c r="BA1090"/>
      <c r="BB1090"/>
      <c r="BC1090"/>
      <c r="BD1090"/>
      <c r="BE1090"/>
      <c r="BF1090"/>
    </row>
    <row r="1091" spans="45:83" x14ac:dyDescent="0.3">
      <c r="AT1091" t="s">
        <v>507</v>
      </c>
      <c r="AU1091">
        <f>AW25*AW32*AW38*AW44*AW52*AW58*AW64*AW70*AW75*AW81*AW86*AW92*AW100*AW106*AW110*AW117*AW124*AW130*AW136*AW139*AW145*AW151*AW159*AW164*AW167*AW171*AW175*AW179*AW183*AW188*AW192*AW195*AW200*AW204*AW207*AW211*AW216</f>
        <v>6.0839707758247844E-8</v>
      </c>
      <c r="AZ1091"/>
      <c r="BA1091"/>
      <c r="BB1091"/>
      <c r="BC1091"/>
      <c r="BD1091"/>
      <c r="BE1091"/>
      <c r="BF1091"/>
    </row>
    <row r="1092" spans="45:83" x14ac:dyDescent="0.3">
      <c r="AT1092" t="s">
        <v>508</v>
      </c>
      <c r="AU1092">
        <f>AW26*AX32*AX38*AX44*AX52*AX58*AX64*AX70*AX75*AX81*AX86*AX92*AX100*AX106*AX110*AX117*AX124*AX130*AX136*AX139*AX145*AX151*AX159*AX164*AX167*AX171*AX175*AX179*AX183*AX188*AX192*AX195*AX200*AX204*AX207*AX211*AX216</f>
        <v>0</v>
      </c>
      <c r="AZ1092"/>
      <c r="BA1092"/>
      <c r="BB1092"/>
      <c r="BC1092"/>
      <c r="BD1092"/>
      <c r="BE1092"/>
      <c r="BF1092"/>
    </row>
    <row r="1093" spans="45:83" x14ac:dyDescent="0.3">
      <c r="AT1093" t="s">
        <v>509</v>
      </c>
      <c r="AU1093">
        <f>AW27*AY32*AY38*AY44*AY52*AY58*AY64*AY70*AY75*AY81*AY86*AY92*AY100*AY106*AY110*AY117*AY124*AY130*AY136*AY139*AY145*AY151*AY159*AY164*AY167*AY171*AY175*AY179*AY183*AY188*AY192*AY195*AY200*AY204*AY207*AY211*AY216</f>
        <v>0</v>
      </c>
      <c r="AZ1093"/>
      <c r="BA1093"/>
      <c r="BB1093"/>
      <c r="BC1093"/>
      <c r="BD1093"/>
      <c r="BE1093"/>
      <c r="BF1093"/>
    </row>
    <row r="1094" spans="45:83" x14ac:dyDescent="0.3">
      <c r="AZ1094"/>
      <c r="BA1094"/>
      <c r="BB1094"/>
      <c r="BC1094"/>
      <c r="BD1094"/>
      <c r="BE1094"/>
      <c r="BF1094"/>
    </row>
    <row r="1095" spans="45:83" x14ac:dyDescent="0.3">
      <c r="AS1095" s="65" t="s">
        <v>471</v>
      </c>
      <c r="AT1095" s="65"/>
      <c r="AU1095" s="20" t="s">
        <v>64</v>
      </c>
      <c r="AV1095" s="1" t="s">
        <v>43</v>
      </c>
      <c r="AW1095" s="1" t="s">
        <v>44</v>
      </c>
      <c r="AX1095" s="1" t="s">
        <v>45</v>
      </c>
      <c r="AY1095" s="1" t="s">
        <v>46</v>
      </c>
      <c r="AZ1095" s="1" t="s">
        <v>47</v>
      </c>
      <c r="BA1095" s="1" t="s">
        <v>48</v>
      </c>
      <c r="BB1095" s="1" t="s">
        <v>49</v>
      </c>
      <c r="BC1095" s="1" t="s">
        <v>50</v>
      </c>
      <c r="BD1095" s="1" t="s">
        <v>51</v>
      </c>
      <c r="BE1095" s="1" t="s">
        <v>52</v>
      </c>
      <c r="BF1095" s="1" t="s">
        <v>53</v>
      </c>
      <c r="BG1095" s="1" t="s">
        <v>54</v>
      </c>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row>
    <row r="1096" spans="45:83" x14ac:dyDescent="0.3">
      <c r="AS1096" s="65"/>
      <c r="AT1096" s="65"/>
      <c r="AU1096" s="20">
        <v>4</v>
      </c>
      <c r="AV1096" t="s">
        <v>5</v>
      </c>
      <c r="AW1096" t="s">
        <v>5</v>
      </c>
      <c r="AX1096" t="s">
        <v>2</v>
      </c>
      <c r="AY1096" t="s">
        <v>5</v>
      </c>
      <c r="AZ1096" t="s">
        <v>5</v>
      </c>
      <c r="BA1096" t="s">
        <v>5</v>
      </c>
      <c r="BB1096" t="s">
        <v>5</v>
      </c>
      <c r="BC1096" t="s">
        <v>2</v>
      </c>
      <c r="BD1096" t="s">
        <v>3</v>
      </c>
      <c r="BE1096" t="s">
        <v>4</v>
      </c>
      <c r="BF1096" t="s">
        <v>4</v>
      </c>
      <c r="BG1096" t="s">
        <v>3</v>
      </c>
    </row>
    <row r="1097" spans="45:83" x14ac:dyDescent="0.3">
      <c r="AT1097" t="s">
        <v>504</v>
      </c>
      <c r="AU1097">
        <f>AW22*AT34*AT40*AT45*AT52*AT58*AT64*AT70*AT75*AT80*AT85*AT91*AT98*AT105*AT111*AT116*AT124*AT128*AT135*AT142*AT146*AT151*AT157*AT164*AT167*AT171*AT175*AT179*AT183*AT187*AT192*AT196*AT200*AT203*AT207*AT212*AT216</f>
        <v>0</v>
      </c>
      <c r="AZ1097"/>
      <c r="BA1097"/>
      <c r="BB1097"/>
      <c r="BC1097"/>
      <c r="BD1097"/>
      <c r="BE1097"/>
      <c r="BF1097"/>
    </row>
    <row r="1098" spans="45:83" x14ac:dyDescent="0.3">
      <c r="AT1098" t="s">
        <v>505</v>
      </c>
      <c r="AU1098">
        <f>AW23*AU34*AU40*AU45*AU52*AU58*AU64*AU70*AU75*AU80*AU85*AU91*AU98*AU105*AU111*AU116*AU124*AU128*AU135*AU142*AU146*AU151*AU157*AU164*AU167*AU171*AU175*AU179*AU183*AU187*AU192*AU196*AU200*AU203*AU207*AU212*AU216</f>
        <v>0</v>
      </c>
      <c r="AZ1098"/>
      <c r="BA1098"/>
      <c r="BB1098"/>
      <c r="BC1098"/>
      <c r="BD1098"/>
      <c r="BE1098"/>
      <c r="BF1098"/>
    </row>
    <row r="1099" spans="45:83" x14ac:dyDescent="0.3">
      <c r="AT1099" t="s">
        <v>506</v>
      </c>
      <c r="AU1099">
        <f>AW24*AV34*AV40*AV45*AV52*AV58*AV64*AV70*AV75*AV80*AV85*AV91*AV98*AV105*AV111*AV116*AV124*AV128*AV135*AV142*AV146*AV151*AV157*AV164*AV167*AV171*AV175*AV179*AV183*AV187*AV192*AV196*AV200*AV203*AV207*AV212*AV216</f>
        <v>0</v>
      </c>
      <c r="AZ1099"/>
      <c r="BA1099"/>
      <c r="BB1099"/>
      <c r="BC1099"/>
      <c r="BD1099"/>
      <c r="BE1099"/>
      <c r="BF1099"/>
    </row>
    <row r="1100" spans="45:83" x14ac:dyDescent="0.3">
      <c r="AT1100" t="s">
        <v>507</v>
      </c>
      <c r="AU1100">
        <f>AW25*AW34*AW40*AW45*AW52*AW58*AW64*AW70*AW75*AW80*AW85*AW91*AW98*AW105*AW111*AW116*AW124*AW128*AW135*AW142*AW146*AW151*AW157*AW164*AW167*AW171*AW175*AW179*AW183*AW187*AW192*AW196*AW200*AW203*AW207*AW212*AW216</f>
        <v>0</v>
      </c>
      <c r="AZ1100"/>
      <c r="BA1100"/>
      <c r="BB1100"/>
      <c r="BC1100"/>
      <c r="BD1100"/>
      <c r="BE1100"/>
      <c r="BF1100"/>
    </row>
    <row r="1101" spans="45:83" x14ac:dyDescent="0.3">
      <c r="AT1101" t="s">
        <v>508</v>
      </c>
      <c r="AU1101">
        <f>AW26*AX34*AX40*AX45*AX52*AX58*AX64*AX70*AX75*AX80*AX85*AX91*AX98*AX105*AX111*AX116*AX124*AX128*AX135*AX142*AX146*AX151*AX157*AX164*AX167*AX171*AX175*AX179*AX183*AX187*AX192*AX196*AX200*AX203*AX207*AX212*AX216</f>
        <v>0</v>
      </c>
      <c r="AZ1101"/>
      <c r="BA1101"/>
      <c r="BB1101"/>
      <c r="BC1101"/>
      <c r="BD1101"/>
      <c r="BE1101"/>
      <c r="BF1101"/>
    </row>
    <row r="1102" spans="45:83" x14ac:dyDescent="0.3">
      <c r="AT1102" t="s">
        <v>509</v>
      </c>
      <c r="AU1102">
        <f>AW27*AY34*AY40*AY45*AY52*AY58*AY64*AY70*AY75*AY80*AY85*AY91*AY98*AY105*AY111*AY116*AY124*AY128*AY135*AY142*AY146*AY151*AY157*AY164*AY167*AY171*AY175*AY179*AY183*AY187*AY192*AY196*AY200*AY203*AY207*AY212*AY216</f>
        <v>4.5273082799857859E-13</v>
      </c>
      <c r="AZ1102"/>
      <c r="BA1102"/>
      <c r="BB1102"/>
      <c r="BC1102"/>
      <c r="BD1102"/>
      <c r="BE1102"/>
      <c r="BF1102"/>
    </row>
    <row r="1103" spans="45:83" x14ac:dyDescent="0.3">
      <c r="AZ1103"/>
      <c r="BA1103"/>
      <c r="BB1103"/>
      <c r="BC1103"/>
      <c r="BD1103"/>
      <c r="BE1103"/>
      <c r="BF1103"/>
    </row>
    <row r="1104" spans="45:83" x14ac:dyDescent="0.3">
      <c r="AS1104" s="65" t="s">
        <v>516</v>
      </c>
      <c r="AT1104" s="65"/>
      <c r="AU1104" s="20" t="s">
        <v>64</v>
      </c>
      <c r="AV1104" s="1" t="s">
        <v>43</v>
      </c>
      <c r="AW1104" s="1" t="s">
        <v>44</v>
      </c>
      <c r="AX1104" s="1" t="s">
        <v>45</v>
      </c>
      <c r="AY1104" s="1" t="s">
        <v>46</v>
      </c>
      <c r="AZ1104" s="1" t="s">
        <v>47</v>
      </c>
      <c r="BA1104" s="1" t="s">
        <v>48</v>
      </c>
      <c r="BB1104" s="1" t="s">
        <v>49</v>
      </c>
      <c r="BC1104" s="1" t="s">
        <v>50</v>
      </c>
      <c r="BD1104" s="1" t="s">
        <v>51</v>
      </c>
      <c r="BE1104" s="1" t="s">
        <v>52</v>
      </c>
      <c r="BF1104" s="1" t="s">
        <v>53</v>
      </c>
      <c r="BG1104" s="1" t="s">
        <v>54</v>
      </c>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row>
    <row r="1105" spans="45:83" x14ac:dyDescent="0.3">
      <c r="AS1105" s="65"/>
      <c r="AT1105" s="65"/>
      <c r="AU1105" s="20">
        <v>4</v>
      </c>
      <c r="AV1105" t="s">
        <v>2</v>
      </c>
      <c r="AW1105" t="s">
        <v>5</v>
      </c>
      <c r="AX1105" t="s">
        <v>2</v>
      </c>
      <c r="AY1105" t="s">
        <v>5</v>
      </c>
      <c r="AZ1105" t="s">
        <v>5</v>
      </c>
      <c r="BA1105" t="s">
        <v>5</v>
      </c>
      <c r="BB1105" t="s">
        <v>5</v>
      </c>
      <c r="BC1105" t="s">
        <v>2</v>
      </c>
      <c r="BD1105" t="s">
        <v>2</v>
      </c>
      <c r="BE1105" t="s">
        <v>2</v>
      </c>
      <c r="BF1105" t="s">
        <v>5</v>
      </c>
      <c r="BG1105" t="s">
        <v>4</v>
      </c>
    </row>
    <row r="1106" spans="45:83" x14ac:dyDescent="0.3">
      <c r="AT1106" t="s">
        <v>504</v>
      </c>
      <c r="AU1106">
        <f>AW22*AT33*AT40*AT45*AT52*AT58*AT64*AT70*AT75*AT81*AT87*AT94*AT97*AT106*AT111*AT115*AT124*AT130*AT136*AT139*AT146*AT151*AT157*AT164*AT167*AT171*AT175*AT179*AT183*AT187*AT192*AT195*AT200*AT203*AT207*AT212*AT216</f>
        <v>0</v>
      </c>
      <c r="AZ1106"/>
      <c r="BA1106"/>
      <c r="BB1106"/>
      <c r="BC1106"/>
      <c r="BD1106"/>
      <c r="BE1106"/>
      <c r="BF1106"/>
    </row>
    <row r="1107" spans="45:83" x14ac:dyDescent="0.3">
      <c r="AT1107" t="s">
        <v>505</v>
      </c>
      <c r="AU1107">
        <f>AW23*AU33*AU40*AU45*AU52*AU58*AU64*AU70*AU75*AU81*AU87*AU94*AU97*AU106*AU111*AU115*AU124*AU130*AU136*AU139*AU146*AU151*AU157*AU164*AU167*AU171*AU175*AU179*AU183*AU187*AU192*AU195*AU200*AU203*AU207*AU212*AU216</f>
        <v>0</v>
      </c>
      <c r="AZ1107"/>
      <c r="BA1107"/>
      <c r="BB1107"/>
      <c r="BC1107"/>
      <c r="BD1107"/>
      <c r="BE1107"/>
      <c r="BF1107"/>
    </row>
    <row r="1108" spans="45:83" x14ac:dyDescent="0.3">
      <c r="AT1108" t="s">
        <v>506</v>
      </c>
      <c r="AU1108">
        <f>AW24*AV33*AV40*AV45*AV52*AV58*AV64*AV70*AV75*AV81*AV87*AV94*AV97*AV106*AV111*AV115*AV124*AV130*AV136*AV139*AV146*AV151*AV157*AV164*AV167*AV171*AV175*AV179*AV183*AV187*AV192*AV195*AV200*AV203*AV207*AV212*AV216</f>
        <v>0</v>
      </c>
      <c r="AZ1108"/>
      <c r="BA1108"/>
      <c r="BB1108"/>
      <c r="BC1108"/>
      <c r="BD1108"/>
      <c r="BE1108"/>
      <c r="BF1108"/>
    </row>
    <row r="1109" spans="45:83" x14ac:dyDescent="0.3">
      <c r="AT1109" t="s">
        <v>507</v>
      </c>
      <c r="AU1109">
        <f>AW25*AW33*AW40*AW45*AW52*AW58*AW64*AW70*AW75*AW81*AW87*AW94*AW97*AW106*AW111*AW115*AW124*AW130*AW136*AW139*AW146*AW151*AW157*AW164*AW167*AW171*AW175*AW179*AW183*AW187*AW192*AW195*AW200*AW203*AW207*AW212*AW216</f>
        <v>1.6555022519251112E-10</v>
      </c>
      <c r="AZ1109"/>
      <c r="BA1109"/>
      <c r="BB1109"/>
      <c r="BC1109"/>
      <c r="BD1109"/>
      <c r="BE1109"/>
      <c r="BF1109"/>
    </row>
    <row r="1110" spans="45:83" x14ac:dyDescent="0.3">
      <c r="AT1110" t="s">
        <v>508</v>
      </c>
      <c r="AU1110">
        <f>AW26*AX33*AX40*AX45*AX52*AX58*AX64*AX70*AX75*AX81*AX87*AX94*AX97*AX106*AX111*AX115*AX124*AX130*AX136*AX139*AX146*AX151*AX157*AX164*AX167*AX171*AX175*AX179*AX183*AX187*AX192*AX195*AX200*AX203*AX207*AX212*AX216</f>
        <v>0</v>
      </c>
      <c r="AZ1110"/>
      <c r="BA1110"/>
      <c r="BB1110"/>
      <c r="BC1110"/>
      <c r="BD1110"/>
      <c r="BE1110"/>
      <c r="BF1110"/>
    </row>
    <row r="1111" spans="45:83" x14ac:dyDescent="0.3">
      <c r="AT1111" t="s">
        <v>509</v>
      </c>
      <c r="AU1111">
        <f>AW27*AY33*AY40*AY45*AY52*AY58*AY64*AY70*AY75*AY81*AY87*AY94*AY97*AY106*AY111*AY115*AY124*AY130*AY136*AY139*AY146*AY151*AY157*AY164*AY167*AY171*AY175*AY179*AY183*AY187*AY192*AY195*AY200*AY203*AY207*AY212*AY216</f>
        <v>0</v>
      </c>
      <c r="AZ1111"/>
      <c r="BA1111"/>
      <c r="BB1111"/>
      <c r="BC1111"/>
      <c r="BD1111"/>
      <c r="BE1111"/>
      <c r="BF1111"/>
    </row>
    <row r="1112" spans="45:83" x14ac:dyDescent="0.3">
      <c r="AZ1112"/>
      <c r="BA1112"/>
      <c r="BB1112"/>
      <c r="BC1112"/>
      <c r="BD1112"/>
      <c r="BE1112"/>
      <c r="BF1112"/>
    </row>
    <row r="1113" spans="45:83" x14ac:dyDescent="0.3">
      <c r="AS1113" s="65" t="s">
        <v>486</v>
      </c>
      <c r="AT1113" s="65"/>
      <c r="AU1113" s="20" t="s">
        <v>64</v>
      </c>
      <c r="AV1113" s="1" t="s">
        <v>43</v>
      </c>
      <c r="AW1113" s="1" t="s">
        <v>44</v>
      </c>
      <c r="AX1113" s="1" t="s">
        <v>45</v>
      </c>
      <c r="AY1113" s="1" t="s">
        <v>46</v>
      </c>
      <c r="AZ1113" s="1" t="s">
        <v>47</v>
      </c>
      <c r="BA1113" s="1" t="s">
        <v>48</v>
      </c>
      <c r="BB1113" s="1" t="s">
        <v>49</v>
      </c>
      <c r="BC1113" s="1" t="s">
        <v>50</v>
      </c>
      <c r="BD1113" s="1" t="s">
        <v>51</v>
      </c>
      <c r="BE1113" s="1" t="s">
        <v>52</v>
      </c>
      <c r="BF1113" s="1" t="s">
        <v>53</v>
      </c>
      <c r="BG1113" s="1" t="s">
        <v>54</v>
      </c>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row>
    <row r="1114" spans="45:83" x14ac:dyDescent="0.3">
      <c r="AS1114" s="65"/>
      <c r="AT1114" s="65"/>
      <c r="AU1114" s="20">
        <v>4</v>
      </c>
      <c r="AV1114" t="s">
        <v>3</v>
      </c>
      <c r="AW1114" t="s">
        <v>5</v>
      </c>
      <c r="AX1114" t="s">
        <v>4</v>
      </c>
      <c r="AY1114" t="s">
        <v>5</v>
      </c>
      <c r="AZ1114" t="s">
        <v>5</v>
      </c>
      <c r="BA1114" t="s">
        <v>5</v>
      </c>
      <c r="BB1114" t="s">
        <v>5</v>
      </c>
      <c r="BC1114" t="s">
        <v>2</v>
      </c>
      <c r="BD1114" t="s">
        <v>2</v>
      </c>
      <c r="BE1114" t="s">
        <v>4</v>
      </c>
      <c r="BF1114" t="s">
        <v>4</v>
      </c>
      <c r="BG1114" t="s">
        <v>5</v>
      </c>
    </row>
    <row r="1115" spans="45:83" x14ac:dyDescent="0.3">
      <c r="AT1115" t="s">
        <v>504</v>
      </c>
      <c r="AU1115">
        <f>AW22*AT32*AT40*AT43*AT52*AT58*AT64*AT70*AT75*AT81*AT85*AT91*AT100*AT105*AT110*AT118*AT124*AT129*AT136*AT142*AT145*AT151*AT159*AT164*AT167*AT171*AT175*AT179*AT183*AT187*AT192*AT195*AT200*AT203*AT207*AT211*AT216</f>
        <v>0</v>
      </c>
      <c r="AZ1115"/>
      <c r="BA1115"/>
      <c r="BB1115"/>
      <c r="BC1115"/>
      <c r="BD1115"/>
      <c r="BE1115"/>
      <c r="BF1115"/>
    </row>
    <row r="1116" spans="45:83" x14ac:dyDescent="0.3">
      <c r="AT1116" t="s">
        <v>505</v>
      </c>
      <c r="AU1116">
        <f>AW23*AU32*AU40*AU43*AU52*AU58*AU64*AU70*AU75*AU81*AU85*AU91*AU100*AU105*AU110*AU118*AU124*AU129*AU136*AU142*AU145*AU151*AU159*AU164*AU167*AU171*AU175*AU179*AU183*AU187*AU192*AU195*AU200*AU203*AU207*AU211*AU216</f>
        <v>0</v>
      </c>
      <c r="AZ1116"/>
      <c r="BA1116"/>
      <c r="BB1116"/>
      <c r="BC1116"/>
      <c r="BD1116"/>
      <c r="BE1116"/>
      <c r="BF1116"/>
    </row>
    <row r="1117" spans="45:83" x14ac:dyDescent="0.3">
      <c r="AT1117" t="s">
        <v>506</v>
      </c>
      <c r="AU1117">
        <f>AW24*AV32*AV40*AV43*AV52*AV58*AV64*AV70*AV75*AV81*AV85*AV91*AV100*AV105*AV110*AV118*AV124*AV129*AV136*AV142*AV145*AV151*AV159*AV164*AV167*AV171*AV175*AV179*AV183*AV187*AV192*AV195*AV200*AV203*AV207*AV211*AV216</f>
        <v>0</v>
      </c>
      <c r="AZ1117"/>
      <c r="BA1117"/>
      <c r="BB1117"/>
      <c r="BC1117"/>
      <c r="BD1117"/>
      <c r="BE1117"/>
      <c r="BF1117"/>
    </row>
    <row r="1118" spans="45:83" x14ac:dyDescent="0.3">
      <c r="AT1118" t="s">
        <v>507</v>
      </c>
      <c r="AU1118">
        <f>AW25*AW32*AW40*AW43*AW52*AW58*AW64*AW70*AW75*AW81*AW85*AW91*AW100*AW105*AW110*AW118*AW124*AW129*AW136*AW142*AW145*AW151*AW159*AW164*AW167*AW171*AW175*AW179*AW183*AW187*AW192*AW195*AW200*AW203*AW207*AW211*AW216</f>
        <v>8.0449200341484734E-10</v>
      </c>
      <c r="AZ1118"/>
      <c r="BA1118"/>
      <c r="BB1118"/>
      <c r="BC1118"/>
      <c r="BD1118"/>
      <c r="BE1118"/>
      <c r="BF1118"/>
    </row>
    <row r="1119" spans="45:83" x14ac:dyDescent="0.3">
      <c r="AT1119" t="s">
        <v>508</v>
      </c>
      <c r="AU1119">
        <f>AW26*AX32*AX40*AX43*AX52*AX58*AX64*AX70*AX75*AX81*AX85*AX91*AX100*AX105*AX110*AX118*AX124*AX129*AX136*AX142*AX145*AX151*AX159*AX164*AX167*AX171*AX175*AX179*AX183*AX187*AX192*AX195*AX200*AX203*AX207*AX211*AX216</f>
        <v>0</v>
      </c>
      <c r="AZ1119"/>
      <c r="BA1119"/>
      <c r="BB1119"/>
      <c r="BC1119"/>
      <c r="BD1119"/>
      <c r="BE1119"/>
      <c r="BF1119"/>
    </row>
    <row r="1120" spans="45:83" x14ac:dyDescent="0.3">
      <c r="AT1120" t="s">
        <v>509</v>
      </c>
      <c r="AU1120">
        <f>AW27 * AY32 * AY40 * AY43 * AY52 * AY58 * AY64 * AY70 * AY75 * AY81 * AY85 * AY91 * AY100 * AY105 * AY110 * AY118 * AY124 * AY129 * AY136 * AY142 * AY145 * AY151 * AY159 * AY164 * AY167 * AY171 * AY175 * AY179 * AY183 * AY187 * AY192 * AY195 * AY200 * AY203 * AY207 * AY211 * AY216</f>
        <v>0</v>
      </c>
      <c r="AZ1120"/>
      <c r="BA1120"/>
      <c r="BB1120"/>
      <c r="BC1120"/>
      <c r="BD1120"/>
      <c r="BE1120"/>
      <c r="BF1120"/>
    </row>
    <row r="1121" spans="45:83" x14ac:dyDescent="0.3">
      <c r="AZ1121"/>
      <c r="BA1121"/>
      <c r="BB1121"/>
      <c r="BC1121"/>
      <c r="BD1121"/>
      <c r="BE1121"/>
      <c r="BF1121"/>
    </row>
    <row r="1122" spans="45:83" x14ac:dyDescent="0.3">
      <c r="AS1122" s="65" t="s">
        <v>479</v>
      </c>
      <c r="AT1122" s="65"/>
      <c r="AU1122" s="20" t="s">
        <v>64</v>
      </c>
      <c r="AV1122" s="1" t="s">
        <v>43</v>
      </c>
      <c r="AW1122" s="1" t="s">
        <v>44</v>
      </c>
      <c r="AX1122" s="1" t="s">
        <v>45</v>
      </c>
      <c r="AY1122" s="1" t="s">
        <v>46</v>
      </c>
      <c r="AZ1122" s="1" t="s">
        <v>47</v>
      </c>
      <c r="BA1122" s="1" t="s">
        <v>48</v>
      </c>
      <c r="BB1122" s="1" t="s">
        <v>49</v>
      </c>
      <c r="BC1122" s="1" t="s">
        <v>50</v>
      </c>
      <c r="BD1122" s="1" t="s">
        <v>51</v>
      </c>
      <c r="BE1122" s="1" t="s">
        <v>52</v>
      </c>
      <c r="BF1122" s="1" t="s">
        <v>53</v>
      </c>
      <c r="BG1122" s="1" t="s">
        <v>54</v>
      </c>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row>
    <row r="1123" spans="45:83" x14ac:dyDescent="0.3">
      <c r="AS1123" s="65"/>
      <c r="AT1123" s="65"/>
      <c r="AU1123" s="20">
        <v>5</v>
      </c>
      <c r="AV1123" t="s">
        <v>2</v>
      </c>
      <c r="AW1123" t="s">
        <v>3</v>
      </c>
      <c r="AX1123" t="s">
        <v>5</v>
      </c>
      <c r="AY1123" t="s">
        <v>5</v>
      </c>
      <c r="AZ1123" t="s">
        <v>5</v>
      </c>
      <c r="BA1123" t="s">
        <v>5</v>
      </c>
      <c r="BB1123" t="s">
        <v>5</v>
      </c>
      <c r="BC1123" t="s">
        <v>2</v>
      </c>
      <c r="BD1123" t="s">
        <v>3</v>
      </c>
      <c r="BE1123" t="s">
        <v>3</v>
      </c>
      <c r="BF1123" t="s">
        <v>5</v>
      </c>
      <c r="BG1123" t="s">
        <v>2</v>
      </c>
    </row>
    <row r="1124" spans="45:83" x14ac:dyDescent="0.3">
      <c r="AT1124" t="s">
        <v>504</v>
      </c>
      <c r="AU1124">
        <f>AW22*AT33*AT38*AT46*AT52*AT58*AT64*AT70*AT75*AT80*AT86*AT94*AT99*AT106*AT111*AT117*AT124*AT130*AT136*AT140*AT146*AT151*AT159*AT164*AT167*AT171*AT175*AT179*AT183*AT188*AT192*AT195*AT200*AT203*AT207*AT211*AT216</f>
        <v>0</v>
      </c>
      <c r="AZ1124"/>
      <c r="BA1124"/>
      <c r="BB1124"/>
      <c r="BC1124"/>
      <c r="BD1124"/>
      <c r="BE1124"/>
      <c r="BF1124"/>
    </row>
    <row r="1125" spans="45:83" x14ac:dyDescent="0.3">
      <c r="AT1125" t="s">
        <v>505</v>
      </c>
      <c r="AU1125">
        <f>AW23 * AU33 * AU38 * AU46 * AU52 * AU58 * AU64 * AU70 * AU75 * AU80 * AU86 * AU94 * AU99 * AU106 * AU111 * AU117 * AU124 * AU130 * AU136 * AU140 * AU146 * AU151 * AU159 * AU164 * AU167 * AU171 * AU175 * AU179 * AU183 * AU188 * AU192 * AU195 * AU200 * AU203 * AU207 * AU211 * AU216</f>
        <v>0</v>
      </c>
      <c r="AZ1125"/>
      <c r="BA1125"/>
      <c r="BB1125"/>
      <c r="BC1125"/>
      <c r="BD1125"/>
      <c r="BE1125"/>
      <c r="BF1125"/>
    </row>
    <row r="1126" spans="45:83" x14ac:dyDescent="0.3">
      <c r="AT1126" t="s">
        <v>506</v>
      </c>
      <c r="AU1126">
        <f>AW24 * AV33 * AV38 * AV46 * AV52 * AV58 * AV64 * AV70 * AV75 * AV80 * AV86 * AV94 * AV99 * AV106 * AV111 * AV117 * AV124 * AV130 * AV136 * AV140 * AV146 * AV151 * AV159 * AV164 * AV167 * AV171 * AV175 * AV179 * AV183 * AV188 * AV192 * AV195 * AV200 * AV203 * AV207 * AV211 * AV216</f>
        <v>0</v>
      </c>
      <c r="AZ1126"/>
      <c r="BA1126"/>
      <c r="BB1126"/>
      <c r="BC1126"/>
      <c r="BD1126"/>
      <c r="BE1126"/>
      <c r="BF1126"/>
    </row>
    <row r="1127" spans="45:83" x14ac:dyDescent="0.3">
      <c r="AT1127" t="s">
        <v>507</v>
      </c>
      <c r="AU1127">
        <f>AW25 * AW33 * AW38 * AW46 * AW52 * AW58 * AW64 * AW70 * AW75 * AW80 * AW86 * AW94 * AW99 * AW106 * AW111 * AW117 * AW124 * AW130 * AW136 * AW140 * AW146 * AW151 * AW159 * AW164 * AW167 * AW171 * AW175 * AW179 * AW183 * AW188 * AW192 * AW195 * AW200 * AW203 * AW207 * AW211 * AW216</f>
        <v>1.7168171501445595E-10</v>
      </c>
      <c r="AZ1127"/>
      <c r="BA1127"/>
      <c r="BB1127"/>
      <c r="BC1127"/>
      <c r="BD1127"/>
      <c r="BE1127"/>
      <c r="BF1127"/>
    </row>
    <row r="1128" spans="45:83" x14ac:dyDescent="0.3">
      <c r="AT1128" t="s">
        <v>508</v>
      </c>
      <c r="AU1128">
        <f>AW26 * AX33 * AX38 * AX46 * AX52 * AX58 * AX64 * AX70 * AX75 * AX80 * AX86 * AX94 * AX99 * AX106 * AX111 * AX117 * AX124 * AX130 * AX136 * AX140 * AX146 * AX151 * AX159 * AX164 * AX167 * AX171 * AX175 * AX179 * AX183 * AX188 * AX192 * AX195 * AX200 * AX203 * AX207 * AX211 * AX216</f>
        <v>8.8998415091315388E-11</v>
      </c>
      <c r="AZ1128"/>
      <c r="BA1128"/>
      <c r="BB1128"/>
      <c r="BC1128"/>
      <c r="BD1128"/>
      <c r="BE1128"/>
      <c r="BF1128"/>
    </row>
    <row r="1129" spans="45:83" x14ac:dyDescent="0.3">
      <c r="AT1129" t="s">
        <v>509</v>
      </c>
      <c r="AU1129">
        <f>AW27 * AY33 * AY38 * AY46 * AY52 * AY58 * AY64 * AY70 * AY75 * AY80 * AY86 * AY94 * AY99 * AY106 * AY111 * AY117 * AY124 * AY130 * AY136 * AY140 * AY146 * AY151 * AY159 * AY164 * AY167 * AY171 * AY175 * AY179 * AY183 * AY188 * AY192 * AY195 * AY200 * AY203 * AY207 * AY211 * AY216</f>
        <v>0</v>
      </c>
      <c r="AZ1129"/>
      <c r="BA1129"/>
      <c r="BB1129"/>
      <c r="BC1129"/>
      <c r="BD1129"/>
      <c r="BE1129"/>
      <c r="BF1129"/>
    </row>
    <row r="1130" spans="45:83" x14ac:dyDescent="0.3">
      <c r="AZ1130"/>
      <c r="BA1130"/>
      <c r="BB1130"/>
      <c r="BC1130"/>
      <c r="BD1130"/>
      <c r="BE1130"/>
      <c r="BF1130"/>
    </row>
    <row r="1131" spans="45:83" x14ac:dyDescent="0.3">
      <c r="AS1131" s="65" t="s">
        <v>480</v>
      </c>
      <c r="AT1131" s="65"/>
      <c r="AU1131" s="20" t="s">
        <v>64</v>
      </c>
      <c r="AV1131" s="1" t="s">
        <v>43</v>
      </c>
      <c r="AW1131" s="1" t="s">
        <v>44</v>
      </c>
      <c r="AX1131" s="1" t="s">
        <v>45</v>
      </c>
      <c r="AY1131" s="1" t="s">
        <v>46</v>
      </c>
      <c r="AZ1131" s="1" t="s">
        <v>47</v>
      </c>
      <c r="BA1131" s="1" t="s">
        <v>48</v>
      </c>
      <c r="BB1131" s="1" t="s">
        <v>49</v>
      </c>
      <c r="BC1131" s="1" t="s">
        <v>50</v>
      </c>
      <c r="BD1131" s="1" t="s">
        <v>51</v>
      </c>
      <c r="BE1131" s="1" t="s">
        <v>52</v>
      </c>
      <c r="BF1131" s="1" t="s">
        <v>53</v>
      </c>
      <c r="BG1131" s="1" t="s">
        <v>54</v>
      </c>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row>
    <row r="1132" spans="45:83" x14ac:dyDescent="0.3">
      <c r="AS1132" s="65"/>
      <c r="AT1132" s="65"/>
      <c r="AU1132" s="20">
        <v>5</v>
      </c>
      <c r="AV1132" s="22" t="s">
        <v>2</v>
      </c>
      <c r="AW1132" s="22" t="s">
        <v>3</v>
      </c>
      <c r="AX1132" t="s">
        <v>4</v>
      </c>
      <c r="AY1132" t="s">
        <v>5</v>
      </c>
      <c r="AZ1132" t="s">
        <v>5</v>
      </c>
      <c r="BA1132" t="s">
        <v>3</v>
      </c>
      <c r="BB1132" t="s">
        <v>5</v>
      </c>
      <c r="BC1132" t="s">
        <v>2</v>
      </c>
      <c r="BD1132" t="s">
        <v>3</v>
      </c>
      <c r="BE1132" t="s">
        <v>2</v>
      </c>
      <c r="BF1132" t="s">
        <v>2</v>
      </c>
      <c r="BG1132" t="s">
        <v>5</v>
      </c>
    </row>
    <row r="1133" spans="45:83" x14ac:dyDescent="0.3">
      <c r="AT1133" t="s">
        <v>504</v>
      </c>
      <c r="AU1133">
        <f>AW22*AT34*AT38*AT43*AT52*AT58*AT62*AT70*AT75*AT80*AT87*AT93*AT100*AT106*AT111*AT118*AT124*AT128*AT136*AT141*AT145*AT151*AT159*AT164*AT167*AT171*AT175*AT179*AT183*AT187*AT192*AT195*AT200*AT203*AT207*AT212*AT216</f>
        <v>0</v>
      </c>
      <c r="AZ1133"/>
      <c r="BA1133"/>
      <c r="BB1133"/>
      <c r="BC1133"/>
      <c r="BD1133"/>
      <c r="BE1133"/>
      <c r="BF1133"/>
    </row>
    <row r="1134" spans="45:83" x14ac:dyDescent="0.3">
      <c r="AT1134" t="s">
        <v>505</v>
      </c>
      <c r="AZ1134"/>
      <c r="BA1134"/>
      <c r="BB1134"/>
      <c r="BC1134"/>
      <c r="BD1134"/>
      <c r="BE1134"/>
      <c r="BF1134"/>
    </row>
    <row r="1135" spans="45:83" x14ac:dyDescent="0.3">
      <c r="AT1135" t="s">
        <v>506</v>
      </c>
      <c r="AZ1135"/>
      <c r="BA1135"/>
      <c r="BB1135"/>
      <c r="BC1135"/>
      <c r="BD1135"/>
      <c r="BE1135"/>
      <c r="BF1135"/>
    </row>
    <row r="1136" spans="45:83" x14ac:dyDescent="0.3">
      <c r="AT1136" t="s">
        <v>507</v>
      </c>
      <c r="AZ1136"/>
      <c r="BA1136"/>
      <c r="BB1136"/>
      <c r="BC1136"/>
      <c r="BD1136"/>
      <c r="BE1136"/>
      <c r="BF1136"/>
    </row>
    <row r="1137" spans="45:83" x14ac:dyDescent="0.3">
      <c r="AT1137" t="s">
        <v>508</v>
      </c>
      <c r="AU1137">
        <f>AW26* AX33 * AX38* AX43 * AX52 * AX58 * AX62 * AX70 * AX75 * AX80 * AX87 * AX93 * AX100 * AX106 * AX111 * AX118 * AX124 * AX128 * AX136 * AX141 * AX145 * AX151 * AX159 * AX164 * AX167 * AX171 * AX175 * AX179 * AX183 * AX187 * AX192 * AX195 * AX200 * AX203 * AX207 * AX212 * AX216</f>
        <v>3.0998087433165655E-11</v>
      </c>
      <c r="AZ1137"/>
      <c r="BA1137"/>
      <c r="BB1137"/>
      <c r="BC1137"/>
      <c r="BD1137"/>
      <c r="BE1137"/>
      <c r="BF1137"/>
    </row>
    <row r="1138" spans="45:83" x14ac:dyDescent="0.3">
      <c r="AT1138" t="s">
        <v>509</v>
      </c>
      <c r="AU1138">
        <f>AW27 * AY33 * AY38* AY43 * AY52 * AY58 * AY62 * AY70 * AY75 * AY80 * AY87 * AY93 * AY100 * AY106 * AY111 * AY118* AY124 * AY128 * AY136 * AY141 * AY145 * AY151 * AY159 * AY164 * AY167 * AY171 * AY175 * AY179 * AY183 * AY187 * AY192 * AY195 * AY200 * AY203 * AY207 * AY212 * AY216</f>
        <v>0</v>
      </c>
      <c r="AZ1138"/>
      <c r="BA1138"/>
      <c r="BB1138"/>
      <c r="BC1138"/>
      <c r="BD1138"/>
      <c r="BE1138"/>
      <c r="BF1138"/>
    </row>
    <row r="1139" spans="45:83" x14ac:dyDescent="0.3">
      <c r="AZ1139"/>
      <c r="BA1139"/>
      <c r="BB1139"/>
      <c r="BC1139"/>
      <c r="BD1139"/>
      <c r="BE1139"/>
      <c r="BF1139"/>
    </row>
    <row r="1140" spans="45:83" x14ac:dyDescent="0.3">
      <c r="AS1140" s="65" t="s">
        <v>495</v>
      </c>
      <c r="AT1140" s="65"/>
      <c r="AU1140" s="20" t="s">
        <v>64</v>
      </c>
      <c r="AV1140" s="1" t="s">
        <v>43</v>
      </c>
      <c r="AW1140" s="1" t="s">
        <v>44</v>
      </c>
      <c r="AX1140" s="1" t="s">
        <v>45</v>
      </c>
      <c r="AY1140" s="1" t="s">
        <v>46</v>
      </c>
      <c r="AZ1140" s="1" t="s">
        <v>47</v>
      </c>
      <c r="BA1140" s="1" t="s">
        <v>48</v>
      </c>
      <c r="BB1140" s="1" t="s">
        <v>49</v>
      </c>
      <c r="BC1140" s="1" t="s">
        <v>50</v>
      </c>
      <c r="BD1140" s="1" t="s">
        <v>51</v>
      </c>
      <c r="BE1140" s="1" t="s">
        <v>52</v>
      </c>
      <c r="BF1140" s="1" t="s">
        <v>53</v>
      </c>
      <c r="BG1140" s="1" t="s">
        <v>54</v>
      </c>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row>
    <row r="1141" spans="45:83" x14ac:dyDescent="0.3">
      <c r="AS1141" s="65"/>
      <c r="AT1141" s="65"/>
      <c r="AU1141" s="20">
        <v>5</v>
      </c>
      <c r="AV1141" t="s">
        <v>5</v>
      </c>
      <c r="AW1141" t="s">
        <v>5</v>
      </c>
      <c r="AX1141" t="s">
        <v>3</v>
      </c>
      <c r="AY1141" t="s">
        <v>5</v>
      </c>
      <c r="AZ1141" t="s">
        <v>5</v>
      </c>
      <c r="BA1141" t="s">
        <v>5</v>
      </c>
      <c r="BB1141" t="s">
        <v>5</v>
      </c>
      <c r="BC1141" t="s">
        <v>2</v>
      </c>
      <c r="BD1141" t="s">
        <v>2</v>
      </c>
      <c r="BE1141" t="s">
        <v>5</v>
      </c>
      <c r="BF1141" t="s">
        <v>2</v>
      </c>
      <c r="BG1141" t="s">
        <v>2</v>
      </c>
    </row>
    <row r="1142" spans="45:83" x14ac:dyDescent="0.3">
      <c r="AT1142" t="s">
        <v>504</v>
      </c>
      <c r="AU1142">
        <f>AW22 * AT34 * AT40 * AT44 * AT52 * AT58 * AT64 * AT70 * AT75 * AT81 * AT88 * AT93 * AT99 * AT103 * AT110 * AT117 * AT124 * AT130 * AT136 * AT140 * AT146 * AT152 * AT157 * AT164 * AT167 * AT171 * AT175 * AT179 * AT183 * AT188 * AT192 * AT195 * AT200 * AT203 * AT207 * AT212 * AT216</f>
        <v>0</v>
      </c>
      <c r="AZ1142"/>
      <c r="BA1142"/>
      <c r="BB1142"/>
      <c r="BC1142"/>
      <c r="BD1142"/>
      <c r="BE1142"/>
      <c r="BF1142"/>
    </row>
    <row r="1143" spans="45:83" x14ac:dyDescent="0.3">
      <c r="AT1143" t="s">
        <v>505</v>
      </c>
      <c r="AU1143">
        <f>AW23 * AU34 * AU40 * AU44 * AU52 * AU58 * AU64 * AU70 * AU75 * AU81 * AU88 * AU93 * AU99 * AU103 * AU110 * AU117 * AU124 * AU130 * AU136 * AU140 * AU146 * AU152 * AU157 * AU164 * AU167 * AU171 * AU175 * AU179 * AU183 * AU188 * AU192 * AU195 * AU200 * AU203 * AU207 * AU212 * AU216</f>
        <v>0</v>
      </c>
      <c r="AZ1143"/>
      <c r="BA1143"/>
      <c r="BB1143"/>
      <c r="BC1143"/>
      <c r="BD1143"/>
      <c r="BE1143"/>
      <c r="BF1143"/>
    </row>
    <row r="1144" spans="45:83" x14ac:dyDescent="0.3">
      <c r="AT1144" t="s">
        <v>506</v>
      </c>
      <c r="AU1144">
        <f>AW24 * AV34 * AV40 * AV44 * AV52 * AV58 * AV64 * AV70 * AV75 * AV81 * AV88 * AV93 * AV99 * AV103 * AV110 * AV117 * AV124 * AV130 * AV136 * AV140 * AV146 * AV152 * AV157 * AV164 * AV167 * AV171 * AV175 * AV179 * AV183 * AV188 * AV192 * AV195 * AV200 * AV203 * AV207 * AV212 * AV216</f>
        <v>0</v>
      </c>
      <c r="AZ1144"/>
      <c r="BA1144"/>
      <c r="BB1144"/>
      <c r="BC1144"/>
      <c r="BD1144"/>
      <c r="BE1144"/>
      <c r="BF1144"/>
    </row>
    <row r="1145" spans="45:83" x14ac:dyDescent="0.3">
      <c r="AT1145" t="s">
        <v>507</v>
      </c>
      <c r="AU1145">
        <f>AW25 * AW34 * AW40 * AW44 * AW52 * AW58 * AW64 * AW70 * AW75 * AW81 * AW88 * AW93 * AW99 * AW103 * AW110 * AW117 * AW124 * AW130 * AW136 * AW140 * AW146 * AW152 * AW157 * AW164 * AW167 * AW171 * AW175 * AW179 * AW183 * AW188 * AW192 * AW195 * AW200 * AW203 * AW207 * AW212 * AW216</f>
        <v>0</v>
      </c>
      <c r="AZ1145"/>
      <c r="BA1145"/>
      <c r="BB1145"/>
      <c r="BC1145"/>
      <c r="BD1145"/>
      <c r="BE1145"/>
      <c r="BF1145"/>
    </row>
    <row r="1146" spans="45:83" x14ac:dyDescent="0.3">
      <c r="AT1146" t="s">
        <v>508</v>
      </c>
      <c r="AU1146">
        <f>AW26*AX34*AX40*AX44*AX52*AX58*AX64*AX70*AX75*AX81*AX88*AX93*AX99*AX103*AX110*AX117*AX124*AX130*AX136*AX140*AX146*AX152*AX157*AX164*AX167*AX171*AX175*AX179*AX183*AX188*AX192*AX195*AX200*AX203*AX207*AX212*AX216</f>
        <v>3.1078811619189511E-9</v>
      </c>
      <c r="AZ1146"/>
      <c r="BA1146"/>
      <c r="BB1146"/>
      <c r="BC1146"/>
      <c r="BD1146"/>
      <c r="BE1146"/>
      <c r="BF1146"/>
    </row>
    <row r="1147" spans="45:83" x14ac:dyDescent="0.3">
      <c r="AT1147" t="s">
        <v>509</v>
      </c>
      <c r="AU1147">
        <f>AW27 * AY34 * AY40 * AY44 * AY52 * AY58 * AY64 * AY70 * AY75 * AY81 * AY88 * AY93 * AY99 * AY103 * AY110 * AY117 * AY124 * AY130 * AY136 * AY140 * AY146 * AY152 * AY157 * AY164 * AY167 * AY171 * AY175 * AY179 * AY183 * AY188 * AY192 * AY195 * AY200 * AY203 * AY207 * AY212 * AY216</f>
        <v>0</v>
      </c>
      <c r="AZ1147"/>
      <c r="BA1147"/>
      <c r="BB1147"/>
      <c r="BC1147"/>
      <c r="BD1147"/>
      <c r="BE1147"/>
      <c r="BF1147"/>
    </row>
    <row r="1148" spans="45:83" x14ac:dyDescent="0.3">
      <c r="AZ1148"/>
      <c r="BA1148"/>
      <c r="BB1148"/>
      <c r="BC1148"/>
      <c r="BD1148"/>
      <c r="BE1148"/>
      <c r="BF1148"/>
    </row>
    <row r="1149" spans="45:83" x14ac:dyDescent="0.3">
      <c r="AS1149" s="65" t="s">
        <v>475</v>
      </c>
      <c r="AT1149" s="65"/>
      <c r="AU1149" s="20" t="s">
        <v>64</v>
      </c>
      <c r="AV1149" s="1" t="s">
        <v>43</v>
      </c>
      <c r="AW1149" s="1" t="s">
        <v>44</v>
      </c>
      <c r="AX1149" s="1" t="s">
        <v>45</v>
      </c>
      <c r="AY1149" s="1" t="s">
        <v>46</v>
      </c>
      <c r="AZ1149" s="1" t="s">
        <v>47</v>
      </c>
      <c r="BA1149" s="1" t="s">
        <v>48</v>
      </c>
      <c r="BB1149" s="1" t="s">
        <v>49</v>
      </c>
      <c r="BC1149" s="1" t="s">
        <v>50</v>
      </c>
      <c r="BD1149" s="1" t="s">
        <v>51</v>
      </c>
      <c r="BE1149" s="1" t="s">
        <v>52</v>
      </c>
      <c r="BF1149" s="1" t="s">
        <v>53</v>
      </c>
      <c r="BG1149" s="1" t="s">
        <v>54</v>
      </c>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row>
    <row r="1150" spans="45:83" x14ac:dyDescent="0.3">
      <c r="AS1150" s="65"/>
      <c r="AT1150" s="65"/>
      <c r="AU1150" s="20">
        <v>6</v>
      </c>
      <c r="AV1150" t="s">
        <v>5</v>
      </c>
      <c r="AW1150" t="s">
        <v>5</v>
      </c>
      <c r="AX1150" t="s">
        <v>2</v>
      </c>
      <c r="AY1150" t="s">
        <v>5</v>
      </c>
      <c r="AZ1150" t="s">
        <v>5</v>
      </c>
      <c r="BA1150" t="s">
        <v>5</v>
      </c>
      <c r="BB1150" t="s">
        <v>5</v>
      </c>
      <c r="BC1150" t="s">
        <v>5</v>
      </c>
      <c r="BD1150" t="s">
        <v>2</v>
      </c>
      <c r="BE1150" t="s">
        <v>4</v>
      </c>
      <c r="BF1150" t="s">
        <v>4</v>
      </c>
      <c r="BG1150" t="s">
        <v>5</v>
      </c>
    </row>
    <row r="1151" spans="45:83" x14ac:dyDescent="0.3">
      <c r="AT1151" t="s">
        <v>504</v>
      </c>
      <c r="AU1151">
        <f>AW22*AT34*AT40*AT45*AT52*AT58*AT64*AT70*AT76*AT81*AT85*AT91*AT100*AT105*AT110*AT118*AT124*AT128*AT136*AT142*AT145*AT152*AT159*AT164*AT167*AT171*AT176*AT179*AT183*AT187*AT192*AT195*AT200*AT203*AT207*AT211*AT216</f>
        <v>0</v>
      </c>
      <c r="AZ1151"/>
      <c r="BA1151"/>
      <c r="BB1151"/>
      <c r="BC1151"/>
      <c r="BD1151"/>
      <c r="BE1151"/>
      <c r="BF1151"/>
    </row>
    <row r="1152" spans="45:83" x14ac:dyDescent="0.3">
      <c r="AT1152" t="s">
        <v>505</v>
      </c>
      <c r="AZ1152"/>
      <c r="BA1152"/>
      <c r="BB1152"/>
      <c r="BC1152"/>
      <c r="BD1152"/>
      <c r="BE1152"/>
      <c r="BF1152"/>
    </row>
    <row r="1153" spans="45:83" x14ac:dyDescent="0.3">
      <c r="AT1153" t="s">
        <v>506</v>
      </c>
      <c r="AZ1153"/>
      <c r="BA1153"/>
      <c r="BB1153"/>
      <c r="BC1153"/>
      <c r="BD1153"/>
      <c r="BE1153"/>
      <c r="BF1153"/>
    </row>
    <row r="1154" spans="45:83" x14ac:dyDescent="0.3">
      <c r="AT1154" t="s">
        <v>507</v>
      </c>
      <c r="AZ1154"/>
      <c r="BA1154"/>
      <c r="BB1154"/>
      <c r="BC1154"/>
      <c r="BD1154"/>
      <c r="BE1154"/>
      <c r="BF1154"/>
    </row>
    <row r="1155" spans="45:83" x14ac:dyDescent="0.3">
      <c r="AT1155" t="s">
        <v>508</v>
      </c>
      <c r="AZ1155"/>
      <c r="BA1155"/>
      <c r="BB1155"/>
      <c r="BC1155"/>
      <c r="BD1155"/>
      <c r="BE1155"/>
      <c r="BF1155"/>
    </row>
    <row r="1156" spans="45:83" x14ac:dyDescent="0.3">
      <c r="AT1156" t="s">
        <v>509</v>
      </c>
      <c r="AZ1156"/>
      <c r="BA1156"/>
      <c r="BB1156"/>
      <c r="BC1156"/>
      <c r="BD1156"/>
      <c r="BE1156"/>
      <c r="BF1156"/>
    </row>
    <row r="1157" spans="45:83" x14ac:dyDescent="0.3">
      <c r="AZ1157"/>
      <c r="BA1157"/>
      <c r="BB1157"/>
      <c r="BC1157"/>
      <c r="BD1157"/>
      <c r="BE1157"/>
      <c r="BF1157"/>
    </row>
    <row r="1158" spans="45:83" x14ac:dyDescent="0.3">
      <c r="AS1158" s="65" t="s">
        <v>477</v>
      </c>
      <c r="AT1158" s="65"/>
      <c r="AU1158" s="20" t="s">
        <v>64</v>
      </c>
      <c r="AV1158" s="1" t="s">
        <v>43</v>
      </c>
      <c r="AW1158" s="1" t="s">
        <v>44</v>
      </c>
      <c r="AX1158" s="1" t="s">
        <v>45</v>
      </c>
      <c r="AY1158" s="1" t="s">
        <v>46</v>
      </c>
      <c r="AZ1158" s="1" t="s">
        <v>47</v>
      </c>
      <c r="BA1158" s="1" t="s">
        <v>48</v>
      </c>
      <c r="BB1158" s="1" t="s">
        <v>49</v>
      </c>
      <c r="BC1158" s="1" t="s">
        <v>50</v>
      </c>
      <c r="BD1158" s="1" t="s">
        <v>51</v>
      </c>
      <c r="BE1158" s="1" t="s">
        <v>52</v>
      </c>
      <c r="BF1158" s="1" t="s">
        <v>53</v>
      </c>
      <c r="BG1158" s="1" t="s">
        <v>54</v>
      </c>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row>
    <row r="1159" spans="45:83" x14ac:dyDescent="0.3">
      <c r="AS1159" s="65"/>
      <c r="AT1159" s="65"/>
      <c r="AU1159" s="20">
        <v>6</v>
      </c>
      <c r="AV1159" t="s">
        <v>5</v>
      </c>
      <c r="AW1159" t="s">
        <v>5</v>
      </c>
      <c r="AX1159" t="s">
        <v>3</v>
      </c>
      <c r="AY1159" t="s">
        <v>5</v>
      </c>
      <c r="AZ1159" t="s">
        <v>5</v>
      </c>
      <c r="BA1159" t="s">
        <v>5</v>
      </c>
      <c r="BB1159" t="s">
        <v>5</v>
      </c>
      <c r="BC1159" t="s">
        <v>2</v>
      </c>
      <c r="BD1159" t="s">
        <v>2</v>
      </c>
      <c r="BE1159" t="s">
        <v>2</v>
      </c>
      <c r="BF1159" t="s">
        <v>2</v>
      </c>
      <c r="BG1159" t="s">
        <v>3</v>
      </c>
    </row>
    <row r="1160" spans="45:83" x14ac:dyDescent="0.3">
      <c r="AT1160" t="s">
        <v>504</v>
      </c>
      <c r="AU1160">
        <f>AW22*AT34*AT40*AT44*AT52*AT58*AT64*AT70*AT75*AT81*AT87*AT93*AT98*AT106*AT110*AT116*AT124*AT130*AT136*AT141*AT146*AT151*AT157*AT164*AT167*AT171*AT175*AT180*AT183*AT187*AT192*AT196*AT200*AT204*AT208*AT212*AT216</f>
        <v>0</v>
      </c>
      <c r="AZ1160"/>
      <c r="BA1160"/>
      <c r="BB1160"/>
      <c r="BC1160"/>
      <c r="BD1160"/>
      <c r="BE1160"/>
      <c r="BF1160"/>
    </row>
    <row r="1161" spans="45:83" x14ac:dyDescent="0.3">
      <c r="AT1161" t="s">
        <v>505</v>
      </c>
      <c r="AZ1161"/>
      <c r="BA1161"/>
      <c r="BB1161"/>
      <c r="BC1161"/>
      <c r="BD1161"/>
      <c r="BE1161"/>
      <c r="BF1161"/>
    </row>
    <row r="1162" spans="45:83" x14ac:dyDescent="0.3">
      <c r="AT1162" t="s">
        <v>506</v>
      </c>
      <c r="AZ1162"/>
      <c r="BA1162"/>
      <c r="BB1162"/>
      <c r="BC1162"/>
      <c r="BD1162"/>
      <c r="BE1162"/>
      <c r="BF1162"/>
    </row>
    <row r="1163" spans="45:83" x14ac:dyDescent="0.3">
      <c r="AT1163" t="s">
        <v>507</v>
      </c>
      <c r="AZ1163"/>
      <c r="BA1163"/>
      <c r="BB1163"/>
      <c r="BC1163"/>
      <c r="BD1163"/>
      <c r="BE1163"/>
      <c r="BF1163"/>
    </row>
    <row r="1164" spans="45:83" x14ac:dyDescent="0.3">
      <c r="AT1164" t="s">
        <v>508</v>
      </c>
      <c r="AZ1164"/>
      <c r="BA1164"/>
      <c r="BB1164"/>
      <c r="BC1164"/>
      <c r="BD1164"/>
      <c r="BE1164"/>
      <c r="BF1164"/>
    </row>
    <row r="1165" spans="45:83" x14ac:dyDescent="0.3">
      <c r="AT1165" t="s">
        <v>509</v>
      </c>
      <c r="AU1165">
        <f>AW27 * AY34 * AY40 * AY44 * AY52 * AY58 * AY64 * AY70 * AY75 * AY81 * AY87 * AY93 * AY98 * AY106 * AY110 * AY116 * AY124 * AY130 * AY136 * AY141 * AY146 * AY151 * AY157 * AY164 * AY167 * AY171 * AY175 * AY180 * AY183 * AY187 * AY192 * AY196 * AY200 * AY204 * AY208 * AY212 * AY216</f>
        <v>1.7859349221372509E-13</v>
      </c>
      <c r="AZ1165"/>
      <c r="BA1165"/>
      <c r="BB1165"/>
      <c r="BC1165"/>
      <c r="BD1165"/>
      <c r="BE1165"/>
      <c r="BF1165"/>
    </row>
    <row r="1166" spans="45:83" x14ac:dyDescent="0.3">
      <c r="AZ1166"/>
      <c r="BA1166"/>
      <c r="BB1166"/>
      <c r="BC1166"/>
      <c r="BD1166"/>
      <c r="BE1166"/>
      <c r="BF1166"/>
    </row>
    <row r="1167" spans="45:83" x14ac:dyDescent="0.3">
      <c r="AS1167" s="65" t="s">
        <v>488</v>
      </c>
      <c r="AT1167" s="65"/>
      <c r="AU1167" s="20" t="s">
        <v>64</v>
      </c>
      <c r="AV1167" s="1" t="s">
        <v>43</v>
      </c>
      <c r="AW1167" s="1" t="s">
        <v>44</v>
      </c>
      <c r="AX1167" s="1" t="s">
        <v>45</v>
      </c>
      <c r="AY1167" s="1" t="s">
        <v>46</v>
      </c>
      <c r="AZ1167" s="1" t="s">
        <v>47</v>
      </c>
      <c r="BA1167" s="1" t="s">
        <v>48</v>
      </c>
      <c r="BB1167" s="1" t="s">
        <v>49</v>
      </c>
      <c r="BC1167" s="1" t="s">
        <v>50</v>
      </c>
      <c r="BD1167" s="1" t="s">
        <v>51</v>
      </c>
      <c r="BE1167" s="1" t="s">
        <v>52</v>
      </c>
      <c r="BF1167" s="1" t="s">
        <v>53</v>
      </c>
      <c r="BG1167" s="1" t="s">
        <v>54</v>
      </c>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row>
    <row r="1168" spans="45:83" x14ac:dyDescent="0.3">
      <c r="AS1168" s="65"/>
      <c r="AT1168" s="65"/>
      <c r="AU1168" s="20">
        <v>6</v>
      </c>
      <c r="AV1168" t="s">
        <v>5</v>
      </c>
      <c r="AW1168" t="s">
        <v>5</v>
      </c>
      <c r="AX1168" t="s">
        <v>4</v>
      </c>
      <c r="AY1168" t="s">
        <v>5</v>
      </c>
      <c r="AZ1168" t="s">
        <v>5</v>
      </c>
      <c r="BA1168" t="s">
        <v>5</v>
      </c>
      <c r="BB1168" t="s">
        <v>5</v>
      </c>
      <c r="BC1168" t="s">
        <v>2</v>
      </c>
      <c r="BD1168" t="s">
        <v>3</v>
      </c>
      <c r="BE1168" t="s">
        <v>4</v>
      </c>
      <c r="BF1168" t="s">
        <v>3</v>
      </c>
      <c r="BG1168" t="s">
        <v>5</v>
      </c>
    </row>
    <row r="1169" spans="45:83" x14ac:dyDescent="0.3">
      <c r="AT1169" t="s">
        <v>504</v>
      </c>
      <c r="AU1169">
        <f>AW22*AT34*AT40*AT43*AT52*AT58*AT64*AT70*AT75*AT80*AT85*AT92*AT100*AT106*AT110*AT118*AT124*AT128*AT136*AT140*AT145*AT153*AT159*AT163*AT167*AT171*AT175*AT179*AT183*AT187*AT192*AT195*AT200*AT204*AT207*AT212*AT216</f>
        <v>0</v>
      </c>
      <c r="AZ1169"/>
      <c r="BA1169"/>
      <c r="BB1169"/>
      <c r="BC1169"/>
      <c r="BD1169"/>
      <c r="BE1169"/>
      <c r="BF1169"/>
    </row>
    <row r="1170" spans="45:83" x14ac:dyDescent="0.3">
      <c r="AT1170" t="s">
        <v>505</v>
      </c>
      <c r="AZ1170"/>
      <c r="BA1170"/>
      <c r="BB1170"/>
      <c r="BC1170"/>
      <c r="BD1170"/>
      <c r="BE1170"/>
      <c r="BF1170"/>
    </row>
    <row r="1171" spans="45:83" x14ac:dyDescent="0.3">
      <c r="AT1171" t="s">
        <v>506</v>
      </c>
      <c r="AZ1171"/>
      <c r="BA1171"/>
      <c r="BB1171"/>
      <c r="BC1171"/>
      <c r="BD1171"/>
      <c r="BE1171"/>
      <c r="BF1171"/>
    </row>
    <row r="1172" spans="45:83" x14ac:dyDescent="0.3">
      <c r="AT1172" t="s">
        <v>507</v>
      </c>
      <c r="AZ1172"/>
      <c r="BA1172"/>
      <c r="BB1172"/>
      <c r="BC1172"/>
      <c r="BD1172"/>
      <c r="BE1172"/>
      <c r="BF1172"/>
    </row>
    <row r="1173" spans="45:83" x14ac:dyDescent="0.3">
      <c r="AT1173" t="s">
        <v>508</v>
      </c>
      <c r="AZ1173"/>
      <c r="BA1173"/>
      <c r="BB1173"/>
      <c r="BC1173"/>
      <c r="BD1173"/>
      <c r="BE1173"/>
      <c r="BF1173"/>
    </row>
    <row r="1174" spans="45:83" x14ac:dyDescent="0.3">
      <c r="AT1174" t="s">
        <v>509</v>
      </c>
      <c r="AU1174">
        <f>AW27 * AY34 * AY40 * AY43 * AY52 * AY58 * AY64 * AY70 * AY75 * AY80 * AY85 * AY92 * AY100 * AY106 * AY110 * AY118 * AY124 * AY128 * AY136 * AY140 * AY145 * AY153 * AY159 * AY164 * AY167 * AY171 * AY175 * AY179 * AY183 * AY187 * AY192 * AY195 * AY200 * AY204 * AY207 * AY212 * AY216</f>
        <v>2.9043588077764822E-9</v>
      </c>
      <c r="AZ1174"/>
      <c r="BA1174"/>
      <c r="BB1174"/>
      <c r="BC1174"/>
      <c r="BD1174"/>
      <c r="BE1174"/>
      <c r="BF1174"/>
    </row>
    <row r="1175" spans="45:83" x14ac:dyDescent="0.3">
      <c r="AZ1175"/>
      <c r="BA1175"/>
      <c r="BB1175"/>
      <c r="BC1175"/>
      <c r="BD1175"/>
      <c r="BE1175"/>
      <c r="BF1175"/>
    </row>
    <row r="1176" spans="45:83" x14ac:dyDescent="0.3">
      <c r="AS1176" s="65" t="s">
        <v>457</v>
      </c>
      <c r="AT1176" s="65"/>
      <c r="AU1176" s="20" t="s">
        <v>64</v>
      </c>
      <c r="AV1176" s="1" t="s">
        <v>43</v>
      </c>
      <c r="AW1176" s="1" t="s">
        <v>44</v>
      </c>
      <c r="AX1176" s="1" t="s">
        <v>45</v>
      </c>
      <c r="AY1176" s="1" t="s">
        <v>46</v>
      </c>
      <c r="AZ1176" s="1" t="s">
        <v>47</v>
      </c>
      <c r="BA1176" s="1" t="s">
        <v>48</v>
      </c>
      <c r="BB1176" s="1" t="s">
        <v>49</v>
      </c>
      <c r="BC1176" s="1" t="s">
        <v>50</v>
      </c>
      <c r="BD1176" s="1" t="s">
        <v>51</v>
      </c>
      <c r="BE1176" s="1" t="s">
        <v>52</v>
      </c>
      <c r="BF1176" s="1" t="s">
        <v>53</v>
      </c>
      <c r="BG1176" s="1" t="s">
        <v>54</v>
      </c>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row>
    <row r="1177" spans="45:83" x14ac:dyDescent="0.3">
      <c r="AS1177" s="65"/>
      <c r="AT1177" s="65"/>
      <c r="AU1177" s="20">
        <v>1</v>
      </c>
      <c r="AV1177" t="s">
        <v>4</v>
      </c>
      <c r="AW1177" t="s">
        <v>2</v>
      </c>
      <c r="AX1177" t="s">
        <v>3</v>
      </c>
      <c r="AY1177" t="s">
        <v>3</v>
      </c>
      <c r="AZ1177" t="s">
        <v>5</v>
      </c>
      <c r="BA1177" t="s">
        <v>5</v>
      </c>
      <c r="BB1177" t="s">
        <v>5</v>
      </c>
      <c r="BC1177" t="s">
        <v>2</v>
      </c>
      <c r="BD1177" t="s">
        <v>3</v>
      </c>
      <c r="BE1177" t="s">
        <v>3</v>
      </c>
      <c r="BF1177" t="s">
        <v>4</v>
      </c>
      <c r="BG1177" t="s">
        <v>4</v>
      </c>
    </row>
    <row r="1178" spans="45:83" x14ac:dyDescent="0.3">
      <c r="AT1178" t="s">
        <v>504</v>
      </c>
      <c r="AU1178">
        <f>AW22*AT31*AT39*AT44*AT50*AT58*AT64*AT70*AT75*AT80*AT86*AT91*AT97*AT106*AT110*AT118*AT124*AT130*AT136*AT139*AT145*AT151*AT157*AT164*AT168*AT172*AT175*AT179*AT183*AT187*AT192*AT195*AT200*AT203*AT207*AT211*AT216</f>
        <v>0</v>
      </c>
      <c r="AZ1178"/>
      <c r="BA1178"/>
      <c r="BB1178"/>
      <c r="BC1178"/>
      <c r="BD1178"/>
      <c r="BE1178"/>
      <c r="BF1178"/>
    </row>
    <row r="1179" spans="45:83" x14ac:dyDescent="0.3">
      <c r="AT1179" t="s">
        <v>505</v>
      </c>
      <c r="AZ1179"/>
      <c r="BA1179"/>
      <c r="BB1179"/>
      <c r="BC1179"/>
      <c r="BD1179"/>
      <c r="BE1179"/>
      <c r="BF1179"/>
    </row>
    <row r="1180" spans="45:83" x14ac:dyDescent="0.3">
      <c r="AT1180" t="s">
        <v>506</v>
      </c>
      <c r="AZ1180"/>
      <c r="BA1180"/>
      <c r="BB1180"/>
      <c r="BC1180"/>
      <c r="BD1180"/>
      <c r="BE1180"/>
      <c r="BF1180"/>
    </row>
    <row r="1181" spans="45:83" x14ac:dyDescent="0.3">
      <c r="AT1181" t="s">
        <v>507</v>
      </c>
      <c r="AZ1181"/>
      <c r="BA1181"/>
      <c r="BB1181"/>
      <c r="BC1181"/>
      <c r="BD1181"/>
      <c r="BE1181"/>
      <c r="BF1181"/>
    </row>
    <row r="1182" spans="45:83" x14ac:dyDescent="0.3">
      <c r="AT1182" t="s">
        <v>508</v>
      </c>
      <c r="AZ1182"/>
      <c r="BA1182"/>
      <c r="BB1182"/>
      <c r="BC1182"/>
      <c r="BD1182"/>
      <c r="BE1182"/>
      <c r="BF1182"/>
    </row>
    <row r="1183" spans="45:83" x14ac:dyDescent="0.3">
      <c r="AT1183" t="s">
        <v>509</v>
      </c>
      <c r="AZ1183"/>
      <c r="BA1183"/>
      <c r="BB1183"/>
      <c r="BC1183"/>
      <c r="BD1183"/>
      <c r="BE1183"/>
      <c r="BF1183"/>
    </row>
    <row r="1184" spans="45:83" x14ac:dyDescent="0.3">
      <c r="AZ1184"/>
      <c r="BA1184"/>
      <c r="BB1184"/>
      <c r="BC1184"/>
      <c r="BD1184"/>
      <c r="BE1184"/>
      <c r="BF1184"/>
    </row>
    <row r="1185" spans="45:83" x14ac:dyDescent="0.3">
      <c r="AS1185" s="65" t="s">
        <v>462</v>
      </c>
      <c r="AT1185" s="65"/>
      <c r="AU1185" s="20" t="s">
        <v>64</v>
      </c>
      <c r="AV1185" s="1" t="s">
        <v>43</v>
      </c>
      <c r="AW1185" s="1" t="s">
        <v>44</v>
      </c>
      <c r="AX1185" s="1" t="s">
        <v>45</v>
      </c>
      <c r="AY1185" s="1" t="s">
        <v>46</v>
      </c>
      <c r="AZ1185" s="1" t="s">
        <v>47</v>
      </c>
      <c r="BA1185" s="1" t="s">
        <v>48</v>
      </c>
      <c r="BB1185" s="1" t="s">
        <v>49</v>
      </c>
      <c r="BC1185" s="1" t="s">
        <v>50</v>
      </c>
      <c r="BD1185" s="1" t="s">
        <v>51</v>
      </c>
      <c r="BE1185" s="1" t="s">
        <v>52</v>
      </c>
      <c r="BF1185" s="1" t="s">
        <v>53</v>
      </c>
      <c r="BG1185" s="1" t="s">
        <v>54</v>
      </c>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row>
    <row r="1186" spans="45:83" x14ac:dyDescent="0.3">
      <c r="AS1186" s="65"/>
      <c r="AT1186" s="65"/>
      <c r="AU1186" s="20">
        <v>2</v>
      </c>
      <c r="AV1186" t="s">
        <v>5</v>
      </c>
      <c r="AW1186" t="s">
        <v>3</v>
      </c>
      <c r="AX1186" t="s">
        <v>5</v>
      </c>
      <c r="AY1186" t="s">
        <v>5</v>
      </c>
      <c r="AZ1186" t="s">
        <v>5</v>
      </c>
      <c r="BA1186" t="s">
        <v>5</v>
      </c>
      <c r="BB1186" t="s">
        <v>5</v>
      </c>
      <c r="BC1186" t="s">
        <v>2</v>
      </c>
      <c r="BD1186" t="s">
        <v>3</v>
      </c>
      <c r="BE1186" t="s">
        <v>3</v>
      </c>
      <c r="BF1186" t="s">
        <v>3</v>
      </c>
      <c r="BG1186" t="s">
        <v>5</v>
      </c>
    </row>
    <row r="1187" spans="45:83" x14ac:dyDescent="0.3">
      <c r="AT1187" t="s">
        <v>504</v>
      </c>
      <c r="AU1187">
        <f>AW22*AT34*AT38*AT46*AT52*AT58*AT64*AT70*AT75*AT80*AT86*AT92*AT100*AT106*AT110*AT118*AT124*AT130*AT136*AT142*AT146*AT151*AT157*AT164*AT168*AT172*AT175*AT179*AT183*AT187*AT192*AT195*AT199*AT204*AT207*AT211*AT216</f>
        <v>0</v>
      </c>
      <c r="AZ1187"/>
      <c r="BA1187"/>
      <c r="BB1187"/>
      <c r="BC1187"/>
      <c r="BD1187"/>
      <c r="BE1187"/>
      <c r="BF1187"/>
    </row>
    <row r="1188" spans="45:83" x14ac:dyDescent="0.3">
      <c r="AT1188" t="s">
        <v>505</v>
      </c>
      <c r="AZ1188"/>
      <c r="BA1188"/>
      <c r="BB1188"/>
      <c r="BC1188"/>
      <c r="BD1188"/>
      <c r="BE1188"/>
      <c r="BF1188"/>
    </row>
    <row r="1189" spans="45:83" x14ac:dyDescent="0.3">
      <c r="AT1189" t="s">
        <v>506</v>
      </c>
      <c r="AZ1189"/>
      <c r="BA1189"/>
      <c r="BB1189"/>
      <c r="BC1189"/>
      <c r="BD1189"/>
      <c r="BE1189"/>
      <c r="BF1189"/>
    </row>
    <row r="1190" spans="45:83" x14ac:dyDescent="0.3">
      <c r="AT1190" t="s">
        <v>507</v>
      </c>
      <c r="AZ1190"/>
      <c r="BA1190"/>
      <c r="BB1190"/>
      <c r="BC1190"/>
      <c r="BD1190"/>
      <c r="BE1190"/>
      <c r="BF1190"/>
    </row>
    <row r="1191" spans="45:83" x14ac:dyDescent="0.3">
      <c r="AT1191" t="s">
        <v>508</v>
      </c>
      <c r="AZ1191"/>
      <c r="BA1191"/>
      <c r="BB1191"/>
      <c r="BC1191"/>
      <c r="BD1191"/>
      <c r="BE1191"/>
      <c r="BF1191"/>
    </row>
    <row r="1192" spans="45:83" x14ac:dyDescent="0.3">
      <c r="AT1192" t="s">
        <v>509</v>
      </c>
      <c r="AZ1192"/>
      <c r="BA1192"/>
      <c r="BB1192"/>
      <c r="BC1192"/>
      <c r="BD1192"/>
      <c r="BE1192"/>
      <c r="BF1192"/>
    </row>
    <row r="1193" spans="45:83" x14ac:dyDescent="0.3">
      <c r="AZ1193"/>
      <c r="BA1193"/>
      <c r="BB1193"/>
      <c r="BC1193"/>
      <c r="BD1193"/>
      <c r="BE1193"/>
      <c r="BF1193"/>
    </row>
    <row r="1194" spans="45:83" x14ac:dyDescent="0.3">
      <c r="AS1194" s="66" t="s">
        <v>466</v>
      </c>
      <c r="AT1194" s="66"/>
      <c r="AU1194" s="20" t="s">
        <v>64</v>
      </c>
      <c r="AV1194" s="1" t="s">
        <v>43</v>
      </c>
      <c r="AW1194" s="1" t="s">
        <v>44</v>
      </c>
      <c r="AX1194" s="1" t="s">
        <v>45</v>
      </c>
      <c r="AY1194" s="1" t="s">
        <v>46</v>
      </c>
      <c r="AZ1194" s="1" t="s">
        <v>47</v>
      </c>
      <c r="BA1194" s="1" t="s">
        <v>48</v>
      </c>
      <c r="BB1194" s="1" t="s">
        <v>49</v>
      </c>
      <c r="BC1194" s="1" t="s">
        <v>50</v>
      </c>
      <c r="BD1194" s="1" t="s">
        <v>51</v>
      </c>
      <c r="BE1194" s="1" t="s">
        <v>52</v>
      </c>
      <c r="BF1194" s="1" t="s">
        <v>53</v>
      </c>
      <c r="BG1194" s="1" t="s">
        <v>54</v>
      </c>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row>
    <row r="1195" spans="45:83" x14ac:dyDescent="0.3">
      <c r="AS1195" s="66"/>
      <c r="AT1195" s="66"/>
      <c r="AU1195" s="20">
        <v>3</v>
      </c>
      <c r="AV1195" t="s">
        <v>5</v>
      </c>
      <c r="AW1195" t="s">
        <v>3</v>
      </c>
      <c r="AX1195" t="s">
        <v>3</v>
      </c>
      <c r="AY1195" t="s">
        <v>5</v>
      </c>
      <c r="AZ1195" t="s">
        <v>5</v>
      </c>
      <c r="BA1195" t="s">
        <v>5</v>
      </c>
      <c r="BB1195" t="s">
        <v>5</v>
      </c>
      <c r="BC1195" t="s">
        <v>2</v>
      </c>
      <c r="BD1195" t="s">
        <v>3</v>
      </c>
      <c r="BE1195" t="s">
        <v>3</v>
      </c>
      <c r="BF1195" t="s">
        <v>4</v>
      </c>
      <c r="BG1195" t="s">
        <v>5</v>
      </c>
    </row>
    <row r="1196" spans="45:83" x14ac:dyDescent="0.3">
      <c r="AT1196" t="s">
        <v>504</v>
      </c>
      <c r="AU1196">
        <f>AW22*AT34*AT38*AT44*AT52*AT58*AT64*AT70*AT75*AT80*AT86*AT91*AT100*AT105*AT110*AT118*AT124*AT130*AT136*AT139*AT145*AT151*AT159*AT164*AT167*AT171*AT175*AT179*AT183*AT187*AT192*AT195*AT200*AT203*AT207*AT211*AT215</f>
        <v>0</v>
      </c>
      <c r="AZ1196"/>
      <c r="BA1196"/>
      <c r="BB1196"/>
      <c r="BC1196"/>
      <c r="BD1196"/>
      <c r="BE1196"/>
      <c r="BF1196"/>
    </row>
    <row r="1197" spans="45:83" x14ac:dyDescent="0.3">
      <c r="AT1197" t="s">
        <v>505</v>
      </c>
      <c r="AZ1197"/>
      <c r="BA1197"/>
      <c r="BB1197"/>
      <c r="BC1197"/>
      <c r="BD1197"/>
      <c r="BE1197"/>
      <c r="BF1197"/>
    </row>
    <row r="1198" spans="45:83" x14ac:dyDescent="0.3">
      <c r="AT1198" t="s">
        <v>506</v>
      </c>
      <c r="AZ1198"/>
      <c r="BA1198"/>
      <c r="BB1198"/>
      <c r="BC1198"/>
      <c r="BD1198"/>
      <c r="BE1198"/>
      <c r="BF1198"/>
    </row>
    <row r="1199" spans="45:83" x14ac:dyDescent="0.3">
      <c r="AT1199" t="s">
        <v>507</v>
      </c>
      <c r="AZ1199"/>
      <c r="BA1199"/>
      <c r="BB1199"/>
      <c r="BC1199"/>
      <c r="BD1199"/>
      <c r="BE1199"/>
      <c r="BF1199"/>
    </row>
    <row r="1200" spans="45:83" x14ac:dyDescent="0.3">
      <c r="AT1200" t="s">
        <v>508</v>
      </c>
      <c r="AZ1200"/>
      <c r="BA1200"/>
      <c r="BB1200"/>
      <c r="BC1200"/>
      <c r="BD1200"/>
      <c r="BE1200"/>
      <c r="BF1200"/>
    </row>
    <row r="1201" spans="45:83" x14ac:dyDescent="0.3">
      <c r="AT1201" t="s">
        <v>509</v>
      </c>
      <c r="AZ1201"/>
      <c r="BA1201"/>
      <c r="BB1201"/>
      <c r="BC1201"/>
      <c r="BD1201"/>
      <c r="BE1201"/>
      <c r="BF1201"/>
    </row>
    <row r="1202" spans="45:83" x14ac:dyDescent="0.3">
      <c r="AZ1202"/>
      <c r="BA1202"/>
      <c r="BB1202"/>
      <c r="BC1202"/>
      <c r="BD1202"/>
      <c r="BE1202"/>
      <c r="BF1202"/>
    </row>
    <row r="1203" spans="45:83" x14ac:dyDescent="0.3">
      <c r="AS1203" s="65" t="s">
        <v>517</v>
      </c>
      <c r="AT1203" s="65"/>
      <c r="AU1203" s="20" t="s">
        <v>64</v>
      </c>
      <c r="AV1203" s="1" t="s">
        <v>43</v>
      </c>
      <c r="AW1203" s="1" t="s">
        <v>44</v>
      </c>
      <c r="AX1203" s="1" t="s">
        <v>45</v>
      </c>
      <c r="AY1203" s="1" t="s">
        <v>46</v>
      </c>
      <c r="AZ1203" s="1" t="s">
        <v>47</v>
      </c>
      <c r="BA1203" s="1" t="s">
        <v>48</v>
      </c>
      <c r="BB1203" s="1" t="s">
        <v>49</v>
      </c>
      <c r="BC1203" s="1" t="s">
        <v>50</v>
      </c>
      <c r="BD1203" s="1" t="s">
        <v>51</v>
      </c>
      <c r="BE1203" s="1" t="s">
        <v>52</v>
      </c>
      <c r="BF1203" s="1" t="s">
        <v>53</v>
      </c>
      <c r="BG1203" s="1" t="s">
        <v>54</v>
      </c>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row>
    <row r="1204" spans="45:83" x14ac:dyDescent="0.3">
      <c r="AS1204" s="65"/>
      <c r="AT1204" s="65"/>
      <c r="AU1204" s="20">
        <v>6</v>
      </c>
      <c r="AV1204" t="s">
        <v>5</v>
      </c>
      <c r="AW1204" t="s">
        <v>5</v>
      </c>
      <c r="AX1204" t="s">
        <v>3</v>
      </c>
      <c r="AY1204" t="s">
        <v>5</v>
      </c>
      <c r="AZ1204" t="s">
        <v>5</v>
      </c>
      <c r="BA1204" t="s">
        <v>5</v>
      </c>
      <c r="BB1204" t="s">
        <v>5</v>
      </c>
      <c r="BC1204" t="s">
        <v>2</v>
      </c>
      <c r="BD1204" t="s">
        <v>2</v>
      </c>
      <c r="BE1204" t="s">
        <v>4</v>
      </c>
      <c r="BF1204" t="s">
        <v>4</v>
      </c>
      <c r="BG1204" t="s">
        <v>4</v>
      </c>
    </row>
    <row r="1205" spans="45:83" x14ac:dyDescent="0.3">
      <c r="AT1205" t="s">
        <v>504</v>
      </c>
      <c r="AU1205">
        <f>AW22*AT34*AT40*AT44*AT52*AT58*AT64*AT70*AT75*AT81*AT85*AT91*AT97*AT106*AT109*AT118*AT124*AT130*AT136*AT140*AT148*AT153*AT157*AT164*AT167*AT171*AT175*AT179*AT183*AT187*AT192*AT195*AT200*AT204*AT207*AT211*AT216</f>
        <v>0</v>
      </c>
      <c r="AZ1205"/>
      <c r="BA1205"/>
      <c r="BB1205"/>
      <c r="BC1205"/>
      <c r="BD1205"/>
      <c r="BE1205"/>
      <c r="BF1205"/>
    </row>
    <row r="1206" spans="45:83" x14ac:dyDescent="0.3">
      <c r="AT1206" t="s">
        <v>505</v>
      </c>
      <c r="AZ1206"/>
      <c r="BA1206"/>
      <c r="BB1206"/>
      <c r="BC1206"/>
      <c r="BD1206"/>
      <c r="BE1206"/>
      <c r="BF1206"/>
    </row>
    <row r="1207" spans="45:83" x14ac:dyDescent="0.3">
      <c r="AT1207" t="s">
        <v>506</v>
      </c>
      <c r="AZ1207"/>
      <c r="BA1207"/>
      <c r="BB1207"/>
      <c r="BC1207"/>
      <c r="BD1207"/>
      <c r="BE1207"/>
      <c r="BF1207"/>
    </row>
    <row r="1208" spans="45:83" x14ac:dyDescent="0.3">
      <c r="AT1208" t="s">
        <v>507</v>
      </c>
      <c r="AZ1208"/>
      <c r="BA1208"/>
      <c r="BB1208"/>
      <c r="BC1208"/>
      <c r="BD1208"/>
      <c r="BE1208"/>
      <c r="BF1208"/>
    </row>
    <row r="1209" spans="45:83" x14ac:dyDescent="0.3">
      <c r="AT1209" t="s">
        <v>508</v>
      </c>
      <c r="AZ1209"/>
      <c r="BA1209"/>
      <c r="BB1209"/>
      <c r="BC1209"/>
      <c r="BD1209"/>
      <c r="BE1209"/>
      <c r="BF1209"/>
    </row>
    <row r="1210" spans="45:83" x14ac:dyDescent="0.3">
      <c r="AT1210" t="s">
        <v>509</v>
      </c>
      <c r="AZ1210"/>
      <c r="BA1210"/>
      <c r="BB1210"/>
      <c r="BC1210"/>
      <c r="BD1210"/>
      <c r="BE1210"/>
      <c r="BF1210"/>
    </row>
    <row r="1211" spans="45:83" x14ac:dyDescent="0.3">
      <c r="AZ1211"/>
      <c r="BA1211"/>
      <c r="BB1211"/>
      <c r="BC1211"/>
      <c r="BD1211"/>
      <c r="BE1211"/>
      <c r="BF1211"/>
    </row>
    <row r="1212" spans="45:83" x14ac:dyDescent="0.3">
      <c r="AS1212" s="65" t="s">
        <v>473</v>
      </c>
      <c r="AT1212" s="65"/>
      <c r="AU1212" s="20" t="s">
        <v>64</v>
      </c>
      <c r="AV1212" s="1" t="s">
        <v>43</v>
      </c>
      <c r="AW1212" s="1" t="s">
        <v>44</v>
      </c>
      <c r="AX1212" s="1" t="s">
        <v>45</v>
      </c>
      <c r="AY1212" s="1" t="s">
        <v>46</v>
      </c>
      <c r="AZ1212" s="1" t="s">
        <v>47</v>
      </c>
      <c r="BA1212" s="1" t="s">
        <v>48</v>
      </c>
      <c r="BB1212" s="1" t="s">
        <v>49</v>
      </c>
      <c r="BC1212" s="1" t="s">
        <v>50</v>
      </c>
      <c r="BD1212" s="1" t="s">
        <v>51</v>
      </c>
      <c r="BE1212" s="1" t="s">
        <v>52</v>
      </c>
      <c r="BF1212" s="1" t="s">
        <v>53</v>
      </c>
      <c r="BG1212" s="1" t="s">
        <v>54</v>
      </c>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row>
    <row r="1213" spans="45:83" x14ac:dyDescent="0.3">
      <c r="AS1213" s="65"/>
      <c r="AT1213" s="65"/>
      <c r="AU1213" s="20">
        <v>5</v>
      </c>
      <c r="AV1213" t="s">
        <v>5</v>
      </c>
      <c r="AW1213" t="s">
        <v>3</v>
      </c>
      <c r="AX1213" t="s">
        <v>5</v>
      </c>
      <c r="AY1213" t="s">
        <v>5</v>
      </c>
      <c r="AZ1213" t="s">
        <v>5</v>
      </c>
      <c r="BA1213" t="s">
        <v>5</v>
      </c>
      <c r="BB1213" t="s">
        <v>5</v>
      </c>
      <c r="BC1213" t="s">
        <v>2</v>
      </c>
      <c r="BD1213" t="s">
        <v>3</v>
      </c>
      <c r="BE1213" t="s">
        <v>3</v>
      </c>
      <c r="BF1213" t="s">
        <v>5</v>
      </c>
      <c r="BG1213" t="s">
        <v>2</v>
      </c>
    </row>
    <row r="1214" spans="45:83" x14ac:dyDescent="0.3">
      <c r="AT1214" t="s">
        <v>504</v>
      </c>
      <c r="AU1214">
        <f>AW22*AT34*AT38*AT46*AT52*AT58*AT64*AT70*AT75*AT80*AT86*AT94*AT99*AT106*AT111*AT117*AT124*AT130*AT136*AT140*AT146*AT151*AT157*AT164*AT167*AT171*AT175*AT179*AT183*AT188*AT192*AT195*AT200*AT203*AT207*AT212*AT216</f>
        <v>0</v>
      </c>
      <c r="AZ1214"/>
      <c r="BA1214"/>
      <c r="BB1214"/>
      <c r="BC1214"/>
      <c r="BD1214"/>
      <c r="BE1214"/>
      <c r="BF1214"/>
    </row>
    <row r="1215" spans="45:83" x14ac:dyDescent="0.3">
      <c r="AT1215" t="s">
        <v>505</v>
      </c>
      <c r="AZ1215"/>
      <c r="BA1215"/>
      <c r="BB1215"/>
      <c r="BC1215"/>
      <c r="BD1215"/>
      <c r="BE1215"/>
      <c r="BF1215"/>
    </row>
    <row r="1216" spans="45:83" x14ac:dyDescent="0.3">
      <c r="AT1216" t="s">
        <v>506</v>
      </c>
      <c r="AZ1216"/>
      <c r="BA1216"/>
      <c r="BB1216"/>
      <c r="BC1216"/>
      <c r="BD1216"/>
      <c r="BE1216"/>
      <c r="BF1216"/>
    </row>
    <row r="1217" spans="45:83" x14ac:dyDescent="0.3">
      <c r="AT1217" t="s">
        <v>507</v>
      </c>
      <c r="AZ1217"/>
      <c r="BA1217"/>
      <c r="BB1217"/>
      <c r="BC1217"/>
      <c r="BD1217"/>
      <c r="BE1217"/>
      <c r="BF1217"/>
    </row>
    <row r="1218" spans="45:83" x14ac:dyDescent="0.3">
      <c r="AT1218" t="s">
        <v>508</v>
      </c>
      <c r="AZ1218"/>
      <c r="BA1218"/>
      <c r="BB1218"/>
      <c r="BC1218"/>
      <c r="BD1218"/>
      <c r="BE1218"/>
      <c r="BF1218"/>
    </row>
    <row r="1219" spans="45:83" x14ac:dyDescent="0.3">
      <c r="AT1219" t="s">
        <v>509</v>
      </c>
      <c r="AZ1219"/>
      <c r="BA1219"/>
      <c r="BB1219"/>
      <c r="BC1219"/>
      <c r="BD1219"/>
      <c r="BE1219"/>
      <c r="BF1219"/>
    </row>
    <row r="1220" spans="45:83" x14ac:dyDescent="0.3">
      <c r="AZ1220"/>
      <c r="BA1220"/>
      <c r="BB1220"/>
      <c r="BC1220"/>
      <c r="BD1220"/>
      <c r="BE1220"/>
      <c r="BF1220"/>
    </row>
    <row r="1221" spans="45:83" x14ac:dyDescent="0.3">
      <c r="AS1221" s="65" t="s">
        <v>470</v>
      </c>
      <c r="AT1221" s="65"/>
      <c r="AU1221" s="20" t="s">
        <v>64</v>
      </c>
      <c r="AV1221" s="1" t="s">
        <v>43</v>
      </c>
      <c r="AW1221" s="1" t="s">
        <v>44</v>
      </c>
      <c r="AX1221" s="1" t="s">
        <v>45</v>
      </c>
      <c r="AY1221" s="1" t="s">
        <v>46</v>
      </c>
      <c r="AZ1221" s="1" t="s">
        <v>47</v>
      </c>
      <c r="BA1221" s="1" t="s">
        <v>48</v>
      </c>
      <c r="BB1221" s="1" t="s">
        <v>49</v>
      </c>
      <c r="BC1221" s="1" t="s">
        <v>50</v>
      </c>
      <c r="BD1221" s="1" t="s">
        <v>51</v>
      </c>
      <c r="BE1221" s="1" t="s">
        <v>52</v>
      </c>
      <c r="BF1221" s="1" t="s">
        <v>53</v>
      </c>
      <c r="BG1221" s="1" t="s">
        <v>54</v>
      </c>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row>
    <row r="1222" spans="45:83" x14ac:dyDescent="0.3">
      <c r="AS1222" s="65"/>
      <c r="AT1222" s="65"/>
      <c r="AU1222" s="20">
        <v>4</v>
      </c>
      <c r="AV1222" t="s">
        <v>5</v>
      </c>
      <c r="AW1222" t="s">
        <v>5</v>
      </c>
      <c r="AX1222" t="s">
        <v>5</v>
      </c>
      <c r="AY1222" t="s">
        <v>5</v>
      </c>
      <c r="AZ1222" t="s">
        <v>5</v>
      </c>
      <c r="BA1222" t="s">
        <v>5</v>
      </c>
      <c r="BB1222" t="s">
        <v>5</v>
      </c>
      <c r="BC1222" t="s">
        <v>2</v>
      </c>
      <c r="BD1222" t="s">
        <v>2</v>
      </c>
      <c r="BE1222" t="s">
        <v>2</v>
      </c>
      <c r="BF1222" t="s">
        <v>3</v>
      </c>
      <c r="BG1222" t="s">
        <v>3</v>
      </c>
    </row>
    <row r="1223" spans="45:83" x14ac:dyDescent="0.3">
      <c r="AT1223" t="s">
        <v>504</v>
      </c>
      <c r="AU1223">
        <f>AW22*AT34*AT40*AT46*AT52*AT58*AT64*AT70*AT75*AT81*AT87*AT92*AT98*AT106*AT110*AT116*AT124*AT130*AT136*AT142*AT145*AT151*AT159*AT164*AT168*AT172*AT175*AT179*AT183*AT187*AT192*AT195*AT200*AT204*AT207*AT211*AT216</f>
        <v>0</v>
      </c>
      <c r="AZ1223"/>
      <c r="BA1223"/>
      <c r="BB1223"/>
      <c r="BC1223"/>
      <c r="BD1223"/>
      <c r="BE1223"/>
      <c r="BF1223"/>
    </row>
    <row r="1224" spans="45:83" x14ac:dyDescent="0.3">
      <c r="AT1224" t="s">
        <v>505</v>
      </c>
      <c r="AZ1224"/>
      <c r="BA1224"/>
      <c r="BB1224"/>
      <c r="BC1224"/>
      <c r="BD1224"/>
      <c r="BE1224"/>
      <c r="BF1224"/>
    </row>
    <row r="1225" spans="45:83" x14ac:dyDescent="0.3">
      <c r="AT1225" t="s">
        <v>506</v>
      </c>
      <c r="AZ1225"/>
      <c r="BA1225"/>
      <c r="BB1225"/>
      <c r="BC1225"/>
      <c r="BD1225"/>
      <c r="BE1225"/>
      <c r="BF1225"/>
    </row>
    <row r="1226" spans="45:83" x14ac:dyDescent="0.3">
      <c r="AT1226" t="s">
        <v>507</v>
      </c>
      <c r="AZ1226"/>
      <c r="BA1226"/>
      <c r="BB1226"/>
      <c r="BC1226"/>
      <c r="BD1226"/>
      <c r="BE1226"/>
      <c r="BF1226"/>
    </row>
    <row r="1227" spans="45:83" x14ac:dyDescent="0.3">
      <c r="AT1227" t="s">
        <v>508</v>
      </c>
      <c r="AZ1227"/>
      <c r="BA1227"/>
      <c r="BB1227"/>
      <c r="BC1227"/>
      <c r="BD1227"/>
      <c r="BE1227"/>
      <c r="BF1227"/>
    </row>
    <row r="1228" spans="45:83" x14ac:dyDescent="0.3">
      <c r="AT1228" t="s">
        <v>509</v>
      </c>
      <c r="AZ1228"/>
      <c r="BA1228"/>
      <c r="BB1228"/>
      <c r="BC1228"/>
      <c r="BD1228"/>
      <c r="BE1228"/>
      <c r="BF1228"/>
    </row>
    <row r="1229" spans="45:83" x14ac:dyDescent="0.3">
      <c r="AZ1229"/>
      <c r="BA1229"/>
      <c r="BB1229"/>
      <c r="BC1229"/>
      <c r="BD1229"/>
      <c r="BE1229"/>
      <c r="BF1229"/>
    </row>
    <row r="1230" spans="45:83" x14ac:dyDescent="0.3">
      <c r="AS1230" s="66" t="s">
        <v>323</v>
      </c>
      <c r="AT1230" s="66"/>
      <c r="AU1230" s="20" t="s">
        <v>64</v>
      </c>
      <c r="AV1230" s="1" t="s">
        <v>43</v>
      </c>
      <c r="AW1230" s="1" t="s">
        <v>44</v>
      </c>
      <c r="AX1230" s="1" t="s">
        <v>45</v>
      </c>
      <c r="AY1230" s="1" t="s">
        <v>46</v>
      </c>
      <c r="AZ1230" s="1" t="s">
        <v>47</v>
      </c>
      <c r="BA1230" s="1" t="s">
        <v>48</v>
      </c>
      <c r="BB1230" s="1" t="s">
        <v>49</v>
      </c>
      <c r="BC1230" s="1" t="s">
        <v>50</v>
      </c>
      <c r="BD1230" s="1" t="s">
        <v>51</v>
      </c>
      <c r="BE1230" s="1" t="s">
        <v>52</v>
      </c>
      <c r="BF1230" s="1" t="s">
        <v>53</v>
      </c>
      <c r="BG1230" s="1" t="s">
        <v>54</v>
      </c>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row>
    <row r="1231" spans="45:83" x14ac:dyDescent="0.3">
      <c r="AS1231" s="66"/>
      <c r="AT1231" s="66"/>
      <c r="AU1231" s="20">
        <v>4</v>
      </c>
      <c r="AV1231" t="s">
        <v>5</v>
      </c>
      <c r="AW1231" t="s">
        <v>3</v>
      </c>
      <c r="AX1231" t="s">
        <v>2</v>
      </c>
      <c r="AY1231" t="s">
        <v>5</v>
      </c>
      <c r="AZ1231" t="s">
        <v>5</v>
      </c>
      <c r="BA1231" t="s">
        <v>5</v>
      </c>
      <c r="BB1231" t="s">
        <v>2</v>
      </c>
      <c r="BC1231" t="s">
        <v>2</v>
      </c>
      <c r="BD1231" t="s">
        <v>3</v>
      </c>
      <c r="BE1231" t="s">
        <v>3</v>
      </c>
      <c r="BF1231" t="s">
        <v>3</v>
      </c>
      <c r="BG1231" s="22" t="s">
        <v>4</v>
      </c>
    </row>
    <row r="1232" spans="45:83" x14ac:dyDescent="0.3">
      <c r="AT1232" t="s">
        <v>504</v>
      </c>
      <c r="AU1232" s="43">
        <f>AW22*AT34*AT38*AT45*AT52*AT58*AT64*AT69*AT75*AT80*AT86*AT92*AT97*AT105*AT111*AT116*AT124*AT129*AT135*AT142*AT146*AT153*AT159*AT164*AT167*AT171*AT175*AT179*AT183*AT188*AT192*AT195*AT200*AT203*AT207*AT211*AT216</f>
        <v>0</v>
      </c>
      <c r="AZ1232"/>
      <c r="BA1232"/>
      <c r="BB1232"/>
      <c r="BC1232"/>
      <c r="BD1232"/>
      <c r="BE1232"/>
      <c r="BF1232"/>
    </row>
    <row r="1233" spans="38:58" x14ac:dyDescent="0.3">
      <c r="AT1233" t="s">
        <v>505</v>
      </c>
      <c r="AU1233">
        <f>AW23*AU34*AU38*AU45*AU52*AU58*AU64*AU69*AU75*AU80*AU86*AU92*AU97*AU105*AU111*AU116*AU124*AU129*AU135*AU142*AU146*AU153*AU159*AU164*AU167*AU171*AU175*AU179*AU183*AU188*AU192*AU195*AU200*AU203*AU207*AU211*AU216</f>
        <v>0</v>
      </c>
      <c r="AZ1233"/>
      <c r="BA1233"/>
      <c r="BB1233"/>
      <c r="BC1233"/>
      <c r="BD1233"/>
      <c r="BE1233"/>
      <c r="BF1233"/>
    </row>
    <row r="1234" spans="38:58" x14ac:dyDescent="0.3">
      <c r="AT1234" t="s">
        <v>506</v>
      </c>
      <c r="AU1234">
        <f>AW24*AV34*AV38*AV45*AV52*AV58*AV64*AV69*AV75*AV80*AV86*AV92*AV97*AV105*AV111*AV116*AV124*AV129*AV135*AV142*AV146*AV153*AV159*AV164*AV167*AV171*AV175*AV179*AV183*AV188*AV192*AV195*AV200*AV203*AV207*AV211*AV216</f>
        <v>0</v>
      </c>
      <c r="AZ1234"/>
      <c r="BA1234"/>
      <c r="BB1234"/>
      <c r="BC1234"/>
      <c r="BD1234"/>
      <c r="BE1234"/>
      <c r="BF1234"/>
    </row>
    <row r="1235" spans="38:58" x14ac:dyDescent="0.3">
      <c r="AT1235" t="s">
        <v>507</v>
      </c>
      <c r="AU1235">
        <f>AW25*AW34*AW38*AW45*AW52*AW58*AW64*AW69*AW75*AW80*AW86*AW92*AW97*AW105*AW111*AW116*AW124*AW129*AW135*AW142*AW146*AW153*AW159*AW164*AW167*AW171*AW175*AW179*AW183*AW188*AW192*AW195*AW200*AW203*AW207*AW211*AW216</f>
        <v>1.7102295990961887E-13</v>
      </c>
      <c r="AZ1235"/>
      <c r="BA1235"/>
      <c r="BB1235"/>
      <c r="BC1235"/>
      <c r="BD1235"/>
      <c r="BE1235"/>
      <c r="BF1235"/>
    </row>
    <row r="1236" spans="38:58" x14ac:dyDescent="0.3">
      <c r="AT1236" t="s">
        <v>508</v>
      </c>
      <c r="AU1236">
        <f>AW26*AX34*AX38*AX45*AX52*AX58*AX64*AX69*AX75*AX80*AX86*AX92*AX97*AX105*AX111*AX116*AX124*AX129*AX135*AX142*AX146*AX153*AX159*AX164*AX167*AX171*AX175*AX179*AX183*AX188*AX192*AX195*AX200*AX203*AX207*AX211*AX216</f>
        <v>0</v>
      </c>
      <c r="AZ1236"/>
      <c r="BA1236"/>
      <c r="BB1236"/>
      <c r="BC1236"/>
      <c r="BD1236"/>
      <c r="BE1236"/>
      <c r="BF1236"/>
    </row>
    <row r="1237" spans="38:58" x14ac:dyDescent="0.3">
      <c r="AT1237" t="s">
        <v>509</v>
      </c>
      <c r="AU1237">
        <f>AW27*AY34*AY38*AY45*AY52*AY58*AY64*AY69*AY75*AY80*AY86*AY92*AY97*AY105*AY111*AY116*AY124*AY129*AY135*AY142*AY146*AY153*AY159*AY164*AY167*AY171*AY175*AY179*AY183*AY188*AY192*AY195*AY200*AY203*AY207*AY211*AY216</f>
        <v>1.0504769993404522E-13</v>
      </c>
      <c r="AZ1237"/>
      <c r="BA1237"/>
      <c r="BB1237"/>
      <c r="BC1237"/>
      <c r="BD1237"/>
      <c r="BE1237"/>
      <c r="BF1237"/>
    </row>
    <row r="1238" spans="38:58" x14ac:dyDescent="0.3">
      <c r="AZ1238"/>
      <c r="BA1238"/>
      <c r="BB1238"/>
      <c r="BC1238"/>
      <c r="BD1238"/>
      <c r="BE1238"/>
      <c r="BF1238"/>
    </row>
    <row r="1239" spans="38:58" x14ac:dyDescent="0.3">
      <c r="AZ1239"/>
      <c r="BA1239"/>
      <c r="BB1239"/>
      <c r="BC1239"/>
      <c r="BD1239"/>
      <c r="BE1239"/>
      <c r="BF1239"/>
    </row>
    <row r="1240" spans="38:58" x14ac:dyDescent="0.3">
      <c r="AZ1240"/>
      <c r="BA1240"/>
      <c r="BB1240"/>
      <c r="BC1240"/>
      <c r="BD1240"/>
      <c r="BE1240"/>
      <c r="BF1240"/>
    </row>
    <row r="1241" spans="38:58" x14ac:dyDescent="0.3">
      <c r="AZ1241"/>
      <c r="BA1241"/>
      <c r="BB1241"/>
      <c r="BC1241"/>
      <c r="BD1241"/>
      <c r="BE1241"/>
      <c r="BF1241"/>
    </row>
    <row r="1242" spans="38:58" x14ac:dyDescent="0.3">
      <c r="AZ1242"/>
      <c r="BA1242"/>
      <c r="BB1242"/>
      <c r="BC1242"/>
      <c r="BD1242"/>
      <c r="BE1242"/>
      <c r="BF1242"/>
    </row>
    <row r="1243" spans="38:58" x14ac:dyDescent="0.3">
      <c r="AZ1243"/>
      <c r="BA1243"/>
      <c r="BB1243"/>
      <c r="BC1243"/>
      <c r="BD1243"/>
      <c r="BE1243"/>
      <c r="BF1243"/>
    </row>
    <row r="1244" spans="38:58" x14ac:dyDescent="0.3">
      <c r="AZ1244"/>
      <c r="BA1244"/>
      <c r="BB1244"/>
      <c r="BC1244"/>
      <c r="BD1244"/>
      <c r="BE1244"/>
      <c r="BF1244"/>
    </row>
    <row r="1245" spans="38:58" x14ac:dyDescent="0.3">
      <c r="AZ1245"/>
      <c r="BA1245"/>
      <c r="BB1245"/>
      <c r="BC1245"/>
      <c r="BD1245"/>
      <c r="BE1245"/>
      <c r="BF1245"/>
    </row>
    <row r="1246" spans="38:58" x14ac:dyDescent="0.3">
      <c r="AZ1246"/>
      <c r="BA1246"/>
      <c r="BB1246"/>
      <c r="BC1246"/>
      <c r="BD1246"/>
      <c r="BE1246"/>
      <c r="BF1246"/>
    </row>
    <row r="1247" spans="38:58" x14ac:dyDescent="0.3">
      <c r="AL1247" s="2"/>
      <c r="AZ1247"/>
      <c r="BA1247"/>
      <c r="BB1247"/>
      <c r="BC1247"/>
      <c r="BD1247"/>
      <c r="BE1247"/>
      <c r="BF1247"/>
    </row>
    <row r="1248" spans="38:58" x14ac:dyDescent="0.3">
      <c r="AZ1248"/>
      <c r="BA1248"/>
      <c r="BB1248"/>
      <c r="BC1248"/>
      <c r="BD1248"/>
      <c r="BE1248"/>
      <c r="BF1248"/>
    </row>
    <row r="1249" spans="38:58" x14ac:dyDescent="0.3">
      <c r="AZ1249"/>
      <c r="BA1249"/>
      <c r="BB1249"/>
      <c r="BC1249"/>
      <c r="BD1249"/>
      <c r="BE1249"/>
      <c r="BF1249"/>
    </row>
    <row r="1250" spans="38:58" x14ac:dyDescent="0.3">
      <c r="AZ1250"/>
      <c r="BA1250"/>
      <c r="BB1250"/>
      <c r="BC1250"/>
      <c r="BD1250"/>
      <c r="BE1250"/>
      <c r="BF1250"/>
    </row>
    <row r="1251" spans="38:58" x14ac:dyDescent="0.3">
      <c r="AZ1251"/>
      <c r="BA1251"/>
      <c r="BB1251"/>
      <c r="BC1251"/>
      <c r="BD1251"/>
      <c r="BE1251"/>
      <c r="BF1251"/>
    </row>
    <row r="1252" spans="38:58" x14ac:dyDescent="0.3">
      <c r="AZ1252"/>
      <c r="BA1252"/>
      <c r="BB1252"/>
      <c r="BC1252"/>
      <c r="BD1252"/>
      <c r="BE1252"/>
      <c r="BF1252"/>
    </row>
    <row r="1253" spans="38:58" x14ac:dyDescent="0.3">
      <c r="AZ1253"/>
      <c r="BA1253"/>
      <c r="BB1253"/>
      <c r="BC1253"/>
      <c r="BD1253"/>
      <c r="BE1253"/>
      <c r="BF1253"/>
    </row>
    <row r="1254" spans="38:58" x14ac:dyDescent="0.3">
      <c r="AZ1254"/>
      <c r="BA1254"/>
      <c r="BB1254"/>
      <c r="BC1254"/>
      <c r="BD1254"/>
      <c r="BE1254"/>
      <c r="BF1254"/>
    </row>
    <row r="1255" spans="38:58" x14ac:dyDescent="0.3">
      <c r="AZ1255"/>
      <c r="BA1255"/>
      <c r="BB1255"/>
      <c r="BC1255"/>
      <c r="BD1255"/>
      <c r="BE1255"/>
      <c r="BF1255"/>
    </row>
    <row r="1256" spans="38:58" x14ac:dyDescent="0.3">
      <c r="AZ1256"/>
      <c r="BA1256"/>
      <c r="BB1256"/>
      <c r="BC1256"/>
      <c r="BD1256"/>
      <c r="BE1256"/>
      <c r="BF1256"/>
    </row>
    <row r="1257" spans="38:58" x14ac:dyDescent="0.3">
      <c r="AZ1257"/>
      <c r="BA1257"/>
      <c r="BB1257"/>
      <c r="BC1257"/>
      <c r="BD1257"/>
      <c r="BE1257"/>
      <c r="BF1257"/>
    </row>
    <row r="1258" spans="38:58" x14ac:dyDescent="0.3">
      <c r="AZ1258"/>
      <c r="BA1258"/>
      <c r="BB1258"/>
      <c r="BC1258"/>
      <c r="BD1258"/>
      <c r="BE1258"/>
      <c r="BF1258"/>
    </row>
    <row r="1259" spans="38:58" x14ac:dyDescent="0.3">
      <c r="AZ1259"/>
      <c r="BA1259"/>
      <c r="BB1259"/>
      <c r="BC1259"/>
      <c r="BD1259"/>
      <c r="BE1259"/>
      <c r="BF1259"/>
    </row>
    <row r="1260" spans="38:58" x14ac:dyDescent="0.3">
      <c r="AZ1260"/>
      <c r="BA1260"/>
      <c r="BB1260"/>
      <c r="BC1260"/>
      <c r="BD1260"/>
      <c r="BE1260"/>
      <c r="BF1260"/>
    </row>
    <row r="1261" spans="38:58" x14ac:dyDescent="0.3">
      <c r="AZ1261"/>
      <c r="BA1261"/>
      <c r="BB1261"/>
      <c r="BC1261"/>
      <c r="BD1261"/>
      <c r="BE1261"/>
      <c r="BF1261"/>
    </row>
    <row r="1262" spans="38:58" x14ac:dyDescent="0.3">
      <c r="AZ1262"/>
      <c r="BA1262"/>
      <c r="BB1262"/>
      <c r="BC1262"/>
      <c r="BD1262"/>
      <c r="BE1262"/>
      <c r="BF1262"/>
    </row>
    <row r="1263" spans="38:58" x14ac:dyDescent="0.3">
      <c r="AL1263" s="2"/>
      <c r="AZ1263"/>
      <c r="BA1263"/>
      <c r="BB1263"/>
      <c r="BC1263"/>
      <c r="BD1263"/>
      <c r="BE1263"/>
      <c r="BF1263"/>
    </row>
    <row r="1264" spans="38:58" x14ac:dyDescent="0.3">
      <c r="AZ1264"/>
      <c r="BA1264"/>
      <c r="BB1264"/>
      <c r="BC1264"/>
      <c r="BD1264"/>
      <c r="BE1264"/>
      <c r="BF1264"/>
    </row>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spans="39:58" x14ac:dyDescent="0.3">
      <c r="AZ1281"/>
      <c r="BA1281"/>
      <c r="BB1281"/>
      <c r="BC1281"/>
      <c r="BD1281"/>
      <c r="BE1281"/>
      <c r="BF1281"/>
    </row>
    <row r="1282" spans="39:58" x14ac:dyDescent="0.3">
      <c r="AZ1282"/>
      <c r="BA1282"/>
      <c r="BB1282"/>
      <c r="BC1282"/>
      <c r="BD1282"/>
      <c r="BE1282"/>
      <c r="BF1282"/>
    </row>
    <row r="1283" spans="39:58" x14ac:dyDescent="0.3">
      <c r="AZ1283"/>
      <c r="BA1283"/>
      <c r="BB1283"/>
      <c r="BC1283"/>
      <c r="BD1283"/>
      <c r="BE1283"/>
      <c r="BF1283"/>
    </row>
    <row r="1284" spans="39:58" x14ac:dyDescent="0.3">
      <c r="AZ1284"/>
      <c r="BA1284"/>
      <c r="BB1284"/>
      <c r="BC1284"/>
      <c r="BD1284"/>
      <c r="BE1284"/>
      <c r="BF1284"/>
    </row>
    <row r="1285" spans="39:58" x14ac:dyDescent="0.3">
      <c r="AZ1285"/>
      <c r="BA1285"/>
      <c r="BB1285"/>
      <c r="BC1285"/>
      <c r="BD1285"/>
      <c r="BE1285"/>
      <c r="BF1285"/>
    </row>
    <row r="1286" spans="39:58" x14ac:dyDescent="0.3">
      <c r="AZ1286"/>
      <c r="BA1286"/>
      <c r="BB1286"/>
      <c r="BC1286"/>
      <c r="BD1286"/>
      <c r="BE1286"/>
      <c r="BF1286"/>
    </row>
    <row r="1287" spans="39:58" x14ac:dyDescent="0.3">
      <c r="AZ1287"/>
      <c r="BA1287"/>
      <c r="BB1287"/>
      <c r="BC1287"/>
      <c r="BD1287"/>
      <c r="BE1287"/>
      <c r="BF1287"/>
    </row>
    <row r="1288" spans="39:58" x14ac:dyDescent="0.3">
      <c r="AS1288" s="19"/>
      <c r="AT1288" s="19"/>
      <c r="AZ1288"/>
      <c r="BA1288"/>
      <c r="BB1288"/>
      <c r="BC1288"/>
      <c r="BD1288"/>
      <c r="BE1288"/>
      <c r="BF1288"/>
    </row>
    <row r="1289" spans="39:58" x14ac:dyDescent="0.3">
      <c r="AS1289" s="19"/>
      <c r="AT1289" s="19"/>
      <c r="AZ1289"/>
      <c r="BA1289"/>
      <c r="BB1289"/>
      <c r="BC1289"/>
      <c r="BD1289"/>
      <c r="BE1289"/>
      <c r="BF1289"/>
    </row>
    <row r="1290" spans="39:58" x14ac:dyDescent="0.3">
      <c r="AS1290" s="19"/>
      <c r="AT1290" s="19"/>
      <c r="AZ1290"/>
      <c r="BA1290"/>
      <c r="BB1290"/>
      <c r="BC1290"/>
      <c r="BD1290"/>
      <c r="BE1290"/>
      <c r="BF1290"/>
    </row>
    <row r="1291" spans="39:58" x14ac:dyDescent="0.3">
      <c r="AS1291" s="19"/>
      <c r="AT1291" s="19"/>
      <c r="AZ1291"/>
      <c r="BA1291"/>
      <c r="BB1291"/>
      <c r="BC1291"/>
      <c r="BD1291"/>
      <c r="BE1291"/>
      <c r="BF1291"/>
    </row>
    <row r="1292" spans="39:58" x14ac:dyDescent="0.3">
      <c r="AS1292" s="19"/>
      <c r="AT1292" s="19"/>
      <c r="AZ1292"/>
      <c r="BA1292"/>
      <c r="BB1292"/>
      <c r="BC1292"/>
      <c r="BD1292"/>
      <c r="BE1292"/>
      <c r="BF1292"/>
    </row>
    <row r="1293" spans="39:58" x14ac:dyDescent="0.3">
      <c r="AS1293" s="19"/>
      <c r="AT1293" s="19"/>
      <c r="AZ1293"/>
      <c r="BA1293"/>
      <c r="BB1293"/>
      <c r="BC1293"/>
      <c r="BD1293"/>
      <c r="BE1293"/>
      <c r="BF1293"/>
    </row>
    <row r="1294" spans="39:58" x14ac:dyDescent="0.3">
      <c r="AM1294" s="19"/>
      <c r="AN1294" s="19"/>
      <c r="AO1294" s="19"/>
      <c r="AP1294" s="19"/>
      <c r="AQ1294" s="19"/>
      <c r="AR1294" s="19"/>
      <c r="AS1294" s="19"/>
      <c r="AT1294" s="19"/>
      <c r="AZ1294"/>
      <c r="BA1294"/>
      <c r="BB1294"/>
      <c r="BC1294"/>
      <c r="BD1294"/>
      <c r="BE1294"/>
      <c r="BF1294"/>
    </row>
    <row r="1295" spans="39:58" x14ac:dyDescent="0.3">
      <c r="AM1295" s="19"/>
      <c r="AN1295" s="19"/>
      <c r="AO1295" s="19"/>
      <c r="AP1295" s="19"/>
      <c r="AQ1295" s="19"/>
      <c r="AR1295" s="19"/>
      <c r="AS1295" s="19"/>
      <c r="AT1295" s="19"/>
      <c r="AZ1295"/>
      <c r="BA1295"/>
      <c r="BB1295"/>
      <c r="BC1295"/>
      <c r="BD1295"/>
      <c r="BE1295"/>
      <c r="BF1295"/>
    </row>
    <row r="1296" spans="39:58" x14ac:dyDescent="0.3">
      <c r="AM1296" s="19"/>
      <c r="AN1296" s="19"/>
      <c r="AO1296" s="19"/>
      <c r="AP1296" s="19"/>
      <c r="AQ1296" s="19"/>
      <c r="AR1296" s="19"/>
      <c r="AS1296" s="19"/>
      <c r="AT1296" s="19"/>
      <c r="AZ1296"/>
      <c r="BA1296"/>
      <c r="BB1296"/>
      <c r="BC1296"/>
      <c r="BD1296"/>
      <c r="BE1296"/>
      <c r="BF1296"/>
    </row>
    <row r="1297" spans="39:58" x14ac:dyDescent="0.3">
      <c r="AM1297" s="19"/>
      <c r="AN1297" s="19"/>
      <c r="AO1297" s="19"/>
      <c r="AP1297" s="19"/>
      <c r="AQ1297" s="19"/>
      <c r="AR1297" s="19"/>
      <c r="AS1297" s="19"/>
      <c r="AT1297" s="19"/>
      <c r="AZ1297"/>
      <c r="BA1297"/>
      <c r="BB1297"/>
      <c r="BC1297"/>
      <c r="BD1297"/>
      <c r="BE1297"/>
      <c r="BF1297"/>
    </row>
    <row r="1298" spans="39:58" x14ac:dyDescent="0.3">
      <c r="AM1298" s="19"/>
      <c r="AN1298" s="19"/>
      <c r="AO1298" s="19"/>
      <c r="AP1298" s="19"/>
      <c r="AQ1298" s="19"/>
      <c r="AR1298" s="19"/>
      <c r="AS1298" s="19"/>
      <c r="AT1298" s="19"/>
      <c r="AZ1298"/>
      <c r="BA1298"/>
      <c r="BB1298"/>
      <c r="BC1298"/>
      <c r="BD1298"/>
      <c r="BE1298"/>
      <c r="BF1298"/>
    </row>
    <row r="1299" spans="39:58" x14ac:dyDescent="0.3">
      <c r="AM1299" s="19"/>
      <c r="AN1299" s="19"/>
      <c r="AO1299" s="19"/>
      <c r="AP1299" s="19"/>
      <c r="AQ1299" s="19"/>
      <c r="AR1299" s="19"/>
      <c r="AS1299" s="19"/>
      <c r="AT1299" s="19"/>
      <c r="AZ1299"/>
      <c r="BA1299"/>
      <c r="BB1299"/>
      <c r="BC1299"/>
      <c r="BD1299"/>
      <c r="BE1299"/>
      <c r="BF1299"/>
    </row>
    <row r="1300" spans="39:58" x14ac:dyDescent="0.3">
      <c r="AM1300" s="19"/>
      <c r="AN1300" s="19"/>
      <c r="AO1300" s="19"/>
      <c r="AP1300" s="19"/>
      <c r="AQ1300" s="19"/>
      <c r="AR1300" s="19"/>
      <c r="AS1300" s="19"/>
      <c r="AT1300" s="19"/>
      <c r="AZ1300"/>
      <c r="BA1300"/>
      <c r="BB1300"/>
      <c r="BC1300"/>
      <c r="BD1300"/>
      <c r="BE1300"/>
      <c r="BF1300"/>
    </row>
    <row r="1301" spans="39:58" x14ac:dyDescent="0.3">
      <c r="AM1301" s="19"/>
      <c r="AN1301" s="19"/>
      <c r="AO1301" s="19"/>
      <c r="AP1301" s="19"/>
      <c r="AQ1301" s="19"/>
      <c r="AR1301" s="19"/>
      <c r="AS1301" s="19"/>
      <c r="AT1301" s="19"/>
      <c r="AZ1301"/>
      <c r="BA1301"/>
      <c r="BB1301"/>
      <c r="BC1301"/>
      <c r="BD1301"/>
      <c r="BE1301"/>
      <c r="BF1301"/>
    </row>
    <row r="1302" spans="39:58" x14ac:dyDescent="0.3">
      <c r="AM1302" s="19"/>
      <c r="AN1302" s="19"/>
      <c r="AO1302" s="19"/>
      <c r="AP1302" s="19"/>
      <c r="AQ1302" s="19"/>
      <c r="AR1302" s="19"/>
      <c r="AS1302" s="19"/>
      <c r="AT1302" s="19"/>
      <c r="AZ1302"/>
      <c r="BA1302"/>
      <c r="BB1302"/>
      <c r="BC1302"/>
      <c r="BD1302"/>
      <c r="BE1302"/>
      <c r="BF1302"/>
    </row>
    <row r="1303" spans="39:58" x14ac:dyDescent="0.3">
      <c r="AM1303" s="19"/>
      <c r="AN1303" s="19"/>
      <c r="AO1303" s="19"/>
      <c r="AP1303" s="19"/>
      <c r="AQ1303" s="19"/>
      <c r="AR1303" s="19"/>
      <c r="AS1303" s="19"/>
      <c r="AT1303" s="19"/>
      <c r="AZ1303"/>
      <c r="BA1303"/>
      <c r="BB1303"/>
      <c r="BC1303"/>
      <c r="BD1303"/>
      <c r="BE1303"/>
      <c r="BF1303"/>
    </row>
    <row r="1304" spans="39:58" x14ac:dyDescent="0.3">
      <c r="AM1304" s="19"/>
      <c r="AN1304" s="19"/>
      <c r="AO1304" s="19"/>
      <c r="AP1304" s="19"/>
      <c r="AQ1304" s="19"/>
      <c r="AR1304" s="19"/>
      <c r="AS1304" s="19"/>
      <c r="AT1304" s="19"/>
      <c r="AZ1304"/>
      <c r="BA1304"/>
      <c r="BB1304"/>
      <c r="BC1304"/>
      <c r="BD1304"/>
      <c r="BE1304"/>
      <c r="BF1304"/>
    </row>
    <row r="1305" spans="39:58" x14ac:dyDescent="0.3">
      <c r="AM1305" s="19"/>
      <c r="AN1305" s="19"/>
      <c r="AO1305" s="19"/>
      <c r="AP1305" s="19"/>
      <c r="AQ1305" s="19"/>
      <c r="AR1305" s="19"/>
      <c r="AS1305" s="19"/>
      <c r="AT1305" s="19"/>
      <c r="AZ1305"/>
      <c r="BA1305"/>
      <c r="BB1305"/>
      <c r="BC1305"/>
      <c r="BD1305"/>
      <c r="BE1305"/>
      <c r="BF1305"/>
    </row>
    <row r="1306" spans="39:58" x14ac:dyDescent="0.3">
      <c r="AM1306" s="19"/>
      <c r="AN1306" s="19"/>
      <c r="AO1306" s="19"/>
      <c r="AP1306" s="19"/>
      <c r="AQ1306" s="19"/>
      <c r="AR1306" s="19"/>
      <c r="AS1306" s="19"/>
      <c r="AT1306" s="19"/>
      <c r="AZ1306"/>
      <c r="BA1306"/>
      <c r="BB1306"/>
      <c r="BC1306"/>
      <c r="BD1306"/>
      <c r="BE1306"/>
      <c r="BF1306"/>
    </row>
    <row r="1307" spans="39:58" x14ac:dyDescent="0.3">
      <c r="AM1307" s="19"/>
      <c r="AN1307" s="19"/>
      <c r="AO1307" s="19"/>
      <c r="AP1307" s="19"/>
      <c r="AQ1307" s="19"/>
      <c r="AR1307" s="19"/>
      <c r="AS1307" s="19"/>
      <c r="AT1307" s="19"/>
      <c r="AZ1307"/>
      <c r="BA1307"/>
      <c r="BB1307"/>
      <c r="BC1307"/>
      <c r="BD1307"/>
      <c r="BE1307"/>
      <c r="BF1307"/>
    </row>
    <row r="1308" spans="39:58" x14ac:dyDescent="0.3">
      <c r="AM1308" s="19"/>
      <c r="AN1308" s="19"/>
      <c r="AO1308" s="19"/>
      <c r="AP1308" s="19"/>
      <c r="AQ1308" s="19"/>
      <c r="AR1308" s="19"/>
      <c r="AS1308" s="19"/>
      <c r="AT1308" s="19"/>
      <c r="AZ1308"/>
      <c r="BA1308"/>
      <c r="BB1308"/>
      <c r="BC1308"/>
      <c r="BD1308"/>
      <c r="BE1308"/>
      <c r="BF1308"/>
    </row>
    <row r="1309" spans="39:58" x14ac:dyDescent="0.3">
      <c r="AM1309" s="19"/>
      <c r="AN1309" s="19"/>
      <c r="AO1309" s="19"/>
      <c r="AP1309" s="19"/>
      <c r="AQ1309" s="19"/>
      <c r="AR1309" s="19"/>
      <c r="AS1309" s="19"/>
      <c r="AT1309" s="19"/>
      <c r="AZ1309"/>
      <c r="BA1309"/>
      <c r="BB1309"/>
      <c r="BC1309"/>
      <c r="BD1309"/>
      <c r="BE1309"/>
      <c r="BF1309"/>
    </row>
    <row r="1310" spans="39:58" x14ac:dyDescent="0.3">
      <c r="AM1310" s="19"/>
      <c r="AN1310" s="19"/>
      <c r="AO1310" s="19"/>
      <c r="AP1310" s="19"/>
      <c r="AQ1310" s="19"/>
      <c r="AR1310" s="19"/>
      <c r="AS1310" s="19"/>
      <c r="AT1310" s="19"/>
      <c r="AZ1310"/>
      <c r="BA1310"/>
      <c r="BB1310"/>
      <c r="BC1310"/>
      <c r="BD1310"/>
      <c r="BE1310"/>
      <c r="BF1310"/>
    </row>
    <row r="1311" spans="39:58" x14ac:dyDescent="0.3">
      <c r="AM1311" s="19"/>
      <c r="AN1311" s="19"/>
      <c r="AO1311" s="19"/>
      <c r="AP1311" s="19"/>
      <c r="AQ1311" s="19"/>
      <c r="AR1311" s="19"/>
      <c r="AS1311" s="19"/>
      <c r="AT1311" s="19"/>
      <c r="AZ1311"/>
      <c r="BA1311"/>
      <c r="BB1311"/>
      <c r="BC1311"/>
      <c r="BD1311"/>
      <c r="BE1311"/>
      <c r="BF1311"/>
    </row>
    <row r="1312" spans="39:58" x14ac:dyDescent="0.3">
      <c r="AM1312" s="19"/>
      <c r="AN1312" s="19"/>
      <c r="AO1312" s="19"/>
      <c r="AP1312" s="19"/>
      <c r="AQ1312" s="19"/>
      <c r="AR1312" s="19"/>
      <c r="AS1312" s="19"/>
      <c r="AT1312" s="19"/>
      <c r="AZ1312"/>
      <c r="BA1312"/>
      <c r="BB1312"/>
      <c r="BC1312"/>
      <c r="BD1312"/>
      <c r="BE1312"/>
      <c r="BF1312"/>
    </row>
    <row r="1313" spans="39:58" x14ac:dyDescent="0.3">
      <c r="AM1313" s="19"/>
      <c r="AN1313" s="19"/>
      <c r="AO1313" s="19"/>
      <c r="AP1313" s="19"/>
      <c r="AQ1313" s="19"/>
      <c r="AR1313" s="19"/>
      <c r="AS1313" s="19"/>
      <c r="AT1313" s="19"/>
      <c r="AZ1313"/>
      <c r="BA1313"/>
      <c r="BB1313"/>
      <c r="BC1313"/>
      <c r="BD1313"/>
      <c r="BE1313"/>
      <c r="BF1313"/>
    </row>
    <row r="1314" spans="39:58" x14ac:dyDescent="0.3">
      <c r="AM1314" s="19"/>
      <c r="AN1314" s="19"/>
      <c r="AO1314" s="19"/>
      <c r="AP1314" s="19"/>
      <c r="AQ1314" s="19"/>
      <c r="AR1314" s="19"/>
      <c r="AS1314" s="19"/>
      <c r="AT1314" s="19"/>
      <c r="AZ1314"/>
      <c r="BA1314"/>
      <c r="BB1314"/>
      <c r="BC1314"/>
      <c r="BD1314"/>
      <c r="BE1314"/>
      <c r="BF1314"/>
    </row>
    <row r="1315" spans="39:58" x14ac:dyDescent="0.3">
      <c r="AM1315" s="19"/>
      <c r="AN1315" s="19"/>
      <c r="AO1315" s="19"/>
      <c r="AP1315" s="19"/>
      <c r="AQ1315" s="19"/>
      <c r="AR1315" s="19"/>
      <c r="AS1315" s="19"/>
      <c r="AT1315" s="19"/>
      <c r="AZ1315"/>
      <c r="BA1315"/>
      <c r="BB1315"/>
      <c r="BC1315"/>
      <c r="BD1315"/>
      <c r="BE1315"/>
      <c r="BF1315"/>
    </row>
    <row r="1316" spans="39:58" x14ac:dyDescent="0.3">
      <c r="AM1316" s="19"/>
      <c r="AN1316" s="19"/>
      <c r="AO1316" s="19"/>
      <c r="AP1316" s="19"/>
      <c r="AQ1316" s="19"/>
      <c r="AR1316" s="19"/>
      <c r="AS1316" s="19"/>
      <c r="AT1316" s="19"/>
      <c r="AZ1316"/>
      <c r="BA1316"/>
      <c r="BB1316"/>
      <c r="BC1316"/>
      <c r="BD1316"/>
      <c r="BE1316"/>
      <c r="BF1316"/>
    </row>
    <row r="1317" spans="39:58" x14ac:dyDescent="0.3">
      <c r="AM1317" s="19"/>
      <c r="AN1317" s="19"/>
      <c r="AO1317" s="19"/>
      <c r="AP1317" s="19"/>
      <c r="AQ1317" s="19"/>
      <c r="AR1317" s="19"/>
      <c r="AS1317" s="19"/>
      <c r="AT1317" s="19"/>
      <c r="AZ1317"/>
      <c r="BA1317"/>
      <c r="BB1317"/>
      <c r="BC1317"/>
      <c r="BD1317"/>
      <c r="BE1317"/>
      <c r="BF1317"/>
    </row>
    <row r="1318" spans="39:58" x14ac:dyDescent="0.3">
      <c r="AM1318" s="19"/>
      <c r="AN1318" s="19"/>
      <c r="AO1318" s="19"/>
      <c r="AP1318" s="19"/>
      <c r="AQ1318" s="19"/>
      <c r="AR1318" s="19"/>
      <c r="AS1318" s="19"/>
      <c r="AT1318" s="19"/>
      <c r="AZ1318"/>
      <c r="BA1318"/>
      <c r="BB1318"/>
      <c r="BC1318"/>
      <c r="BD1318"/>
      <c r="BE1318"/>
      <c r="BF1318"/>
    </row>
    <row r="1319" spans="39:58" x14ac:dyDescent="0.3">
      <c r="AM1319" s="19"/>
      <c r="AN1319" s="19"/>
      <c r="AO1319" s="19"/>
      <c r="AP1319" s="19"/>
      <c r="AQ1319" s="19"/>
      <c r="AR1319" s="19"/>
      <c r="AS1319" s="19"/>
      <c r="AT1319" s="19"/>
      <c r="AZ1319"/>
      <c r="BA1319"/>
      <c r="BB1319"/>
      <c r="BC1319"/>
      <c r="BD1319"/>
      <c r="BE1319"/>
      <c r="BF1319"/>
    </row>
    <row r="1320" spans="39:58" x14ac:dyDescent="0.3">
      <c r="AM1320" s="19"/>
      <c r="AN1320" s="19"/>
      <c r="AO1320" s="19"/>
      <c r="AP1320" s="19"/>
      <c r="AQ1320" s="19"/>
      <c r="AR1320" s="19"/>
      <c r="AS1320" s="19"/>
      <c r="AT1320" s="19"/>
      <c r="AZ1320"/>
      <c r="BA1320"/>
      <c r="BB1320"/>
      <c r="BC1320"/>
      <c r="BD1320"/>
      <c r="BE1320"/>
      <c r="BF1320"/>
    </row>
    <row r="1321" spans="39:58" x14ac:dyDescent="0.3">
      <c r="AM1321" s="19"/>
      <c r="AN1321" s="19"/>
      <c r="AO1321" s="19"/>
      <c r="AP1321" s="19"/>
      <c r="AQ1321" s="19"/>
      <c r="AR1321" s="19"/>
      <c r="AS1321" s="19"/>
      <c r="AT1321" s="19"/>
      <c r="AZ1321"/>
      <c r="BA1321"/>
      <c r="BB1321"/>
      <c r="BC1321"/>
      <c r="BD1321"/>
      <c r="BE1321"/>
      <c r="BF1321"/>
    </row>
    <row r="1322" spans="39:58" x14ac:dyDescent="0.3">
      <c r="AM1322" s="19"/>
      <c r="AN1322" s="19"/>
      <c r="AO1322" s="19"/>
      <c r="AP1322" s="19"/>
      <c r="AQ1322" s="19"/>
      <c r="AR1322" s="19"/>
      <c r="AS1322" s="19"/>
      <c r="AT1322" s="19"/>
      <c r="AZ1322"/>
      <c r="BA1322"/>
      <c r="BB1322"/>
      <c r="BC1322"/>
      <c r="BD1322"/>
      <c r="BE1322"/>
      <c r="BF1322"/>
    </row>
    <row r="1323" spans="39:58" x14ac:dyDescent="0.3">
      <c r="AM1323" s="19"/>
      <c r="AN1323" s="19"/>
      <c r="AO1323" s="19"/>
      <c r="AP1323" s="19"/>
      <c r="AQ1323" s="19"/>
      <c r="AR1323" s="19"/>
      <c r="AS1323" s="19"/>
      <c r="AT1323" s="19"/>
      <c r="AZ1323"/>
      <c r="BA1323"/>
      <c r="BB1323"/>
      <c r="BC1323"/>
      <c r="BD1323"/>
      <c r="BE1323"/>
      <c r="BF1323"/>
    </row>
    <row r="1324" spans="39:58" x14ac:dyDescent="0.3">
      <c r="AM1324" s="19"/>
      <c r="AN1324" s="19"/>
      <c r="AO1324" s="19"/>
      <c r="AP1324" s="19"/>
      <c r="AQ1324" s="19"/>
      <c r="AR1324" s="19"/>
      <c r="AS1324" s="19"/>
      <c r="AT1324" s="19"/>
      <c r="AZ1324"/>
      <c r="BA1324"/>
      <c r="BB1324"/>
      <c r="BC1324"/>
      <c r="BD1324"/>
      <c r="BE1324"/>
      <c r="BF1324"/>
    </row>
    <row r="1325" spans="39:58" x14ac:dyDescent="0.3">
      <c r="AM1325" s="19"/>
      <c r="AN1325" s="19"/>
      <c r="AO1325" s="19"/>
      <c r="AP1325" s="19"/>
      <c r="AQ1325" s="19"/>
      <c r="AR1325" s="19"/>
      <c r="AZ1325"/>
      <c r="BA1325"/>
      <c r="BB1325"/>
      <c r="BC1325"/>
      <c r="BD1325"/>
      <c r="BE1325"/>
      <c r="BF1325"/>
    </row>
    <row r="1326" spans="39:58" x14ac:dyDescent="0.3">
      <c r="AM1326" s="19"/>
      <c r="AN1326" s="19"/>
      <c r="AO1326" s="19"/>
      <c r="AP1326" s="19"/>
      <c r="AQ1326" s="19"/>
      <c r="AR1326" s="19"/>
      <c r="AZ1326"/>
      <c r="BA1326"/>
      <c r="BB1326"/>
      <c r="BC1326"/>
      <c r="BD1326"/>
      <c r="BE1326"/>
      <c r="BF1326"/>
    </row>
    <row r="1327" spans="39:58" x14ac:dyDescent="0.3">
      <c r="AM1327" s="19"/>
      <c r="AN1327" s="19"/>
      <c r="AO1327" s="19"/>
      <c r="AP1327" s="19"/>
      <c r="AQ1327" s="19"/>
      <c r="AR1327" s="19"/>
      <c r="AZ1327"/>
      <c r="BA1327"/>
      <c r="BB1327"/>
      <c r="BC1327"/>
      <c r="BD1327"/>
      <c r="BE1327"/>
      <c r="BF1327"/>
    </row>
    <row r="1328" spans="39:58" x14ac:dyDescent="0.3">
      <c r="AM1328" s="19"/>
      <c r="AN1328" s="19"/>
      <c r="AO1328" s="19"/>
      <c r="AP1328" s="19"/>
      <c r="AQ1328" s="19"/>
      <c r="AR1328" s="19"/>
      <c r="AZ1328"/>
      <c r="BA1328"/>
      <c r="BB1328"/>
      <c r="BC1328"/>
      <c r="BD1328"/>
      <c r="BE1328"/>
      <c r="BF1328"/>
    </row>
    <row r="1329" spans="39:58" x14ac:dyDescent="0.3">
      <c r="AM1329" s="19"/>
      <c r="AN1329" s="19"/>
      <c r="AO1329" s="19"/>
      <c r="AP1329" s="19"/>
      <c r="AQ1329" s="19"/>
      <c r="AR1329" s="19"/>
      <c r="AZ1329"/>
      <c r="BA1329"/>
      <c r="BB1329"/>
      <c r="BC1329"/>
      <c r="BD1329"/>
      <c r="BE1329"/>
      <c r="BF1329"/>
    </row>
    <row r="1330" spans="39:58" x14ac:dyDescent="0.3">
      <c r="AM1330" s="19"/>
      <c r="AN1330" s="19"/>
      <c r="AO1330" s="19"/>
      <c r="AP1330" s="19"/>
      <c r="AQ1330" s="19"/>
      <c r="AR1330" s="19"/>
      <c r="AZ1330"/>
      <c r="BA1330"/>
      <c r="BB1330"/>
      <c r="BC1330"/>
      <c r="BD1330"/>
      <c r="BE1330"/>
      <c r="BF1330"/>
    </row>
    <row r="1331" spans="39:58" x14ac:dyDescent="0.3">
      <c r="AR1331" s="25"/>
    </row>
    <row r="1332" spans="39:58" x14ac:dyDescent="0.3">
      <c r="AN1332" s="5"/>
    </row>
    <row r="1333" spans="39:58" x14ac:dyDescent="0.3">
      <c r="AN1333" s="5"/>
    </row>
    <row r="1334" spans="39:58" x14ac:dyDescent="0.3">
      <c r="AN1334" s="5"/>
    </row>
    <row r="1335" spans="39:58" x14ac:dyDescent="0.3">
      <c r="AN1335" s="5"/>
    </row>
    <row r="1336" spans="39:58" x14ac:dyDescent="0.3">
      <c r="AN1336" s="5"/>
    </row>
    <row r="1337" spans="39:58" x14ac:dyDescent="0.3">
      <c r="AN1337" s="5"/>
    </row>
    <row r="1338" spans="39:58" x14ac:dyDescent="0.3">
      <c r="AN1338" s="5"/>
    </row>
  </sheetData>
  <autoFilter ref="B1:AL79" xr:uid="{5D5BDABA-0F44-44A3-9AA4-ECD07E3B4F5E}"/>
  <mergeCells count="167">
    <mergeCell ref="AS1212:AT1213"/>
    <mergeCell ref="AS1221:AT1222"/>
    <mergeCell ref="AS1230:AT1231"/>
    <mergeCell ref="AS1158:AT1159"/>
    <mergeCell ref="AS1167:AT1168"/>
    <mergeCell ref="AS1176:AT1177"/>
    <mergeCell ref="AS1185:AT1186"/>
    <mergeCell ref="AS1194:AT1195"/>
    <mergeCell ref="AS1203:AT1204"/>
    <mergeCell ref="AS1104:AT1105"/>
    <mergeCell ref="AS1113:AT1114"/>
    <mergeCell ref="AS1122:AT1123"/>
    <mergeCell ref="AS1131:AT1132"/>
    <mergeCell ref="AS1140:AT1141"/>
    <mergeCell ref="AS1149:AT1150"/>
    <mergeCell ref="AS1051:AT1052"/>
    <mergeCell ref="AS1059:AT1060"/>
    <mergeCell ref="AS1068:AT1069"/>
    <mergeCell ref="AS1077:AT1078"/>
    <mergeCell ref="AS1086:AT1087"/>
    <mergeCell ref="AS1095:AT1096"/>
    <mergeCell ref="AS1000:AT1001"/>
    <mergeCell ref="AS1009:AT1010"/>
    <mergeCell ref="AS1018:AT1019"/>
    <mergeCell ref="AS1027:AT1028"/>
    <mergeCell ref="AS1036:AT1037"/>
    <mergeCell ref="AS1045:AT1046"/>
    <mergeCell ref="BI945:BI946"/>
    <mergeCell ref="AS962:AT963"/>
    <mergeCell ref="AS972:AT973"/>
    <mergeCell ref="AV980:AW980"/>
    <mergeCell ref="AS982:AT983"/>
    <mergeCell ref="AS991:AT992"/>
    <mergeCell ref="BI849:BI850"/>
    <mergeCell ref="BI865:BI866"/>
    <mergeCell ref="BI881:BI882"/>
    <mergeCell ref="BI897:BI898"/>
    <mergeCell ref="BI913:BI914"/>
    <mergeCell ref="BI929:BI930"/>
    <mergeCell ref="BI753:BI754"/>
    <mergeCell ref="BI769:BI770"/>
    <mergeCell ref="BI785:BI786"/>
    <mergeCell ref="BI801:BI802"/>
    <mergeCell ref="BI817:BI818"/>
    <mergeCell ref="BI833:BI834"/>
    <mergeCell ref="BI657:BI658"/>
    <mergeCell ref="BI673:BI674"/>
    <mergeCell ref="BI689:BI690"/>
    <mergeCell ref="BI705:BI706"/>
    <mergeCell ref="BI721:BI722"/>
    <mergeCell ref="BI737:BI738"/>
    <mergeCell ref="BI561:BI562"/>
    <mergeCell ref="BI577:BI578"/>
    <mergeCell ref="BI593:BI594"/>
    <mergeCell ref="BI609:BI610"/>
    <mergeCell ref="BI625:BI626"/>
    <mergeCell ref="BI641:BI642"/>
    <mergeCell ref="BI465:BI466"/>
    <mergeCell ref="BI481:BI482"/>
    <mergeCell ref="BI497:BI498"/>
    <mergeCell ref="BI513:BI514"/>
    <mergeCell ref="BI529:BI530"/>
    <mergeCell ref="BI545:BI546"/>
    <mergeCell ref="BI369:BI370"/>
    <mergeCell ref="BI385:BI386"/>
    <mergeCell ref="BI401:BI402"/>
    <mergeCell ref="BI417:BI418"/>
    <mergeCell ref="BI433:BI434"/>
    <mergeCell ref="BI449:BI450"/>
    <mergeCell ref="AS297:AV297"/>
    <mergeCell ref="BI305:BI306"/>
    <mergeCell ref="AS306:AV306"/>
    <mergeCell ref="BI321:BI322"/>
    <mergeCell ref="BI337:BI338"/>
    <mergeCell ref="BI353:BI354"/>
    <mergeCell ref="BI257:BI258"/>
    <mergeCell ref="BI273:BI274"/>
    <mergeCell ref="AS282:AX282"/>
    <mergeCell ref="AY282:AY283"/>
    <mergeCell ref="AR288:AR289"/>
    <mergeCell ref="BI289:BI290"/>
    <mergeCell ref="BI161:BI162"/>
    <mergeCell ref="BI177:BI178"/>
    <mergeCell ref="BI193:BI194"/>
    <mergeCell ref="BI209:BI210"/>
    <mergeCell ref="BI225:BI226"/>
    <mergeCell ref="BI241:BI242"/>
    <mergeCell ref="BI65:BI66"/>
    <mergeCell ref="BI97:BI98"/>
    <mergeCell ref="BI113:BI114"/>
    <mergeCell ref="BI129:BI130"/>
    <mergeCell ref="BI145:BI146"/>
    <mergeCell ref="BE73:BF73"/>
    <mergeCell ref="BE74:BF74"/>
    <mergeCell ref="BE75:BF75"/>
    <mergeCell ref="BE76:BF76"/>
    <mergeCell ref="BE77:BF77"/>
    <mergeCell ref="BE79:BF80"/>
    <mergeCell ref="BE82:BF82"/>
    <mergeCell ref="BE83:BF83"/>
    <mergeCell ref="BE84:BF84"/>
    <mergeCell ref="BE85:BF85"/>
    <mergeCell ref="BE3:BF4"/>
    <mergeCell ref="BE6:BF6"/>
    <mergeCell ref="BE7:BF7"/>
    <mergeCell ref="BE8:BF8"/>
    <mergeCell ref="BE9:BF9"/>
    <mergeCell ref="BE10:BF10"/>
    <mergeCell ref="BE11:BF11"/>
    <mergeCell ref="BE12:BF12"/>
    <mergeCell ref="BE14:BF15"/>
    <mergeCell ref="AR13:AS13"/>
    <mergeCell ref="AR14:AS14"/>
    <mergeCell ref="AR15:AS15"/>
    <mergeCell ref="BI19:BI20"/>
    <mergeCell ref="BI33:BI34"/>
    <mergeCell ref="BI49:BI50"/>
    <mergeCell ref="AT8:AT9"/>
    <mergeCell ref="AR9:AS9"/>
    <mergeCell ref="AR10:AS10"/>
    <mergeCell ref="AR11:AS11"/>
    <mergeCell ref="AR12:AS12"/>
    <mergeCell ref="BE17:BF17"/>
    <mergeCell ref="BE18:BF18"/>
    <mergeCell ref="BE19:BF19"/>
    <mergeCell ref="BE20:BF20"/>
    <mergeCell ref="BE21:BF21"/>
    <mergeCell ref="BE22:BF22"/>
    <mergeCell ref="BE23:BF23"/>
    <mergeCell ref="BE25:BF26"/>
    <mergeCell ref="BE28:BF28"/>
    <mergeCell ref="BE29:BF29"/>
    <mergeCell ref="BE30:BF30"/>
    <mergeCell ref="BE31:BF31"/>
    <mergeCell ref="BE43:BF43"/>
    <mergeCell ref="BE44:BF44"/>
    <mergeCell ref="BE46:BF47"/>
    <mergeCell ref="BE32:BF32"/>
    <mergeCell ref="BE33:BF33"/>
    <mergeCell ref="BE34:BF34"/>
    <mergeCell ref="BE36:BF37"/>
    <mergeCell ref="BE38:BF38"/>
    <mergeCell ref="BE39:BF39"/>
    <mergeCell ref="BE40:BF40"/>
    <mergeCell ref="BE41:BF41"/>
    <mergeCell ref="BE42:BF42"/>
    <mergeCell ref="BE54:BF54"/>
    <mergeCell ref="BE53:BF53"/>
    <mergeCell ref="BE52:BF52"/>
    <mergeCell ref="BE51:BF51"/>
    <mergeCell ref="BE50:BF50"/>
    <mergeCell ref="BE49:BF49"/>
    <mergeCell ref="BE48:BF48"/>
    <mergeCell ref="BE56:BF57"/>
    <mergeCell ref="BE58:BF58"/>
    <mergeCell ref="BE86:BF86"/>
    <mergeCell ref="BE87:BF87"/>
    <mergeCell ref="BE88:BF88"/>
    <mergeCell ref="BE59:BF59"/>
    <mergeCell ref="BE60:BF60"/>
    <mergeCell ref="BE61:BF61"/>
    <mergeCell ref="BE62:BF62"/>
    <mergeCell ref="BE63:BF63"/>
    <mergeCell ref="BE64:BF64"/>
    <mergeCell ref="BE68:BF69"/>
    <mergeCell ref="BE71:BF71"/>
    <mergeCell ref="BE72:BF7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E397-5DC8-4A51-B089-0BB351D0CEE1}">
  <dimension ref="A1:CA540"/>
  <sheetViews>
    <sheetView topLeftCell="AM347" zoomScale="54" workbookViewId="0">
      <selection activeCell="BD63" sqref="BD63"/>
    </sheetView>
  </sheetViews>
  <sheetFormatPr defaultRowHeight="14.4" x14ac:dyDescent="0.3"/>
  <cols>
    <col min="1" max="1" width="3.44140625" bestFit="1" customWidth="1"/>
    <col min="2" max="2" width="21.5546875" bestFit="1" customWidth="1"/>
    <col min="3" max="3" width="17.44140625" bestFit="1" customWidth="1"/>
    <col min="42" max="42" width="9" bestFit="1" customWidth="1"/>
    <col min="43" max="43" width="18.77734375" bestFit="1" customWidth="1"/>
    <col min="47" max="47" width="4.88671875" bestFit="1" customWidth="1"/>
  </cols>
  <sheetData>
    <row r="1" spans="1:79" x14ac:dyDescent="0.3">
      <c r="A1" s="49" t="s">
        <v>288</v>
      </c>
      <c r="B1" s="49" t="s">
        <v>0</v>
      </c>
      <c r="C1" s="49" t="s">
        <v>64</v>
      </c>
      <c r="D1" s="49" t="s">
        <v>43</v>
      </c>
      <c r="E1" s="49" t="s">
        <v>44</v>
      </c>
      <c r="F1" s="49" t="s">
        <v>45</v>
      </c>
      <c r="G1" s="49" t="s">
        <v>46</v>
      </c>
      <c r="H1" s="49" t="s">
        <v>47</v>
      </c>
      <c r="I1" s="49" t="s">
        <v>48</v>
      </c>
      <c r="J1" s="49" t="s">
        <v>49</v>
      </c>
      <c r="K1" s="49" t="s">
        <v>50</v>
      </c>
      <c r="L1" s="49" t="s">
        <v>51</v>
      </c>
      <c r="M1" s="49" t="s">
        <v>52</v>
      </c>
      <c r="N1" s="49" t="s">
        <v>53</v>
      </c>
      <c r="O1" s="49" t="s">
        <v>54</v>
      </c>
      <c r="P1" s="49" t="s">
        <v>55</v>
      </c>
      <c r="Q1" s="49" t="s">
        <v>56</v>
      </c>
      <c r="R1" s="49" t="s">
        <v>57</v>
      </c>
      <c r="S1" s="49" t="s">
        <v>58</v>
      </c>
      <c r="T1" s="49" t="s">
        <v>59</v>
      </c>
      <c r="U1" s="49" t="s">
        <v>60</v>
      </c>
      <c r="V1" s="49" t="s">
        <v>61</v>
      </c>
      <c r="W1" s="49" t="s">
        <v>62</v>
      </c>
      <c r="X1" s="49" t="s">
        <v>63</v>
      </c>
      <c r="Y1" s="49" t="s">
        <v>330</v>
      </c>
      <c r="Z1" s="49" t="s">
        <v>331</v>
      </c>
      <c r="AA1" s="49" t="s">
        <v>332</v>
      </c>
      <c r="AB1" s="49" t="s">
        <v>333</v>
      </c>
      <c r="AC1" s="49" t="s">
        <v>334</v>
      </c>
      <c r="AD1" s="49" t="s">
        <v>335</v>
      </c>
      <c r="AE1" s="49" t="s">
        <v>336</v>
      </c>
      <c r="AF1" s="49" t="s">
        <v>337</v>
      </c>
      <c r="AG1" s="49" t="s">
        <v>338</v>
      </c>
      <c r="AH1" s="49" t="s">
        <v>339</v>
      </c>
      <c r="AI1" s="49" t="s">
        <v>340</v>
      </c>
      <c r="AJ1" s="49" t="s">
        <v>341</v>
      </c>
      <c r="AK1" s="49" t="s">
        <v>342</v>
      </c>
      <c r="AL1" s="49" t="s">
        <v>343</v>
      </c>
      <c r="AM1" s="49" t="s">
        <v>390</v>
      </c>
      <c r="AO1" s="75" t="s">
        <v>436</v>
      </c>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row>
    <row r="2" spans="1:79" x14ac:dyDescent="0.3">
      <c r="A2" s="119">
        <f t="shared" ref="A2:A37" si="0">ROW()-1</f>
        <v>1</v>
      </c>
      <c r="B2" s="119" t="s">
        <v>256</v>
      </c>
      <c r="C2" s="119">
        <v>1</v>
      </c>
      <c r="D2" s="119" t="s">
        <v>3</v>
      </c>
      <c r="E2" s="119" t="s">
        <v>5</v>
      </c>
      <c r="F2" s="119" t="s">
        <v>3</v>
      </c>
      <c r="G2" s="119" t="s">
        <v>5</v>
      </c>
      <c r="H2" s="119" t="s">
        <v>5</v>
      </c>
      <c r="I2" s="119" t="s">
        <v>5</v>
      </c>
      <c r="J2" s="119" t="s">
        <v>5</v>
      </c>
      <c r="K2" s="119" t="s">
        <v>2</v>
      </c>
      <c r="L2" s="119" t="s">
        <v>3</v>
      </c>
      <c r="M2" s="119" t="s">
        <v>3</v>
      </c>
      <c r="N2" s="119" t="s">
        <v>3</v>
      </c>
      <c r="O2" s="119" t="s">
        <v>4</v>
      </c>
      <c r="P2" s="119" t="s">
        <v>5</v>
      </c>
      <c r="Q2" s="119" t="s">
        <v>3</v>
      </c>
      <c r="R2" s="119" t="s">
        <v>4</v>
      </c>
      <c r="S2" s="119" t="s">
        <v>5</v>
      </c>
      <c r="T2" s="119" t="s">
        <v>5</v>
      </c>
      <c r="U2" s="119" t="s">
        <v>5</v>
      </c>
      <c r="V2" s="119" t="s">
        <v>3</v>
      </c>
      <c r="W2" s="119" t="s">
        <v>4</v>
      </c>
      <c r="X2" s="119" t="s">
        <v>3</v>
      </c>
      <c r="Y2" s="119" t="s">
        <v>2</v>
      </c>
      <c r="Z2" s="119" t="s">
        <v>3</v>
      </c>
      <c r="AA2" s="119" t="s">
        <v>4</v>
      </c>
      <c r="AB2" s="119" t="s">
        <v>4</v>
      </c>
      <c r="AC2" s="119" t="s">
        <v>4</v>
      </c>
      <c r="AD2" s="119" t="s">
        <v>4</v>
      </c>
      <c r="AE2" s="119" t="s">
        <v>4</v>
      </c>
      <c r="AF2" s="119" t="s">
        <v>4</v>
      </c>
      <c r="AG2" s="119" t="s">
        <v>3</v>
      </c>
      <c r="AH2" s="119" t="s">
        <v>4</v>
      </c>
      <c r="AI2" s="119" t="s">
        <v>3</v>
      </c>
      <c r="AJ2" s="119" t="s">
        <v>4</v>
      </c>
      <c r="AK2" s="119" t="s">
        <v>4</v>
      </c>
      <c r="AL2" s="119" t="s">
        <v>4</v>
      </c>
      <c r="AM2" s="119" t="s">
        <v>3</v>
      </c>
      <c r="AN2">
        <v>1</v>
      </c>
      <c r="AO2" s="82" t="s">
        <v>256</v>
      </c>
      <c r="AP2" s="82"/>
      <c r="AQ2" s="7" t="s">
        <v>64</v>
      </c>
      <c r="AR2" s="49" t="s">
        <v>43</v>
      </c>
      <c r="AS2" s="49" t="s">
        <v>44</v>
      </c>
      <c r="AT2" s="49" t="s">
        <v>45</v>
      </c>
      <c r="AU2" s="49" t="s">
        <v>46</v>
      </c>
      <c r="AV2" s="49" t="s">
        <v>47</v>
      </c>
      <c r="AW2" s="49" t="s">
        <v>48</v>
      </c>
      <c r="AX2" s="49" t="s">
        <v>49</v>
      </c>
      <c r="AY2" s="49" t="s">
        <v>50</v>
      </c>
      <c r="AZ2" s="49" t="s">
        <v>51</v>
      </c>
      <c r="BA2" s="49" t="s">
        <v>52</v>
      </c>
      <c r="BB2" s="49" t="s">
        <v>53</v>
      </c>
      <c r="BC2" s="49" t="s">
        <v>54</v>
      </c>
      <c r="BD2" s="49" t="s">
        <v>55</v>
      </c>
      <c r="BE2" s="49" t="s">
        <v>56</v>
      </c>
      <c r="BF2" s="49" t="s">
        <v>57</v>
      </c>
      <c r="BG2" s="49" t="s">
        <v>58</v>
      </c>
      <c r="BH2" s="49" t="s">
        <v>59</v>
      </c>
      <c r="BI2" s="49" t="s">
        <v>60</v>
      </c>
      <c r="BJ2" s="49" t="s">
        <v>61</v>
      </c>
      <c r="BK2" s="49" t="s">
        <v>62</v>
      </c>
      <c r="BL2" s="49" t="s">
        <v>63</v>
      </c>
      <c r="BM2" s="49" t="s">
        <v>330</v>
      </c>
      <c r="BN2" s="49" t="s">
        <v>331</v>
      </c>
      <c r="BO2" s="49" t="s">
        <v>332</v>
      </c>
      <c r="BP2" s="49" t="s">
        <v>333</v>
      </c>
      <c r="BQ2" s="49" t="s">
        <v>334</v>
      </c>
      <c r="BR2" s="49" t="s">
        <v>335</v>
      </c>
      <c r="BS2" s="49" t="s">
        <v>336</v>
      </c>
      <c r="BT2" s="49" t="s">
        <v>337</v>
      </c>
      <c r="BU2" s="49" t="s">
        <v>338</v>
      </c>
      <c r="BV2" s="49" t="s">
        <v>339</v>
      </c>
      <c r="BW2" s="49" t="s">
        <v>340</v>
      </c>
      <c r="BX2" s="49" t="s">
        <v>341</v>
      </c>
      <c r="BY2" s="49" t="s">
        <v>342</v>
      </c>
      <c r="BZ2" s="49" t="s">
        <v>343</v>
      </c>
      <c r="CA2" s="49" t="s">
        <v>390</v>
      </c>
    </row>
    <row r="3" spans="1:79" x14ac:dyDescent="0.3">
      <c r="A3" s="119">
        <f t="shared" si="0"/>
        <v>2</v>
      </c>
      <c r="B3" s="119" t="s">
        <v>257</v>
      </c>
      <c r="C3" s="119">
        <v>1</v>
      </c>
      <c r="D3" s="119" t="s">
        <v>3</v>
      </c>
      <c r="E3" s="119" t="s">
        <v>3</v>
      </c>
      <c r="F3" s="119" t="s">
        <v>2</v>
      </c>
      <c r="G3" s="119" t="s">
        <v>3</v>
      </c>
      <c r="H3" s="119" t="s">
        <v>5</v>
      </c>
      <c r="I3" s="119" t="s">
        <v>5</v>
      </c>
      <c r="J3" s="119" t="s">
        <v>5</v>
      </c>
      <c r="K3" s="119" t="s">
        <v>2</v>
      </c>
      <c r="L3" s="119" t="s">
        <v>2</v>
      </c>
      <c r="M3" s="119" t="s">
        <v>2</v>
      </c>
      <c r="N3" s="119" t="s">
        <v>3</v>
      </c>
      <c r="O3" s="119" t="s">
        <v>2</v>
      </c>
      <c r="P3" s="119" t="s">
        <v>5</v>
      </c>
      <c r="Q3" s="119" t="s">
        <v>3</v>
      </c>
      <c r="R3" s="119" t="s">
        <v>3</v>
      </c>
      <c r="S3" s="119" t="s">
        <v>5</v>
      </c>
      <c r="T3" s="119" t="s">
        <v>5</v>
      </c>
      <c r="U3" s="119" t="s">
        <v>5</v>
      </c>
      <c r="V3" s="119" t="s">
        <v>2</v>
      </c>
      <c r="W3" s="119" t="s">
        <v>4</v>
      </c>
      <c r="X3" s="119" t="s">
        <v>3</v>
      </c>
      <c r="Y3" s="119" t="s">
        <v>4</v>
      </c>
      <c r="Z3" s="119" t="s">
        <v>3</v>
      </c>
      <c r="AA3" s="119" t="s">
        <v>4</v>
      </c>
      <c r="AB3" s="119" t="s">
        <v>4</v>
      </c>
      <c r="AC3" s="119" t="s">
        <v>4</v>
      </c>
      <c r="AD3" s="119" t="s">
        <v>4</v>
      </c>
      <c r="AE3" s="119" t="s">
        <v>4</v>
      </c>
      <c r="AF3" s="119" t="s">
        <v>4</v>
      </c>
      <c r="AG3" s="119" t="s">
        <v>3</v>
      </c>
      <c r="AH3" s="119" t="s">
        <v>4</v>
      </c>
      <c r="AI3" s="119" t="s">
        <v>3</v>
      </c>
      <c r="AJ3" s="119" t="s">
        <v>4</v>
      </c>
      <c r="AK3" s="119" t="s">
        <v>4</v>
      </c>
      <c r="AL3" s="119" t="s">
        <v>4</v>
      </c>
      <c r="AM3" s="119" t="s">
        <v>3</v>
      </c>
      <c r="AO3" s="82"/>
      <c r="AP3" s="82"/>
      <c r="AQ3" s="7">
        <v>1</v>
      </c>
      <c r="AR3" s="6" t="s">
        <v>3</v>
      </c>
      <c r="AS3" s="6" t="s">
        <v>5</v>
      </c>
      <c r="AT3" s="6" t="s">
        <v>3</v>
      </c>
      <c r="AU3" s="6" t="s">
        <v>5</v>
      </c>
      <c r="AV3" s="6" t="s">
        <v>5</v>
      </c>
      <c r="AW3" s="6" t="s">
        <v>5</v>
      </c>
      <c r="AX3" s="6" t="s">
        <v>5</v>
      </c>
      <c r="AY3" s="6" t="s">
        <v>2</v>
      </c>
      <c r="AZ3" s="6" t="s">
        <v>3</v>
      </c>
      <c r="BA3" s="6" t="s">
        <v>3</v>
      </c>
      <c r="BB3" s="6" t="s">
        <v>3</v>
      </c>
      <c r="BC3" s="6" t="s">
        <v>4</v>
      </c>
      <c r="BD3" s="6" t="s">
        <v>5</v>
      </c>
      <c r="BE3" s="6" t="s">
        <v>3</v>
      </c>
      <c r="BF3" s="6" t="s">
        <v>4</v>
      </c>
      <c r="BG3" s="6" t="s">
        <v>5</v>
      </c>
      <c r="BH3" s="6" t="s">
        <v>5</v>
      </c>
      <c r="BI3" s="6" t="s">
        <v>5</v>
      </c>
      <c r="BJ3" s="6" t="s">
        <v>3</v>
      </c>
      <c r="BK3" s="6" t="s">
        <v>4</v>
      </c>
      <c r="BL3" s="6" t="s">
        <v>3</v>
      </c>
      <c r="BM3" s="6" t="s">
        <v>2</v>
      </c>
      <c r="BN3" s="6" t="s">
        <v>3</v>
      </c>
      <c r="BO3" s="6" t="s">
        <v>4</v>
      </c>
      <c r="BP3" s="6" t="s">
        <v>4</v>
      </c>
      <c r="BQ3" s="6" t="s">
        <v>4</v>
      </c>
      <c r="BR3" s="6" t="s">
        <v>4</v>
      </c>
      <c r="BS3" s="6" t="s">
        <v>4</v>
      </c>
      <c r="BT3" s="6" t="s">
        <v>4</v>
      </c>
      <c r="BU3" s="6" t="s">
        <v>3</v>
      </c>
      <c r="BV3" s="6" t="s">
        <v>4</v>
      </c>
      <c r="BW3" s="6" t="s">
        <v>3</v>
      </c>
      <c r="BX3" s="6" t="s">
        <v>4</v>
      </c>
      <c r="BY3" s="6" t="s">
        <v>4</v>
      </c>
      <c r="BZ3" s="6" t="s">
        <v>4</v>
      </c>
      <c r="CA3" s="6" t="s">
        <v>3</v>
      </c>
    </row>
    <row r="4" spans="1:79" x14ac:dyDescent="0.3">
      <c r="A4" s="119">
        <f t="shared" si="0"/>
        <v>3</v>
      </c>
      <c r="B4" s="119" t="s">
        <v>258</v>
      </c>
      <c r="C4" s="119">
        <v>1</v>
      </c>
      <c r="D4" s="119" t="s">
        <v>3</v>
      </c>
      <c r="E4" s="119" t="s">
        <v>5</v>
      </c>
      <c r="F4" s="119" t="s">
        <v>2</v>
      </c>
      <c r="G4" s="119" t="s">
        <v>5</v>
      </c>
      <c r="H4" s="119" t="s">
        <v>5</v>
      </c>
      <c r="I4" s="119" t="s">
        <v>5</v>
      </c>
      <c r="J4" s="119" t="s">
        <v>5</v>
      </c>
      <c r="K4" s="119" t="s">
        <v>2</v>
      </c>
      <c r="L4" s="119" t="s">
        <v>3</v>
      </c>
      <c r="M4" s="119" t="s">
        <v>3</v>
      </c>
      <c r="N4" s="119" t="s">
        <v>2</v>
      </c>
      <c r="O4" s="119" t="s">
        <v>4</v>
      </c>
      <c r="P4" s="119" t="s">
        <v>2</v>
      </c>
      <c r="Q4" s="119" t="s">
        <v>3</v>
      </c>
      <c r="R4" s="119" t="s">
        <v>4</v>
      </c>
      <c r="S4" s="119" t="s">
        <v>2</v>
      </c>
      <c r="T4" s="119" t="s">
        <v>2</v>
      </c>
      <c r="U4" s="119" t="s">
        <v>2</v>
      </c>
      <c r="V4" s="119" t="s">
        <v>5</v>
      </c>
      <c r="W4" s="119" t="s">
        <v>4</v>
      </c>
      <c r="X4" s="119" t="s">
        <v>4</v>
      </c>
      <c r="Y4" s="119" t="s">
        <v>2</v>
      </c>
      <c r="Z4" s="119" t="s">
        <v>3</v>
      </c>
      <c r="AA4" s="119" t="s">
        <v>4</v>
      </c>
      <c r="AB4" s="119" t="s">
        <v>4</v>
      </c>
      <c r="AC4" s="119" t="s">
        <v>4</v>
      </c>
      <c r="AD4" s="119" t="s">
        <v>4</v>
      </c>
      <c r="AE4" s="119" t="s">
        <v>4</v>
      </c>
      <c r="AF4" s="119" t="s">
        <v>4</v>
      </c>
      <c r="AG4" s="119" t="s">
        <v>3</v>
      </c>
      <c r="AH4" s="119" t="s">
        <v>4</v>
      </c>
      <c r="AI4" s="119" t="s">
        <v>3</v>
      </c>
      <c r="AJ4" s="119" t="s">
        <v>4</v>
      </c>
      <c r="AK4" s="119" t="s">
        <v>4</v>
      </c>
      <c r="AL4" s="119" t="s">
        <v>4</v>
      </c>
      <c r="AM4" s="119" t="s">
        <v>3</v>
      </c>
      <c r="AO4" s="80" t="s">
        <v>504</v>
      </c>
      <c r="AP4" s="80"/>
      <c r="AQ4" s="6">
        <f>PRODUCT('Data Training 2'!AW22,'Data Training 2'!AT32,'Data Training 2'!AT40,'Data Training 2'!AT44,'Data Training 2'!AT52,'Data Training 2'!AT58,'Data Training 2'!AT64,'Data Training 2'!AT70,'Data Training 2'!AT75,'Data Training 2'!AT80,'Data Training 2'!AT86,'Data Training 2'!AT92,'Data Training 2'!AT97,'Data Training 2'!AT106,'Data Training 2'!AT110,'Data Training 2'!AT115,'Data Training 2'!AT124,'Data Training 2'!AT130,'Data Training 2'!AT136,'Data Training 2'!AT140,'Data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2.5999875110362323E-10</v>
      </c>
    </row>
    <row r="5" spans="1:79" x14ac:dyDescent="0.3">
      <c r="A5" s="119">
        <f t="shared" si="0"/>
        <v>4</v>
      </c>
      <c r="B5" s="119" t="s">
        <v>457</v>
      </c>
      <c r="C5" s="119">
        <v>1</v>
      </c>
      <c r="D5" s="119" t="s">
        <v>4</v>
      </c>
      <c r="E5" s="119" t="s">
        <v>2</v>
      </c>
      <c r="F5" s="119" t="s">
        <v>3</v>
      </c>
      <c r="G5" s="119" t="s">
        <v>3</v>
      </c>
      <c r="H5" s="119" t="s">
        <v>5</v>
      </c>
      <c r="I5" s="119" t="s">
        <v>5</v>
      </c>
      <c r="J5" s="119" t="s">
        <v>5</v>
      </c>
      <c r="K5" s="119" t="s">
        <v>2</v>
      </c>
      <c r="L5" s="119" t="s">
        <v>3</v>
      </c>
      <c r="M5" s="119" t="s">
        <v>3</v>
      </c>
      <c r="N5" s="119" t="s">
        <v>4</v>
      </c>
      <c r="O5" s="119" t="s">
        <v>2</v>
      </c>
      <c r="P5" s="119" t="s">
        <v>5</v>
      </c>
      <c r="Q5" s="119" t="s">
        <v>3</v>
      </c>
      <c r="R5" s="119" t="s">
        <v>3</v>
      </c>
      <c r="S5" s="119" t="s">
        <v>5</v>
      </c>
      <c r="T5" s="119" t="s">
        <v>5</v>
      </c>
      <c r="U5" s="119" t="s">
        <v>5</v>
      </c>
      <c r="V5" s="119" t="s">
        <v>4</v>
      </c>
      <c r="W5" s="119" t="s">
        <v>4</v>
      </c>
      <c r="X5" s="119" t="s">
        <v>4</v>
      </c>
      <c r="Y5" s="119" t="s">
        <v>4</v>
      </c>
      <c r="Z5" s="119" t="s">
        <v>3</v>
      </c>
      <c r="AA5" s="119" t="s">
        <v>3</v>
      </c>
      <c r="AB5" s="119" t="s">
        <v>3</v>
      </c>
      <c r="AC5" s="119" t="s">
        <v>4</v>
      </c>
      <c r="AD5" s="119" t="s">
        <v>4</v>
      </c>
      <c r="AE5" s="119" t="s">
        <v>4</v>
      </c>
      <c r="AF5" s="119" t="s">
        <v>4</v>
      </c>
      <c r="AG5" s="119" t="s">
        <v>3</v>
      </c>
      <c r="AH5" s="119" t="s">
        <v>4</v>
      </c>
      <c r="AI5" s="119" t="s">
        <v>3</v>
      </c>
      <c r="AJ5" s="119" t="s">
        <v>4</v>
      </c>
      <c r="AK5" s="119" t="s">
        <v>4</v>
      </c>
      <c r="AL5" s="119" t="s">
        <v>4</v>
      </c>
      <c r="AM5" s="119" t="s">
        <v>3</v>
      </c>
      <c r="AO5" s="80" t="s">
        <v>505</v>
      </c>
      <c r="AP5" s="80"/>
      <c r="AQ5" s="6">
        <f>PRODUCT('Data Training 2'!AW23,'Data Training 2'!AU32,'Data Training 2'!AU40,'Data Training 2'!AU44,'Data Training 2'!AU52,'Data Training 2'!AU58,'Data Training 2'!AU64,'Data Training 2'!AU70,'Data Training 2'!AU75,'Data Training 2'!AU80,'Data Training 2'!AU86,'Data Training 2'!AU92,'Data Training 2'!AU97,'Data Training 2'!AU106,'Data Training 2'!AU110,'Data Training 2'!AU115,'Data Training 2'!AU124,'Data Training 2'!AU130,'Data Training 2'!AU136,'Data Training 2'!AU140,'Data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5.4334432883695962E-9</v>
      </c>
    </row>
    <row r="6" spans="1:79" x14ac:dyDescent="0.3">
      <c r="A6" s="119">
        <f t="shared" si="0"/>
        <v>5</v>
      </c>
      <c r="B6" s="119" t="s">
        <v>458</v>
      </c>
      <c r="C6" s="119">
        <v>1</v>
      </c>
      <c r="D6" s="119" t="s">
        <v>5</v>
      </c>
      <c r="E6" s="119" t="s">
        <v>3</v>
      </c>
      <c r="F6" s="119" t="s">
        <v>4</v>
      </c>
      <c r="G6" s="119" t="s">
        <v>5</v>
      </c>
      <c r="H6" s="119" t="s">
        <v>5</v>
      </c>
      <c r="I6" s="119" t="s">
        <v>5</v>
      </c>
      <c r="J6" s="119" t="s">
        <v>5</v>
      </c>
      <c r="K6" s="119" t="s">
        <v>2</v>
      </c>
      <c r="L6" s="119" t="s">
        <v>2</v>
      </c>
      <c r="M6" s="119" t="s">
        <v>3</v>
      </c>
      <c r="N6" s="119" t="s">
        <v>3</v>
      </c>
      <c r="O6" s="119" t="s">
        <v>2</v>
      </c>
      <c r="P6" s="119" t="s">
        <v>2</v>
      </c>
      <c r="Q6" s="119" t="s">
        <v>3</v>
      </c>
      <c r="R6" s="119" t="s">
        <v>2</v>
      </c>
      <c r="S6" s="119" t="s">
        <v>5</v>
      </c>
      <c r="T6" s="119" t="s">
        <v>2</v>
      </c>
      <c r="U6" s="119" t="s">
        <v>5</v>
      </c>
      <c r="V6" s="119" t="s">
        <v>5</v>
      </c>
      <c r="W6" s="119" t="s">
        <v>4</v>
      </c>
      <c r="X6" s="119" t="s">
        <v>4</v>
      </c>
      <c r="Y6" s="119" t="s">
        <v>2</v>
      </c>
      <c r="Z6" s="119" t="s">
        <v>3</v>
      </c>
      <c r="AA6" s="119" t="s">
        <v>3</v>
      </c>
      <c r="AB6" s="119" t="s">
        <v>3</v>
      </c>
      <c r="AC6" s="119" t="s">
        <v>4</v>
      </c>
      <c r="AD6" s="119" t="s">
        <v>4</v>
      </c>
      <c r="AE6" s="119" t="s">
        <v>4</v>
      </c>
      <c r="AF6" s="119" t="s">
        <v>4</v>
      </c>
      <c r="AG6" s="119" t="s">
        <v>3</v>
      </c>
      <c r="AH6" s="119" t="s">
        <v>4</v>
      </c>
      <c r="AI6" s="119" t="s">
        <v>3</v>
      </c>
      <c r="AJ6" s="119" t="s">
        <v>4</v>
      </c>
      <c r="AK6" s="119" t="s">
        <v>4</v>
      </c>
      <c r="AL6" s="119" t="s">
        <v>3</v>
      </c>
      <c r="AM6" s="119" t="s">
        <v>3</v>
      </c>
      <c r="AO6" s="80" t="s">
        <v>506</v>
      </c>
      <c r="AP6" s="80"/>
      <c r="AQ6" s="6">
        <f>PRODUCT('Data Training 2'!AW24,'Data Training 2'!AV32,'Data Training 2'!AV40,'Data Training 2'!AV44,'Data Training 2'!AV52,'Data Training 2'!AV58,'Data Training 2'!AV64,'Data Training 2'!AV70,'Data Training 2'!AV75,'Data Training 2'!AV80,'Data Training 2'!AV86,'Data Training 2'!AV92,'Data Training 2'!AV97,'Data Training 2'!AV106,'Data Training 2'!AV110,'Data Training 2'!AV115,'Data Training 2'!AV124,'Data Training 2'!AV130,'Data Training 2'!AV136,'Data Training 2'!AV140,'Data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7" spans="1:79" x14ac:dyDescent="0.3">
      <c r="A7" s="119">
        <f t="shared" si="0"/>
        <v>6</v>
      </c>
      <c r="B7" s="119" t="s">
        <v>459</v>
      </c>
      <c r="C7" s="119">
        <v>1</v>
      </c>
      <c r="D7" s="119" t="s">
        <v>5</v>
      </c>
      <c r="E7" s="119" t="s">
        <v>5</v>
      </c>
      <c r="F7" s="119" t="s">
        <v>4</v>
      </c>
      <c r="G7" s="119" t="s">
        <v>5</v>
      </c>
      <c r="H7" s="119" t="s">
        <v>5</v>
      </c>
      <c r="I7" s="119" t="s">
        <v>5</v>
      </c>
      <c r="J7" s="119" t="s">
        <v>5</v>
      </c>
      <c r="K7" s="119" t="s">
        <v>2</v>
      </c>
      <c r="L7" s="119" t="s">
        <v>3</v>
      </c>
      <c r="M7" s="119" t="s">
        <v>4</v>
      </c>
      <c r="N7" s="119" t="s">
        <v>3</v>
      </c>
      <c r="O7" s="119" t="s">
        <v>3</v>
      </c>
      <c r="P7" s="119" t="s">
        <v>5</v>
      </c>
      <c r="Q7" s="119" t="s">
        <v>3</v>
      </c>
      <c r="R7" s="119" t="s">
        <v>3</v>
      </c>
      <c r="S7" s="119" t="s">
        <v>5</v>
      </c>
      <c r="T7" s="119" t="s">
        <v>3</v>
      </c>
      <c r="U7" s="119" t="s">
        <v>2</v>
      </c>
      <c r="V7" s="119" t="s">
        <v>5</v>
      </c>
      <c r="W7" s="119" t="s">
        <v>4</v>
      </c>
      <c r="X7" s="119" t="s">
        <v>3</v>
      </c>
      <c r="Y7" s="119" t="s">
        <v>2</v>
      </c>
      <c r="Z7" s="119" t="s">
        <v>3</v>
      </c>
      <c r="AA7" s="119" t="s">
        <v>3</v>
      </c>
      <c r="AB7" s="119" t="s">
        <v>3</v>
      </c>
      <c r="AC7" s="119" t="s">
        <v>4</v>
      </c>
      <c r="AD7" s="119" t="s">
        <v>4</v>
      </c>
      <c r="AE7" s="119" t="s">
        <v>4</v>
      </c>
      <c r="AF7" s="119" t="s">
        <v>4</v>
      </c>
      <c r="AG7" s="119" t="s">
        <v>3</v>
      </c>
      <c r="AH7" s="119" t="s">
        <v>4</v>
      </c>
      <c r="AI7" s="119" t="s">
        <v>3</v>
      </c>
      <c r="AJ7" s="119" t="s">
        <v>3</v>
      </c>
      <c r="AK7" s="119" t="s">
        <v>4</v>
      </c>
      <c r="AL7" s="119" t="s">
        <v>4</v>
      </c>
      <c r="AM7" s="119" t="s">
        <v>3</v>
      </c>
      <c r="AO7" s="80" t="s">
        <v>507</v>
      </c>
      <c r="AP7" s="80"/>
      <c r="AQ7" s="6">
        <f>PRODUCT('Data Training 2'!AW25,'Data Training 2'!AW32,'Data Training 2'!AW40,'Data Training 2'!AW44,'Data Training 2'!AW52,'Data Training 2'!AW58,'Data Training 2'!AW64,'Data Training 2'!AW70,'Data Training 2'!AW75,'Data Training 2'!AW80,'Data Training 2'!AW86,'Data Training 2'!AW92,'Data Training 2'!AW97,'Data Training 2'!AW106,'Data Training 2'!AW110,'Data Training 2'!AW115,'Data Training 2'!AW124,'Data Training 2'!AW130,'Data Training 2'!AW136,'Data Training 2'!AW140,'Data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7.7256771756505172E-10</v>
      </c>
    </row>
    <row r="8" spans="1:79" x14ac:dyDescent="0.3">
      <c r="A8" s="119">
        <f t="shared" si="0"/>
        <v>7</v>
      </c>
      <c r="B8" s="119" t="s">
        <v>11</v>
      </c>
      <c r="C8" s="119">
        <v>2</v>
      </c>
      <c r="D8" s="119" t="s">
        <v>4</v>
      </c>
      <c r="E8" s="119" t="s">
        <v>5</v>
      </c>
      <c r="F8" s="119" t="s">
        <v>3</v>
      </c>
      <c r="G8" s="119" t="s">
        <v>3</v>
      </c>
      <c r="H8" s="119" t="s">
        <v>5</v>
      </c>
      <c r="I8" s="119" t="s">
        <v>5</v>
      </c>
      <c r="J8" s="119" t="s">
        <v>5</v>
      </c>
      <c r="K8" s="119" t="s">
        <v>2</v>
      </c>
      <c r="L8" s="119" t="s">
        <v>2</v>
      </c>
      <c r="M8" s="119" t="s">
        <v>3</v>
      </c>
      <c r="N8" s="119" t="s">
        <v>4</v>
      </c>
      <c r="O8" s="119" t="s">
        <v>2</v>
      </c>
      <c r="P8" s="119" t="s">
        <v>5</v>
      </c>
      <c r="Q8" s="119" t="s">
        <v>3</v>
      </c>
      <c r="R8" s="119" t="s">
        <v>4</v>
      </c>
      <c r="S8" s="119" t="s">
        <v>5</v>
      </c>
      <c r="T8" s="119" t="s">
        <v>5</v>
      </c>
      <c r="U8" s="119" t="s">
        <v>5</v>
      </c>
      <c r="V8" s="119" t="s">
        <v>4</v>
      </c>
      <c r="W8" s="119" t="s">
        <v>4</v>
      </c>
      <c r="X8" s="119" t="s">
        <v>4</v>
      </c>
      <c r="Y8" s="119" t="s">
        <v>4</v>
      </c>
      <c r="Z8" s="119" t="s">
        <v>3</v>
      </c>
      <c r="AA8" s="119" t="s">
        <v>4</v>
      </c>
      <c r="AB8" s="119" t="s">
        <v>4</v>
      </c>
      <c r="AC8" s="119" t="s">
        <v>4</v>
      </c>
      <c r="AD8" s="119" t="s">
        <v>4</v>
      </c>
      <c r="AE8" s="119" t="s">
        <v>4</v>
      </c>
      <c r="AF8" s="119" t="s">
        <v>4</v>
      </c>
      <c r="AG8" s="119" t="s">
        <v>3</v>
      </c>
      <c r="AH8" s="119" t="s">
        <v>4</v>
      </c>
      <c r="AI8" s="119" t="s">
        <v>4</v>
      </c>
      <c r="AJ8" s="119" t="s">
        <v>4</v>
      </c>
      <c r="AK8" s="119" t="s">
        <v>4</v>
      </c>
      <c r="AL8" s="119" t="s">
        <v>3</v>
      </c>
      <c r="AM8" s="119" t="s">
        <v>3</v>
      </c>
      <c r="AO8" s="80" t="s">
        <v>508</v>
      </c>
      <c r="AP8" s="80"/>
      <c r="AQ8" s="47">
        <f>PRODUCT('Data Training 2'!AW26,'Data Training 2'!AX32,'Data Training 2'!AX40,'Data Training 2'!AX44,'Data Training 2'!AX52,'Data Training 2'!AX58,'Data Training 2'!AX64,'Data Training 2'!AX70,'Data Training 2'!AX75,'Data Training 2'!AX80,'Data Training 2'!AX86,'Data Training 2'!AX92,'Data Training 2'!AX97,'Data Training 2'!AX106,'Data Training 2'!AX110,'Data Training 2'!AX115,'Data Training 2'!AX124,'Data Training 2'!AX130,'Data Training 2'!AX136,'Data Training 2'!AX140,'Data Training 2'!AX145,'Data Training 2'!AX152,'Data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9" spans="1:79" x14ac:dyDescent="0.3">
      <c r="A9" s="119">
        <f t="shared" si="0"/>
        <v>8</v>
      </c>
      <c r="B9" s="119" t="s">
        <v>12</v>
      </c>
      <c r="C9" s="119">
        <v>2</v>
      </c>
      <c r="D9" s="119" t="s">
        <v>5</v>
      </c>
      <c r="E9" s="119" t="s">
        <v>3</v>
      </c>
      <c r="F9" s="119" t="s">
        <v>4</v>
      </c>
      <c r="G9" s="119" t="s">
        <v>3</v>
      </c>
      <c r="H9" s="119" t="s">
        <v>5</v>
      </c>
      <c r="I9" s="119" t="s">
        <v>5</v>
      </c>
      <c r="J9" s="119" t="s">
        <v>3</v>
      </c>
      <c r="K9" s="119" t="s">
        <v>4</v>
      </c>
      <c r="L9" s="119" t="s">
        <v>3</v>
      </c>
      <c r="M9" s="119" t="s">
        <v>3</v>
      </c>
      <c r="N9" s="119" t="s">
        <v>4</v>
      </c>
      <c r="O9" s="119" t="s">
        <v>4</v>
      </c>
      <c r="P9" s="119" t="s">
        <v>5</v>
      </c>
      <c r="Q9" s="119" t="s">
        <v>3</v>
      </c>
      <c r="R9" s="119" t="s">
        <v>4</v>
      </c>
      <c r="S9" s="119" t="s">
        <v>5</v>
      </c>
      <c r="T9" s="119" t="s">
        <v>5</v>
      </c>
      <c r="U9" s="119" t="s">
        <v>5</v>
      </c>
      <c r="V9" s="119" t="s">
        <v>4</v>
      </c>
      <c r="W9" s="119" t="s">
        <v>4</v>
      </c>
      <c r="X9" s="119" t="s">
        <v>4</v>
      </c>
      <c r="Y9" s="119" t="s">
        <v>4</v>
      </c>
      <c r="Z9" s="119" t="s">
        <v>3</v>
      </c>
      <c r="AA9" s="119" t="s">
        <v>4</v>
      </c>
      <c r="AB9" s="119" t="s">
        <v>4</v>
      </c>
      <c r="AC9" s="119" t="s">
        <v>4</v>
      </c>
      <c r="AD9" s="119" t="s">
        <v>4</v>
      </c>
      <c r="AE9" s="119" t="s">
        <v>4</v>
      </c>
      <c r="AF9" s="119" t="s">
        <v>4</v>
      </c>
      <c r="AG9" s="119" t="s">
        <v>3</v>
      </c>
      <c r="AH9" s="119" t="s">
        <v>4</v>
      </c>
      <c r="AI9" s="119" t="s">
        <v>3</v>
      </c>
      <c r="AJ9" s="119" t="s">
        <v>4</v>
      </c>
      <c r="AK9" s="119" t="s">
        <v>4</v>
      </c>
      <c r="AL9" s="119" t="s">
        <v>4</v>
      </c>
      <c r="AM9" s="119" t="s">
        <v>3</v>
      </c>
      <c r="AO9" s="80" t="s">
        <v>509</v>
      </c>
      <c r="AP9" s="80"/>
      <c r="AQ9" s="6">
        <f>PRODUCT('Data Training 2'!AW27,'Data Training 2'!AY32,'Data Training 2'!AY40,'Data Training 2'!AY44,'Data Training 2'!AY52,'Data Training 2'!AY58,'Data Training 2'!AY64,'Data Training 2'!AY70,'Data Training 2'!AY75,'Data Training 2'!AY80,'Data Training 2'!AY86,'Data Training 2'!AY92,'Data Training 2'!AY97,'Data Training 2'!AY106,'Data Training 2'!AY110,'Data Training 2'!AY115,'Data Training 2'!AY124,'Data Training 2'!AY130,'Data Training 2'!AY136,'Data Training 2'!AY140,'Data Training 2'!AY145,'Data Training 2'!AY152,'Data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0" spans="1:79" x14ac:dyDescent="0.3">
      <c r="A10" s="119">
        <f t="shared" si="0"/>
        <v>9</v>
      </c>
      <c r="B10" s="119" t="s">
        <v>318</v>
      </c>
      <c r="C10" s="119">
        <v>2</v>
      </c>
      <c r="D10" s="119" t="s">
        <v>4</v>
      </c>
      <c r="E10" s="119" t="s">
        <v>5</v>
      </c>
      <c r="F10" s="119" t="s">
        <v>3</v>
      </c>
      <c r="G10" s="119" t="s">
        <v>5</v>
      </c>
      <c r="H10" s="119" t="s">
        <v>5</v>
      </c>
      <c r="I10" s="119" t="s">
        <v>5</v>
      </c>
      <c r="J10" s="119" t="s">
        <v>5</v>
      </c>
      <c r="K10" s="119" t="s">
        <v>2</v>
      </c>
      <c r="L10" s="119" t="s">
        <v>3</v>
      </c>
      <c r="M10" s="119" t="s">
        <v>2</v>
      </c>
      <c r="N10" s="119" t="s">
        <v>3</v>
      </c>
      <c r="O10" s="119" t="s">
        <v>2</v>
      </c>
      <c r="P10" s="119" t="s">
        <v>5</v>
      </c>
      <c r="Q10" s="119" t="s">
        <v>3</v>
      </c>
      <c r="R10" s="119" t="s">
        <v>3</v>
      </c>
      <c r="S10" s="119" t="s">
        <v>5</v>
      </c>
      <c r="T10" s="119" t="s">
        <v>5</v>
      </c>
      <c r="U10" s="119" t="s">
        <v>5</v>
      </c>
      <c r="V10" s="119" t="s">
        <v>4</v>
      </c>
      <c r="W10" s="119" t="s">
        <v>4</v>
      </c>
      <c r="X10" s="119" t="s">
        <v>3</v>
      </c>
      <c r="Y10" s="119" t="s">
        <v>2</v>
      </c>
      <c r="Z10" s="119" t="s">
        <v>3</v>
      </c>
      <c r="AA10" s="119" t="s">
        <v>4</v>
      </c>
      <c r="AB10" s="119" t="s">
        <v>4</v>
      </c>
      <c r="AC10" s="119" t="s">
        <v>4</v>
      </c>
      <c r="AD10" s="119" t="s">
        <v>4</v>
      </c>
      <c r="AE10" s="119" t="s">
        <v>4</v>
      </c>
      <c r="AF10" s="119" t="s">
        <v>4</v>
      </c>
      <c r="AG10" s="119" t="s">
        <v>3</v>
      </c>
      <c r="AH10" s="119" t="s">
        <v>4</v>
      </c>
      <c r="AI10" s="119" t="s">
        <v>4</v>
      </c>
      <c r="AJ10" s="119" t="s">
        <v>4</v>
      </c>
      <c r="AK10" s="119" t="s">
        <v>4</v>
      </c>
      <c r="AL10" s="119" t="s">
        <v>4</v>
      </c>
      <c r="AM10" s="119" t="s">
        <v>3</v>
      </c>
      <c r="AO10" s="78" t="s">
        <v>437</v>
      </c>
      <c r="AP10" s="78"/>
      <c r="AQ10" s="6" t="s">
        <v>296</v>
      </c>
      <c r="AR10" s="81" t="s">
        <v>439</v>
      </c>
      <c r="AS10" s="81"/>
      <c r="AT10" s="81"/>
    </row>
    <row r="11" spans="1:79" x14ac:dyDescent="0.3">
      <c r="A11" s="119">
        <f t="shared" si="0"/>
        <v>10</v>
      </c>
      <c r="B11" s="119" t="s">
        <v>463</v>
      </c>
      <c r="C11" s="119">
        <v>2</v>
      </c>
      <c r="D11" s="119" t="s">
        <v>2</v>
      </c>
      <c r="E11" s="119" t="s">
        <v>3</v>
      </c>
      <c r="F11" s="119" t="s">
        <v>2</v>
      </c>
      <c r="G11" s="119" t="s">
        <v>5</v>
      </c>
      <c r="H11" s="119" t="s">
        <v>5</v>
      </c>
      <c r="I11" s="119" t="s">
        <v>5</v>
      </c>
      <c r="J11" s="119" t="s">
        <v>5</v>
      </c>
      <c r="K11" s="119" t="s">
        <v>2</v>
      </c>
      <c r="L11" s="119" t="s">
        <v>3</v>
      </c>
      <c r="M11" s="119" t="s">
        <v>3</v>
      </c>
      <c r="N11" s="119" t="s">
        <v>2</v>
      </c>
      <c r="O11" s="119" t="s">
        <v>5</v>
      </c>
      <c r="P11" s="119" t="s">
        <v>5</v>
      </c>
      <c r="Q11" s="119" t="s">
        <v>3</v>
      </c>
      <c r="R11" s="119" t="s">
        <v>2</v>
      </c>
      <c r="S11" s="119" t="s">
        <v>5</v>
      </c>
      <c r="T11" s="119" t="s">
        <v>5</v>
      </c>
      <c r="U11" s="119" t="s">
        <v>5</v>
      </c>
      <c r="V11" s="119" t="s">
        <v>5</v>
      </c>
      <c r="W11" s="119" t="s">
        <v>4</v>
      </c>
      <c r="X11" s="119" t="s">
        <v>4</v>
      </c>
      <c r="Y11" s="119" t="s">
        <v>4</v>
      </c>
      <c r="Z11" s="119" t="s">
        <v>3</v>
      </c>
      <c r="AA11" s="119" t="s">
        <v>4</v>
      </c>
      <c r="AB11" s="119" t="s">
        <v>4</v>
      </c>
      <c r="AC11" s="119" t="s">
        <v>4</v>
      </c>
      <c r="AD11" s="119" t="s">
        <v>4</v>
      </c>
      <c r="AE11" s="119" t="s">
        <v>4</v>
      </c>
      <c r="AF11" s="119" t="s">
        <v>4</v>
      </c>
      <c r="AG11" s="119" t="s">
        <v>3</v>
      </c>
      <c r="AH11" s="119" t="s">
        <v>4</v>
      </c>
      <c r="AI11" s="119" t="s">
        <v>3</v>
      </c>
      <c r="AJ11" s="119" t="s">
        <v>4</v>
      </c>
      <c r="AK11" s="119" t="s">
        <v>4</v>
      </c>
      <c r="AL11" s="119" t="s">
        <v>4</v>
      </c>
      <c r="AM11" s="119" t="s">
        <v>3</v>
      </c>
      <c r="AP11" s="3"/>
    </row>
    <row r="12" spans="1:79" x14ac:dyDescent="0.3">
      <c r="A12" s="119">
        <f t="shared" si="0"/>
        <v>11</v>
      </c>
      <c r="B12" s="119" t="s">
        <v>464</v>
      </c>
      <c r="C12" s="119">
        <v>2</v>
      </c>
      <c r="D12" s="119" t="s">
        <v>4</v>
      </c>
      <c r="E12" s="119" t="s">
        <v>5</v>
      </c>
      <c r="F12" s="119" t="s">
        <v>5</v>
      </c>
      <c r="G12" s="119" t="s">
        <v>5</v>
      </c>
      <c r="H12" s="119" t="s">
        <v>5</v>
      </c>
      <c r="I12" s="119" t="s">
        <v>5</v>
      </c>
      <c r="J12" s="119" t="s">
        <v>5</v>
      </c>
      <c r="K12" s="119" t="s">
        <v>2</v>
      </c>
      <c r="L12" s="119" t="s">
        <v>3</v>
      </c>
      <c r="M12" s="119" t="s">
        <v>4</v>
      </c>
      <c r="N12" s="119" t="s">
        <v>4</v>
      </c>
      <c r="O12" s="119" t="s">
        <v>2</v>
      </c>
      <c r="P12" s="119" t="s">
        <v>5</v>
      </c>
      <c r="Q12" s="119" t="s">
        <v>4</v>
      </c>
      <c r="R12" s="119" t="s">
        <v>2</v>
      </c>
      <c r="S12" s="119" t="s">
        <v>5</v>
      </c>
      <c r="T12" s="119" t="s">
        <v>2</v>
      </c>
      <c r="U12" s="119" t="s">
        <v>5</v>
      </c>
      <c r="V12" s="119" t="s">
        <v>5</v>
      </c>
      <c r="W12" s="119" t="s">
        <v>2</v>
      </c>
      <c r="X12" s="119" t="s">
        <v>4</v>
      </c>
      <c r="Y12" s="119" t="s">
        <v>4</v>
      </c>
      <c r="Z12" s="119" t="s">
        <v>3</v>
      </c>
      <c r="AA12" s="119" t="s">
        <v>4</v>
      </c>
      <c r="AB12" s="119" t="s">
        <v>4</v>
      </c>
      <c r="AC12" s="119" t="s">
        <v>4</v>
      </c>
      <c r="AD12" s="119" t="s">
        <v>4</v>
      </c>
      <c r="AE12" s="119" t="s">
        <v>4</v>
      </c>
      <c r="AF12" s="119" t="s">
        <v>4</v>
      </c>
      <c r="AG12" s="119" t="s">
        <v>4</v>
      </c>
      <c r="AH12" s="119" t="s">
        <v>4</v>
      </c>
      <c r="AI12" s="119" t="s">
        <v>4</v>
      </c>
      <c r="AJ12" s="119" t="s">
        <v>4</v>
      </c>
      <c r="AK12" s="119" t="s">
        <v>4</v>
      </c>
      <c r="AL12" s="119" t="s">
        <v>4</v>
      </c>
      <c r="AM12" s="119" t="s">
        <v>3</v>
      </c>
      <c r="AN12">
        <v>2</v>
      </c>
      <c r="AO12" s="82" t="s">
        <v>257</v>
      </c>
      <c r="AP12" s="82"/>
      <c r="AQ12" s="7" t="s">
        <v>64</v>
      </c>
      <c r="AR12" s="49" t="s">
        <v>43</v>
      </c>
      <c r="AS12" s="49" t="s">
        <v>44</v>
      </c>
      <c r="AT12" s="49" t="s">
        <v>45</v>
      </c>
      <c r="AU12" s="49" t="s">
        <v>46</v>
      </c>
      <c r="AV12" s="49" t="s">
        <v>47</v>
      </c>
      <c r="AW12" s="49" t="s">
        <v>48</v>
      </c>
      <c r="AX12" s="49" t="s">
        <v>49</v>
      </c>
      <c r="AY12" s="49" t="s">
        <v>50</v>
      </c>
      <c r="AZ12" s="49" t="s">
        <v>51</v>
      </c>
      <c r="BA12" s="49" t="s">
        <v>52</v>
      </c>
      <c r="BB12" s="49" t="s">
        <v>53</v>
      </c>
      <c r="BC12" s="49" t="s">
        <v>54</v>
      </c>
      <c r="BD12" s="49" t="s">
        <v>55</v>
      </c>
      <c r="BE12" s="49" t="s">
        <v>56</v>
      </c>
      <c r="BF12" s="49" t="s">
        <v>57</v>
      </c>
      <c r="BG12" s="49" t="s">
        <v>58</v>
      </c>
      <c r="BH12" s="49" t="s">
        <v>59</v>
      </c>
      <c r="BI12" s="49" t="s">
        <v>60</v>
      </c>
      <c r="BJ12" s="49" t="s">
        <v>61</v>
      </c>
      <c r="BK12" s="49" t="s">
        <v>62</v>
      </c>
      <c r="BL12" s="49" t="s">
        <v>63</v>
      </c>
      <c r="BM12" s="49" t="s">
        <v>330</v>
      </c>
      <c r="BN12" s="49" t="s">
        <v>331</v>
      </c>
      <c r="BO12" s="49" t="s">
        <v>332</v>
      </c>
      <c r="BP12" s="49" t="s">
        <v>333</v>
      </c>
      <c r="BQ12" s="49" t="s">
        <v>334</v>
      </c>
      <c r="BR12" s="49" t="s">
        <v>335</v>
      </c>
      <c r="BS12" s="49" t="s">
        <v>336</v>
      </c>
      <c r="BT12" s="49" t="s">
        <v>337</v>
      </c>
      <c r="BU12" s="49" t="s">
        <v>338</v>
      </c>
      <c r="BV12" s="49" t="s">
        <v>339</v>
      </c>
      <c r="BW12" s="49" t="s">
        <v>340</v>
      </c>
      <c r="BX12" s="49" t="s">
        <v>341</v>
      </c>
      <c r="BY12" s="49" t="s">
        <v>342</v>
      </c>
      <c r="BZ12" s="49" t="s">
        <v>343</v>
      </c>
      <c r="CA12" s="49" t="s">
        <v>390</v>
      </c>
    </row>
    <row r="13" spans="1:79" x14ac:dyDescent="0.3">
      <c r="A13" s="119">
        <f t="shared" si="0"/>
        <v>12</v>
      </c>
      <c r="B13" s="119" t="s">
        <v>490</v>
      </c>
      <c r="C13" s="119">
        <v>2</v>
      </c>
      <c r="D13" s="119" t="s">
        <v>4</v>
      </c>
      <c r="E13" s="119" t="s">
        <v>5</v>
      </c>
      <c r="F13" s="119" t="s">
        <v>3</v>
      </c>
      <c r="G13" s="119" t="s">
        <v>2</v>
      </c>
      <c r="H13" s="119" t="s">
        <v>5</v>
      </c>
      <c r="I13" s="119" t="s">
        <v>5</v>
      </c>
      <c r="J13" s="119" t="s">
        <v>5</v>
      </c>
      <c r="K13" s="119" t="s">
        <v>2</v>
      </c>
      <c r="L13" s="119" t="s">
        <v>2</v>
      </c>
      <c r="M13" s="119" t="s">
        <v>3</v>
      </c>
      <c r="N13" s="119" t="s">
        <v>4</v>
      </c>
      <c r="O13" s="119" t="s">
        <v>2</v>
      </c>
      <c r="P13" s="119" t="s">
        <v>5</v>
      </c>
      <c r="Q13" s="119" t="s">
        <v>3</v>
      </c>
      <c r="R13" s="119" t="s">
        <v>4</v>
      </c>
      <c r="S13" s="119" t="s">
        <v>5</v>
      </c>
      <c r="T13" s="119" t="s">
        <v>5</v>
      </c>
      <c r="U13" s="119" t="s">
        <v>5</v>
      </c>
      <c r="V13" s="119" t="s">
        <v>4</v>
      </c>
      <c r="W13" s="119" t="s">
        <v>4</v>
      </c>
      <c r="X13" s="119" t="s">
        <v>3</v>
      </c>
      <c r="Y13" s="119" t="s">
        <v>4</v>
      </c>
      <c r="Z13" s="119" t="s">
        <v>3</v>
      </c>
      <c r="AA13" s="119" t="s">
        <v>4</v>
      </c>
      <c r="AB13" s="119" t="s">
        <v>4</v>
      </c>
      <c r="AC13" s="119" t="s">
        <v>4</v>
      </c>
      <c r="AD13" s="119" t="s">
        <v>4</v>
      </c>
      <c r="AE13" s="119" t="s">
        <v>4</v>
      </c>
      <c r="AF13" s="119" t="s">
        <v>4</v>
      </c>
      <c r="AG13" s="119" t="s">
        <v>3</v>
      </c>
      <c r="AH13" s="119" t="s">
        <v>4</v>
      </c>
      <c r="AI13" s="119" t="s">
        <v>3</v>
      </c>
      <c r="AJ13" s="119" t="s">
        <v>4</v>
      </c>
      <c r="AK13" s="119" t="s">
        <v>4</v>
      </c>
      <c r="AL13" s="119" t="s">
        <v>4</v>
      </c>
      <c r="AM13" s="119" t="s">
        <v>4</v>
      </c>
      <c r="AO13" s="82"/>
      <c r="AP13" s="82"/>
      <c r="AQ13" s="7">
        <v>1</v>
      </c>
      <c r="AR13" s="6" t="s">
        <v>3</v>
      </c>
      <c r="AS13" s="6" t="s">
        <v>3</v>
      </c>
      <c r="AT13" s="6" t="s">
        <v>2</v>
      </c>
      <c r="AU13" s="6" t="s">
        <v>3</v>
      </c>
      <c r="AV13" s="6" t="s">
        <v>5</v>
      </c>
      <c r="AW13" s="6" t="s">
        <v>5</v>
      </c>
      <c r="AX13" s="6" t="s">
        <v>5</v>
      </c>
      <c r="AY13" s="6" t="s">
        <v>2</v>
      </c>
      <c r="AZ13" s="6" t="s">
        <v>2</v>
      </c>
      <c r="BA13" s="6" t="s">
        <v>2</v>
      </c>
      <c r="BB13" s="6" t="s">
        <v>3</v>
      </c>
      <c r="BC13" s="6" t="s">
        <v>2</v>
      </c>
      <c r="BD13" s="6" t="s">
        <v>5</v>
      </c>
      <c r="BE13" s="6" t="s">
        <v>3</v>
      </c>
      <c r="BF13" s="6" t="s">
        <v>3</v>
      </c>
      <c r="BG13" s="6" t="s">
        <v>5</v>
      </c>
      <c r="BH13" s="6" t="s">
        <v>5</v>
      </c>
      <c r="BI13" s="6" t="s">
        <v>5</v>
      </c>
      <c r="BJ13" s="6" t="s">
        <v>2</v>
      </c>
      <c r="BK13" s="6" t="s">
        <v>4</v>
      </c>
      <c r="BL13" s="6" t="s">
        <v>3</v>
      </c>
      <c r="BM13" s="6" t="s">
        <v>4</v>
      </c>
      <c r="BN13" s="6" t="s">
        <v>3</v>
      </c>
      <c r="BO13" s="6" t="s">
        <v>4</v>
      </c>
      <c r="BP13" s="6" t="s">
        <v>4</v>
      </c>
      <c r="BQ13" s="6" t="s">
        <v>4</v>
      </c>
      <c r="BR13" s="6" t="s">
        <v>4</v>
      </c>
      <c r="BS13" s="6" t="s">
        <v>4</v>
      </c>
      <c r="BT13" s="6" t="s">
        <v>4</v>
      </c>
      <c r="BU13" s="6" t="s">
        <v>3</v>
      </c>
      <c r="BV13" s="6" t="s">
        <v>4</v>
      </c>
      <c r="BW13" s="6" t="s">
        <v>3</v>
      </c>
      <c r="BX13" s="6" t="s">
        <v>4</v>
      </c>
      <c r="BY13" s="6" t="s">
        <v>4</v>
      </c>
      <c r="BZ13" s="6" t="s">
        <v>4</v>
      </c>
      <c r="CA13" s="6" t="s">
        <v>3</v>
      </c>
    </row>
    <row r="14" spans="1:79" x14ac:dyDescent="0.3">
      <c r="A14" s="119">
        <f t="shared" si="0"/>
        <v>13</v>
      </c>
      <c r="B14" s="119" t="s">
        <v>319</v>
      </c>
      <c r="C14" s="119">
        <v>3</v>
      </c>
      <c r="D14" s="119" t="s">
        <v>2</v>
      </c>
      <c r="E14" s="119" t="s">
        <v>3</v>
      </c>
      <c r="F14" s="119" t="s">
        <v>3</v>
      </c>
      <c r="G14" s="119" t="s">
        <v>2</v>
      </c>
      <c r="H14" s="119" t="s">
        <v>5</v>
      </c>
      <c r="I14" s="119" t="s">
        <v>5</v>
      </c>
      <c r="J14" s="119" t="s">
        <v>5</v>
      </c>
      <c r="K14" s="119" t="s">
        <v>2</v>
      </c>
      <c r="L14" s="119" t="s">
        <v>3</v>
      </c>
      <c r="M14" s="119" t="s">
        <v>3</v>
      </c>
      <c r="N14" s="119" t="s">
        <v>3</v>
      </c>
      <c r="O14" s="119" t="s">
        <v>2</v>
      </c>
      <c r="P14" s="119" t="s">
        <v>5</v>
      </c>
      <c r="Q14" s="119" t="s">
        <v>3</v>
      </c>
      <c r="R14" s="119" t="s">
        <v>3</v>
      </c>
      <c r="S14" s="119" t="s">
        <v>5</v>
      </c>
      <c r="T14" s="119" t="s">
        <v>5</v>
      </c>
      <c r="U14" s="119" t="s">
        <v>5</v>
      </c>
      <c r="V14" s="119" t="s">
        <v>5</v>
      </c>
      <c r="W14" s="119" t="s">
        <v>4</v>
      </c>
      <c r="X14" s="119" t="s">
        <v>3</v>
      </c>
      <c r="Y14" s="119" t="s">
        <v>2</v>
      </c>
      <c r="Z14" s="119" t="s">
        <v>3</v>
      </c>
      <c r="AA14" s="119" t="s">
        <v>4</v>
      </c>
      <c r="AB14" s="119" t="s">
        <v>4</v>
      </c>
      <c r="AC14" s="119" t="s">
        <v>4</v>
      </c>
      <c r="AD14" s="119" t="s">
        <v>4</v>
      </c>
      <c r="AE14" s="119" t="s">
        <v>4</v>
      </c>
      <c r="AF14" s="119" t="s">
        <v>4</v>
      </c>
      <c r="AG14" s="119" t="s">
        <v>3</v>
      </c>
      <c r="AH14" s="119" t="s">
        <v>4</v>
      </c>
      <c r="AI14" s="119" t="s">
        <v>3</v>
      </c>
      <c r="AJ14" s="119" t="s">
        <v>4</v>
      </c>
      <c r="AK14" s="119" t="s">
        <v>4</v>
      </c>
      <c r="AL14" s="119" t="s">
        <v>3</v>
      </c>
      <c r="AM14" s="119" t="s">
        <v>3</v>
      </c>
      <c r="AO14" s="80" t="s">
        <v>510</v>
      </c>
      <c r="AP14" s="80"/>
      <c r="AQ14" s="6">
        <f>PRODUCT('Data Training 2'!AW22,'Data Training 2'!AT32,'Data Training 2'!AT38,'Data Training 2'!AT45,'Data Training 2'!AT50,'Data Training 2'!AT58,'Data Training 2'!AT64,'Data Training 2'!AT70,'Data Training 2'!AT75,'Data Training 2'!AT81,'Data Training 2'!AT87,'Data Training 2'!AT92,'Data Training 2'!AT99,'Data Training 2'!AT106,'Data Training 2'!AT110,'Data Training 2'!AT116,'Data Training 2'!AT124,'Data Training 2'!AT130,'Data Training 2'!AT136,'Data Training 2'!AT141,'Data Training 2'!AT145,'Data Training 2'!AT152,'Data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1.8866122529061091E-8</v>
      </c>
    </row>
    <row r="15" spans="1:79" x14ac:dyDescent="0.3">
      <c r="A15" s="119">
        <f t="shared" si="0"/>
        <v>14</v>
      </c>
      <c r="B15" s="119" t="s">
        <v>501</v>
      </c>
      <c r="C15" s="119">
        <v>3</v>
      </c>
      <c r="D15" s="119" t="s">
        <v>2</v>
      </c>
      <c r="E15" s="119" t="s">
        <v>3</v>
      </c>
      <c r="F15" s="119" t="s">
        <v>3</v>
      </c>
      <c r="G15" s="119" t="s">
        <v>2</v>
      </c>
      <c r="H15" s="119" t="s">
        <v>5</v>
      </c>
      <c r="I15" s="119" t="s">
        <v>2</v>
      </c>
      <c r="J15" s="119" t="s">
        <v>5</v>
      </c>
      <c r="K15" s="119" t="s">
        <v>2</v>
      </c>
      <c r="L15" s="119" t="s">
        <v>3</v>
      </c>
      <c r="M15" s="119" t="s">
        <v>4</v>
      </c>
      <c r="N15" s="119" t="s">
        <v>4</v>
      </c>
      <c r="O15" s="119" t="s">
        <v>5</v>
      </c>
      <c r="P15" s="119" t="s">
        <v>5</v>
      </c>
      <c r="Q15" s="119" t="s">
        <v>4</v>
      </c>
      <c r="R15" s="119" t="s">
        <v>5</v>
      </c>
      <c r="S15" s="119" t="s">
        <v>5</v>
      </c>
      <c r="T15" s="119" t="s">
        <v>5</v>
      </c>
      <c r="U15" s="119" t="s">
        <v>5</v>
      </c>
      <c r="V15" s="119" t="s">
        <v>5</v>
      </c>
      <c r="W15" s="119" t="s">
        <v>4</v>
      </c>
      <c r="X15" s="119" t="s">
        <v>3</v>
      </c>
      <c r="Y15" s="119" t="s">
        <v>4</v>
      </c>
      <c r="Z15" s="119" t="s">
        <v>4</v>
      </c>
      <c r="AA15" s="119" t="s">
        <v>4</v>
      </c>
      <c r="AB15" s="119" t="s">
        <v>4</v>
      </c>
      <c r="AC15" s="119" t="s">
        <v>4</v>
      </c>
      <c r="AD15" s="119" t="s">
        <v>4</v>
      </c>
      <c r="AE15" s="119" t="s">
        <v>4</v>
      </c>
      <c r="AF15" s="119" t="s">
        <v>4</v>
      </c>
      <c r="AG15" s="119" t="s">
        <v>4</v>
      </c>
      <c r="AH15" s="119" t="s">
        <v>4</v>
      </c>
      <c r="AI15" s="119" t="s">
        <v>3</v>
      </c>
      <c r="AJ15" s="119" t="s">
        <v>4</v>
      </c>
      <c r="AK15" s="119" t="s">
        <v>4</v>
      </c>
      <c r="AL15" s="119" t="s">
        <v>3</v>
      </c>
      <c r="AM15" s="119" t="s">
        <v>4</v>
      </c>
      <c r="AO15" s="80" t="s">
        <v>511</v>
      </c>
      <c r="AP15" s="80"/>
      <c r="AQ15" s="6">
        <f>PRODUCT('Data Training 2'!AW23,'Data Training 2'!AU32,'Data Training 2'!AU38,'Data Training 2'!AU45,'Data Training 2'!AU50,'Data Training 2'!AU58,'Data Training 2'!AU64,'Data Training 2'!AU70,'Data Training 2'!AU75,'Data Training 2'!AU81,'Data Training 2'!AU87,'Data Training 2'!AU92,'Data Training 2'!AU99,'Data Training 2'!AU106,'Data Training 2'!AU110,'Data Training 2'!AU116,'Data Training 2'!AU124,'Data Training 2'!AU130,'Data Training 2'!AU136,'Data Training 2'!AU141,'Data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1.4374188593570367E-10</v>
      </c>
    </row>
    <row r="16" spans="1:79" x14ac:dyDescent="0.3">
      <c r="A16" s="119">
        <f t="shared" si="0"/>
        <v>15</v>
      </c>
      <c r="B16" s="119" t="s">
        <v>320</v>
      </c>
      <c r="C16" s="119">
        <v>3</v>
      </c>
      <c r="D16" s="119" t="s">
        <v>2</v>
      </c>
      <c r="E16" s="119" t="s">
        <v>3</v>
      </c>
      <c r="F16" s="119" t="s">
        <v>3</v>
      </c>
      <c r="G16" s="119" t="s">
        <v>5</v>
      </c>
      <c r="H16" s="119" t="s">
        <v>5</v>
      </c>
      <c r="I16" s="119" t="s">
        <v>5</v>
      </c>
      <c r="J16" s="119" t="s">
        <v>2</v>
      </c>
      <c r="K16" s="119" t="s">
        <v>2</v>
      </c>
      <c r="L16" s="119" t="s">
        <v>3</v>
      </c>
      <c r="M16" s="119" t="s">
        <v>3</v>
      </c>
      <c r="N16" s="119" t="s">
        <v>4</v>
      </c>
      <c r="O16" s="119" t="s">
        <v>5</v>
      </c>
      <c r="P16" s="119" t="s">
        <v>2</v>
      </c>
      <c r="Q16" s="119" t="s">
        <v>3</v>
      </c>
      <c r="R16" s="119" t="s">
        <v>2</v>
      </c>
      <c r="S16" s="119" t="s">
        <v>5</v>
      </c>
      <c r="T16" s="119" t="s">
        <v>5</v>
      </c>
      <c r="U16" s="119" t="s">
        <v>5</v>
      </c>
      <c r="V16" s="119" t="s">
        <v>5</v>
      </c>
      <c r="W16" s="119" t="s">
        <v>4</v>
      </c>
      <c r="X16" s="119" t="s">
        <v>3</v>
      </c>
      <c r="Y16" s="119" t="s">
        <v>3</v>
      </c>
      <c r="Z16" s="119" t="s">
        <v>3</v>
      </c>
      <c r="AA16" s="119" t="s">
        <v>4</v>
      </c>
      <c r="AB16" s="119" t="s">
        <v>4</v>
      </c>
      <c r="AC16" s="119" t="s">
        <v>4</v>
      </c>
      <c r="AD16" s="119" t="s">
        <v>4</v>
      </c>
      <c r="AE16" s="119" t="s">
        <v>4</v>
      </c>
      <c r="AF16" s="119" t="s">
        <v>4</v>
      </c>
      <c r="AG16" s="119" t="s">
        <v>3</v>
      </c>
      <c r="AH16" s="119" t="s">
        <v>4</v>
      </c>
      <c r="AI16" s="119" t="s">
        <v>3</v>
      </c>
      <c r="AJ16" s="119" t="s">
        <v>4</v>
      </c>
      <c r="AK16" s="119" t="s">
        <v>4</v>
      </c>
      <c r="AL16" s="119" t="s">
        <v>3</v>
      </c>
      <c r="AM16" s="119" t="s">
        <v>3</v>
      </c>
      <c r="AO16" s="80" t="s">
        <v>506</v>
      </c>
      <c r="AP16" s="80"/>
      <c r="AQ16" s="6">
        <f>PRODUCT('Data Training 2'!AW24,'Data Training 2'!AV32,'Data Training 2'!AV38,'Data Training 2'!AV45,'Data Training 2'!AV50,'Data Training 2'!AV58,'Data Training 2'!AV64,'Data Training 2'!AV70,'Data Training 2'!AV75,'Data Training 2'!AV81,'Data Training 2'!AV87,'Data Training 2'!AV92,'Data Training 2'!AV99,'Data Training 2'!AV106,'Data Training 2'!AV110,'Data Training 2'!AV116,'Data Training 2'!AV124,'Data Training 2'!AV130,'Data Training 2'!AV136,'Data Training 2'!AV141,'Data Training 2'!AV145,'Data Training 2'!AV152,'Data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17" spans="1:79" x14ac:dyDescent="0.3">
      <c r="A17" s="119">
        <f t="shared" si="0"/>
        <v>16</v>
      </c>
      <c r="B17" s="119" t="s">
        <v>467</v>
      </c>
      <c r="C17" s="119">
        <v>3</v>
      </c>
      <c r="D17" s="119" t="s">
        <v>2</v>
      </c>
      <c r="E17" s="119" t="s">
        <v>5</v>
      </c>
      <c r="F17" s="119" t="s">
        <v>3</v>
      </c>
      <c r="G17" s="119" t="s">
        <v>3</v>
      </c>
      <c r="H17" s="119" t="s">
        <v>5</v>
      </c>
      <c r="I17" s="119" t="s">
        <v>5</v>
      </c>
      <c r="J17" s="119" t="s">
        <v>2</v>
      </c>
      <c r="K17" s="119" t="s">
        <v>2</v>
      </c>
      <c r="L17" s="119" t="s">
        <v>3</v>
      </c>
      <c r="M17" s="119" t="s">
        <v>4</v>
      </c>
      <c r="N17" s="119" t="s">
        <v>4</v>
      </c>
      <c r="O17" s="119" t="s">
        <v>5</v>
      </c>
      <c r="P17" s="119" t="s">
        <v>3</v>
      </c>
      <c r="Q17" s="119" t="s">
        <v>3</v>
      </c>
      <c r="R17" s="119" t="s">
        <v>2</v>
      </c>
      <c r="S17" s="119" t="s">
        <v>5</v>
      </c>
      <c r="T17" s="119" t="s">
        <v>3</v>
      </c>
      <c r="U17" s="119" t="s">
        <v>2</v>
      </c>
      <c r="V17" s="119" t="s">
        <v>5</v>
      </c>
      <c r="W17" s="119" t="s">
        <v>4</v>
      </c>
      <c r="X17" s="119" t="s">
        <v>3</v>
      </c>
      <c r="Y17" s="119" t="s">
        <v>2</v>
      </c>
      <c r="Z17" s="119" t="s">
        <v>3</v>
      </c>
      <c r="AA17" s="119" t="s">
        <v>4</v>
      </c>
      <c r="AB17" s="119" t="s">
        <v>4</v>
      </c>
      <c r="AC17" s="119" t="s">
        <v>4</v>
      </c>
      <c r="AD17" s="119" t="s">
        <v>4</v>
      </c>
      <c r="AE17" s="119" t="s">
        <v>4</v>
      </c>
      <c r="AF17" s="119" t="s">
        <v>4</v>
      </c>
      <c r="AG17" s="119" t="s">
        <v>3</v>
      </c>
      <c r="AH17" s="119" t="s">
        <v>4</v>
      </c>
      <c r="AI17" s="119" t="s">
        <v>3</v>
      </c>
      <c r="AJ17" s="119" t="s">
        <v>4</v>
      </c>
      <c r="AK17" s="119" t="s">
        <v>4</v>
      </c>
      <c r="AL17" s="119" t="s">
        <v>4</v>
      </c>
      <c r="AM17" s="119" t="s">
        <v>3</v>
      </c>
      <c r="AO17" s="6" t="s">
        <v>507</v>
      </c>
      <c r="AP17" s="6"/>
      <c r="AQ17" s="6">
        <f>PRODUCT('Data Training 2'!AW25,'Data Training 2'!AW32,'Data Training 2'!AW38,'Data Training 2'!AW45,'Data Training 2'!AW50,'Data Training 2'!AW58,'Data Training 2'!AW64,'Data Training 2'!AW70,'Data Training 2'!AW75,'Data Training 2'!AW81,'Data Training 2'!AW87,'Data Training 2'!AW92,'Data Training 2'!AW99,'Data Training 2'!AW106,'Data Training 2'!AW110,'Data Training 2'!AW116,'Data Training 2'!AW124,'Data Training 2'!AW130,'Data Training 2'!AW136,'Data Training 2'!AW141,'Data Training 2'!AW145,'Data Training 2'!AW152,'Data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18" spans="1:79" x14ac:dyDescent="0.3">
      <c r="A18" s="119">
        <f t="shared" si="0"/>
        <v>17</v>
      </c>
      <c r="B18" s="119" t="s">
        <v>468</v>
      </c>
      <c r="C18" s="119">
        <v>3</v>
      </c>
      <c r="D18" s="119" t="s">
        <v>4</v>
      </c>
      <c r="E18" s="119" t="s">
        <v>3</v>
      </c>
      <c r="F18" s="119" t="s">
        <v>5</v>
      </c>
      <c r="G18" s="119" t="s">
        <v>5</v>
      </c>
      <c r="H18" s="119" t="s">
        <v>5</v>
      </c>
      <c r="I18" s="119" t="s">
        <v>5</v>
      </c>
      <c r="J18" s="119" t="s">
        <v>5</v>
      </c>
      <c r="K18" s="119" t="s">
        <v>2</v>
      </c>
      <c r="L18" s="119" t="s">
        <v>3</v>
      </c>
      <c r="M18" s="119" t="s">
        <v>3</v>
      </c>
      <c r="N18" s="119" t="s">
        <v>2</v>
      </c>
      <c r="O18" s="119" t="s">
        <v>2</v>
      </c>
      <c r="P18" s="119" t="s">
        <v>5</v>
      </c>
      <c r="Q18" s="119" t="s">
        <v>3</v>
      </c>
      <c r="R18" s="119" t="s">
        <v>2</v>
      </c>
      <c r="S18" s="119" t="s">
        <v>2</v>
      </c>
      <c r="T18" s="119" t="s">
        <v>5</v>
      </c>
      <c r="U18" s="119" t="s">
        <v>5</v>
      </c>
      <c r="V18" s="119" t="s">
        <v>5</v>
      </c>
      <c r="W18" s="119" t="s">
        <v>3</v>
      </c>
      <c r="X18" s="119" t="s">
        <v>5</v>
      </c>
      <c r="Y18" s="119" t="s">
        <v>5</v>
      </c>
      <c r="Z18" s="119" t="s">
        <v>4</v>
      </c>
      <c r="AA18" s="119" t="s">
        <v>4</v>
      </c>
      <c r="AB18" s="119" t="s">
        <v>4</v>
      </c>
      <c r="AC18" s="119" t="s">
        <v>4</v>
      </c>
      <c r="AD18" s="119" t="s">
        <v>4</v>
      </c>
      <c r="AE18" s="119" t="s">
        <v>4</v>
      </c>
      <c r="AF18" s="119" t="s">
        <v>4</v>
      </c>
      <c r="AG18" s="119" t="s">
        <v>3</v>
      </c>
      <c r="AH18" s="119" t="s">
        <v>4</v>
      </c>
      <c r="AI18" s="119" t="s">
        <v>3</v>
      </c>
      <c r="AJ18" s="119" t="s">
        <v>4</v>
      </c>
      <c r="AK18" s="119" t="s">
        <v>4</v>
      </c>
      <c r="AL18" s="119" t="s">
        <v>3</v>
      </c>
      <c r="AM18" s="119" t="s">
        <v>3</v>
      </c>
      <c r="AO18" s="6" t="s">
        <v>508</v>
      </c>
      <c r="AP18" s="6"/>
      <c r="AQ18" s="6">
        <f>PRODUCT('Data Training 2'!AW26,'Data Training 2'!AX32,'Data Training 2'!AX38,'Data Training 2'!AX45,'Data Training 2'!AX50,'Data Training 2'!AX58,'Data Training 2'!AX64,'Data Training 2'!AX70,'Data Training 2'!AX75,'Data Training 2'!AX81,'Data Training 2'!AX87,'Data Training 2'!AX92,'Data Training 2'!AX99,'Data Training 2'!AX106,'Data Training 2'!AX110,'Data Training 2'!AX116,'Data Training 2'!AX124,'Data Training 2'!AX130,'Data Training 2'!AX136,'Data Training 2'!AX141,'Data Training 2'!AX145,'Data Training 2'!AX152,'Data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19" spans="1:79" x14ac:dyDescent="0.3">
      <c r="A19" s="119">
        <f t="shared" si="0"/>
        <v>18</v>
      </c>
      <c r="B19" s="119" t="s">
        <v>492</v>
      </c>
      <c r="C19" s="119">
        <v>3</v>
      </c>
      <c r="D19" s="119" t="s">
        <v>5</v>
      </c>
      <c r="E19" s="119" t="s">
        <v>4</v>
      </c>
      <c r="F19" s="119" t="s">
        <v>4</v>
      </c>
      <c r="G19" s="119" t="s">
        <v>5</v>
      </c>
      <c r="H19" s="119" t="s">
        <v>5</v>
      </c>
      <c r="I19" s="119" t="s">
        <v>5</v>
      </c>
      <c r="J19" s="119" t="s">
        <v>5</v>
      </c>
      <c r="K19" s="119" t="s">
        <v>2</v>
      </c>
      <c r="L19" s="119" t="s">
        <v>2</v>
      </c>
      <c r="M19" s="119" t="s">
        <v>3</v>
      </c>
      <c r="N19" s="119" t="s">
        <v>4</v>
      </c>
      <c r="O19" s="119" t="s">
        <v>2</v>
      </c>
      <c r="P19" s="119" t="s">
        <v>2</v>
      </c>
      <c r="Q19" s="119" t="s">
        <v>2</v>
      </c>
      <c r="R19" s="119" t="s">
        <v>5</v>
      </c>
      <c r="S19" s="119" t="s">
        <v>5</v>
      </c>
      <c r="T19" s="119" t="s">
        <v>3</v>
      </c>
      <c r="U19" s="119" t="s">
        <v>3</v>
      </c>
      <c r="V19" s="119" t="s">
        <v>2</v>
      </c>
      <c r="W19" s="119" t="s">
        <v>4</v>
      </c>
      <c r="X19" s="119" t="s">
        <v>5</v>
      </c>
      <c r="Y19" s="119" t="s">
        <v>3</v>
      </c>
      <c r="Z19" s="119" t="s">
        <v>3</v>
      </c>
      <c r="AA19" s="119" t="s">
        <v>3</v>
      </c>
      <c r="AB19" s="119" t="s">
        <v>3</v>
      </c>
      <c r="AC19" s="119" t="s">
        <v>4</v>
      </c>
      <c r="AD19" s="119" t="s">
        <v>4</v>
      </c>
      <c r="AE19" s="119" t="s">
        <v>4</v>
      </c>
      <c r="AF19" s="119" t="s">
        <v>4</v>
      </c>
      <c r="AG19" s="119" t="s">
        <v>3</v>
      </c>
      <c r="AH19" s="119" t="s">
        <v>4</v>
      </c>
      <c r="AI19" s="119" t="s">
        <v>4</v>
      </c>
      <c r="AJ19" s="119" t="s">
        <v>4</v>
      </c>
      <c r="AK19" s="119" t="s">
        <v>4</v>
      </c>
      <c r="AL19" s="119" t="s">
        <v>4</v>
      </c>
      <c r="AM19" s="119" t="s">
        <v>3</v>
      </c>
      <c r="AO19" s="6" t="s">
        <v>509</v>
      </c>
      <c r="AP19" s="6"/>
      <c r="AQ19" s="6">
        <f>PRODUCT('Data Training 2'!AW27,'Data Training 2'!AY32,'Data Training 2'!AY38,'Data Training 2'!AY45,'Data Training 2'!AY50,'Data Training 2'!AY58,'Data Training 2'!AY64,'Data Training 2'!AY70,'Data Training 2'!AY75,'Data Training 2'!AY81,'Data Training 2'!AY87,'Data Training 2'!AY92,'Data Training 2'!AY99,'Data Training 2'!AY106,'Data Training 2'!AY110,'Data Training 2'!AY116,'Data Training 2'!AY124,'Data Training 2'!AY130,'Data Training 2'!AY136,'Data Training 2'!AY141,'Data Training 2'!AY145,'Data Training 2'!AY152,'Data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20" spans="1:79" x14ac:dyDescent="0.3">
      <c r="A20" s="119">
        <f t="shared" si="0"/>
        <v>19</v>
      </c>
      <c r="B20" s="119" t="s">
        <v>321</v>
      </c>
      <c r="C20" s="119">
        <v>4</v>
      </c>
      <c r="D20" s="119" t="s">
        <v>3</v>
      </c>
      <c r="E20" s="119" t="s">
        <v>3</v>
      </c>
      <c r="F20" s="119" t="s">
        <v>3</v>
      </c>
      <c r="G20" s="119" t="s">
        <v>5</v>
      </c>
      <c r="H20" s="119" t="s">
        <v>5</v>
      </c>
      <c r="I20" s="119" t="s">
        <v>5</v>
      </c>
      <c r="J20" s="119" t="s">
        <v>5</v>
      </c>
      <c r="K20" s="119" t="s">
        <v>2</v>
      </c>
      <c r="L20" s="119" t="s">
        <v>2</v>
      </c>
      <c r="M20" s="119" t="s">
        <v>3</v>
      </c>
      <c r="N20" s="119" t="s">
        <v>4</v>
      </c>
      <c r="O20" s="119" t="s">
        <v>5</v>
      </c>
      <c r="P20" s="119" t="s">
        <v>5</v>
      </c>
      <c r="Q20" s="119" t="s">
        <v>3</v>
      </c>
      <c r="R20" s="119" t="s">
        <v>2</v>
      </c>
      <c r="S20" s="119" t="s">
        <v>5</v>
      </c>
      <c r="T20" s="119" t="s">
        <v>5</v>
      </c>
      <c r="U20" s="119" t="s">
        <v>5</v>
      </c>
      <c r="V20" s="119" t="s">
        <v>4</v>
      </c>
      <c r="W20" s="119" t="s">
        <v>4</v>
      </c>
      <c r="X20" s="119" t="s">
        <v>4</v>
      </c>
      <c r="Y20" s="119" t="s">
        <v>2</v>
      </c>
      <c r="Z20" s="119" t="s">
        <v>3</v>
      </c>
      <c r="AA20" s="119" t="s">
        <v>4</v>
      </c>
      <c r="AB20" s="119" t="s">
        <v>4</v>
      </c>
      <c r="AC20" s="119" t="s">
        <v>4</v>
      </c>
      <c r="AD20" s="119" t="s">
        <v>4</v>
      </c>
      <c r="AE20" s="119" t="s">
        <v>4</v>
      </c>
      <c r="AF20" s="119" t="s">
        <v>3</v>
      </c>
      <c r="AG20" s="119" t="s">
        <v>3</v>
      </c>
      <c r="AH20" s="119" t="s">
        <v>4</v>
      </c>
      <c r="AI20" s="119" t="s">
        <v>3</v>
      </c>
      <c r="AJ20" s="119" t="s">
        <v>3</v>
      </c>
      <c r="AK20" s="119" t="s">
        <v>4</v>
      </c>
      <c r="AL20" s="119" t="s">
        <v>4</v>
      </c>
      <c r="AM20" s="119" t="s">
        <v>3</v>
      </c>
      <c r="AO20" s="78" t="s">
        <v>437</v>
      </c>
      <c r="AP20" s="78"/>
      <c r="AQ20" s="6" t="s">
        <v>285</v>
      </c>
      <c r="AR20" s="83" t="s">
        <v>438</v>
      </c>
      <c r="AS20" s="83"/>
      <c r="AT20" s="83"/>
    </row>
    <row r="21" spans="1:79" x14ac:dyDescent="0.3">
      <c r="A21" s="119">
        <f t="shared" si="0"/>
        <v>20</v>
      </c>
      <c r="B21" s="119" t="s">
        <v>322</v>
      </c>
      <c r="C21" s="119">
        <v>4</v>
      </c>
      <c r="D21" s="119" t="s">
        <v>5</v>
      </c>
      <c r="E21" s="119" t="s">
        <v>5</v>
      </c>
      <c r="F21" s="119" t="s">
        <v>2</v>
      </c>
      <c r="G21" s="119" t="s">
        <v>5</v>
      </c>
      <c r="H21" s="119" t="s">
        <v>5</v>
      </c>
      <c r="I21" s="119" t="s">
        <v>5</v>
      </c>
      <c r="J21" s="119" t="s">
        <v>5</v>
      </c>
      <c r="K21" s="119" t="s">
        <v>2</v>
      </c>
      <c r="L21" s="119" t="s">
        <v>2</v>
      </c>
      <c r="M21" s="119" t="s">
        <v>2</v>
      </c>
      <c r="N21" s="119" t="s">
        <v>3</v>
      </c>
      <c r="O21" s="119" t="s">
        <v>5</v>
      </c>
      <c r="P21" s="119" t="s">
        <v>5</v>
      </c>
      <c r="Q21" s="119" t="s">
        <v>2</v>
      </c>
      <c r="R21" s="119" t="s">
        <v>2</v>
      </c>
      <c r="S21" s="119" t="s">
        <v>5</v>
      </c>
      <c r="T21" s="119" t="s">
        <v>5</v>
      </c>
      <c r="U21" s="119" t="s">
        <v>5</v>
      </c>
      <c r="V21" s="119" t="s">
        <v>5</v>
      </c>
      <c r="W21" s="119" t="s">
        <v>3</v>
      </c>
      <c r="X21" s="119" t="s">
        <v>3</v>
      </c>
      <c r="Y21" s="119" t="s">
        <v>2</v>
      </c>
      <c r="Z21" s="119" t="s">
        <v>3</v>
      </c>
      <c r="AA21" s="119" t="s">
        <v>4</v>
      </c>
      <c r="AB21" s="119" t="s">
        <v>4</v>
      </c>
      <c r="AC21" s="119" t="s">
        <v>4</v>
      </c>
      <c r="AD21" s="119" t="s">
        <v>4</v>
      </c>
      <c r="AE21" s="119" t="s">
        <v>4</v>
      </c>
      <c r="AF21" s="119" t="s">
        <v>3</v>
      </c>
      <c r="AG21" s="119" t="s">
        <v>3</v>
      </c>
      <c r="AH21" s="119" t="s">
        <v>4</v>
      </c>
      <c r="AI21" s="119" t="s">
        <v>3</v>
      </c>
      <c r="AJ21" s="119" t="s">
        <v>3</v>
      </c>
      <c r="AK21" s="119" t="s">
        <v>4</v>
      </c>
      <c r="AL21" s="119" t="s">
        <v>3</v>
      </c>
      <c r="AM21" s="119" t="s">
        <v>3</v>
      </c>
      <c r="AP21" s="3"/>
    </row>
    <row r="22" spans="1:79" x14ac:dyDescent="0.3">
      <c r="A22" s="119">
        <f t="shared" si="0"/>
        <v>21</v>
      </c>
      <c r="B22" s="119" t="s">
        <v>323</v>
      </c>
      <c r="C22" s="119">
        <v>4</v>
      </c>
      <c r="D22" s="119" t="s">
        <v>5</v>
      </c>
      <c r="E22" s="119" t="s">
        <v>3</v>
      </c>
      <c r="F22" s="119" t="s">
        <v>2</v>
      </c>
      <c r="G22" s="119" t="s">
        <v>5</v>
      </c>
      <c r="H22" s="119" t="s">
        <v>5</v>
      </c>
      <c r="I22" s="119" t="s">
        <v>5</v>
      </c>
      <c r="J22" s="119" t="s">
        <v>2</v>
      </c>
      <c r="K22" s="119" t="s">
        <v>2</v>
      </c>
      <c r="L22" s="119" t="s">
        <v>3</v>
      </c>
      <c r="M22" s="119" t="s">
        <v>3</v>
      </c>
      <c r="N22" s="119" t="s">
        <v>3</v>
      </c>
      <c r="O22" s="119" t="s">
        <v>3</v>
      </c>
      <c r="P22" s="119" t="s">
        <v>2</v>
      </c>
      <c r="Q22" s="119" t="s">
        <v>2</v>
      </c>
      <c r="R22" s="119" t="s">
        <v>2</v>
      </c>
      <c r="S22" s="119" t="s">
        <v>5</v>
      </c>
      <c r="T22" s="119" t="s">
        <v>2</v>
      </c>
      <c r="U22" s="119" t="s">
        <v>2</v>
      </c>
      <c r="V22" s="119" t="s">
        <v>5</v>
      </c>
      <c r="W22" s="119" t="s">
        <v>3</v>
      </c>
      <c r="X22" s="119" t="s">
        <v>2</v>
      </c>
      <c r="Y22" s="119" t="s">
        <v>2</v>
      </c>
      <c r="Z22" s="119" t="s">
        <v>3</v>
      </c>
      <c r="AA22" s="119" t="s">
        <v>4</v>
      </c>
      <c r="AB22" s="119" t="s">
        <v>4</v>
      </c>
      <c r="AC22" s="119" t="s">
        <v>4</v>
      </c>
      <c r="AD22" s="119" t="s">
        <v>4</v>
      </c>
      <c r="AE22" s="119" t="s">
        <v>4</v>
      </c>
      <c r="AF22" s="119" t="s">
        <v>3</v>
      </c>
      <c r="AG22" s="119" t="s">
        <v>3</v>
      </c>
      <c r="AH22" s="119" t="s">
        <v>4</v>
      </c>
      <c r="AI22" s="119" t="s">
        <v>3</v>
      </c>
      <c r="AJ22" s="119" t="s">
        <v>4</v>
      </c>
      <c r="AK22" s="119" t="s">
        <v>4</v>
      </c>
      <c r="AL22" s="119" t="s">
        <v>4</v>
      </c>
      <c r="AM22" s="119" t="s">
        <v>3</v>
      </c>
      <c r="AN22">
        <v>3</v>
      </c>
      <c r="AO22" s="82" t="s">
        <v>258</v>
      </c>
      <c r="AP22" s="82"/>
      <c r="AQ22" s="7" t="s">
        <v>64</v>
      </c>
      <c r="AR22" s="49" t="s">
        <v>43</v>
      </c>
      <c r="AS22" s="49" t="s">
        <v>44</v>
      </c>
      <c r="AT22" s="49" t="s">
        <v>45</v>
      </c>
      <c r="AU22" s="49" t="s">
        <v>46</v>
      </c>
      <c r="AV22" s="49" t="s">
        <v>47</v>
      </c>
      <c r="AW22" s="49" t="s">
        <v>48</v>
      </c>
      <c r="AX22" s="49" t="s">
        <v>49</v>
      </c>
      <c r="AY22" s="49" t="s">
        <v>50</v>
      </c>
      <c r="AZ22" s="49" t="s">
        <v>51</v>
      </c>
      <c r="BA22" s="49" t="s">
        <v>52</v>
      </c>
      <c r="BB22" s="49" t="s">
        <v>53</v>
      </c>
      <c r="BC22" s="49" t="s">
        <v>54</v>
      </c>
      <c r="BD22" s="49" t="s">
        <v>55</v>
      </c>
      <c r="BE22" s="49" t="s">
        <v>56</v>
      </c>
      <c r="BF22" s="49" t="s">
        <v>57</v>
      </c>
      <c r="BG22" s="49" t="s">
        <v>58</v>
      </c>
      <c r="BH22" s="49" t="s">
        <v>59</v>
      </c>
      <c r="BI22" s="49" t="s">
        <v>60</v>
      </c>
      <c r="BJ22" s="49" t="s">
        <v>61</v>
      </c>
      <c r="BK22" s="49" t="s">
        <v>62</v>
      </c>
      <c r="BL22" s="49" t="s">
        <v>63</v>
      </c>
      <c r="BM22" s="49" t="s">
        <v>330</v>
      </c>
      <c r="BN22" s="49" t="s">
        <v>331</v>
      </c>
      <c r="BO22" s="49" t="s">
        <v>332</v>
      </c>
      <c r="BP22" s="49" t="s">
        <v>333</v>
      </c>
      <c r="BQ22" s="49" t="s">
        <v>334</v>
      </c>
      <c r="BR22" s="49" t="s">
        <v>335</v>
      </c>
      <c r="BS22" s="49" t="s">
        <v>336</v>
      </c>
      <c r="BT22" s="49" t="s">
        <v>337</v>
      </c>
      <c r="BU22" s="49" t="s">
        <v>338</v>
      </c>
      <c r="BV22" s="49" t="s">
        <v>339</v>
      </c>
      <c r="BW22" s="49" t="s">
        <v>340</v>
      </c>
      <c r="BX22" s="49" t="s">
        <v>341</v>
      </c>
      <c r="BY22" s="49" t="s">
        <v>342</v>
      </c>
      <c r="BZ22" s="49" t="s">
        <v>343</v>
      </c>
      <c r="CA22" s="49" t="s">
        <v>390</v>
      </c>
    </row>
    <row r="23" spans="1:79" x14ac:dyDescent="0.3">
      <c r="A23" s="119">
        <f t="shared" si="0"/>
        <v>22</v>
      </c>
      <c r="B23" s="119" t="s">
        <v>471</v>
      </c>
      <c r="C23" s="119">
        <v>4</v>
      </c>
      <c r="D23" s="119" t="s">
        <v>5</v>
      </c>
      <c r="E23" s="119" t="s">
        <v>5</v>
      </c>
      <c r="F23" s="119" t="s">
        <v>2</v>
      </c>
      <c r="G23" s="119" t="s">
        <v>5</v>
      </c>
      <c r="H23" s="119" t="s">
        <v>5</v>
      </c>
      <c r="I23" s="119" t="s">
        <v>5</v>
      </c>
      <c r="J23" s="119" t="s">
        <v>5</v>
      </c>
      <c r="K23" s="119" t="s">
        <v>2</v>
      </c>
      <c r="L23" s="119" t="s">
        <v>3</v>
      </c>
      <c r="M23" s="119" t="s">
        <v>4</v>
      </c>
      <c r="N23" s="119" t="s">
        <v>4</v>
      </c>
      <c r="O23" s="119" t="s">
        <v>3</v>
      </c>
      <c r="P23" s="119" t="s">
        <v>2</v>
      </c>
      <c r="Q23" s="119" t="s">
        <v>2</v>
      </c>
      <c r="R23" s="119" t="s">
        <v>3</v>
      </c>
      <c r="S23" s="119" t="s">
        <v>5</v>
      </c>
      <c r="T23" s="119" t="s">
        <v>3</v>
      </c>
      <c r="U23" s="119" t="s">
        <v>2</v>
      </c>
      <c r="V23" s="119" t="s">
        <v>5</v>
      </c>
      <c r="W23" s="119" t="s">
        <v>3</v>
      </c>
      <c r="X23" s="119" t="s">
        <v>4</v>
      </c>
      <c r="Y23" s="119" t="s">
        <v>4</v>
      </c>
      <c r="Z23" s="119" t="s">
        <v>3</v>
      </c>
      <c r="AA23" s="119" t="s">
        <v>4</v>
      </c>
      <c r="AB23" s="119" t="s">
        <v>4</v>
      </c>
      <c r="AC23" s="119" t="s">
        <v>4</v>
      </c>
      <c r="AD23" s="119" t="s">
        <v>4</v>
      </c>
      <c r="AE23" s="119" t="s">
        <v>4</v>
      </c>
      <c r="AF23" s="119" t="s">
        <v>4</v>
      </c>
      <c r="AG23" s="119" t="s">
        <v>3</v>
      </c>
      <c r="AH23" s="119" t="s">
        <v>3</v>
      </c>
      <c r="AI23" s="119" t="s">
        <v>3</v>
      </c>
      <c r="AJ23" s="119" t="s">
        <v>4</v>
      </c>
      <c r="AK23" s="119" t="s">
        <v>4</v>
      </c>
      <c r="AL23" s="119" t="s">
        <v>3</v>
      </c>
      <c r="AM23" s="119" t="s">
        <v>3</v>
      </c>
      <c r="AO23" s="82"/>
      <c r="AP23" s="82"/>
      <c r="AQ23" s="7">
        <v>1</v>
      </c>
      <c r="AR23" s="119" t="s">
        <v>3</v>
      </c>
      <c r="AS23" s="119" t="s">
        <v>5</v>
      </c>
      <c r="AT23" s="119" t="s">
        <v>2</v>
      </c>
      <c r="AU23" s="119" t="s">
        <v>5</v>
      </c>
      <c r="AV23" s="119" t="s">
        <v>5</v>
      </c>
      <c r="AW23" s="119" t="s">
        <v>5</v>
      </c>
      <c r="AX23" s="119" t="s">
        <v>5</v>
      </c>
      <c r="AY23" s="119" t="s">
        <v>2</v>
      </c>
      <c r="AZ23" s="119" t="s">
        <v>3</v>
      </c>
      <c r="BA23" s="119" t="s">
        <v>3</v>
      </c>
      <c r="BB23" s="119" t="s">
        <v>2</v>
      </c>
      <c r="BC23" s="119" t="s">
        <v>4</v>
      </c>
      <c r="BD23" s="119" t="s">
        <v>2</v>
      </c>
      <c r="BE23" s="119" t="s">
        <v>3</v>
      </c>
      <c r="BF23" s="119" t="s">
        <v>4</v>
      </c>
      <c r="BG23" s="119" t="s">
        <v>2</v>
      </c>
      <c r="BH23" s="119" t="s">
        <v>2</v>
      </c>
      <c r="BI23" s="119" t="s">
        <v>2</v>
      </c>
      <c r="BJ23" s="119" t="s">
        <v>5</v>
      </c>
      <c r="BK23" s="119" t="s">
        <v>4</v>
      </c>
      <c r="BL23" s="119" t="s">
        <v>4</v>
      </c>
      <c r="BM23" s="119" t="s">
        <v>2</v>
      </c>
      <c r="BN23" s="119" t="s">
        <v>3</v>
      </c>
      <c r="BO23" s="119" t="s">
        <v>4</v>
      </c>
      <c r="BP23" s="119" t="s">
        <v>4</v>
      </c>
      <c r="BQ23" s="119" t="s">
        <v>4</v>
      </c>
      <c r="BR23" s="119" t="s">
        <v>4</v>
      </c>
      <c r="BS23" s="119" t="s">
        <v>4</v>
      </c>
      <c r="BT23" s="119" t="s">
        <v>4</v>
      </c>
      <c r="BU23" s="119" t="s">
        <v>3</v>
      </c>
      <c r="BV23" s="119" t="s">
        <v>4</v>
      </c>
      <c r="BW23" s="119" t="s">
        <v>3</v>
      </c>
      <c r="BX23" s="119" t="s">
        <v>4</v>
      </c>
      <c r="BY23" s="119" t="s">
        <v>4</v>
      </c>
      <c r="BZ23" s="119" t="s">
        <v>4</v>
      </c>
      <c r="CA23" s="119" t="s">
        <v>3</v>
      </c>
    </row>
    <row r="24" spans="1:79" x14ac:dyDescent="0.3">
      <c r="A24" s="119">
        <f t="shared" si="0"/>
        <v>23</v>
      </c>
      <c r="B24" s="119" t="s">
        <v>472</v>
      </c>
      <c r="C24" s="119">
        <v>4</v>
      </c>
      <c r="D24" s="119" t="s">
        <v>2</v>
      </c>
      <c r="E24" s="119" t="s">
        <v>5</v>
      </c>
      <c r="F24" s="119" t="s">
        <v>2</v>
      </c>
      <c r="G24" s="119" t="s">
        <v>5</v>
      </c>
      <c r="H24" s="119" t="s">
        <v>5</v>
      </c>
      <c r="I24" s="119" t="s">
        <v>5</v>
      </c>
      <c r="J24" s="119" t="s">
        <v>5</v>
      </c>
      <c r="K24" s="119" t="s">
        <v>2</v>
      </c>
      <c r="L24" s="119" t="s">
        <v>2</v>
      </c>
      <c r="M24" s="119" t="s">
        <v>2</v>
      </c>
      <c r="N24" s="119" t="s">
        <v>5</v>
      </c>
      <c r="O24" s="119" t="s">
        <v>4</v>
      </c>
      <c r="P24" s="119" t="s">
        <v>5</v>
      </c>
      <c r="Q24" s="119" t="s">
        <v>2</v>
      </c>
      <c r="R24" s="119" t="s">
        <v>4</v>
      </c>
      <c r="S24" s="119" t="s">
        <v>5</v>
      </c>
      <c r="T24" s="119" t="s">
        <v>5</v>
      </c>
      <c r="U24" s="119" t="s">
        <v>5</v>
      </c>
      <c r="V24" s="119" t="s">
        <v>4</v>
      </c>
      <c r="W24" s="119" t="s">
        <v>3</v>
      </c>
      <c r="X24" s="119" t="s">
        <v>4</v>
      </c>
      <c r="Y24" s="119" t="s">
        <v>4</v>
      </c>
      <c r="Z24" s="119" t="s">
        <v>3</v>
      </c>
      <c r="AA24" s="119" t="s">
        <v>4</v>
      </c>
      <c r="AB24" s="119" t="s">
        <v>4</v>
      </c>
      <c r="AC24" s="119" t="s">
        <v>4</v>
      </c>
      <c r="AD24" s="119" t="s">
        <v>4</v>
      </c>
      <c r="AE24" s="119" t="s">
        <v>4</v>
      </c>
      <c r="AF24" s="119" t="s">
        <v>4</v>
      </c>
      <c r="AG24" s="119" t="s">
        <v>3</v>
      </c>
      <c r="AH24" s="119" t="s">
        <v>4</v>
      </c>
      <c r="AI24" s="119" t="s">
        <v>3</v>
      </c>
      <c r="AJ24" s="119" t="s">
        <v>4</v>
      </c>
      <c r="AK24" s="119" t="s">
        <v>4</v>
      </c>
      <c r="AL24" s="119" t="s">
        <v>3</v>
      </c>
      <c r="AM24" s="119" t="s">
        <v>3</v>
      </c>
      <c r="AO24" s="80" t="s">
        <v>504</v>
      </c>
      <c r="AP24" s="80"/>
      <c r="AQ24" s="6">
        <f>PRODUCT('Data Training 2'!AW22,'Data Training 2'!AT32,'Data Training 2'!AT40,'Data Training 2'!AT45,'Data Training 2'!AT52,'Data Training 2'!AT58,'Data Training 2'!AT64,'Data Training 2'!AT70,'Data Training 2'!AT75,'Data Training 2'!AT80,'Data Training 2'!AT86,'Data Training 2'!AT93,'Data Training 2'!AT97,'Data Training 2'!AT105,'Data Training 2'!AT110,'Data Training 2'!AT115,'Data Training 2'!AT123,'Data Training 2'!AT129,'Data Training 2'!AT135,'Data Training 2'!AT142,'Data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5.1160714502877472E-13</v>
      </c>
    </row>
    <row r="25" spans="1:79" x14ac:dyDescent="0.3">
      <c r="A25" s="119">
        <f t="shared" si="0"/>
        <v>24</v>
      </c>
      <c r="B25" s="119" t="s">
        <v>486</v>
      </c>
      <c r="C25" s="119">
        <v>4</v>
      </c>
      <c r="D25" s="119" t="s">
        <v>3</v>
      </c>
      <c r="E25" s="119" t="s">
        <v>5</v>
      </c>
      <c r="F25" s="119" t="s">
        <v>4</v>
      </c>
      <c r="G25" s="119" t="s">
        <v>5</v>
      </c>
      <c r="H25" s="119" t="s">
        <v>5</v>
      </c>
      <c r="I25" s="119" t="s">
        <v>5</v>
      </c>
      <c r="J25" s="119" t="s">
        <v>5</v>
      </c>
      <c r="K25" s="119" t="s">
        <v>2</v>
      </c>
      <c r="L25" s="119" t="s">
        <v>2</v>
      </c>
      <c r="M25" s="119" t="s">
        <v>4</v>
      </c>
      <c r="N25" s="119" t="s">
        <v>4</v>
      </c>
      <c r="O25" s="119" t="s">
        <v>5</v>
      </c>
      <c r="P25" s="119" t="s">
        <v>2</v>
      </c>
      <c r="Q25" s="119" t="s">
        <v>3</v>
      </c>
      <c r="R25" s="119" t="s">
        <v>5</v>
      </c>
      <c r="S25" s="119" t="s">
        <v>5</v>
      </c>
      <c r="T25" s="119" t="s">
        <v>2</v>
      </c>
      <c r="U25" s="119" t="s">
        <v>5</v>
      </c>
      <c r="V25" s="119" t="s">
        <v>5</v>
      </c>
      <c r="W25" s="119" t="s">
        <v>4</v>
      </c>
      <c r="X25" s="119" t="s">
        <v>4</v>
      </c>
      <c r="Y25" s="119" t="s">
        <v>2</v>
      </c>
      <c r="Z25" s="119" t="s">
        <v>3</v>
      </c>
      <c r="AA25" s="119" t="s">
        <v>4</v>
      </c>
      <c r="AB25" s="119" t="s">
        <v>4</v>
      </c>
      <c r="AC25" s="119" t="s">
        <v>4</v>
      </c>
      <c r="AD25" s="119" t="s">
        <v>4</v>
      </c>
      <c r="AE25" s="119" t="s">
        <v>4</v>
      </c>
      <c r="AF25" s="119" t="s">
        <v>4</v>
      </c>
      <c r="AG25" s="119" t="s">
        <v>3</v>
      </c>
      <c r="AH25" s="119" t="s">
        <v>4</v>
      </c>
      <c r="AI25" s="119" t="s">
        <v>3</v>
      </c>
      <c r="AJ25" s="119" t="s">
        <v>4</v>
      </c>
      <c r="AK25" s="119" t="s">
        <v>4</v>
      </c>
      <c r="AL25" s="119" t="s">
        <v>4</v>
      </c>
      <c r="AM25" s="119" t="s">
        <v>3</v>
      </c>
      <c r="AO25" s="6" t="s">
        <v>505</v>
      </c>
      <c r="AP25" s="50"/>
      <c r="AQ25" s="6">
        <f>PRODUCT('Data Training 2'!AW23,'Data Training 2'!AU32,'Data Training 2'!AU40,'Data Training 2'!AU45,'Data Training 2'!AU52,'Data Training 2'!AU58,'Data Training 2'!AU64,'Data Training 2'!AU70,'Data Training 2'!AU75,'Data Training 2'!AU80,'Data Training 2'!AU86,'Data Training 2'!AU93,'Data Training 2'!AU97,'Data Training 2'!AU105,'Data Training 2'!AU110,'Data Training 2'!AU115,'Data Training 2'!AU123,'Data Training 2'!AU129,'Data Training 2'!AU135,'Data Training 2'!AU142,'Data Training 2'!AU145,'Data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26" spans="1:79" x14ac:dyDescent="0.3">
      <c r="A26" s="119">
        <f t="shared" si="0"/>
        <v>25</v>
      </c>
      <c r="B26" s="119" t="s">
        <v>324</v>
      </c>
      <c r="C26" s="119">
        <v>5</v>
      </c>
      <c r="D26" s="119" t="s">
        <v>5</v>
      </c>
      <c r="E26" s="119" t="s">
        <v>3</v>
      </c>
      <c r="F26" s="119" t="s">
        <v>3</v>
      </c>
      <c r="G26" s="119" t="s">
        <v>5</v>
      </c>
      <c r="H26" s="119" t="s">
        <v>5</v>
      </c>
      <c r="I26" s="119" t="s">
        <v>5</v>
      </c>
      <c r="J26" s="119" t="s">
        <v>5</v>
      </c>
      <c r="K26" s="119" t="s">
        <v>2</v>
      </c>
      <c r="L26" s="119" t="s">
        <v>2</v>
      </c>
      <c r="M26" s="119" t="s">
        <v>5</v>
      </c>
      <c r="N26" s="119" t="s">
        <v>3</v>
      </c>
      <c r="O26" s="119" t="s">
        <v>2</v>
      </c>
      <c r="P26" s="119" t="s">
        <v>5</v>
      </c>
      <c r="Q26" s="119" t="s">
        <v>2</v>
      </c>
      <c r="R26" s="119" t="s">
        <v>3</v>
      </c>
      <c r="S26" s="119" t="s">
        <v>5</v>
      </c>
      <c r="T26" s="119" t="s">
        <v>5</v>
      </c>
      <c r="U26" s="119" t="s">
        <v>5</v>
      </c>
      <c r="V26" s="119" t="s">
        <v>5</v>
      </c>
      <c r="W26" s="119" t="s">
        <v>3</v>
      </c>
      <c r="X26" s="119" t="s">
        <v>4</v>
      </c>
      <c r="Y26" s="119" t="s">
        <v>2</v>
      </c>
      <c r="Z26" s="119" t="s">
        <v>3</v>
      </c>
      <c r="AA26" s="119" t="s">
        <v>4</v>
      </c>
      <c r="AB26" s="119" t="s">
        <v>4</v>
      </c>
      <c r="AC26" s="119" t="s">
        <v>4</v>
      </c>
      <c r="AD26" s="119" t="s">
        <v>4</v>
      </c>
      <c r="AE26" s="119" t="s">
        <v>4</v>
      </c>
      <c r="AF26" s="119" t="s">
        <v>4</v>
      </c>
      <c r="AG26" s="119" t="s">
        <v>3</v>
      </c>
      <c r="AH26" s="119" t="s">
        <v>4</v>
      </c>
      <c r="AI26" s="119" t="s">
        <v>3</v>
      </c>
      <c r="AJ26" s="119" t="s">
        <v>4</v>
      </c>
      <c r="AK26" s="119" t="s">
        <v>4</v>
      </c>
      <c r="AL26" s="119" t="s">
        <v>4</v>
      </c>
      <c r="AM26" s="119" t="s">
        <v>3</v>
      </c>
      <c r="AO26" s="6" t="s">
        <v>506</v>
      </c>
      <c r="AP26" s="6"/>
      <c r="AQ26" s="6">
        <f>PRODUCT('Data Training 2'!AW24,'Data Training 2'!AV32,'Data Training 2'!AV40,'Data Training 2'!AV45,'Data Training 2'!AV52,'Data Training 2'!AV58,'Data Training 2'!AV64,'Data Training 2'!AV70,'Data Training 2'!AV75,'Data Training 2'!AV80,'Data Training 2'!AV86,'Data Training 2'!AV93,'Data Training 2'!AV97,'Data Training 2'!AV105,'Data Training 2'!AV110,'Data Training 2'!AV115,'Data Training 2'!AV123,'Data Training 2'!AV129,'Data Training 2'!AV135,'Data Training 2'!AV142,'Data Training 2'!AV145,'Data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27" spans="1:79" x14ac:dyDescent="0.3">
      <c r="A27" s="119">
        <f t="shared" si="0"/>
        <v>26</v>
      </c>
      <c r="B27" s="119" t="s">
        <v>325</v>
      </c>
      <c r="C27" s="119">
        <v>5</v>
      </c>
      <c r="D27" s="119" t="s">
        <v>5</v>
      </c>
      <c r="E27" s="119" t="s">
        <v>3</v>
      </c>
      <c r="F27" s="119" t="s">
        <v>5</v>
      </c>
      <c r="G27" s="119" t="s">
        <v>5</v>
      </c>
      <c r="H27" s="119" t="s">
        <v>5</v>
      </c>
      <c r="I27" s="119" t="s">
        <v>5</v>
      </c>
      <c r="J27" s="119" t="s">
        <v>5</v>
      </c>
      <c r="K27" s="119" t="s">
        <v>2</v>
      </c>
      <c r="L27" s="119" t="s">
        <v>2</v>
      </c>
      <c r="M27" s="119" t="s">
        <v>4</v>
      </c>
      <c r="N27" s="119" t="s">
        <v>4</v>
      </c>
      <c r="O27" s="119" t="s">
        <v>3</v>
      </c>
      <c r="P27" s="119" t="s">
        <v>5</v>
      </c>
      <c r="Q27" s="119" t="s">
        <v>2</v>
      </c>
      <c r="R27" s="119" t="s">
        <v>5</v>
      </c>
      <c r="S27" s="119" t="s">
        <v>2</v>
      </c>
      <c r="T27" s="119" t="s">
        <v>2</v>
      </c>
      <c r="U27" s="119" t="s">
        <v>5</v>
      </c>
      <c r="V27" s="119" t="s">
        <v>4</v>
      </c>
      <c r="W27" s="119" t="s">
        <v>3</v>
      </c>
      <c r="X27" s="119" t="s">
        <v>3</v>
      </c>
      <c r="Y27" s="119" t="s">
        <v>4</v>
      </c>
      <c r="Z27" s="119" t="s">
        <v>3</v>
      </c>
      <c r="AA27" s="119" t="s">
        <v>4</v>
      </c>
      <c r="AB27" s="119" t="s">
        <v>4</v>
      </c>
      <c r="AC27" s="119" t="s">
        <v>4</v>
      </c>
      <c r="AD27" s="119" t="s">
        <v>4</v>
      </c>
      <c r="AE27" s="119" t="s">
        <v>4</v>
      </c>
      <c r="AF27" s="119" t="s">
        <v>3</v>
      </c>
      <c r="AG27" s="119" t="s">
        <v>3</v>
      </c>
      <c r="AH27" s="119" t="s">
        <v>4</v>
      </c>
      <c r="AI27" s="119" t="s">
        <v>3</v>
      </c>
      <c r="AJ27" s="119" t="s">
        <v>4</v>
      </c>
      <c r="AK27" s="119" t="s">
        <v>4</v>
      </c>
      <c r="AL27" s="119" t="s">
        <v>4</v>
      </c>
      <c r="AM27" s="119" t="s">
        <v>3</v>
      </c>
      <c r="AO27" s="6" t="s">
        <v>507</v>
      </c>
      <c r="AP27" s="50"/>
      <c r="AQ27" s="6">
        <f>PRODUCT('Data Training 2'!AW25,'Data Training 2'!AW32,'Data Training 2'!AW40,'Data Training 2'!AW45,'Data Training 2'!AW52,'Data Training 2'!AW58,'Data Training 2'!AW64,'Data Training 2'!AW70,'Data Training 2'!AW75,'Data Training 2'!AW80,'Data Training 2'!AW86,'Data Training 2'!AW93,'Data Training 2'!AW97,'Data Training 2'!AW105,'Data Training 2'!AW110,'Data Training 2'!AW115,'Data Training 2'!AW123,'Data Training 2'!AW129,'Data Training 2'!AW135,'Data Training 2'!AW142,'Data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28" spans="1:79" x14ac:dyDescent="0.3">
      <c r="A28" s="119">
        <f t="shared" si="0"/>
        <v>27</v>
      </c>
      <c r="B28" s="119" t="s">
        <v>326</v>
      </c>
      <c r="C28" s="119">
        <v>5</v>
      </c>
      <c r="D28" s="119" t="s">
        <v>5</v>
      </c>
      <c r="E28" s="119" t="s">
        <v>5</v>
      </c>
      <c r="F28" s="119" t="s">
        <v>2</v>
      </c>
      <c r="G28" s="119" t="s">
        <v>5</v>
      </c>
      <c r="H28" s="119" t="s">
        <v>5</v>
      </c>
      <c r="I28" s="119" t="s">
        <v>3</v>
      </c>
      <c r="J28" s="119" t="s">
        <v>5</v>
      </c>
      <c r="K28" s="119" t="s">
        <v>2</v>
      </c>
      <c r="L28" s="119" t="s">
        <v>2</v>
      </c>
      <c r="M28" s="119" t="s">
        <v>2</v>
      </c>
      <c r="N28" s="119" t="s">
        <v>2</v>
      </c>
      <c r="O28" s="119" t="s">
        <v>2</v>
      </c>
      <c r="P28" s="119" t="s">
        <v>2</v>
      </c>
      <c r="Q28" s="119" t="s">
        <v>3</v>
      </c>
      <c r="R28" s="119" t="s">
        <v>3</v>
      </c>
      <c r="S28" s="119" t="s">
        <v>5</v>
      </c>
      <c r="T28" s="119" t="s">
        <v>5</v>
      </c>
      <c r="U28" s="119" t="s">
        <v>5</v>
      </c>
      <c r="V28" s="119" t="s">
        <v>5</v>
      </c>
      <c r="W28" s="119" t="s">
        <v>3</v>
      </c>
      <c r="X28" s="119" t="s">
        <v>3</v>
      </c>
      <c r="Y28" s="119" t="s">
        <v>2</v>
      </c>
      <c r="Z28" s="119" t="s">
        <v>3</v>
      </c>
      <c r="AA28" s="119" t="s">
        <v>4</v>
      </c>
      <c r="AB28" s="119" t="s">
        <v>4</v>
      </c>
      <c r="AC28" s="119" t="s">
        <v>4</v>
      </c>
      <c r="AD28" s="119" t="s">
        <v>4</v>
      </c>
      <c r="AE28" s="119" t="s">
        <v>4</v>
      </c>
      <c r="AF28" s="119" t="s">
        <v>3</v>
      </c>
      <c r="AG28" s="119" t="s">
        <v>3</v>
      </c>
      <c r="AH28" s="119" t="s">
        <v>4</v>
      </c>
      <c r="AI28" s="119" t="s">
        <v>3</v>
      </c>
      <c r="AJ28" s="119" t="s">
        <v>3</v>
      </c>
      <c r="AK28" s="119" t="s">
        <v>4</v>
      </c>
      <c r="AL28" s="119" t="s">
        <v>3</v>
      </c>
      <c r="AM28" s="119" t="s">
        <v>3</v>
      </c>
      <c r="AO28" s="6" t="s">
        <v>508</v>
      </c>
      <c r="AP28" s="6"/>
      <c r="AQ28" s="6">
        <f>PRODUCT('Data Training 2'!AW26,'Data Training 2'!AX32,'Data Training 2'!AX40,'Data Training 2'!AX45,'Data Training 2'!AX52,'Data Training 2'!AX58,'Data Training 2'!AX64,'Data Training 2'!AX70,'Data Training 2'!AX75,'Data Training 2'!AX80,'Data Training 2'!AX86,'Data Training 2'!AX93,'Data Training 2'!AX97,'Data Training 2'!AX105,'Data Training 2'!AX110,'Data Training 2'!AX115,'Data Training 2'!AX123,'Data Training 2'!AX129,'Data Training 2'!AX135,'Data Training 2'!AX142,'Data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29" spans="1:79" x14ac:dyDescent="0.3">
      <c r="A29" s="119">
        <f t="shared" si="0"/>
        <v>28</v>
      </c>
      <c r="B29" s="119" t="s">
        <v>479</v>
      </c>
      <c r="C29" s="119">
        <v>5</v>
      </c>
      <c r="D29" s="119" t="s">
        <v>2</v>
      </c>
      <c r="E29" s="119" t="s">
        <v>3</v>
      </c>
      <c r="F29" s="119" t="s">
        <v>5</v>
      </c>
      <c r="G29" s="119" t="s">
        <v>5</v>
      </c>
      <c r="H29" s="119" t="s">
        <v>5</v>
      </c>
      <c r="I29" s="119" t="s">
        <v>5</v>
      </c>
      <c r="J29" s="119" t="s">
        <v>5</v>
      </c>
      <c r="K29" s="119" t="s">
        <v>2</v>
      </c>
      <c r="L29" s="119" t="s">
        <v>3</v>
      </c>
      <c r="M29" s="119" t="s">
        <v>3</v>
      </c>
      <c r="N29" s="119" t="s">
        <v>5</v>
      </c>
      <c r="O29" s="119" t="s">
        <v>2</v>
      </c>
      <c r="P29" s="119" t="s">
        <v>5</v>
      </c>
      <c r="Q29" s="119" t="s">
        <v>2</v>
      </c>
      <c r="R29" s="119" t="s">
        <v>2</v>
      </c>
      <c r="S29" s="119" t="s">
        <v>5</v>
      </c>
      <c r="T29" s="119" t="s">
        <v>5</v>
      </c>
      <c r="U29" s="119" t="s">
        <v>5</v>
      </c>
      <c r="V29" s="119" t="s">
        <v>3</v>
      </c>
      <c r="W29" s="119" t="s">
        <v>3</v>
      </c>
      <c r="X29" s="119" t="s">
        <v>4</v>
      </c>
      <c r="Y29" s="119" t="s">
        <v>2</v>
      </c>
      <c r="Z29" s="119" t="s">
        <v>3</v>
      </c>
      <c r="AA29" s="119" t="s">
        <v>4</v>
      </c>
      <c r="AB29" s="119" t="s">
        <v>4</v>
      </c>
      <c r="AC29" s="119" t="s">
        <v>4</v>
      </c>
      <c r="AD29" s="119" t="s">
        <v>4</v>
      </c>
      <c r="AE29" s="119" t="s">
        <v>4</v>
      </c>
      <c r="AF29" s="119" t="s">
        <v>3</v>
      </c>
      <c r="AG29" s="119" t="s">
        <v>3</v>
      </c>
      <c r="AH29" s="119" t="s">
        <v>4</v>
      </c>
      <c r="AI29" s="119" t="s">
        <v>3</v>
      </c>
      <c r="AJ29" s="119" t="s">
        <v>4</v>
      </c>
      <c r="AK29" s="119" t="s">
        <v>4</v>
      </c>
      <c r="AL29" s="119" t="s">
        <v>4</v>
      </c>
      <c r="AM29" s="119" t="s">
        <v>3</v>
      </c>
      <c r="AO29" s="28" t="s">
        <v>512</v>
      </c>
      <c r="AP29" s="57"/>
      <c r="AQ29" s="28">
        <f>PRODUCT('Data Training 2'!AW27,'Data Training 2'!AY32,'Data Training 2'!AY40,'Data Training 2'!AY45,'Data Training 2'!AY52,'Data Training 2'!AY58,'Data Training 2'!AY64,'Data Training 2'!AY70,'Data Training 2'!AY75,'Data Training 2'!AY80,'Data Training 2'!AY86,'Data Training 2'!AY93,'Data Training 2'!AY97,'Data Training 2'!AY105,'Data Training 2'!AY110,'Data Training 2'!AY115,'Data Training 2'!AY123,'Data Training 2'!AY129,'Data Training 2'!AY135,'Data Training 2'!AY142,'Data Training 2'!AY145,'Data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30" spans="1:79" x14ac:dyDescent="0.3">
      <c r="A30" s="119">
        <f t="shared" si="0"/>
        <v>29</v>
      </c>
      <c r="B30" s="119" t="s">
        <v>480</v>
      </c>
      <c r="C30" s="119">
        <v>5</v>
      </c>
      <c r="D30" s="119" t="s">
        <v>2</v>
      </c>
      <c r="E30" s="119" t="s">
        <v>3</v>
      </c>
      <c r="F30" s="119" t="s">
        <v>4</v>
      </c>
      <c r="G30" s="119" t="s">
        <v>5</v>
      </c>
      <c r="H30" s="119" t="s">
        <v>5</v>
      </c>
      <c r="I30" s="119" t="s">
        <v>3</v>
      </c>
      <c r="J30" s="119" t="s">
        <v>5</v>
      </c>
      <c r="K30" s="119" t="s">
        <v>2</v>
      </c>
      <c r="L30" s="119" t="s">
        <v>3</v>
      </c>
      <c r="M30" s="119" t="s">
        <v>2</v>
      </c>
      <c r="N30" s="119" t="s">
        <v>2</v>
      </c>
      <c r="O30" s="119" t="s">
        <v>5</v>
      </c>
      <c r="P30" s="119" t="s">
        <v>5</v>
      </c>
      <c r="Q30" s="119" t="s">
        <v>2</v>
      </c>
      <c r="R30" s="119" t="s">
        <v>5</v>
      </c>
      <c r="S30" s="119" t="s">
        <v>5</v>
      </c>
      <c r="T30" s="119" t="s">
        <v>3</v>
      </c>
      <c r="U30" s="119" t="s">
        <v>5</v>
      </c>
      <c r="V30" s="119" t="s">
        <v>2</v>
      </c>
      <c r="W30" s="119" t="s">
        <v>4</v>
      </c>
      <c r="X30" s="119" t="s">
        <v>4</v>
      </c>
      <c r="Y30" s="119" t="s">
        <v>2</v>
      </c>
      <c r="Z30" s="119" t="s">
        <v>3</v>
      </c>
      <c r="AA30" s="119" t="s">
        <v>4</v>
      </c>
      <c r="AB30" s="119" t="s">
        <v>4</v>
      </c>
      <c r="AC30" s="119" t="s">
        <v>4</v>
      </c>
      <c r="AD30" s="119" t="s">
        <v>4</v>
      </c>
      <c r="AE30" s="119" t="s">
        <v>4</v>
      </c>
      <c r="AF30" s="119" t="s">
        <v>4</v>
      </c>
      <c r="AG30" s="119" t="s">
        <v>3</v>
      </c>
      <c r="AH30" s="119" t="s">
        <v>4</v>
      </c>
      <c r="AI30" s="119" t="s">
        <v>3</v>
      </c>
      <c r="AJ30" s="119" t="s">
        <v>4</v>
      </c>
      <c r="AK30" s="119" t="s">
        <v>4</v>
      </c>
      <c r="AL30" s="119" t="s">
        <v>3</v>
      </c>
      <c r="AM30" s="119" t="s">
        <v>3</v>
      </c>
      <c r="AO30" s="78" t="s">
        <v>437</v>
      </c>
      <c r="AP30" s="78"/>
      <c r="AQ30" s="6" t="s">
        <v>285</v>
      </c>
      <c r="AR30" s="79" t="s">
        <v>438</v>
      </c>
      <c r="AS30" s="79"/>
      <c r="AT30" s="79"/>
    </row>
    <row r="31" spans="1:79" x14ac:dyDescent="0.3">
      <c r="A31" s="119">
        <f t="shared" si="0"/>
        <v>30</v>
      </c>
      <c r="B31" s="119" t="s">
        <v>496</v>
      </c>
      <c r="C31" s="119">
        <v>5</v>
      </c>
      <c r="D31" s="119" t="s">
        <v>5</v>
      </c>
      <c r="E31" s="119" t="s">
        <v>5</v>
      </c>
      <c r="F31" s="119" t="s">
        <v>3</v>
      </c>
      <c r="G31" s="119" t="s">
        <v>5</v>
      </c>
      <c r="H31" s="119" t="s">
        <v>5</v>
      </c>
      <c r="I31" s="119" t="s">
        <v>5</v>
      </c>
      <c r="J31" s="119" t="s">
        <v>5</v>
      </c>
      <c r="K31" s="119" t="s">
        <v>2</v>
      </c>
      <c r="L31" s="119" t="s">
        <v>2</v>
      </c>
      <c r="M31" s="119" t="s">
        <v>5</v>
      </c>
      <c r="N31" s="119" t="s">
        <v>2</v>
      </c>
      <c r="O31" s="119" t="s">
        <v>2</v>
      </c>
      <c r="P31" s="119" t="s">
        <v>4</v>
      </c>
      <c r="Q31" s="119" t="s">
        <v>3</v>
      </c>
      <c r="R31" s="119" t="s">
        <v>2</v>
      </c>
      <c r="S31" s="119" t="s">
        <v>5</v>
      </c>
      <c r="T31" s="119" t="s">
        <v>5</v>
      </c>
      <c r="U31" s="119" t="s">
        <v>5</v>
      </c>
      <c r="V31" s="119" t="s">
        <v>3</v>
      </c>
      <c r="W31" s="119" t="s">
        <v>3</v>
      </c>
      <c r="X31" s="119" t="s">
        <v>3</v>
      </c>
      <c r="Y31" s="119" t="s">
        <v>4</v>
      </c>
      <c r="Z31" s="119" t="s">
        <v>3</v>
      </c>
      <c r="AA31" s="119" t="s">
        <v>4</v>
      </c>
      <c r="AB31" s="119" t="s">
        <v>4</v>
      </c>
      <c r="AC31" s="119" t="s">
        <v>4</v>
      </c>
      <c r="AD31" s="119" t="s">
        <v>4</v>
      </c>
      <c r="AE31" s="119" t="s">
        <v>4</v>
      </c>
      <c r="AF31" s="119" t="s">
        <v>3</v>
      </c>
      <c r="AG31" s="119" t="s">
        <v>3</v>
      </c>
      <c r="AH31" s="119" t="s">
        <v>4</v>
      </c>
      <c r="AI31" s="119" t="s">
        <v>3</v>
      </c>
      <c r="AJ31" s="119" t="s">
        <v>4</v>
      </c>
      <c r="AK31" s="119" t="s">
        <v>4</v>
      </c>
      <c r="AL31" s="119" t="s">
        <v>3</v>
      </c>
      <c r="AM31" s="119" t="s">
        <v>3</v>
      </c>
      <c r="AP31" s="3"/>
    </row>
    <row r="32" spans="1:79" x14ac:dyDescent="0.3">
      <c r="A32" s="119">
        <f t="shared" si="0"/>
        <v>31</v>
      </c>
      <c r="B32" s="119" t="s">
        <v>430</v>
      </c>
      <c r="C32" s="119">
        <v>6</v>
      </c>
      <c r="D32" s="119" t="s">
        <v>5</v>
      </c>
      <c r="E32" s="119" t="s">
        <v>5</v>
      </c>
      <c r="F32" s="119" t="s">
        <v>3</v>
      </c>
      <c r="G32" s="119" t="s">
        <v>5</v>
      </c>
      <c r="H32" s="119" t="s">
        <v>5</v>
      </c>
      <c r="I32" s="119" t="s">
        <v>5</v>
      </c>
      <c r="J32" s="119" t="s">
        <v>5</v>
      </c>
      <c r="K32" s="119" t="s">
        <v>2</v>
      </c>
      <c r="L32" s="119" t="s">
        <v>2</v>
      </c>
      <c r="M32" s="119" t="s">
        <v>4</v>
      </c>
      <c r="N32" s="119" t="s">
        <v>4</v>
      </c>
      <c r="O32" s="119" t="s">
        <v>4</v>
      </c>
      <c r="P32" s="119" t="s">
        <v>5</v>
      </c>
      <c r="Q32" s="119" t="s">
        <v>4</v>
      </c>
      <c r="R32" s="119" t="s">
        <v>5</v>
      </c>
      <c r="S32" s="119" t="s">
        <v>5</v>
      </c>
      <c r="T32" s="119" t="s">
        <v>5</v>
      </c>
      <c r="U32" s="119" t="s">
        <v>5</v>
      </c>
      <c r="V32" s="119" t="s">
        <v>3</v>
      </c>
      <c r="W32" s="119" t="s">
        <v>5</v>
      </c>
      <c r="X32" s="119" t="s">
        <v>2</v>
      </c>
      <c r="Y32" s="119" t="s">
        <v>2</v>
      </c>
      <c r="Z32" s="119" t="s">
        <v>3</v>
      </c>
      <c r="AA32" s="119" t="s">
        <v>4</v>
      </c>
      <c r="AB32" s="119" t="s">
        <v>4</v>
      </c>
      <c r="AC32" s="119" t="s">
        <v>4</v>
      </c>
      <c r="AD32" s="119" t="s">
        <v>4</v>
      </c>
      <c r="AE32" s="119" t="s">
        <v>4</v>
      </c>
      <c r="AF32" s="119" t="s">
        <v>4</v>
      </c>
      <c r="AG32" s="119" t="s">
        <v>3</v>
      </c>
      <c r="AH32" s="119" t="s">
        <v>4</v>
      </c>
      <c r="AI32" s="119" t="s">
        <v>3</v>
      </c>
      <c r="AJ32" s="119" t="s">
        <v>3</v>
      </c>
      <c r="AK32" s="119" t="s">
        <v>4</v>
      </c>
      <c r="AL32" s="119" t="s">
        <v>3</v>
      </c>
      <c r="AM32" s="119" t="s">
        <v>3</v>
      </c>
      <c r="AN32">
        <v>4</v>
      </c>
      <c r="AO32" s="82" t="s">
        <v>457</v>
      </c>
      <c r="AP32" s="82"/>
      <c r="AQ32" s="7" t="s">
        <v>64</v>
      </c>
      <c r="AR32" s="49" t="s">
        <v>43</v>
      </c>
      <c r="AS32" s="49" t="s">
        <v>44</v>
      </c>
      <c r="AT32" s="49" t="s">
        <v>45</v>
      </c>
      <c r="AU32" s="49" t="s">
        <v>46</v>
      </c>
      <c r="AV32" s="49" t="s">
        <v>47</v>
      </c>
      <c r="AW32" s="49" t="s">
        <v>48</v>
      </c>
      <c r="AX32" s="49" t="s">
        <v>49</v>
      </c>
      <c r="AY32" s="49" t="s">
        <v>50</v>
      </c>
      <c r="AZ32" s="49" t="s">
        <v>51</v>
      </c>
      <c r="BA32" s="49" t="s">
        <v>52</v>
      </c>
      <c r="BB32" s="49" t="s">
        <v>53</v>
      </c>
      <c r="BC32" s="49" t="s">
        <v>54</v>
      </c>
      <c r="BD32" s="49" t="s">
        <v>55</v>
      </c>
      <c r="BE32" s="49" t="s">
        <v>56</v>
      </c>
      <c r="BF32" s="49" t="s">
        <v>57</v>
      </c>
      <c r="BG32" s="49" t="s">
        <v>58</v>
      </c>
      <c r="BH32" s="49" t="s">
        <v>59</v>
      </c>
      <c r="BI32" s="49" t="s">
        <v>60</v>
      </c>
      <c r="BJ32" s="49" t="s">
        <v>61</v>
      </c>
      <c r="BK32" s="49" t="s">
        <v>62</v>
      </c>
      <c r="BL32" s="49" t="s">
        <v>63</v>
      </c>
      <c r="BM32" s="49" t="s">
        <v>330</v>
      </c>
      <c r="BN32" s="49" t="s">
        <v>331</v>
      </c>
      <c r="BO32" s="49" t="s">
        <v>332</v>
      </c>
      <c r="BP32" s="49" t="s">
        <v>333</v>
      </c>
      <c r="BQ32" s="49" t="s">
        <v>334</v>
      </c>
      <c r="BR32" s="49" t="s">
        <v>335</v>
      </c>
      <c r="BS32" s="49" t="s">
        <v>336</v>
      </c>
      <c r="BT32" s="49" t="s">
        <v>337</v>
      </c>
      <c r="BU32" s="49" t="s">
        <v>338</v>
      </c>
      <c r="BV32" s="49" t="s">
        <v>339</v>
      </c>
      <c r="BW32" s="49" t="s">
        <v>340</v>
      </c>
      <c r="BX32" s="49" t="s">
        <v>341</v>
      </c>
      <c r="BY32" s="49" t="s">
        <v>342</v>
      </c>
      <c r="BZ32" s="49" t="s">
        <v>343</v>
      </c>
      <c r="CA32" s="49" t="s">
        <v>390</v>
      </c>
    </row>
    <row r="33" spans="1:79" x14ac:dyDescent="0.3">
      <c r="A33" s="119">
        <f t="shared" si="0"/>
        <v>32</v>
      </c>
      <c r="B33" s="119" t="s">
        <v>327</v>
      </c>
      <c r="C33" s="119">
        <v>6</v>
      </c>
      <c r="D33" s="119" t="s">
        <v>4</v>
      </c>
      <c r="E33" s="119" t="s">
        <v>5</v>
      </c>
      <c r="F33" s="119" t="s">
        <v>2</v>
      </c>
      <c r="G33" s="119" t="s">
        <v>5</v>
      </c>
      <c r="H33" s="119" t="s">
        <v>5</v>
      </c>
      <c r="I33" s="119" t="s">
        <v>5</v>
      </c>
      <c r="J33" s="119" t="s">
        <v>2</v>
      </c>
      <c r="K33" s="119" t="s">
        <v>2</v>
      </c>
      <c r="L33" s="119" t="s">
        <v>2</v>
      </c>
      <c r="M33" s="119" t="s">
        <v>4</v>
      </c>
      <c r="N33" s="119" t="s">
        <v>2</v>
      </c>
      <c r="O33" s="119" t="s">
        <v>5</v>
      </c>
      <c r="P33" s="119" t="s">
        <v>5</v>
      </c>
      <c r="Q33" s="119" t="s">
        <v>4</v>
      </c>
      <c r="R33" s="119" t="s">
        <v>5</v>
      </c>
      <c r="S33" s="119" t="s">
        <v>5</v>
      </c>
      <c r="T33" s="119" t="s">
        <v>5</v>
      </c>
      <c r="U33" s="119" t="s">
        <v>5</v>
      </c>
      <c r="V33" s="119" t="s">
        <v>5</v>
      </c>
      <c r="W33" s="119" t="s">
        <v>4</v>
      </c>
      <c r="X33" s="119" t="s">
        <v>3</v>
      </c>
      <c r="Y33" s="119" t="s">
        <v>2</v>
      </c>
      <c r="Z33" s="119" t="s">
        <v>3</v>
      </c>
      <c r="AA33" s="119" t="s">
        <v>4</v>
      </c>
      <c r="AB33" s="119" t="s">
        <v>4</v>
      </c>
      <c r="AC33" s="119" t="s">
        <v>4</v>
      </c>
      <c r="AD33" s="119" t="s">
        <v>3</v>
      </c>
      <c r="AE33" s="119" t="s">
        <v>4</v>
      </c>
      <c r="AF33" s="119" t="s">
        <v>3</v>
      </c>
      <c r="AG33" s="119" t="s">
        <v>3</v>
      </c>
      <c r="AH33" s="119" t="s">
        <v>3</v>
      </c>
      <c r="AI33" s="119" t="s">
        <v>3</v>
      </c>
      <c r="AJ33" s="119" t="s">
        <v>3</v>
      </c>
      <c r="AK33" s="119" t="s">
        <v>3</v>
      </c>
      <c r="AL33" s="119" t="s">
        <v>3</v>
      </c>
      <c r="AM33" s="119" t="s">
        <v>3</v>
      </c>
      <c r="AO33" s="82"/>
      <c r="AP33" s="82"/>
      <c r="AQ33" s="7">
        <v>1</v>
      </c>
      <c r="AR33" s="6" t="s">
        <v>4</v>
      </c>
      <c r="AS33" s="6" t="s">
        <v>2</v>
      </c>
      <c r="AT33" s="6" t="s">
        <v>3</v>
      </c>
      <c r="AU33" s="6" t="s">
        <v>3</v>
      </c>
      <c r="AV33" s="6" t="s">
        <v>5</v>
      </c>
      <c r="AW33" s="6" t="s">
        <v>5</v>
      </c>
      <c r="AX33" s="6" t="s">
        <v>5</v>
      </c>
      <c r="AY33" s="6" t="s">
        <v>2</v>
      </c>
      <c r="AZ33" s="6" t="s">
        <v>3</v>
      </c>
      <c r="BA33" s="6" t="s">
        <v>3</v>
      </c>
      <c r="BB33" s="6" t="s">
        <v>4</v>
      </c>
      <c r="BC33" s="119" t="s">
        <v>2</v>
      </c>
      <c r="BD33" s="119" t="s">
        <v>5</v>
      </c>
      <c r="BE33" s="119" t="s">
        <v>3</v>
      </c>
      <c r="BF33" s="119" t="s">
        <v>3</v>
      </c>
      <c r="BG33" s="6" t="s">
        <v>5</v>
      </c>
      <c r="BH33" s="6" t="s">
        <v>5</v>
      </c>
      <c r="BI33" s="6" t="s">
        <v>5</v>
      </c>
      <c r="BJ33" s="6" t="s">
        <v>4</v>
      </c>
      <c r="BK33" s="6" t="s">
        <v>4</v>
      </c>
      <c r="BL33" s="6" t="s">
        <v>4</v>
      </c>
      <c r="BM33" s="6" t="s">
        <v>4</v>
      </c>
      <c r="BN33" s="6" t="s">
        <v>3</v>
      </c>
      <c r="BO33" s="6" t="s">
        <v>3</v>
      </c>
      <c r="BP33" s="6" t="s">
        <v>3</v>
      </c>
      <c r="BQ33" s="6" t="s">
        <v>4</v>
      </c>
      <c r="BR33" s="6" t="s">
        <v>4</v>
      </c>
      <c r="BS33" s="6" t="s">
        <v>4</v>
      </c>
      <c r="BT33" s="6" t="s">
        <v>4</v>
      </c>
      <c r="BU33" s="6" t="s">
        <v>3</v>
      </c>
      <c r="BV33" s="6" t="s">
        <v>4</v>
      </c>
      <c r="BW33" s="6" t="s">
        <v>3</v>
      </c>
      <c r="BX33" s="6" t="s">
        <v>4</v>
      </c>
      <c r="BY33" s="6" t="s">
        <v>4</v>
      </c>
      <c r="BZ33" s="6" t="s">
        <v>4</v>
      </c>
      <c r="CA33" s="6" t="s">
        <v>3</v>
      </c>
    </row>
    <row r="34" spans="1:79" x14ac:dyDescent="0.3">
      <c r="A34" s="119">
        <f t="shared" si="0"/>
        <v>33</v>
      </c>
      <c r="B34" s="119" t="s">
        <v>328</v>
      </c>
      <c r="C34" s="119">
        <v>6</v>
      </c>
      <c r="D34" s="119" t="s">
        <v>5</v>
      </c>
      <c r="E34" s="119" t="s">
        <v>5</v>
      </c>
      <c r="F34" s="119" t="s">
        <v>3</v>
      </c>
      <c r="G34" s="119" t="s">
        <v>2</v>
      </c>
      <c r="H34" s="119" t="s">
        <v>5</v>
      </c>
      <c r="I34" s="119" t="s">
        <v>5</v>
      </c>
      <c r="J34" s="119" t="s">
        <v>5</v>
      </c>
      <c r="K34" s="119" t="s">
        <v>5</v>
      </c>
      <c r="L34" s="119" t="s">
        <v>2</v>
      </c>
      <c r="M34" s="119" t="s">
        <v>4</v>
      </c>
      <c r="N34" s="119" t="s">
        <v>4</v>
      </c>
      <c r="O34" s="119" t="s">
        <v>2</v>
      </c>
      <c r="P34" s="119" t="s">
        <v>5</v>
      </c>
      <c r="Q34" s="119" t="s">
        <v>2</v>
      </c>
      <c r="R34" s="119" t="s">
        <v>2</v>
      </c>
      <c r="S34" s="119" t="s">
        <v>5</v>
      </c>
      <c r="T34" s="119" t="s">
        <v>3</v>
      </c>
      <c r="U34" s="119" t="s">
        <v>5</v>
      </c>
      <c r="V34" s="119" t="s">
        <v>3</v>
      </c>
      <c r="W34" s="119" t="s">
        <v>2</v>
      </c>
      <c r="X34" s="119" t="s">
        <v>2</v>
      </c>
      <c r="Y34" s="119" t="s">
        <v>5</v>
      </c>
      <c r="Z34" s="119" t="s">
        <v>3</v>
      </c>
      <c r="AA34" s="119" t="s">
        <v>4</v>
      </c>
      <c r="AB34" s="119" t="s">
        <v>4</v>
      </c>
      <c r="AC34" s="119" t="s">
        <v>4</v>
      </c>
      <c r="AD34" s="119" t="s">
        <v>3</v>
      </c>
      <c r="AE34" s="119" t="s">
        <v>4</v>
      </c>
      <c r="AF34" s="119" t="s">
        <v>3</v>
      </c>
      <c r="AG34" s="119" t="s">
        <v>3</v>
      </c>
      <c r="AH34" s="119" t="s">
        <v>3</v>
      </c>
      <c r="AI34" s="119" t="s">
        <v>3</v>
      </c>
      <c r="AJ34" s="119" t="s">
        <v>3</v>
      </c>
      <c r="AK34" s="119" t="s">
        <v>3</v>
      </c>
      <c r="AL34" s="119" t="s">
        <v>3</v>
      </c>
      <c r="AM34" s="119" t="s">
        <v>3</v>
      </c>
      <c r="AO34" s="80" t="s">
        <v>504</v>
      </c>
      <c r="AP34" s="80"/>
      <c r="AQ34" s="6">
        <f>PRODUCT('Data Training 2'!AW22,'Data Training 2'!AT31,'Data Training 2'!AT39,'Data Training 2'!AT44,'Data Training 2'!AT50,'Data Training 2'!AT58,'Data Training 2'!AT64,'Data Training 2'!AT70,'Data Training 2'!AT75,'Data Training 2'!AT80,'Data Training 2'!AT86,'Data Training 2'!AT91,'Data Training 2'!AT99,'Data Training 2'!AT106,'Data Training 2'!AT110,'Data Training 2'!AT116,'Data Training 2'!AT124,'Data Training 2'!AT130,'Data Training 2'!AT136,'Data Training 2'!AT139,'Data Training 2'!AT145,'Data Training 2'!AT151,'Data Training 2'!AT157,'Data Training 2'!AT164,'Data Training 2'!AT168,'Data Training 2'!AT172,'Data Training 2'!AT175,'Data Training 2'!AT179,'Data Training 2'!AT183,'Data Training 2'!AT187,'Data Training 2'!AT192,'Data Training 2'!AT195,'Data Training 2'!AT200,'Data Training 2'!AT203,'Data Training 2'!AT207,'Data Training 2'!AT211,'Data Training 2'!AT216)</f>
        <v>1.3371364342472047E-10</v>
      </c>
    </row>
    <row r="35" spans="1:79" x14ac:dyDescent="0.3">
      <c r="A35" s="119">
        <f t="shared" si="0"/>
        <v>34</v>
      </c>
      <c r="B35" s="119" t="s">
        <v>475</v>
      </c>
      <c r="C35" s="119">
        <v>6</v>
      </c>
      <c r="D35" s="119" t="s">
        <v>5</v>
      </c>
      <c r="E35" s="119" t="s">
        <v>5</v>
      </c>
      <c r="F35" s="119" t="s">
        <v>2</v>
      </c>
      <c r="G35" s="119" t="s">
        <v>5</v>
      </c>
      <c r="H35" s="119" t="s">
        <v>5</v>
      </c>
      <c r="I35" s="119" t="s">
        <v>5</v>
      </c>
      <c r="J35" s="119" t="s">
        <v>5</v>
      </c>
      <c r="K35" s="119" t="s">
        <v>5</v>
      </c>
      <c r="L35" s="119" t="s">
        <v>2</v>
      </c>
      <c r="M35" s="119" t="s">
        <v>4</v>
      </c>
      <c r="N35" s="119" t="s">
        <v>4</v>
      </c>
      <c r="O35" s="119" t="s">
        <v>5</v>
      </c>
      <c r="P35" s="119" t="s">
        <v>2</v>
      </c>
      <c r="Q35" s="119" t="s">
        <v>3</v>
      </c>
      <c r="R35" s="119" t="s">
        <v>5</v>
      </c>
      <c r="S35" s="119" t="s">
        <v>5</v>
      </c>
      <c r="T35" s="119" t="s">
        <v>3</v>
      </c>
      <c r="U35" s="119" t="s">
        <v>5</v>
      </c>
      <c r="V35" s="119" t="s">
        <v>5</v>
      </c>
      <c r="W35" s="119" t="s">
        <v>4</v>
      </c>
      <c r="X35" s="119" t="s">
        <v>3</v>
      </c>
      <c r="Y35" s="119" t="s">
        <v>2</v>
      </c>
      <c r="Z35" s="119" t="s">
        <v>3</v>
      </c>
      <c r="AA35" s="119" t="s">
        <v>4</v>
      </c>
      <c r="AB35" s="119" t="s">
        <v>4</v>
      </c>
      <c r="AC35" s="119" t="s">
        <v>3</v>
      </c>
      <c r="AD35" s="119" t="s">
        <v>4</v>
      </c>
      <c r="AE35" s="119" t="s">
        <v>4</v>
      </c>
      <c r="AF35" s="119" t="s">
        <v>4</v>
      </c>
      <c r="AG35" s="119" t="s">
        <v>3</v>
      </c>
      <c r="AH35" s="119" t="s">
        <v>4</v>
      </c>
      <c r="AI35" s="119" t="s">
        <v>3</v>
      </c>
      <c r="AJ35" s="119" t="s">
        <v>4</v>
      </c>
      <c r="AK35" s="119" t="s">
        <v>4</v>
      </c>
      <c r="AL35" s="119" t="s">
        <v>4</v>
      </c>
      <c r="AM35" s="119" t="s">
        <v>3</v>
      </c>
      <c r="AO35" s="80" t="s">
        <v>505</v>
      </c>
      <c r="AP35" s="80"/>
      <c r="AQ35" s="6">
        <f>PRODUCT('Data Training 2'!AW23,'Data Training 2'!AU31,'Data Training 2'!AU39,'Data Training 2'!AU44,'Data Training 2'!AU50,'Data Training 2'!AU58,'Data Training 2'!AU64,'Data Training 2'!AU70,'Data Training 2'!AU75,'Data Training 2'!AU80,'Data Training 2'!AU86,'Data Training 2'!AU91,'Data Training 2'!AU99,'Data Training 2'!AU106,'Data Training 2'!AU110,'Data Training 2'!AU116,'Data Training 2'!AU124,'Data Training 2'!AU130,'Data Training 2'!AU136,'Data Training 2'!AU139,'Data Training 2'!AU145,'Data Training 2'!AU151,'Data Training 2'!AU157,'Data Training 2'!AU164,'Data Training 2'!AU168,'Data Training 2'!AU172,'Data Training 2'!AU175,'Data Training 2'!AU179,'Data Training 2'!AU183,'Data Training 2'!AU187,'Data Training 2'!AU192,'Data Training 2'!AU195,'Data Training 2'!AU200,'Data Training 2'!AU203,'Data Training 2'!AU207,'Data Training 2'!AU211,'Data Training 2'!AU216)</f>
        <v>0</v>
      </c>
    </row>
    <row r="36" spans="1:79" x14ac:dyDescent="0.3">
      <c r="A36" s="119">
        <f t="shared" si="0"/>
        <v>35</v>
      </c>
      <c r="B36" s="119" t="s">
        <v>477</v>
      </c>
      <c r="C36" s="119">
        <v>6</v>
      </c>
      <c r="D36" s="119" t="s">
        <v>5</v>
      </c>
      <c r="E36" s="119" t="s">
        <v>5</v>
      </c>
      <c r="F36" s="119" t="s">
        <v>3</v>
      </c>
      <c r="G36" s="119" t="s">
        <v>5</v>
      </c>
      <c r="H36" s="119" t="s">
        <v>5</v>
      </c>
      <c r="I36" s="119" t="s">
        <v>5</v>
      </c>
      <c r="J36" s="119" t="s">
        <v>5</v>
      </c>
      <c r="K36" s="119" t="s">
        <v>2</v>
      </c>
      <c r="L36" s="119" t="s">
        <v>2</v>
      </c>
      <c r="M36" s="119" t="s">
        <v>2</v>
      </c>
      <c r="N36" s="119" t="s">
        <v>2</v>
      </c>
      <c r="O36" s="119" t="s">
        <v>3</v>
      </c>
      <c r="P36" s="119" t="s">
        <v>5</v>
      </c>
      <c r="Q36" s="119" t="s">
        <v>3</v>
      </c>
      <c r="R36" s="119" t="s">
        <v>3</v>
      </c>
      <c r="S36" s="119" t="s">
        <v>5</v>
      </c>
      <c r="T36" s="119" t="s">
        <v>5</v>
      </c>
      <c r="U36" s="119" t="s">
        <v>5</v>
      </c>
      <c r="V36" s="119" t="s">
        <v>2</v>
      </c>
      <c r="W36" s="119" t="s">
        <v>3</v>
      </c>
      <c r="X36" s="119" t="s">
        <v>4</v>
      </c>
      <c r="Y36" s="119" t="s">
        <v>4</v>
      </c>
      <c r="Z36" s="119" t="s">
        <v>3</v>
      </c>
      <c r="AA36" s="119" t="s">
        <v>4</v>
      </c>
      <c r="AB36" s="119" t="s">
        <v>4</v>
      </c>
      <c r="AC36" s="119" t="s">
        <v>4</v>
      </c>
      <c r="AD36" s="119" t="s">
        <v>3</v>
      </c>
      <c r="AE36" s="119" t="s">
        <v>4</v>
      </c>
      <c r="AF36" s="119" t="s">
        <v>4</v>
      </c>
      <c r="AG36" s="119" t="s">
        <v>3</v>
      </c>
      <c r="AH36" s="119" t="s">
        <v>3</v>
      </c>
      <c r="AI36" s="119" t="s">
        <v>3</v>
      </c>
      <c r="AJ36" s="119" t="s">
        <v>3</v>
      </c>
      <c r="AK36" s="119" t="s">
        <v>3</v>
      </c>
      <c r="AL36" s="119" t="s">
        <v>3</v>
      </c>
      <c r="AM36" s="119" t="s">
        <v>3</v>
      </c>
      <c r="AO36" s="80" t="s">
        <v>506</v>
      </c>
      <c r="AP36" s="80"/>
      <c r="AQ36" s="6">
        <f>PRODUCT('Data Training 2'!AW24,'Data Training 2'!AV31,'Data Training 2'!AV39,'Data Training 2'!AV44,'Data Training 2'!AV50,'Data Training 2'!AV58,'Data Training 2'!AV64,'Data Training 2'!AV70,'Data Training 2'!AV75,'Data Training 2'!AV80,'Data Training 2'!AV86,'Data Training 2'!AV91,'Data Training 2'!AV99,'Data Training 2'!AV106,'Data Training 2'!AV110,'Data Training 2'!AV116,'Data Training 2'!AV124,'Data Training 2'!AV130,'Data Training 2'!AV136,'Data Training 2'!AV139,'Data Training 2'!AV145,'Data Training 2'!AV151,'Data Training 2'!AV157,'Data Training 2'!AV164,'Data Training 2'!AV168,'Data Training 2'!AV172,'Data Training 2'!AV175,'Data Training 2'!AV179,'Data Training 2'!AV183,'Data Training 2'!AV187,'Data Training 2'!AV192,'Data Training 2'!AV195,'Data Training 2'!AV200,'Data Training 2'!AV203,'Data Training 2'!AV207,'Data Training 2'!AV211,'Data Training 2'!AV216)</f>
        <v>0</v>
      </c>
    </row>
    <row r="37" spans="1:79" x14ac:dyDescent="0.3">
      <c r="A37" s="119">
        <f t="shared" si="0"/>
        <v>36</v>
      </c>
      <c r="B37" s="119" t="s">
        <v>488</v>
      </c>
      <c r="C37" s="119">
        <v>6</v>
      </c>
      <c r="D37" s="119" t="s">
        <v>5</v>
      </c>
      <c r="E37" s="119" t="s">
        <v>5</v>
      </c>
      <c r="F37" s="119" t="s">
        <v>4</v>
      </c>
      <c r="G37" s="119" t="s">
        <v>5</v>
      </c>
      <c r="H37" s="119" t="s">
        <v>5</v>
      </c>
      <c r="I37" s="119" t="s">
        <v>5</v>
      </c>
      <c r="J37" s="119" t="s">
        <v>5</v>
      </c>
      <c r="K37" s="119" t="s">
        <v>2</v>
      </c>
      <c r="L37" s="119" t="s">
        <v>3</v>
      </c>
      <c r="M37" s="119" t="s">
        <v>4</v>
      </c>
      <c r="N37" s="119" t="s">
        <v>3</v>
      </c>
      <c r="O37" s="119" t="s">
        <v>5</v>
      </c>
      <c r="P37" s="119" t="s">
        <v>5</v>
      </c>
      <c r="Q37" s="119" t="s">
        <v>3</v>
      </c>
      <c r="R37" s="119" t="s">
        <v>5</v>
      </c>
      <c r="S37" s="119" t="s">
        <v>5</v>
      </c>
      <c r="T37" s="119" t="s">
        <v>3</v>
      </c>
      <c r="U37" s="119" t="s">
        <v>5</v>
      </c>
      <c r="V37" s="119" t="s">
        <v>3</v>
      </c>
      <c r="W37" s="119" t="s">
        <v>4</v>
      </c>
      <c r="X37" s="119" t="s">
        <v>2</v>
      </c>
      <c r="Y37" s="119" t="s">
        <v>2</v>
      </c>
      <c r="Z37" s="119" t="s">
        <v>3</v>
      </c>
      <c r="AA37" s="119" t="s">
        <v>4</v>
      </c>
      <c r="AB37" s="119" t="s">
        <v>4</v>
      </c>
      <c r="AC37" s="119" t="s">
        <v>4</v>
      </c>
      <c r="AD37" s="119" t="s">
        <v>4</v>
      </c>
      <c r="AE37" s="119" t="s">
        <v>4</v>
      </c>
      <c r="AF37" s="119" t="s">
        <v>4</v>
      </c>
      <c r="AG37" s="119" t="s">
        <v>3</v>
      </c>
      <c r="AH37" s="119" t="s">
        <v>4</v>
      </c>
      <c r="AI37" s="119" t="s">
        <v>3</v>
      </c>
      <c r="AJ37" s="119" t="s">
        <v>3</v>
      </c>
      <c r="AK37" s="119" t="s">
        <v>4</v>
      </c>
      <c r="AL37" s="119" t="s">
        <v>3</v>
      </c>
      <c r="AM37" s="119" t="s">
        <v>3</v>
      </c>
      <c r="AO37" s="80" t="s">
        <v>507</v>
      </c>
      <c r="AP37" s="80"/>
      <c r="AQ37" s="6">
        <f>PRODUCT('Data Training 2'!AW25,'Data Training 2'!AW31,'Data Training 2'!AW39,'Data Training 2'!AW44,'Data Training 2'!AW50,'Data Training 2'!AW58,'Data Training 2'!AW64,'Data Training 2'!AW70,'Data Training 2'!AW75,'Data Training 2'!AW80,'Data Training 2'!AW86,'Data Training 2'!AW91,'Data Training 2'!AW99,'Data Training 2'!AW106,'Data Training 2'!AW110,'Data Training 2'!AW116,'Data Training 2'!AW124,'Data Training 2'!AW130,'Data Training 2'!AW136,'Data Training 2'!AW139,'Data Training 2'!AW145,'Data Training 2'!AW151,'Data Training 2'!AW157,'Data Training 2'!AW164,'Data Training 2'!AW168,'Data Training 2'!AW172,'Data Training 2'!AW175,'Data Training 2'!AW179,'Data Training 2'!AW183,'Data Training 2'!AW187,'Data Training 2'!AW192,'Data Training 2'!AW195,'Data Training 2'!AW200,'Data Training 2'!AW203,'Data Training 2'!AW207,'Data Training 2'!AW211,'Data Training 2'!AW216)</f>
        <v>0</v>
      </c>
    </row>
    <row r="38" spans="1:79" x14ac:dyDescent="0.3">
      <c r="AO38" s="80" t="s">
        <v>508</v>
      </c>
      <c r="AP38" s="80"/>
      <c r="AQ38" s="6">
        <f>PRODUCT('Data Training 2'!AW26,'Data Training 2'!AX31,'Data Training 2'!AX39,'Data Training 2'!AX44,'Data Training 2'!AX50,'Data Training 2'!AX58,'Data Training 2'!AX64,'Data Training 2'!AX70,'Data Training 2'!AX75,'Data Training 2'!AX80,'Data Training 2'!AX86,'Data Training 2'!AX91,'Data Training 2'!AX99,'Data Training 2'!AX106,'Data Training 2'!AX110,'Data Training 2'!AX116,'Data Training 2'!AX124,'Data Training 2'!AX130,'Data Training 2'!AX136,'Data Training 2'!AX139,'Data Training 2'!AX145,'Data Training 2'!AX151,'Data Training 2'!AX157,'Data Training 2'!AX164,'Data Training 2'!AX168,'Data Training 2'!AX172,'Data Training 2'!AX175,'Data Training 2'!AX179,'Data Training 2'!AX183,'Data Training 2'!AX187,'Data Training 2'!AX192,'Data Training 2'!AX195,'Data Training 2'!AX200,'Data Training 2'!AX203,'Data Training 2'!AX207,'Data Training 2'!AX211,'Data Training 2'!AX216)</f>
        <v>0</v>
      </c>
    </row>
    <row r="39" spans="1:79" x14ac:dyDescent="0.3">
      <c r="AO39" s="80" t="s">
        <v>509</v>
      </c>
      <c r="AP39" s="80"/>
      <c r="AQ39" s="6">
        <f>PRODUCT('Data Training 2'!AW27,'Data Training 2'!AY31,'Data Training 2'!AY39,'Data Training 2'!AY44,'Data Training 2'!AY50,'Data Training 2'!AY58,'Data Training 2'!AY64,'Data Training 2'!AY70,'Data Training 2'!AY75,'Data Training 2'!AY80,'Data Training 2'!AY86,'Data Training 2'!AY91,'Data Training 2'!AY99,'Data Training 2'!AY106,'Data Training 2'!AY110,'Data Training 2'!AY116,'Data Training 2'!AY124,'Data Training 2'!AY130,'Data Training 2'!AY136,'Data Training 2'!AY139,'Data Training 2'!AY145,'Data Training 2'!AY151,'Data Training 2'!AY157,'Data Training 2'!AY164,'Data Training 2'!AY168,'Data Training 2'!AY172,'Data Training 2'!AY175,'Data Training 2'!AY179,'Data Training 2'!AY183,'Data Training 2'!AY187,'Data Training 2'!AY192,'Data Training 2'!AY195,'Data Training 2'!AY200,'Data Training 2'!AY203,'Data Training 2'!AY207,'Data Training 2'!AY211,'Data Training 2'!AY216)</f>
        <v>0</v>
      </c>
    </row>
    <row r="40" spans="1:79" x14ac:dyDescent="0.3">
      <c r="AO40" s="78" t="s">
        <v>437</v>
      </c>
      <c r="AP40" s="78"/>
      <c r="AQ40" s="6" t="s">
        <v>285</v>
      </c>
      <c r="AR40" s="79" t="s">
        <v>438</v>
      </c>
      <c r="AS40" s="79"/>
      <c r="AT40" s="79"/>
    </row>
    <row r="41" spans="1:79" x14ac:dyDescent="0.3">
      <c r="AP41" s="3"/>
    </row>
    <row r="42" spans="1:79" x14ac:dyDescent="0.3">
      <c r="AN42">
        <v>5</v>
      </c>
      <c r="AO42" s="82" t="s">
        <v>539</v>
      </c>
      <c r="AP42" s="82"/>
      <c r="AQ42" s="7" t="s">
        <v>64</v>
      </c>
      <c r="AR42" s="49" t="s">
        <v>43</v>
      </c>
      <c r="AS42" s="49" t="s">
        <v>44</v>
      </c>
      <c r="AT42" s="49" t="s">
        <v>45</v>
      </c>
      <c r="AU42" s="49" t="s">
        <v>46</v>
      </c>
      <c r="AV42" s="49" t="s">
        <v>47</v>
      </c>
      <c r="AW42" s="49" t="s">
        <v>48</v>
      </c>
      <c r="AX42" s="49" t="s">
        <v>49</v>
      </c>
      <c r="AY42" s="49" t="s">
        <v>50</v>
      </c>
      <c r="AZ42" s="49" t="s">
        <v>51</v>
      </c>
      <c r="BA42" s="49" t="s">
        <v>52</v>
      </c>
      <c r="BB42" s="49" t="s">
        <v>53</v>
      </c>
      <c r="BC42" s="49" t="s">
        <v>54</v>
      </c>
      <c r="BD42" s="49" t="s">
        <v>55</v>
      </c>
      <c r="BE42" s="49" t="s">
        <v>56</v>
      </c>
      <c r="BF42" s="49" t="s">
        <v>57</v>
      </c>
      <c r="BG42" s="49" t="s">
        <v>58</v>
      </c>
      <c r="BH42" s="49" t="s">
        <v>59</v>
      </c>
      <c r="BI42" s="49" t="s">
        <v>60</v>
      </c>
      <c r="BJ42" s="49" t="s">
        <v>61</v>
      </c>
      <c r="BK42" s="49" t="s">
        <v>62</v>
      </c>
      <c r="BL42" s="49" t="s">
        <v>63</v>
      </c>
      <c r="BM42" s="49" t="s">
        <v>330</v>
      </c>
      <c r="BN42" s="49" t="s">
        <v>331</v>
      </c>
      <c r="BO42" s="49" t="s">
        <v>332</v>
      </c>
      <c r="BP42" s="49" t="s">
        <v>333</v>
      </c>
      <c r="BQ42" s="49" t="s">
        <v>334</v>
      </c>
      <c r="BR42" s="49" t="s">
        <v>335</v>
      </c>
      <c r="BS42" s="49" t="s">
        <v>336</v>
      </c>
      <c r="BT42" s="49" t="s">
        <v>337</v>
      </c>
      <c r="BU42" s="49" t="s">
        <v>338</v>
      </c>
      <c r="BV42" s="49" t="s">
        <v>339</v>
      </c>
      <c r="BW42" s="49" t="s">
        <v>340</v>
      </c>
      <c r="BX42" s="49" t="s">
        <v>341</v>
      </c>
      <c r="BY42" s="49" t="s">
        <v>342</v>
      </c>
      <c r="BZ42" s="49" t="s">
        <v>343</v>
      </c>
      <c r="CA42" s="49" t="s">
        <v>390</v>
      </c>
    </row>
    <row r="43" spans="1:79" x14ac:dyDescent="0.3">
      <c r="AO43" s="82"/>
      <c r="AP43" s="82"/>
      <c r="AQ43" s="7">
        <v>1</v>
      </c>
      <c r="AR43" s="6" t="s">
        <v>5</v>
      </c>
      <c r="AS43" s="6" t="s">
        <v>3</v>
      </c>
      <c r="AT43" s="6" t="s">
        <v>4</v>
      </c>
      <c r="AU43" s="119" t="s">
        <v>5</v>
      </c>
      <c r="AV43" s="6" t="s">
        <v>5</v>
      </c>
      <c r="AW43" s="6" t="s">
        <v>5</v>
      </c>
      <c r="AX43" s="6" t="s">
        <v>5</v>
      </c>
      <c r="AY43" s="6" t="s">
        <v>2</v>
      </c>
      <c r="AZ43" s="6" t="s">
        <v>2</v>
      </c>
      <c r="BA43" s="6" t="s">
        <v>3</v>
      </c>
      <c r="BB43" s="6" t="s">
        <v>3</v>
      </c>
      <c r="BC43" s="6" t="s">
        <v>2</v>
      </c>
      <c r="BD43" s="119" t="s">
        <v>2</v>
      </c>
      <c r="BE43" s="6" t="s">
        <v>3</v>
      </c>
      <c r="BF43" s="6" t="s">
        <v>2</v>
      </c>
      <c r="BG43" s="6" t="s">
        <v>5</v>
      </c>
      <c r="BH43" s="6" t="s">
        <v>2</v>
      </c>
      <c r="BI43" s="6" t="s">
        <v>5</v>
      </c>
      <c r="BJ43" s="6" t="s">
        <v>5</v>
      </c>
      <c r="BK43" s="6" t="s">
        <v>4</v>
      </c>
      <c r="BL43" s="6" t="s">
        <v>4</v>
      </c>
      <c r="BM43" s="6" t="s">
        <v>2</v>
      </c>
      <c r="BN43" s="6" t="s">
        <v>3</v>
      </c>
      <c r="BO43" s="6" t="s">
        <v>3</v>
      </c>
      <c r="BP43" s="6" t="s">
        <v>3</v>
      </c>
      <c r="BQ43" s="6" t="s">
        <v>4</v>
      </c>
      <c r="BR43" s="6" t="s">
        <v>4</v>
      </c>
      <c r="BS43" s="6" t="s">
        <v>4</v>
      </c>
      <c r="BT43" s="6" t="s">
        <v>4</v>
      </c>
      <c r="BU43" s="6" t="s">
        <v>3</v>
      </c>
      <c r="BV43" s="6" t="s">
        <v>4</v>
      </c>
      <c r="BW43" s="6" t="s">
        <v>3</v>
      </c>
      <c r="BX43" s="6" t="s">
        <v>4</v>
      </c>
      <c r="BY43" s="119" t="s">
        <v>4</v>
      </c>
      <c r="BZ43" s="6" t="s">
        <v>3</v>
      </c>
      <c r="CA43" s="6" t="s">
        <v>3</v>
      </c>
    </row>
    <row r="44" spans="1:79" x14ac:dyDescent="0.3">
      <c r="AO44" s="80" t="s">
        <v>504</v>
      </c>
      <c r="AP44" s="80"/>
      <c r="AQ44" s="6">
        <f>PRODUCT('Data Training 2'!AW22,'Data Training 2'!AT34,'Data Training 2'!AT38,'Data Training 2'!AT43,'Data Training 2'!AT52,'Data Training 2'!AT58,'Data Training 2'!AT64,'Data Training 2'!AT70,'Data Training 2'!AT75,'Data Training 2'!AT81,'Data Training 2'!AT86,'Data Training 2'!AT92,'Data Training 2'!AT99,'Data Training 2'!AT105,'Data Training 2'!AT110,'Data Training 2'!AT117,'Data Training 2'!AT124,'Data Training 2'!AT129,'Data Training 2'!AT136,'Data Training 2'!AT142,'Data Training 2'!AT145,'Data Training 2'!AT151,'Data Training 2'!AT159,'Data Training 2'!AT164,'Data Training 2'!AT168,'Data Training 2'!AT172,'Data Training 2'!AT175,'Data Training 2'!AT179,'Data Training 2'!AT183,'Data Training 2'!AT187,'Data Training 2'!AT192,'Data Training 2'!AT195,'Data Training 2'!AT200,'Data Training 2'!AT203,'Data Training 2'!AT207,'Data Training 2'!AT212,'Data Training 2'!AT216)</f>
        <v>5.788469412325565E-11</v>
      </c>
    </row>
    <row r="45" spans="1:79" x14ac:dyDescent="0.3">
      <c r="AO45" s="80" t="s">
        <v>505</v>
      </c>
      <c r="AP45" s="80"/>
      <c r="AQ45" s="6">
        <f>PRODUCT('Data Training 2'!AW23,'Data Training 2'!AU34,'Data Training 2'!AU38,'Data Training 2'!AU43,'Data Training 2'!AU52,'Data Training 2'!AU58,'Data Training 2'!AU64,'Data Training 2'!AU70,'Data Training 2'!AU75,'Data Training 2'!AU81,'Data Training 2'!AU86,'Data Training 2'!AU92,'Data Training 2'!AU99,'Data Training 2'!AU105,'Data Training 2'!AU110,'Data Training 2'!AU117,'Data Training 2'!AU124,'Data Training 2'!AU129,'Data Training 2'!AU136,'Data Training 2'!AU142,'Data Training 2'!AU145,'Data Training 2'!AU151,'Data Training 2'!AU159,'Data Training 2'!AU164,'Data Training 2'!AU168,'Data Training 2'!AU172,'Data Training 2'!AU175,'Data Training 2'!AU179,'Data Training 2'!AU183,'Data Training 2'!AU187,'Data Training 2'!AU192,'Data Training 2'!AU195,'Data Training 2'!AU200,'Data Training 2'!AU203,'Data Training 2'!AU207,'Data Training 2'!AU212,'Data Training 2'!AU216)</f>
        <v>0</v>
      </c>
    </row>
    <row r="46" spans="1:79" x14ac:dyDescent="0.3">
      <c r="AO46" s="80" t="s">
        <v>506</v>
      </c>
      <c r="AP46" s="80"/>
      <c r="AQ46" s="6">
        <f>PRODUCT('Data Training 2'!AW24,'Data Training 2'!AV34,'Data Training 2'!AV38,'Data Training 2'!AV43,'Data Training 2'!AV52,'Data Training 2'!AV58,'Data Training 2'!AV64,'Data Training 2'!AV70,'Data Training 2'!AV75,'Data Training 2'!AV81,'Data Training 2'!AV86,'Data Training 2'!AV92,'Data Training 2'!AV99,'Data Training 2'!AV105,'Data Training 2'!AV110,'Data Training 2'!AV117,'Data Training 2'!AV124,'Data Training 2'!AV129,'Data Training 2'!AV136,'Data Training 2'!AV142,'Data Training 2'!AV145,'Data Training 2'!AV151,'Data Training 2'!AV159,'Data Training 2'!AV164,'Data Training 2'!AV168,'Data Training 2'!AV172,'Data Training 2'!AV175,'Data Training 2'!AV179,'Data Training 2'!AV183,'Data Training 2'!AV187,'Data Training 2'!AV192,'Data Training 2'!AV195,'Data Training 2'!AV200,'Data Training 2'!AV203,'Data Training 2'!AV207,'Data Training 2'!AV212,'Data Training 2'!AV216)</f>
        <v>6.8049379781948513E-11</v>
      </c>
    </row>
    <row r="47" spans="1:79" x14ac:dyDescent="0.3">
      <c r="AO47" s="80" t="s">
        <v>507</v>
      </c>
      <c r="AP47" s="80"/>
      <c r="AQ47" s="6">
        <f>PRODUCT('Data Training 2'!AW25,'Data Training 2'!AW34,'Data Training 2'!AW38,'Data Training 2'!AW43,'Data Training 2'!AW52,'Data Training 2'!AW58,'Data Training 2'!AW64,'Data Training 2'!AW70,'Data Training 2'!AW75,'Data Training 2'!AW81,'Data Training 2'!AW86,'Data Training 2'!AW92,'Data Training 2'!AW99,'Data Training 2'!AW105,'Data Training 2'!AW110,'Data Training 2'!AW117,'Data Training 2'!AW124,'Data Training 2'!AW129,'Data Training 2'!AW136,'Data Training 2'!AW142,'Data Training 2'!AW145,'Data Training 2'!AW151,'Data Training 2'!AW159,'Data Training 2'!AW164,'Data Training 2'!AW168,'Data Training 2'!AW172,'Data Training 2'!AW175,'Data Training 2'!AW179,'Data Training 2'!AW183,'Data Training 2'!AW187,'Data Training 2'!AW192,'Data Training 2'!AW195,'Data Training 2'!AW200,'Data Training 2'!AW203,'Data Training 2'!AW207,'Data Training 2'!AW212,'Data Training 2'!AW216)</f>
        <v>5.8182010961252331E-11</v>
      </c>
    </row>
    <row r="48" spans="1:79" x14ac:dyDescent="0.3">
      <c r="AO48" s="80" t="s">
        <v>508</v>
      </c>
      <c r="AP48" s="80"/>
      <c r="AQ48" s="6">
        <f>PRODUCT('Data Training 2'!AW26,'Data Training 2'!AX34,'Data Training 2'!AX38,'Data Training 2'!AX43,'Data Training 2'!AX52,'Data Training 2'!AX58,'Data Training 2'!AX64,'Data Training 2'!AX70,'Data Training 2'!AX75,'Data Training 2'!AX81,'Data Training 2'!AX86,'Data Training 2'!AX92,'Data Training 2'!AX99,'Data Training 2'!AX105,'Data Training 2'!AX110,'Data Training 2'!AX117,'Data Training 2'!AX124,'Data Training 2'!AX129,'Data Training 2'!AX136,'Data Training 2'!AX142,'Data Training 2'!AX145,'Data Training 2'!AX151,'Data Training 2'!AX159,'Data Training 2'!AX164,'Data Training 2'!AX168,'Data Training 2'!AX172,'Data Training 2'!AX175,'Data Training 2'!AX179,'Data Training 2'!AX183,'Data Training 2'!AX187,'Data Training 2'!AX192,'Data Training 2'!AX195,'Data Training 2'!AX200,'Data Training 2'!AX203,'Data Training 2'!AX207,'Data Training 2'!AX212,'Data Training 2'!AX216)</f>
        <v>0</v>
      </c>
    </row>
    <row r="49" spans="3:79" x14ac:dyDescent="0.3">
      <c r="AO49" s="80" t="s">
        <v>509</v>
      </c>
      <c r="AP49" s="80"/>
      <c r="AQ49" s="6">
        <f>PRODUCT('Data Training 2'!AW27,'Data Training 2'!AY34,'Data Training 2'!AY38,'Data Training 2'!AY43,'Data Training 2'!AY52,'Data Training 2'!AY58,'Data Training 2'!AY64,'Data Training 2'!AY70,'Data Training 2'!AY75,'Data Training 2'!AY81,'Data Training 2'!AY86,'Data Training 2'!AY92,'Data Training 2'!AY99,'Data Training 2'!AY105,'Data Training 2'!AY110,'Data Training 2'!AY117,'Data Training 2'!AY124,'Data Training 2'!AY129,'Data Training 2'!AY136,'Data Training 2'!AY142,'Data Training 2'!AY145,'Data Training 2'!AY151,'Data Training 2'!AY159,'Data Training 2'!AY164,'Data Training 2'!AY168,'Data Training 2'!AY172,'Data Training 2'!AY175,'Data Training 2'!AY179,'Data Training 2'!AY183,'Data Training 2'!AY187,'Data Training 2'!AY192,'Data Training 2'!AY195,'Data Training 2'!AY200,'Data Training 2'!AY203,'Data Training 2'!AY207,'Data Training 2'!AY212,'Data Training 2'!AY216)</f>
        <v>5.0932218149840121E-13</v>
      </c>
    </row>
    <row r="50" spans="3:79" x14ac:dyDescent="0.3">
      <c r="AO50" s="78" t="s">
        <v>437</v>
      </c>
      <c r="AP50" s="78"/>
      <c r="AQ50" s="6" t="s">
        <v>294</v>
      </c>
      <c r="AR50" s="81" t="s">
        <v>439</v>
      </c>
      <c r="AS50" s="81"/>
      <c r="AT50" s="81"/>
    </row>
    <row r="52" spans="3:79" x14ac:dyDescent="0.3">
      <c r="AN52">
        <v>6</v>
      </c>
      <c r="AO52" s="82" t="s">
        <v>540</v>
      </c>
      <c r="AP52" s="82"/>
      <c r="AQ52" s="7" t="s">
        <v>64</v>
      </c>
      <c r="AR52" s="49" t="s">
        <v>43</v>
      </c>
      <c r="AS52" s="49" t="s">
        <v>44</v>
      </c>
      <c r="AT52" s="49" t="s">
        <v>45</v>
      </c>
      <c r="AU52" s="49" t="s">
        <v>46</v>
      </c>
      <c r="AV52" s="49" t="s">
        <v>47</v>
      </c>
      <c r="AW52" s="49" t="s">
        <v>48</v>
      </c>
      <c r="AX52" s="49" t="s">
        <v>49</v>
      </c>
      <c r="AY52" s="49" t="s">
        <v>50</v>
      </c>
      <c r="AZ52" s="49" t="s">
        <v>51</v>
      </c>
      <c r="BA52" s="49" t="s">
        <v>52</v>
      </c>
      <c r="BB52" s="49" t="s">
        <v>53</v>
      </c>
      <c r="BC52" s="49" t="s">
        <v>54</v>
      </c>
      <c r="BD52" s="49" t="s">
        <v>55</v>
      </c>
      <c r="BE52" s="49" t="s">
        <v>56</v>
      </c>
      <c r="BF52" s="49" t="s">
        <v>57</v>
      </c>
      <c r="BG52" s="49" t="s">
        <v>58</v>
      </c>
      <c r="BH52" s="49" t="s">
        <v>59</v>
      </c>
      <c r="BI52" s="49" t="s">
        <v>60</v>
      </c>
      <c r="BJ52" s="49" t="s">
        <v>61</v>
      </c>
      <c r="BK52" s="49" t="s">
        <v>62</v>
      </c>
      <c r="BL52" s="49" t="s">
        <v>63</v>
      </c>
      <c r="BM52" s="49" t="s">
        <v>330</v>
      </c>
      <c r="BN52" s="49" t="s">
        <v>331</v>
      </c>
      <c r="BO52" s="49" t="s">
        <v>332</v>
      </c>
      <c r="BP52" s="49" t="s">
        <v>333</v>
      </c>
      <c r="BQ52" s="49" t="s">
        <v>334</v>
      </c>
      <c r="BR52" s="49" t="s">
        <v>335</v>
      </c>
      <c r="BS52" s="49" t="s">
        <v>336</v>
      </c>
      <c r="BT52" s="49" t="s">
        <v>337</v>
      </c>
      <c r="BU52" s="49" t="s">
        <v>338</v>
      </c>
      <c r="BV52" s="49" t="s">
        <v>339</v>
      </c>
      <c r="BW52" s="49" t="s">
        <v>340</v>
      </c>
      <c r="BX52" s="49" t="s">
        <v>341</v>
      </c>
      <c r="BY52" s="49" t="s">
        <v>342</v>
      </c>
      <c r="BZ52" s="49" t="s">
        <v>343</v>
      </c>
      <c r="CA52" s="49" t="s">
        <v>390</v>
      </c>
    </row>
    <row r="53" spans="3:79" x14ac:dyDescent="0.3">
      <c r="C53" s="3"/>
      <c r="AO53" s="82"/>
      <c r="AP53" s="82"/>
      <c r="AQ53" s="7">
        <v>1</v>
      </c>
      <c r="AR53" s="6" t="s">
        <v>5</v>
      </c>
      <c r="AS53" s="6" t="s">
        <v>5</v>
      </c>
      <c r="AT53" s="6" t="s">
        <v>4</v>
      </c>
      <c r="AU53" s="6" t="s">
        <v>5</v>
      </c>
      <c r="AV53" s="6" t="s">
        <v>5</v>
      </c>
      <c r="AW53" s="6" t="s">
        <v>5</v>
      </c>
      <c r="AX53" s="6" t="s">
        <v>5</v>
      </c>
      <c r="AY53" s="6" t="s">
        <v>2</v>
      </c>
      <c r="AZ53" s="6" t="s">
        <v>3</v>
      </c>
      <c r="BA53" s="6" t="s">
        <v>4</v>
      </c>
      <c r="BB53" s="6" t="s">
        <v>3</v>
      </c>
      <c r="BC53" s="6" t="s">
        <v>3</v>
      </c>
      <c r="BD53" s="6" t="s">
        <v>5</v>
      </c>
      <c r="BE53" s="6" t="s">
        <v>3</v>
      </c>
      <c r="BF53" s="6" t="s">
        <v>3</v>
      </c>
      <c r="BG53" s="6" t="s">
        <v>5</v>
      </c>
      <c r="BH53" s="6" t="s">
        <v>3</v>
      </c>
      <c r="BI53" s="119" t="s">
        <v>2</v>
      </c>
      <c r="BJ53" s="6" t="s">
        <v>5</v>
      </c>
      <c r="BK53" s="6" t="s">
        <v>4</v>
      </c>
      <c r="BL53" s="6" t="s">
        <v>3</v>
      </c>
      <c r="BM53" s="6" t="s">
        <v>2</v>
      </c>
      <c r="BN53" s="6" t="s">
        <v>3</v>
      </c>
      <c r="BO53" s="6" t="s">
        <v>3</v>
      </c>
      <c r="BP53" s="6" t="s">
        <v>3</v>
      </c>
      <c r="BQ53" s="6" t="s">
        <v>4</v>
      </c>
      <c r="BR53" s="6" t="s">
        <v>4</v>
      </c>
      <c r="BS53" s="6" t="s">
        <v>4</v>
      </c>
      <c r="BT53" s="6" t="s">
        <v>4</v>
      </c>
      <c r="BU53" s="6" t="s">
        <v>3</v>
      </c>
      <c r="BV53" s="6" t="s">
        <v>4</v>
      </c>
      <c r="BW53" s="6" t="s">
        <v>3</v>
      </c>
      <c r="BX53" s="6" t="s">
        <v>3</v>
      </c>
      <c r="BY53" s="6" t="s">
        <v>4</v>
      </c>
      <c r="BZ53" s="6" t="s">
        <v>4</v>
      </c>
      <c r="CA53" s="6" t="s">
        <v>3</v>
      </c>
    </row>
    <row r="54" spans="3:79" x14ac:dyDescent="0.3">
      <c r="C54" s="3"/>
      <c r="AO54" s="80" t="s">
        <v>504</v>
      </c>
      <c r="AP54" s="80"/>
      <c r="AQ54" s="6">
        <f>PRODUCT('Data Training 2'!AW22,'Data Training 2'!AT34,'Data Training 2'!AT40,'Data Training 2'!AT43,'Data Training 2'!AT52,'Data Training 2'!AT58,'Data Training 2'!AT64,'Data Training 2'!AT70,'Data Training 2'!AT75,'Data Training 2'!AT80,'Data Training 2'!AT85,'Data Training 2'!AT92,'Data Training 2'!AT98,'Data Training 2'!AT106,'Data Training 2'!AT110,'Data Training 2'!AT116,'Data Training 2'!AT124,'Data Training 2'!AT128,'Data Training 2'!AT135,'Data Training 2'!AT142,'Data Training 2'!AT145,'Data Training 2'!AT152,'Data Training 2'!AT159,'Data Training 2'!AT164,'Data Training 2'!AT168,'Data Training 2'!AT172,'Data Training 2'!AT175,'Data Training 2'!AT179,'Data Training 2'!AT183,'Data Training 2'!AT187,'Data Training 2'!AT192,'Data Training 2'!AT195,'Data Training 2'!AT200,'Data Training 2'!AT204,'Data Training 2'!AT207,'Data Training 2'!AT211,'Data Training 2'!AT216)</f>
        <v>0</v>
      </c>
    </row>
    <row r="55" spans="3:79" x14ac:dyDescent="0.3">
      <c r="C55" s="3"/>
      <c r="AO55" s="80" t="s">
        <v>505</v>
      </c>
      <c r="AP55" s="80"/>
      <c r="AQ55" s="6">
        <f>PRODUCT('Data Training 2'!AW23,'Data Training 2'!AU34,'Data Training 2'!AU40,'Data Training 2'!AU43,'Data Training 2'!AU52,'Data Training 2'!AU58,'Data Training 2'!AU64,'Data Training 2'!AU70,'Data Training 2'!AU75,'Data Training 2'!AU80,'Data Training 2'!AU85,'Data Training 2'!AU92,'Data Training 2'!AU98,'Data Training 2'!AU106,'Data Training 2'!AU110,'Data Training 2'!AU116,'Data Training 2'!AU124,'Data Training 2'!AU128,'Data Training 2'!AU135,'Data Training 2'!AU142,'Data Training 2'!AU145,'Data Training 2'!AU152,'Data Training 2'!AU159,'Data Training 2'!AU164,'Data Training 2'!AU168,'Data Training 2'!AU172,'Data Training 2'!AU175,'Data Training 2'!AU179,'Data Training 2'!AU183,'Data Training 2'!AU187,'Data Training 2'!AU192,'Data Training 2'!AU195,'Data Training 2'!AU200,'Data Training 2'!AU204,'Data Training 2'!AU207,'Data Training 2'!AU211,'Data Training 2'!AU216)</f>
        <v>3.6958427972449035E-13</v>
      </c>
    </row>
    <row r="56" spans="3:79" x14ac:dyDescent="0.3">
      <c r="AO56" s="80" t="s">
        <v>506</v>
      </c>
      <c r="AP56" s="80"/>
      <c r="AQ56" s="6">
        <f>PRODUCT('Data Training 2'!AW24,'Data Training 2'!AV34,'Data Training 2'!AV40,'Data Training 2'!AV43,'Data Training 2'!AV52,'Data Training 2'!AV58,'Data Training 2'!AV64,'Data Training 2'!AV70,'Data Training 2'!AV75,'Data Training 2'!AV80,'Data Training 2'!AV85,'Data Training 2'!AV92,'Data Training 2'!AV98,'Data Training 2'!AV106,'Data Training 2'!AV110,'Data Training 2'!AV116,'Data Training 2'!AV124,'Data Training 2'!AV128,'Data Training 2'!AV135,'Data Training 2'!AV142,'Data Training 2'!AV145,'Data Training 2'!AV152,'Data Training 2'!AV159,'Data Training 2'!AV164,'Data Training 2'!AV168,'Data Training 2'!AV172,'Data Training 2'!AV175,'Data Training 2'!AV179,'Data Training 2'!AV183,'Data Training 2'!AV187,'Data Training 2'!AV192,'Data Training 2'!AV195,'Data Training 2'!AV200,'Data Training 2'!AV204,'Data Training 2'!AV207,'Data Training 2'!AV211,'Data Training 2'!AV216)</f>
        <v>0</v>
      </c>
    </row>
    <row r="57" spans="3:79" x14ac:dyDescent="0.3">
      <c r="AO57" s="80" t="s">
        <v>507</v>
      </c>
      <c r="AP57" s="80"/>
      <c r="AQ57" s="6">
        <f>PRODUCT('Data Training 2'!AW25,'Data Training 2'!AW34,'Data Training 2'!AW40,'Data Training 2'!AW43,'Data Training 2'!AW52,'Data Training 2'!AW58,'Data Training 2'!AW64,'Data Training 2'!AW70,'Data Training 2'!AW75,'Data Training 2'!AW80,'Data Training 2'!AW85,'Data Training 2'!AW92,'Data Training 2'!AW98,'Data Training 2'!AW106,'Data Training 2'!AW110,'Data Training 2'!AW116,'Data Training 2'!AW124,'Data Training 2'!AW128,'Data Training 2'!AW135,'Data Training 2'!AW142,'Data Training 2'!AW145,'Data Training 2'!AW152,'Data Training 2'!AW159,'Data Training 2'!AW164,'Data Training 2'!AW168,'Data Training 2'!AW172,'Data Training 2'!AW175,'Data Training 2'!AW179,'Data Training 2'!AW183,'Data Training 2'!AW187,'Data Training 2'!AW192,'Data Training 2'!AW195,'Data Training 2'!AW200,'Data Training 2'!AW204,'Data Training 2'!AW207,'Data Training 2'!AW211,'Data Training 2'!AW216)</f>
        <v>1.3717466576084012E-12</v>
      </c>
    </row>
    <row r="58" spans="3:79" x14ac:dyDescent="0.3">
      <c r="AO58" s="80" t="s">
        <v>508</v>
      </c>
      <c r="AP58" s="80"/>
      <c r="AQ58" s="6">
        <f>PRODUCT('Data Training 2'!AW26,'Data Training 2'!AX34,'Data Training 2'!AX40,'Data Training 2'!AX43,'Data Training 2'!AX52,'Data Training 2'!AX58,'Data Training 2'!AX64,'Data Training 2'!AX70,'Data Training 2'!AX75,'Data Training 2'!AX80,'Data Training 2'!AX85,'Data Training 2'!AX92,'Data Training 2'!AX98,'Data Training 2'!AX106,'Data Training 2'!AX110,'Data Training 2'!AX116,'Data Training 2'!AX124,'Data Training 2'!AX128,'Data Training 2'!AX135,'Data Training 2'!AX142,'Data Training 2'!AX145,'Data Training 2'!AX152,'Data Training 2'!AX159,'Data Training 2'!AX164,'Data Training 2'!AX168,'Data Training 2'!AX172,'Data Training 2'!AX175,'Data Training 2'!AX179,'Data Training 2'!AX183,'Data Training 2'!AX187,'Data Training 2'!AX192,'Data Training 2'!AX195,'Data Training 2'!AX200,'Data Training 2'!AX204,'Data Training 2'!AX207,'Data Training 2'!AX211,'Data Training 2'!AX216)</f>
        <v>0</v>
      </c>
    </row>
    <row r="59" spans="3:79" x14ac:dyDescent="0.3">
      <c r="AO59" s="80" t="s">
        <v>509</v>
      </c>
      <c r="AP59" s="80"/>
      <c r="AQ59" s="6">
        <f>PRODUCT('Data Training 2'!AW27,'Data Training 2'!AY34,'Data Training 2'!AY40,'Data Training 2'!AY43,'Data Training 2'!AY52,'Data Training 2'!AY58,'Data Training 2'!AY64,'Data Training 2'!AY70,'Data Training 2'!AY75,'Data Training 2'!AY80,'Data Training 2'!AY85,'Data Training 2'!AY92,'Data Training 2'!AY98,'Data Training 2'!AY106,'Data Training 2'!AY110,'Data Training 2'!AY116,'Data Training 2'!AY124,'Data Training 2'!AY128,'Data Training 2'!AY135,'Data Training 2'!AY142,'Data Training 2'!AY145,'Data Training 2'!AY152,'Data Training 2'!AY159,'Data Training 2'!AY164,'Data Training 2'!AY168,'Data Training 2'!AY172,'Data Training 2'!AY175,'Data Training 2'!AY179,'Data Training 2'!AY183,'Data Training 2'!AY187,'Data Training 2'!AY192,'Data Training 2'!AY195,'Data Training 2'!AY200,'Data Training 2'!AY204,'Data Training 2'!AY207,'Data Training 2'!AY211,'Data Training 2'!AY216)</f>
        <v>8.1491549039744177E-13</v>
      </c>
    </row>
    <row r="60" spans="3:79" x14ac:dyDescent="0.3">
      <c r="AO60" s="78" t="s">
        <v>437</v>
      </c>
      <c r="AP60" s="78"/>
      <c r="AQ60" s="6" t="s">
        <v>298</v>
      </c>
      <c r="AR60" s="81" t="s">
        <v>439</v>
      </c>
      <c r="AS60" s="81"/>
      <c r="AT60" s="81"/>
    </row>
    <row r="62" spans="3:79" x14ac:dyDescent="0.3">
      <c r="AN62">
        <v>7</v>
      </c>
      <c r="AO62" s="82" t="s">
        <v>11</v>
      </c>
      <c r="AP62" s="82"/>
      <c r="AQ62" s="7" t="s">
        <v>64</v>
      </c>
      <c r="AR62" s="49" t="s">
        <v>43</v>
      </c>
      <c r="AS62" s="49" t="s">
        <v>44</v>
      </c>
      <c r="AT62" s="49" t="s">
        <v>45</v>
      </c>
      <c r="AU62" s="49" t="s">
        <v>46</v>
      </c>
      <c r="AV62" s="49" t="s">
        <v>47</v>
      </c>
      <c r="AW62" s="49" t="s">
        <v>48</v>
      </c>
      <c r="AX62" s="49" t="s">
        <v>49</v>
      </c>
      <c r="AY62" s="49" t="s">
        <v>50</v>
      </c>
      <c r="AZ62" s="49" t="s">
        <v>51</v>
      </c>
      <c r="BA62" s="49" t="s">
        <v>52</v>
      </c>
      <c r="BB62" s="49" t="s">
        <v>53</v>
      </c>
      <c r="BC62" s="49" t="s">
        <v>54</v>
      </c>
      <c r="BD62" s="49" t="s">
        <v>55</v>
      </c>
      <c r="BE62" s="49" t="s">
        <v>56</v>
      </c>
      <c r="BF62" s="49" t="s">
        <v>57</v>
      </c>
      <c r="BG62" s="49" t="s">
        <v>58</v>
      </c>
      <c r="BH62" s="49" t="s">
        <v>59</v>
      </c>
      <c r="BI62" s="49" t="s">
        <v>60</v>
      </c>
      <c r="BJ62" s="49" t="s">
        <v>61</v>
      </c>
      <c r="BK62" s="49" t="s">
        <v>62</v>
      </c>
      <c r="BL62" s="49" t="s">
        <v>63</v>
      </c>
      <c r="BM62" s="49" t="s">
        <v>330</v>
      </c>
      <c r="BN62" s="49" t="s">
        <v>331</v>
      </c>
      <c r="BO62" s="49" t="s">
        <v>332</v>
      </c>
      <c r="BP62" s="49" t="s">
        <v>333</v>
      </c>
      <c r="BQ62" s="49" t="s">
        <v>334</v>
      </c>
      <c r="BR62" s="49" t="s">
        <v>335</v>
      </c>
      <c r="BS62" s="49" t="s">
        <v>336</v>
      </c>
      <c r="BT62" s="49" t="s">
        <v>337</v>
      </c>
      <c r="BU62" s="49" t="s">
        <v>338</v>
      </c>
      <c r="BV62" s="49" t="s">
        <v>339</v>
      </c>
      <c r="BW62" s="49" t="s">
        <v>340</v>
      </c>
      <c r="BX62" s="49" t="s">
        <v>341</v>
      </c>
      <c r="BY62" s="49" t="s">
        <v>342</v>
      </c>
      <c r="BZ62" s="49" t="s">
        <v>343</v>
      </c>
      <c r="CA62" s="49" t="s">
        <v>390</v>
      </c>
    </row>
    <row r="63" spans="3:79" x14ac:dyDescent="0.3">
      <c r="AO63" s="82"/>
      <c r="AP63" s="82"/>
      <c r="AQ63" s="7">
        <v>2</v>
      </c>
      <c r="AR63" s="6" t="s">
        <v>4</v>
      </c>
      <c r="AS63" s="6" t="s">
        <v>5</v>
      </c>
      <c r="AT63" s="6" t="s">
        <v>3</v>
      </c>
      <c r="AU63" s="6" t="s">
        <v>3</v>
      </c>
      <c r="AV63" s="6" t="s">
        <v>5</v>
      </c>
      <c r="AW63" s="6" t="s">
        <v>5</v>
      </c>
      <c r="AX63" s="6" t="s">
        <v>5</v>
      </c>
      <c r="AY63" s="6" t="s">
        <v>2</v>
      </c>
      <c r="AZ63" s="6" t="s">
        <v>2</v>
      </c>
      <c r="BA63" s="6" t="s">
        <v>3</v>
      </c>
      <c r="BB63" s="6" t="s">
        <v>4</v>
      </c>
      <c r="BC63" s="6" t="s">
        <v>2</v>
      </c>
      <c r="BD63" s="119" t="s">
        <v>2</v>
      </c>
      <c r="BE63" s="6" t="s">
        <v>3</v>
      </c>
      <c r="BF63" s="6" t="s">
        <v>4</v>
      </c>
      <c r="BG63" s="6" t="s">
        <v>5</v>
      </c>
      <c r="BH63" s="6" t="s">
        <v>5</v>
      </c>
      <c r="BI63" s="6" t="s">
        <v>5</v>
      </c>
      <c r="BJ63" s="6" t="s">
        <v>4</v>
      </c>
      <c r="BK63" s="6" t="s">
        <v>4</v>
      </c>
      <c r="BL63" s="6" t="s">
        <v>4</v>
      </c>
      <c r="BM63" s="6" t="s">
        <v>4</v>
      </c>
      <c r="BN63" s="6" t="s">
        <v>3</v>
      </c>
      <c r="BO63" s="6" t="s">
        <v>4</v>
      </c>
      <c r="BP63" s="6" t="s">
        <v>4</v>
      </c>
      <c r="BQ63" s="6" t="s">
        <v>4</v>
      </c>
      <c r="BR63" s="6" t="s">
        <v>4</v>
      </c>
      <c r="BS63" s="6" t="s">
        <v>4</v>
      </c>
      <c r="BT63" s="6" t="s">
        <v>4</v>
      </c>
      <c r="BU63" s="6" t="s">
        <v>3</v>
      </c>
      <c r="BV63" s="6" t="s">
        <v>4</v>
      </c>
      <c r="BW63" s="6" t="s">
        <v>4</v>
      </c>
      <c r="BX63" s="6" t="s">
        <v>4</v>
      </c>
      <c r="BY63" s="6" t="s">
        <v>4</v>
      </c>
      <c r="BZ63" s="6" t="s">
        <v>3</v>
      </c>
      <c r="CA63" s="6" t="s">
        <v>3</v>
      </c>
    </row>
    <row r="64" spans="3:79" x14ac:dyDescent="0.3">
      <c r="AO64" s="6" t="s">
        <v>504</v>
      </c>
      <c r="AP64" s="6"/>
      <c r="AQ64" s="6">
        <f>PRODUCT('Data Training 2'!AW22,'Data Training 2'!AT31,'Data Training 2'!AT40,'Data Training 2'!AT44,'Data Training 2'!AT50,'Data Training 2'!AT58,'Data Training 2'!AT64,'Data Training 2'!AT70,'Data Training 2'!AT75,'Data Training 2'!AT81,'Data Training 2'!AT86,'Data Training 2'!AT91,'Data Training 2'!AT99,'Data Training 2'!AT106,'Data Training 2'!AT110,'Data Training 2'!AT115,'Data Training 2'!AT124,'Data Training 2'!AT130,'Data Training 2'!AT136,'Data Training 2'!AT139,'Data Training 2'!AT145,'Data Training 2'!AT151,'Data Training 2'!AT157,'Data Training 2'!AT164,'Data Training 2'!AT167,'Data Training 2'!AT171,'Data Training 2'!AT175,'Data Training 2'!AT179,'Data Training 2'!AT183,'Data Training 2'!AT187,'Data Training 2'!AT192,'Data Training 2'!AT195,'Data Training 2'!AT199,'Data Training 2'!AT203,'Data Training 2'!AT207,'Data Training 2'!AT212,'Data Training 2'!AT216)</f>
        <v>8.843494935497389E-11</v>
      </c>
    </row>
    <row r="65" spans="40:79" x14ac:dyDescent="0.3">
      <c r="AO65" s="6" t="s">
        <v>505</v>
      </c>
      <c r="AP65" s="6"/>
      <c r="AQ65" s="6">
        <f>PRODUCT('Data Training 2'!AW23,'Data Training 2'!AU31,'Data Training 2'!AU40,'Data Training 2'!AU44,'Data Training 2'!AU50,'Data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2'!AU199,'Data Training 2'!AU203,'Data Training 2'!AU207,'Data Training 2'!AU212,'Data Training 2'!AU216)</f>
        <v>2.2740415548421864E-10</v>
      </c>
    </row>
    <row r="66" spans="40:79" x14ac:dyDescent="0.3">
      <c r="AO66" s="80" t="s">
        <v>506</v>
      </c>
      <c r="AP66" s="80"/>
      <c r="AQ66" s="6">
        <f>PRODUCT('Data Training 2'!AW24,'Data Training 2'!AV31,'Data Training 2'!AV40,'Data Training 2'!AV44,'Data Training 2'!AV50,'Data Training 2'!AV58,'Data Training 2'!AV64,'Data Training 2'!AV70,'Data Training 2'!AV75,'Data Training 2'!AV81,'Data Training 2'!AV86,'Data Training 2'!AV91,'Data Training 2'!AV99,'Data Training 2'!AV106,'Data Training 2'!AV110,'Data Training 2'!AV115,'Data Training 2'!AV124,'Data Training 2'!AV130,'Data Training 2'!AV136,'Data Training 2'!AV139,'Data Training 2'!AV145,'Data Training 2'!AV151,'Data Training 2'!AV157,'Data Training 2'!AV164,'Data Training 2'!AV167,'Data Training 2'!AV171,'Data Training 2'!AV175,'Data Training 2'!AV179,'Data Training 2'!AV183,'Data Training 2'!AV187,'Data Training 2'!AV192,'Data Training 2'!AV195,'Data Training 2'!AV199,'Data Training 2'!AV203,'Data Training 2'!AV207,'Data Training 2'!AV212,'Data Training 2'!AV216)</f>
        <v>0</v>
      </c>
    </row>
    <row r="67" spans="40:79" x14ac:dyDescent="0.3">
      <c r="AO67" s="80" t="s">
        <v>507</v>
      </c>
      <c r="AP67" s="80"/>
      <c r="AQ67" s="6">
        <f>PRODUCT('Data Training 2'!AW25,'Data Training 2'!AW31,'Data Training 2'!AW40,'Data Training 2'!AW44,'Data Training 2'!AW50,'Data Training 2'!AW58,'Data Training 2'!AW64,'Data Training 2'!AW70,'Data Training 2'!AW75,'Data Training 2'!AW81,'Data Training 2'!AW86,'Data Training 2'!AW91,'Data Training 2'!AW99,'Data Training 2'!AW106,'Data Training 2'!AW110,'Data Training 2'!AW115,'Data Training 2'!AW124,'Data Training 2'!AW130,'Data Training 2'!AW136,'Data Training 2'!AW139,'Data Training 2'!AW145,'Data Training 2'!AW151,'Data Training 2'!AW157,'Data Training 2'!AW164,'Data Training 2'!AW167,'Data Training 2'!AW171,'Data Training 2'!AW175,'Data Training 2'!AW179,'Data Training 2'!AW183,'Data Training 2'!AW187,'Data Training 2'!AW192,'Data Training 2'!AW195,'Data Training 2'!AW199,'Data Training 2'!AW203,'Data Training 2'!AW207,'Data Training 2'!AW212,'Data Training 2'!AW216)</f>
        <v>0</v>
      </c>
    </row>
    <row r="68" spans="40:79" x14ac:dyDescent="0.3">
      <c r="AO68" s="80" t="s">
        <v>508</v>
      </c>
      <c r="AP68" s="80"/>
      <c r="AQ68" s="6">
        <f>PRODUCT('Data Training 2'!AW26,'Data Training 2'!AX31,'Data Training 2'!AX40,'Data Training 2'!AX44,'Data Training 2'!AX50,'Data Training 2'!AX58,'Data Training 2'!AX64,'Data Training 2'!AX70,'Data Training 2'!AX75,'Data Training 2'!AX81,'Data Training 2'!AX86,'Data Training 2'!AX91,'Data Training 2'!AX99,'Data Training 2'!AX106,'Data Training 2'!AX110,'Data Training 2'!AX115,'Data Training 2'!AX124,'Data Training 2'!AX130,'Data Training 2'!AX136,'Data Training 2'!AX139,'Data Training 2'!AX145,'Data Training 2'!AX151,'Data Training 2'!AX157,'Data Training 2'!AX164,'Data Training 2'!AX167,'Data Training 2'!AX171,'Data Training 2'!AX175,'Data Training 2'!AX179,'Data Training 2'!AX183,'Data Training 2'!AX187,'Data Training 2'!AX192,'Data Training 2'!AX195,'Data Training 2'!AX199,'Data Training 2'!AX203,'Data Training 2'!AX207,'Data Training 2'!AX212,'Data Training 2'!AX216)</f>
        <v>0</v>
      </c>
    </row>
    <row r="69" spans="40:79" x14ac:dyDescent="0.3">
      <c r="AO69" s="80" t="s">
        <v>509</v>
      </c>
      <c r="AP69" s="80"/>
      <c r="AQ69" s="6">
        <f>PRODUCT('Data Training 2'!AW27,'Data Training 2'!AY31,'Data Training 2'!AY40,'Data Training 2'!AY44,'Data Training 2'!AY50,'Data Training 2'!AY58,'Data Training 2'!AY64,'Data Training 2'!AY70,'Data Training 2'!AY75,'Data Training 2'!AY81,'Data Training 2'!AY86,'Data Training 2'!AY91,'Data Training 2'!AY99,'Data Training 2'!AY106,'Data Training 2'!AY110,'Data Training 2'!AY115,'Data Training 2'!AY124,'Data Training 2'!AY130,'Data Training 2'!AY136,'Data Training 2'!AY139,'Data Training 2'!AY145,'Data Training 2'!AY151,'Data Training 2'!AY157,'Data Training 2'!AY164,'Data Training 2'!AY167,'Data Training 2'!AY171,'Data Training 2'!AY175,'Data Training 2'!AY179,'Data Training 2'!AY183,'Data Training 2'!AY187,'Data Training 2'!AY192,'Data Training 2'!AY195,'Data Training 2'!AY199,'Data Training 2'!AY203,'Data Training 2'!AY207,'Data Training 2'!AY212,'Data Training 2'!AY216)</f>
        <v>0</v>
      </c>
    </row>
    <row r="70" spans="40:79" x14ac:dyDescent="0.3">
      <c r="AO70" s="78" t="s">
        <v>437</v>
      </c>
      <c r="AP70" s="78"/>
      <c r="AQ70" s="6" t="s">
        <v>285</v>
      </c>
      <c r="AR70" s="81" t="s">
        <v>439</v>
      </c>
      <c r="AS70" s="81"/>
      <c r="AT70" s="81"/>
    </row>
    <row r="72" spans="40:79" x14ac:dyDescent="0.3">
      <c r="AN72">
        <v>8</v>
      </c>
      <c r="AO72" s="82" t="s">
        <v>12</v>
      </c>
      <c r="AP72" s="82"/>
      <c r="AQ72" s="7" t="s">
        <v>64</v>
      </c>
      <c r="AR72" s="49" t="s">
        <v>43</v>
      </c>
      <c r="AS72" s="49" t="s">
        <v>44</v>
      </c>
      <c r="AT72" s="49" t="s">
        <v>45</v>
      </c>
      <c r="AU72" s="49" t="s">
        <v>46</v>
      </c>
      <c r="AV72" s="49" t="s">
        <v>47</v>
      </c>
      <c r="AW72" s="49" t="s">
        <v>48</v>
      </c>
      <c r="AX72" s="49" t="s">
        <v>49</v>
      </c>
      <c r="AY72" s="49" t="s">
        <v>50</v>
      </c>
      <c r="AZ72" s="49" t="s">
        <v>51</v>
      </c>
      <c r="BA72" s="49" t="s">
        <v>52</v>
      </c>
      <c r="BB72" s="49" t="s">
        <v>53</v>
      </c>
      <c r="BC72" s="49" t="s">
        <v>54</v>
      </c>
      <c r="BD72" s="49" t="s">
        <v>55</v>
      </c>
      <c r="BE72" s="49" t="s">
        <v>56</v>
      </c>
      <c r="BF72" s="49" t="s">
        <v>57</v>
      </c>
      <c r="BG72" s="49" t="s">
        <v>58</v>
      </c>
      <c r="BH72" s="49" t="s">
        <v>59</v>
      </c>
      <c r="BI72" s="49" t="s">
        <v>60</v>
      </c>
      <c r="BJ72" s="49" t="s">
        <v>61</v>
      </c>
      <c r="BK72" s="49" t="s">
        <v>62</v>
      </c>
      <c r="BL72" s="49" t="s">
        <v>63</v>
      </c>
      <c r="BM72" s="49" t="s">
        <v>330</v>
      </c>
      <c r="BN72" s="49" t="s">
        <v>331</v>
      </c>
      <c r="BO72" s="49" t="s">
        <v>332</v>
      </c>
      <c r="BP72" s="49" t="s">
        <v>333</v>
      </c>
      <c r="BQ72" s="49" t="s">
        <v>334</v>
      </c>
      <c r="BR72" s="49" t="s">
        <v>335</v>
      </c>
      <c r="BS72" s="49" t="s">
        <v>336</v>
      </c>
      <c r="BT72" s="49" t="s">
        <v>337</v>
      </c>
      <c r="BU72" s="49" t="s">
        <v>338</v>
      </c>
      <c r="BV72" s="49" t="s">
        <v>339</v>
      </c>
      <c r="BW72" s="49" t="s">
        <v>340</v>
      </c>
      <c r="BX72" s="49" t="s">
        <v>341</v>
      </c>
      <c r="BY72" s="49" t="s">
        <v>342</v>
      </c>
      <c r="BZ72" s="49" t="s">
        <v>343</v>
      </c>
      <c r="CA72" s="49" t="s">
        <v>390</v>
      </c>
    </row>
    <row r="73" spans="40:79" x14ac:dyDescent="0.3">
      <c r="AO73" s="82"/>
      <c r="AP73" s="82"/>
      <c r="AQ73" s="7">
        <v>2</v>
      </c>
      <c r="AR73" s="6" t="s">
        <v>5</v>
      </c>
      <c r="AS73" s="6" t="s">
        <v>3</v>
      </c>
      <c r="AT73" s="6" t="s">
        <v>4</v>
      </c>
      <c r="AU73" s="6" t="s">
        <v>3</v>
      </c>
      <c r="AV73" s="6" t="s">
        <v>5</v>
      </c>
      <c r="AW73" s="6" t="s">
        <v>5</v>
      </c>
      <c r="AX73" s="6" t="s">
        <v>3</v>
      </c>
      <c r="AY73" s="6" t="s">
        <v>4</v>
      </c>
      <c r="AZ73" s="6" t="s">
        <v>3</v>
      </c>
      <c r="BA73" s="6" t="s">
        <v>3</v>
      </c>
      <c r="BB73" s="6" t="s">
        <v>4</v>
      </c>
      <c r="BC73" s="6" t="s">
        <v>4</v>
      </c>
      <c r="BD73" s="6" t="s">
        <v>5</v>
      </c>
      <c r="BE73" s="6" t="s">
        <v>3</v>
      </c>
      <c r="BF73" s="6" t="s">
        <v>4</v>
      </c>
      <c r="BG73" s="6" t="s">
        <v>5</v>
      </c>
      <c r="BH73" s="6" t="s">
        <v>5</v>
      </c>
      <c r="BI73" s="6" t="s">
        <v>5</v>
      </c>
      <c r="BJ73" s="6" t="s">
        <v>4</v>
      </c>
      <c r="BK73" s="6" t="s">
        <v>4</v>
      </c>
      <c r="BL73" s="6" t="s">
        <v>4</v>
      </c>
      <c r="BM73" s="6" t="s">
        <v>4</v>
      </c>
      <c r="BN73" s="6" t="s">
        <v>3</v>
      </c>
      <c r="BO73" s="6" t="s">
        <v>4</v>
      </c>
      <c r="BP73" s="6" t="s">
        <v>4</v>
      </c>
      <c r="BQ73" s="6" t="s">
        <v>4</v>
      </c>
      <c r="BR73" s="6" t="s">
        <v>4</v>
      </c>
      <c r="BS73" s="6" t="s">
        <v>4</v>
      </c>
      <c r="BT73" s="6" t="s">
        <v>4</v>
      </c>
      <c r="BU73" s="6" t="s">
        <v>3</v>
      </c>
      <c r="BV73" s="6" t="s">
        <v>4</v>
      </c>
      <c r="BW73" s="6" t="s">
        <v>3</v>
      </c>
      <c r="BX73" s="6" t="s">
        <v>4</v>
      </c>
      <c r="BY73" s="6" t="s">
        <v>4</v>
      </c>
      <c r="BZ73" s="6" t="s">
        <v>4</v>
      </c>
      <c r="CA73" s="6" t="s">
        <v>3</v>
      </c>
    </row>
    <row r="74" spans="40:79" x14ac:dyDescent="0.3">
      <c r="AO74" s="40" t="s">
        <v>504</v>
      </c>
      <c r="AP74" s="40"/>
      <c r="AQ74" s="40">
        <f>PRODUCT('Data Training 2'!AW22,'Data Training 2'!AT34,'Data Training 2'!AT38,'Data Training 2'!AT43,'Data Training 2'!AT50,'Data Training 2'!AT58,'Data Training 2'!AT64,'Data Training 2'!AT68,'Data Training 2'!AT73,'Data Training 2'!AT80,'Data Training 2'!AT86,'Data Training 2'!AT91,'Data Training 2'!AT97,'Data Training 2'!AT106,'Data Training 2'!AT110,'Data Training 2'!AT115,'Data Training 2'!AT124,'Data Training 2'!AT130,'Data Training 2'!AT136,'Data Training 2'!AT139,'Data Training 2'!AT145,'Data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75" spans="40:79" x14ac:dyDescent="0.3">
      <c r="AO75" s="6" t="s">
        <v>505</v>
      </c>
      <c r="AP75" s="6"/>
      <c r="AQ75" s="6">
        <f>PRODUCT('Data Training 2'!AW23,'Data Training 2'!AU34,'Data Training 2'!AU38,'Data Training 2'!AU43,'Data Training 2'!AU50,'Data Training 2'!AU58,'Data Training 2'!AU64,'Data Training 2'!AU68,'Data Training 2'!AU73,'Data Training 2'!AU80,'Data Training 2'!AU86,'Data Training 2'!AU91,'Data Training 2'!AU97,'Data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9.7025773006599941E-12</v>
      </c>
    </row>
    <row r="76" spans="40:79" x14ac:dyDescent="0.3">
      <c r="AO76" s="80" t="s">
        <v>506</v>
      </c>
      <c r="AP76" s="80"/>
      <c r="AQ76" s="6">
        <f>PRODUCT('Data Training 2'!AW24,'Data Training 2'!AV34,'Data Training 2'!AV38,'Data Training 2'!AV43,'Data Training 2'!AV50,'Data Training 2'!AV58,'Data Training 2'!AV64,'Data Training 2'!AV68,'Data Training 2'!AV73,'Data Training 2'!AV80,'Data Training 2'!AV86,'Data Training 2'!AV91,'Data Training 2'!AV97,'Data Training 2'!AV106,'Data Training 2'!AV110,'Data Training 2'!AV115,'Data Training 2'!AV124,'Data Training 2'!AV130,'Data Training 2'!AV136,'Data Training 2'!AV139,'Data Training 2'!AV145,'Data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77" spans="40:79" x14ac:dyDescent="0.3">
      <c r="AO77" s="80" t="s">
        <v>507</v>
      </c>
      <c r="AP77" s="80"/>
      <c r="AQ77" s="6">
        <f>PRODUCT('Data Training 2'!AW25,'Data Training 2'!AW34,'Data Training 2'!AW38,'Data Training 2'!AW43,'Data Training 2'!AW50,'Data Training 2'!AW58,'Data Training 2'!AW64,'Data Training 2'!AW68,'Data Training 2'!AW73,'Data Training 2'!AW80,'Data Training 2'!AW86,'Data Training 2'!AW91,'Data Training 2'!AW97,'Data Training 2'!AW106,'Data Training 2'!AW110,'Data Training 2'!AW115,'Data Training 2'!AW124,'Data Training 2'!AW130,'Data Training 2'!AW136,'Data Training 2'!AW139,'Data Training 2'!AW145,'Data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78" spans="40:79" x14ac:dyDescent="0.3">
      <c r="AO78" s="80" t="s">
        <v>508</v>
      </c>
      <c r="AP78" s="80"/>
      <c r="AQ78" s="6">
        <f>PRODUCT('Data Training 2'!AW26,'Data Training 2'!AX34,'Data Training 2'!AX38,'Data Training 2'!AX43,'Data Training 2'!AX50,'Data Training 2'!AX58,'Data Training 2'!AX64,'Data Training 2'!AX68,'Data Training 2'!AX73,'Data Training 2'!AX80,'Data Training 2'!AX86,'Data Training 2'!AX91,'Data Training 2'!AX97,'Data Training 2'!AX106,'Data Training 2'!AX110,'Data Training 2'!AX115,'Data Training 2'!AX124,'Data Training 2'!AX130,'Data Training 2'!AX136,'Data Training 2'!AX139,'Data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79" spans="40:79" x14ac:dyDescent="0.3">
      <c r="AO79" s="80" t="s">
        <v>509</v>
      </c>
      <c r="AP79" s="80"/>
      <c r="AQ79" s="6">
        <f>PRODUCT('Data Training 2'!AW27,'Data Training 2'!AY34,'Data Training 2'!AY38,'Data Training 2'!AY43,'Data Training 2'!AY50,'Data Training 2'!AY58,'Data Training 2'!AY64,'Data Training 2'!AY68,'Data Training 2'!AY73,'Data Training 2'!AY80,'Data Training 2'!AY86,'Data Training 2'!AY91,'Data Training 2'!AY97,'Data Training 2'!AY106,'Data Training 2'!AY110,'Data Training 2'!AY115,'Data Training 2'!AY124,'Data Training 2'!AY130,'Data Training 2'!AY136,'Data Training 2'!AY139,'Data Training 2'!AY145,'Data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80" spans="40:79" x14ac:dyDescent="0.3">
      <c r="AO80" s="78" t="s">
        <v>437</v>
      </c>
      <c r="AP80" s="78"/>
      <c r="AQ80" s="6" t="s">
        <v>300</v>
      </c>
      <c r="AR80" s="79" t="s">
        <v>438</v>
      </c>
      <c r="AS80" s="79"/>
      <c r="AT80" s="79"/>
    </row>
    <row r="82" spans="40:79" x14ac:dyDescent="0.3">
      <c r="AN82">
        <v>9</v>
      </c>
      <c r="AO82" s="82" t="s">
        <v>318</v>
      </c>
      <c r="AP82" s="82"/>
      <c r="AQ82" s="7" t="s">
        <v>64</v>
      </c>
      <c r="AR82" s="49" t="s">
        <v>43</v>
      </c>
      <c r="AS82" s="49" t="s">
        <v>44</v>
      </c>
      <c r="AT82" s="49" t="s">
        <v>45</v>
      </c>
      <c r="AU82" s="49" t="s">
        <v>46</v>
      </c>
      <c r="AV82" s="49" t="s">
        <v>47</v>
      </c>
      <c r="AW82" s="49" t="s">
        <v>48</v>
      </c>
      <c r="AX82" s="49" t="s">
        <v>49</v>
      </c>
      <c r="AY82" s="49" t="s">
        <v>50</v>
      </c>
      <c r="AZ82" s="49" t="s">
        <v>51</v>
      </c>
      <c r="BA82" s="49" t="s">
        <v>52</v>
      </c>
      <c r="BB82" s="49" t="s">
        <v>53</v>
      </c>
      <c r="BC82" s="49" t="s">
        <v>54</v>
      </c>
      <c r="BD82" s="49" t="s">
        <v>55</v>
      </c>
      <c r="BE82" s="49" t="s">
        <v>56</v>
      </c>
      <c r="BF82" s="49" t="s">
        <v>57</v>
      </c>
      <c r="BG82" s="49" t="s">
        <v>58</v>
      </c>
      <c r="BH82" s="49" t="s">
        <v>59</v>
      </c>
      <c r="BI82" s="49" t="s">
        <v>60</v>
      </c>
      <c r="BJ82" s="49" t="s">
        <v>61</v>
      </c>
      <c r="BK82" s="49" t="s">
        <v>62</v>
      </c>
      <c r="BL82" s="49" t="s">
        <v>63</v>
      </c>
      <c r="BM82" s="49" t="s">
        <v>330</v>
      </c>
      <c r="BN82" s="49" t="s">
        <v>331</v>
      </c>
      <c r="BO82" s="49" t="s">
        <v>332</v>
      </c>
      <c r="BP82" s="49" t="s">
        <v>333</v>
      </c>
      <c r="BQ82" s="49" t="s">
        <v>334</v>
      </c>
      <c r="BR82" s="49" t="s">
        <v>335</v>
      </c>
      <c r="BS82" s="49" t="s">
        <v>336</v>
      </c>
      <c r="BT82" s="49" t="s">
        <v>337</v>
      </c>
      <c r="BU82" s="49" t="s">
        <v>338</v>
      </c>
      <c r="BV82" s="49" t="s">
        <v>339</v>
      </c>
      <c r="BW82" s="49" t="s">
        <v>340</v>
      </c>
      <c r="BX82" s="49" t="s">
        <v>341</v>
      </c>
      <c r="BY82" s="49" t="s">
        <v>342</v>
      </c>
      <c r="BZ82" s="49" t="s">
        <v>343</v>
      </c>
      <c r="CA82" s="49" t="s">
        <v>390</v>
      </c>
    </row>
    <row r="83" spans="40:79" x14ac:dyDescent="0.3">
      <c r="AO83" s="82"/>
      <c r="AP83" s="82"/>
      <c r="AQ83" s="7">
        <v>2</v>
      </c>
      <c r="AR83" s="6" t="s">
        <v>4</v>
      </c>
      <c r="AS83" s="6" t="s">
        <v>5</v>
      </c>
      <c r="AT83" s="6" t="s">
        <v>3</v>
      </c>
      <c r="AU83" s="6" t="s">
        <v>5</v>
      </c>
      <c r="AV83" s="6" t="s">
        <v>5</v>
      </c>
      <c r="AW83" s="6" t="s">
        <v>5</v>
      </c>
      <c r="AX83" s="6" t="s">
        <v>5</v>
      </c>
      <c r="AY83" s="6" t="s">
        <v>2</v>
      </c>
      <c r="AZ83" s="6" t="s">
        <v>3</v>
      </c>
      <c r="BA83" s="6" t="s">
        <v>2</v>
      </c>
      <c r="BB83" s="6" t="s">
        <v>3</v>
      </c>
      <c r="BC83" s="6" t="s">
        <v>2</v>
      </c>
      <c r="BD83" s="6" t="s">
        <v>5</v>
      </c>
      <c r="BE83" s="6" t="s">
        <v>3</v>
      </c>
      <c r="BF83" s="6" t="s">
        <v>3</v>
      </c>
      <c r="BG83" s="6" t="s">
        <v>5</v>
      </c>
      <c r="BH83" s="6" t="s">
        <v>5</v>
      </c>
      <c r="BI83" s="6" t="s">
        <v>5</v>
      </c>
      <c r="BJ83" s="6" t="s">
        <v>4</v>
      </c>
      <c r="BK83" s="6" t="s">
        <v>4</v>
      </c>
      <c r="BL83" s="6" t="s">
        <v>3</v>
      </c>
      <c r="BM83" s="6" t="s">
        <v>2</v>
      </c>
      <c r="BN83" s="6" t="s">
        <v>3</v>
      </c>
      <c r="BO83" s="6" t="s">
        <v>4</v>
      </c>
      <c r="BP83" s="6" t="s">
        <v>4</v>
      </c>
      <c r="BQ83" s="6" t="s">
        <v>4</v>
      </c>
      <c r="BR83" s="6" t="s">
        <v>4</v>
      </c>
      <c r="BS83" s="6" t="s">
        <v>4</v>
      </c>
      <c r="BT83" s="6" t="s">
        <v>4</v>
      </c>
      <c r="BU83" s="6" t="s">
        <v>3</v>
      </c>
      <c r="BV83" s="6" t="s">
        <v>4</v>
      </c>
      <c r="BW83" s="6" t="s">
        <v>4</v>
      </c>
      <c r="BX83" s="6" t="s">
        <v>4</v>
      </c>
      <c r="BY83" s="6" t="s">
        <v>4</v>
      </c>
      <c r="BZ83" s="6" t="s">
        <v>4</v>
      </c>
      <c r="CA83" s="6" t="s">
        <v>3</v>
      </c>
    </row>
    <row r="84" spans="40:79" x14ac:dyDescent="0.3">
      <c r="AO84" s="80" t="s">
        <v>504</v>
      </c>
      <c r="AP84" s="80"/>
      <c r="AQ84" s="6">
        <f>'Data Training 2'!AW22*'Data Training 2'!AT31*'Data Training 2'!AT40*'Data Training 2'!AT44*'Data Training 2'!AT52*'Data Training 2'!AT58*'Data Training 2'!AT64*'Data Training 2'!AT70*'Data Training 2'!AT75*'Data Training 2'!AT80*'Data Training 2'!AT87*'Data Training 2'!AT92*'Data Training 2'!AT99*'Data Training 2'!AT106*'Data Training 2'!AT110*'Data Training 2'!AT116*'Data Training 2'!AT124*'Data Training 2'!AT130*'Data Training 2'!AT136*'Data Training 2'!AT139*'Data Training 2'!AT145*'Data Training 2'!AT152*'Data Training 2'!AT159*'Data Training 2'!AT164*'Data Training 2'!AT167*'Data Training 2'!AT171*'Data Training 2'!AT175*'Data Training 2'!AT179*'Data Training 2'!AT183*'Data Training 2'!AT187*'Data Training 2'!AT192*'Data Training 2'!AT195*'Data Training 2'!AT199*'Data Training 2'!AT203*'Data Training 2'!AT207*'Data Training 2'!AT211*'Data Training 2'!AT216</f>
        <v>5.7777500245249601E-10</v>
      </c>
    </row>
    <row r="85" spans="40:79" x14ac:dyDescent="0.3">
      <c r="AO85" s="6" t="s">
        <v>505</v>
      </c>
      <c r="AP85" s="6"/>
      <c r="AQ85" s="6">
        <f>'Data Training 2'!AW23*'Data Training 2'!AU31*'Data Training 2'!AU40*'Data Training 2'!AU44*'Data Training 2'!AU52*'Data Training 2'!AU58*'Data Training 2'!AU64*'Data Training 2'!AU70*'Data Training 2'!AU75*'Data Training 2'!AU80*'Data Training 2'!AU87*'Data Training 2'!AU92*'Data Training 2'!AU99*'Data Training 2'!AU106*'Data Training 2'!AU110*'Data Training 2'!AU116*'Data Training 2'!AU124*'Data Training 2'!AU130*'Data Training 2'!AU136*'Data Training 2'!AU139*'Data Training 2'!AU145*'Data Training 2'!AU152*'Data Training 2'!AU159*'Data Training 2'!AU164*'Data Training 2'!AU167*'Data Training 2'!AU171*'Data Training 2'!AU175*'Data Training 2'!AU179*'Data Training 2'!AU183*'Data Training 2'!AU187*'Data Training 2'!AU192*'Data Training 2'!AU195*'Data Training 2'!AU199*'Data Training 2'!AU203*'Data Training 2'!AU207*'Data Training 2'!AU211*'Data Training 2'!AU216</f>
        <v>3.2198182449597615E-9</v>
      </c>
    </row>
    <row r="86" spans="40:79" x14ac:dyDescent="0.3">
      <c r="AO86" s="80" t="s">
        <v>506</v>
      </c>
      <c r="AP86" s="80"/>
      <c r="AQ86" s="6">
        <f>'Data Training 2'!AW24*'Data Training 2'!AV31*'Data Training 2'!AV40*'Data Training 2'!AV44*'Data Training 2'!AV52*'Data Training 2'!AV58*'Data Training 2'!AV64*'Data Training 2'!AV70*'Data Training 2'!AV75*'Data Training 2'!AV80*'Data Training 2'!AV87*'Data Training 2'!AV92*'Data Training 2'!AV99*'Data Training 2'!AV106*'Data Training 2'!AV110*'Data Training 2'!AV116*'Data Training 2'!AV124*'Data Training 2'!AV130*'Data Training 2'!AV136*'Data Training 2'!AV139*'Data Training 2'!AV145*'Data Training 2'!AV152*'Data Training 2'!AV159*'Data Training 2'!AV164*'Data Training 2'!AV167*'Data Training 2'!AV171*'Data Training 2'!AV175*'Data Training 2'!AV179*'Data Training 2'!AV183*'Data Training 2'!AV187*'Data Training 2'!AV192*'Data Training 2'!AV195*'Data Training 2'!AV199*'Data Training 2'!AV203*'Data Training 2'!AV207*'Data Training 2'!AV211*'Data Training 2'!AV216</f>
        <v>2.2132924675319188E-9</v>
      </c>
    </row>
    <row r="87" spans="40:79" x14ac:dyDescent="0.3">
      <c r="AO87" s="80" t="s">
        <v>507</v>
      </c>
      <c r="AP87" s="80"/>
      <c r="AQ87" s="6">
        <f>'Data Training 2'!AW25*'Data Training 2'!AW31*'Data Training 2'!AW40*'Data Training 2'!AW44*'Data Training 2'!AW52*'Data Training 2'!AW58*'Data Training 2'!AW64*'Data Training 2'!AW70*'Data Training 2'!AW75*'Data Training 2'!AW80*'Data Training 2'!AW87*'Data Training 2'!AW92*'Data Training 2'!AW99*'Data Training 2'!AW106*'Data Training 2'!AW110*'Data Training 2'!AW116*'Data Training 2'!AW124*'Data Training 2'!AW130*'Data Training 2'!AW136*'Data Training 2'!AW139*'Data Training 2'!AW145*'Data Training 2'!AW152*'Data Training 2'!AW159*'Data Training 2'!AW164*'Data Training 2'!AW167*'Data Training 2'!AW171*'Data Training 2'!AW175*'Data Training 2'!AW179*'Data Training 2'!AW183*'Data Training 2'!AW187*'Data Training 2'!AW192*'Data Training 2'!AW195*'Data Training 2'!AW199*'Data Training 2'!AW203*'Data Training 2'!AW207*'Data Training 2'!AW211*'Data Training 2'!AW216</f>
        <v>0</v>
      </c>
    </row>
    <row r="88" spans="40:79" x14ac:dyDescent="0.3">
      <c r="AO88" s="80" t="s">
        <v>508</v>
      </c>
      <c r="AP88" s="80"/>
      <c r="AQ88" s="6">
        <f>'Data Training 2'!AW26*'Data Training 2'!AX31*'Data Training 2'!AX40*'Data Training 2'!AX44*'Data Training 2'!AX52*'Data Training 2'!AX58*'Data Training 2'!AX64*'Data Training 2'!AX70*'Data Training 2'!AX75*'Data Training 2'!AX80*'Data Training 2'!AX87*'Data Training 2'!AX92*'Data Training 2'!AX99*'Data Training 2'!AX106*'Data Training 2'!AX110*'Data Training 2'!AX116*'Data Training 2'!AX124*'Data Training 2'!AX130*'Data Training 2'!AX136*'Data Training 2'!AX139*'Data Training 2'!AX145*'Data Training 2'!AX152*'Data Training 2'!AX159*'Data Training 2'!AX164*'Data Training 2'!AX167*'Data Training 2'!AX171*'Data Training 2'!AX175*'Data Training 2'!AX179*'Data Training 2'!AX183*'Data Training 2'!AX187*'Data Training 2'!AX192*'Data Training 2'!AX195*'Data Training 2'!AX199*'Data Training 2'!AX203*'Data Training 2'!AX207*'Data Training 2'!AX211*'Data Training 2'!AX216</f>
        <v>0</v>
      </c>
    </row>
    <row r="89" spans="40:79" x14ac:dyDescent="0.3">
      <c r="AO89" s="80" t="s">
        <v>509</v>
      </c>
      <c r="AP89" s="80"/>
      <c r="AQ89" s="6">
        <f>'Data Training 2'!AW27*'Data Training 2'!AY31*'Data Training 2'!AY40*'Data Training 2'!AY44*'Data Training 2'!AY52*'Data Training 2'!AY58*'Data Training 2'!AY64*'Data Training 2'!AY70*'Data Training 2'!AY75*'Data Training 2'!AY80*'Data Training 2'!AY87*'Data Training 2'!AY92*'Data Training 2'!AY99*'Data Training 2'!AY106*'Data Training 2'!AY110*'Data Training 2'!AY116*'Data Training 2'!AY124*'Data Training 2'!AY130*'Data Training 2'!AY136*'Data Training 2'!AY139*'Data Training 2'!AY145*'Data Training 2'!AY152*'Data Training 2'!AY159*'Data Training 2'!AY164*'Data Training 2'!AY167*'Data Training 2'!AY171*'Data Training 2'!AY175*'Data Training 2'!AY179*'Data Training 2'!AY183*'Data Training 2'!AY187*'Data Training 2'!AY192*'Data Training 2'!AY195*'Data Training 2'!AY199*'Data Training 2'!AY203*'Data Training 2'!AY207*'Data Training 2'!AY211*'Data Training 2'!AY216</f>
        <v>2.0169158387336675E-12</v>
      </c>
    </row>
    <row r="90" spans="40:79" x14ac:dyDescent="0.3">
      <c r="AO90" s="78" t="s">
        <v>437</v>
      </c>
      <c r="AP90" s="78"/>
      <c r="AQ90" s="6" t="s">
        <v>285</v>
      </c>
      <c r="AR90" s="81" t="s">
        <v>439</v>
      </c>
      <c r="AS90" s="81"/>
      <c r="AT90" s="81"/>
    </row>
    <row r="92" spans="40:79" x14ac:dyDescent="0.3">
      <c r="AN92">
        <v>10</v>
      </c>
      <c r="AO92" s="82" t="s">
        <v>463</v>
      </c>
      <c r="AP92" s="82"/>
      <c r="AQ92" s="7" t="s">
        <v>64</v>
      </c>
      <c r="AR92" s="49" t="s">
        <v>43</v>
      </c>
      <c r="AS92" s="49" t="s">
        <v>44</v>
      </c>
      <c r="AT92" s="49" t="s">
        <v>45</v>
      </c>
      <c r="AU92" s="49" t="s">
        <v>46</v>
      </c>
      <c r="AV92" s="49" t="s">
        <v>47</v>
      </c>
      <c r="AW92" s="49" t="s">
        <v>48</v>
      </c>
      <c r="AX92" s="49" t="s">
        <v>49</v>
      </c>
      <c r="AY92" s="49" t="s">
        <v>50</v>
      </c>
      <c r="AZ92" s="49" t="s">
        <v>51</v>
      </c>
      <c r="BA92" s="49" t="s">
        <v>52</v>
      </c>
      <c r="BB92" s="49" t="s">
        <v>53</v>
      </c>
      <c r="BC92" s="49" t="s">
        <v>54</v>
      </c>
      <c r="BD92" s="49" t="s">
        <v>55</v>
      </c>
      <c r="BE92" s="49" t="s">
        <v>56</v>
      </c>
      <c r="BF92" s="49" t="s">
        <v>57</v>
      </c>
      <c r="BG92" s="49" t="s">
        <v>58</v>
      </c>
      <c r="BH92" s="49" t="s">
        <v>59</v>
      </c>
      <c r="BI92" s="49" t="s">
        <v>60</v>
      </c>
      <c r="BJ92" s="49" t="s">
        <v>61</v>
      </c>
      <c r="BK92" s="49" t="s">
        <v>62</v>
      </c>
      <c r="BL92" s="49" t="s">
        <v>63</v>
      </c>
      <c r="BM92" s="49" t="s">
        <v>330</v>
      </c>
      <c r="BN92" s="49" t="s">
        <v>331</v>
      </c>
      <c r="BO92" s="49" t="s">
        <v>332</v>
      </c>
      <c r="BP92" s="49" t="s">
        <v>333</v>
      </c>
      <c r="BQ92" s="49" t="s">
        <v>334</v>
      </c>
      <c r="BR92" s="49" t="s">
        <v>335</v>
      </c>
      <c r="BS92" s="49" t="s">
        <v>336</v>
      </c>
      <c r="BT92" s="49" t="s">
        <v>337</v>
      </c>
      <c r="BU92" s="49" t="s">
        <v>338</v>
      </c>
      <c r="BV92" s="49" t="s">
        <v>339</v>
      </c>
      <c r="BW92" s="49" t="s">
        <v>340</v>
      </c>
      <c r="BX92" s="49" t="s">
        <v>341</v>
      </c>
      <c r="BY92" s="49" t="s">
        <v>342</v>
      </c>
      <c r="BZ92" s="49" t="s">
        <v>343</v>
      </c>
      <c r="CA92" s="49" t="s">
        <v>390</v>
      </c>
    </row>
    <row r="93" spans="40:79" x14ac:dyDescent="0.3">
      <c r="AO93" s="82"/>
      <c r="AP93" s="82"/>
      <c r="AQ93" s="7">
        <v>2</v>
      </c>
      <c r="AR93" s="6" t="s">
        <v>2</v>
      </c>
      <c r="AS93" s="6" t="s">
        <v>3</v>
      </c>
      <c r="AT93" s="6" t="s">
        <v>2</v>
      </c>
      <c r="AU93" s="6" t="s">
        <v>5</v>
      </c>
      <c r="AV93" s="6" t="s">
        <v>5</v>
      </c>
      <c r="AW93" s="6" t="s">
        <v>5</v>
      </c>
      <c r="AX93" s="6" t="s">
        <v>5</v>
      </c>
      <c r="AY93" s="6" t="s">
        <v>2</v>
      </c>
      <c r="AZ93" s="6" t="s">
        <v>3</v>
      </c>
      <c r="BA93" s="6" t="s">
        <v>3</v>
      </c>
      <c r="BB93" s="6" t="s">
        <v>2</v>
      </c>
      <c r="BC93" s="6" t="s">
        <v>5</v>
      </c>
      <c r="BD93" s="6" t="s">
        <v>5</v>
      </c>
      <c r="BE93" s="6" t="s">
        <v>3</v>
      </c>
      <c r="BF93" s="6" t="s">
        <v>2</v>
      </c>
      <c r="BG93" s="6" t="s">
        <v>5</v>
      </c>
      <c r="BH93" s="6" t="s">
        <v>5</v>
      </c>
      <c r="BI93" s="6" t="s">
        <v>5</v>
      </c>
      <c r="BJ93" s="6" t="s">
        <v>5</v>
      </c>
      <c r="BK93" s="6" t="s">
        <v>4</v>
      </c>
      <c r="BL93" s="6" t="s">
        <v>4</v>
      </c>
      <c r="BM93" s="6" t="s">
        <v>4</v>
      </c>
      <c r="BN93" s="6" t="s">
        <v>3</v>
      </c>
      <c r="BO93" s="6" t="s">
        <v>4</v>
      </c>
      <c r="BP93" s="6" t="s">
        <v>4</v>
      </c>
      <c r="BQ93" s="6" t="s">
        <v>4</v>
      </c>
      <c r="BR93" s="6" t="s">
        <v>4</v>
      </c>
      <c r="BS93" s="6" t="s">
        <v>4</v>
      </c>
      <c r="BT93" s="6" t="s">
        <v>4</v>
      </c>
      <c r="BU93" s="6" t="s">
        <v>3</v>
      </c>
      <c r="BV93" s="6" t="s">
        <v>4</v>
      </c>
      <c r="BW93" s="6" t="s">
        <v>3</v>
      </c>
      <c r="BX93" s="6" t="s">
        <v>4</v>
      </c>
      <c r="BY93" s="6" t="s">
        <v>4</v>
      </c>
      <c r="BZ93" s="6" t="s">
        <v>4</v>
      </c>
      <c r="CA93" s="6" t="s">
        <v>3</v>
      </c>
    </row>
    <row r="94" spans="40:79" x14ac:dyDescent="0.3">
      <c r="AO94" s="6" t="s">
        <v>504</v>
      </c>
      <c r="AP94" s="6"/>
      <c r="AQ94" s="6">
        <f>'Data Training 2'!AW22*'Data Training 2'!AT33*'Data Training 2'!AT38*'Data Training 2'!AT45*'Data Training 2'!AT52*'Data Training 2'!AT58*'Data Training 2'!AT64*'Data Training 2'!AT70*'Data Training 2'!AT75*'Data Training 2'!AT80*'Data Training 2'!AT86*'Data Training 2'!AT93*'Data Training 2'!AT100*'Data Training 2'!AT106*'Data Training 2'!AT110*'Data Training 2'!AT117*'Data Training 2'!AT124*'Data Training 2'!AT130*'Data Training 2'!AT136*'Data Training 2'!AT142*'Data Training 2'!AT145*'Data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2.785700904681676E-7</v>
      </c>
    </row>
    <row r="95" spans="40:79" x14ac:dyDescent="0.3">
      <c r="AO95" s="6" t="s">
        <v>505</v>
      </c>
      <c r="AP95" s="6"/>
      <c r="AQ95" s="6">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row>
    <row r="96" spans="40:79" x14ac:dyDescent="0.3">
      <c r="AO96" s="80" t="s">
        <v>506</v>
      </c>
      <c r="AP96" s="80"/>
      <c r="AQ96" s="6">
        <f>'Data Training 2'!AW24*'Data Training 2'!AV33*'Data Training 2'!AV38*'Data Training 2'!AV45*'Data Training 2'!AV52*'Data Training 2'!AV58*'Data Training 2'!AV64*'Data Training 2'!AV70*'Data Training 2'!AV75*'Data Training 2'!AV80*'Data Training 2'!AV86*'Data Training 2'!AV93*'Data Training 2'!AV100*'Data Training 2'!AV106*'Data Training 2'!AV110*'Data Training 2'!AV117*'Data Training 2'!AV124*'Data Training 2'!AV130*'Data Training 2'!AV136*'Data Training 2'!AV142*'Data Training 2'!AV145*'Data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97" spans="40:79" x14ac:dyDescent="0.3">
      <c r="AO97" s="80" t="s">
        <v>507</v>
      </c>
      <c r="AP97" s="80"/>
      <c r="AQ97" s="6">
        <f>'Data Training 2'!AW25*'Data Training 2'!AW33*'Data Training 2'!AW38*'Data Training 2'!AW45*'Data Training 2'!AW52*'Data Training 2'!AW58*'Data Training 2'!AW64*'Data Training 2'!AW70*'Data Training 2'!AW75*'Data Training 2'!AW80*'Data Training 2'!AW86*'Data Training 2'!AW93*'Data Training 2'!AW100*'Data Training 2'!AW106*'Data Training 2'!AW110*'Data Training 2'!AW117*'Data Training 2'!AW124*'Data Training 2'!AW130*'Data Training 2'!AW136*'Data Training 2'!AW142*'Data Training 2'!AW145*'Data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98" spans="40:79" x14ac:dyDescent="0.3">
      <c r="AO98" s="80" t="s">
        <v>508</v>
      </c>
      <c r="AP98" s="80"/>
      <c r="AQ98"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row>
    <row r="99" spans="40:79" x14ac:dyDescent="0.3">
      <c r="AO99" s="80" t="s">
        <v>509</v>
      </c>
      <c r="AP99" s="80"/>
      <c r="AQ99" s="6">
        <f>'Data Training 2'!AW27*'Data Training 2'!AY33*'Data Training 2'!AY38*'Data Training 2'!AY45*'Data Training 2'!AY52*'Data Training 2'!AY58*'Data Training 2'!AY64*'Data Training 2'!AY70*'Data Training 2'!AY75*'Data Training 2'!AY80*'Data Training 2'!AY86*'Data Training 2'!AY93*'Data Training 2'!AY100*'Data Training 2'!AY106*'Data Training 2'!AY110*'Data Training 2'!AY117*'Data Training 2'!AY124*'Data Training 2'!AY130*'Data Training 2'!AY136*'Data Training 2'!AY142*'Data Training 2'!AY145*'Data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00" spans="40:79" x14ac:dyDescent="0.3">
      <c r="AO100" s="78" t="s">
        <v>437</v>
      </c>
      <c r="AP100" s="78"/>
      <c r="AQ100" s="6" t="s">
        <v>300</v>
      </c>
      <c r="AR100" s="79" t="s">
        <v>438</v>
      </c>
      <c r="AS100" s="79"/>
      <c r="AT100" s="79"/>
    </row>
    <row r="102" spans="40:79" x14ac:dyDescent="0.3">
      <c r="AO102" s="82" t="s">
        <v>464</v>
      </c>
      <c r="AP102" s="82"/>
      <c r="AQ102" s="7" t="s">
        <v>64</v>
      </c>
      <c r="AR102" s="49" t="s">
        <v>43</v>
      </c>
      <c r="AS102" s="49" t="s">
        <v>44</v>
      </c>
      <c r="AT102" s="49" t="s">
        <v>45</v>
      </c>
      <c r="AU102" s="49" t="s">
        <v>46</v>
      </c>
      <c r="AV102" s="49" t="s">
        <v>47</v>
      </c>
      <c r="AW102" s="49" t="s">
        <v>48</v>
      </c>
      <c r="AX102" s="49" t="s">
        <v>49</v>
      </c>
      <c r="AY102" s="49" t="s">
        <v>50</v>
      </c>
      <c r="AZ102" s="49" t="s">
        <v>51</v>
      </c>
      <c r="BA102" s="49" t="s">
        <v>52</v>
      </c>
      <c r="BB102" s="49" t="s">
        <v>53</v>
      </c>
      <c r="BC102" s="49" t="s">
        <v>54</v>
      </c>
      <c r="BD102" s="49" t="s">
        <v>55</v>
      </c>
      <c r="BE102" s="49" t="s">
        <v>56</v>
      </c>
      <c r="BF102" s="49" t="s">
        <v>57</v>
      </c>
      <c r="BG102" s="49" t="s">
        <v>58</v>
      </c>
      <c r="BH102" s="49" t="s">
        <v>59</v>
      </c>
      <c r="BI102" s="49" t="s">
        <v>60</v>
      </c>
      <c r="BJ102" s="49" t="s">
        <v>61</v>
      </c>
      <c r="BK102" s="49" t="s">
        <v>62</v>
      </c>
      <c r="BL102" s="49" t="s">
        <v>63</v>
      </c>
      <c r="BM102" s="49" t="s">
        <v>330</v>
      </c>
      <c r="BN102" s="49" t="s">
        <v>331</v>
      </c>
      <c r="BO102" s="49" t="s">
        <v>332</v>
      </c>
      <c r="BP102" s="49" t="s">
        <v>333</v>
      </c>
      <c r="BQ102" s="49" t="s">
        <v>334</v>
      </c>
      <c r="BR102" s="49" t="s">
        <v>335</v>
      </c>
      <c r="BS102" s="49" t="s">
        <v>336</v>
      </c>
      <c r="BT102" s="49" t="s">
        <v>337</v>
      </c>
      <c r="BU102" s="49" t="s">
        <v>338</v>
      </c>
      <c r="BV102" s="49" t="s">
        <v>339</v>
      </c>
      <c r="BW102" s="49" t="s">
        <v>340</v>
      </c>
      <c r="BX102" s="49" t="s">
        <v>341</v>
      </c>
      <c r="BY102" s="49" t="s">
        <v>342</v>
      </c>
      <c r="BZ102" s="49" t="s">
        <v>343</v>
      </c>
      <c r="CA102" s="49" t="s">
        <v>390</v>
      </c>
    </row>
    <row r="103" spans="40:79" x14ac:dyDescent="0.3">
      <c r="AO103" s="82"/>
      <c r="AP103" s="82"/>
      <c r="AQ103" s="7">
        <v>2</v>
      </c>
      <c r="AR103" s="6" t="s">
        <v>4</v>
      </c>
      <c r="AS103" s="6" t="s">
        <v>5</v>
      </c>
      <c r="AT103" s="6" t="s">
        <v>5</v>
      </c>
      <c r="AU103" s="6" t="s">
        <v>5</v>
      </c>
      <c r="AV103" s="6" t="s">
        <v>5</v>
      </c>
      <c r="AW103" s="6" t="s">
        <v>5</v>
      </c>
      <c r="AX103" s="6" t="s">
        <v>5</v>
      </c>
      <c r="AY103" s="6" t="s">
        <v>2</v>
      </c>
      <c r="AZ103" s="6" t="s">
        <v>3</v>
      </c>
      <c r="BA103" s="6" t="s">
        <v>4</v>
      </c>
      <c r="BB103" s="6" t="s">
        <v>4</v>
      </c>
      <c r="BC103" s="6" t="s">
        <v>2</v>
      </c>
      <c r="BD103" s="6" t="s">
        <v>5</v>
      </c>
      <c r="BE103" s="6" t="s">
        <v>4</v>
      </c>
      <c r="BF103" s="6" t="s">
        <v>2</v>
      </c>
      <c r="BG103" s="6" t="s">
        <v>5</v>
      </c>
      <c r="BH103" s="6" t="s">
        <v>2</v>
      </c>
      <c r="BI103" s="6" t="s">
        <v>5</v>
      </c>
      <c r="BJ103" s="6" t="s">
        <v>5</v>
      </c>
      <c r="BK103" s="6" t="s">
        <v>2</v>
      </c>
      <c r="BL103" s="6" t="s">
        <v>4</v>
      </c>
      <c r="BM103" s="6" t="s">
        <v>4</v>
      </c>
      <c r="BN103" s="6" t="s">
        <v>3</v>
      </c>
      <c r="BO103" s="6" t="s">
        <v>4</v>
      </c>
      <c r="BP103" s="6" t="s">
        <v>4</v>
      </c>
      <c r="BQ103" s="6" t="s">
        <v>4</v>
      </c>
      <c r="BR103" s="6" t="s">
        <v>4</v>
      </c>
      <c r="BS103" s="6" t="s">
        <v>4</v>
      </c>
      <c r="BT103" s="6" t="s">
        <v>4</v>
      </c>
      <c r="BU103" s="6" t="s">
        <v>4</v>
      </c>
      <c r="BV103" s="6" t="s">
        <v>4</v>
      </c>
      <c r="BW103" s="6" t="s">
        <v>4</v>
      </c>
      <c r="BX103" s="6" t="s">
        <v>4</v>
      </c>
      <c r="BY103" s="6" t="s">
        <v>4</v>
      </c>
      <c r="BZ103" s="6" t="s">
        <v>4</v>
      </c>
      <c r="CA103" s="6" t="s">
        <v>3</v>
      </c>
    </row>
    <row r="104" spans="40:79" x14ac:dyDescent="0.3">
      <c r="AN104">
        <v>11</v>
      </c>
      <c r="AO104" s="6" t="s">
        <v>504</v>
      </c>
      <c r="AP104" s="6"/>
      <c r="AQ104" s="6">
        <f>'Data Training 2'!AW22*'Data Training 2'!AT31*'Data Training 2'!AT40*'Data Training 2'!AT46*'Data Training 2'!AT52*'Data Training 2'!AT58*'Data Training 2'!AT64*'Data Training 2'!AT70*'Data Training 2'!AT75*'Data Training 2'!AT80*'Data Training 2'!AT85*'Data Training 2'!AT91*'Data Training 2'!AT99*'Data Training 2'!AT106*'Data Training 2'!AT109*'Data Training 2'!AT117*'Data Training 2'!AT124*'Data Training 2'!AT129*'Data Training 2'!AT136*'Data Training 2'!AT142*'Data Training 2'!AT147*'Data Training 2'!AT151*'Data Training 2'!AT157*'Data Training 2'!AT164*'Data Training 2'!AT167*'Data Training 2'!AT171*'Data Training 2'!AT175*'Data Training 2'!AT179*'Data Training 2'!AT183*'Data Training 2'!AT187*'Data Training 2'!AT191*'Data Training 2'!AT195*'Data Training 2'!AT199*'Data Training 2'!AT203*'Data Training 2'!AT207*'Data Training 2'!AT211*'Data Training 2'!AT216</f>
        <v>0</v>
      </c>
    </row>
    <row r="105" spans="40:79" x14ac:dyDescent="0.3">
      <c r="AO105" s="6" t="s">
        <v>505</v>
      </c>
      <c r="AP105" s="6"/>
      <c r="AQ105" s="6">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row>
    <row r="106" spans="40:79" x14ac:dyDescent="0.3">
      <c r="AO106" s="80" t="s">
        <v>506</v>
      </c>
      <c r="AP106" s="80"/>
      <c r="AQ106" s="6">
        <f>'Data Training 2'!AW24*'Data Training 2'!AV33*'Data Training 2'!AV38*'Data Training 2'!AV45*'Data Training 2'!AV52*'Data Training 2'!AV58*'Data Training 2'!AV64*'Data Training 2'!AV70*'Data Training 2'!AV75*'Data Training 2'!AV80*'Data Training 2'!AV86*'Data Training 2'!AV93*'Data Training 2'!AV100*'Data Training 2'!AV106*'Data Training 2'!AV110*'Data Training 2'!AV117*'Data Training 2'!AV124*'Data Training 2'!AV130*'Data Training 2'!AV136*'Data Training 2'!AV142*'Data Training 2'!AV145*'Data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107" spans="40:79" x14ac:dyDescent="0.3">
      <c r="AO107" s="80" t="s">
        <v>507</v>
      </c>
      <c r="AP107" s="80"/>
      <c r="AQ107" s="6">
        <f>'Data Training 2'!AW25*'Data Training 2'!AW33*'Data Training 2'!AW38*'Data Training 2'!AW45*'Data Training 2'!AW52*'Data Training 2'!AW58*'Data Training 2'!AW64*'Data Training 2'!AW70*'Data Training 2'!AW75*'Data Training 2'!AW80*'Data Training 2'!AW86*'Data Training 2'!AW93*'Data Training 2'!AW100*'Data Training 2'!AW106*'Data Training 2'!AW110*'Data Training 2'!AW117*'Data Training 2'!AW124*'Data Training 2'!AW130*'Data Training 2'!AW136*'Data Training 2'!AW142*'Data Training 2'!AW145*'Data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108" spans="40:79" x14ac:dyDescent="0.3">
      <c r="AO108" s="80" t="s">
        <v>508</v>
      </c>
      <c r="AP108" s="80"/>
      <c r="AQ108"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row>
    <row r="109" spans="40:79" x14ac:dyDescent="0.3">
      <c r="AO109" s="80" t="s">
        <v>509</v>
      </c>
      <c r="AP109" s="80"/>
      <c r="AQ109" s="6">
        <f>'Data Training 2'!AW27*'Data Training 2'!AY33*'Data Training 2'!AY38*'Data Training 2'!AY45*'Data Training 2'!AY52*'Data Training 2'!AY58*'Data Training 2'!AY64*'Data Training 2'!AY70*'Data Training 2'!AY75*'Data Training 2'!AY80*'Data Training 2'!AY86*'Data Training 2'!AY93*'Data Training 2'!AY100*'Data Training 2'!AY106*'Data Training 2'!AY110*'Data Training 2'!AY117*'Data Training 2'!AY124*'Data Training 2'!AY130*'Data Training 2'!AY136*'Data Training 2'!AY142*'Data Training 2'!AY145*'Data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10" spans="40:79" x14ac:dyDescent="0.3">
      <c r="AO110" s="78" t="s">
        <v>437</v>
      </c>
      <c r="AP110" s="78"/>
      <c r="AQ110" s="6" t="s">
        <v>300</v>
      </c>
      <c r="AR110" s="74" t="s">
        <v>438</v>
      </c>
      <c r="AS110" s="74"/>
      <c r="AT110" s="74"/>
    </row>
    <row r="112" spans="40:79" x14ac:dyDescent="0.3">
      <c r="AN112">
        <v>12</v>
      </c>
      <c r="AO112" s="82" t="s">
        <v>490</v>
      </c>
      <c r="AP112" s="82"/>
      <c r="AQ112" s="7" t="s">
        <v>64</v>
      </c>
      <c r="AR112" s="49" t="s">
        <v>43</v>
      </c>
      <c r="AS112" s="49" t="s">
        <v>44</v>
      </c>
      <c r="AT112" s="49" t="s">
        <v>45</v>
      </c>
      <c r="AU112" s="49" t="s">
        <v>46</v>
      </c>
      <c r="AV112" s="49" t="s">
        <v>47</v>
      </c>
      <c r="AW112" s="49" t="s">
        <v>48</v>
      </c>
      <c r="AX112" s="49" t="s">
        <v>49</v>
      </c>
      <c r="AY112" s="49" t="s">
        <v>50</v>
      </c>
      <c r="AZ112" s="49" t="s">
        <v>51</v>
      </c>
      <c r="BA112" s="49" t="s">
        <v>52</v>
      </c>
      <c r="BB112" s="49" t="s">
        <v>53</v>
      </c>
      <c r="BC112" s="49" t="s">
        <v>54</v>
      </c>
      <c r="BD112" s="49" t="s">
        <v>55</v>
      </c>
      <c r="BE112" s="49" t="s">
        <v>56</v>
      </c>
      <c r="BF112" s="49" t="s">
        <v>57</v>
      </c>
      <c r="BG112" s="49" t="s">
        <v>58</v>
      </c>
      <c r="BH112" s="49" t="s">
        <v>59</v>
      </c>
      <c r="BI112" s="49" t="s">
        <v>60</v>
      </c>
      <c r="BJ112" s="49" t="s">
        <v>61</v>
      </c>
      <c r="BK112" s="49" t="s">
        <v>62</v>
      </c>
      <c r="BL112" s="49" t="s">
        <v>63</v>
      </c>
      <c r="BM112" s="49" t="s">
        <v>330</v>
      </c>
      <c r="BN112" s="49" t="s">
        <v>331</v>
      </c>
      <c r="BO112" s="49" t="s">
        <v>332</v>
      </c>
      <c r="BP112" s="49" t="s">
        <v>333</v>
      </c>
      <c r="BQ112" s="49" t="s">
        <v>334</v>
      </c>
      <c r="BR112" s="49" t="s">
        <v>335</v>
      </c>
      <c r="BS112" s="49" t="s">
        <v>336</v>
      </c>
      <c r="BT112" s="49" t="s">
        <v>337</v>
      </c>
      <c r="BU112" s="49" t="s">
        <v>338</v>
      </c>
      <c r="BV112" s="49" t="s">
        <v>339</v>
      </c>
      <c r="BW112" s="49" t="s">
        <v>340</v>
      </c>
      <c r="BX112" s="49" t="s">
        <v>341</v>
      </c>
      <c r="BY112" s="49" t="s">
        <v>342</v>
      </c>
      <c r="BZ112" s="49" t="s">
        <v>343</v>
      </c>
      <c r="CA112" s="49" t="s">
        <v>390</v>
      </c>
    </row>
    <row r="113" spans="40:79" x14ac:dyDescent="0.3">
      <c r="AO113" s="82"/>
      <c r="AP113" s="82"/>
      <c r="AQ113" s="7">
        <v>2</v>
      </c>
      <c r="AR113" s="6" t="s">
        <v>4</v>
      </c>
      <c r="AS113" s="6" t="s">
        <v>5</v>
      </c>
      <c r="AT113" s="6" t="s">
        <v>3</v>
      </c>
      <c r="AU113" s="6" t="s">
        <v>2</v>
      </c>
      <c r="AV113" s="6" t="s">
        <v>5</v>
      </c>
      <c r="AW113" s="6" t="s">
        <v>5</v>
      </c>
      <c r="AX113" s="6" t="s">
        <v>5</v>
      </c>
      <c r="AY113" s="6" t="s">
        <v>2</v>
      </c>
      <c r="AZ113" s="6" t="s">
        <v>2</v>
      </c>
      <c r="BA113" s="6" t="s">
        <v>3</v>
      </c>
      <c r="BB113" s="6" t="s">
        <v>4</v>
      </c>
      <c r="BC113" s="6" t="s">
        <v>2</v>
      </c>
      <c r="BD113" s="6" t="s">
        <v>5</v>
      </c>
      <c r="BE113" s="6" t="s">
        <v>3</v>
      </c>
      <c r="BF113" s="6" t="s">
        <v>4</v>
      </c>
      <c r="BG113" s="6" t="s">
        <v>5</v>
      </c>
      <c r="BH113" s="6" t="s">
        <v>5</v>
      </c>
      <c r="BI113" s="6" t="s">
        <v>5</v>
      </c>
      <c r="BJ113" s="6" t="s">
        <v>4</v>
      </c>
      <c r="BK113" s="6" t="s">
        <v>4</v>
      </c>
      <c r="BL113" s="6" t="s">
        <v>3</v>
      </c>
      <c r="BM113" s="6" t="s">
        <v>4</v>
      </c>
      <c r="BN113" s="6" t="s">
        <v>3</v>
      </c>
      <c r="BO113" s="6" t="s">
        <v>4</v>
      </c>
      <c r="BP113" s="6" t="s">
        <v>4</v>
      </c>
      <c r="BQ113" s="6" t="s">
        <v>4</v>
      </c>
      <c r="BR113" s="6" t="s">
        <v>4</v>
      </c>
      <c r="BS113" s="6" t="s">
        <v>4</v>
      </c>
      <c r="BT113" s="6" t="s">
        <v>4</v>
      </c>
      <c r="BU113" s="6" t="s">
        <v>3</v>
      </c>
      <c r="BV113" s="6" t="s">
        <v>4</v>
      </c>
      <c r="BW113" s="6" t="s">
        <v>3</v>
      </c>
      <c r="BX113" s="6" t="s">
        <v>4</v>
      </c>
      <c r="BY113" s="6" t="s">
        <v>4</v>
      </c>
      <c r="BZ113" s="6" t="s">
        <v>4</v>
      </c>
      <c r="CA113" s="6" t="s">
        <v>4</v>
      </c>
    </row>
    <row r="114" spans="40:79" x14ac:dyDescent="0.3">
      <c r="AO114" s="6" t="s">
        <v>504</v>
      </c>
      <c r="AP114" s="6"/>
      <c r="AQ114" s="6">
        <f>'Data Training 2'!AW22*'Data Training 2'!AT31*'Data Training 2'!AT40*'Data Training 2'!AT44*'Data Training 2'!AT51*'Data Training 2'!AT58*'Data Training 2'!AT64*'Data Training 2'!AT70*'Data Training 2'!AT75*'Data Training 2'!AT81*'Data Training 2'!AT86*'Data Training 2'!AT91*'Data Training 2'!AT99*'Data Training 2'!AT106*'Data Training 2'!AT110*'Data Training 2'!AT115*'Data Training 2'!AT124*'Data Training 2'!AT130*'Data Training 2'!AT136*'Data Training 2'!AT139*'Data Training 2'!AT145*'Data Training 2'!AT152*'Data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2'!AT215</f>
        <v>0</v>
      </c>
    </row>
    <row r="115" spans="40:79" x14ac:dyDescent="0.3">
      <c r="AO115" s="6" t="s">
        <v>505</v>
      </c>
      <c r="AP115" s="6"/>
      <c r="AQ115" s="6">
        <f>'Data Training 2'!AW23*'Data Training 2'!AU31*'Data Training 2'!AU40*'Data Training 2'!AU44*'Data Training 2'!AU51*'Data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2'!AU215</f>
        <v>4.3661597852969987E-10</v>
      </c>
    </row>
    <row r="116" spans="40:79" x14ac:dyDescent="0.3">
      <c r="AO116" s="80" t="s">
        <v>506</v>
      </c>
      <c r="AP116" s="80"/>
      <c r="AQ116" s="6">
        <f>'Data Training 2'!AW24*'Data Training 2'!AV31*'Data Training 2'!AV40*'Data Training 2'!AV44*'Data Training 2'!AV51*'Data Training 2'!AV58*'Data Training 2'!AV64*'Data Training 2'!AV70*'Data Training 2'!AV75*'Data Training 2'!AV81*'Data Training 2'!AV86*'Data Training 2'!AV91*'Data Training 2'!AV99*'Data Training 2'!AV106*'Data Training 2'!AV110*'Data Training 2'!AV115*'Data Training 2'!AV124*'Data Training 2'!AV130*'Data Training 2'!AV136*'Data Training 2'!AV139*'Data Training 2'!AV145*'Data Training 2'!AV152*'Data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2'!AV215</f>
        <v>0</v>
      </c>
    </row>
    <row r="117" spans="40:79" x14ac:dyDescent="0.3">
      <c r="AO117" s="80" t="s">
        <v>507</v>
      </c>
      <c r="AP117" s="80"/>
      <c r="AQ117" s="6">
        <f>'Data Training 2'!AW25*'Data Training 2'!AW31*'Data Training 2'!AW40*'Data Training 2'!AW44*'Data Training 2'!AW51*'Data Training 2'!AW58*'Data Training 2'!AW64*'Data Training 2'!AW70*'Data Training 2'!AW75*'Data Training 2'!AW81*'Data Training 2'!AW86*'Data Training 2'!AW91*'Data Training 2'!AW99*'Data Training 2'!AW106*'Data Training 2'!AW110*'Data Training 2'!AW115*'Data Training 2'!AW124*'Data Training 2'!AW130*'Data Training 2'!AW136*'Data Training 2'!AW139*'Data Training 2'!AW145*'Data Training 2'!AW152*'Data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2'!AW215</f>
        <v>0</v>
      </c>
    </row>
    <row r="118" spans="40:79" x14ac:dyDescent="0.3">
      <c r="AO118" s="80" t="s">
        <v>508</v>
      </c>
      <c r="AP118" s="80"/>
      <c r="AQ118" s="6">
        <f>'Data Training 2'!AW26*'Data Training 2'!AX31*'Data Training 2'!AX40*'Data Training 2'!AX44*'Data Training 2'!AX51*'Data Training 2'!AX58*'Data Training 2'!AX64*'Data Training 2'!AX70*'Data Training 2'!AX75*'Data Training 2'!AX81*'Data Training 2'!AX86*'Data Training 2'!AX91*'Data Training 2'!AX99*'Data Training 2'!AX106*'Data Training 2'!AX110*'Data Training 2'!AX115*'Data Training 2'!AX124*'Data Training 2'!AX130*'Data Training 2'!AX136*'Data Training 2'!AX139*'Data Training 2'!AX145*'Data Training 2'!AX152*'Data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2'!AX215</f>
        <v>0</v>
      </c>
    </row>
    <row r="119" spans="40:79" x14ac:dyDescent="0.3">
      <c r="AO119" s="80" t="s">
        <v>509</v>
      </c>
      <c r="AP119" s="80"/>
      <c r="AQ119" s="6">
        <f>'Data Training 2'!AW27*'Data Training 2'!AY31*'Data Training 2'!AY40*'Data Training 2'!AY44*'Data Training 2'!AY51*'Data Training 2'!AY58*'Data Training 2'!AY64*'Data Training 2'!AY70*'Data Training 2'!AY75*'Data Training 2'!AY81*'Data Training 2'!AY86*'Data Training 2'!AY91*'Data Training 2'!AY99*'Data Training 2'!AY106*'Data Training 2'!AY110*'Data Training 2'!AY115*'Data Training 2'!AY124*'Data Training 2'!AY130*'Data Training 2'!AY136*'Data Training 2'!AY139*'Data Training 2'!AY145*'Data Training 2'!AY152*'Data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2'!AY215</f>
        <v>0</v>
      </c>
    </row>
    <row r="120" spans="40:79" x14ac:dyDescent="0.3">
      <c r="AO120" s="78" t="s">
        <v>437</v>
      </c>
      <c r="AP120" s="78"/>
      <c r="AQ120" s="6" t="s">
        <v>300</v>
      </c>
      <c r="AR120" s="79" t="s">
        <v>438</v>
      </c>
      <c r="AS120" s="79"/>
      <c r="AT120" s="79"/>
    </row>
    <row r="122" spans="40:79" x14ac:dyDescent="0.3">
      <c r="AN122">
        <v>13</v>
      </c>
      <c r="AO122" s="82" t="s">
        <v>319</v>
      </c>
      <c r="AP122" s="82"/>
      <c r="AQ122" s="7" t="s">
        <v>64</v>
      </c>
      <c r="AR122" s="49" t="s">
        <v>43</v>
      </c>
      <c r="AS122" s="49" t="s">
        <v>44</v>
      </c>
      <c r="AT122" s="49" t="s">
        <v>45</v>
      </c>
      <c r="AU122" s="49" t="s">
        <v>46</v>
      </c>
      <c r="AV122" s="49" t="s">
        <v>47</v>
      </c>
      <c r="AW122" s="49" t="s">
        <v>48</v>
      </c>
      <c r="AX122" s="49" t="s">
        <v>49</v>
      </c>
      <c r="AY122" s="49" t="s">
        <v>50</v>
      </c>
      <c r="AZ122" s="49" t="s">
        <v>51</v>
      </c>
      <c r="BA122" s="49" t="s">
        <v>52</v>
      </c>
      <c r="BB122" s="49" t="s">
        <v>53</v>
      </c>
      <c r="BC122" s="49" t="s">
        <v>54</v>
      </c>
      <c r="BD122" s="49" t="s">
        <v>55</v>
      </c>
      <c r="BE122" s="49" t="s">
        <v>56</v>
      </c>
      <c r="BF122" s="49" t="s">
        <v>57</v>
      </c>
      <c r="BG122" s="49" t="s">
        <v>58</v>
      </c>
      <c r="BH122" s="49" t="s">
        <v>59</v>
      </c>
      <c r="BI122" s="49" t="s">
        <v>60</v>
      </c>
      <c r="BJ122" s="49" t="s">
        <v>61</v>
      </c>
      <c r="BK122" s="49" t="s">
        <v>62</v>
      </c>
      <c r="BL122" s="49" t="s">
        <v>63</v>
      </c>
      <c r="BM122" s="49" t="s">
        <v>330</v>
      </c>
      <c r="BN122" s="49" t="s">
        <v>331</v>
      </c>
      <c r="BO122" s="49" t="s">
        <v>332</v>
      </c>
      <c r="BP122" s="49" t="s">
        <v>333</v>
      </c>
      <c r="BQ122" s="49" t="s">
        <v>334</v>
      </c>
      <c r="BR122" s="49" t="s">
        <v>335</v>
      </c>
      <c r="BS122" s="49" t="s">
        <v>336</v>
      </c>
      <c r="BT122" s="49" t="s">
        <v>337</v>
      </c>
      <c r="BU122" s="49" t="s">
        <v>338</v>
      </c>
      <c r="BV122" s="49" t="s">
        <v>339</v>
      </c>
      <c r="BW122" s="49" t="s">
        <v>340</v>
      </c>
      <c r="BX122" s="49" t="s">
        <v>341</v>
      </c>
      <c r="BY122" s="49" t="s">
        <v>342</v>
      </c>
      <c r="BZ122" s="49" t="s">
        <v>343</v>
      </c>
      <c r="CA122" s="49" t="s">
        <v>390</v>
      </c>
    </row>
    <row r="123" spans="40:79" x14ac:dyDescent="0.3">
      <c r="AO123" s="82"/>
      <c r="AP123" s="82"/>
      <c r="AQ123" s="7">
        <v>3</v>
      </c>
      <c r="AR123" s="6" t="s">
        <v>2</v>
      </c>
      <c r="AS123" s="6" t="s">
        <v>3</v>
      </c>
      <c r="AT123" s="6" t="s">
        <v>3</v>
      </c>
      <c r="AU123" s="6" t="s">
        <v>2</v>
      </c>
      <c r="AV123" s="6" t="s">
        <v>5</v>
      </c>
      <c r="AW123" s="6" t="s">
        <v>5</v>
      </c>
      <c r="AX123" s="6" t="s">
        <v>5</v>
      </c>
      <c r="AY123" s="6" t="s">
        <v>2</v>
      </c>
      <c r="AZ123" s="6" t="s">
        <v>3</v>
      </c>
      <c r="BA123" s="6" t="s">
        <v>3</v>
      </c>
      <c r="BB123" s="6" t="s">
        <v>3</v>
      </c>
      <c r="BC123" s="6" t="s">
        <v>2</v>
      </c>
      <c r="BD123" s="6" t="s">
        <v>5</v>
      </c>
      <c r="BE123" s="6" t="s">
        <v>3</v>
      </c>
      <c r="BF123" s="6" t="s">
        <v>3</v>
      </c>
      <c r="BG123" s="6" t="s">
        <v>5</v>
      </c>
      <c r="BH123" s="6" t="s">
        <v>5</v>
      </c>
      <c r="BI123" s="6" t="s">
        <v>5</v>
      </c>
      <c r="BJ123" s="6" t="s">
        <v>5</v>
      </c>
      <c r="BK123" s="6" t="s">
        <v>4</v>
      </c>
      <c r="BL123" s="6" t="s">
        <v>3</v>
      </c>
      <c r="BM123" s="6" t="s">
        <v>2</v>
      </c>
      <c r="BN123" s="6" t="s">
        <v>3</v>
      </c>
      <c r="BO123" s="6" t="s">
        <v>4</v>
      </c>
      <c r="BP123" s="6" t="s">
        <v>4</v>
      </c>
      <c r="BQ123" s="6" t="s">
        <v>4</v>
      </c>
      <c r="BR123" s="6" t="s">
        <v>4</v>
      </c>
      <c r="BS123" s="6" t="s">
        <v>4</v>
      </c>
      <c r="BT123" s="6" t="s">
        <v>4</v>
      </c>
      <c r="BU123" s="6" t="s">
        <v>3</v>
      </c>
      <c r="BV123" s="6" t="s">
        <v>4</v>
      </c>
      <c r="BW123" s="6" t="s">
        <v>3</v>
      </c>
      <c r="BX123" s="6" t="s">
        <v>4</v>
      </c>
      <c r="BY123" s="6" t="s">
        <v>4</v>
      </c>
      <c r="BZ123" s="6" t="s">
        <v>3</v>
      </c>
      <c r="CA123" s="6" t="s">
        <v>3</v>
      </c>
    </row>
    <row r="124" spans="40:79" x14ac:dyDescent="0.3">
      <c r="AO124" s="6" t="s">
        <v>504</v>
      </c>
      <c r="AP124" s="6"/>
      <c r="AQ124" s="6">
        <f>'Data Training 2'!AW22*'Data Training 2'!AT33*'Data Training 2'!AT38*'Data Training 2'!AT44*'Data Training 2'!AT51*'Data Training 2'!AT58*'Data Training 2'!AT64*'Data Training 2'!AT70*'Data Training 2'!AT75*'Data Training 2'!AT80*'Data Training 2'!AT86*'Data Training 2'!AT92*'Data Training 2'!AT99*'Data Training 2'!AT106*'Data Training 2'!AT110*'Data Training 2'!AT116*'Data Training 2'!AT124*'Data Training 2'!AT130*'Data Training 2'!AT136*'Data Training 2'!AT142*'Data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0</v>
      </c>
    </row>
    <row r="125" spans="40:79" x14ac:dyDescent="0.3">
      <c r="AO125" s="6" t="s">
        <v>505</v>
      </c>
      <c r="AP125" s="6"/>
      <c r="AQ125" s="6">
        <f>'Data Training 2'!AW23*'Data Training 2'!AU33*'Data Training 2'!AU38*'Data Training 2'!AU44*'Data Training 2'!AU51*'Data Training 2'!AU58*'Data Training 2'!AU64*'Data Training 2'!AU70*'Data Training 2'!AU75*'Data Training 2'!AU80*'Data Training 2'!AU86*'Data Training 2'!AU92*'Data Training 2'!AU99*'Data Training 2'!AU106*'Data Training 2'!AU110*'Data Training 2'!AU116*'Data Training 2'!AU124*'Data Training 2'!AU130*'Data Training 2'!AU136*'Data Training 2'!AU142*'Data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2.2639347034873317E-9</v>
      </c>
    </row>
    <row r="126" spans="40:79" x14ac:dyDescent="0.3">
      <c r="AO126" s="80" t="s">
        <v>506</v>
      </c>
      <c r="AP126" s="80"/>
      <c r="AQ126" s="6">
        <f>'Data Training 2'!AW24*'Data Training 2'!AV33*'Data Training 2'!AV38*'Data Training 2'!AV44*'Data Training 2'!AV51*'Data Training 2'!AV58*'Data Training 2'!AV64*'Data Training 2'!AV70*'Data Training 2'!AV75*'Data Training 2'!AV80*'Data Training 2'!AV86*'Data Training 2'!AV92*'Data Training 2'!AV99*'Data Training 2'!AV106*'Data Training 2'!AV110*'Data Training 2'!AV116*'Data Training 2'!AV124*'Data Training 2'!AV130*'Data Training 2'!AV136*'Data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5.5332311688297959E-8</v>
      </c>
    </row>
    <row r="127" spans="40:79" x14ac:dyDescent="0.3">
      <c r="AO127" s="80" t="s">
        <v>507</v>
      </c>
      <c r="AP127" s="80"/>
      <c r="AQ127" s="6">
        <f>'Data Training 2'!AW25*'Data Training 2'!AW33*'Data Training 2'!AW38*'Data Training 2'!AW44*'Data Training 2'!AW51*'Data Training 2'!AW58*'Data Training 2'!AW64*'Data Training 2'!AW70*'Data Training 2'!AW75*'Data Training 2'!AW80*'Data Training 2'!AW86*'Data Training 2'!AW92*'Data Training 2'!AW99*'Data Training 2'!AW106*'Data Training 2'!AW110*'Data Training 2'!AW116*'Data Training 2'!AW124*'Data Training 2'!AW130*'Data Training 2'!AW136*'Data Training 2'!AW142*'Data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5.0285880902225259E-9</v>
      </c>
    </row>
    <row r="128" spans="40:79" x14ac:dyDescent="0.3">
      <c r="AO128" s="80" t="s">
        <v>508</v>
      </c>
      <c r="AP128" s="80"/>
      <c r="AQ128" s="6">
        <f>'Data Training 2'!AW26*'Data Training 2'!AX33*'Data Training 2'!AX38*'Data Training 2'!AX44*'Data Training 2'!AX51*'Data Training 2'!AX58*'Data Training 2'!AX64*'Data Training 2'!AX70*'Data Training 2'!AX75*'Data Training 2'!AX80*'Data Training 2'!AX86*'Data Training 2'!AX92*'Data Training 2'!AX99*'Data Training 2'!AX106*'Data Training 2'!AX110*'Data Training 2'!AX116*'Data Training 2'!AX124*'Data Training 2'!AX130*'Data Training 2'!AX136*'Data Training 2'!AX142*'Data Training 2'!AX145*'Data Training 2'!AX152*'Data Training 2'!AX159*'Data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0</v>
      </c>
    </row>
    <row r="129" spans="40:79" x14ac:dyDescent="0.3">
      <c r="AO129" s="80" t="s">
        <v>509</v>
      </c>
      <c r="AP129" s="80"/>
      <c r="AQ129" s="6">
        <f>'Data Training 2'!AW27*'Data Training 2'!AY33*'Data Training 2'!AY38*'Data Training 2'!AY44*'Data Training 2'!AY51*'Data Training 2'!AY58*'Data Training 2'!AY64*'Data Training 2'!AY70*'Data Training 2'!AY75*'Data Training 2'!AY80*'Data Training 2'!AY86*'Data Training 2'!AY92*'Data Training 2'!AY99*'Data Training 2'!AY106*'Data Training 2'!AY110*'Data Training 2'!AY116*'Data Training 2'!AY124*'Data Training 2'!AY130*'Data Training 2'!AY136*'Data Training 2'!AY142*'Data Training 2'!AY145*'Data Training 2'!AY152*'Data Training 2'!AY159*'Data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130" spans="40:79" x14ac:dyDescent="0.3">
      <c r="AO130" s="78" t="s">
        <v>437</v>
      </c>
      <c r="AP130" s="78"/>
      <c r="AQ130" s="6" t="s">
        <v>294</v>
      </c>
      <c r="AR130" s="79" t="s">
        <v>438</v>
      </c>
      <c r="AS130" s="79"/>
      <c r="AT130" s="79"/>
    </row>
    <row r="132" spans="40:79" x14ac:dyDescent="0.3">
      <c r="AN132">
        <v>14</v>
      </c>
      <c r="AO132" s="82" t="s">
        <v>501</v>
      </c>
      <c r="AP132" s="82"/>
      <c r="AQ132" s="7" t="s">
        <v>64</v>
      </c>
      <c r="AR132" s="49" t="s">
        <v>43</v>
      </c>
      <c r="AS132" s="49" t="s">
        <v>44</v>
      </c>
      <c r="AT132" s="49" t="s">
        <v>45</v>
      </c>
      <c r="AU132" s="49" t="s">
        <v>46</v>
      </c>
      <c r="AV132" s="49" t="s">
        <v>47</v>
      </c>
      <c r="AW132" s="49" t="s">
        <v>48</v>
      </c>
      <c r="AX132" s="49" t="s">
        <v>49</v>
      </c>
      <c r="AY132" s="49" t="s">
        <v>50</v>
      </c>
      <c r="AZ132" s="49" t="s">
        <v>51</v>
      </c>
      <c r="BA132" s="49" t="s">
        <v>52</v>
      </c>
      <c r="BB132" s="49" t="s">
        <v>53</v>
      </c>
      <c r="BC132" s="49" t="s">
        <v>54</v>
      </c>
      <c r="BD132" s="49" t="s">
        <v>55</v>
      </c>
      <c r="BE132" s="49" t="s">
        <v>56</v>
      </c>
      <c r="BF132" s="49" t="s">
        <v>57</v>
      </c>
      <c r="BG132" s="49" t="s">
        <v>58</v>
      </c>
      <c r="BH132" s="49" t="s">
        <v>59</v>
      </c>
      <c r="BI132" s="49" t="s">
        <v>60</v>
      </c>
      <c r="BJ132" s="49" t="s">
        <v>61</v>
      </c>
      <c r="BK132" s="49" t="s">
        <v>62</v>
      </c>
      <c r="BL132" s="49" t="s">
        <v>63</v>
      </c>
      <c r="BM132" s="49" t="s">
        <v>330</v>
      </c>
      <c r="BN132" s="49" t="s">
        <v>331</v>
      </c>
      <c r="BO132" s="49" t="s">
        <v>332</v>
      </c>
      <c r="BP132" s="49" t="s">
        <v>333</v>
      </c>
      <c r="BQ132" s="49" t="s">
        <v>334</v>
      </c>
      <c r="BR132" s="49" t="s">
        <v>335</v>
      </c>
      <c r="BS132" s="49" t="s">
        <v>336</v>
      </c>
      <c r="BT132" s="49" t="s">
        <v>337</v>
      </c>
      <c r="BU132" s="49" t="s">
        <v>338</v>
      </c>
      <c r="BV132" s="49" t="s">
        <v>339</v>
      </c>
      <c r="BW132" s="49" t="s">
        <v>340</v>
      </c>
      <c r="BX132" s="49" t="s">
        <v>341</v>
      </c>
      <c r="BY132" s="49" t="s">
        <v>342</v>
      </c>
      <c r="BZ132" s="49" t="s">
        <v>343</v>
      </c>
      <c r="CA132" s="49" t="s">
        <v>390</v>
      </c>
    </row>
    <row r="133" spans="40:79" x14ac:dyDescent="0.3">
      <c r="AO133" s="82"/>
      <c r="AP133" s="82"/>
      <c r="AQ133" s="7">
        <v>3</v>
      </c>
      <c r="AR133" s="6" t="s">
        <v>2</v>
      </c>
      <c r="AS133" s="6" t="s">
        <v>3</v>
      </c>
      <c r="AT133" s="6" t="s">
        <v>3</v>
      </c>
      <c r="AU133" s="6" t="s">
        <v>2</v>
      </c>
      <c r="AV133" s="6" t="s">
        <v>5</v>
      </c>
      <c r="AW133" s="6" t="s">
        <v>2</v>
      </c>
      <c r="AX133" s="6" t="s">
        <v>5</v>
      </c>
      <c r="AY133" s="6" t="s">
        <v>2</v>
      </c>
      <c r="AZ133" s="6" t="s">
        <v>3</v>
      </c>
      <c r="BA133" s="6" t="s">
        <v>4</v>
      </c>
      <c r="BB133" s="6" t="s">
        <v>4</v>
      </c>
      <c r="BC133" s="6" t="s">
        <v>5</v>
      </c>
      <c r="BD133" s="6" t="s">
        <v>5</v>
      </c>
      <c r="BE133" s="6" t="s">
        <v>4</v>
      </c>
      <c r="BF133" s="6" t="s">
        <v>5</v>
      </c>
      <c r="BG133" s="6" t="s">
        <v>5</v>
      </c>
      <c r="BH133" s="6" t="s">
        <v>5</v>
      </c>
      <c r="BI133" s="6" t="s">
        <v>5</v>
      </c>
      <c r="BJ133" s="6" t="s">
        <v>5</v>
      </c>
      <c r="BK133" s="6" t="s">
        <v>4</v>
      </c>
      <c r="BL133" s="6" t="s">
        <v>3</v>
      </c>
      <c r="BM133" s="6" t="s">
        <v>4</v>
      </c>
      <c r="BN133" s="6" t="s">
        <v>4</v>
      </c>
      <c r="BO133" s="6" t="s">
        <v>4</v>
      </c>
      <c r="BP133" s="6" t="s">
        <v>4</v>
      </c>
      <c r="BQ133" s="6" t="s">
        <v>4</v>
      </c>
      <c r="BR133" s="6" t="s">
        <v>4</v>
      </c>
      <c r="BS133" s="6" t="s">
        <v>4</v>
      </c>
      <c r="BT133" s="6" t="s">
        <v>4</v>
      </c>
      <c r="BU133" s="6" t="s">
        <v>4</v>
      </c>
      <c r="BV133" s="6" t="s">
        <v>4</v>
      </c>
      <c r="BW133" s="6" t="s">
        <v>3</v>
      </c>
      <c r="BX133" s="6" t="s">
        <v>4</v>
      </c>
      <c r="BY133" s="6" t="s">
        <v>4</v>
      </c>
      <c r="BZ133" s="6" t="s">
        <v>3</v>
      </c>
      <c r="CA133" s="6" t="s">
        <v>4</v>
      </c>
    </row>
    <row r="134" spans="40:79" x14ac:dyDescent="0.3">
      <c r="AO134" s="6" t="s">
        <v>504</v>
      </c>
      <c r="AP134" s="6"/>
      <c r="AQ134" s="6">
        <f>'Data Training 2'!AW22*'Data Training 2'!AT33*'Data Training 2'!AT38*'Data Training 2'!AT44*'Data Training 2'!AT51*'Data Training 2'!AT58*'Data Training 2'!AT63*'Data Training 2'!AT70*'Data Training 2'!AT75*'Data Training 2'!AT80*'Data Training 2'!AT85*'Data Training 2'!AT91*'Data Training 2'!AT100*'Data Training 2'!AT106*'Data Training 2'!AT109*'Data Training 2'!AT118*'Data Training 2'!AT124*'Data Training 2'!AT130*'Data Training 2'!AT136*'Data Training 2'!AT142*'Data Training 2'!AT145*'Data Training 2'!AT152*'Data Training 2'!AT157*'Data Training 2'!AT163*'Data Training 2'!AT167*'Data Training 2'!AT171*'Data Training 2'!AT175*'Data Training 2'!AT179*'Data Training 2'!AT183*'Data Training 2'!AT187*'Data Training 2'!AT191*'Data Training 2'!AT195*'Data Training 2'!AT200*'Data Training 2'!AT203*'Data Training 2'!AT207*'Data Training 2'!AT212*'Data Training 2'!AT215</f>
        <v>0</v>
      </c>
    </row>
    <row r="135" spans="40:79" x14ac:dyDescent="0.3">
      <c r="AO135" s="6" t="s">
        <v>505</v>
      </c>
      <c r="AP135" s="6"/>
      <c r="AQ135" s="6">
        <f>'Data Training 2'!AW23*'Data Training 2'!AU33*'Data Training 2'!AU38*'Data Training 2'!AU44*'Data Training 2'!AU51*'Data Training 2'!AU58*'Data Training 2'!AU63*'Data Training 2'!AU70*'Data Training 2'!AU75*'Data Training 2'!AU80*'Data Training 2'!AU85*'Data Training 2'!AU91*'Data Training 2'!AU100*'Data Training 2'!AU106*'Data Training 2'!AU109*'Data Training 2'!AU118*'Data Training 2'!AU124*'Data Training 2'!AU130*'Data Training 2'!AU136*'Data Training 2'!AU142*'Data Training 2'!AU145*'Data Training 2'!AU152*'Data Training 2'!AU157*'Data Training 2'!AU163*'Data Training 2'!AU167*'Data Training 2'!AU171*'Data Training 2'!AU175*'Data Training 2'!AU179*'Data Training 2'!AU183*'Data Training 2'!AU187*'Data Training 2'!AU191*'Data Training 2'!AU195*'Data Training 2'!AU200*'Data Training 2'!AU203*'Data Training 2'!AU207*'Data Training 2'!AU212*'Data Training 2'!AU215</f>
        <v>0</v>
      </c>
    </row>
    <row r="136" spans="40:79" x14ac:dyDescent="0.3">
      <c r="AO136" s="80" t="s">
        <v>506</v>
      </c>
      <c r="AP136" s="80"/>
      <c r="AQ136" s="6">
        <f>'Data Training 2'!AW25*'Data Training 2'!AV33*'Data Training 2'!AV38*'Data Training 2'!AV44*'Data Training 2'!AV51*'Data Training 2'!AV58*'Data Training 2'!AV63*'Data Training 2'!AV70*'Data Training 2'!AV75*'Data Training 2'!AV80*'Data Training 2'!AV85*'Data Training 2'!AV91*'Data Training 2'!AV100*'Data Training 2'!AV106*'Data Training 2'!AV109*'Data Training 2'!AV118*'Data Training 2'!AV124*'Data Training 2'!AV130*'Data Training 2'!AV136*'Data Training 2'!AV142*'Data Training 2'!AV145*'Data Training 2'!AV152*'Data Training 2'!AV157*'Data Training 2'!AV163*'Data Training 2'!AV167*'Data Training 2'!AV171*'Data Training 2'!AV175*'Data Training 2'!AV179*'Data Training 2'!AV183*'Data Training 2'!AV187*'Data Training 2'!AV191*'Data Training 2'!AV195*'Data Training 2'!AV200*'Data Training 2'!AV203*'Data Training 2'!AV207*'Data Training 2'!AV212*'Data Training 2'!AV215</f>
        <v>7.1134284998730203E-11</v>
      </c>
    </row>
    <row r="137" spans="40:79" x14ac:dyDescent="0.3">
      <c r="AO137" s="80" t="s">
        <v>507</v>
      </c>
      <c r="AP137" s="80"/>
      <c r="AQ137" s="6">
        <f>'Data Training 2'!AW25*'Data Training 2'!AW33*'Data Training 2'!AW38*'Data Training 2'!AW44*'Data Training 2'!AW51*'Data Training 2'!AW58*'Data Training 2'!AW63*'Data Training 2'!AW70*'Data Training 2'!AW75*'Data Training 2'!AW80*'Data Training 2'!AW85*'Data Training 2'!AW91*'Data Training 2'!AW100*'Data Training 2'!AW106*'Data Training 2'!AW109*'Data Training 2'!AW118*'Data Training 2'!AW124*'Data Training 2'!AW130*'Data Training 2'!AW136*'Data Training 2'!AW142*'Data Training 2'!AW145*'Data Training 2'!AW152*'Data Training 2'!AW157*'Data Training 2'!AW163*'Data Training 2'!AW167*'Data Training 2'!AW171*'Data Training 2'!AW175*'Data Training 2'!AW179*'Data Training 2'!AW183*'Data Training 2'!AW187*'Data Training 2'!AW191*'Data Training 2'!AW195*'Data Training 2'!AW200*'Data Training 2'!AW203*'Data Training 2'!AW207*'Data Training 2'!AW212*'Data Training 2'!AW215</f>
        <v>0</v>
      </c>
    </row>
    <row r="138" spans="40:79" x14ac:dyDescent="0.3">
      <c r="AO138" s="80" t="s">
        <v>508</v>
      </c>
      <c r="AP138" s="80"/>
      <c r="AQ138" s="6">
        <f>'Data Training 2'!AW26*'Data Training 2'!AX33*'Data Training 2'!AX38*'Data Training 2'!AX44*'Data Training 2'!AX51*'Data Training 2'!AX58*'Data Training 2'!AX63*'Data Training 2'!AX70*'Data Training 2'!AX75*'Data Training 2'!AX80*'Data Training 2'!AX85*'Data Training 2'!AX91*'Data Training 2'!AX100*'Data Training 2'!AX106*'Data Training 2'!AX109*'Data Training 2'!AX118*'Data Training 2'!AX124*'Data Training 2'!AX130*'Data Training 2'!AX136*'Data Training 2'!AX142*'Data Training 2'!AX145*'Data Training 2'!AX152*'Data Training 2'!AX157*'Data Training 2'!AX163*'Data Training 2'!AX167*'Data Training 2'!AX171*'Data Training 2'!AX175*'Data Training 2'!AX179*'Data Training 2'!AX183*'Data Training 2'!AX187*'Data Training 2'!AX191*'Data Training 2'!AX195*'Data Training 2'!AX200*'Data Training 2'!AX203*'Data Training 2'!AX207*'Data Training 2'!AX212*'Data Training 2'!AX215</f>
        <v>0</v>
      </c>
    </row>
    <row r="139" spans="40:79" x14ac:dyDescent="0.3">
      <c r="AO139" s="80" t="s">
        <v>509</v>
      </c>
      <c r="AP139" s="80"/>
      <c r="AQ139" s="6">
        <f>'Data Training 2'!AW27*'Data Training 2'!AY33*'Data Training 2'!AY38*'Data Training 2'!AY44*'Data Training 2'!AY51*'Data Training 2'!AY58*'Data Training 2'!AY63*'Data Training 2'!AY70*'Data Training 2'!AY75*'Data Training 2'!AY80*'Data Training 2'!AY85*'Data Training 2'!AY91*'Data Training 2'!AY100*'Data Training 2'!AY106*'Data Training 2'!AY109*'Data Training 2'!AY118*'Data Training 2'!AY124*'Data Training 2'!AY130*'Data Training 2'!AY136*'Data Training 2'!AY142*'Data Training 2'!AY145*'Data Training 2'!AY152*'Data Training 2'!AY157*'Data Training 2'!AY163*'Data Training 2'!AY167*'Data Training 2'!AY171*'Data Training 2'!AY175*'Data Training 2'!AY179*'Data Training 2'!AY183*'Data Training 2'!AY187*'Data Training 2'!AY191*'Data Training 2'!AY195*'Data Training 2'!AY200*'Data Training 2'!AY203*'Data Training 2'!AY207*'Data Training 2'!AY212*'Data Training 2'!AY215</f>
        <v>0</v>
      </c>
    </row>
    <row r="140" spans="40:79" x14ac:dyDescent="0.3">
      <c r="AO140" s="78" t="s">
        <v>437</v>
      </c>
      <c r="AP140" s="78"/>
      <c r="AQ140" s="6" t="s">
        <v>294</v>
      </c>
      <c r="AR140" s="79" t="s">
        <v>438</v>
      </c>
      <c r="AS140" s="79"/>
      <c r="AT140" s="79"/>
    </row>
    <row r="142" spans="40:79" x14ac:dyDescent="0.3">
      <c r="AO142" s="82" t="s">
        <v>320</v>
      </c>
      <c r="AP142" s="82"/>
      <c r="AQ142" s="7" t="s">
        <v>64</v>
      </c>
      <c r="AR142" s="49" t="s">
        <v>43</v>
      </c>
      <c r="AS142" s="49" t="s">
        <v>44</v>
      </c>
      <c r="AT142" s="49" t="s">
        <v>45</v>
      </c>
      <c r="AU142" s="49" t="s">
        <v>46</v>
      </c>
      <c r="AV142" s="49" t="s">
        <v>47</v>
      </c>
      <c r="AW142" s="49" t="s">
        <v>48</v>
      </c>
      <c r="AX142" s="49" t="s">
        <v>49</v>
      </c>
      <c r="AY142" s="49" t="s">
        <v>50</v>
      </c>
      <c r="AZ142" s="49" t="s">
        <v>51</v>
      </c>
      <c r="BA142" s="49" t="s">
        <v>52</v>
      </c>
      <c r="BB142" s="49" t="s">
        <v>53</v>
      </c>
      <c r="BC142" s="49" t="s">
        <v>54</v>
      </c>
      <c r="BD142" s="49" t="s">
        <v>55</v>
      </c>
      <c r="BE142" s="49" t="s">
        <v>56</v>
      </c>
      <c r="BF142" s="49" t="s">
        <v>57</v>
      </c>
      <c r="BG142" s="49" t="s">
        <v>58</v>
      </c>
      <c r="BH142" s="49" t="s">
        <v>59</v>
      </c>
      <c r="BI142" s="49" t="s">
        <v>60</v>
      </c>
      <c r="BJ142" s="49" t="s">
        <v>61</v>
      </c>
      <c r="BK142" s="49" t="s">
        <v>62</v>
      </c>
      <c r="BL142" s="49" t="s">
        <v>63</v>
      </c>
      <c r="BM142" s="49" t="s">
        <v>330</v>
      </c>
      <c r="BN142" s="49" t="s">
        <v>331</v>
      </c>
      <c r="BO142" s="49" t="s">
        <v>332</v>
      </c>
      <c r="BP142" s="49" t="s">
        <v>333</v>
      </c>
      <c r="BQ142" s="49" t="s">
        <v>334</v>
      </c>
      <c r="BR142" s="49" t="s">
        <v>335</v>
      </c>
      <c r="BS142" s="49" t="s">
        <v>336</v>
      </c>
      <c r="BT142" s="49" t="s">
        <v>337</v>
      </c>
      <c r="BU142" s="49" t="s">
        <v>338</v>
      </c>
      <c r="BV142" s="49" t="s">
        <v>339</v>
      </c>
      <c r="BW142" s="49" t="s">
        <v>340</v>
      </c>
      <c r="BX142" s="49" t="s">
        <v>341</v>
      </c>
      <c r="BY142" s="49" t="s">
        <v>342</v>
      </c>
      <c r="BZ142" s="49" t="s">
        <v>343</v>
      </c>
      <c r="CA142" s="49" t="s">
        <v>390</v>
      </c>
    </row>
    <row r="143" spans="40:79" x14ac:dyDescent="0.3">
      <c r="AN143">
        <v>15</v>
      </c>
      <c r="AO143" s="82"/>
      <c r="AP143" s="82"/>
      <c r="AQ143" s="7">
        <v>3</v>
      </c>
      <c r="AR143" s="6" t="s">
        <v>2</v>
      </c>
      <c r="AS143" s="6" t="s">
        <v>3</v>
      </c>
      <c r="AT143" s="6" t="s">
        <v>3</v>
      </c>
      <c r="AU143" s="6" t="s">
        <v>5</v>
      </c>
      <c r="AV143" s="6" t="s">
        <v>5</v>
      </c>
      <c r="AW143" s="6" t="s">
        <v>5</v>
      </c>
      <c r="AX143" s="6" t="s">
        <v>2</v>
      </c>
      <c r="AY143" s="6" t="s">
        <v>2</v>
      </c>
      <c r="AZ143" s="6" t="s">
        <v>3</v>
      </c>
      <c r="BA143" s="6" t="s">
        <v>3</v>
      </c>
      <c r="BB143" s="6" t="s">
        <v>4</v>
      </c>
      <c r="BC143" s="6" t="s">
        <v>5</v>
      </c>
      <c r="BD143" s="6" t="s">
        <v>2</v>
      </c>
      <c r="BE143" s="6" t="s">
        <v>3</v>
      </c>
      <c r="BF143" s="6" t="s">
        <v>2</v>
      </c>
      <c r="BG143" s="6" t="s">
        <v>5</v>
      </c>
      <c r="BH143" s="6" t="s">
        <v>5</v>
      </c>
      <c r="BI143" s="6" t="s">
        <v>5</v>
      </c>
      <c r="BJ143" s="6" t="s">
        <v>5</v>
      </c>
      <c r="BK143" s="6" t="s">
        <v>4</v>
      </c>
      <c r="BL143" s="6" t="s">
        <v>3</v>
      </c>
      <c r="BM143" s="6" t="s">
        <v>3</v>
      </c>
      <c r="BN143" s="6" t="s">
        <v>3</v>
      </c>
      <c r="BO143" s="6" t="s">
        <v>4</v>
      </c>
      <c r="BP143" s="6" t="s">
        <v>4</v>
      </c>
      <c r="BQ143" s="6" t="s">
        <v>4</v>
      </c>
      <c r="BR143" s="6" t="s">
        <v>4</v>
      </c>
      <c r="BS143" s="6" t="s">
        <v>4</v>
      </c>
      <c r="BT143" s="6" t="s">
        <v>4</v>
      </c>
      <c r="BU143" s="6" t="s">
        <v>3</v>
      </c>
      <c r="BV143" s="6" t="s">
        <v>4</v>
      </c>
      <c r="BW143" s="6" t="s">
        <v>3</v>
      </c>
      <c r="BX143" s="6" t="s">
        <v>4</v>
      </c>
      <c r="BY143" s="6" t="s">
        <v>4</v>
      </c>
      <c r="BZ143" s="6" t="s">
        <v>3</v>
      </c>
      <c r="CA143" s="6" t="s">
        <v>3</v>
      </c>
    </row>
    <row r="144" spans="40:79" x14ac:dyDescent="0.3">
      <c r="AO144" s="6" t="s">
        <v>504</v>
      </c>
      <c r="AP144" s="6"/>
      <c r="AQ144" s="6">
        <f>'Data Training 2'!AW22*'Data Training 2'!AT33*'Data Training 2'!AT38*'Data Training 2'!AT44*'Data Training 2'!AT52*'Data Training 2'!AT58*'Data Training 2'!AT64*'Data Training 2'!AT69*'Data Training 2'!AT75*'Data Training 2'!AT80*'Data Training 2'!AT86*'Data Training 2'!AT91*'Data Training 2'!AT100*'Data Training 2'!AT105*'Data Training 2'!AT110*'Data Training 2'!AT117*'Data Training 2'!AT124*'Data Training 2'!AT130*'Data Training 2'!AT136*'Data Training 2'!AT142*'Data Training 2'!AT145*'Data Training 2'!AT152*'Data Training 2'!AT158*'Data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2.1064713631080583E-9</v>
      </c>
    </row>
    <row r="145" spans="40:79" x14ac:dyDescent="0.3">
      <c r="AO145" s="6" t="s">
        <v>505</v>
      </c>
      <c r="AP145" s="6"/>
      <c r="AQ145" s="6">
        <f>'Data Training 2'!AW23*'Data Training 2'!AU33*'Data Training 2'!AU38*'Data Training 2'!AU44*'Data Training 2'!AU52*'Data Training 2'!AU58*'Data Training 2'!AU64*'Data Training 2'!AU69*'Data Training 2'!AU75*'Data Training 2'!AU80*'Data Training 2'!AU86*'Data Training 2'!AU91*'Data Training 2'!AU100*'Data Training 2'!AU105*'Data Training 2'!AU110*'Data Training 2'!AU117*'Data Training 2'!AU124*'Data Training 2'!AU130*'Data Training 2'!AU136*'Data Training 2'!AU142*'Data Training 2'!AU145*'Data Training 2'!AU152*'Data Training 2'!AU158*'Data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0</v>
      </c>
    </row>
    <row r="146" spans="40:79" x14ac:dyDescent="0.3">
      <c r="AO146" s="80" t="s">
        <v>506</v>
      </c>
      <c r="AP146" s="80"/>
      <c r="AQ146" s="6">
        <f>'Data Training 2'!AW24*'Data Training 2'!AV33*'Data Training 2'!AV38*'Data Training 2'!AV44*'Data Training 2'!AV52*'Data Training 2'!AV58*'Data Training 2'!AV64*'Data Training 2'!AV69*'Data Training 2'!AV75*'Data Training 2'!AV80*'Data Training 2'!AV86*'Data Training 2'!AV91*'Data Training 2'!AV100*'Data Training 2'!AV105*'Data Training 2'!AV110*'Data Training 2'!AV117*'Data Training 2'!AV124*'Data Training 2'!AV130*'Data Training 2'!AV136*'Data Training 2'!AV142*'Data Training 2'!AV145*'Data Training 2'!AV152*'Data Training 2'!AV158*'Data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5.5891223927573679E-8</v>
      </c>
    </row>
    <row r="147" spans="40:79" x14ac:dyDescent="0.3">
      <c r="AO147" s="80" t="s">
        <v>507</v>
      </c>
      <c r="AP147" s="80"/>
      <c r="AQ147" s="6">
        <f>'Data Training 2'!AW25*'Data Training 2'!AW33*'Data Training 2'!AW38*'Data Training 2'!AW44*'Data Training 2'!AW52*'Data Training 2'!AW58*'Data Training 2'!AW64*'Data Training 2'!AW69*'Data Training 2'!AW75*'Data Training 2'!AW80*'Data Training 2'!AW86*'Data Training 2'!AW91*'Data Training 2'!AW100*'Data Training 2'!AW105*'Data Training 2'!AW110*'Data Training 2'!AW117*'Data Training 2'!AW124*'Data Training 2'!AW130*'Data Training 2'!AW136*'Data Training 2'!AW142*'Data Training 2'!AW145*'Data Training 2'!AW152*'Data Training 2'!AW158*'Data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0</v>
      </c>
    </row>
    <row r="148" spans="40:79" x14ac:dyDescent="0.3">
      <c r="AO148" s="80" t="s">
        <v>508</v>
      </c>
      <c r="AP148" s="80"/>
      <c r="AQ148" s="6">
        <f>'Data Training 2'!AW26*'Data Training 2'!AX33*'Data Training 2'!AX38*'Data Training 2'!AX44*'Data Training 2'!AX52*'Data Training 2'!AX58*'Data Training 2'!AX64*'Data Training 2'!AX69*'Data Training 2'!AX75*'Data Training 2'!AX80*'Data Training 2'!AX86*'Data Training 2'!AX91*'Data Training 2'!AX100*'Data Training 2'!AX105*'Data Training 2'!AX110*'Data Training 2'!AX117*'Data Training 2'!AX124*'Data Training 2'!AX130*'Data Training 2'!AX136*'Data Training 2'!AX142*'Data Training 2'!AX145*'Data Training 2'!AX152*'Data Training 2'!AX158*'Data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3.9362650708781791E-11</v>
      </c>
    </row>
    <row r="149" spans="40:79" x14ac:dyDescent="0.3">
      <c r="AO149" s="80" t="s">
        <v>509</v>
      </c>
      <c r="AP149" s="80"/>
      <c r="AQ149" s="6">
        <f>'Data Training 2'!AW27*'Data Training 2'!AY33*'Data Training 2'!AY38*'Data Training 2'!AY44*'Data Training 2'!AY52*'Data Training 2'!AY58*'Data Training 2'!AY64*'Data Training 2'!AY69*'Data Training 2'!AY75*'Data Training 2'!AY80*'Data Training 2'!AY86*'Data Training 2'!AY91*'Data Training 2'!AY100*'Data Training 2'!AY105*'Data Training 2'!AY110*'Data Training 2'!AY117*'Data Training 2'!AY124*'Data Training 2'!AY130*'Data Training 2'!AY136*'Data Training 2'!AY142*'Data Training 2'!AY145*'Data Training 2'!AY152*'Data Training 2'!AY158*'Data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150" spans="40:79" x14ac:dyDescent="0.3">
      <c r="AO150" s="78" t="s">
        <v>437</v>
      </c>
      <c r="AP150" s="78"/>
      <c r="AQ150" s="6" t="s">
        <v>294</v>
      </c>
      <c r="AR150" s="74" t="s">
        <v>438</v>
      </c>
      <c r="AS150" s="74"/>
      <c r="AT150" s="74"/>
    </row>
    <row r="152" spans="40:79" x14ac:dyDescent="0.3">
      <c r="AN152">
        <v>16</v>
      </c>
      <c r="AO152" s="77" t="s">
        <v>515</v>
      </c>
      <c r="AP152" s="77"/>
      <c r="AQ152" s="20" t="s">
        <v>64</v>
      </c>
      <c r="AR152" s="1" t="s">
        <v>43</v>
      </c>
      <c r="AS152" s="1" t="s">
        <v>44</v>
      </c>
      <c r="AT152" s="1" t="s">
        <v>45</v>
      </c>
      <c r="AU152" s="1" t="s">
        <v>46</v>
      </c>
      <c r="AV152" s="1" t="s">
        <v>47</v>
      </c>
      <c r="AW152" s="1" t="s">
        <v>48</v>
      </c>
      <c r="AX152" s="1" t="s">
        <v>49</v>
      </c>
      <c r="AY152" s="1" t="s">
        <v>50</v>
      </c>
      <c r="AZ152" s="1" t="s">
        <v>51</v>
      </c>
      <c r="BA152" s="1" t="s">
        <v>52</v>
      </c>
      <c r="BB152" s="1" t="s">
        <v>53</v>
      </c>
      <c r="BC152" s="1" t="s">
        <v>54</v>
      </c>
      <c r="BD152" s="1" t="s">
        <v>55</v>
      </c>
      <c r="BE152" s="1" t="s">
        <v>56</v>
      </c>
      <c r="BF152" s="1" t="s">
        <v>57</v>
      </c>
      <c r="BG152" s="1" t="s">
        <v>58</v>
      </c>
      <c r="BH152" s="1" t="s">
        <v>59</v>
      </c>
      <c r="BI152" s="1" t="s">
        <v>60</v>
      </c>
      <c r="BJ152" s="1" t="s">
        <v>61</v>
      </c>
      <c r="BK152" s="1" t="s">
        <v>62</v>
      </c>
      <c r="BL152" s="1" t="s">
        <v>63</v>
      </c>
      <c r="BM152" s="1" t="s">
        <v>330</v>
      </c>
      <c r="BN152" s="1" t="s">
        <v>331</v>
      </c>
      <c r="BO152" s="1" t="s">
        <v>332</v>
      </c>
      <c r="BP152" s="1" t="s">
        <v>333</v>
      </c>
      <c r="BQ152" s="1" t="s">
        <v>334</v>
      </c>
      <c r="BR152" s="1" t="s">
        <v>335</v>
      </c>
      <c r="BS152" s="1" t="s">
        <v>336</v>
      </c>
      <c r="BT152" s="1" t="s">
        <v>337</v>
      </c>
      <c r="BU152" s="1" t="s">
        <v>338</v>
      </c>
      <c r="BV152" s="1" t="s">
        <v>339</v>
      </c>
      <c r="BW152" s="1" t="s">
        <v>340</v>
      </c>
      <c r="BX152" s="1" t="s">
        <v>341</v>
      </c>
      <c r="BY152" s="1" t="s">
        <v>342</v>
      </c>
      <c r="BZ152" s="1" t="s">
        <v>343</v>
      </c>
      <c r="CA152" s="1" t="s">
        <v>390</v>
      </c>
    </row>
    <row r="153" spans="40:79" x14ac:dyDescent="0.3">
      <c r="AO153" s="77"/>
      <c r="AP153" s="77"/>
      <c r="AQ153" s="20">
        <v>3</v>
      </c>
      <c r="AR153" t="s">
        <v>2</v>
      </c>
      <c r="AS153" t="s">
        <v>5</v>
      </c>
      <c r="AT153" t="s">
        <v>3</v>
      </c>
      <c r="AU153" t="s">
        <v>3</v>
      </c>
      <c r="AV153" t="s">
        <v>5</v>
      </c>
      <c r="AW153" t="s">
        <v>5</v>
      </c>
      <c r="AX153" t="s">
        <v>2</v>
      </c>
      <c r="AY153" t="s">
        <v>2</v>
      </c>
      <c r="AZ153" t="s">
        <v>3</v>
      </c>
      <c r="BA153" t="s">
        <v>4</v>
      </c>
      <c r="BB153" t="s">
        <v>4</v>
      </c>
      <c r="BC153" t="s">
        <v>5</v>
      </c>
      <c r="BD153" t="s">
        <v>3</v>
      </c>
      <c r="BE153" t="s">
        <v>3</v>
      </c>
      <c r="BF153" t="s">
        <v>2</v>
      </c>
      <c r="BG153" t="s">
        <v>5</v>
      </c>
      <c r="BH153" t="s">
        <v>3</v>
      </c>
      <c r="BI153" t="s">
        <v>2</v>
      </c>
      <c r="BJ153" t="s">
        <v>5</v>
      </c>
      <c r="BK153" t="s">
        <v>4</v>
      </c>
      <c r="BL153" t="s">
        <v>3</v>
      </c>
      <c r="BM153" t="s">
        <v>2</v>
      </c>
      <c r="BN153" t="s">
        <v>3</v>
      </c>
      <c r="BO153" t="s">
        <v>4</v>
      </c>
      <c r="BP153" t="s">
        <v>4</v>
      </c>
      <c r="BQ153" t="s">
        <v>4</v>
      </c>
      <c r="BR153" t="s">
        <v>4</v>
      </c>
      <c r="BS153" t="s">
        <v>4</v>
      </c>
      <c r="BT153" t="s">
        <v>4</v>
      </c>
      <c r="BU153" t="s">
        <v>3</v>
      </c>
      <c r="BV153" t="s">
        <v>4</v>
      </c>
      <c r="BW153" t="s">
        <v>3</v>
      </c>
      <c r="BX153" t="s">
        <v>4</v>
      </c>
      <c r="BY153" t="s">
        <v>4</v>
      </c>
      <c r="BZ153" t="s">
        <v>4</v>
      </c>
      <c r="CA153" t="s">
        <v>3</v>
      </c>
    </row>
    <row r="154" spans="40:79" x14ac:dyDescent="0.3">
      <c r="AO154" t="s">
        <v>504</v>
      </c>
      <c r="AQ154">
        <f>'Data Training 2'!AW22*'Data Training 2'!AT33*'Data Training 2'!AT40*'Data Training 2'!AT44*'Data Training 2'!AT50*'Data Training 2'!AT58*'Data Training 2'!AT64*'Data Training 2'!AT69*'Data Training 2'!AT75*'Data Training 2'!AT80*'Data Training 2'!AT85*'Data Training 2'!AT91*'Data Training 2'!AT100*'Data Training 2'!AT104*'Data Training 2'!AT110*'Data Training 2'!AT117*'Data Training 2'!AT124*'Data Training 2'!AT128*'Data Training 2'!AT135*'Data Training 2'!AT142*'Data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155" spans="40:79" x14ac:dyDescent="0.3">
      <c r="AO155" t="s">
        <v>505</v>
      </c>
      <c r="AQ155">
        <f>'Data Training 2'!AW23*'Data Training 2'!AU33*'Data Training 2'!AU40*'Data Training 2'!AU44*'Data Training 2'!AU50*'Data Training 2'!AU58*'Data Training 2'!AU64*'Data Training 2'!AU69*'Data Training 2'!AU75*'Data Training 2'!AU80*'Data Training 2'!AU85*'Data Training 2'!AU91*'Data Training 2'!AU100*'Data Training 2'!AU104*'Data Training 2'!AU110*'Data Training 2'!AU117*'Data Training 2'!AU124*'Data Training 2'!AU128*'Data Training 2'!AU135*'Data Training 2'!AU142*'Data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156" spans="40:79" x14ac:dyDescent="0.3">
      <c r="AO156" s="67" t="s">
        <v>506</v>
      </c>
      <c r="AP156" s="67"/>
      <c r="AQ156">
        <f>'Data Training 2'!AW24*'Data Training 2'!AV33*'Data Training 2'!AV40*'Data Training 2'!AV44*'Data Training 2'!AV50*'Data Training 2'!AV58*'Data Training 2'!AV64*'Data Training 2'!AV69*'Data Training 2'!AV75*'Data Training 2'!AV80*'Data Training 2'!AV85*'Data Training 2'!AV91*'Data Training 2'!AV100*'Data Training 2'!AV104*'Data Training 2'!AV110*'Data Training 2'!AV117*'Data Training 2'!AV124*'Data Training 2'!AV128*'Data Training 2'!AV135*'Data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2.1898000192009295E-11</v>
      </c>
    </row>
    <row r="157" spans="40:79" x14ac:dyDescent="0.3">
      <c r="AO157" s="67" t="s">
        <v>507</v>
      </c>
      <c r="AP157" s="67"/>
      <c r="AQ157">
        <f>'Data Training 2'!AW25*'Data Training 2'!AW33*'Data Training 2'!AW40*'Data Training 2'!AW44*'Data Training 2'!AW50*'Data Training 2'!AW58*'Data Training 2'!AW64*'Data Training 2'!AW69*'Data Training 2'!AW75*'Data Training 2'!AW80*'Data Training 2'!AW85*'Data Training 2'!AW91*'Data Training 2'!AW100*'Data Training 2'!AW104*'Data Training 2'!AW110*'Data Training 2'!AW117*'Data Training 2'!AW124*'Data Training 2'!AW128*'Data Training 2'!AW135*'Data Training 2'!AW142*'Data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158" spans="40:79" x14ac:dyDescent="0.3">
      <c r="AO158" s="67" t="s">
        <v>508</v>
      </c>
      <c r="AP158" s="67"/>
      <c r="AQ158">
        <f>'Data Training 2'!AW26*'Data Training 2'!AX33*'Data Training 2'!AX40*'Data Training 2'!AX44*'Data Training 2'!AX50*'Data Training 2'!AX58*'Data Training 2'!AX64*'Data Training 2'!AX69*'Data Training 2'!AX75*'Data Training 2'!AX80*'Data Training 2'!AX85*'Data Training 2'!AX91*'Data Training 2'!AX100*'Data Training 2'!AX104*'Data Training 2'!AX110*'Data Training 2'!AX117*'Data Training 2'!AX124*'Data Training 2'!AX128*'Data Training 2'!AX135*'Data Training 2'!AX142*'Data Training 2'!AX145*'Data Training 2'!AX152*'Data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159" spans="40:79" x14ac:dyDescent="0.3">
      <c r="AO159" s="67" t="s">
        <v>509</v>
      </c>
      <c r="AP159" s="67"/>
      <c r="AQ159">
        <f>'Data Training 2'!AW27*'Data Training 2'!AY33*'Data Training 2'!AY40*'Data Training 2'!AY44*'Data Training 2'!AY50*'Data Training 2'!AY58*'Data Training 2'!AY64*'Data Training 2'!AY69*'Data Training 2'!AY75*'Data Training 2'!AY80*'Data Training 2'!AY85*'Data Training 2'!AY91*'Data Training 2'!AY100*'Data Training 2'!AY104*'Data Training 2'!AY110*'Data Training 2'!AY117*'Data Training 2'!AY124*'Data Training 2'!AY128*'Data Training 2'!AY135*'Data Training 2'!AY142*'Data Training 2'!AY145*'Data Training 2'!AY152*'Data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60" spans="40:79" x14ac:dyDescent="0.3">
      <c r="AO160" s="76" t="s">
        <v>437</v>
      </c>
      <c r="AP160" s="76"/>
      <c r="AQ160" t="s">
        <v>294</v>
      </c>
      <c r="AR160" s="74" t="s">
        <v>438</v>
      </c>
      <c r="AS160" s="74"/>
      <c r="AT160" s="74"/>
    </row>
    <row r="162" spans="40:79" x14ac:dyDescent="0.3">
      <c r="AN162">
        <v>17</v>
      </c>
      <c r="AO162" s="77" t="s">
        <v>468</v>
      </c>
      <c r="AP162" s="77"/>
      <c r="AQ162" s="20" t="s">
        <v>64</v>
      </c>
      <c r="AR162" s="1" t="s">
        <v>43</v>
      </c>
      <c r="AS162" s="1" t="s">
        <v>44</v>
      </c>
      <c r="AT162" s="1" t="s">
        <v>45</v>
      </c>
      <c r="AU162" s="1" t="s">
        <v>46</v>
      </c>
      <c r="AV162" s="1" t="s">
        <v>47</v>
      </c>
      <c r="AW162" s="1" t="s">
        <v>48</v>
      </c>
      <c r="AX162" s="1" t="s">
        <v>49</v>
      </c>
      <c r="AY162" s="1" t="s">
        <v>50</v>
      </c>
      <c r="AZ162" s="1" t="s">
        <v>51</v>
      </c>
      <c r="BA162" s="1" t="s">
        <v>52</v>
      </c>
      <c r="BB162" s="1" t="s">
        <v>53</v>
      </c>
      <c r="BC162" s="1" t="s">
        <v>54</v>
      </c>
      <c r="BD162" s="1" t="s">
        <v>55</v>
      </c>
      <c r="BE162" s="1" t="s">
        <v>56</v>
      </c>
      <c r="BF162" s="1" t="s">
        <v>57</v>
      </c>
      <c r="BG162" s="1" t="s">
        <v>58</v>
      </c>
      <c r="BH162" s="1" t="s">
        <v>59</v>
      </c>
      <c r="BI162" s="1" t="s">
        <v>60</v>
      </c>
      <c r="BJ162" s="1" t="s">
        <v>61</v>
      </c>
      <c r="BK162" s="1" t="s">
        <v>62</v>
      </c>
      <c r="BL162" s="1" t="s">
        <v>63</v>
      </c>
      <c r="BM162" s="1" t="s">
        <v>330</v>
      </c>
      <c r="BN162" s="1" t="s">
        <v>331</v>
      </c>
      <c r="BO162" s="1" t="s">
        <v>332</v>
      </c>
      <c r="BP162" s="1" t="s">
        <v>333</v>
      </c>
      <c r="BQ162" s="1" t="s">
        <v>334</v>
      </c>
      <c r="BR162" s="1" t="s">
        <v>335</v>
      </c>
      <c r="BS162" s="1" t="s">
        <v>336</v>
      </c>
      <c r="BT162" s="1" t="s">
        <v>337</v>
      </c>
      <c r="BU162" s="1" t="s">
        <v>338</v>
      </c>
      <c r="BV162" s="1" t="s">
        <v>339</v>
      </c>
      <c r="BW162" s="1" t="s">
        <v>340</v>
      </c>
      <c r="BX162" s="1" t="s">
        <v>341</v>
      </c>
      <c r="BY162" s="1" t="s">
        <v>342</v>
      </c>
      <c r="BZ162" s="1" t="s">
        <v>343</v>
      </c>
      <c r="CA162" s="1" t="s">
        <v>390</v>
      </c>
    </row>
    <row r="163" spans="40:79" x14ac:dyDescent="0.3">
      <c r="AO163" s="77"/>
      <c r="AP163" s="77"/>
      <c r="AQ163" s="20">
        <v>3</v>
      </c>
      <c r="AR163" t="s">
        <v>4</v>
      </c>
      <c r="AS163" t="s">
        <v>3</v>
      </c>
      <c r="AT163" t="s">
        <v>5</v>
      </c>
      <c r="AU163" t="s">
        <v>5</v>
      </c>
      <c r="AV163" t="s">
        <v>5</v>
      </c>
      <c r="AW163" t="s">
        <v>5</v>
      </c>
      <c r="AX163" t="s">
        <v>5</v>
      </c>
      <c r="AY163" t="s">
        <v>2</v>
      </c>
      <c r="AZ163" t="s">
        <v>3</v>
      </c>
      <c r="BA163" t="s">
        <v>3</v>
      </c>
      <c r="BB163" t="s">
        <v>2</v>
      </c>
      <c r="BC163" t="s">
        <v>2</v>
      </c>
      <c r="BD163" t="s">
        <v>5</v>
      </c>
      <c r="BE163" t="s">
        <v>3</v>
      </c>
      <c r="BF163" t="s">
        <v>2</v>
      </c>
      <c r="BG163" t="s">
        <v>2</v>
      </c>
      <c r="BH163" t="s">
        <v>5</v>
      </c>
      <c r="BI163" t="s">
        <v>5</v>
      </c>
      <c r="BJ163" t="s">
        <v>5</v>
      </c>
      <c r="BK163" t="s">
        <v>3</v>
      </c>
      <c r="BL163" t="s">
        <v>5</v>
      </c>
      <c r="BM163" t="s">
        <v>5</v>
      </c>
      <c r="BN163" t="s">
        <v>4</v>
      </c>
      <c r="BO163" t="s">
        <v>4</v>
      </c>
      <c r="BP163" t="s">
        <v>4</v>
      </c>
      <c r="BQ163" t="s">
        <v>4</v>
      </c>
      <c r="BR163" t="s">
        <v>4</v>
      </c>
      <c r="BS163" t="s">
        <v>4</v>
      </c>
      <c r="BT163" t="s">
        <v>4</v>
      </c>
      <c r="BU163" t="s">
        <v>3</v>
      </c>
      <c r="BV163" t="s">
        <v>4</v>
      </c>
      <c r="BW163" t="s">
        <v>3</v>
      </c>
      <c r="BX163" t="s">
        <v>4</v>
      </c>
      <c r="BY163" t="s">
        <v>4</v>
      </c>
      <c r="BZ163" t="s">
        <v>3</v>
      </c>
      <c r="CA163" t="s">
        <v>3</v>
      </c>
    </row>
    <row r="164" spans="40:79" x14ac:dyDescent="0.3">
      <c r="AO164" s="67" t="s">
        <v>504</v>
      </c>
      <c r="AP164" s="67"/>
      <c r="AQ164">
        <f>'Data Training 2'!AW22*'Data Training 2'!AT31*'Data Training 2'!AT38*'Data Training 2'!AT46*'Data Training 2'!AT52*'Data Training 2'!AT58*'Data Training 2'!AT64*'Data Training 2'!AT70*'Data Training 2'!AT75*'Data Training 2'!AT80*'Data Training 2'!AT86*'Data Training 2'!AT93*'Data Training 2'!AT99*'Data Training 2'!AT106*'Data Training 2'!AT110*'Data Training 2'!AT117*'Data Training 2'!AT123*'Data Training 2'!AT130*'Data Training 2'!AT136*'Data Training 2'!AT142*'Data Training 2'!AT146*'Data Training 2'!AT154*'Data Training 2'!AT160*'Data Training 2'!AT163*'Data Training 2'!AT167*'Data Training 2'!AT171*'Data Training 2'!AT175*'Data Training 2'!AT179*'Data Training 2'!AT183*'Data Training 2'!AT187*'Data Training 2'!AT192*'Data Training 2'!AT195*'Data Training 2'!AT200*'Data Training 2'!AT203*'Data Training 2'!AT207*'Data Training 2'!AT212*'Data Training 2'!AT216</f>
        <v>0</v>
      </c>
    </row>
    <row r="165" spans="40:79" x14ac:dyDescent="0.3">
      <c r="AO165" s="67" t="s">
        <v>505</v>
      </c>
      <c r="AP165" s="67"/>
      <c r="AQ165">
        <f>'Data Training 2'!AW23*'Data Training 2'!AU31*'Data Training 2'!AU38*'Data Training 2'!AU46*'Data Training 2'!AU52*'Data Training 2'!AU58*'Data Training 2'!AU64*'Data Training 2'!AU70*'Data Training 2'!AU75*'Data Training 2'!AU80*'Data Training 2'!AU86*'Data Training 2'!AU93*'Data Training 2'!AU99*'Data Training 2'!AU106*'Data Training 2'!AU110*'Data Training 2'!AU117*'Data Training 2'!AU123*'Data Training 2'!AU130*'Data Training 2'!AU136*'Data Training 2'!AU142*'Data Training 2'!AU146*'Data Training 2'!AU154*'Data Training 2'!AU160*'Data Training 2'!AU163*'Data Training 2'!AU167*'Data Training 2'!AU171*'Data Training 2'!AU175*'Data Training 2'!AU179*'Data Training 2'!AU183*'Data Training 2'!AU187*'Data Training 2'!AU192*'Data Training 2'!AU195*'Data Training 2'!AU200*'Data Training 2'!AU203*'Data Training 2'!AU207*'Data Training 2'!AU212*'Data Training 2'!AU216</f>
        <v>0</v>
      </c>
    </row>
    <row r="166" spans="40:79" x14ac:dyDescent="0.3">
      <c r="AO166" s="67" t="s">
        <v>506</v>
      </c>
      <c r="AP166" s="67"/>
      <c r="AQ166">
        <f>'Data Training 2'!AW24*'Data Training 2'!AV31*'Data Training 2'!AV38*'Data Training 2'!AV46*'Data Training 2'!AV52*'Data Training 2'!AV58*'Data Training 2'!AV64*'Data Training 2'!AV70*'Data Training 2'!AV75*'Data Training 2'!AV80*'Data Training 2'!AV86*'Data Training 2'!AV93*'Data Training 2'!AV99*'Data Training 2'!AV106*'Data Training 2'!AV110*'Data Training 2'!AV117*'Data Training 2'!AV123*'Data Training 2'!AV130*'Data Training 2'!AV136*'Data Training 2'!AV142*'Data Training 2'!AV146*'Data Training 2'!AV154*'Data Training 2'!AV160*'Data Training 2'!AV163*'Data Training 2'!AV167*'Data Training 2'!AV171*'Data Training 2'!AV175*'Data Training 2'!AV179*'Data Training 2'!AV183*'Data Training 2'!AV187*'Data Training 2'!AV192*'Data Training 2'!AV195*'Data Training 2'!AV200*'Data Training 2'!AV203*'Data Training 2'!AV207*'Data Training 2'!AV212*'Data Training 2'!AV216</f>
        <v>2.1170918154383975E-13</v>
      </c>
    </row>
    <row r="167" spans="40:79" x14ac:dyDescent="0.3">
      <c r="AO167" s="67" t="s">
        <v>507</v>
      </c>
      <c r="AP167" s="67"/>
      <c r="AQ167">
        <f>'Data Training 2'!AW25*'Data Training 2'!AW31*'Data Training 2'!AW38*'Data Training 2'!AW46*'Data Training 2'!AW52*'Data Training 2'!AW58*'Data Training 2'!AW64*'Data Training 2'!AW70*'Data Training 2'!AW75*'Data Training 2'!AW80*'Data Training 2'!AW86*'Data Training 2'!AW93*'Data Training 2'!AW99*'Data Training 2'!AW106*'Data Training 2'!AW110*'Data Training 2'!AW117*'Data Training 2'!AW123*'Data Training 2'!AW130*'Data Training 2'!AW136*'Data Training 2'!AW142*'Data Training 2'!AW146*'Data Training 2'!AW154*'Data Training 2'!AW160*'Data Training 2'!AW163*'Data Training 2'!AW167*'Data Training 2'!AW171*'Data Training 2'!AW175*'Data Training 2'!AW179*'Data Training 2'!AW183*'Data Training 2'!AW187*'Data Training 2'!AW192*'Data Training 2'!AW195*'Data Training 2'!AW200*'Data Training 2'!AW203*'Data Training 2'!AW207*'Data Training 2'!AW212*'Data Training 2'!AW216</f>
        <v>0</v>
      </c>
    </row>
    <row r="168" spans="40:79" x14ac:dyDescent="0.3">
      <c r="AO168" s="67" t="s">
        <v>508</v>
      </c>
      <c r="AP168" s="67"/>
      <c r="AQ168">
        <f>'Data Training 2'!AW26*'Data Training 2'!AX31*'Data Training 2'!AX38*'Data Training 2'!AX46*'Data Training 2'!AX52*'Data Training 2'!AX58*'Data Training 2'!AX64*'Data Training 2'!AX70*'Data Training 2'!AX75*'Data Training 2'!AX80*'Data Training 2'!AX86*'Data Training 2'!AX93*'Data Training 2'!AX99*'Data Training 2'!AX106*'Data Training 2'!AX110*'Data Training 2'!AX117*'Data Training 2'!AX123*'Data Training 2'!AX130*'Data Training 2'!AX136*'Data Training 2'!AX142*'Data Training 2'!AX146*'Data Training 2'!AX154*'Data Training 2'!AX160*'Data Training 2'!AX163*'Data Training 2'!AX167*'Data Training 2'!AX171*'Data Training 2'!AX175*'Data Training 2'!AX179*'Data Training 2'!AX183*'Data Training 2'!AX187*'Data Training 2'!AX192*'Data Training 2'!AX195*'Data Training 2'!AX200*'Data Training 2'!AX203*'Data Training 2'!AX207*'Data Training 2'!AX212*'Data Training 2'!AX216</f>
        <v>0</v>
      </c>
    </row>
    <row r="169" spans="40:79" x14ac:dyDescent="0.3">
      <c r="AO169" s="67" t="s">
        <v>509</v>
      </c>
      <c r="AP169" s="67"/>
      <c r="AQ169">
        <f>'Data Training 2'!AW27*'Data Training 2'!AY31*'Data Training 2'!AY38*'Data Training 2'!AY46*'Data Training 2'!AY52*'Data Training 2'!AY58*'Data Training 2'!AY64*'Data Training 2'!AY70*'Data Training 2'!AY75*'Data Training 2'!AY80*'Data Training 2'!AY86*'Data Training 2'!AY93*'Data Training 2'!AY99*'Data Training 2'!AY106*'Data Training 2'!AY110*'Data Training 2'!AY117*'Data Training 2'!AY123*'Data Training 2'!AY130*'Data Training 2'!AY136*'Data Training 2'!AY142*'Data Training 2'!AY146*'Data Training 2'!AY154*'Data Training 2'!AY160*'Data Training 2'!AY163*'Data Training 2'!AY167*'Data Training 2'!AY171*'Data Training 2'!AY175*'Data Training 2'!AY179*'Data Training 2'!AY183*'Data Training 2'!AY187*'Data Training 2'!AY192*'Data Training 2'!AY195*'Data Training 2'!AY200*'Data Training 2'!AY203*'Data Training 2'!AY207*'Data Training 2'!AY212*'Data Training 2'!AY216</f>
        <v>0</v>
      </c>
    </row>
    <row r="170" spans="40:79" x14ac:dyDescent="0.3">
      <c r="AO170" s="76" t="s">
        <v>437</v>
      </c>
      <c r="AP170" s="76"/>
      <c r="AQ170" t="s">
        <v>294</v>
      </c>
      <c r="AR170" s="74" t="s">
        <v>438</v>
      </c>
      <c r="AS170" s="74"/>
      <c r="AT170" s="74"/>
    </row>
    <row r="172" spans="40:79" x14ac:dyDescent="0.3">
      <c r="AN172">
        <v>18</v>
      </c>
      <c r="AO172" s="77" t="s">
        <v>492</v>
      </c>
      <c r="AP172" s="77"/>
      <c r="AQ172" s="20" t="s">
        <v>64</v>
      </c>
      <c r="AR172" s="1" t="s">
        <v>43</v>
      </c>
      <c r="AS172" s="1" t="s">
        <v>44</v>
      </c>
      <c r="AT172" s="1" t="s">
        <v>45</v>
      </c>
      <c r="AU172" s="1" t="s">
        <v>46</v>
      </c>
      <c r="AV172" s="1" t="s">
        <v>47</v>
      </c>
      <c r="AW172" s="1" t="s">
        <v>48</v>
      </c>
      <c r="AX172" s="1" t="s">
        <v>49</v>
      </c>
      <c r="AY172" s="1" t="s">
        <v>50</v>
      </c>
      <c r="AZ172" s="1" t="s">
        <v>51</v>
      </c>
      <c r="BA172" s="1" t="s">
        <v>52</v>
      </c>
      <c r="BB172" s="1" t="s">
        <v>53</v>
      </c>
      <c r="BC172" s="1" t="s">
        <v>54</v>
      </c>
      <c r="BD172" s="1" t="s">
        <v>55</v>
      </c>
      <c r="BE172" s="1" t="s">
        <v>56</v>
      </c>
      <c r="BF172" s="1" t="s">
        <v>57</v>
      </c>
      <c r="BG172" s="1" t="s">
        <v>58</v>
      </c>
      <c r="BH172" s="1" t="s">
        <v>59</v>
      </c>
      <c r="BI172" s="1" t="s">
        <v>60</v>
      </c>
      <c r="BJ172" s="1" t="s">
        <v>61</v>
      </c>
      <c r="BK172" s="1" t="s">
        <v>62</v>
      </c>
      <c r="BL172" s="1" t="s">
        <v>63</v>
      </c>
      <c r="BM172" s="1" t="s">
        <v>330</v>
      </c>
      <c r="BN172" s="1" t="s">
        <v>331</v>
      </c>
      <c r="BO172" s="1" t="s">
        <v>332</v>
      </c>
      <c r="BP172" s="1" t="s">
        <v>333</v>
      </c>
      <c r="BQ172" s="1" t="s">
        <v>334</v>
      </c>
      <c r="BR172" s="1" t="s">
        <v>335</v>
      </c>
      <c r="BS172" s="1" t="s">
        <v>336</v>
      </c>
      <c r="BT172" s="1" t="s">
        <v>337</v>
      </c>
      <c r="BU172" s="1" t="s">
        <v>338</v>
      </c>
      <c r="BV172" s="1" t="s">
        <v>339</v>
      </c>
      <c r="BW172" s="1" t="s">
        <v>340</v>
      </c>
      <c r="BX172" s="1" t="s">
        <v>341</v>
      </c>
      <c r="BY172" s="1" t="s">
        <v>342</v>
      </c>
      <c r="BZ172" s="1" t="s">
        <v>343</v>
      </c>
      <c r="CA172" s="1" t="s">
        <v>390</v>
      </c>
    </row>
    <row r="173" spans="40:79" x14ac:dyDescent="0.3">
      <c r="AO173" s="77"/>
      <c r="AP173" s="77"/>
      <c r="AQ173" s="20">
        <v>3</v>
      </c>
      <c r="AR173" t="s">
        <v>5</v>
      </c>
      <c r="AS173" t="s">
        <v>4</v>
      </c>
      <c r="AT173" t="s">
        <v>4</v>
      </c>
      <c r="AU173" t="s">
        <v>5</v>
      </c>
      <c r="AV173" t="s">
        <v>5</v>
      </c>
      <c r="AW173" t="s">
        <v>5</v>
      </c>
      <c r="AX173" t="s">
        <v>5</v>
      </c>
      <c r="AY173" t="s">
        <v>2</v>
      </c>
      <c r="AZ173" t="s">
        <v>2</v>
      </c>
      <c r="BA173" t="s">
        <v>3</v>
      </c>
      <c r="BB173" t="s">
        <v>4</v>
      </c>
      <c r="BC173" t="s">
        <v>2</v>
      </c>
      <c r="BD173" t="s">
        <v>2</v>
      </c>
      <c r="BE173" t="s">
        <v>2</v>
      </c>
      <c r="BF173" t="s">
        <v>5</v>
      </c>
      <c r="BG173" t="s">
        <v>5</v>
      </c>
      <c r="BH173" t="s">
        <v>3</v>
      </c>
      <c r="BI173" t="s">
        <v>3</v>
      </c>
      <c r="BJ173" t="s">
        <v>2</v>
      </c>
      <c r="BK173" t="s">
        <v>4</v>
      </c>
      <c r="BL173" t="s">
        <v>5</v>
      </c>
      <c r="BM173" t="s">
        <v>3</v>
      </c>
      <c r="BN173" t="s">
        <v>3</v>
      </c>
      <c r="BO173" t="s">
        <v>3</v>
      </c>
      <c r="BP173" t="s">
        <v>3</v>
      </c>
      <c r="BQ173" t="s">
        <v>4</v>
      </c>
      <c r="BR173" t="s">
        <v>4</v>
      </c>
      <c r="BS173" t="s">
        <v>4</v>
      </c>
      <c r="BT173" t="s">
        <v>4</v>
      </c>
      <c r="BU173" t="s">
        <v>3</v>
      </c>
      <c r="BV173" t="s">
        <v>4</v>
      </c>
      <c r="BW173" t="s">
        <v>4</v>
      </c>
      <c r="BX173" t="s">
        <v>4</v>
      </c>
      <c r="BY173" t="s">
        <v>4</v>
      </c>
      <c r="BZ173" t="s">
        <v>4</v>
      </c>
      <c r="CA173" t="s">
        <v>3</v>
      </c>
    </row>
    <row r="174" spans="40:79" x14ac:dyDescent="0.3">
      <c r="AO174" s="67" t="s">
        <v>504</v>
      </c>
      <c r="AP174" s="67"/>
      <c r="AQ174">
        <f>PRODUCT('Data Training 2'!AW22,'Data Training 2'!AT34,'Data Training 2'!AT37,'Data Training 2'!AT43,'Data Training 2'!AT52,'Data Training 2'!AT58,'Data Training 2'!AT64,'Data Training 2'!AT70,'Data Training 2'!AT75,'Data Training 2'!AT81,'Data Training 2'!AT86,'Data Training 2'!AT91,'Data Training 2'!AT99,'Data Training 2'!AT105,'Data Training 2'!AT111,'Data Training 2'!AT118,'Data Training 2'!AT124,'Data Training 2'!AT128,'Data Training 2'!AT134,'Data Training 2'!AT141,'Data Training 2'!AT145,'Data Training 2'!AT154,'Data Training 2'!AT158,'Data Training 2'!AT164,'Data Training 2'!AT168,'Data Training 2'!AT172,'Data Training 2'!AT175,'Data Training 2'!AT179,'Data Training 2'!AT183,'Data Training 2'!AT187,'Data Training 2'!AT192,'Data Training 2'!AT195,'Data Training 2'!AT199,'Data Training 2'!AT203,'Data Training 2'!AT207,'Data Training 2'!AT211,'Data Training 2'!AT216)</f>
        <v>0</v>
      </c>
    </row>
    <row r="175" spans="40:79" x14ac:dyDescent="0.3">
      <c r="AO175" s="67" t="s">
        <v>505</v>
      </c>
      <c r="AP175" s="67"/>
      <c r="AQ175">
        <f>PRODUCT('Data Training 2'!AW23,'Data Training 2'!AU34,'Data Training 2'!AU37,'Data Training 2'!AU43,'Data Training 2'!AU52,'Data Training 2'!AU58,'Data Training 2'!AU64,'Data Training 2'!AU70,'Data Training 2'!AU75,'Data Training 2'!AU81,'Data Training 2'!AU86,'Data Training 2'!AU91,'Data Training 2'!AU99,'Data Training 2'!AU105,'Data Training 2'!AU111,'Data Training 2'!AU118,'Data Training 2'!AU124,'Data Training 2'!AU128,'Data Training 2'!AU134,'Data Training 2'!AU141,'Data Training 2'!AU145,'Data Training 2'!AU154,'Data Training 2'!AU158,'Data Training 2'!AU164,'Data Training 2'!AU168,'Data Training 2'!AU172,'Data Training 2'!AU175,'Data Training 2'!AU179,'Data Training 2'!AU183,'Data Training 2'!AU187,'Data Training 2'!AU192,'Data Training 2'!AU195,'Data Training 2'!AU199,'Data Training 2'!AU203,'Data Training 2'!AU207,'Data Training 2'!AU211,'Data Training 2'!AU216)</f>
        <v>0</v>
      </c>
    </row>
    <row r="176" spans="40:79" x14ac:dyDescent="0.3">
      <c r="AO176" s="67" t="s">
        <v>506</v>
      </c>
      <c r="AP176" s="67"/>
      <c r="AQ176">
        <f>PRODUCT('Data Training 2'!AW24,'Data Training 2'!AV34,'Data Training 2'!AV37,'Data Training 2'!AV43,'Data Training 2'!AV52,'Data Training 2'!AV58,'Data Training 2'!AV64,'Data Training 2'!AV70,'Data Training 2'!AV75,'Data Training 2'!AV81,'Data Training 2'!AV86,'Data Training 2'!AV91,'Data Training 2'!AV99,'Data Training 2'!AV105,'Data Training 2'!AV111,'Data Training 2'!AV118,'Data Training 2'!AV124,'Data Training 2'!AV128,'Data Training 2'!AV134,'Data Training 2'!AV141,'Data Training 2'!AV145,'Data Training 2'!AV154,'Data Training 2'!AV158,'Data Training 2'!AV164,'Data Training 2'!AV168,'Data Training 2'!AV172,'Data Training 2'!AV175,'Data Training 2'!AV179,'Data Training 2'!AV183,'Data Training 2'!AV187,'Data Training 2'!AV192,'Data Training 2'!AV195,'Data Training 2'!AV199,'Data Training 2'!AV203,'Data Training 2'!AV207,'Data Training 2'!AV211,'Data Training 2'!AV216)</f>
        <v>7.3319197071459694E-15</v>
      </c>
    </row>
    <row r="177" spans="40:79" x14ac:dyDescent="0.3">
      <c r="AO177" s="67" t="s">
        <v>507</v>
      </c>
      <c r="AP177" s="67"/>
      <c r="AQ177">
        <f>PRODUCT('Data Training 2'!AW25,'Data Training 2'!AW34,'Data Training 2'!AW37,'Data Training 2'!AW43,'Data Training 2'!AW52,'Data Training 2'!AW58,'Data Training 2'!AW64,'Data Training 2'!AW70,'Data Training 2'!AW75,'Data Training 2'!AW81,'Data Training 2'!AW86,'Data Training 2'!AW91,'Data Training 2'!AW99,'Data Training 2'!AW105,'Data Training 2'!AW111,'Data Training 2'!AW118,'Data Training 2'!AW124,'Data Training 2'!AW128,'Data Training 2'!AW134,'Data Training 2'!AW141,'Data Training 2'!AW145,'Data Training 2'!AW154,'Data Training 2'!AW158,'Data Training 2'!AW164,'Data Training 2'!AW168,'Data Training 2'!AW172,'Data Training 2'!AW175,'Data Training 2'!AW179,'Data Training 2'!AW183,'Data Training 2'!AW187,'Data Training 2'!AW192,'Data Training 2'!AW195,'Data Training 2'!AW199,'Data Training 2'!AW203,'Data Training 2'!AW207,'Data Training 2'!AW211,'Data Training 2'!AW216)</f>
        <v>0</v>
      </c>
    </row>
    <row r="178" spans="40:79" x14ac:dyDescent="0.3">
      <c r="AO178" s="67" t="s">
        <v>508</v>
      </c>
      <c r="AP178" s="67"/>
      <c r="AQ178">
        <f>PRODUCT('Data Training 2'!AW26,'Data Training 2'!AX34,'Data Training 2'!AX37,'Data Training 2'!AX43,'Data Training 2'!AX52,'Data Training 2'!AX58,'Data Training 2'!AX64,'Data Training 2'!AX70,'Data Training 2'!AX75,'Data Training 2'!AX81,'Data Training 2'!AX86,'Data Training 2'!AX91,'Data Training 2'!AX99,'Data Training 2'!AX105,'Data Training 2'!AX111,'Data Training 2'!AX118,'Data Training 2'!AX124,'Data Training 2'!AX128,'Data Training 2'!AX134,'Data Training 2'!AX141,'Data Training 2'!AX145,'Data Training 2'!AX154,'Data Training 2'!AX158,'Data Training 2'!AX164,'Data Training 2'!AX168,'Data Training 2'!AX172,'Data Training 2'!AX175,'Data Training 2'!AX179,'Data Training 2'!AX183,'Data Training 2'!AX187,'Data Training 2'!AX192,'Data Training 2'!AX195,'Data Training 2'!AX199,'Data Training 2'!AX203,'Data Training 2'!AX207,'Data Training 2'!AX211,'Data Training 2'!AX216)</f>
        <v>0</v>
      </c>
    </row>
    <row r="179" spans="40:79" x14ac:dyDescent="0.3">
      <c r="AO179" s="67" t="s">
        <v>509</v>
      </c>
      <c r="AP179" s="67"/>
      <c r="AQ179">
        <f>PRODUCT('Data Training 2'!AW27,'Data Training 2'!AY34,'Data Training 2'!AY37,'Data Training 2'!AY43,'Data Training 2'!AY52,'Data Training 2'!AY58,'Data Training 2'!AY64,'Data Training 2'!AY70,'Data Training 2'!AY75,'Data Training 2'!AY81,'Data Training 2'!AY86,'Data Training 2'!AY91,'Data Training 2'!AY99,'Data Training 2'!AY105,'Data Training 2'!AY111,'Data Training 2'!AY118,'Data Training 2'!AY124,'Data Training 2'!AY128,'Data Training 2'!AY134,'Data Training 2'!AY141,'Data Training 2'!AY145,'Data Training 2'!AY154,'Data Training 2'!AY158,'Data Training 2'!AY164,'Data Training 2'!AY168,'Data Training 2'!AY172,'Data Training 2'!AY175,'Data Training 2'!AY179,'Data Training 2'!AY183,'Data Training 2'!AY187,'Data Training 2'!AY192,'Data Training 2'!AY195,'Data Training 2'!AY199,'Data Training 2'!AY203,'Data Training 2'!AY207,'Data Training 2'!AY211,'Data Training 2'!AY216)</f>
        <v>0</v>
      </c>
    </row>
    <row r="180" spans="40:79" x14ac:dyDescent="0.3">
      <c r="AO180" s="76" t="s">
        <v>437</v>
      </c>
      <c r="AP180" s="76"/>
      <c r="AQ180" t="s">
        <v>294</v>
      </c>
      <c r="AR180" s="74" t="s">
        <v>438</v>
      </c>
      <c r="AS180" s="74"/>
      <c r="AT180" s="74"/>
    </row>
    <row r="182" spans="40:79" x14ac:dyDescent="0.3">
      <c r="AN182">
        <v>19</v>
      </c>
      <c r="AO182" s="77" t="s">
        <v>321</v>
      </c>
      <c r="AP182" s="77"/>
      <c r="AQ182" s="20" t="s">
        <v>64</v>
      </c>
      <c r="AR182" s="1" t="s">
        <v>43</v>
      </c>
      <c r="AS182" s="1" t="s">
        <v>44</v>
      </c>
      <c r="AT182" s="1" t="s">
        <v>45</v>
      </c>
      <c r="AU182" s="1" t="s">
        <v>46</v>
      </c>
      <c r="AV182" s="1" t="s">
        <v>47</v>
      </c>
      <c r="AW182" s="1" t="s">
        <v>48</v>
      </c>
      <c r="AX182" s="1" t="s">
        <v>49</v>
      </c>
      <c r="AY182" s="1" t="s">
        <v>50</v>
      </c>
      <c r="AZ182" s="1" t="s">
        <v>51</v>
      </c>
      <c r="BA182" s="1" t="s">
        <v>52</v>
      </c>
      <c r="BB182" s="1" t="s">
        <v>53</v>
      </c>
      <c r="BC182" s="1" t="s">
        <v>54</v>
      </c>
      <c r="BD182" s="1" t="s">
        <v>55</v>
      </c>
      <c r="BE182" s="1" t="s">
        <v>56</v>
      </c>
      <c r="BF182" s="1" t="s">
        <v>57</v>
      </c>
      <c r="BG182" s="1" t="s">
        <v>58</v>
      </c>
      <c r="BH182" s="1" t="s">
        <v>59</v>
      </c>
      <c r="BI182" s="1" t="s">
        <v>60</v>
      </c>
      <c r="BJ182" s="1" t="s">
        <v>61</v>
      </c>
      <c r="BK182" s="1" t="s">
        <v>62</v>
      </c>
      <c r="BL182" s="1" t="s">
        <v>63</v>
      </c>
      <c r="BM182" s="1" t="s">
        <v>330</v>
      </c>
      <c r="BN182" s="1" t="s">
        <v>331</v>
      </c>
      <c r="BO182" s="1" t="s">
        <v>332</v>
      </c>
      <c r="BP182" s="1" t="s">
        <v>333</v>
      </c>
      <c r="BQ182" s="1" t="s">
        <v>334</v>
      </c>
      <c r="BR182" s="1" t="s">
        <v>335</v>
      </c>
      <c r="BS182" s="1" t="s">
        <v>336</v>
      </c>
      <c r="BT182" s="1" t="s">
        <v>337</v>
      </c>
      <c r="BU182" s="1" t="s">
        <v>338</v>
      </c>
      <c r="BV182" s="1" t="s">
        <v>339</v>
      </c>
      <c r="BW182" s="1" t="s">
        <v>340</v>
      </c>
      <c r="BX182" s="1" t="s">
        <v>341</v>
      </c>
      <c r="BY182" s="1" t="s">
        <v>342</v>
      </c>
      <c r="BZ182" s="1" t="s">
        <v>343</v>
      </c>
      <c r="CA182" s="1" t="s">
        <v>390</v>
      </c>
    </row>
    <row r="183" spans="40:79" x14ac:dyDescent="0.3">
      <c r="AO183" s="77"/>
      <c r="AP183" s="77"/>
      <c r="AQ183" s="20">
        <v>4</v>
      </c>
      <c r="AR183" t="s">
        <v>3</v>
      </c>
      <c r="AS183" t="s">
        <v>3</v>
      </c>
      <c r="AT183" t="s">
        <v>3</v>
      </c>
      <c r="AU183" t="s">
        <v>5</v>
      </c>
      <c r="AV183" t="s">
        <v>5</v>
      </c>
      <c r="AW183" t="s">
        <v>5</v>
      </c>
      <c r="AX183" t="s">
        <v>5</v>
      </c>
      <c r="AY183" t="s">
        <v>2</v>
      </c>
      <c r="AZ183" t="s">
        <v>2</v>
      </c>
      <c r="BA183" t="s">
        <v>3</v>
      </c>
      <c r="BB183" t="s">
        <v>3</v>
      </c>
      <c r="BC183" t="s">
        <v>5</v>
      </c>
      <c r="BD183" t="s">
        <v>5</v>
      </c>
      <c r="BE183" t="s">
        <v>3</v>
      </c>
      <c r="BF183" t="s">
        <v>2</v>
      </c>
      <c r="BG183" t="s">
        <v>5</v>
      </c>
      <c r="BH183" t="s">
        <v>5</v>
      </c>
      <c r="BI183" t="s">
        <v>5</v>
      </c>
      <c r="BJ183" t="s">
        <v>4</v>
      </c>
      <c r="BK183" t="s">
        <v>4</v>
      </c>
      <c r="BL183" t="s">
        <v>4</v>
      </c>
      <c r="BM183" t="s">
        <v>2</v>
      </c>
      <c r="BN183" t="s">
        <v>3</v>
      </c>
      <c r="BO183" t="s">
        <v>4</v>
      </c>
      <c r="BP183" t="s">
        <v>4</v>
      </c>
      <c r="BQ183" t="s">
        <v>4</v>
      </c>
      <c r="BR183" t="s">
        <v>4</v>
      </c>
      <c r="BS183" t="s">
        <v>4</v>
      </c>
      <c r="BT183" t="s">
        <v>3</v>
      </c>
      <c r="BU183" t="s">
        <v>3</v>
      </c>
      <c r="BV183" t="s">
        <v>4</v>
      </c>
      <c r="BW183" t="s">
        <v>3</v>
      </c>
      <c r="BX183" t="s">
        <v>3</v>
      </c>
      <c r="BY183" t="s">
        <v>4</v>
      </c>
      <c r="BZ183" t="s">
        <v>4</v>
      </c>
      <c r="CA183" t="s">
        <v>3</v>
      </c>
    </row>
    <row r="184" spans="40:79" x14ac:dyDescent="0.3">
      <c r="AO184" s="67" t="s">
        <v>504</v>
      </c>
      <c r="AP184" s="67"/>
      <c r="AQ184">
        <f>'Data Training 2'!AW22*'Data Training 2'!AT32*'Data Training 2'!AT38*'Data Training 2'!AT44*'Data Training 2'!AT52*'Data Training 2'!AT58*'Data Training 2'!AT64*'Data Training 2'!AT70*'Data Training 2'!AT75*'Data Training 2'!AT81*'Data Training 2'!AT86*'Data Training 2'!AT92*'Data Training 2'!AT100*'Data Training 2'!AT106*'Data Training 2'!AT110*'Data Training 2'!AT117*'Data Training 2'!AT124*'Data Training 2'!AT130*'Data Training 2'!AT136*'Data Training 2'!AT139*'Data Training 2'!AT145*'Data Training 2'!AT151*'Data Training 2'!AT159*'Data Training 2'!AT164*'Data Training 2'!AT167*'Data Training 2'!AT171*'Data Training 2'!AT175*'Data Training 2'!AT179*'Data Training 2'!AT183*'Data Training 2'!AT188*'Data Training 2'!AT192*'Data Training 2'!AT195*'Data Training 2'!AT200*'Data Training 2'!AT204*'Data Training 2'!AT207*'Data Training 2'!AT211*'Data Training 2'!AT216</f>
        <v>5.7305847182023058E-10</v>
      </c>
    </row>
    <row r="185" spans="40:79" x14ac:dyDescent="0.3">
      <c r="AO185" s="67" t="s">
        <v>505</v>
      </c>
      <c r="AP185" s="67"/>
      <c r="AQ185">
        <f>'Data Training 2'!AW23*'Data Training 2'!AU32*'Data Training 2'!AU38*'Data Training 2'!AU44*'Data Training 2'!AU52*'Data Training 2'!AU58*'Data Training 2'!AU64*'Data Training 2'!AU70*'Data Training 2'!AU75*'Data Training 2'!AU81*'Data Training 2'!AU86*'Data Training 2'!AU92*'Data Training 2'!AU100*'Data Training 2'!AU106*'Data Training 2'!AU110*'Data Training 2'!AU117*'Data Training 2'!AU124*'Data Training 2'!AU130*'Data Training 2'!AU136*'Data Training 2'!AU139*'Data Training 2'!AU145*'Data Training 2'!AU151*'Data Training 2'!AU159*'Data Training 2'!AU164*'Data Training 2'!AU167*'Data Training 2'!AU171*'Data Training 2'!AU175*'Data Training 2'!AU179*'Data Training 2'!AU183*'Data Training 2'!AU188*'Data Training 2'!AU192*'Data Training 2'!AU195*'Data Training 2'!AU200*'Data Training 2'!AU204*'Data Training 2'!AU207*'Data Training 2'!AU211*'Data Training 2'!AU216</f>
        <v>0</v>
      </c>
    </row>
    <row r="186" spans="40:79" x14ac:dyDescent="0.3">
      <c r="AO186" s="67" t="s">
        <v>506</v>
      </c>
      <c r="AP186" s="67"/>
      <c r="AQ186">
        <f>'Data Training 2'!AW24*'Data Training 2'!AV32*'Data Training 2'!AV38*'Data Training 2'!AV44*'Data Training 2'!AV52*'Data Training 2'!AV58*'Data Training 2'!AV64*'Data Training 2'!AV70*'Data Training 2'!AV75*'Data Training 2'!AV81*'Data Training 2'!AV86*'Data Training 2'!AV92*'Data Training 2'!AV100*'Data Training 2'!AV106*'Data Training 2'!AV110*'Data Training 2'!AV117*'Data Training 2'!AV124*'Data Training 2'!AV130*'Data Training 2'!AV136*'Data Training 2'!AV139*'Data Training 2'!AV145*'Data Training 2'!AV151*'Data Training 2'!AV159*'Data Training 2'!AV164*'Data Training 2'!AV167*'Data Training 2'!AV171*'Data Training 2'!AV175*'Data Training 2'!AV179*'Data Training 2'!AV183*'Data Training 2'!AV188*'Data Training 2'!AV192*'Data Training 2'!AV195*'Data Training 2'!AV200*'Data Training 2'!AV204*'Data Training 2'!AV207*'Data Training 2'!AV211*'Data Training 2'!AV216</f>
        <v>0</v>
      </c>
    </row>
    <row r="187" spans="40:79" x14ac:dyDescent="0.3">
      <c r="AO187" s="67" t="s">
        <v>507</v>
      </c>
      <c r="AP187" s="67"/>
      <c r="AQ187">
        <f>'Data Training 2'!AW25*'Data Training 2'!AW32*'Data Training 2'!AW38*'Data Training 2'!AW44*'Data Training 2'!AW52*'Data Training 2'!AW58*'Data Training 2'!AW64*'Data Training 2'!AW70*'Data Training 2'!AW75*'Data Training 2'!AW81*'Data Training 2'!AW86*'Data Training 2'!AW92*'Data Training 2'!AW100*'Data Training 2'!AW106*'Data Training 2'!AW110*'Data Training 2'!AW117*'Data Training 2'!AW124*'Data Training 2'!AW130*'Data Training 2'!AW136*'Data Training 2'!AW139*'Data Training 2'!AW145*'Data Training 2'!AW151*'Data Training 2'!AW159*'Data Training 2'!AW164*'Data Training 2'!AW167*'Data Training 2'!AW171*'Data Training 2'!AW175*'Data Training 2'!AW179*'Data Training 2'!AW183*'Data Training 2'!AW188*'Data Training 2'!AW192*'Data Training 2'!AW195*'Data Training 2'!AW200*'Data Training 2'!AW204*'Data Training 2'!AW207*'Data Training 2'!AW211*'Data Training 2'!AW216</f>
        <v>6.0839707758247844E-8</v>
      </c>
    </row>
    <row r="188" spans="40:79" x14ac:dyDescent="0.3">
      <c r="AO188" s="67" t="s">
        <v>508</v>
      </c>
      <c r="AP188" s="67"/>
      <c r="AQ188">
        <f>'Data Training 2'!AW26*'Data Training 2'!AX32*'Data Training 2'!AX38*'Data Training 2'!AX44*'Data Training 2'!AX52*'Data Training 2'!AX58*'Data Training 2'!AX64*'Data Training 2'!AX70*'Data Training 2'!AX75*'Data Training 2'!AX81*'Data Training 2'!AX86*'Data Training 2'!AX92*'Data Training 2'!AX100*'Data Training 2'!AX106*'Data Training 2'!AX110*'Data Training 2'!AX117*'Data Training 2'!AX124*'Data Training 2'!AX130*'Data Training 2'!AX136*'Data Training 2'!AX139*'Data Training 2'!AX145*'Data Training 2'!AX151*'Data Training 2'!AX159*'Data Training 2'!AX164*'Data Training 2'!AX167*'Data Training 2'!AX171*'Data Training 2'!AX175*'Data Training 2'!AX179*'Data Training 2'!AX183*'Data Training 2'!AX188*'Data Training 2'!AX192*'Data Training 2'!AX195*'Data Training 2'!AX200*'Data Training 2'!AX204*'Data Training 2'!AX207*'Data Training 2'!AX211*'Data Training 2'!AX216</f>
        <v>0</v>
      </c>
    </row>
    <row r="189" spans="40:79" x14ac:dyDescent="0.3">
      <c r="AO189" s="67" t="s">
        <v>509</v>
      </c>
      <c r="AP189" s="67"/>
      <c r="AQ189">
        <f>'Data Training 2'!AW27*'Data Training 2'!AY32*'Data Training 2'!AY38*'Data Training 2'!AY44*'Data Training 2'!AY52*'Data Training 2'!AY58*'Data Training 2'!AY64*'Data Training 2'!AY70*'Data Training 2'!AY75*'Data Training 2'!AY81*'Data Training 2'!AY86*'Data Training 2'!AY92*'Data Training 2'!AY100*'Data Training 2'!AY106*'Data Training 2'!AY110*'Data Training 2'!AY117*'Data Training 2'!AY124*'Data Training 2'!AY130*'Data Training 2'!AY136*'Data Training 2'!AY139*'Data Training 2'!AY145*'Data Training 2'!AY151*'Data Training 2'!AY159*'Data Training 2'!AY164*'Data Training 2'!AY167*'Data Training 2'!AY171*'Data Training 2'!AY175*'Data Training 2'!AY179*'Data Training 2'!AY183*'Data Training 2'!AY188*'Data Training 2'!AY192*'Data Training 2'!AY195*'Data Training 2'!AY200*'Data Training 2'!AY204*'Data Training 2'!AY207*'Data Training 2'!AY211*'Data Training 2'!AY216</f>
        <v>0</v>
      </c>
    </row>
    <row r="190" spans="40:79" x14ac:dyDescent="0.3">
      <c r="AO190" s="76" t="s">
        <v>437</v>
      </c>
      <c r="AP190" s="76"/>
      <c r="AQ190" t="s">
        <v>296</v>
      </c>
      <c r="AR190" s="74" t="s">
        <v>438</v>
      </c>
      <c r="AS190" s="74"/>
      <c r="AT190" s="74"/>
    </row>
    <row r="192" spans="40:79" x14ac:dyDescent="0.3">
      <c r="AN192">
        <v>20</v>
      </c>
      <c r="AO192" s="77" t="s">
        <v>322</v>
      </c>
      <c r="AP192" s="77"/>
      <c r="AQ192" s="20" t="s">
        <v>64</v>
      </c>
      <c r="AR192" s="1" t="s">
        <v>43</v>
      </c>
      <c r="AS192" s="1" t="s">
        <v>44</v>
      </c>
      <c r="AT192" s="1" t="s">
        <v>45</v>
      </c>
      <c r="AU192" s="1" t="s">
        <v>46</v>
      </c>
      <c r="AV192" s="1" t="s">
        <v>47</v>
      </c>
      <c r="AW192" s="1" t="s">
        <v>48</v>
      </c>
      <c r="AX192" s="1" t="s">
        <v>49</v>
      </c>
      <c r="AY192" s="1" t="s">
        <v>50</v>
      </c>
      <c r="AZ192" s="1" t="s">
        <v>51</v>
      </c>
      <c r="BA192" s="1" t="s">
        <v>52</v>
      </c>
      <c r="BB192" s="1" t="s">
        <v>53</v>
      </c>
      <c r="BC192" s="1" t="s">
        <v>54</v>
      </c>
      <c r="BD192" s="1" t="s">
        <v>55</v>
      </c>
      <c r="BE192" s="1" t="s">
        <v>56</v>
      </c>
      <c r="BF192" s="1" t="s">
        <v>57</v>
      </c>
      <c r="BG192" s="1" t="s">
        <v>58</v>
      </c>
      <c r="BH192" s="1" t="s">
        <v>59</v>
      </c>
      <c r="BI192" s="1" t="s">
        <v>60</v>
      </c>
      <c r="BJ192" s="1" t="s">
        <v>61</v>
      </c>
      <c r="BK192" s="1" t="s">
        <v>62</v>
      </c>
      <c r="BL192" s="1" t="s">
        <v>63</v>
      </c>
      <c r="BM192" s="1" t="s">
        <v>330</v>
      </c>
      <c r="BN192" s="1" t="s">
        <v>331</v>
      </c>
      <c r="BO192" s="1" t="s">
        <v>332</v>
      </c>
      <c r="BP192" s="1" t="s">
        <v>333</v>
      </c>
      <c r="BQ192" s="1" t="s">
        <v>334</v>
      </c>
      <c r="BR192" s="1" t="s">
        <v>335</v>
      </c>
      <c r="BS192" s="1" t="s">
        <v>336</v>
      </c>
      <c r="BT192" s="1" t="s">
        <v>337</v>
      </c>
      <c r="BU192" s="1" t="s">
        <v>338</v>
      </c>
      <c r="BV192" s="1" t="s">
        <v>339</v>
      </c>
      <c r="BW192" s="1" t="s">
        <v>340</v>
      </c>
      <c r="BX192" s="1" t="s">
        <v>341</v>
      </c>
      <c r="BY192" s="1" t="s">
        <v>342</v>
      </c>
      <c r="BZ192" s="1" t="s">
        <v>343</v>
      </c>
      <c r="CA192" s="1" t="s">
        <v>390</v>
      </c>
    </row>
    <row r="193" spans="40:79" x14ac:dyDescent="0.3">
      <c r="AO193" s="77"/>
      <c r="AP193" s="77"/>
      <c r="AQ193" s="20">
        <v>4</v>
      </c>
      <c r="AR193" t="s">
        <v>5</v>
      </c>
      <c r="AS193" t="s">
        <v>5</v>
      </c>
      <c r="AT193" t="s">
        <v>2</v>
      </c>
      <c r="AU193" t="s">
        <v>5</v>
      </c>
      <c r="AV193" t="s">
        <v>5</v>
      </c>
      <c r="AW193" t="s">
        <v>5</v>
      </c>
      <c r="AX193" t="s">
        <v>5</v>
      </c>
      <c r="AY193" t="s">
        <v>2</v>
      </c>
      <c r="AZ193" t="s">
        <v>2</v>
      </c>
      <c r="BA193" t="s">
        <v>2</v>
      </c>
      <c r="BB193" t="s">
        <v>3</v>
      </c>
      <c r="BC193" t="s">
        <v>5</v>
      </c>
      <c r="BD193" t="s">
        <v>5</v>
      </c>
      <c r="BE193" t="s">
        <v>2</v>
      </c>
      <c r="BF193" t="s">
        <v>2</v>
      </c>
      <c r="BG193" t="s">
        <v>5</v>
      </c>
      <c r="BH193" t="s">
        <v>5</v>
      </c>
      <c r="BI193" t="s">
        <v>5</v>
      </c>
      <c r="BJ193" t="s">
        <v>5</v>
      </c>
      <c r="BK193" t="s">
        <v>3</v>
      </c>
      <c r="BL193" t="s">
        <v>3</v>
      </c>
      <c r="BM193" t="s">
        <v>2</v>
      </c>
      <c r="BN193" t="s">
        <v>3</v>
      </c>
      <c r="BO193" t="s">
        <v>4</v>
      </c>
      <c r="BP193" t="s">
        <v>4</v>
      </c>
      <c r="BQ193" t="s">
        <v>4</v>
      </c>
      <c r="BR193" t="s">
        <v>4</v>
      </c>
      <c r="BS193" t="s">
        <v>4</v>
      </c>
      <c r="BT193" t="s">
        <v>3</v>
      </c>
      <c r="BU193" t="s">
        <v>3</v>
      </c>
      <c r="BV193" t="s">
        <v>4</v>
      </c>
      <c r="BW193" t="s">
        <v>3</v>
      </c>
      <c r="BX193" t="s">
        <v>3</v>
      </c>
      <c r="BY193" t="s">
        <v>4</v>
      </c>
      <c r="BZ193" t="s">
        <v>3</v>
      </c>
      <c r="CA193" t="s">
        <v>3</v>
      </c>
    </row>
    <row r="194" spans="40:79" x14ac:dyDescent="0.3">
      <c r="AO194" s="67" t="s">
        <v>504</v>
      </c>
      <c r="AP194" s="67"/>
      <c r="AQ194">
        <f>'Data Training 2'!AW22*'Data Training 2'!AT34*'Data Training 2'!AT40*'Data Training 2'!AT45*'Data Training 2'!AT52*'Data Training 2'!AT58*'Data Training 2'!AT64*'Data Training 2'!AT70*'Data Training 2'!AT75*'Data Training 2'!AT81*'Data Training 2'!AT87*'Data Training 2'!AT92*'Data Training 2'!AT100*'Data Training 2'!AT106*'Data Training 2'!AT111*'Data Training 2'!AT117*'Data Training 2'!AT124*'Data Training 2'!AT130*'Data Training 2'!AT136*'Data Training 2'!AT142*'Data Training 2'!AT146*'Data Training 2'!AT152*'Data Training 2'!AT159*'Data Training 2'!AT164*'Data Training 2'!AT167*'Data Training 2'!AT171*'Data Training 2'!AT175*'Data Training 2'!AT179*'Data Training 2'!AT183*'Data Training 2'!AT188*'Data Training 2'!AT192*'Data Training 2'!AT195*'Data Training 2'!AT200*'Data Training 2'!AT204*'Data Training 2'!AT207*'Data Training 2'!AT212*'Data Training 2'!AT216</f>
        <v>0</v>
      </c>
    </row>
    <row r="195" spans="40:79" x14ac:dyDescent="0.3">
      <c r="AO195" s="67" t="s">
        <v>505</v>
      </c>
      <c r="AP195" s="67"/>
      <c r="AQ195">
        <f>'Data Training 2'!AW23*'Data Training 2'!AU34*'Data Training 2'!AU40*'Data Training 2'!AU45*'Data Training 2'!AU52*'Data Training 2'!AU58*'Data Training 2'!AU64*'Data Training 2'!AU70*'Data Training 2'!AU75*'Data Training 2'!AU81*'Data Training 2'!AU87*'Data Training 2'!AU92*'Data Training 2'!AU100*'Data Training 2'!AU106*'Data Training 2'!AU111*'Data Training 2'!AU117*'Data Training 2'!AU124*'Data Training 2'!AU130*'Data Training 2'!AU136*'Data Training 2'!AU142*'Data Training 2'!AU146*'Data Training 2'!AU152*'Data Training 2'!AU159*'Data Training 2'!AU164*'Data Training 2'!AU167*'Data Training 2'!AU171*'Data Training 2'!AU175*'Data Training 2'!AU179*'Data Training 2'!AU183*'Data Training 2'!AU188*'Data Training 2'!AU192*'Data Training 2'!AU195*'Data Training 2'!AU200*'Data Training 2'!AU204*'Data Training 2'!AU207*'Data Training 2'!AU212*'Data Training 2'!AU216</f>
        <v>0</v>
      </c>
    </row>
    <row r="196" spans="40:79" x14ac:dyDescent="0.3">
      <c r="AO196" s="67" t="s">
        <v>506</v>
      </c>
      <c r="AP196" s="67"/>
      <c r="AQ196">
        <f>'Data Training 2'!AW24*'Data Training 2'!AV34*'Data Training 2'!AV40*'Data Training 2'!AV45*'Data Training 2'!AV52*'Data Training 2'!AV58*'Data Training 2'!AV64*'Data Training 2'!AV70*'Data Training 2'!AV75*'Data Training 2'!AV81*'Data Training 2'!AV87*'Data Training 2'!AV92*'Data Training 2'!AV100*'Data Training 2'!AV106*'Data Training 2'!AV111*'Data Training 2'!AV117*'Data Training 2'!AV124*'Data Training 2'!AV130*'Data Training 2'!AV136*'Data Training 2'!AV142*'Data Training 2'!AV146*'Data Training 2'!AV152*'Data Training 2'!AV159*'Data Training 2'!AV164*'Data Training 2'!AV167*'Data Training 2'!AV171*'Data Training 2'!AV175*'Data Training 2'!AV179*'Data Training 2'!AV183*'Data Training 2'!AV188*'Data Training 2'!AV192*'Data Training 2'!AV195*'Data Training 2'!AV200*'Data Training 2'!AV204*'Data Training 2'!AV207*'Data Training 2'!AV212*'Data Training 2'!AV216</f>
        <v>0</v>
      </c>
    </row>
    <row r="197" spans="40:79" x14ac:dyDescent="0.3">
      <c r="AO197" s="67" t="s">
        <v>507</v>
      </c>
      <c r="AP197" s="67"/>
      <c r="AQ197">
        <f>'Data Training 2'!AW25*'Data Training 2'!AW34*'Data Training 2'!AW40*'Data Training 2'!AW45*'Data Training 2'!AW52*'Data Training 2'!AW58*'Data Training 2'!AW64*'Data Training 2'!AW70*'Data Training 2'!AW75*'Data Training 2'!AW81*'Data Training 2'!AW87*'Data Training 2'!AW92*'Data Training 2'!AW100*'Data Training 2'!AW106*'Data Training 2'!AW111*'Data Training 2'!AW117*'Data Training 2'!AW124*'Data Training 2'!AW130*'Data Training 2'!AW136*'Data Training 2'!AW142*'Data Training 2'!AW146*'Data Training 2'!AW152*'Data Training 2'!AW159*'Data Training 2'!AW164*'Data Training 2'!AW167*'Data Training 2'!AW171*'Data Training 2'!AW175*'Data Training 2'!AW179*'Data Training 2'!AW183*'Data Training 2'!AW188*'Data Training 2'!AW192*'Data Training 2'!AW195*'Data Training 2'!AW200*'Data Training 2'!AW204*'Data Training 2'!AW207*'Data Training 2'!AW212*'Data Training 2'!AW216</f>
        <v>5.9125080425896835E-8</v>
      </c>
    </row>
    <row r="198" spans="40:79" x14ac:dyDescent="0.3">
      <c r="AO198" s="67" t="s">
        <v>508</v>
      </c>
      <c r="AP198" s="67"/>
      <c r="AQ198">
        <f>'Data Training 2'!AW26*'Data Training 2'!AX34*'Data Training 2'!AX40*'Data Training 2'!AX45*'Data Training 2'!AX52*'Data Training 2'!AX58*'Data Training 2'!AX64*'Data Training 2'!AX70*'Data Training 2'!AX75*'Data Training 2'!AX81*'Data Training 2'!AX87*'Data Training 2'!AX92*'Data Training 2'!AX100*'Data Training 2'!AX106*'Data Training 2'!AX111*'Data Training 2'!AX117*'Data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3.7379334338352473E-8</v>
      </c>
    </row>
    <row r="199" spans="40:79" x14ac:dyDescent="0.3">
      <c r="AO199" s="67" t="s">
        <v>509</v>
      </c>
      <c r="AP199" s="67"/>
      <c r="AQ199">
        <f>'Data Training 2'!AW27*'Data Training 2'!AY34*'Data Training 2'!AY40*'Data Training 2'!AY45*'Data Training 2'!AY52*'Data Training 2'!AY58*'Data Training 2'!AY64*'Data Training 2'!AY70*'Data Training 2'!AY75*'Data Training 2'!AY81*'Data Training 2'!AY87*'Data Training 2'!AY92*'Data Training 2'!AY100*'Data Training 2'!AY106*'Data Training 2'!AY111*'Data Training 2'!AY117*'Data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2.4311039127593316E-10</v>
      </c>
    </row>
    <row r="200" spans="40:79" x14ac:dyDescent="0.3">
      <c r="AO200" s="76" t="s">
        <v>437</v>
      </c>
      <c r="AP200" s="76"/>
      <c r="AQ200" t="s">
        <v>296</v>
      </c>
      <c r="AR200" s="74" t="s">
        <v>438</v>
      </c>
      <c r="AS200" s="74"/>
      <c r="AT200" s="74"/>
    </row>
    <row r="202" spans="40:79" x14ac:dyDescent="0.3">
      <c r="AN202">
        <v>21</v>
      </c>
      <c r="AO202" s="77" t="s">
        <v>323</v>
      </c>
      <c r="AP202" s="77"/>
      <c r="AQ202" s="20" t="s">
        <v>64</v>
      </c>
      <c r="AR202" s="1" t="s">
        <v>43</v>
      </c>
      <c r="AS202" s="1" t="s">
        <v>44</v>
      </c>
      <c r="AT202" s="1" t="s">
        <v>45</v>
      </c>
      <c r="AU202" s="1" t="s">
        <v>46</v>
      </c>
      <c r="AV202" s="1" t="s">
        <v>47</v>
      </c>
      <c r="AW202" s="1" t="s">
        <v>48</v>
      </c>
      <c r="AX202" s="1" t="s">
        <v>49</v>
      </c>
      <c r="AY202" s="1" t="s">
        <v>50</v>
      </c>
      <c r="AZ202" s="1" t="s">
        <v>51</v>
      </c>
      <c r="BA202" s="1" t="s">
        <v>52</v>
      </c>
      <c r="BB202" s="1" t="s">
        <v>53</v>
      </c>
      <c r="BC202" s="1" t="s">
        <v>54</v>
      </c>
      <c r="BD202" s="1" t="s">
        <v>55</v>
      </c>
      <c r="BE202" s="1" t="s">
        <v>56</v>
      </c>
      <c r="BF202" s="1" t="s">
        <v>57</v>
      </c>
      <c r="BG202" s="1" t="s">
        <v>58</v>
      </c>
      <c r="BH202" s="1" t="s">
        <v>59</v>
      </c>
      <c r="BI202" s="1" t="s">
        <v>60</v>
      </c>
      <c r="BJ202" s="1" t="s">
        <v>61</v>
      </c>
      <c r="BK202" s="1" t="s">
        <v>62</v>
      </c>
      <c r="BL202" s="1" t="s">
        <v>63</v>
      </c>
      <c r="BM202" s="1" t="s">
        <v>330</v>
      </c>
      <c r="BN202" s="1" t="s">
        <v>331</v>
      </c>
      <c r="BO202" s="1" t="s">
        <v>332</v>
      </c>
      <c r="BP202" s="1" t="s">
        <v>333</v>
      </c>
      <c r="BQ202" s="1" t="s">
        <v>334</v>
      </c>
      <c r="BR202" s="1" t="s">
        <v>335</v>
      </c>
      <c r="BS202" s="1" t="s">
        <v>336</v>
      </c>
      <c r="BT202" s="1" t="s">
        <v>337</v>
      </c>
      <c r="BU202" s="1" t="s">
        <v>338</v>
      </c>
      <c r="BV202" s="1" t="s">
        <v>339</v>
      </c>
      <c r="BW202" s="1" t="s">
        <v>340</v>
      </c>
      <c r="BX202" s="1" t="s">
        <v>341</v>
      </c>
      <c r="BY202" s="1" t="s">
        <v>342</v>
      </c>
      <c r="BZ202" s="1" t="s">
        <v>343</v>
      </c>
      <c r="CA202" s="1" t="s">
        <v>390</v>
      </c>
    </row>
    <row r="203" spans="40:79" x14ac:dyDescent="0.3">
      <c r="AO203" s="77"/>
      <c r="AP203" s="77"/>
      <c r="AQ203" s="20">
        <v>4</v>
      </c>
      <c r="AR203" t="s">
        <v>5</v>
      </c>
      <c r="AS203" t="s">
        <v>3</v>
      </c>
      <c r="AT203" t="s">
        <v>2</v>
      </c>
      <c r="AU203" t="s">
        <v>5</v>
      </c>
      <c r="AV203" t="s">
        <v>5</v>
      </c>
      <c r="AW203" t="s">
        <v>5</v>
      </c>
      <c r="AX203" t="s">
        <v>2</v>
      </c>
      <c r="AY203" t="s">
        <v>2</v>
      </c>
      <c r="AZ203" t="s">
        <v>3</v>
      </c>
      <c r="BA203" t="s">
        <v>3</v>
      </c>
      <c r="BB203" t="s">
        <v>3</v>
      </c>
      <c r="BC203" t="s">
        <v>4</v>
      </c>
      <c r="BD203" t="s">
        <v>2</v>
      </c>
      <c r="BE203" t="s">
        <v>2</v>
      </c>
      <c r="BF203" t="s">
        <v>3</v>
      </c>
      <c r="BG203" t="s">
        <v>5</v>
      </c>
      <c r="BH203" t="s">
        <v>2</v>
      </c>
      <c r="BI203" t="s">
        <v>2</v>
      </c>
      <c r="BJ203" t="s">
        <v>5</v>
      </c>
      <c r="BK203" t="s">
        <v>3</v>
      </c>
      <c r="BL203" t="s">
        <v>2</v>
      </c>
      <c r="BM203" t="s">
        <v>2</v>
      </c>
      <c r="BN203" t="s">
        <v>3</v>
      </c>
      <c r="BO203" t="s">
        <v>4</v>
      </c>
      <c r="BP203" t="s">
        <v>4</v>
      </c>
      <c r="BQ203" t="s">
        <v>4</v>
      </c>
      <c r="BR203" t="s">
        <v>4</v>
      </c>
      <c r="BS203" t="s">
        <v>4</v>
      </c>
      <c r="BT203" t="s">
        <v>3</v>
      </c>
      <c r="BU203" t="s">
        <v>3</v>
      </c>
      <c r="BV203" t="s">
        <v>4</v>
      </c>
      <c r="BW203" t="s">
        <v>3</v>
      </c>
      <c r="BX203" t="s">
        <v>4</v>
      </c>
      <c r="BY203" t="s">
        <v>4</v>
      </c>
      <c r="BZ203" t="s">
        <v>4</v>
      </c>
      <c r="CA203" t="s">
        <v>3</v>
      </c>
    </row>
    <row r="204" spans="40:79" x14ac:dyDescent="0.3">
      <c r="AO204" s="67" t="s">
        <v>504</v>
      </c>
      <c r="AP204" s="67"/>
      <c r="AQ204">
        <f>'Data Training 2'!AW22*'Data Training 2'!AT34*'Data Training 2'!AT38*'Data Training 2'!AT45*'Data Training 2'!AT52*'Data Training 2'!AT58*'Data Training 2'!AT64*'Data Training 2'!AT69*'Data Training 2'!AT75*'Data Training 2'!AT80*'Data Training 2'!AT86*'Data Training 2'!AT92*'Data Training 2'!AT97*'Data Training 2'!AT105*'Data Training 2'!AT111*'Data Training 2'!AT116*'Data Training 2'!AT124*'Data Training 2'!AT129*'Data Training 2'!AT135*'Data Training 2'!AT142*'Data Training 2'!AT146*'Data Training 2'!AT153*'Data Training 2'!AT159*'Data Training 2'!AT164*'Data Training 2'!AT167*'Data Training 2'!AT171*'Data Training 2'!AT175*'Data Training 2'!AT179*'Data Training 2'!AT183*'Data Training 2'!AT188*'Data Training 2'!AT192*'Data Training 2'!AT195*'Data Training 2'!AT200*'Data Training 2'!AT203*'Data Training 2'!AT207*'Data Training 2'!AT211*'Data Training 2'!AT216</f>
        <v>0</v>
      </c>
    </row>
    <row r="205" spans="40:79" x14ac:dyDescent="0.3">
      <c r="AO205" s="67" t="s">
        <v>505</v>
      </c>
      <c r="AP205" s="67"/>
      <c r="AQ205">
        <f>'Data Training 2'!AW23*'Data Training 2'!AU34*'Data Training 2'!AU38*'Data Training 2'!AU45*'Data Training 2'!AU52*'Data Training 2'!AU58*'Data Training 2'!AU64*'Data Training 2'!AU69*'Data Training 2'!AU75*'Data Training 2'!AU80*'Data Training 2'!AU86*'Data Training 2'!AU92*'Data Training 2'!AU97*'Data Training 2'!AU105*'Data Training 2'!AU111*'Data Training 2'!AU116*'Data Training 2'!AU124*'Data Training 2'!AU129*'Data Training 2'!AU135*'Data Training 2'!AU142*'Data Training 2'!AU146*'Data Training 2'!AU153*'Data Training 2'!AU159*'Data Training 2'!AU164*'Data Training 2'!AU167*'Data Training 2'!AU171*'Data Training 2'!AU175*'Data Training 2'!AU179*'Data Training 2'!AU183*'Data Training 2'!AU188*'Data Training 2'!AU192*'Data Training 2'!AU195*'Data Training 2'!AU200*'Data Training 2'!AU203*'Data Training 2'!AU207*'Data Training 2'!AU211*'Data Training 2'!AU216</f>
        <v>0</v>
      </c>
    </row>
    <row r="206" spans="40:79" x14ac:dyDescent="0.3">
      <c r="AO206" s="67" t="s">
        <v>506</v>
      </c>
      <c r="AP206" s="67"/>
      <c r="AQ206">
        <f>'Data Training 2'!AW24*'Data Training 2'!AV34*'Data Training 2'!AV38*'Data Training 2'!AV45*'Data Training 2'!AV52*'Data Training 2'!AV58*'Data Training 2'!AV64*'Data Training 2'!AV69*'Data Training 2'!AV75*'Data Training 2'!AV80*'Data Training 2'!AV86*'Data Training 2'!AV92*'Data Training 2'!AV97*'Data Training 2'!AV105*'Data Training 2'!AV111*'Data Training 2'!AV116*'Data Training 2'!AV124*'Data Training 2'!AV129*'Data Training 2'!AV135*'Data Training 2'!AV142*'Data Training 2'!AV146*'Data Training 2'!AV153*'Data Training 2'!AV159*'Data Training 2'!AV164*'Data Training 2'!AV167*'Data Training 2'!AV171*'Data Training 2'!AV175*'Data Training 2'!AV179*'Data Training 2'!AV183*'Data Training 2'!AV188*'Data Training 2'!AV192*'Data Training 2'!AV195*'Data Training 2'!AV200*'Data Training 2'!AV203*'Data Training 2'!AV207*'Data Training 2'!AV211*'Data Training 2'!AV216</f>
        <v>0</v>
      </c>
    </row>
    <row r="207" spans="40:79" x14ac:dyDescent="0.3">
      <c r="AO207" s="67" t="s">
        <v>507</v>
      </c>
      <c r="AP207" s="67"/>
      <c r="AQ207">
        <f>'Data Training 2'!AW25*'Data Training 2'!AW34*'Data Training 2'!AW38*'Data Training 2'!AW45*'Data Training 2'!AW52*'Data Training 2'!AW58*'Data Training 2'!AW64*'Data Training 2'!AW69*'Data Training 2'!AW75*'Data Training 2'!AW80*'Data Training 2'!AW86*'Data Training 2'!AW92*'Data Training 2'!AW97*'Data Training 2'!AW105*'Data Training 2'!AW111*'Data Training 2'!AW116*'Data Training 2'!AW124*'Data Training 2'!AW129*'Data Training 2'!AW135*'Data Training 2'!AW142*'Data Training 2'!AW146*'Data Training 2'!AW153*'Data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1.7102295990961887E-13</v>
      </c>
    </row>
    <row r="208" spans="40:79" x14ac:dyDescent="0.3">
      <c r="AO208" s="67" t="s">
        <v>508</v>
      </c>
      <c r="AP208" s="67"/>
      <c r="AQ208">
        <f>'Data Training 2'!AW26*'Data Training 2'!AX34*'Data Training 2'!AX38*'Data Training 2'!AX45*'Data Training 2'!AX52*'Data Training 2'!AX58*'Data Training 2'!AX64*'Data Training 2'!AX69*'Data Training 2'!AX75*'Data Training 2'!AX80*'Data Training 2'!AX86*'Data Training 2'!AX92*'Data Training 2'!AX97*'Data Training 2'!AX105*'Data Training 2'!AX111*'Data Training 2'!AX116*'Data Training 2'!AX124*'Data Training 2'!AX129*'Data Training 2'!AX135*'Data Training 2'!AX142*'Data Training 2'!AX146*'Data Training 2'!AX153*'Data Training 2'!AX159*'Data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0</v>
      </c>
    </row>
    <row r="209" spans="40:79" x14ac:dyDescent="0.3">
      <c r="AO209" s="67" t="s">
        <v>509</v>
      </c>
      <c r="AP209" s="67"/>
      <c r="AQ209">
        <f>'Data Training 2'!AW27*'Data Training 2'!AY34*'Data Training 2'!AY38*'Data Training 2'!AY45*'Data Training 2'!AY52*'Data Training 2'!AY58*'Data Training 2'!AY64*'Data Training 2'!AY69*'Data Training 2'!AY75*'Data Training 2'!AY80*'Data Training 2'!AY86*'Data Training 2'!AY92*'Data Training 2'!AY97*'Data Training 2'!AY105*'Data Training 2'!AY111*'Data Training 2'!AY116*'Data Training 2'!AY124*'Data Training 2'!AY129*'Data Training 2'!AY135*'Data Training 2'!AY142*'Data Training 2'!AY146*'Data Training 2'!AY153*'Data Training 2'!AY159*'Data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1.0504769993404522E-13</v>
      </c>
    </row>
    <row r="210" spans="40:79" x14ac:dyDescent="0.3">
      <c r="AO210" s="76" t="s">
        <v>437</v>
      </c>
      <c r="AP210" s="76"/>
      <c r="AQ210" t="s">
        <v>296</v>
      </c>
      <c r="AR210" s="74" t="s">
        <v>438</v>
      </c>
      <c r="AS210" s="74"/>
      <c r="AT210" s="74"/>
    </row>
    <row r="212" spans="40:79" x14ac:dyDescent="0.3">
      <c r="AN212">
        <v>22</v>
      </c>
      <c r="AO212" s="77" t="s">
        <v>471</v>
      </c>
      <c r="AP212" s="77"/>
      <c r="AQ212" s="20" t="s">
        <v>64</v>
      </c>
      <c r="AR212" s="1" t="s">
        <v>43</v>
      </c>
      <c r="AS212" s="1" t="s">
        <v>44</v>
      </c>
      <c r="AT212" s="1" t="s">
        <v>45</v>
      </c>
      <c r="AU212" s="1" t="s">
        <v>46</v>
      </c>
      <c r="AV212" s="1" t="s">
        <v>47</v>
      </c>
      <c r="AW212" s="1" t="s">
        <v>48</v>
      </c>
      <c r="AX212" s="1" t="s">
        <v>49</v>
      </c>
      <c r="AY212" s="1" t="s">
        <v>50</v>
      </c>
      <c r="AZ212" s="1" t="s">
        <v>51</v>
      </c>
      <c r="BA212" s="1" t="s">
        <v>52</v>
      </c>
      <c r="BB212" s="1" t="s">
        <v>53</v>
      </c>
      <c r="BC212" s="1" t="s">
        <v>54</v>
      </c>
      <c r="BD212" s="1" t="s">
        <v>55</v>
      </c>
      <c r="BE212" s="1" t="s">
        <v>56</v>
      </c>
      <c r="BF212" s="1" t="s">
        <v>57</v>
      </c>
      <c r="BG212" s="1" t="s">
        <v>58</v>
      </c>
      <c r="BH212" s="1" t="s">
        <v>59</v>
      </c>
      <c r="BI212" s="1" t="s">
        <v>60</v>
      </c>
      <c r="BJ212" s="1" t="s">
        <v>61</v>
      </c>
      <c r="BK212" s="1" t="s">
        <v>62</v>
      </c>
      <c r="BL212" s="1" t="s">
        <v>63</v>
      </c>
      <c r="BM212" s="1" t="s">
        <v>330</v>
      </c>
      <c r="BN212" s="1" t="s">
        <v>331</v>
      </c>
      <c r="BO212" s="1" t="s">
        <v>332</v>
      </c>
      <c r="BP212" s="1" t="s">
        <v>333</v>
      </c>
      <c r="BQ212" s="1" t="s">
        <v>334</v>
      </c>
      <c r="BR212" s="1" t="s">
        <v>335</v>
      </c>
      <c r="BS212" s="1" t="s">
        <v>336</v>
      </c>
      <c r="BT212" s="1" t="s">
        <v>337</v>
      </c>
      <c r="BU212" s="1" t="s">
        <v>338</v>
      </c>
      <c r="BV212" s="1" t="s">
        <v>339</v>
      </c>
      <c r="BW212" s="1" t="s">
        <v>340</v>
      </c>
      <c r="BX212" s="1" t="s">
        <v>341</v>
      </c>
      <c r="BY212" s="1" t="s">
        <v>342</v>
      </c>
      <c r="BZ212" s="1" t="s">
        <v>343</v>
      </c>
      <c r="CA212" s="1" t="s">
        <v>390</v>
      </c>
    </row>
    <row r="213" spans="40:79" x14ac:dyDescent="0.3">
      <c r="AO213" s="77"/>
      <c r="AP213" s="77"/>
      <c r="AQ213" s="20">
        <v>4</v>
      </c>
      <c r="AR213" t="s">
        <v>5</v>
      </c>
      <c r="AS213" t="s">
        <v>5</v>
      </c>
      <c r="AT213" t="s">
        <v>2</v>
      </c>
      <c r="AU213" t="s">
        <v>5</v>
      </c>
      <c r="AV213" t="s">
        <v>5</v>
      </c>
      <c r="AW213" t="s">
        <v>5</v>
      </c>
      <c r="AX213" t="s">
        <v>5</v>
      </c>
      <c r="AY213" t="s">
        <v>2</v>
      </c>
      <c r="AZ213" t="s">
        <v>3</v>
      </c>
      <c r="BA213" t="s">
        <v>4</v>
      </c>
      <c r="BB213" t="s">
        <v>4</v>
      </c>
      <c r="BC213" t="s">
        <v>3</v>
      </c>
      <c r="BD213" t="s">
        <v>2</v>
      </c>
      <c r="BE213" t="s">
        <v>2</v>
      </c>
      <c r="BF213" t="s">
        <v>3</v>
      </c>
      <c r="BG213" t="s">
        <v>5</v>
      </c>
      <c r="BH213" t="s">
        <v>3</v>
      </c>
      <c r="BI213" t="s">
        <v>2</v>
      </c>
      <c r="BJ213" t="s">
        <v>5</v>
      </c>
      <c r="BK213" t="s">
        <v>3</v>
      </c>
      <c r="BL213" t="s">
        <v>4</v>
      </c>
      <c r="BM213" t="s">
        <v>4</v>
      </c>
      <c r="BN213" t="s">
        <v>3</v>
      </c>
      <c r="BO213" t="s">
        <v>4</v>
      </c>
      <c r="BP213" t="s">
        <v>4</v>
      </c>
      <c r="BQ213" t="s">
        <v>4</v>
      </c>
      <c r="BR213" t="s">
        <v>4</v>
      </c>
      <c r="BS213" t="s">
        <v>4</v>
      </c>
      <c r="BT213" t="s">
        <v>4</v>
      </c>
      <c r="BU213" t="s">
        <v>3</v>
      </c>
      <c r="BV213" t="s">
        <v>3</v>
      </c>
      <c r="BW213" t="s">
        <v>3</v>
      </c>
      <c r="BX213" t="s">
        <v>4</v>
      </c>
      <c r="BY213" t="s">
        <v>4</v>
      </c>
      <c r="BZ213" t="s">
        <v>3</v>
      </c>
      <c r="CA213" t="s">
        <v>3</v>
      </c>
    </row>
    <row r="214" spans="40:79" x14ac:dyDescent="0.3">
      <c r="AO214" s="67" t="s">
        <v>504</v>
      </c>
      <c r="AP214" s="67"/>
      <c r="AQ214">
        <f>PRODUCT('Data Training 2'!AW22,'Data Training 2'!AT34,'Data Training 2'!AT40,'Data Training 2'!AT45,'Data Training 2'!AT52,'Data Training 2'!AT58,'Data Training 2'!AT64,'Data Training 2'!AT70,'Data Training 2'!AT75,'Data Training 2'!AT80,'Data Training 2'!AT85,'Data Training 2'!AT91,'Data Training 2'!AT98,'Data Training 2'!AT105,'Data Training 2'!AT111,'Data Training 2'!AT116,'Data Training 2'!AT124,'Data Training 2'!AT128,'Data Training 2'!AT135,'Data Training 2'!AT142,'Data Training 2'!AT146,'Data Training 2'!AT151,'Data Training 2'!AT157,'Data Training 2'!AT164,'Data Training 2'!AT167,'Data Training 2'!AT171,'Data Training 2'!AT175,'Data Training 2'!AT179,'Data Training 2'!AT183,'Data Training 2'!AT187,'Data Training 2'!AT192,'Data Training 2'!AT196,'Data Training 2'!AT200,'Data Training 2'!AT203,'Data Training 2'!AT207,'Data Training 2'!AT212,'Data Training 2'!AT216)</f>
        <v>0</v>
      </c>
    </row>
    <row r="215" spans="40:79" x14ac:dyDescent="0.3">
      <c r="AO215" s="67" t="s">
        <v>505</v>
      </c>
      <c r="AP215" s="67"/>
      <c r="AQ215">
        <f>PRODUCT('Data Training 2'!AW23,'Data Training 2'!AU34,'Data Training 2'!AU40,'Data Training 2'!AU45,'Data Training 2'!AU52,'Data Training 2'!AU58,'Data Training 2'!AU64,'Data Training 2'!AU70,'Data Training 2'!AU75,'Data Training 2'!AU80,'Data Training 2'!AU85,'Data Training 2'!AU91,'Data Training 2'!AU98,'Data Training 2'!AU105,'Data Training 2'!AU111,'Data Training 2'!AU116,'Data Training 2'!AU124,'Data Training 2'!AU128,'Data Training 2'!AU135,'Data Training 2'!AU142,'Data Training 2'!AU146,'Data Training 2'!AU151,'Data Training 2'!AU157,'Data Training 2'!AU164,'Data Training 2'!AU167,'Data Training 2'!AU171,'Data Training 2'!AU175,'Data Training 2'!AU179,'Data Training 2'!AU183,'Data Training 2'!AU187,'Data Training 2'!AU192,'Data Training 2'!AU196,'Data Training 2'!AU200,'Data Training 2'!AU203,'Data Training 2'!AU207,'Data Training 2'!AU212,'Data Training 2'!AU216)</f>
        <v>0</v>
      </c>
    </row>
    <row r="216" spans="40:79" x14ac:dyDescent="0.3">
      <c r="AO216" s="67" t="s">
        <v>506</v>
      </c>
      <c r="AP216" s="67"/>
      <c r="AQ216">
        <f>PRODUCT('Data Training 2'!AW24,'Data Training 2'!AV34,'Data Training 2'!AV40,'Data Training 2'!AV45,'Data Training 2'!AV52,'Data Training 2'!AV58,'Data Training 2'!AV64,'Data Training 2'!AV70,'Data Training 2'!AV75,'Data Training 2'!AV80,'Data Training 2'!AV85,'Data Training 2'!AV91,'Data Training 2'!AV98,'Data Training 2'!AV105,'Data Training 2'!AV111,'Data Training 2'!AV116,'Data Training 2'!AV124,'Data Training 2'!AV128,'Data Training 2'!AV135,'Data Training 2'!AV142,'Data Training 2'!AV146,'Data Training 2'!AV151,'Data Training 2'!AV157,'Data Training 2'!AV164,'Data Training 2'!AV167,'Data Training 2'!AV171,'Data Training 2'!AV175,'Data Training 2'!AV179,'Data Training 2'!AV183,'Data Training 2'!AV187,'Data Training 2'!AV192,'Data Training 2'!AV196,'Data Training 2'!AV200,'Data Training 2'!AV203,'Data Training 2'!AV207,'Data Training 2'!AV212,'Data Training 2'!AV216)</f>
        <v>0</v>
      </c>
    </row>
    <row r="217" spans="40:79" x14ac:dyDescent="0.3">
      <c r="AO217" s="67" t="s">
        <v>507</v>
      </c>
      <c r="AP217" s="67"/>
      <c r="AQ217">
        <f>PRODUCT('Data Training 2'!AW25,'Data Training 2'!AW34,'Data Training 2'!AW40,'Data Training 2'!AW45,'Data Training 2'!AW52,'Data Training 2'!AW58,'Data Training 2'!AW64,'Data Training 2'!AW70,'Data Training 2'!AW75,'Data Training 2'!AW80,'Data Training 2'!AW85,'Data Training 2'!AW91,'Data Training 2'!AW98,'Data Training 2'!AW105,'Data Training 2'!AW111,'Data Training 2'!AW116,'Data Training 2'!AW124,'Data Training 2'!AW128,'Data Training 2'!AW135,'Data Training 2'!AW142,'Data Training 2'!AW146,'Data Training 2'!AW151,'Data Training 2'!AW157,'Data Training 2'!AW164,'Data Training 2'!AW167,'Data Training 2'!AW171,'Data Training 2'!AW175,'Data Training 2'!AW179,'Data Training 2'!AW183,'Data Training 2'!AW187,'Data Training 2'!AW192,'Data Training 2'!AW196,'Data Training 2'!AW200,'Data Training 2'!AW203,'Data Training 2'!AW207,'Data Training 2'!AW212,'Data Training 2'!AW216)</f>
        <v>0</v>
      </c>
    </row>
    <row r="218" spans="40:79" x14ac:dyDescent="0.3">
      <c r="AO218" s="67" t="s">
        <v>508</v>
      </c>
      <c r="AP218" s="67"/>
      <c r="AQ218">
        <f>PRODUCT('Data Training 2'!AW26,'Data Training 2'!AX34,'Data Training 2'!AX40,'Data Training 2'!AX45,'Data Training 2'!AX52,'Data Training 2'!AX58,'Data Training 2'!AX64,'Data Training 2'!AX70,'Data Training 2'!AX75,'Data Training 2'!AX80,'Data Training 2'!AX85,'Data Training 2'!AX91,'Data Training 2'!AX98,'Data Training 2'!AX105,'Data Training 2'!AX111,'Data Training 2'!AX116,'Data Training 2'!AX124,'Data Training 2'!AX128,'Data Training 2'!AX135,'Data Training 2'!AX142,'Data Training 2'!AX146,'Data Training 2'!AX151,'Data Training 2'!AX157,'Data Training 2'!AX164,'Data Training 2'!AX167,'Data Training 2'!AX171,'Data Training 2'!AX175,'Data Training 2'!AX179,'Data Training 2'!AX183,'Data Training 2'!AX187,'Data Training 2'!AX192,'Data Training 2'!AX196,'Data Training 2'!AX200,'Data Training 2'!AX203,'Data Training 2'!AX207,'Data Training 2'!AX212,'Data Training 2'!AX216)</f>
        <v>0</v>
      </c>
    </row>
    <row r="219" spans="40:79" x14ac:dyDescent="0.3">
      <c r="AO219" s="67" t="s">
        <v>509</v>
      </c>
      <c r="AP219" s="67"/>
      <c r="AQ219">
        <f>PRODUCT('Data Training 2'!AW27,'Data Training 2'!AY34,'Data Training 2'!AY40,'Data Training 2'!AY45,'Data Training 2'!AY52,'Data Training 2'!AY58,'Data Training 2'!AY64,'Data Training 2'!AY70,'Data Training 2'!AY75,'Data Training 2'!AY80,'Data Training 2'!AY85,'Data Training 2'!AY91,'Data Training 2'!AY98,'Data Training 2'!AY105,'Data Training 2'!AY111,'Data Training 2'!AY116,'Data Training 2'!AY124,'Data Training 2'!AY128,'Data Training 2'!AY135,'Data Training 2'!AY142,'Data Training 2'!AY146,'Data Training 2'!AY151,'Data Training 2'!AY157,'Data Training 2'!AY164,'Data Training 2'!AY167,'Data Training 2'!AY171,'Data Training 2'!AY175,'Data Training 2'!AY179,'Data Training 2'!AY183,'Data Training 2'!AY187,'Data Training 2'!AY192,'Data Training 2'!AY196,'Data Training 2'!AY200,'Data Training 2'!AY203,'Data Training 2'!AY207,'Data Training 2'!AY212,'Data Training 2'!AY216)</f>
        <v>4.5273082799857859E-13</v>
      </c>
    </row>
    <row r="220" spans="40:79" x14ac:dyDescent="0.3">
      <c r="AO220" s="76" t="s">
        <v>437</v>
      </c>
      <c r="AP220" s="76"/>
      <c r="AQ220" t="s">
        <v>298</v>
      </c>
      <c r="AR220" s="84" t="s">
        <v>514</v>
      </c>
      <c r="AS220" s="84"/>
      <c r="AT220" s="84"/>
    </row>
    <row r="222" spans="40:79" x14ac:dyDescent="0.3">
      <c r="AN222">
        <v>23</v>
      </c>
      <c r="AO222" s="77" t="s">
        <v>516</v>
      </c>
      <c r="AP222" s="77"/>
      <c r="AQ222" s="20" t="s">
        <v>64</v>
      </c>
      <c r="AR222" s="1" t="s">
        <v>43</v>
      </c>
      <c r="AS222" s="1" t="s">
        <v>44</v>
      </c>
      <c r="AT222" s="1" t="s">
        <v>45</v>
      </c>
      <c r="AU222" s="1" t="s">
        <v>46</v>
      </c>
      <c r="AV222" s="1" t="s">
        <v>47</v>
      </c>
      <c r="AW222" s="1" t="s">
        <v>48</v>
      </c>
      <c r="AX222" s="1" t="s">
        <v>49</v>
      </c>
      <c r="AY222" s="1" t="s">
        <v>50</v>
      </c>
      <c r="AZ222" s="1" t="s">
        <v>51</v>
      </c>
      <c r="BA222" s="1" t="s">
        <v>52</v>
      </c>
      <c r="BB222" s="1" t="s">
        <v>53</v>
      </c>
      <c r="BC222" s="1" t="s">
        <v>54</v>
      </c>
      <c r="BD222" s="1" t="s">
        <v>55</v>
      </c>
      <c r="BE222" s="1" t="s">
        <v>56</v>
      </c>
      <c r="BF222" s="1" t="s">
        <v>57</v>
      </c>
      <c r="BG222" s="1" t="s">
        <v>58</v>
      </c>
      <c r="BH222" s="1" t="s">
        <v>59</v>
      </c>
      <c r="BI222" s="1" t="s">
        <v>60</v>
      </c>
      <c r="BJ222" s="1" t="s">
        <v>61</v>
      </c>
      <c r="BK222" s="1" t="s">
        <v>62</v>
      </c>
      <c r="BL222" s="1" t="s">
        <v>63</v>
      </c>
      <c r="BM222" s="1" t="s">
        <v>330</v>
      </c>
      <c r="BN222" s="1" t="s">
        <v>331</v>
      </c>
      <c r="BO222" s="1" t="s">
        <v>332</v>
      </c>
      <c r="BP222" s="1" t="s">
        <v>333</v>
      </c>
      <c r="BQ222" s="1" t="s">
        <v>334</v>
      </c>
      <c r="BR222" s="1" t="s">
        <v>335</v>
      </c>
      <c r="BS222" s="1" t="s">
        <v>336</v>
      </c>
      <c r="BT222" s="1" t="s">
        <v>337</v>
      </c>
      <c r="BU222" s="1" t="s">
        <v>338</v>
      </c>
      <c r="BV222" s="1" t="s">
        <v>339</v>
      </c>
      <c r="BW222" s="1" t="s">
        <v>340</v>
      </c>
      <c r="BX222" s="1" t="s">
        <v>341</v>
      </c>
      <c r="BY222" s="1" t="s">
        <v>342</v>
      </c>
      <c r="BZ222" s="1" t="s">
        <v>343</v>
      </c>
      <c r="CA222" s="1" t="s">
        <v>390</v>
      </c>
    </row>
    <row r="223" spans="40:79" x14ac:dyDescent="0.3">
      <c r="AO223" s="77"/>
      <c r="AP223" s="77"/>
      <c r="AQ223" s="20">
        <v>4</v>
      </c>
      <c r="AR223" t="s">
        <v>2</v>
      </c>
      <c r="AS223" t="s">
        <v>5</v>
      </c>
      <c r="AT223" t="s">
        <v>2</v>
      </c>
      <c r="AU223" t="s">
        <v>5</v>
      </c>
      <c r="AV223" t="s">
        <v>5</v>
      </c>
      <c r="AW223" t="s">
        <v>5</v>
      </c>
      <c r="AX223" t="s">
        <v>5</v>
      </c>
      <c r="AY223" t="s">
        <v>2</v>
      </c>
      <c r="AZ223" t="s">
        <v>2</v>
      </c>
      <c r="BA223" t="s">
        <v>2</v>
      </c>
      <c r="BB223" t="s">
        <v>5</v>
      </c>
      <c r="BC223" t="s">
        <v>4</v>
      </c>
      <c r="BD223" t="s">
        <v>5</v>
      </c>
      <c r="BE223" t="s">
        <v>2</v>
      </c>
      <c r="BF223" t="s">
        <v>4</v>
      </c>
      <c r="BG223" t="s">
        <v>5</v>
      </c>
      <c r="BH223" t="s">
        <v>5</v>
      </c>
      <c r="BI223" t="s">
        <v>5</v>
      </c>
      <c r="BJ223" t="s">
        <v>4</v>
      </c>
      <c r="BK223" t="s">
        <v>3</v>
      </c>
      <c r="BL223" t="s">
        <v>4</v>
      </c>
      <c r="BM223" t="s">
        <v>4</v>
      </c>
      <c r="BN223" t="s">
        <v>3</v>
      </c>
      <c r="BO223" t="s">
        <v>4</v>
      </c>
      <c r="BP223" t="s">
        <v>4</v>
      </c>
      <c r="BQ223" t="s">
        <v>4</v>
      </c>
      <c r="BR223" t="s">
        <v>4</v>
      </c>
      <c r="BS223" t="s">
        <v>4</v>
      </c>
      <c r="BT223" t="s">
        <v>4</v>
      </c>
      <c r="BU223" t="s">
        <v>3</v>
      </c>
      <c r="BV223" t="s">
        <v>4</v>
      </c>
      <c r="BW223" t="s">
        <v>3</v>
      </c>
      <c r="BX223" t="s">
        <v>4</v>
      </c>
      <c r="BY223" t="s">
        <v>4</v>
      </c>
      <c r="BZ223" t="s">
        <v>3</v>
      </c>
      <c r="CA223" t="s">
        <v>3</v>
      </c>
    </row>
    <row r="224" spans="40:79" x14ac:dyDescent="0.3">
      <c r="AO224" s="67" t="s">
        <v>504</v>
      </c>
      <c r="AP224" s="67"/>
      <c r="AQ224">
        <f>PRODUCT('Data Training 2'!AW22,'Data Training 2'!AT33,'Data Training 2'!AT40,'Data Training 2'!AT45,'Data Training 2'!AT52,'Data Training 2'!AT58,'Data Training 2'!AT64,'Data Training 2'!AT70,'Data Training 2'!AT75,'Data Training 2'!AT81,'Data Training 2'!AT87,'Data Training 2'!AT94,'Data Training 2'!AT97,'Data Training 2'!AT106,'Data Training 2'!AT111,'Data Training 2'!AT115,'Data Training 2'!AT124,'Data Training 2'!AT130,'Data Training 2'!AT136,'Data Training 2'!AT139,'Data Training 2'!AT146,'Data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0</v>
      </c>
    </row>
    <row r="225" spans="40:79" x14ac:dyDescent="0.3">
      <c r="AO225" s="67" t="s">
        <v>505</v>
      </c>
      <c r="AP225" s="67"/>
      <c r="AQ225">
        <f>PRODUCT('Data Training 2'!AW23,'Data Training 2'!AU33,'Data Training 2'!AU40,'Data Training 2'!AU45,'Data Training 2'!AU52,'Data Training 2'!AU58,'Data Training 2'!AU64,'Data Training 2'!AU70,'Data Training 2'!AU75,'Data Training 2'!AU81,'Data Training 2'!AU87,'Data Training 2'!AU94,'Data Training 2'!AU97,'Data Training 2'!AU106,'Data Training 2'!AU111,'Data Training 2'!AU115,'Data Training 2'!AU124,'Data Training 2'!AU130,'Data Training 2'!AU136,'Data Training 2'!AU139,'Data Training 2'!AU146,'Data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0</v>
      </c>
    </row>
    <row r="226" spans="40:79" x14ac:dyDescent="0.3">
      <c r="AO226" s="67" t="s">
        <v>506</v>
      </c>
      <c r="AP226" s="67"/>
      <c r="AQ226">
        <f>PRODUCT('Data Training 2'!AW24,'Data Training 2'!AV33,'Data Training 2'!AV40,'Data Training 2'!AV45,'Data Training 2'!AV52,'Data Training 2'!AV58,'Data Training 2'!AV64,'Data Training 2'!AV70,'Data Training 2'!AV75,'Data Training 2'!AV81,'Data Training 2'!AV87,'Data Training 2'!AV94,'Data Training 2'!AV97,'Data Training 2'!AV106,'Data Training 2'!AV111,'Data Training 2'!AV115,'Data Training 2'!AV124,'Data Training 2'!AV130,'Data Training 2'!AV136,'Data Training 2'!AV139,'Data Training 2'!AV146,'Data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0</v>
      </c>
    </row>
    <row r="227" spans="40:79" x14ac:dyDescent="0.3">
      <c r="AO227" s="67" t="s">
        <v>507</v>
      </c>
      <c r="AP227" s="67"/>
      <c r="AQ227">
        <f>PRODUCT('Data Training 2'!AW25,'Data Training 2'!AW33,'Data Training 2'!AW40,'Data Training 2'!AW45,'Data Training 2'!AW52,'Data Training 2'!AW58,'Data Training 2'!AW64,'Data Training 2'!AW70,'Data Training 2'!AW75,'Data Training 2'!AW81,'Data Training 2'!AW87,'Data Training 2'!AW94,'Data Training 2'!AW97,'Data Training 2'!AW106,'Data Training 2'!AW111,'Data Training 2'!AW115,'Data Training 2'!AW124,'Data Training 2'!AW130,'Data Training 2'!AW136,'Data Training 2'!AW139,'Data Training 2'!AW146,'Data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1.6555022519251112E-10</v>
      </c>
    </row>
    <row r="228" spans="40:79" x14ac:dyDescent="0.3">
      <c r="AO228" s="67" t="s">
        <v>508</v>
      </c>
      <c r="AP228" s="67"/>
      <c r="AQ228">
        <f>PRODUCT('Data Training 2'!AW26,'Data Training 2'!AX33,'Data Training 2'!AX40,'Data Training 2'!AX45,'Data Training 2'!AX52,'Data Training 2'!AX58,'Data Training 2'!AX64,'Data Training 2'!AX70,'Data Training 2'!AX75,'Data Training 2'!AX81,'Data Training 2'!AX87,'Data Training 2'!AX94,'Data Training 2'!AX97,'Data Training 2'!AX106,'Data Training 2'!AX111,'Data Training 2'!AX115,'Data Training 2'!AX124,'Data Training 2'!AX130,'Data Training 2'!AX136,'Data Training 2'!AX139,'Data Training 2'!AX146,'Data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0</v>
      </c>
    </row>
    <row r="229" spans="40:79" x14ac:dyDescent="0.3">
      <c r="AO229" s="67" t="s">
        <v>509</v>
      </c>
      <c r="AP229" s="67"/>
      <c r="AQ229">
        <f>PRODUCT('Data Training 2'!AW27,'Data Training 2'!AY33,'Data Training 2'!AY40,'Data Training 2'!AY45,'Data Training 2'!AY52,'Data Training 2'!AY58,'Data Training 2'!AY64,'Data Training 2'!AY70,'Data Training 2'!AY75,'Data Training 2'!AY81,'Data Training 2'!AY87,'Data Training 2'!AY94,'Data Training 2'!AY97,'Data Training 2'!AY106,'Data Training 2'!AY111,'Data Training 2'!AY115,'Data Training 2'!AY124,'Data Training 2'!AY130,'Data Training 2'!AY136,'Data Training 2'!AY139,'Data Training 2'!AY146,'Data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230" spans="40:79" x14ac:dyDescent="0.3">
      <c r="AO230" s="76" t="s">
        <v>437</v>
      </c>
      <c r="AP230" s="76"/>
      <c r="AQ230" t="s">
        <v>296</v>
      </c>
      <c r="AR230" s="74" t="s">
        <v>438</v>
      </c>
      <c r="AS230" s="74"/>
      <c r="AT230" s="74"/>
    </row>
    <row r="232" spans="40:79" x14ac:dyDescent="0.3">
      <c r="AN232">
        <v>24</v>
      </c>
      <c r="AO232" s="77" t="s">
        <v>486</v>
      </c>
      <c r="AP232" s="77"/>
      <c r="AQ232" s="20" t="s">
        <v>64</v>
      </c>
      <c r="AR232" s="1" t="s">
        <v>43</v>
      </c>
      <c r="AS232" s="1" t="s">
        <v>44</v>
      </c>
      <c r="AT232" s="1" t="s">
        <v>45</v>
      </c>
      <c r="AU232" s="1" t="s">
        <v>46</v>
      </c>
      <c r="AV232" s="1" t="s">
        <v>47</v>
      </c>
      <c r="AW232" s="1" t="s">
        <v>48</v>
      </c>
      <c r="AX232" s="1" t="s">
        <v>49</v>
      </c>
      <c r="AY232" s="1" t="s">
        <v>50</v>
      </c>
      <c r="AZ232" s="1" t="s">
        <v>51</v>
      </c>
      <c r="BA232" s="1" t="s">
        <v>52</v>
      </c>
      <c r="BB232" s="1" t="s">
        <v>53</v>
      </c>
      <c r="BC232" s="1" t="s">
        <v>54</v>
      </c>
      <c r="BD232" s="1" t="s">
        <v>55</v>
      </c>
      <c r="BE232" s="1" t="s">
        <v>56</v>
      </c>
      <c r="BF232" s="1" t="s">
        <v>57</v>
      </c>
      <c r="BG232" s="1" t="s">
        <v>58</v>
      </c>
      <c r="BH232" s="1" t="s">
        <v>59</v>
      </c>
      <c r="BI232" s="1" t="s">
        <v>60</v>
      </c>
      <c r="BJ232" s="1" t="s">
        <v>61</v>
      </c>
      <c r="BK232" s="1" t="s">
        <v>62</v>
      </c>
      <c r="BL232" s="1" t="s">
        <v>63</v>
      </c>
      <c r="BM232" s="1" t="s">
        <v>330</v>
      </c>
      <c r="BN232" s="1" t="s">
        <v>331</v>
      </c>
      <c r="BO232" s="1" t="s">
        <v>332</v>
      </c>
      <c r="BP232" s="1" t="s">
        <v>333</v>
      </c>
      <c r="BQ232" s="1" t="s">
        <v>334</v>
      </c>
      <c r="BR232" s="1" t="s">
        <v>335</v>
      </c>
      <c r="BS232" s="1" t="s">
        <v>336</v>
      </c>
      <c r="BT232" s="1" t="s">
        <v>337</v>
      </c>
      <c r="BU232" s="1" t="s">
        <v>338</v>
      </c>
      <c r="BV232" s="1" t="s">
        <v>339</v>
      </c>
      <c r="BW232" s="1" t="s">
        <v>340</v>
      </c>
      <c r="BX232" s="1" t="s">
        <v>341</v>
      </c>
      <c r="BY232" s="1" t="s">
        <v>342</v>
      </c>
      <c r="BZ232" s="1" t="s">
        <v>343</v>
      </c>
      <c r="CA232" s="1" t="s">
        <v>390</v>
      </c>
    </row>
    <row r="233" spans="40:79" x14ac:dyDescent="0.3">
      <c r="AO233" s="77"/>
      <c r="AP233" s="77"/>
      <c r="AQ233" s="20">
        <v>4</v>
      </c>
      <c r="AR233" t="s">
        <v>3</v>
      </c>
      <c r="AS233" t="s">
        <v>5</v>
      </c>
      <c r="AT233" t="s">
        <v>4</v>
      </c>
      <c r="AU233" t="s">
        <v>5</v>
      </c>
      <c r="AV233" t="s">
        <v>5</v>
      </c>
      <c r="AW233" t="s">
        <v>5</v>
      </c>
      <c r="AX233" t="s">
        <v>5</v>
      </c>
      <c r="AY233" t="s">
        <v>2</v>
      </c>
      <c r="AZ233" t="s">
        <v>2</v>
      </c>
      <c r="BA233" t="s">
        <v>4</v>
      </c>
      <c r="BB233" t="s">
        <v>4</v>
      </c>
      <c r="BC233" t="s">
        <v>5</v>
      </c>
      <c r="BD233" t="s">
        <v>2</v>
      </c>
      <c r="BE233" t="s">
        <v>3</v>
      </c>
      <c r="BF233" t="s">
        <v>5</v>
      </c>
      <c r="BG233" t="s">
        <v>5</v>
      </c>
      <c r="BH233" t="s">
        <v>2</v>
      </c>
      <c r="BI233" t="s">
        <v>5</v>
      </c>
      <c r="BJ233" t="s">
        <v>5</v>
      </c>
      <c r="BK233" t="s">
        <v>4</v>
      </c>
      <c r="BL233" t="s">
        <v>4</v>
      </c>
      <c r="BM233" t="s">
        <v>2</v>
      </c>
      <c r="BN233" t="s">
        <v>3</v>
      </c>
      <c r="BO233" t="s">
        <v>4</v>
      </c>
      <c r="BP233" t="s">
        <v>4</v>
      </c>
      <c r="BQ233" t="s">
        <v>4</v>
      </c>
      <c r="BR233" t="s">
        <v>4</v>
      </c>
      <c r="BS233" t="s">
        <v>4</v>
      </c>
      <c r="BT233" t="s">
        <v>4</v>
      </c>
      <c r="BU233" t="s">
        <v>3</v>
      </c>
      <c r="BV233" t="s">
        <v>4</v>
      </c>
      <c r="BW233" t="s">
        <v>3</v>
      </c>
      <c r="BX233" t="s">
        <v>4</v>
      </c>
      <c r="BY233" t="s">
        <v>4</v>
      </c>
      <c r="BZ233" t="s">
        <v>4</v>
      </c>
      <c r="CA233" t="s">
        <v>3</v>
      </c>
    </row>
    <row r="234" spans="40:79" x14ac:dyDescent="0.3">
      <c r="AO234" s="67" t="s">
        <v>504</v>
      </c>
      <c r="AP234" s="67"/>
      <c r="AQ234">
        <f>PRODUCT('Data Training 2'!AW22,'Data Training 2'!AT32,'Data Training 2'!AT40,'Data Training 2'!AT43,'Data Training 2'!AT52,'Data Training 2'!AT58,'Data Training 2'!AT64,'Data Training 2'!AT70,'Data Training 2'!AT75,'Data Training 2'!AT81,'Data Training 2'!AT85,'Data Training 2'!AT91,'Data Training 2'!AT100,'Data Training 2'!AT105,'Data Training 2'!AT110,'Data Training 2'!AT118,'Data Training 2'!AT124,'Data Training 2'!AT129,'Data Training 2'!AT136,'Data Training 2'!AT142,'Data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235" spans="40:79" x14ac:dyDescent="0.3">
      <c r="AO235" s="67" t="s">
        <v>505</v>
      </c>
      <c r="AP235" s="67"/>
      <c r="AQ235">
        <f>PRODUCT('Data Training 2'!AW23,'Data Training 2'!AU32,'Data Training 2'!AU40,'Data Training 2'!AU43,'Data Training 2'!AU52,'Data Training 2'!AU58,'Data Training 2'!AU64,'Data Training 2'!AU70,'Data Training 2'!AU75,'Data Training 2'!AU81,'Data Training 2'!AU85,'Data Training 2'!AU91,'Data Training 2'!AU100,'Data Training 2'!AU105,'Data Training 2'!AU110,'Data Training 2'!AU118,'Data Training 2'!AU124,'Data Training 2'!AU129,'Data Training 2'!AU136,'Data Training 2'!AU142,'Data Training 2'!AU145,'Data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236" spans="40:79" x14ac:dyDescent="0.3">
      <c r="AO236" s="67" t="s">
        <v>506</v>
      </c>
      <c r="AP236" s="67"/>
      <c r="AQ236">
        <f>PRODUCT('Data Training 2'!AW24,'Data Training 2'!AV32,'Data Training 2'!AV40,'Data Training 2'!AV43,'Data Training 2'!AV52,'Data Training 2'!AV58,'Data Training 2'!AV64,'Data Training 2'!AV70,'Data Training 2'!AV75,'Data Training 2'!AV81,'Data Training 2'!AV85,'Data Training 2'!AV91,'Data Training 2'!AV100,'Data Training 2'!AV105,'Data Training 2'!AV110,'Data Training 2'!AV118,'Data Training 2'!AV124,'Data Training 2'!AV129,'Data Training 2'!AV136,'Data Training 2'!AV142,'Data Training 2'!AV145,'Data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237" spans="40:79" x14ac:dyDescent="0.3">
      <c r="AO237" s="67" t="s">
        <v>507</v>
      </c>
      <c r="AP237" s="67"/>
      <c r="AQ237">
        <f>PRODUCT('Data Training 2'!AW25,'Data Training 2'!AW32,'Data Training 2'!AW40,'Data Training 2'!AW43,'Data Training 2'!AW52,'Data Training 2'!AW58,'Data Training 2'!AW64,'Data Training 2'!AW70,'Data Training 2'!AW75,'Data Training 2'!AW81,'Data Training 2'!AW85,'Data Training 2'!AW91,'Data Training 2'!AW100,'Data Training 2'!AW105,'Data Training 2'!AW110,'Data Training 2'!AW118,'Data Training 2'!AW124,'Data Training 2'!AW129,'Data Training 2'!AW136,'Data Training 2'!AW142,'Data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8.0449200341484734E-10</v>
      </c>
    </row>
    <row r="238" spans="40:79" x14ac:dyDescent="0.3">
      <c r="AO238" s="67" t="s">
        <v>508</v>
      </c>
      <c r="AP238" s="67"/>
      <c r="AQ238">
        <f>PRODUCT('Data Training 2'!AW26,'Data Training 2'!AX32,'Data Training 2'!AX40,'Data Training 2'!AX43,'Data Training 2'!AX52,'Data Training 2'!AX58,'Data Training 2'!AX64,'Data Training 2'!AX70,'Data Training 2'!AX75,'Data Training 2'!AX81,'Data Training 2'!AX85,'Data Training 2'!AX91,'Data Training 2'!AX100,'Data Training 2'!AX105,'Data Training 2'!AX110,'Data Training 2'!AX118,'Data Training 2'!AX124,'Data Training 2'!AX129,'Data Training 2'!AX136,'Data Training 2'!AX142,'Data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239" spans="40:79" x14ac:dyDescent="0.3">
      <c r="AO239" s="67" t="s">
        <v>509</v>
      </c>
      <c r="AP239" s="67"/>
      <c r="AQ239">
        <f>PRODUCT('Data Training 2'!AW27,'Data Training 2'!AY32,'Data Training 2'!AY40,'Data Training 2'!AY43,'Data Training 2'!AY52,'Data Training 2'!AY58,'Data Training 2'!AY64,'Data Training 2'!AY70,'Data Training 2'!AY75,'Data Training 2'!AY81,'Data Training 2'!AY85,'Data Training 2'!AY91,'Data Training 2'!AY100,'Data Training 2'!AY105,'Data Training 2'!AY110,'Data Training 2'!AY118,'Data Training 2'!AY124,'Data Training 2'!AY129,'Data Training 2'!AY136,'Data Training 2'!AY142,'Data Training 2'!AY145,'Data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240" spans="40:79" x14ac:dyDescent="0.3">
      <c r="AO240" s="76" t="s">
        <v>437</v>
      </c>
      <c r="AP240" s="76"/>
      <c r="AQ240" t="s">
        <v>296</v>
      </c>
      <c r="AR240" s="74" t="s">
        <v>438</v>
      </c>
      <c r="AS240" s="74"/>
      <c r="AT240" s="74"/>
    </row>
    <row r="242" spans="40:79" x14ac:dyDescent="0.3">
      <c r="AN242">
        <v>25</v>
      </c>
      <c r="AO242" s="77" t="s">
        <v>324</v>
      </c>
      <c r="AP242" s="77"/>
      <c r="AQ242" s="20" t="s">
        <v>64</v>
      </c>
      <c r="AR242" s="1" t="s">
        <v>43</v>
      </c>
      <c r="AS242" s="1" t="s">
        <v>44</v>
      </c>
      <c r="AT242" s="1" t="s">
        <v>45</v>
      </c>
      <c r="AU242" s="1" t="s">
        <v>46</v>
      </c>
      <c r="AV242" s="1" t="s">
        <v>47</v>
      </c>
      <c r="AW242" s="1" t="s">
        <v>48</v>
      </c>
      <c r="AX242" s="1" t="s">
        <v>49</v>
      </c>
      <c r="AY242" s="1" t="s">
        <v>50</v>
      </c>
      <c r="AZ242" s="1" t="s">
        <v>51</v>
      </c>
      <c r="BA242" s="1" t="s">
        <v>52</v>
      </c>
      <c r="BB242" s="1" t="s">
        <v>53</v>
      </c>
      <c r="BC242" s="1" t="s">
        <v>54</v>
      </c>
      <c r="BD242" s="1" t="s">
        <v>55</v>
      </c>
      <c r="BE242" s="1" t="s">
        <v>56</v>
      </c>
      <c r="BF242" s="1" t="s">
        <v>57</v>
      </c>
      <c r="BG242" s="1" t="s">
        <v>58</v>
      </c>
      <c r="BH242" s="1" t="s">
        <v>59</v>
      </c>
      <c r="BI242" s="1" t="s">
        <v>60</v>
      </c>
      <c r="BJ242" s="1" t="s">
        <v>61</v>
      </c>
      <c r="BK242" s="1" t="s">
        <v>62</v>
      </c>
      <c r="BL242" s="1" t="s">
        <v>63</v>
      </c>
      <c r="BM242" s="1" t="s">
        <v>330</v>
      </c>
      <c r="BN242" s="1" t="s">
        <v>331</v>
      </c>
      <c r="BO242" s="1" t="s">
        <v>332</v>
      </c>
      <c r="BP242" s="1" t="s">
        <v>333</v>
      </c>
      <c r="BQ242" s="1" t="s">
        <v>334</v>
      </c>
      <c r="BR242" s="1" t="s">
        <v>335</v>
      </c>
      <c r="BS242" s="1" t="s">
        <v>336</v>
      </c>
      <c r="BT242" s="1" t="s">
        <v>337</v>
      </c>
      <c r="BU242" s="1" t="s">
        <v>338</v>
      </c>
      <c r="BV242" s="1" t="s">
        <v>339</v>
      </c>
      <c r="BW242" s="1" t="s">
        <v>340</v>
      </c>
      <c r="BX242" s="1" t="s">
        <v>341</v>
      </c>
      <c r="BY242" s="1" t="s">
        <v>342</v>
      </c>
      <c r="BZ242" s="1" t="s">
        <v>343</v>
      </c>
      <c r="CA242" s="1" t="s">
        <v>390</v>
      </c>
    </row>
    <row r="243" spans="40:79" x14ac:dyDescent="0.3">
      <c r="AO243" s="77"/>
      <c r="AP243" s="77"/>
      <c r="AQ243" s="20">
        <v>5</v>
      </c>
      <c r="AR243" t="s">
        <v>5</v>
      </c>
      <c r="AS243" t="s">
        <v>3</v>
      </c>
      <c r="AT243" t="s">
        <v>3</v>
      </c>
      <c r="AU243" t="s">
        <v>5</v>
      </c>
      <c r="AV243" t="s">
        <v>5</v>
      </c>
      <c r="AW243" t="s">
        <v>5</v>
      </c>
      <c r="AX243" t="s">
        <v>5</v>
      </c>
      <c r="AY243" t="s">
        <v>2</v>
      </c>
      <c r="AZ243" t="s">
        <v>2</v>
      </c>
      <c r="BA243" t="s">
        <v>5</v>
      </c>
      <c r="BB243" t="s">
        <v>3</v>
      </c>
      <c r="BC243" t="s">
        <v>2</v>
      </c>
      <c r="BD243" t="s">
        <v>5</v>
      </c>
      <c r="BE243" t="s">
        <v>2</v>
      </c>
      <c r="BF243" t="s">
        <v>3</v>
      </c>
      <c r="BG243" t="s">
        <v>5</v>
      </c>
      <c r="BH243" t="s">
        <v>5</v>
      </c>
      <c r="BI243" t="s">
        <v>5</v>
      </c>
      <c r="BJ243" t="s">
        <v>5</v>
      </c>
      <c r="BK243" t="s">
        <v>3</v>
      </c>
      <c r="BL243" t="s">
        <v>4</v>
      </c>
      <c r="BM243" t="s">
        <v>2</v>
      </c>
      <c r="BN243" t="s">
        <v>3</v>
      </c>
      <c r="BO243" t="s">
        <v>4</v>
      </c>
      <c r="BP243" t="s">
        <v>4</v>
      </c>
      <c r="BQ243" t="s">
        <v>4</v>
      </c>
      <c r="BR243" t="s">
        <v>4</v>
      </c>
      <c r="BS243" t="s">
        <v>4</v>
      </c>
      <c r="BT243" t="s">
        <v>4</v>
      </c>
      <c r="BU243" t="s">
        <v>3</v>
      </c>
      <c r="BV243" t="s">
        <v>4</v>
      </c>
      <c r="BW243" t="s">
        <v>3</v>
      </c>
      <c r="BX243" t="s">
        <v>4</v>
      </c>
      <c r="BY243" t="s">
        <v>4</v>
      </c>
      <c r="BZ243" t="s">
        <v>4</v>
      </c>
      <c r="CA243" t="s">
        <v>3</v>
      </c>
    </row>
    <row r="244" spans="40:79" x14ac:dyDescent="0.3">
      <c r="AO244" s="67" t="s">
        <v>504</v>
      </c>
      <c r="AP244" s="67"/>
      <c r="AQ244">
        <f>'Data Training 2'!AW22*'Data Training 2'!AT34*'Data Training 2'!AT38*'Data Training 2'!AT44*'Data Training 2'!AT52*'Data Training 2'!AT58*'Data Training 2'!AT64*'Data Training 2'!AT70*'Data Training 2'!AT75*'Data Training 2'!AT81*'Data Training 2'!AT88*'Data Training 2'!AT92*'Data Training 2'!AT99*'Data Training 2'!AT106*'Data Training 2'!AT111*'Data Training 2'!AT116*'Data Training 2'!AT124*'Data Training 2'!AT130*'Data Training 2'!AT136*'Data Training 2'!AT142*'Data Training 2'!AT146*'Data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245" spans="40:79" x14ac:dyDescent="0.3">
      <c r="AO245" s="67" t="s">
        <v>505</v>
      </c>
      <c r="AP245" s="67"/>
      <c r="AQ245">
        <f>'Data Training 2'!AW23*'Data Training 2'!AU34*'Data Training 2'!AU38*'Data Training 2'!AU44*'Data Training 2'!AU52*'Data Training 2'!AU58*'Data Training 2'!AU64*'Data Training 2'!AU70*'Data Training 2'!AU75*'Data Training 2'!AU81*'Data Training 2'!AU88*'Data Training 2'!AU92*'Data Training 2'!AU99*'Data Training 2'!AU106*'Data Training 2'!AU111*'Data Training 2'!AU116*'Data Training 2'!AU124*'Data Training 2'!AU130*'Data Training 2'!AU136*'Data Training 2'!AU142*'Data Training 2'!AU146*'Data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246" spans="40:79" x14ac:dyDescent="0.3">
      <c r="AO246" s="67" t="s">
        <v>506</v>
      </c>
      <c r="AP246" s="67"/>
      <c r="AQ246">
        <f>'Data Training 2'!AW24*'Data Training 2'!AV34*'Data Training 2'!AV38*'Data Training 2'!AV44*'Data Training 2'!AV52*'Data Training 2'!AV58*'Data Training 2'!AV64*'Data Training 2'!AV70*'Data Training 2'!AV75*'Data Training 2'!AV81*'Data Training 2'!AV88*'Data Training 2'!AV92*'Data Training 2'!AV99*'Data Training 2'!AV106*'Data Training 2'!AV111*'Data Training 2'!AV116*'Data Training 2'!AV124*'Data Training 2'!AV130*'Data Training 2'!AV136*'Data Training 2'!AV142*'Data Training 2'!AV146*'Data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247" spans="40:79" x14ac:dyDescent="0.3">
      <c r="AO247" s="67" t="s">
        <v>507</v>
      </c>
      <c r="AP247" s="67"/>
      <c r="AQ247">
        <f>'Data Training 2'!AW25*'Data Training 2'!AW34*'Data Training 2'!AW38*'Data Training 2'!AW44*'Data Training 2'!AW52*'Data Training 2'!AW58*'Data Training 2'!AW64*'Data Training 2'!AW70*'Data Training 2'!AW75*'Data Training 2'!AW81*'Data Training 2'!AW88*'Data Training 2'!AW92*'Data Training 2'!AW99*'Data Training 2'!AW106*'Data Training 2'!AW111*'Data Training 2'!AW116*'Data Training 2'!AW124*'Data Training 2'!AW130*'Data Training 2'!AW136*'Data Training 2'!AW142*'Data Training 2'!AW146*'Data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1.2515597024553842E-7</v>
      </c>
    </row>
    <row r="248" spans="40:79" x14ac:dyDescent="0.3">
      <c r="AO248" s="67" t="s">
        <v>508</v>
      </c>
      <c r="AP248" s="67"/>
      <c r="AQ248">
        <f>'Data Training 2'!AW26*'Data Training 2'!AX34*'Data Training 2'!AX38*'Data Training 2'!AX44*'Data Training 2'!AX52*'Data Training 2'!AX58*'Data Training 2'!AX64*'Data Training 2'!AX70*'Data Training 2'!AX75*'Data Training 2'!AX81*'Data Training 2'!AX88*'Data Training 2'!AX92*'Data Training 2'!AX99*'Data Training 2'!AX106*'Data Training 2'!AX111*'Data Training 2'!AX116*'Data Training 2'!AX124*'Data Training 2'!AX130*'Data Training 2'!AX136*'Data Training 2'!AX142*'Data Training 2'!AX146*'Data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2.1264687979151626E-8</v>
      </c>
    </row>
    <row r="249" spans="40:79" x14ac:dyDescent="0.3">
      <c r="AO249" s="67" t="s">
        <v>509</v>
      </c>
      <c r="AP249" s="67"/>
      <c r="AQ249">
        <f>'Data Training 2'!AW27*'Data Training 2'!AY34*'Data Training 2'!AY38*'Data Training 2'!AY44*'Data Training 2'!AY52*'Data Training 2'!AY58*'Data Training 2'!AY64*'Data Training 2'!AY70*'Data Training 2'!AY75*'Data Training 2'!AY81*'Data Training 2'!AY88*'Data Training 2'!AY92*'Data Training 2'!AY99*'Data Training 2'!AY106*'Data Training 2'!AY111*'Data Training 2'!AY116*'Data Training 2'!AY124*'Data Training 2'!AY130*'Data Training 2'!AY136*'Data Training 2'!AY142*'Data Training 2'!AY146*'Data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7.5634343952512571E-11</v>
      </c>
    </row>
    <row r="250" spans="40:79" x14ac:dyDescent="0.3">
      <c r="AO250" s="76" t="s">
        <v>437</v>
      </c>
      <c r="AP250" s="76"/>
      <c r="AQ250" t="s">
        <v>298</v>
      </c>
      <c r="AR250" s="84" t="s">
        <v>514</v>
      </c>
      <c r="AS250" s="84"/>
      <c r="AT250" s="84"/>
    </row>
    <row r="252" spans="40:79" x14ac:dyDescent="0.3">
      <c r="AN252">
        <v>26</v>
      </c>
      <c r="AO252" s="77" t="s">
        <v>503</v>
      </c>
      <c r="AP252" s="77"/>
      <c r="AQ252" s="20" t="s">
        <v>64</v>
      </c>
      <c r="AR252" s="1" t="s">
        <v>43</v>
      </c>
      <c r="AS252" s="1" t="s">
        <v>44</v>
      </c>
      <c r="AT252" s="1" t="s">
        <v>45</v>
      </c>
      <c r="AU252" s="1" t="s">
        <v>46</v>
      </c>
      <c r="AV252" s="1" t="s">
        <v>47</v>
      </c>
      <c r="AW252" s="1" t="s">
        <v>48</v>
      </c>
      <c r="AX252" s="1" t="s">
        <v>49</v>
      </c>
      <c r="AY252" s="1" t="s">
        <v>50</v>
      </c>
      <c r="AZ252" s="1" t="s">
        <v>51</v>
      </c>
      <c r="BA252" s="1" t="s">
        <v>52</v>
      </c>
      <c r="BB252" s="1" t="s">
        <v>53</v>
      </c>
      <c r="BC252" s="1" t="s">
        <v>54</v>
      </c>
      <c r="BD252" s="1" t="s">
        <v>55</v>
      </c>
      <c r="BE252" s="1" t="s">
        <v>56</v>
      </c>
      <c r="BF252" s="1" t="s">
        <v>57</v>
      </c>
      <c r="BG252" s="1" t="s">
        <v>58</v>
      </c>
      <c r="BH252" s="1" t="s">
        <v>59</v>
      </c>
      <c r="BI252" s="1" t="s">
        <v>60</v>
      </c>
      <c r="BJ252" s="1" t="s">
        <v>61</v>
      </c>
      <c r="BK252" s="1" t="s">
        <v>62</v>
      </c>
      <c r="BL252" s="1" t="s">
        <v>63</v>
      </c>
      <c r="BM252" s="1" t="s">
        <v>330</v>
      </c>
      <c r="BN252" s="1" t="s">
        <v>331</v>
      </c>
      <c r="BO252" s="1" t="s">
        <v>332</v>
      </c>
      <c r="BP252" s="1" t="s">
        <v>333</v>
      </c>
      <c r="BQ252" s="1" t="s">
        <v>334</v>
      </c>
      <c r="BR252" s="1" t="s">
        <v>335</v>
      </c>
      <c r="BS252" s="1" t="s">
        <v>336</v>
      </c>
      <c r="BT252" s="1" t="s">
        <v>337</v>
      </c>
      <c r="BU252" s="1" t="s">
        <v>338</v>
      </c>
      <c r="BV252" s="1" t="s">
        <v>339</v>
      </c>
      <c r="BW252" s="1" t="s">
        <v>340</v>
      </c>
      <c r="BX252" s="1" t="s">
        <v>341</v>
      </c>
      <c r="BY252" s="1" t="s">
        <v>342</v>
      </c>
      <c r="BZ252" s="1" t="s">
        <v>343</v>
      </c>
      <c r="CA252" s="1" t="s">
        <v>390</v>
      </c>
    </row>
    <row r="253" spans="40:79" x14ac:dyDescent="0.3">
      <c r="AO253" s="77"/>
      <c r="AP253" s="77"/>
      <c r="AQ253" s="20">
        <v>5</v>
      </c>
      <c r="AR253" t="s">
        <v>5</v>
      </c>
      <c r="AS253" t="s">
        <v>3</v>
      </c>
      <c r="AT253" t="s">
        <v>5</v>
      </c>
      <c r="AU253" t="s">
        <v>5</v>
      </c>
      <c r="AV253" t="s">
        <v>5</v>
      </c>
      <c r="AW253" t="s">
        <v>5</v>
      </c>
      <c r="AX253" t="s">
        <v>5</v>
      </c>
      <c r="AY253" t="s">
        <v>2</v>
      </c>
      <c r="AZ253" t="s">
        <v>2</v>
      </c>
      <c r="BA253" t="s">
        <v>4</v>
      </c>
      <c r="BB253" t="s">
        <v>4</v>
      </c>
      <c r="BC253" t="s">
        <v>3</v>
      </c>
      <c r="BD253" t="s">
        <v>5</v>
      </c>
      <c r="BE253" t="s">
        <v>2</v>
      </c>
      <c r="BF253" t="s">
        <v>5</v>
      </c>
      <c r="BG253" t="s">
        <v>2</v>
      </c>
      <c r="BH253" t="s">
        <v>2</v>
      </c>
      <c r="BI253" t="s">
        <v>5</v>
      </c>
      <c r="BJ253" t="s">
        <v>4</v>
      </c>
      <c r="BK253" t="s">
        <v>3</v>
      </c>
      <c r="BL253" t="s">
        <v>3</v>
      </c>
      <c r="BM253" t="s">
        <v>4</v>
      </c>
      <c r="BN253" t="s">
        <v>3</v>
      </c>
      <c r="BO253" t="s">
        <v>4</v>
      </c>
      <c r="BP253" t="s">
        <v>4</v>
      </c>
      <c r="BQ253" t="s">
        <v>4</v>
      </c>
      <c r="BR253" t="s">
        <v>4</v>
      </c>
      <c r="BS253" t="s">
        <v>4</v>
      </c>
      <c r="BT253" t="s">
        <v>3</v>
      </c>
      <c r="BU253" t="s">
        <v>3</v>
      </c>
      <c r="BV253" t="s">
        <v>4</v>
      </c>
      <c r="BW253" t="s">
        <v>3</v>
      </c>
      <c r="BX253" t="s">
        <v>4</v>
      </c>
      <c r="BY253" t="s">
        <v>4</v>
      </c>
      <c r="BZ253" t="s">
        <v>4</v>
      </c>
      <c r="CA253" t="s">
        <v>3</v>
      </c>
    </row>
    <row r="254" spans="40:79" x14ac:dyDescent="0.3">
      <c r="AO254" s="67" t="s">
        <v>504</v>
      </c>
      <c r="AP254" s="67"/>
      <c r="AQ254">
        <f>'Data Training 2'!AW22*'Data Training 2'!AT34*'Data Training 2'!AT38*'Data Training 2'!AT46*'Data Training 2'!AT52*'Data Training 2'!AT58*'Data Training 2'!AT64*'Data Training 2'!AT70*'Data Training 2'!AT75*'Data Training 2'!AT81*'Data Training 2'!AT85*'Data Training 2'!AT91*'Data Training 2'!AT98*'Data Training 2'!AT106*'Data Training 2'!AT111*'Data Training 2'!AT118*'Data Training 2'!AT123*'Data Training 2'!AT129*'Data Training 2'!AT136*'Data Training 2'!AT139*'Data Training 2'!AT146*'Data Training 2'!AT152*'Data Training 2'!AT157*'Data Training 2'!AT164*'Data Training 2'!AT167*'Data Training 2'!AT171*'Data Training 2'!AT175*'Data Training 2'!AT179*'Data Training 2'!AT183*'Data Training 2'!AT188*'Data Training 2'!AT192*'Data Training 2'!AT195*'Data Training 2'!AT200*'Data Training 2'!AT203*'Data Training 2'!AT207*'Data Training 2'!AT211*'Data Training 2'!AT216</f>
        <v>0</v>
      </c>
    </row>
    <row r="255" spans="40:79" x14ac:dyDescent="0.3">
      <c r="AO255" s="67" t="s">
        <v>505</v>
      </c>
      <c r="AP255" s="67"/>
      <c r="AQ255">
        <f>'Data Training 2'!AW23*'Data Training 2'!AU34*'Data Training 2'!AU38*'Data Training 2'!AU46*'Data Training 2'!AU52*'Data Training 2'!AU58*'Data Training 2'!AU64*'Data Training 2'!AU70*'Data Training 2'!AU75*'Data Training 2'!AU81*'Data Training 2'!AU85*'Data Training 2'!AU91*'Data Training 2'!AU98*'Data Training 2'!AU106*'Data Training 2'!AU111*'Data Training 2'!AU118*'Data Training 2'!AU123*'Data Training 2'!AU129*'Data Training 2'!AU136*'Data Training 2'!AU139*'Data Training 2'!AU146*'Data Training 2'!AU152*'Data Training 2'!AU157*'Data Training 2'!AU164*'Data Training 2'!AU167*'Data Training 2'!AU171*'Data Training 2'!AU175*'Data Training 2'!AU179*'Data Training 2'!AU183*'Data Training 2'!AU188*'Data Training 2'!AU192*'Data Training 2'!AU195*'Data Training 2'!AU200*'Data Training 2'!AU203*'Data Training 2'!AU207*'Data Training 2'!AU211*'Data Training 2'!AU216</f>
        <v>0</v>
      </c>
    </row>
    <row r="256" spans="40:79" x14ac:dyDescent="0.3">
      <c r="AO256" s="67" t="s">
        <v>506</v>
      </c>
      <c r="AP256" s="67"/>
      <c r="AQ256">
        <f>'Data Training 2'!AW24*'Data Training 2'!AV34*'Data Training 2'!AV38*'Data Training 2'!AV46*'Data Training 2'!AV52*'Data Training 2'!AV58*'Data Training 2'!AV64*'Data Training 2'!AV70*'Data Training 2'!AV75*'Data Training 2'!AV81*'Data Training 2'!AV85*'Data Training 2'!AV91*'Data Training 2'!AV98*'Data Training 2'!AV106*'Data Training 2'!AV111*'Data Training 2'!AV118*'Data Training 2'!AV123*'Data Training 2'!AV129*'Data Training 2'!AV136*'Data Training 2'!AV139*'Data Training 2'!AV146*'Data Training 2'!AV152*'Data Training 2'!AV157*'Data Training 2'!AV164*'Data Training 2'!AV167*'Data Training 2'!AV171*'Data Training 2'!AV175*'Data Training 2'!AV179*'Data Training 2'!AV183*'Data Training 2'!AV188*'Data Training 2'!AV192*'Data Training 2'!AV195*'Data Training 2'!AV200*'Data Training 2'!AV203*'Data Training 2'!AV207*'Data Training 2'!AV211*'Data Training 2'!AV216</f>
        <v>0</v>
      </c>
    </row>
    <row r="257" spans="40:79" x14ac:dyDescent="0.3">
      <c r="AO257" s="67" t="s">
        <v>507</v>
      </c>
      <c r="AP257" s="67"/>
      <c r="AQ257">
        <f>'Data Training 2'!AW25*'Data Training 2'!AW34*'Data Training 2'!AW38*'Data Training 2'!AW46*'Data Training 2'!AW52*'Data Training 2'!AW58*'Data Training 2'!AW64*'Data Training 2'!AW70*'Data Training 2'!AW75*'Data Training 2'!AW81*'Data Training 2'!AW85*'Data Training 2'!AW91*'Data Training 2'!AW98*'Data Training 2'!AW106*'Data Training 2'!AW111*'Data Training 2'!AW118*'Data Training 2'!AW123*'Data Training 2'!AW129*'Data Training 2'!AW136*'Data Training 2'!AW139*'Data Training 2'!AW146*'Data Training 2'!AW152*'Data Training 2'!AW157*'Data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0</v>
      </c>
    </row>
    <row r="258" spans="40:79" x14ac:dyDescent="0.3">
      <c r="AO258" s="67" t="s">
        <v>508</v>
      </c>
      <c r="AP258" s="67"/>
      <c r="AQ258">
        <f>'Data Training 2'!AW26*'Data Training 2'!AX34*'Data Training 2'!AX38*'Data Training 2'!AX46*'Data Training 2'!AX52*'Data Training 2'!AX58*'Data Training 2'!AX64*'Data Training 2'!AX70*'Data Training 2'!AX75*'Data Training 2'!AX81*'Data Training 2'!AX85*'Data Training 2'!AX91*'Data Training 2'!AX98*'Data Training 2'!AX106*'Data Training 2'!AX111*'Data Training 2'!AX118*'Data Training 2'!AX123*'Data Training 2'!AX129*'Data Training 2'!AX136*'Data Training 2'!AX139*'Data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9.0646533889302756E-11</v>
      </c>
    </row>
    <row r="259" spans="40:79" x14ac:dyDescent="0.3">
      <c r="AO259" s="67" t="s">
        <v>509</v>
      </c>
      <c r="AP259" s="67"/>
      <c r="AQ259">
        <f>'Data Training 2'!AW27*'Data Training 2'!AY34*'Data Training 2'!AY38*'Data Training 2'!AY46*'Data Training 2'!AY52*'Data Training 2'!AY58*'Data Training 2'!AY64*'Data Training 2'!AY70*'Data Training 2'!AY75*'Data Training 2'!AY81*'Data Training 2'!AY85*'Data Training 2'!AY91*'Data Training 2'!AY98*'Data Training 2'!AY106*'Data Training 2'!AY111*'Data Training 2'!AY118*'Data Training 2'!AY123*'Data Training 2'!AY129*'Data Training 2'!AY136*'Data Training 2'!AY139*'Data Training 2'!AY146*'Data Training 2'!AY152*'Data Training 2'!AY157*'Data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0</v>
      </c>
    </row>
    <row r="260" spans="40:79" x14ac:dyDescent="0.3">
      <c r="AO260" s="76" t="s">
        <v>437</v>
      </c>
      <c r="AP260" s="76"/>
      <c r="AQ260" t="s">
        <v>297</v>
      </c>
      <c r="AR260" s="74" t="s">
        <v>438</v>
      </c>
      <c r="AS260" s="74"/>
      <c r="AT260" s="74"/>
    </row>
    <row r="262" spans="40:79" x14ac:dyDescent="0.3">
      <c r="AN262">
        <v>27</v>
      </c>
      <c r="AO262" s="66" t="s">
        <v>326</v>
      </c>
      <c r="AP262" s="66"/>
      <c r="AQ262" s="20" t="s">
        <v>64</v>
      </c>
      <c r="AR262" s="1" t="s">
        <v>43</v>
      </c>
      <c r="AS262" s="1" t="s">
        <v>44</v>
      </c>
      <c r="AT262" s="1" t="s">
        <v>45</v>
      </c>
      <c r="AU262" s="1" t="s">
        <v>46</v>
      </c>
      <c r="AV262" s="1" t="s">
        <v>47</v>
      </c>
      <c r="AW262" s="1" t="s">
        <v>48</v>
      </c>
      <c r="AX262" s="1" t="s">
        <v>49</v>
      </c>
      <c r="AY262" s="1" t="s">
        <v>50</v>
      </c>
      <c r="AZ262" s="1" t="s">
        <v>51</v>
      </c>
      <c r="BA262" s="1" t="s">
        <v>52</v>
      </c>
      <c r="BB262" s="1" t="s">
        <v>53</v>
      </c>
      <c r="BC262" s="1" t="s">
        <v>54</v>
      </c>
      <c r="BD262" s="1" t="s">
        <v>55</v>
      </c>
      <c r="BE262" s="1" t="s">
        <v>56</v>
      </c>
      <c r="BF262" s="1" t="s">
        <v>57</v>
      </c>
      <c r="BG262" s="1" t="s">
        <v>58</v>
      </c>
      <c r="BH262" s="1" t="s">
        <v>59</v>
      </c>
      <c r="BI262" s="1" t="s">
        <v>60</v>
      </c>
      <c r="BJ262" s="1" t="s">
        <v>61</v>
      </c>
      <c r="BK262" s="1" t="s">
        <v>62</v>
      </c>
      <c r="BL262" s="1" t="s">
        <v>63</v>
      </c>
      <c r="BM262" s="1" t="s">
        <v>330</v>
      </c>
      <c r="BN262" s="1" t="s">
        <v>331</v>
      </c>
      <c r="BO262" s="1" t="s">
        <v>332</v>
      </c>
      <c r="BP262" s="1" t="s">
        <v>333</v>
      </c>
      <c r="BQ262" s="1" t="s">
        <v>334</v>
      </c>
      <c r="BR262" s="1" t="s">
        <v>335</v>
      </c>
      <c r="BS262" s="1" t="s">
        <v>336</v>
      </c>
      <c r="BT262" s="1" t="s">
        <v>337</v>
      </c>
      <c r="BU262" s="1" t="s">
        <v>338</v>
      </c>
      <c r="BV262" s="1" t="s">
        <v>339</v>
      </c>
      <c r="BW262" s="1" t="s">
        <v>340</v>
      </c>
      <c r="BX262" s="1" t="s">
        <v>341</v>
      </c>
      <c r="BY262" s="1" t="s">
        <v>342</v>
      </c>
      <c r="BZ262" s="1" t="s">
        <v>343</v>
      </c>
      <c r="CA262" s="1" t="s">
        <v>390</v>
      </c>
    </row>
    <row r="263" spans="40:79" x14ac:dyDescent="0.3">
      <c r="AO263" s="66"/>
      <c r="AP263" s="66"/>
      <c r="AQ263" s="20">
        <v>5</v>
      </c>
      <c r="AR263" t="s">
        <v>5</v>
      </c>
      <c r="AS263" t="s">
        <v>5</v>
      </c>
      <c r="AT263" t="s">
        <v>2</v>
      </c>
      <c r="AU263" t="s">
        <v>5</v>
      </c>
      <c r="AV263" t="s">
        <v>5</v>
      </c>
      <c r="AW263" t="s">
        <v>3</v>
      </c>
      <c r="AX263" t="s">
        <v>5</v>
      </c>
      <c r="AY263" t="s">
        <v>2</v>
      </c>
      <c r="AZ263" t="s">
        <v>2</v>
      </c>
      <c r="BA263" t="s">
        <v>2</v>
      </c>
      <c r="BB263" t="s">
        <v>2</v>
      </c>
      <c r="BC263" t="s">
        <v>2</v>
      </c>
      <c r="BD263" t="s">
        <v>2</v>
      </c>
      <c r="BE263" t="s">
        <v>3</v>
      </c>
      <c r="BF263" t="s">
        <v>3</v>
      </c>
      <c r="BG263" t="s">
        <v>5</v>
      </c>
      <c r="BH263" t="s">
        <v>5</v>
      </c>
      <c r="BI263" t="s">
        <v>5</v>
      </c>
      <c r="BJ263" t="s">
        <v>5</v>
      </c>
      <c r="BK263" t="s">
        <v>3</v>
      </c>
      <c r="BL263" t="s">
        <v>3</v>
      </c>
      <c r="BM263" t="s">
        <v>2</v>
      </c>
      <c r="BN263" t="s">
        <v>3</v>
      </c>
      <c r="BO263" t="s">
        <v>4</v>
      </c>
      <c r="BP263" t="s">
        <v>4</v>
      </c>
      <c r="BQ263" t="s">
        <v>4</v>
      </c>
      <c r="BR263" t="s">
        <v>4</v>
      </c>
      <c r="BS263" t="s">
        <v>4</v>
      </c>
      <c r="BT263" t="s">
        <v>3</v>
      </c>
      <c r="BU263" t="s">
        <v>3</v>
      </c>
      <c r="BV263" t="s">
        <v>4</v>
      </c>
      <c r="BW263" t="s">
        <v>3</v>
      </c>
      <c r="BX263" t="s">
        <v>3</v>
      </c>
      <c r="BY263" t="s">
        <v>4</v>
      </c>
      <c r="BZ263" t="s">
        <v>3</v>
      </c>
      <c r="CA263" t="s">
        <v>3</v>
      </c>
    </row>
    <row r="264" spans="40:79" x14ac:dyDescent="0.3">
      <c r="AO264" s="67" t="s">
        <v>504</v>
      </c>
      <c r="AP264" s="67"/>
      <c r="AQ264">
        <f>'Data Training 2'!AW22*'Data Training 2'!AT34*'Data Training 2'!AT40*'Data Training 2'!AT45*'Data Training 2'!AT52*'Data Training 2'!AT58*'Data Training 2'!AT62*'Data Training 2'!AT70*'Data Training 2'!AT75*'Data Training 2'!AT81*'Data Training 2'!AT87*'Data Training 2'!AT93*'Data Training 2'!AT99*'Data Training 2'!AT105*'Data Training 2'!AT110*'Data Training 2'!AT116*'Data Training 2'!AT124*'Data Training 2'!AT130*'Data Training 2'!AT136*'Data Training 2'!AT142*'Data Training 2'!AT146*'Data Training 2'!AT152*'Data Training 2'!AT159*'Data Training 2'!AT164*'Data Training 2'!AT167*'Data Training 2'!AT171*'Data Training 2'!AT175*'Data Training 2'!AT179*'Data Training 2'!AT183*'Data Training 2'!AT188*'Data Training 2'!AT192*'Data Training 2'!AT195*'Data Training 2'!AT200*'Data Training 2'!AT204*'Data Training 2'!AT207*'Data Training 2'!AT212*'Data Training 2'!AT216</f>
        <v>0</v>
      </c>
    </row>
    <row r="265" spans="40:79" x14ac:dyDescent="0.3">
      <c r="AO265" s="67" t="s">
        <v>505</v>
      </c>
      <c r="AP265" s="67"/>
      <c r="AQ265">
        <f>'Data Training 2'!AW23*'Data Training 2'!AU34*'Data Training 2'!AU40*'Data Training 2'!AU45*'Data Training 2'!AU52*'Data Training 2'!AU58*'Data Training 2'!AU62*'Data Training 2'!AU70*'Data Training 2'!AU75*'Data Training 2'!AU81*'Data Training 2'!AU87*'Data Training 2'!AU93*'Data Training 2'!AU99*'Data Training 2'!AU105*'Data Training 2'!AU110*'Data Training 2'!AU116*'Data Training 2'!AU124*'Data Training 2'!AU130*'Data Training 2'!AU136*'Data Training 2'!AU142*'Data Training 2'!AU146*'Data Training 2'!AU152*'Data Training 2'!AU159*'Data Training 2'!AU164*'Data Training 2'!AU167*'Data Training 2'!AU171*'Data Training 2'!AU175*'Data Training 2'!AU179*'Data Training 2'!AU183*'Data Training 2'!AU188*'Data Training 2'!AU192*'Data Training 2'!AU195*'Data Training 2'!AU200*'Data Training 2'!AU204*'Data Training 2'!AU207*'Data Training 2'!AU212*'Data Training 2'!AU216</f>
        <v>0</v>
      </c>
    </row>
    <row r="266" spans="40:79" x14ac:dyDescent="0.3">
      <c r="AO266" s="67" t="s">
        <v>506</v>
      </c>
      <c r="AP266" s="67"/>
      <c r="AQ266">
        <f>'Data Training 2'!AW24*'Data Training 2'!AV34*'Data Training 2'!AV40*'Data Training 2'!AV45*'Data Training 2'!AV52*'Data Training 2'!AV58*'Data Training 2'!AV62*'Data Training 2'!AV70*'Data Training 2'!AV75*'Data Training 2'!AV81*'Data Training 2'!AV87*'Data Training 2'!AV93*'Data Training 2'!AV99*'Data Training 2'!AV105*'Data Training 2'!AV110*'Data Training 2'!AV116*'Data Training 2'!AV124*'Data Training 2'!AV130*'Data Training 2'!AV136*'Data Training 2'!AV142*'Data Training 2'!AV146*'Data Training 2'!AV152*'Data Training 2'!AV159*'Data Training 2'!AV164*'Data Training 2'!AV167*'Data Training 2'!AV171*'Data Training 2'!AV175*'Data Training 2'!AV179*'Data Training 2'!AV183*'Data Training 2'!AV188*'Data Training 2'!AV192*'Data Training 2'!AV195*'Data Training 2'!AV200*'Data Training 2'!AV204*'Data Training 2'!AV207*'Data Training 2'!AV212*'Data Training 2'!AV216</f>
        <v>0</v>
      </c>
    </row>
    <row r="267" spans="40:79" x14ac:dyDescent="0.3">
      <c r="AO267" s="67" t="s">
        <v>507</v>
      </c>
      <c r="AP267" s="67"/>
      <c r="AQ267">
        <f>'Data Training 2'!AW25*'Data Training 2'!AW34*'Data Training 2'!AW40*'Data Training 2'!AW45*'Data Training 2'!AW52*'Data Training 2'!AW58*'Data Training 2'!AW62*'Data Training 2'!AW70*'Data Training 2'!AW75*'Data Training 2'!AW81*'Data Training 2'!AW87*'Data Training 2'!AW93*'Data Training 2'!AW99*'Data Training 2'!AW105*'Data Training 2'!AW110*'Data Training 2'!AW116*'Data Training 2'!AW124*'Data Training 2'!AW130*'Data Training 2'!AW136*'Data Training 2'!AW142*'Data Training 2'!AW146*'Data Training 2'!AW152*'Data Training 2'!AW159*'Data Training 2'!AW164*'Data Training 2'!AW167*'Data Training 2'!AW171*'Data Training 2'!AW175*'Data Training 2'!AW179*'Data Training 2'!AW183*'Data Training 2'!AW188*'Data Training 2'!AW192*'Data Training 2'!AW195*'Data Training 2'!AW200*'Data Training 2'!AW204*'Data Training 2'!AW207*'Data Training 2'!AW212*'Data Training 2'!AW216</f>
        <v>0</v>
      </c>
    </row>
    <row r="268" spans="40:79" x14ac:dyDescent="0.3">
      <c r="AO268" s="67" t="s">
        <v>508</v>
      </c>
      <c r="AP268" s="67"/>
      <c r="AQ268">
        <f>'Data Training 2'!AW26*'Data Training 2'!AX34*'Data Training 2'!AX40*'Data Training 2'!AX45*'Data Training 2'!AX52*'Data Training 2'!AX58*'Data Training 2'!AX62*'Data Training 2'!AX70*'Data Training 2'!AX75*'Data Training 2'!AX81*'Data Training 2'!AX87*'Data Training 2'!AX93*'Data Training 2'!AX99*'Data Training 2'!AX105*'Data Training 2'!AX110*'Data Training 2'!AX116*'Data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3.0513742317022442E-9</v>
      </c>
    </row>
    <row r="269" spans="40:79" x14ac:dyDescent="0.3">
      <c r="AO269" s="67" t="s">
        <v>509</v>
      </c>
      <c r="AP269" s="67"/>
      <c r="AQ269">
        <f>'Data Training 2'!AW27*'Data Training 2'!AY34*'Data Training 2'!AY40*'Data Training 2'!AY45*'Data Training 2'!AY52*'Data Training 2'!AY58*'Data Training 2'!AY62*'Data Training 2'!AY70*'Data Training 2'!AY75*'Data Training 2'!AY81*'Data Training 2'!AY87*'Data Training 2'!AY93*'Data Training 2'!AY99*'Data Training 2'!AY105*'Data Training 2'!AY110*'Data Training 2'!AY116*'Data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8.1855350597957332E-13</v>
      </c>
    </row>
    <row r="270" spans="40:79" x14ac:dyDescent="0.3">
      <c r="AO270" s="76" t="s">
        <v>437</v>
      </c>
      <c r="AP270" s="76"/>
      <c r="AQ270" t="s">
        <v>298</v>
      </c>
      <c r="AR270" s="84" t="s">
        <v>514</v>
      </c>
      <c r="AS270" s="84"/>
      <c r="AT270" s="84"/>
    </row>
    <row r="272" spans="40:79" x14ac:dyDescent="0.3">
      <c r="AN272">
        <v>28</v>
      </c>
      <c r="AO272" s="77" t="s">
        <v>479</v>
      </c>
      <c r="AP272" s="77"/>
      <c r="AQ272" s="20" t="s">
        <v>64</v>
      </c>
      <c r="AR272" s="1" t="s">
        <v>43</v>
      </c>
      <c r="AS272" s="1" t="s">
        <v>44</v>
      </c>
      <c r="AT272" s="1" t="s">
        <v>45</v>
      </c>
      <c r="AU272" s="1" t="s">
        <v>46</v>
      </c>
      <c r="AV272" s="1" t="s">
        <v>47</v>
      </c>
      <c r="AW272" s="1" t="s">
        <v>48</v>
      </c>
      <c r="AX272" s="1" t="s">
        <v>49</v>
      </c>
      <c r="AY272" s="1" t="s">
        <v>50</v>
      </c>
      <c r="AZ272" s="1" t="s">
        <v>51</v>
      </c>
      <c r="BA272" s="1" t="s">
        <v>52</v>
      </c>
      <c r="BB272" s="1" t="s">
        <v>53</v>
      </c>
      <c r="BC272" s="1" t="s">
        <v>54</v>
      </c>
      <c r="BD272" s="1" t="s">
        <v>55</v>
      </c>
      <c r="BE272" s="1" t="s">
        <v>56</v>
      </c>
      <c r="BF272" s="1" t="s">
        <v>57</v>
      </c>
      <c r="BG272" s="1" t="s">
        <v>58</v>
      </c>
      <c r="BH272" s="1" t="s">
        <v>59</v>
      </c>
      <c r="BI272" s="1" t="s">
        <v>60</v>
      </c>
      <c r="BJ272" s="1" t="s">
        <v>61</v>
      </c>
      <c r="BK272" s="1" t="s">
        <v>62</v>
      </c>
      <c r="BL272" s="1" t="s">
        <v>63</v>
      </c>
      <c r="BM272" s="1" t="s">
        <v>330</v>
      </c>
      <c r="BN272" s="1" t="s">
        <v>331</v>
      </c>
      <c r="BO272" s="1" t="s">
        <v>332</v>
      </c>
      <c r="BP272" s="1" t="s">
        <v>333</v>
      </c>
      <c r="BQ272" s="1" t="s">
        <v>334</v>
      </c>
      <c r="BR272" s="1" t="s">
        <v>335</v>
      </c>
      <c r="BS272" s="1" t="s">
        <v>336</v>
      </c>
      <c r="BT272" s="1" t="s">
        <v>337</v>
      </c>
      <c r="BU272" s="1" t="s">
        <v>338</v>
      </c>
      <c r="BV272" s="1" t="s">
        <v>339</v>
      </c>
      <c r="BW272" s="1" t="s">
        <v>340</v>
      </c>
      <c r="BX272" s="1" t="s">
        <v>341</v>
      </c>
      <c r="BY272" s="1" t="s">
        <v>342</v>
      </c>
      <c r="BZ272" s="1" t="s">
        <v>343</v>
      </c>
      <c r="CA272" s="1" t="s">
        <v>390</v>
      </c>
    </row>
    <row r="273" spans="40:79" x14ac:dyDescent="0.3">
      <c r="AO273" s="77"/>
      <c r="AP273" s="77"/>
      <c r="AQ273" s="20">
        <v>5</v>
      </c>
      <c r="AR273" t="s">
        <v>2</v>
      </c>
      <c r="AS273" t="s">
        <v>3</v>
      </c>
      <c r="AT273" t="s">
        <v>5</v>
      </c>
      <c r="AU273" t="s">
        <v>5</v>
      </c>
      <c r="AV273" t="s">
        <v>5</v>
      </c>
      <c r="AW273" t="s">
        <v>5</v>
      </c>
      <c r="AX273" t="s">
        <v>5</v>
      </c>
      <c r="AY273" t="s">
        <v>2</v>
      </c>
      <c r="AZ273" t="s">
        <v>3</v>
      </c>
      <c r="BA273" t="s">
        <v>3</v>
      </c>
      <c r="BB273" t="s">
        <v>5</v>
      </c>
      <c r="BC273" t="s">
        <v>2</v>
      </c>
      <c r="BD273" t="s">
        <v>5</v>
      </c>
      <c r="BE273" t="s">
        <v>2</v>
      </c>
      <c r="BF273" t="s">
        <v>2</v>
      </c>
      <c r="BG273" t="s">
        <v>5</v>
      </c>
      <c r="BH273" t="s">
        <v>5</v>
      </c>
      <c r="BI273" t="s">
        <v>5</v>
      </c>
      <c r="BJ273" t="s">
        <v>3</v>
      </c>
      <c r="BK273" t="s">
        <v>3</v>
      </c>
      <c r="BL273" t="s">
        <v>4</v>
      </c>
      <c r="BM273" t="s">
        <v>2</v>
      </c>
      <c r="BN273" t="s">
        <v>3</v>
      </c>
      <c r="BO273" t="s">
        <v>4</v>
      </c>
      <c r="BP273" t="s">
        <v>4</v>
      </c>
      <c r="BQ273" t="s">
        <v>4</v>
      </c>
      <c r="BR273" t="s">
        <v>4</v>
      </c>
      <c r="BS273" t="s">
        <v>4</v>
      </c>
      <c r="BT273" t="s">
        <v>3</v>
      </c>
      <c r="BU273" t="s">
        <v>3</v>
      </c>
      <c r="BV273" t="s">
        <v>4</v>
      </c>
      <c r="BW273" t="s">
        <v>3</v>
      </c>
      <c r="BX273" t="s">
        <v>4</v>
      </c>
      <c r="BY273" t="s">
        <v>4</v>
      </c>
      <c r="BZ273" t="s">
        <v>4</v>
      </c>
      <c r="CA273" t="s">
        <v>3</v>
      </c>
    </row>
    <row r="274" spans="40:79" x14ac:dyDescent="0.3">
      <c r="AO274" s="67" t="s">
        <v>504</v>
      </c>
      <c r="AP274" s="67"/>
      <c r="AQ274">
        <f>PRODUCT('Data Training 2'!AW22,'Data Training 2'!AT33,'Data Training 2'!AT38,'Data Training 2'!AT46,'Data Training 2'!AT52,'Data Training 2'!AT58,'Data Training 2'!AT64,'Data Training 2'!AT70,'Data Training 2'!AT75,'Data Training 2'!AT80,'Data Training 2'!AT86,'Data Training 2'!AT94,'Data Training 2'!AT99,'Data Training 2'!AT106,'Data Training 2'!AT111,'Data Training 2'!AT117,'Data Training 2'!AT124,'Data Training 2'!AT130,'Data Training 2'!AT136,'Data Training 2'!AT140,'Data Training 2'!AT146,'Data Training 2'!AT151,'Data Training 2'!AT159,'Data Training 2'!AT164,'Data Training 2'!AT167,'Data Training 2'!AT171,'Data Training 2'!AT175,'Data Training 2'!AT179,'Data Training 2'!AT183,'Data Training 2'!AT188,'Data Training 2'!AT192,'Data Training 2'!AT195,'Data Training 2'!AT200,'Data Training 2'!AT203,'Data Training 2'!AT207,'Data Training 2'!AT211,'Data Training 2'!AT216)</f>
        <v>0</v>
      </c>
    </row>
    <row r="275" spans="40:79" x14ac:dyDescent="0.3">
      <c r="AO275" s="67" t="s">
        <v>505</v>
      </c>
      <c r="AP275" s="67"/>
      <c r="AQ275">
        <f>PRODUCT('Data Training 2'!AW23,'Data Training 2'!AU33,'Data Training 2'!AU38,'Data Training 2'!AU46,'Data Training 2'!AU52,'Data Training 2'!AU58,'Data Training 2'!AU64,'Data Training 2'!AU70,'Data Training 2'!AU75,'Data Training 2'!AU80,'Data Training 2'!AU86,'Data Training 2'!AU94,'Data Training 2'!AU99,'Data Training 2'!AU106,'Data Training 2'!AU111,'Data Training 2'!AU117,'Data Training 2'!AU124,'Data Training 2'!AU130,'Data Training 2'!AU136,'Data Training 2'!AU140,'Data Training 2'!AU146,'Data Training 2'!AU151,'Data Training 2'!AU159,'Data Training 2'!AU164,'Data Training 2'!AU167,'Data Training 2'!AU171,'Data Training 2'!AU175,'Data Training 2'!AU179,'Data Training 2'!AU183,'Data Training 2'!AU188,'Data Training 2'!AU192,'Data Training 2'!AU195,'Data Training 2'!AU200,'Data Training 2'!AU203,'Data Training 2'!AU207,'Data Training 2'!AU211,'Data Training 2'!AU216)</f>
        <v>0</v>
      </c>
    </row>
    <row r="276" spans="40:79" x14ac:dyDescent="0.3">
      <c r="AO276" s="67" t="s">
        <v>506</v>
      </c>
      <c r="AP276" s="67"/>
      <c r="AQ276">
        <f>PRODUCT('Data Training 2'!AW24,'Data Training 2'!AV33,'Data Training 2'!AV38,'Data Training 2'!AV46,'Data Training 2'!AV52,'Data Training 2'!AV58,'Data Training 2'!AV64,'Data Training 2'!AV70,'Data Training 2'!AV75,'Data Training 2'!AV80,'Data Training 2'!AV86,'Data Training 2'!AV94,'Data Training 2'!AV99,'Data Training 2'!AV106,'Data Training 2'!AV111,'Data Training 2'!AV117,'Data Training 2'!AV124,'Data Training 2'!AV130,'Data Training 2'!AV136,'Data Training 2'!AV140,'Data Training 2'!AV146,'Data Training 2'!AV151,'Data Training 2'!AV159,'Data Training 2'!AV164,'Data Training 2'!AV167,'Data Training 2'!AV171,'Data Training 2'!AV175,'Data Training 2'!AV179,'Data Training 2'!AV183,'Data Training 2'!AV188,'Data Training 2'!AV192,'Data Training 2'!AV195,'Data Training 2'!AV200,'Data Training 2'!AV203,'Data Training 2'!AV207,'Data Training 2'!AV211,'Data Training 2'!AV216)</f>
        <v>0</v>
      </c>
    </row>
    <row r="277" spans="40:79" x14ac:dyDescent="0.3">
      <c r="AO277" s="67" t="s">
        <v>507</v>
      </c>
      <c r="AP277" s="67"/>
      <c r="AQ277">
        <f>PRODUCT('Data Training 2'!AW25,'Data Training 2'!AW33,'Data Training 2'!AW38,'Data Training 2'!AW46,'Data Training 2'!AW52,'Data Training 2'!AW58,'Data Training 2'!AW64,'Data Training 2'!AW70,'Data Training 2'!AW75,'Data Training 2'!AW80,'Data Training 2'!AW86,'Data Training 2'!AW94,'Data Training 2'!AW99,'Data Training 2'!AW106,'Data Training 2'!AW111,'Data Training 2'!AW117,'Data Training 2'!AW124,'Data Training 2'!AW130,'Data Training 2'!AW136,'Data Training 2'!AW140,'Data Training 2'!AW146,'Data Training 2'!AW151,'Data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1.7168171501445595E-10</v>
      </c>
    </row>
    <row r="278" spans="40:79" x14ac:dyDescent="0.3">
      <c r="AO278" s="67" t="s">
        <v>508</v>
      </c>
      <c r="AP278" s="67"/>
      <c r="AQ278" s="43">
        <f>PRODUCT('Data Training 2'!AW26,'Data Training 2'!AX33,'Data Training 2'!AX38,'Data Training 2'!AX46,'Data Training 2'!AX52,'Data Training 2'!AX58,'Data Training 2'!AX64,'Data Training 2'!AX70,'Data Training 2'!AX75,'Data Training 2'!AX80,'Data Training 2'!AX86,'Data Training 2'!AX94,'Data Training 2'!AX99,'Data Training 2'!AX106,'Data Training 2'!AX111,'Data Training 2'!AX117,'Data Training 2'!AX124,'Data Training 2'!AX130,'Data Training 2'!AX136,'Data Training 2'!AX140,'Data Training 2'!AX146,'Data Training 2'!AX151,'Data Training 2'!AX159,'Data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8.8998415091315388E-11</v>
      </c>
    </row>
    <row r="279" spans="40:79" x14ac:dyDescent="0.3">
      <c r="AO279" s="67" t="s">
        <v>509</v>
      </c>
      <c r="AP279" s="67"/>
      <c r="AQ279">
        <f>PRODUCT('Data Training 2'!AW27,'Data Training 2'!AY33,'Data Training 2'!AY38,'Data Training 2'!AY46,'Data Training 2'!AY52,'Data Training 2'!AY58,'Data Training 2'!AY64,'Data Training 2'!AY70,'Data Training 2'!AY75,'Data Training 2'!AY80,'Data Training 2'!AY86,'Data Training 2'!AY94,'Data Training 2'!AY99,'Data Training 2'!AY106,'Data Training 2'!AY111,'Data Training 2'!AY117,'Data Training 2'!AY124,'Data Training 2'!AY130,'Data Training 2'!AY136,'Data Training 2'!AY140,'Data Training 2'!AY146,'Data Training 2'!AY151,'Data Training 2'!AY159,'Data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0</v>
      </c>
    </row>
    <row r="280" spans="40:79" x14ac:dyDescent="0.3">
      <c r="AO280" s="76" t="s">
        <v>437</v>
      </c>
      <c r="AP280" s="76"/>
      <c r="AQ280" t="s">
        <v>297</v>
      </c>
      <c r="AR280" s="74" t="s">
        <v>438</v>
      </c>
      <c r="AS280" s="74"/>
      <c r="AT280" s="74"/>
    </row>
    <row r="282" spans="40:79" x14ac:dyDescent="0.3">
      <c r="AN282">
        <v>29</v>
      </c>
      <c r="AO282" s="77" t="s">
        <v>480</v>
      </c>
      <c r="AP282" s="77"/>
      <c r="AQ282" s="20" t="s">
        <v>64</v>
      </c>
      <c r="AR282" s="1" t="s">
        <v>43</v>
      </c>
      <c r="AS282" s="1" t="s">
        <v>44</v>
      </c>
      <c r="AT282" s="1" t="s">
        <v>45</v>
      </c>
      <c r="AU282" s="1" t="s">
        <v>46</v>
      </c>
      <c r="AV282" s="1" t="s">
        <v>47</v>
      </c>
      <c r="AW282" s="1" t="s">
        <v>48</v>
      </c>
      <c r="AX282" s="1" t="s">
        <v>49</v>
      </c>
      <c r="AY282" s="1" t="s">
        <v>50</v>
      </c>
      <c r="AZ282" s="1" t="s">
        <v>51</v>
      </c>
      <c r="BA282" s="1" t="s">
        <v>52</v>
      </c>
      <c r="BB282" s="1" t="s">
        <v>53</v>
      </c>
      <c r="BC282" s="1" t="s">
        <v>54</v>
      </c>
      <c r="BD282" s="1" t="s">
        <v>55</v>
      </c>
      <c r="BE282" s="1" t="s">
        <v>56</v>
      </c>
      <c r="BF282" s="1" t="s">
        <v>57</v>
      </c>
      <c r="BG282" s="1" t="s">
        <v>58</v>
      </c>
      <c r="BH282" s="1" t="s">
        <v>59</v>
      </c>
      <c r="BI282" s="1" t="s">
        <v>60</v>
      </c>
      <c r="BJ282" s="1" t="s">
        <v>61</v>
      </c>
      <c r="BK282" s="1" t="s">
        <v>62</v>
      </c>
      <c r="BL282" s="1" t="s">
        <v>63</v>
      </c>
      <c r="BM282" s="1" t="s">
        <v>330</v>
      </c>
      <c r="BN282" s="1" t="s">
        <v>331</v>
      </c>
      <c r="BO282" s="1" t="s">
        <v>332</v>
      </c>
      <c r="BP282" s="1" t="s">
        <v>333</v>
      </c>
      <c r="BQ282" s="1" t="s">
        <v>334</v>
      </c>
      <c r="BR282" s="1" t="s">
        <v>335</v>
      </c>
      <c r="BS282" s="1" t="s">
        <v>336</v>
      </c>
      <c r="BT282" s="1" t="s">
        <v>337</v>
      </c>
      <c r="BU282" s="1" t="s">
        <v>338</v>
      </c>
      <c r="BV282" s="1" t="s">
        <v>339</v>
      </c>
      <c r="BW282" s="1" t="s">
        <v>340</v>
      </c>
      <c r="BX282" s="1" t="s">
        <v>341</v>
      </c>
      <c r="BY282" s="1" t="s">
        <v>342</v>
      </c>
      <c r="BZ282" s="1" t="s">
        <v>343</v>
      </c>
      <c r="CA282" s="1" t="s">
        <v>390</v>
      </c>
    </row>
    <row r="283" spans="40:79" x14ac:dyDescent="0.3">
      <c r="AO283" s="77"/>
      <c r="AP283" s="77"/>
      <c r="AQ283" s="20">
        <v>5</v>
      </c>
      <c r="AR283" t="s">
        <v>2</v>
      </c>
      <c r="AS283" t="s">
        <v>3</v>
      </c>
      <c r="AT283" t="s">
        <v>4</v>
      </c>
      <c r="AU283" t="s">
        <v>5</v>
      </c>
      <c r="AV283" t="s">
        <v>5</v>
      </c>
      <c r="AW283" t="s">
        <v>3</v>
      </c>
      <c r="AX283" t="s">
        <v>5</v>
      </c>
      <c r="AY283" t="s">
        <v>2</v>
      </c>
      <c r="AZ283" t="s">
        <v>3</v>
      </c>
      <c r="BA283" t="s">
        <v>2</v>
      </c>
      <c r="BB283" t="s">
        <v>2</v>
      </c>
      <c r="BC283" t="s">
        <v>5</v>
      </c>
      <c r="BD283" t="s">
        <v>5</v>
      </c>
      <c r="BE283" t="s">
        <v>2</v>
      </c>
      <c r="BF283" t="s">
        <v>5</v>
      </c>
      <c r="BG283" t="s">
        <v>5</v>
      </c>
      <c r="BH283" t="s">
        <v>3</v>
      </c>
      <c r="BI283" t="s">
        <v>5</v>
      </c>
      <c r="BJ283" t="s">
        <v>2</v>
      </c>
      <c r="BK283" t="s">
        <v>4</v>
      </c>
      <c r="BL283" t="s">
        <v>4</v>
      </c>
      <c r="BM283" t="s">
        <v>2</v>
      </c>
      <c r="BN283" t="s">
        <v>3</v>
      </c>
      <c r="BO283" t="s">
        <v>4</v>
      </c>
      <c r="BP283" t="s">
        <v>4</v>
      </c>
      <c r="BQ283" t="s">
        <v>4</v>
      </c>
      <c r="BR283" t="s">
        <v>4</v>
      </c>
      <c r="BS283" t="s">
        <v>4</v>
      </c>
      <c r="BT283" t="s">
        <v>4</v>
      </c>
      <c r="BU283" t="s">
        <v>3</v>
      </c>
      <c r="BV283" t="s">
        <v>4</v>
      </c>
      <c r="BW283" t="s">
        <v>3</v>
      </c>
      <c r="BX283" t="s">
        <v>4</v>
      </c>
      <c r="BY283" t="s">
        <v>4</v>
      </c>
      <c r="BZ283" t="s">
        <v>3</v>
      </c>
      <c r="CA283" t="s">
        <v>3</v>
      </c>
    </row>
    <row r="284" spans="40:79" x14ac:dyDescent="0.3">
      <c r="AO284" s="67" t="s">
        <v>504</v>
      </c>
      <c r="AP284" s="67"/>
      <c r="AQ284">
        <f>PRODUCT('Data Training 2'!AW22,'Data Training 2'!AT33,'Data Training 2'!AT38,'Data Training 2'!AT43,'Data Training 2'!AT52,'Data Training 2'!AT58,'Data Training 2'!AT62,'Data Training 2'!AT70,'Data Training 2'!AT75,'Data Training 2'!AT80,'Data Training 2'!AT87,'Data Training 2'!AT93,'Data Training 2'!AT100,'Data Training 2'!AT106,'Data Training 2'!AT111,'Data Training 2'!AT118,'Data Training 2'!AT124,'Data Training 2'!AT128,'Data Training 2'!AT136,'Data Training 2'!AT141,'Data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0</v>
      </c>
    </row>
    <row r="285" spans="40:79" x14ac:dyDescent="0.3">
      <c r="AO285" s="67" t="s">
        <v>505</v>
      </c>
      <c r="AP285" s="67"/>
      <c r="AQ285">
        <f>PRODUCT('Data Training 2'!AW23,'Data Training 2'!AU33,'Data Training 2'!AU38,'Data Training 2'!AU43,'Data Training 2'!AU52,'Data Training 2'!AU58,'Data Training 2'!AU62,'Data Training 2'!AU70,'Data Training 2'!AU75,'Data Training 2'!AU80,'Data Training 2'!AU87,'Data Training 2'!AU93,'Data Training 2'!AU100,'Data Training 2'!AU106,'Data Training 2'!AU111,'Data Training 2'!AU118,'Data Training 2'!AU124,'Data Training 2'!AU128,'Data Training 2'!AU136,'Data Training 2'!AU141,'Data Training 2'!AU145,'Data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0</v>
      </c>
    </row>
    <row r="286" spans="40:79" x14ac:dyDescent="0.3">
      <c r="AO286" s="67" t="s">
        <v>506</v>
      </c>
      <c r="AP286" s="67"/>
      <c r="AQ286">
        <f>PRODUCT('Data Training 2'!AW24,'Data Training 2'!AV33,'Data Training 2'!AV38,'Data Training 2'!AV43,'Data Training 2'!AV52,'Data Training 2'!AV58,'Data Training 2'!AV62,'Data Training 2'!AV70,'Data Training 2'!AV75,'Data Training 2'!AV80,'Data Training 2'!AV87,'Data Training 2'!AV93,'Data Training 2'!AV100,'Data Training 2'!AV106,'Data Training 2'!AV111,'Data Training 2'!AV118,'Data Training 2'!AV124,'Data Training 2'!AV128,'Data Training 2'!AV136,'Data Training 2'!AV141,'Data Training 2'!AV145,'Data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0</v>
      </c>
    </row>
    <row r="287" spans="40:79" x14ac:dyDescent="0.3">
      <c r="AO287" s="67" t="s">
        <v>507</v>
      </c>
      <c r="AP287" s="67"/>
      <c r="AQ287">
        <f>PRODUCT('Data Training 2'!AW25,'Data Training 2'!AW33,'Data Training 2'!AW38,'Data Training 2'!AW43,'Data Training 2'!AW52,'Data Training 2'!AW58,'Data Training 2'!AW62,'Data Training 2'!AW70,'Data Training 2'!AW75,'Data Training 2'!AW80,'Data Training 2'!AW87,'Data Training 2'!AW93,'Data Training 2'!AW100,'Data Training 2'!AW106,'Data Training 2'!AW111,'Data Training 2'!AW118,'Data Training 2'!AW124,'Data Training 2'!AW128,'Data Training 2'!AW136,'Data Training 2'!AW141,'Data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0</v>
      </c>
    </row>
    <row r="288" spans="40:79" x14ac:dyDescent="0.3">
      <c r="AO288" s="67" t="s">
        <v>508</v>
      </c>
      <c r="AP288" s="67"/>
      <c r="AQ288">
        <f>PRODUCT('Data Training 2'!AW26,'Data Training 2'!AX33,'Data Training 2'!AX38,'Data Training 2'!AX43,'Data Training 2'!AX52,'Data Training 2'!AX58,'Data Training 2'!AX62,'Data Training 2'!AX70,'Data Training 2'!AX75,'Data Training 2'!AX80,'Data Training 2'!AX87,'Data Training 2'!AX93,'Data Training 2'!AX100,'Data Training 2'!AX106,'Data Training 2'!AX111,'Data Training 2'!AX118,'Data Training 2'!AX124,'Data Training 2'!AX128,'Data Training 2'!AX136,'Data Training 2'!AX141,'Data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3.0998087433165655E-11</v>
      </c>
    </row>
    <row r="289" spans="40:79" x14ac:dyDescent="0.3">
      <c r="AO289" s="67" t="s">
        <v>509</v>
      </c>
      <c r="AP289" s="67"/>
      <c r="AQ289">
        <f>PRODUCT('Data Training 2'!AW27,'Data Training 2'!AY33,'Data Training 2'!AY38,'Data Training 2'!AY43,'Data Training 2'!AY52,'Data Training 2'!AY58,'Data Training 2'!AY62,'Data Training 2'!AY70,'Data Training 2'!AY75,'Data Training 2'!AY80,'Data Training 2'!AY87,'Data Training 2'!AY93,'Data Training 2'!AY100,'Data Training 2'!AY106,'Data Training 2'!AY111,'Data Training 2'!AY118,'Data Training 2'!AY124,'Data Training 2'!AY128,'Data Training 2'!AY136,'Data Training 2'!AY141,'Data Training 2'!AY145,'Data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290" spans="40:79" x14ac:dyDescent="0.3">
      <c r="AO290" s="76" t="s">
        <v>437</v>
      </c>
      <c r="AP290" s="76"/>
      <c r="AQ290" t="s">
        <v>297</v>
      </c>
      <c r="AR290" s="74" t="s">
        <v>438</v>
      </c>
      <c r="AS290" s="74"/>
      <c r="AT290" s="74"/>
    </row>
    <row r="291" spans="40:79" x14ac:dyDescent="0.3">
      <c r="AO291" s="41"/>
      <c r="AP291" s="41"/>
    </row>
    <row r="292" spans="40:79" x14ac:dyDescent="0.3">
      <c r="AN292">
        <v>30</v>
      </c>
      <c r="AO292" s="77" t="s">
        <v>495</v>
      </c>
      <c r="AP292" s="77"/>
      <c r="AQ292" s="20" t="s">
        <v>64</v>
      </c>
      <c r="AR292" s="1" t="s">
        <v>43</v>
      </c>
      <c r="AS292" s="1" t="s">
        <v>44</v>
      </c>
      <c r="AT292" s="1" t="s">
        <v>45</v>
      </c>
      <c r="AU292" s="1" t="s">
        <v>46</v>
      </c>
      <c r="AV292" s="1" t="s">
        <v>47</v>
      </c>
      <c r="AW292" s="1" t="s">
        <v>48</v>
      </c>
      <c r="AX292" s="1" t="s">
        <v>49</v>
      </c>
      <c r="AY292" s="1" t="s">
        <v>50</v>
      </c>
      <c r="AZ292" s="1" t="s">
        <v>51</v>
      </c>
      <c r="BA292" s="1" t="s">
        <v>52</v>
      </c>
      <c r="BB292" s="1" t="s">
        <v>53</v>
      </c>
      <c r="BC292" s="1" t="s">
        <v>54</v>
      </c>
      <c r="BD292" s="1" t="s">
        <v>55</v>
      </c>
      <c r="BE292" s="1" t="s">
        <v>56</v>
      </c>
      <c r="BF292" s="1" t="s">
        <v>57</v>
      </c>
      <c r="BG292" s="1" t="s">
        <v>58</v>
      </c>
      <c r="BH292" s="1" t="s">
        <v>59</v>
      </c>
      <c r="BI292" s="1" t="s">
        <v>60</v>
      </c>
      <c r="BJ292" s="1" t="s">
        <v>61</v>
      </c>
      <c r="BK292" s="1" t="s">
        <v>62</v>
      </c>
      <c r="BL292" s="1" t="s">
        <v>63</v>
      </c>
      <c r="BM292" s="1" t="s">
        <v>330</v>
      </c>
      <c r="BN292" s="1" t="s">
        <v>331</v>
      </c>
      <c r="BO292" s="1" t="s">
        <v>332</v>
      </c>
      <c r="BP292" s="1" t="s">
        <v>333</v>
      </c>
      <c r="BQ292" s="1" t="s">
        <v>334</v>
      </c>
      <c r="BR292" s="1" t="s">
        <v>335</v>
      </c>
      <c r="BS292" s="1" t="s">
        <v>336</v>
      </c>
      <c r="BT292" s="1" t="s">
        <v>337</v>
      </c>
      <c r="BU292" s="1" t="s">
        <v>338</v>
      </c>
      <c r="BV292" s="1" t="s">
        <v>339</v>
      </c>
      <c r="BW292" s="1" t="s">
        <v>340</v>
      </c>
      <c r="BX292" s="1" t="s">
        <v>341</v>
      </c>
      <c r="BY292" s="1" t="s">
        <v>342</v>
      </c>
      <c r="BZ292" s="1" t="s">
        <v>343</v>
      </c>
      <c r="CA292" s="1" t="s">
        <v>390</v>
      </c>
    </row>
    <row r="293" spans="40:79" x14ac:dyDescent="0.3">
      <c r="AO293" s="77"/>
      <c r="AP293" s="77"/>
      <c r="AQ293" s="20">
        <v>5</v>
      </c>
      <c r="AR293" t="s">
        <v>5</v>
      </c>
      <c r="AS293" t="s">
        <v>5</v>
      </c>
      <c r="AT293" t="s">
        <v>3</v>
      </c>
      <c r="AU293" t="s">
        <v>5</v>
      </c>
      <c r="AV293" t="s">
        <v>5</v>
      </c>
      <c r="AW293" t="s">
        <v>5</v>
      </c>
      <c r="AX293" t="s">
        <v>5</v>
      </c>
      <c r="AY293" t="s">
        <v>2</v>
      </c>
      <c r="AZ293" t="s">
        <v>2</v>
      </c>
      <c r="BA293" t="s">
        <v>5</v>
      </c>
      <c r="BB293" t="s">
        <v>2</v>
      </c>
      <c r="BC293" t="s">
        <v>2</v>
      </c>
      <c r="BD293" t="s">
        <v>4</v>
      </c>
      <c r="BE293" t="s">
        <v>3</v>
      </c>
      <c r="BF293" t="s">
        <v>2</v>
      </c>
      <c r="BG293" t="s">
        <v>5</v>
      </c>
      <c r="BH293" t="s">
        <v>5</v>
      </c>
      <c r="BI293" t="s">
        <v>5</v>
      </c>
      <c r="BJ293" t="s">
        <v>3</v>
      </c>
      <c r="BK293" t="s">
        <v>3</v>
      </c>
      <c r="BL293" t="s">
        <v>3</v>
      </c>
      <c r="BM293" t="s">
        <v>4</v>
      </c>
      <c r="BN293" t="s">
        <v>3</v>
      </c>
      <c r="BO293" t="s">
        <v>4</v>
      </c>
      <c r="BP293" t="s">
        <v>4</v>
      </c>
      <c r="BQ293" t="s">
        <v>4</v>
      </c>
      <c r="BR293" t="s">
        <v>4</v>
      </c>
      <c r="BS293" t="s">
        <v>4</v>
      </c>
      <c r="BT293" t="s">
        <v>3</v>
      </c>
      <c r="BU293" t="s">
        <v>3</v>
      </c>
      <c r="BV293" t="s">
        <v>4</v>
      </c>
      <c r="BW293" t="s">
        <v>3</v>
      </c>
      <c r="BX293" t="s">
        <v>4</v>
      </c>
      <c r="BY293" t="s">
        <v>4</v>
      </c>
      <c r="BZ293" t="s">
        <v>3</v>
      </c>
      <c r="CA293" t="s">
        <v>3</v>
      </c>
    </row>
    <row r="294" spans="40:79" x14ac:dyDescent="0.3">
      <c r="AO294" s="67" t="s">
        <v>504</v>
      </c>
      <c r="AP294" s="67"/>
      <c r="AQ294" s="43">
        <f>PRODUCT('Data Training 2'!AW22,'Data Training 2'!AT34,'Data Training 2'!AT40,'Data Training 2'!AT44,'Data Training 2'!AT52,'Data Training 2'!AT58,'Data Training 2'!AT64,'Data Training 2'!AT70,'Data Training 2'!AT75,'Data Training 2'!AT81,'Data Training 2'!AT88,'Data Training 2'!AT93,'Data Training 2'!AT99,'Data Training 2'!AT103,'Data Training 2'!AT110,'Data Training 2'!AT117,'Data Training 2'!AT124,'Data Training 2'!AT130,'Data Training 2'!AT136,'Data Training 2'!AT140,'Data Training 2'!AT146,'Data Training 2'!AT152,'Data Training 2'!AT157,'Data Training 2'!AT164,'Data Training 2'!AT167,'Data Training 2'!AT171,'Data Training 2'!AT175,'Data Training 2'!AT179,'Data Training 2'!AT183,'Data Training 2'!AT188,'Data Training 2'!AT192,'Data Training 2'!AT195,'Data Training 2'!AT200,'Data Training 2'!AT203,'Data Training 2'!AT207,'Data Training 2'!AT212,'Data Training 2'!AT216)</f>
        <v>0</v>
      </c>
    </row>
    <row r="295" spans="40:79" x14ac:dyDescent="0.3">
      <c r="AO295" s="67" t="s">
        <v>505</v>
      </c>
      <c r="AP295" s="67"/>
      <c r="AQ295" s="43">
        <f>PRODUCT('Data Training 2'!AW23,'Data Training 2'!AU34,'Data Training 2'!AU40,'Data Training 2'!AU44,'Data Training 2'!AU52,'Data Training 2'!AU58,'Data Training 2'!AU64,'Data Training 2'!AU70,'Data Training 2'!AU75,'Data Training 2'!AU81,'Data Training 2'!AU88,'Data Training 2'!AU93,'Data Training 2'!AU99,'Data Training 2'!AU103,'Data Training 2'!AU110,'Data Training 2'!AU117,'Data Training 2'!AU124,'Data Training 2'!AU130,'Data Training 2'!AU136,'Data Training 2'!AU140,'Data Training 2'!AU146,'Data Training 2'!AU152,'Data Training 2'!AU157,'Data Training 2'!AU164,'Data Training 2'!AU167,'Data Training 2'!AU171,'Data Training 2'!AU175,'Data Training 2'!AU179,'Data Training 2'!AU183,'Data Training 2'!AU188,'Data Training 2'!AU192,'Data Training 2'!AU195,'Data Training 2'!AU200,'Data Training 2'!AU203,'Data Training 2'!AU207,'Data Training 2'!AU212,'Data Training 2'!AU216)</f>
        <v>0</v>
      </c>
    </row>
    <row r="296" spans="40:79" x14ac:dyDescent="0.3">
      <c r="AO296" s="67" t="s">
        <v>506</v>
      </c>
      <c r="AP296" s="67"/>
      <c r="AQ296" s="43">
        <f>PRODUCT('Data Training 2'!AW24,'Data Training 2'!AV34,'Data Training 2'!AV40,'Data Training 2'!AV44,'Data Training 2'!AV52,'Data Training 2'!AV58,'Data Training 2'!AV64,'Data Training 2'!AV70,'Data Training 2'!AV75,'Data Training 2'!AV81,'Data Training 2'!AV88,'Data Training 2'!AV93,'Data Training 2'!AV99,'Data Training 2'!AV103,'Data Training 2'!AV110,'Data Training 2'!AV117,'Data Training 2'!AV124,'Data Training 2'!AV130,'Data Training 2'!AV136,'Data Training 2'!AV140,'Data Training 2'!AV146,'Data Training 2'!AV152,'Data Training 2'!AV157,'Data Training 2'!AV164,'Data Training 2'!AV167,'Data Training 2'!AV171,'Data Training 2'!AV175,'Data Training 2'!AV179,'Data Training 2'!AV183,'Data Training 2'!AV188,'Data Training 2'!AV192,'Data Training 2'!AV195,'Data Training 2'!AV200,'Data Training 2'!AV203,'Data Training 2'!AV207,'Data Training 2'!AV212,'Data Training 2'!AV216)</f>
        <v>0</v>
      </c>
    </row>
    <row r="297" spans="40:79" x14ac:dyDescent="0.3">
      <c r="AO297" s="67" t="s">
        <v>507</v>
      </c>
      <c r="AP297" s="67"/>
      <c r="AQ297" s="43">
        <f>PRODUCT('Data Training 2'!AW25,'Data Training 2'!AW34,'Data Training 2'!AW40,'Data Training 2'!AW44,'Data Training 2'!AW52,'Data Training 2'!AW58,'Data Training 2'!AW64,'Data Training 2'!AW70,'Data Training 2'!AW75,'Data Training 2'!AW81,'Data Training 2'!AW88,'Data Training 2'!AW93,'Data Training 2'!AW99,'Data Training 2'!AW103,'Data Training 2'!AW110,'Data Training 2'!AW117,'Data Training 2'!AW124,'Data Training 2'!AW130,'Data Training 2'!AW136,'Data Training 2'!AW140,'Data Training 2'!AW146,'Data Training 2'!AW152,'Data Training 2'!AW157,'Data Training 2'!AW164,'Data Training 2'!AW167,'Data Training 2'!AW171,'Data Training 2'!AW175,'Data Training 2'!AW179,'Data Training 2'!AW183,'Data Training 2'!AW188,'Data Training 2'!AW192,'Data Training 2'!AW195,'Data Training 2'!AW200,'Data Training 2'!AW203,'Data Training 2'!AW207,'Data Training 2'!AW212,'Data Training 2'!AW216)</f>
        <v>0</v>
      </c>
    </row>
    <row r="298" spans="40:79" x14ac:dyDescent="0.3">
      <c r="AO298" s="67" t="s">
        <v>508</v>
      </c>
      <c r="AP298" s="67"/>
      <c r="AQ298" s="43">
        <f>PRODUCT('Data Training 2'!AW26,'Data Training 2'!AX34,'Data Training 2'!AX40,'Data Training 2'!AX44,'Data Training 2'!AX52,'Data Training 2'!AX58,'Data Training 2'!AX64,'Data Training 2'!AX70,'Data Training 2'!AX75,'Data Training 2'!AX81,'Data Training 2'!AX88,'Data Training 2'!AX93,'Data Training 2'!AX99,'Data Training 2'!AX103,'Data Training 2'!AX110,'Data Training 2'!AX117,'Data Training 2'!AX124,'Data Training 2'!AX130,'Data Training 2'!AX136,'Data Training 2'!AX140,'Data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2'!AX212,'Data Training 2'!AX216)</f>
        <v>3.1078811619189511E-9</v>
      </c>
    </row>
    <row r="299" spans="40:79" x14ac:dyDescent="0.3">
      <c r="AO299" s="67" t="s">
        <v>509</v>
      </c>
      <c r="AP299" s="67"/>
      <c r="AQ299" s="43">
        <f>PRODUCT('Data Training 2'!AW27,'Data Training 2'!AY34,'Data Training 2'!AY40,'Data Training 2'!AY44,'Data Training 2'!AY52,'Data Training 2'!AY58,'Data Training 2'!AY64,'Data Training 2'!AY70,'Data Training 2'!AY75,'Data Training 2'!AY81,'Data Training 2'!AY88,'Data Training 2'!AY93,'Data Training 2'!AY99,'Data Training 2'!AY103,'Data Training 2'!AY110,'Data Training 2'!AY117,'Data Training 2'!AY124,'Data Training 2'!AY130,'Data Training 2'!AY136,'Data Training 2'!AY140,'Data Training 2'!AY146,'Data Training 2'!AY152,'Data Training 2'!AY157,'Data Training 2'!AY164,'Data Training 2'!AY167,'Data Training 2'!AY171,'Data Training 2'!AY175,'Data Training 2'!AY179,'Data Training 2'!AY183,'Data Training 2'!AY188,'Data Training 2'!AY192,'Data Training 2'!AY195,'Data Training 2'!AY200,'Data Training 2'!AY203,'Data Training 2'!AY207,'Data Training 2'!AY212,'Data Training 2'!AY216)</f>
        <v>0</v>
      </c>
    </row>
    <row r="300" spans="40:79" x14ac:dyDescent="0.3">
      <c r="AO300" s="76" t="s">
        <v>437</v>
      </c>
      <c r="AP300" s="76"/>
      <c r="AQ300" t="s">
        <v>297</v>
      </c>
      <c r="AR300" s="74" t="s">
        <v>438</v>
      </c>
      <c r="AS300" s="74"/>
      <c r="AT300" s="74"/>
    </row>
    <row r="301" spans="40:79" x14ac:dyDescent="0.3">
      <c r="AO301" s="41"/>
      <c r="AP301" s="41"/>
    </row>
    <row r="302" spans="40:79" x14ac:dyDescent="0.3">
      <c r="AN302">
        <v>31</v>
      </c>
      <c r="AO302" s="77" t="s">
        <v>430</v>
      </c>
      <c r="AP302" s="77"/>
      <c r="AQ302" s="20" t="s">
        <v>64</v>
      </c>
      <c r="AR302" s="1" t="s">
        <v>43</v>
      </c>
      <c r="AS302" s="1" t="s">
        <v>44</v>
      </c>
      <c r="AT302" s="1" t="s">
        <v>45</v>
      </c>
      <c r="AU302" s="1" t="s">
        <v>46</v>
      </c>
      <c r="AV302" s="1" t="s">
        <v>47</v>
      </c>
      <c r="AW302" s="1" t="s">
        <v>48</v>
      </c>
      <c r="AX302" s="1" t="s">
        <v>49</v>
      </c>
      <c r="AY302" s="1" t="s">
        <v>50</v>
      </c>
      <c r="AZ302" s="1" t="s">
        <v>51</v>
      </c>
      <c r="BA302" s="1" t="s">
        <v>52</v>
      </c>
      <c r="BB302" s="1" t="s">
        <v>53</v>
      </c>
      <c r="BC302" s="1" t="s">
        <v>54</v>
      </c>
      <c r="BD302" s="1" t="s">
        <v>55</v>
      </c>
      <c r="BE302" s="1" t="s">
        <v>56</v>
      </c>
      <c r="BF302" s="1" t="s">
        <v>57</v>
      </c>
      <c r="BG302" s="1" t="s">
        <v>58</v>
      </c>
      <c r="BH302" s="1" t="s">
        <v>59</v>
      </c>
      <c r="BI302" s="1" t="s">
        <v>60</v>
      </c>
      <c r="BJ302" s="1" t="s">
        <v>61</v>
      </c>
      <c r="BK302" s="1" t="s">
        <v>62</v>
      </c>
      <c r="BL302" s="1" t="s">
        <v>63</v>
      </c>
      <c r="BM302" s="1" t="s">
        <v>330</v>
      </c>
      <c r="BN302" s="1" t="s">
        <v>331</v>
      </c>
      <c r="BO302" s="1" t="s">
        <v>332</v>
      </c>
      <c r="BP302" s="1" t="s">
        <v>333</v>
      </c>
      <c r="BQ302" s="1" t="s">
        <v>334</v>
      </c>
      <c r="BR302" s="1" t="s">
        <v>335</v>
      </c>
      <c r="BS302" s="1" t="s">
        <v>336</v>
      </c>
      <c r="BT302" s="1" t="s">
        <v>337</v>
      </c>
      <c r="BU302" s="1" t="s">
        <v>338</v>
      </c>
      <c r="BV302" s="1" t="s">
        <v>339</v>
      </c>
      <c r="BW302" s="1" t="s">
        <v>340</v>
      </c>
      <c r="BX302" s="1" t="s">
        <v>341</v>
      </c>
      <c r="BY302" s="1" t="s">
        <v>342</v>
      </c>
      <c r="BZ302" s="1" t="s">
        <v>343</v>
      </c>
      <c r="CA302" s="1" t="s">
        <v>390</v>
      </c>
    </row>
    <row r="303" spans="40:79" x14ac:dyDescent="0.3">
      <c r="AO303" s="77"/>
      <c r="AP303" s="77"/>
      <c r="AQ303" s="20">
        <v>6</v>
      </c>
      <c r="AR303" t="s">
        <v>5</v>
      </c>
      <c r="AS303" t="s">
        <v>5</v>
      </c>
      <c r="AT303" t="s">
        <v>3</v>
      </c>
      <c r="AU303" t="s">
        <v>5</v>
      </c>
      <c r="AV303" t="s">
        <v>5</v>
      </c>
      <c r="AW303" t="s">
        <v>5</v>
      </c>
      <c r="AX303" t="s">
        <v>5</v>
      </c>
      <c r="AY303" t="s">
        <v>2</v>
      </c>
      <c r="AZ303" t="s">
        <v>2</v>
      </c>
      <c r="BA303" t="s">
        <v>4</v>
      </c>
      <c r="BB303" t="s">
        <v>4</v>
      </c>
      <c r="BC303" t="s">
        <v>4</v>
      </c>
      <c r="BD303" t="s">
        <v>5</v>
      </c>
      <c r="BE303" t="s">
        <v>4</v>
      </c>
      <c r="BF303" t="s">
        <v>5</v>
      </c>
      <c r="BG303" t="s">
        <v>5</v>
      </c>
      <c r="BH303" t="s">
        <v>5</v>
      </c>
      <c r="BI303" t="s">
        <v>5</v>
      </c>
      <c r="BJ303" t="s">
        <v>3</v>
      </c>
      <c r="BK303" t="s">
        <v>5</v>
      </c>
      <c r="BL303" t="s">
        <v>2</v>
      </c>
      <c r="BM303" t="s">
        <v>2</v>
      </c>
      <c r="BN303" t="s">
        <v>3</v>
      </c>
      <c r="BO303" t="s">
        <v>4</v>
      </c>
      <c r="BP303" t="s">
        <v>4</v>
      </c>
      <c r="BQ303" t="s">
        <v>4</v>
      </c>
      <c r="BR303" t="s">
        <v>4</v>
      </c>
      <c r="BS303" t="s">
        <v>4</v>
      </c>
      <c r="BT303" t="s">
        <v>4</v>
      </c>
      <c r="BU303" t="s">
        <v>3</v>
      </c>
      <c r="BV303" t="s">
        <v>4</v>
      </c>
      <c r="BW303" t="s">
        <v>3</v>
      </c>
      <c r="BX303" t="s">
        <v>3</v>
      </c>
      <c r="BY303" t="s">
        <v>4</v>
      </c>
      <c r="BZ303" t="s">
        <v>3</v>
      </c>
      <c r="CA303" t="s">
        <v>3</v>
      </c>
    </row>
    <row r="304" spans="40:79" x14ac:dyDescent="0.3">
      <c r="AO304" s="67" t="s">
        <v>504</v>
      </c>
      <c r="AP304" s="67"/>
      <c r="AQ304">
        <f>'Data Training 2'!AW22*'Data Training 2'!AT34*'Data Training 2'!AT40*'Data Training 2'!AT44*'Data Training 2'!AT52*'Data Training 2'!AT58*'Data Training 2'!AT64*'Data Training 2'!AT70*'Data Training 2'!AT75*'Data Training 2'!AT81*'Data Training 2'!AT85*'Data Training 2'!AT91*'Data Training 2'!AT97*'Data Training 2'!AT106*'Data Training 2'!AT109*'Data Training 2'!AT124*'Data Training 2'!AT118*'Data Training 2'!AT130*'Data Training 2'!AT136*'Data Training 2'!AT140*'Data Training 2'!AT148*'Data Training 2'!AT153*'Data Training 2'!AT159*'Data Training 2'!AT164*'Data Training 2'!AT167*'Data Training 2'!AT171*'Data Training 2'!AT175*'Data Training 2'!AT179*'Data Training 2'!AT183*'Data Training 2'!AT187*'Data Training 2'!AT192*'Data Training 2'!AT195*'Data Training 2'!AT200*'Data Training 2'!AT204*'Data Training 2'!AT207*'Data Training 2'!AT212*'Data Training 2'!AT216</f>
        <v>0</v>
      </c>
    </row>
    <row r="305" spans="40:79" x14ac:dyDescent="0.3">
      <c r="AO305" s="67" t="s">
        <v>505</v>
      </c>
      <c r="AP305" s="67"/>
      <c r="AQ305">
        <f>'Data Training 2'!AW23*'Data Training 2'!AU34*'Data Training 2'!AU40*'Data Training 2'!AU44*'Data Training 2'!AU52*'Data Training 2'!AU58*'Data Training 2'!AU64*'Data Training 2'!AU70*'Data Training 2'!AU75*'Data Training 2'!AU81*'Data Training 2'!AU85*'Data Training 2'!AU91*'Data Training 2'!AU97*'Data Training 2'!AU106*'Data Training 2'!AU109*'Data Training 2'!AU124*'Data Training 2'!AU118*'Data Training 2'!AU130*'Data Training 2'!AU136*'Data Training 2'!AU140*'Data Training 2'!AU148*'Data Training 2'!AU153*'Data Training 2'!AU159*'Data Training 2'!AU164*'Data Training 2'!AU167*'Data Training 2'!AU171*'Data Training 2'!AU175*'Data Training 2'!AU179*'Data Training 2'!AU183*'Data Training 2'!AU187*'Data Training 2'!AU192*'Data Training 2'!AU195*'Data Training 2'!AU200*'Data Training 2'!AU204*'Data Training 2'!AU207*'Data Training 2'!AU212*'Data Training 2'!AU216</f>
        <v>0</v>
      </c>
    </row>
    <row r="306" spans="40:79" x14ac:dyDescent="0.3">
      <c r="AO306" s="67" t="s">
        <v>506</v>
      </c>
      <c r="AP306" s="67"/>
      <c r="AQ306">
        <f>'Data Training 2'!AW24*'Data Training 2'!AV34*'Data Training 2'!AV40*'Data Training 2'!AV44*'Data Training 2'!AV52*'Data Training 2'!AV58*'Data Training 2'!AV64*'Data Training 2'!AV70*'Data Training 2'!AV75*'Data Training 2'!AV81*'Data Training 2'!AV85*'Data Training 2'!AV91*'Data Training 2'!AV97*'Data Training 2'!AV106*'Data Training 2'!AV109*'Data Training 2'!AV124*'Data Training 2'!AV118*'Data Training 2'!AV130*'Data Training 2'!AV136*'Data Training 2'!AV140*'Data Training 2'!AV148*'Data Training 2'!AV153*'Data Training 2'!AV159*'Data Training 2'!AV164*'Data Training 2'!AV167*'Data Training 2'!AV171*'Data Training 2'!AV175*'Data Training 2'!AV179*'Data Training 2'!AV183*'Data Training 2'!AV187*'Data Training 2'!AV192*'Data Training 2'!AV195*'Data Training 2'!AV200*'Data Training 2'!AV204*'Data Training 2'!AV207*'Data Training 2'!AV212*'Data Training 2'!AV216</f>
        <v>0</v>
      </c>
    </row>
    <row r="307" spans="40:79" x14ac:dyDescent="0.3">
      <c r="AO307" s="67" t="s">
        <v>507</v>
      </c>
      <c r="AP307" s="67"/>
      <c r="AQ307">
        <f>'Data Training 2'!AW25*'Data Training 2'!AW34*'Data Training 2'!AW40*'Data Training 2'!AW44*'Data Training 2'!AW52*'Data Training 2'!AW58*'Data Training 2'!AW64*'Data Training 2'!AW70*'Data Training 2'!AW75*'Data Training 2'!AW81*'Data Training 2'!AW85*'Data Training 2'!AW91*'Data Training 2'!AW97*'Data Training 2'!AW106*'Data Training 2'!AW109*'Data Training 2'!AW124*'Data Training 2'!AW118*'Data Training 2'!AW130*'Data Training 2'!AW136*'Data Training 2'!AW140*'Data Training 2'!AW148*'Data Training 2'!AW153*'Data Training 2'!AW159*'Data Training 2'!AW164*'Data Training 2'!AW167*'Data Training 2'!AW171*'Data Training 2'!AW175*'Data Training 2'!AW179*'Data Training 2'!AW183*'Data Training 2'!AW187*'Data Training 2'!AW192*'Data Training 2'!AW195*'Data Training 2'!AW200*'Data Training 2'!AW204*'Data Training 2'!AW207*'Data Training 2'!AW212*'Data Training 2'!AW216</f>
        <v>0</v>
      </c>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40:79" x14ac:dyDescent="0.3">
      <c r="AO308" s="67" t="s">
        <v>508</v>
      </c>
      <c r="AP308" s="67"/>
      <c r="AQ308">
        <f>'Data Training 2'!AW26*'Data Training 2'!AX34*'Data Training 2'!AX40*'Data Training 2'!AX44*'Data Training 2'!AX52*'Data Training 2'!AX58*'Data Training 2'!AX64*'Data Training 2'!AX70*'Data Training 2'!AX75*'Data Training 2'!AX81*'Data Training 2'!AX85*'Data Training 2'!AX91*'Data Training 2'!AX97*'Data Training 2'!AX106*'Data Training 2'!AX109*'Data Training 2'!AX124*'Data Training 2'!AX118*'Data Training 2'!AX130*'Data Training 2'!AX136*'Data Training 2'!AX140*'Data Training 2'!AX148*'Data Training 2'!AX153*'Data Training 2'!AX159*'Data Training 2'!AX164*'Data Training 2'!AX167*'Data Training 2'!AX171*'Data Training 2'!AX175*'Data Training 2'!AX179*'Data Training 2'!AX183*'Data Training 2'!AX187*'Data Training 2'!AX192*'Data Training 2'!AX195*'Data Training 2'!AX200*'Data Training 2'!AX204*'Data Training 2'!AX207*'Data Training 2'!AX212*'Data Training 2'!AX216</f>
        <v>0</v>
      </c>
    </row>
    <row r="309" spans="40:79" x14ac:dyDescent="0.3">
      <c r="AO309" s="67" t="s">
        <v>509</v>
      </c>
      <c r="AP309" s="67"/>
      <c r="AQ309">
        <f>'Data Training 2'!AW27*'Data Training 2'!AY34*'Data Training 2'!AY40*'Data Training 2'!AY44*'Data Training 2'!AY52*'Data Training 2'!AY58*'Data Training 2'!AY64*'Data Training 2'!AY70*'Data Training 2'!AY75*'Data Training 2'!AY81*'Data Training 2'!AY85*'Data Training 2'!AY91*'Data Training 2'!AY97*'Data Training 2'!AY106*'Data Training 2'!AY109*'Data Training 2'!AY124*'Data Training 2'!AY118*'Data Training 2'!AY130*'Data Training 2'!AY136*'Data Training 2'!AY140*'Data Training 2'!AY148*'Data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8.0676633549346722E-10</v>
      </c>
    </row>
    <row r="310" spans="40:79" x14ac:dyDescent="0.3">
      <c r="AO310" s="76" t="s">
        <v>437</v>
      </c>
      <c r="AP310" s="76"/>
      <c r="AQ310" t="s">
        <v>298</v>
      </c>
      <c r="AR310" s="74" t="s">
        <v>438</v>
      </c>
      <c r="AS310" s="74"/>
      <c r="AT310" s="74"/>
    </row>
    <row r="312" spans="40:79" x14ac:dyDescent="0.3">
      <c r="AN312">
        <v>32</v>
      </c>
      <c r="AO312" s="77" t="s">
        <v>327</v>
      </c>
      <c r="AP312" s="77"/>
      <c r="AQ312" s="20" t="s">
        <v>64</v>
      </c>
      <c r="AR312" s="1" t="s">
        <v>43</v>
      </c>
      <c r="AS312" s="1" t="s">
        <v>44</v>
      </c>
      <c r="AT312" s="1" t="s">
        <v>45</v>
      </c>
      <c r="AU312" s="1" t="s">
        <v>46</v>
      </c>
      <c r="AV312" s="1" t="s">
        <v>47</v>
      </c>
      <c r="AW312" s="1" t="s">
        <v>48</v>
      </c>
      <c r="AX312" s="1" t="s">
        <v>49</v>
      </c>
      <c r="AY312" s="1" t="s">
        <v>50</v>
      </c>
      <c r="AZ312" s="1" t="s">
        <v>51</v>
      </c>
      <c r="BA312" s="1" t="s">
        <v>52</v>
      </c>
      <c r="BB312" s="1" t="s">
        <v>53</v>
      </c>
      <c r="BC312" s="1" t="s">
        <v>54</v>
      </c>
      <c r="BD312" s="1" t="s">
        <v>55</v>
      </c>
      <c r="BE312" s="1" t="s">
        <v>56</v>
      </c>
      <c r="BF312" s="1" t="s">
        <v>57</v>
      </c>
      <c r="BG312" s="1" t="s">
        <v>58</v>
      </c>
      <c r="BH312" s="1" t="s">
        <v>59</v>
      </c>
      <c r="BI312" s="1" t="s">
        <v>60</v>
      </c>
      <c r="BJ312" s="1" t="s">
        <v>61</v>
      </c>
      <c r="BK312" s="1" t="s">
        <v>62</v>
      </c>
      <c r="BL312" s="1" t="s">
        <v>63</v>
      </c>
      <c r="BM312" s="1" t="s">
        <v>330</v>
      </c>
      <c r="BN312" s="1" t="s">
        <v>331</v>
      </c>
      <c r="BO312" s="1" t="s">
        <v>332</v>
      </c>
      <c r="BP312" s="1" t="s">
        <v>333</v>
      </c>
      <c r="BQ312" s="1" t="s">
        <v>334</v>
      </c>
      <c r="BR312" s="1" t="s">
        <v>335</v>
      </c>
      <c r="BS312" s="1" t="s">
        <v>336</v>
      </c>
      <c r="BT312" s="1" t="s">
        <v>337</v>
      </c>
      <c r="BU312" s="1" t="s">
        <v>338</v>
      </c>
      <c r="BV312" s="1" t="s">
        <v>339</v>
      </c>
      <c r="BW312" s="1" t="s">
        <v>340</v>
      </c>
      <c r="BX312" s="1" t="s">
        <v>341</v>
      </c>
      <c r="BY312" s="1" t="s">
        <v>342</v>
      </c>
      <c r="BZ312" s="1" t="s">
        <v>343</v>
      </c>
      <c r="CA312" s="1" t="s">
        <v>390</v>
      </c>
    </row>
    <row r="313" spans="40:79" x14ac:dyDescent="0.3">
      <c r="AO313" s="77"/>
      <c r="AP313" s="77"/>
      <c r="AQ313" s="20">
        <v>6</v>
      </c>
      <c r="AR313" t="s">
        <v>4</v>
      </c>
      <c r="AS313" t="s">
        <v>5</v>
      </c>
      <c r="AT313" t="s">
        <v>2</v>
      </c>
      <c r="AU313" t="s">
        <v>5</v>
      </c>
      <c r="AV313" t="s">
        <v>5</v>
      </c>
      <c r="AW313" t="s">
        <v>5</v>
      </c>
      <c r="AX313" t="s">
        <v>2</v>
      </c>
      <c r="AY313" t="s">
        <v>2</v>
      </c>
      <c r="AZ313" t="s">
        <v>2</v>
      </c>
      <c r="BA313" t="s">
        <v>4</v>
      </c>
      <c r="BB313" t="s">
        <v>2</v>
      </c>
      <c r="BC313" t="s">
        <v>5</v>
      </c>
      <c r="BD313" t="s">
        <v>5</v>
      </c>
      <c r="BE313" t="s">
        <v>4</v>
      </c>
      <c r="BF313" t="s">
        <v>5</v>
      </c>
      <c r="BG313" t="s">
        <v>5</v>
      </c>
      <c r="BH313" t="s">
        <v>5</v>
      </c>
      <c r="BI313" t="s">
        <v>5</v>
      </c>
      <c r="BJ313" t="s">
        <v>5</v>
      </c>
      <c r="BK313" t="s">
        <v>4</v>
      </c>
      <c r="BL313" t="s">
        <v>3</v>
      </c>
      <c r="BM313" t="s">
        <v>2</v>
      </c>
      <c r="BN313" t="s">
        <v>3</v>
      </c>
      <c r="BO313" t="s">
        <v>4</v>
      </c>
      <c r="BP313" t="s">
        <v>4</v>
      </c>
      <c r="BQ313" t="s">
        <v>4</v>
      </c>
      <c r="BR313" t="s">
        <v>3</v>
      </c>
      <c r="BS313" t="s">
        <v>4</v>
      </c>
      <c r="BT313" t="s">
        <v>3</v>
      </c>
      <c r="BU313" t="s">
        <v>3</v>
      </c>
      <c r="BV313" t="s">
        <v>3</v>
      </c>
      <c r="BW313" t="s">
        <v>3</v>
      </c>
      <c r="BX313" t="s">
        <v>3</v>
      </c>
      <c r="BY313" t="s">
        <v>3</v>
      </c>
      <c r="BZ313" t="s">
        <v>3</v>
      </c>
      <c r="CA313" t="s">
        <v>3</v>
      </c>
    </row>
    <row r="314" spans="40:79" x14ac:dyDescent="0.3">
      <c r="AO314" s="67" t="s">
        <v>504</v>
      </c>
      <c r="AP314" s="67"/>
      <c r="AQ314">
        <f>'Data Training 2'!AW22*'Data Training 2'!AT31*'Data Training 2'!AT40*'Data Training 2'!AT45*'Data Training 2'!AT52*'Data Training 2'!AT58*'Data Training 2'!AT64*'Data Training 2'!AT69*'Data Training 2'!AT75*'Data Training 2'!AT81*'Data Training 2'!AT85*'Data Training 2'!AT93*'Data Training 2'!AT100*'Data Training 2'!AT106*'Data Training 2'!AT109*'Data Training 2'!AT118*'Data Training 2'!AT124*'Data Training 2'!AT130*'Data Training 2'!AT136*'Data Training 2'!AT142*'Data Training 2'!AT145*'Data Training 2'!AT152*'Data Training 2'!AT159*'Data Training 2'!AT164*'Data Training 2'!AT167*'Data Training 2'!AT171*'Data Training 2'!AT175*'Data Training 2'!AT180*'Data Training 2'!AT183*'Data Training 2'!AT188*'Data Training 2'!AT192*'Data Training 2'!AT196*'Data Training 2'!AT200*'Data Training 2'!AT204*'Data Training 2'!AT208*'Data Training 2'!AT212*'Data Training 2'!AT216</f>
        <v>0</v>
      </c>
    </row>
    <row r="315" spans="40:79" x14ac:dyDescent="0.3">
      <c r="AO315" s="67" t="s">
        <v>505</v>
      </c>
      <c r="AP315" s="67"/>
      <c r="AQ315">
        <f>'Data Training 2'!AW23*'Data Training 2'!AU31*'Data Training 2'!AU40*'Data Training 2'!AU45*'Data Training 2'!AU52*'Data Training 2'!AU58*'Data Training 2'!AU64*'Data Training 2'!AU69*'Data Training 2'!AU75*'Data Training 2'!AU81*'Data Training 2'!AU85*'Data Training 2'!AU93*'Data Training 2'!AU100*'Data Training 2'!AU106*'Data Training 2'!AU109*'Data Training 2'!AU118*'Data Training 2'!AU124*'Data Training 2'!AU130*'Data Training 2'!AU136*'Data Training 2'!AU142*'Data Training 2'!AU145*'Data Training 2'!AU152*'Data Training 2'!AU159*'Data Training 2'!AU164*'Data Training 2'!AU167*'Data Training 2'!AU171*'Data Training 2'!AU175*'Data Training 2'!AU180*'Data Training 2'!AU183*'Data Training 2'!AU188*'Data Training 2'!AU192*'Data Training 2'!AU196*'Data Training 2'!AU200*'Data Training 2'!AU204*'Data Training 2'!AU208*'Data Training 2'!AU212*'Data Training 2'!AU216</f>
        <v>0</v>
      </c>
    </row>
    <row r="316" spans="40:79" x14ac:dyDescent="0.3">
      <c r="AO316" s="67" t="s">
        <v>506</v>
      </c>
      <c r="AP316" s="67"/>
      <c r="AQ316">
        <f>'Data Training 2'!AW24*'Data Training 2'!AV31*'Data Training 2'!AV40*'Data Training 2'!AV45*'Data Training 2'!AV52*'Data Training 2'!AV58*'Data Training 2'!AV64*'Data Training 2'!AV69*'Data Training 2'!AV75*'Data Training 2'!AV81*'Data Training 2'!AV85*'Data Training 2'!AV93*'Data Training 2'!AV100*'Data Training 2'!AV106*'Data Training 2'!AV109*'Data Training 2'!AV118*'Data Training 2'!AV124*'Data Training 2'!AV130*'Data Training 2'!AV136*'Data Training 2'!AV142*'Data Training 2'!AV145*'Data Training 2'!AV152*'Data Training 2'!AV159*'Data Training 2'!AV164*'Data Training 2'!AV167*'Data Training 2'!AV171*'Data Training 2'!AV175*'Data Training 2'!AV180*'Data Training 2'!AV183*'Data Training 2'!AV188*'Data Training 2'!AV192*'Data Training 2'!AV196*'Data Training 2'!AV200*'Data Training 2'!AV204*'Data Training 2'!AV208*'Data Training 2'!AV212*'Data Training 2'!AV216</f>
        <v>0</v>
      </c>
    </row>
    <row r="317" spans="40:79" x14ac:dyDescent="0.3">
      <c r="AO317" s="67" t="s">
        <v>507</v>
      </c>
      <c r="AP317" s="67"/>
      <c r="AQ317">
        <f>'Data Training 2'!AW25*'Data Training 2'!AW31*'Data Training 2'!AW40*'Data Training 2'!AW45*'Data Training 2'!AW52*'Data Training 2'!AW58*'Data Training 2'!AW64*'Data Training 2'!AW69*'Data Training 2'!AW75*'Data Training 2'!AW81*'Data Training 2'!AW85*'Data Training 2'!AW93*'Data Training 2'!AW100*'Data Training 2'!AW106*'Data Training 2'!AW109*'Data Training 2'!AW118*'Data Training 2'!AW124*'Data Training 2'!AW130*'Data Training 2'!AW136*'Data Training 2'!AW142*'Data Training 2'!AW145*'Data Training 2'!AW152*'Data Training 2'!AW159*'Data Training 2'!AW164*'Data Training 2'!AW167*'Data Training 2'!AW171*'Data Training 2'!AW175*'Data Training 2'!AW180*'Data Training 2'!AW183*'Data Training 2'!AW188*'Data Training 2'!AW192*'Data Training 2'!AW196*'Data Training 2'!AW200*'Data Training 2'!AW204*'Data Training 2'!AW208*'Data Training 2'!AW212*'Data Training 2'!AW216</f>
        <v>0</v>
      </c>
    </row>
    <row r="318" spans="40:79" x14ac:dyDescent="0.3">
      <c r="AO318" s="67" t="s">
        <v>508</v>
      </c>
      <c r="AP318" s="67"/>
      <c r="AQ318">
        <f>'Data Training 2'!AW26*'Data Training 2'!AX31*'Data Training 2'!AX40*'Data Training 2'!AX45*'Data Training 2'!AX52*'Data Training 2'!AX58*'Data Training 2'!AX64*'Data Training 2'!AX69*'Data Training 2'!AX75*'Data Training 2'!AX81*'Data Training 2'!AX85*'Data Training 2'!AX93*'Data Training 2'!AX100*'Data Training 2'!AX106*'Data Training 2'!AX109*'Data Training 2'!AX118*'Data Training 2'!AX124*'Data Training 2'!AX130*'Data Training 2'!AX136*'Data Training 2'!AX142*'Data Training 2'!AX145*'Data Training 2'!AX152*'Data Training 2'!AX159*'Data Training 2'!AX164*'Data Training 2'!AX167*'Data Training 2'!AX171*'Data Training 2'!AX175*'Data Training 2'!AX180*'Data Training 2'!AX183*'Data Training 2'!AX188*'Data Training 2'!AX192*'Data Training 2'!AX196*'Data Training 2'!AX200*'Data Training 2'!AX204*'Data Training 2'!AX208*'Data Training 2'!AX212*'Data Training 2'!AX216</f>
        <v>0</v>
      </c>
    </row>
    <row r="319" spans="40:79" x14ac:dyDescent="0.3">
      <c r="AO319" s="67" t="s">
        <v>509</v>
      </c>
      <c r="AP319" s="67"/>
      <c r="AQ319">
        <f>'Data Training 2'!AW27*'Data Training 2'!AY31*'Data Training 2'!AY40*'Data Training 2'!AY45*'Data Training 2'!AY52*'Data Training 2'!AY58*'Data Training 2'!AY64*'Data Training 2'!AY69*'Data Training 2'!AY75*'Data Training 2'!AY81*'Data Training 2'!AY85*'Data Training 2'!AY93*'Data Training 2'!AY100*'Data Training 2'!AY106*'Data Training 2'!AY109*'Data Training 2'!AY118*'Data Training 2'!AY124*'Data Training 2'!AY130*'Data Training 2'!AY136*'Data Training 2'!AY142*'Data Training 2'!AY145*'Data Training 2'!AY152*'Data Training 2'!AY159*'Data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1.6408277097135984E-12</v>
      </c>
    </row>
    <row r="320" spans="40:79" x14ac:dyDescent="0.3">
      <c r="AO320" s="76" t="s">
        <v>437</v>
      </c>
      <c r="AP320" s="76"/>
      <c r="AQ320" t="s">
        <v>298</v>
      </c>
      <c r="AR320" s="74" t="s">
        <v>438</v>
      </c>
      <c r="AS320" s="74"/>
      <c r="AT320" s="74"/>
    </row>
    <row r="322" spans="40:79" x14ac:dyDescent="0.3">
      <c r="AN322">
        <v>33</v>
      </c>
      <c r="AO322" s="77" t="s">
        <v>328</v>
      </c>
      <c r="AP322" s="77"/>
      <c r="AQ322" s="20" t="s">
        <v>64</v>
      </c>
      <c r="AR322" s="1" t="s">
        <v>43</v>
      </c>
      <c r="AS322" s="1" t="s">
        <v>44</v>
      </c>
      <c r="AT322" s="1" t="s">
        <v>45</v>
      </c>
      <c r="AU322" s="1" t="s">
        <v>46</v>
      </c>
      <c r="AV322" s="1" t="s">
        <v>47</v>
      </c>
      <c r="AW322" s="1" t="s">
        <v>48</v>
      </c>
      <c r="AX322" s="1" t="s">
        <v>49</v>
      </c>
      <c r="AY322" s="1" t="s">
        <v>50</v>
      </c>
      <c r="AZ322" s="1" t="s">
        <v>51</v>
      </c>
      <c r="BA322" s="1" t="s">
        <v>52</v>
      </c>
      <c r="BB322" s="1" t="s">
        <v>53</v>
      </c>
      <c r="BC322" s="1" t="s">
        <v>54</v>
      </c>
      <c r="BD322" s="1" t="s">
        <v>55</v>
      </c>
      <c r="BE322" s="1" t="s">
        <v>56</v>
      </c>
      <c r="BF322" s="1" t="s">
        <v>57</v>
      </c>
      <c r="BG322" s="1" t="s">
        <v>58</v>
      </c>
      <c r="BH322" s="1" t="s">
        <v>59</v>
      </c>
      <c r="BI322" s="1" t="s">
        <v>60</v>
      </c>
      <c r="BJ322" s="1" t="s">
        <v>61</v>
      </c>
      <c r="BK322" s="1" t="s">
        <v>62</v>
      </c>
      <c r="BL322" s="1" t="s">
        <v>63</v>
      </c>
      <c r="BM322" s="1" t="s">
        <v>330</v>
      </c>
      <c r="BN322" s="1" t="s">
        <v>331</v>
      </c>
      <c r="BO322" s="1" t="s">
        <v>332</v>
      </c>
      <c r="BP322" s="1" t="s">
        <v>333</v>
      </c>
      <c r="BQ322" s="1" t="s">
        <v>334</v>
      </c>
      <c r="BR322" s="1" t="s">
        <v>335</v>
      </c>
      <c r="BS322" s="1" t="s">
        <v>336</v>
      </c>
      <c r="BT322" s="1" t="s">
        <v>337</v>
      </c>
      <c r="BU322" s="1" t="s">
        <v>338</v>
      </c>
      <c r="BV322" s="1" t="s">
        <v>339</v>
      </c>
      <c r="BW322" s="1" t="s">
        <v>340</v>
      </c>
      <c r="BX322" s="1" t="s">
        <v>341</v>
      </c>
      <c r="BY322" s="1" t="s">
        <v>342</v>
      </c>
      <c r="BZ322" s="1" t="s">
        <v>343</v>
      </c>
      <c r="CA322" s="1" t="s">
        <v>390</v>
      </c>
    </row>
    <row r="323" spans="40:79" x14ac:dyDescent="0.3">
      <c r="AO323" s="77"/>
      <c r="AP323" s="77"/>
      <c r="AQ323" s="20">
        <v>6</v>
      </c>
      <c r="AR323" t="s">
        <v>5</v>
      </c>
      <c r="AS323" t="s">
        <v>5</v>
      </c>
      <c r="AT323" t="s">
        <v>3</v>
      </c>
      <c r="AU323" t="s">
        <v>2</v>
      </c>
      <c r="AV323" t="s">
        <v>5</v>
      </c>
      <c r="AW323" t="s">
        <v>5</v>
      </c>
      <c r="AX323" t="s">
        <v>5</v>
      </c>
      <c r="AY323" t="s">
        <v>5</v>
      </c>
      <c r="AZ323" t="s">
        <v>2</v>
      </c>
      <c r="BA323" t="s">
        <v>4</v>
      </c>
      <c r="BB323" t="s">
        <v>4</v>
      </c>
      <c r="BC323" t="s">
        <v>2</v>
      </c>
      <c r="BD323" t="s">
        <v>5</v>
      </c>
      <c r="BE323" t="s">
        <v>2</v>
      </c>
      <c r="BF323" t="s">
        <v>2</v>
      </c>
      <c r="BG323" t="s">
        <v>5</v>
      </c>
      <c r="BH323" t="s">
        <v>3</v>
      </c>
      <c r="BI323" t="s">
        <v>5</v>
      </c>
      <c r="BJ323" t="s">
        <v>3</v>
      </c>
      <c r="BK323" t="s">
        <v>2</v>
      </c>
      <c r="BL323" t="s">
        <v>2</v>
      </c>
      <c r="BM323" t="s">
        <v>5</v>
      </c>
      <c r="BN323" t="s">
        <v>3</v>
      </c>
      <c r="BO323" t="s">
        <v>4</v>
      </c>
      <c r="BP323" t="s">
        <v>4</v>
      </c>
      <c r="BQ323" t="s">
        <v>4</v>
      </c>
      <c r="BR323" t="s">
        <v>3</v>
      </c>
      <c r="BS323" t="s">
        <v>4</v>
      </c>
      <c r="BT323" t="s">
        <v>3</v>
      </c>
      <c r="BU323" t="s">
        <v>3</v>
      </c>
      <c r="BV323" t="s">
        <v>3</v>
      </c>
      <c r="BW323" t="s">
        <v>3</v>
      </c>
      <c r="BX323" t="s">
        <v>3</v>
      </c>
      <c r="BY323" t="s">
        <v>3</v>
      </c>
      <c r="BZ323" t="s">
        <v>3</v>
      </c>
      <c r="CA323" t="s">
        <v>3</v>
      </c>
    </row>
    <row r="324" spans="40:79" x14ac:dyDescent="0.3">
      <c r="AO324" s="67" t="s">
        <v>504</v>
      </c>
      <c r="AP324" s="67"/>
      <c r="AQ324">
        <f>'Data Training 2'!AW22*'Data Training 2'!AT34*'Data Training 2'!AT40*'Data Training 2'!AT44*'Data Training 2'!AT51*'Data Training 2'!AT58*'Data Training 2'!AT64*'Data Training 2'!AT70*'Data Training 2'!AT76*'Data Training 2'!AT81*'Data Training 2'!AT85*'Data Training 2'!AT91*'Data Training 2'!AT99*'Data Training 2'!AT106*'Data Training 2'!AT111*'Data Training 2'!AT117*'Data Training 2'!AT124*'Data Training 2'!AT128*'Data Training 2'!AT136*'Data Training 2'!AT140*'Data Training 2'!AT147*'Data Training 2'!AT153*'Data Training 2'!AT160*'Data Training 2'!AT164*'Data Training 2'!AT167*'Data Training 2'!AT171*'Data Training 2'!AT175*'Data Training 2'!AT180*'Data Training 2'!AT183*'Data Training 2'!AT188*'Data Training 2'!AT192*'Data Training 2'!AT196*'Data Training 2'!AT200*'Data Training 2'!AT204*'Data Training 2'!AT208*'Data Training 2'!AT212*'Data Training 2'!AT216</f>
        <v>0</v>
      </c>
    </row>
    <row r="325" spans="40:79" x14ac:dyDescent="0.3">
      <c r="AO325" s="67" t="s">
        <v>505</v>
      </c>
      <c r="AP325" s="67"/>
      <c r="AQ325">
        <f>'Data Training 2'!AW23*'Data Training 2'!AU34*'Data Training 2'!AU40*'Data Training 2'!AU44*'Data Training 2'!AU51*'Data Training 2'!AU58*'Data Training 2'!AU64*'Data Training 2'!AU70*'Data Training 2'!AU76*'Data Training 2'!AU81*'Data Training 2'!AU85*'Data Training 2'!AU91*'Data Training 2'!AU99*'Data Training 2'!AU106*'Data Training 2'!AU111*'Data Training 2'!AU117*'Data Training 2'!AU124*'Data Training 2'!AU128*'Data Training 2'!AU136*'Data Training 2'!AU140*'Data Training 2'!AU147*'Data Training 2'!AU153*'Data Training 2'!AU160*'Data Training 2'!AU164*'Data Training 2'!AU167*'Data Training 2'!AU171*'Data Training 2'!AU175*'Data Training 2'!AU180*'Data Training 2'!AU183*'Data Training 2'!AU188*'Data Training 2'!AU192*'Data Training 2'!AU196*'Data Training 2'!AU200*'Data Training 2'!AU204*'Data Training 2'!AU208*'Data Training 2'!AU212*'Data Training 2'!AU216</f>
        <v>0</v>
      </c>
    </row>
    <row r="326" spans="40:79" x14ac:dyDescent="0.3">
      <c r="AO326" s="67" t="s">
        <v>506</v>
      </c>
      <c r="AP326" s="67"/>
      <c r="AQ326">
        <f>'Data Training 2'!AW24*'Data Training 2'!AV34*'Data Training 2'!AV40*'Data Training 2'!AV44*'Data Training 2'!AV51*'Data Training 2'!AV58*'Data Training 2'!AV64*'Data Training 2'!AV70*'Data Training 2'!AV76*'Data Training 2'!AV81*'Data Training 2'!AV85*'Data Training 2'!AV91*'Data Training 2'!AV99*'Data Training 2'!AV106*'Data Training 2'!AV111*'Data Training 2'!AV117*'Data Training 2'!AV124*'Data Training 2'!AV128*'Data Training 2'!AV136*'Data Training 2'!AV140*'Data Training 2'!AV147*'Data Training 2'!AV153*'Data Training 2'!AV160*'Data Training 2'!AV164*'Data Training 2'!AV167*'Data Training 2'!AV171*'Data Training 2'!AV175*'Data Training 2'!AV180*'Data Training 2'!AV183*'Data Training 2'!AV188*'Data Training 2'!AV192*'Data Training 2'!AV196*'Data Training 2'!AV200*'Data Training 2'!AV204*'Data Training 2'!AV208*'Data Training 2'!AV212*'Data Training 2'!AV216</f>
        <v>0</v>
      </c>
    </row>
    <row r="327" spans="40:79" x14ac:dyDescent="0.3">
      <c r="AO327" s="67" t="s">
        <v>507</v>
      </c>
      <c r="AP327" s="67"/>
      <c r="AQ327">
        <f>'Data Training 2'!AW25*'Data Training 2'!AW34*'Data Training 2'!AW40*'Data Training 2'!AW44*'Data Training 2'!AW51*'Data Training 2'!AW58*'Data Training 2'!AW64*'Data Training 2'!AW70*'Data Training 2'!AW76*'Data Training 2'!AW81*'Data Training 2'!AW85*'Data Training 2'!AW91*'Data Training 2'!AW99*'Data Training 2'!AW106*'Data Training 2'!AW111*'Data Training 2'!AW117*'Data Training 2'!AW124*'Data Training 2'!AW128*'Data Training 2'!AW136*'Data Training 2'!AW140*'Data Training 2'!AW147*'Data Training 2'!AW153*'Data Training 2'!AW160*'Data Training 2'!AW164*'Data Training 2'!AW167*'Data Training 2'!AW171*'Data Training 2'!AW175*'Data Training 2'!AW180*'Data Training 2'!AW183*'Data Training 2'!AW188*'Data Training 2'!AW192*'Data Training 2'!AW196*'Data Training 2'!AW200*'Data Training 2'!AW204*'Data Training 2'!AW208*'Data Training 2'!AW212*'Data Training 2'!AW216</f>
        <v>0</v>
      </c>
    </row>
    <row r="328" spans="40:79" x14ac:dyDescent="0.3">
      <c r="AO328" s="67" t="s">
        <v>508</v>
      </c>
      <c r="AP328" s="67"/>
      <c r="AQ328">
        <f>'Data Training 2'!AW26*'Data Training 2'!AX34*'Data Training 2'!AX40*'Data Training 2'!AX44*'Data Training 2'!AX51*'Data Training 2'!AX58*'Data Training 2'!AX64*'Data Training 2'!AX70*'Data Training 2'!AX76*'Data Training 2'!AX81*'Data Training 2'!AX85*'Data Training 2'!AX91*'Data Training 2'!AX99*'Data Training 2'!AX106*'Data Training 2'!AX111*'Data Training 2'!AX117*'Data Training 2'!AX124*'Data Training 2'!AX128*'Data Training 2'!AX136*'Data Training 2'!AX140*'Data Training 2'!AX147*'Data Training 2'!AX153*'Data Training 2'!AX160*'Data Training 2'!AX164*'Data Training 2'!AX167*'Data Training 2'!AX171*'Data Training 2'!AX175*'Data Training 2'!AX180*'Data Training 2'!AX183*'Data Training 2'!AX188*'Data Training 2'!AX192*'Data Training 2'!AX196*'Data Training 2'!AX200*'Data Training 2'!AX204*'Data Training 2'!AX208*'Data Training 2'!AX212*'Data Training 2'!AX216</f>
        <v>0</v>
      </c>
    </row>
    <row r="329" spans="40:79" x14ac:dyDescent="0.3">
      <c r="AO329" s="67" t="s">
        <v>509</v>
      </c>
      <c r="AP329" s="67"/>
      <c r="AQ329">
        <f>'Data Training 2'!AW27*'Data Training 2'!AY34*'Data Training 2'!AY40*'Data Training 2'!AY44*'Data Training 2'!AY51*'Data Training 2'!AY58*'Data Training 2'!AY64*'Data Training 2'!AY70*'Data Training 2'!AY76*'Data Training 2'!AY81*'Data Training 2'!AY85*'Data Training 2'!AY91*'Data Training 2'!AY99*'Data Training 2'!AY106*'Data Training 2'!AY111*'Data Training 2'!AY117*'Data Training 2'!AY124*'Data Training 2'!AY128*'Data Training 2'!AY136*'Data Training 2'!AY140*'Data Training 2'!AY147*'Data Training 2'!AY153*'Data Training 2'!AY160*'Data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4.2092742272595132E-14</v>
      </c>
    </row>
    <row r="330" spans="40:79" x14ac:dyDescent="0.3">
      <c r="AO330" s="76" t="s">
        <v>437</v>
      </c>
      <c r="AP330" s="76"/>
      <c r="AQ330" t="s">
        <v>298</v>
      </c>
      <c r="AR330" s="74" t="s">
        <v>438</v>
      </c>
      <c r="AS330" s="74"/>
      <c r="AT330" s="74"/>
    </row>
    <row r="332" spans="40:79" x14ac:dyDescent="0.3">
      <c r="AN332">
        <v>34</v>
      </c>
      <c r="AO332" s="77" t="s">
        <v>475</v>
      </c>
      <c r="AP332" s="77"/>
      <c r="AQ332" s="20" t="s">
        <v>64</v>
      </c>
      <c r="AR332" s="1" t="s">
        <v>43</v>
      </c>
      <c r="AS332" s="1" t="s">
        <v>44</v>
      </c>
      <c r="AT332" s="1" t="s">
        <v>45</v>
      </c>
      <c r="AU332" s="1" t="s">
        <v>46</v>
      </c>
      <c r="AV332" s="1" t="s">
        <v>47</v>
      </c>
      <c r="AW332" s="1" t="s">
        <v>48</v>
      </c>
      <c r="AX332" s="1" t="s">
        <v>49</v>
      </c>
      <c r="AY332" s="1" t="s">
        <v>50</v>
      </c>
      <c r="AZ332" s="1" t="s">
        <v>51</v>
      </c>
      <c r="BA332" s="1" t="s">
        <v>52</v>
      </c>
      <c r="BB332" s="1" t="s">
        <v>53</v>
      </c>
      <c r="BC332" s="1" t="s">
        <v>54</v>
      </c>
      <c r="BD332" s="1" t="s">
        <v>55</v>
      </c>
      <c r="BE332" s="1" t="s">
        <v>56</v>
      </c>
      <c r="BF332" s="1" t="s">
        <v>57</v>
      </c>
      <c r="BG332" s="1" t="s">
        <v>58</v>
      </c>
      <c r="BH332" s="1" t="s">
        <v>59</v>
      </c>
      <c r="BI332" s="1" t="s">
        <v>60</v>
      </c>
      <c r="BJ332" s="1" t="s">
        <v>61</v>
      </c>
      <c r="BK332" s="1" t="s">
        <v>62</v>
      </c>
      <c r="BL332" s="1" t="s">
        <v>63</v>
      </c>
      <c r="BM332" s="1" t="s">
        <v>330</v>
      </c>
      <c r="BN332" s="1" t="s">
        <v>331</v>
      </c>
      <c r="BO332" s="1" t="s">
        <v>332</v>
      </c>
      <c r="BP332" s="1" t="s">
        <v>333</v>
      </c>
      <c r="BQ332" s="1" t="s">
        <v>334</v>
      </c>
      <c r="BR332" s="1" t="s">
        <v>335</v>
      </c>
      <c r="BS332" s="1" t="s">
        <v>336</v>
      </c>
      <c r="BT332" s="1" t="s">
        <v>337</v>
      </c>
      <c r="BU332" s="1" t="s">
        <v>338</v>
      </c>
      <c r="BV332" s="1" t="s">
        <v>339</v>
      </c>
      <c r="BW332" s="1" t="s">
        <v>340</v>
      </c>
      <c r="BX332" s="1" t="s">
        <v>341</v>
      </c>
      <c r="BY332" s="1" t="s">
        <v>342</v>
      </c>
      <c r="BZ332" s="1" t="s">
        <v>343</v>
      </c>
      <c r="CA332" s="1" t="s">
        <v>390</v>
      </c>
    </row>
    <row r="333" spans="40:79" x14ac:dyDescent="0.3">
      <c r="AO333" s="77"/>
      <c r="AP333" s="77"/>
      <c r="AQ333" s="20">
        <v>6</v>
      </c>
      <c r="AR333" t="s">
        <v>5</v>
      </c>
      <c r="AS333" t="s">
        <v>5</v>
      </c>
      <c r="AT333" t="s">
        <v>2</v>
      </c>
      <c r="AU333" t="s">
        <v>5</v>
      </c>
      <c r="AV333" t="s">
        <v>5</v>
      </c>
      <c r="AW333" t="s">
        <v>5</v>
      </c>
      <c r="AX333" t="s">
        <v>5</v>
      </c>
      <c r="AY333" t="s">
        <v>5</v>
      </c>
      <c r="AZ333" t="s">
        <v>2</v>
      </c>
      <c r="BA333" t="s">
        <v>4</v>
      </c>
      <c r="BB333" t="s">
        <v>4</v>
      </c>
      <c r="BC333" t="s">
        <v>5</v>
      </c>
      <c r="BD333" t="s">
        <v>2</v>
      </c>
      <c r="BE333" t="s">
        <v>3</v>
      </c>
      <c r="BF333" t="s">
        <v>5</v>
      </c>
      <c r="BG333" t="s">
        <v>5</v>
      </c>
      <c r="BH333" t="s">
        <v>3</v>
      </c>
      <c r="BI333" t="s">
        <v>5</v>
      </c>
      <c r="BJ333" t="s">
        <v>5</v>
      </c>
      <c r="BK333" t="s">
        <v>4</v>
      </c>
      <c r="BL333" t="s">
        <v>3</v>
      </c>
      <c r="BM333" t="s">
        <v>2</v>
      </c>
      <c r="BN333" t="s">
        <v>3</v>
      </c>
      <c r="BO333" t="s">
        <v>4</v>
      </c>
      <c r="BP333" t="s">
        <v>4</v>
      </c>
      <c r="BQ333" t="s">
        <v>3</v>
      </c>
      <c r="BR333" t="s">
        <v>4</v>
      </c>
      <c r="BS333" t="s">
        <v>4</v>
      </c>
      <c r="BT333" t="s">
        <v>4</v>
      </c>
      <c r="BU333" t="s">
        <v>3</v>
      </c>
      <c r="BV333" t="s">
        <v>4</v>
      </c>
      <c r="BW333" t="s">
        <v>3</v>
      </c>
      <c r="BX333" t="s">
        <v>4</v>
      </c>
      <c r="BY333" t="s">
        <v>4</v>
      </c>
      <c r="BZ333" t="s">
        <v>4</v>
      </c>
      <c r="CA333" t="s">
        <v>3</v>
      </c>
    </row>
    <row r="334" spans="40:79" x14ac:dyDescent="0.3">
      <c r="AO334" s="67" t="s">
        <v>504</v>
      </c>
      <c r="AP334" s="67"/>
      <c r="AQ334">
        <f>PRODUCT('Data Training 2'!AW22,'Data Training 2'!AT34,'Data Training 2'!AT40,'Data Training 2'!AT45,'Data Training 2'!AT52,'Data Training 2'!AT58,'Data Training 2'!AT64,'Data Training 2'!AT70,'Data Training 2'!AT76,'Data Training 2'!AT81,'Data Training 2'!AT85,'Data Training 2'!AT91,'Data Training 2'!AT100,'Data Training 2'!AT105,'Data Training 2'!AT110,'Data Training 2'!AT118,'Data Training 2'!AT124,'Data Training 2'!AT128,'Data Training 2'!AT136,'Data Training 2'!AT142,'Data Training 2'!AT145,'Data Training 2'!AT152,'Data Training 2'!AT159,'Data Training 2'!AT164,'Data Training 2'!AT167,'Data Training 2'!AT171,'Data Training 2'!AT176,'Data Training 2'!AT179,'Data Training 2'!AT183,'Data Training 2'!AT187,'Data Training 2'!AT192,'Data Training 2'!AT195,'Data Training 2'!AT200,'Data Training 2'!AT203,'Data Training 2'!AT207,'Data Training 2'!AT211,'Data Training 2'!AT216)</f>
        <v>0</v>
      </c>
    </row>
    <row r="335" spans="40:79" x14ac:dyDescent="0.3">
      <c r="AO335" s="67" t="s">
        <v>505</v>
      </c>
      <c r="AP335" s="67"/>
      <c r="AQ335" s="43">
        <f>PRODUCT('Data Training 2'!AW23,'Data Training 2'!AU34,'Data Training 2'!AU40,'Data Training 2'!AU45,'Data Training 2'!AU52,'Data Training 2'!AU58,'Data Training 2'!AU64,'Data Training 2'!AU70,'Data Training 2'!AU76,'Data Training 2'!AU81,'Data Training 2'!AU85,'Data Training 2'!AU91,'Data Training 2'!AU100,'Data Training 2'!AU105,'Data Training 2'!AU110,'Data Training 2'!AU118,'Data Training 2'!AU124,'Data Training 2'!AU128,'Data Training 2'!AU136,'Data Training 2'!AU142,'Data Training 2'!AU145,'Data Training 2'!AU152,'Data Training 2'!AU159,'Data Training 2'!AU164,'Data Training 2'!AU167,'Data Training 2'!AU171,'Data Training 2'!AU176,'Data Training 2'!AU179,'Data Training 2'!AU183,'Data Training 2'!AU187,'Data Training 2'!AU192,'Data Training 2'!AU195,'Data Training 2'!AU200,'Data Training 2'!AU203,'Data Training 2'!AU207,'Data Training 2'!AU211,'Data Training 2'!AU216)</f>
        <v>0</v>
      </c>
    </row>
    <row r="336" spans="40:79" x14ac:dyDescent="0.3">
      <c r="AO336" s="67" t="s">
        <v>506</v>
      </c>
      <c r="AP336" s="67"/>
      <c r="AQ336" s="43">
        <f>PRODUCT('Data Training 2'!AW24,'Data Training 2'!AV34,'Data Training 2'!AV40,'Data Training 2'!AV45,'Data Training 2'!AV52,'Data Training 2'!AV58,'Data Training 2'!AV64,'Data Training 2'!AV70,'Data Training 2'!AV76,'Data Training 2'!AV81,'Data Training 2'!AV85,'Data Training 2'!AV91,'Data Training 2'!AV100,'Data Training 2'!AV105,'Data Training 2'!AV110,'Data Training 2'!AV118,'Data Training 2'!AV124,'Data Training 2'!AV128,'Data Training 2'!AV136,'Data Training 2'!AV142,'Data Training 2'!AV145,'Data Training 2'!AV152,'Data Training 2'!AV159,'Data Training 2'!AV164,'Data Training 2'!AV167,'Data Training 2'!AV171,'Data Training 2'!AV176,'Data Training 2'!AV179,'Data Training 2'!AV183,'Data Training 2'!AV187,'Data Training 2'!AV192,'Data Training 2'!AV195,'Data Training 2'!AV200,'Data Training 2'!AV203,'Data Training 2'!AV207,'Data Training 2'!AV211,'Data Training 2'!AV216)</f>
        <v>0</v>
      </c>
    </row>
    <row r="337" spans="40:79" x14ac:dyDescent="0.3">
      <c r="AO337" s="67" t="s">
        <v>507</v>
      </c>
      <c r="AP337" s="67"/>
      <c r="AQ337" s="43">
        <f>PRODUCT('Data Training 2'!AW25,'Data Training 2'!AW34,'Data Training 2'!AW40,'Data Training 2'!AW45,'Data Training 2'!AW52,'Data Training 2'!AW58,'Data Training 2'!AW64,'Data Training 2'!AW70,'Data Training 2'!AW76,'Data Training 2'!AW81,'Data Training 2'!AW85,'Data Training 2'!AW91,'Data Training 2'!AW100,'Data Training 2'!AW105,'Data Training 2'!AW110,'Data Training 2'!AW118,'Data Training 2'!AW124,'Data Training 2'!AW128,'Data Training 2'!AW136,'Data Training 2'!AW142,'Data Training 2'!AW145,'Data Training 2'!AW152,'Data Training 2'!AW159,'Data Training 2'!AW164,'Data Training 2'!AW167,'Data Training 2'!AW171,'Data Training 2'!AW176,'Data Training 2'!AW179,'Data Training 2'!AW183,'Data Training 2'!AW187,'Data Training 2'!AW192,'Data Training 2'!AW195,'Data Training 2'!AW200,'Data Training 2'!AW203,'Data Training 2'!AW207,'Data Training 2'!AW211,'Data Training 2'!AW216)</f>
        <v>0</v>
      </c>
    </row>
    <row r="338" spans="40:79" x14ac:dyDescent="0.3">
      <c r="AO338" s="67" t="s">
        <v>508</v>
      </c>
      <c r="AP338" s="67"/>
      <c r="AQ338" s="43">
        <f>PRODUCT('Data Training 2'!AW26,'Data Training 2'!AX34,'Data Training 2'!AX40,'Data Training 2'!AX45,'Data Training 2'!AX52,'Data Training 2'!AX58,'Data Training 2'!AX64,'Data Training 2'!AX70,'Data Training 2'!AX76,'Data Training 2'!AX81,'Data Training 2'!AX85,'Data Training 2'!AX91,'Data Training 2'!AX100,'Data Training 2'!AX105,'Data Training 2'!AX110,'Data Training 2'!AX118,'Data Training 2'!AX124,'Data Training 2'!AX128,'Data Training 2'!AX136,'Data Training 2'!AX142,'Data Training 2'!AX145,'Data Training 2'!AX152,'Data Training 2'!AX159,'Data Training 2'!AX164,'Data Training 2'!AX167,'Data Training 2'!AX171,'Data Training 2'!AX176,'Data Training 2'!AX179,'Data Training 2'!AX183,'Data Training 2'!AX187,'Data Training 2'!AX192,'Data Training 2'!AX195,'Data Training 2'!AX200,'Data Training 2'!AX203,'Data Training 2'!AX207,'Data Training 2'!AX211,'Data Training 2'!AX216)</f>
        <v>0</v>
      </c>
    </row>
    <row r="339" spans="40:79" x14ac:dyDescent="0.3">
      <c r="AO339" s="67" t="s">
        <v>509</v>
      </c>
      <c r="AP339" s="67"/>
      <c r="AQ339" s="43">
        <f>PRODUCT('Data Training 2'!AW27,'Data Training 2'!AY34,'Data Training 2'!AY40,'Data Training 2'!AY45,'Data Training 2'!AY52,'Data Training 2'!AY58,'Data Training 2'!AY64,'Data Training 2'!AY70,'Data Training 2'!AY76,'Data Training 2'!AY81,'Data Training 2'!AY85,'Data Training 2'!AY91,'Data Training 2'!AY100,'Data Training 2'!AY105,'Data Training 2'!AY110,'Data Training 2'!AY118,'Data Training 2'!AY124,'Data Training 2'!AY128,'Data Training 2'!AY136,'Data Training 2'!AY142,'Data Training 2'!AY145,'Data Training 2'!AY152,'Data Training 2'!AY159,'Data Training 2'!AY164,'Data Training 2'!AY167,'Data Training 2'!AY171,'Data Training 2'!AY176,'Data Training 2'!AY179,'Data Training 2'!AY183,'Data Training 2'!AY187,'Data Training 2'!AY192,'Data Training 2'!AY195,'Data Training 2'!AY200,'Data Training 2'!AY203,'Data Training 2'!AY207,'Data Training 2'!AY211,'Data Training 2'!AY216)</f>
        <v>2.7381160477354036E-10</v>
      </c>
    </row>
    <row r="340" spans="40:79" x14ac:dyDescent="0.3">
      <c r="AO340" s="76" t="s">
        <v>437</v>
      </c>
      <c r="AP340" s="76"/>
      <c r="AQ340" t="s">
        <v>298</v>
      </c>
      <c r="AR340" s="74" t="s">
        <v>438</v>
      </c>
      <c r="AS340" s="74"/>
      <c r="AT340" s="74"/>
    </row>
    <row r="342" spans="40:79" x14ac:dyDescent="0.3">
      <c r="AN342">
        <v>35</v>
      </c>
      <c r="AO342" s="77" t="s">
        <v>477</v>
      </c>
      <c r="AP342" s="77"/>
      <c r="AQ342" s="20" t="s">
        <v>64</v>
      </c>
      <c r="AR342" s="1" t="s">
        <v>43</v>
      </c>
      <c r="AS342" s="1" t="s">
        <v>44</v>
      </c>
      <c r="AT342" s="1" t="s">
        <v>45</v>
      </c>
      <c r="AU342" s="1" t="s">
        <v>46</v>
      </c>
      <c r="AV342" s="1" t="s">
        <v>47</v>
      </c>
      <c r="AW342" s="1" t="s">
        <v>48</v>
      </c>
      <c r="AX342" s="1" t="s">
        <v>49</v>
      </c>
      <c r="AY342" s="1" t="s">
        <v>50</v>
      </c>
      <c r="AZ342" s="1" t="s">
        <v>51</v>
      </c>
      <c r="BA342" s="1" t="s">
        <v>52</v>
      </c>
      <c r="BB342" s="1" t="s">
        <v>53</v>
      </c>
      <c r="BC342" s="1" t="s">
        <v>54</v>
      </c>
      <c r="BD342" s="1" t="s">
        <v>55</v>
      </c>
      <c r="BE342" s="1" t="s">
        <v>56</v>
      </c>
      <c r="BF342" s="1" t="s">
        <v>57</v>
      </c>
      <c r="BG342" s="1" t="s">
        <v>58</v>
      </c>
      <c r="BH342" s="1" t="s">
        <v>59</v>
      </c>
      <c r="BI342" s="1" t="s">
        <v>60</v>
      </c>
      <c r="BJ342" s="1" t="s">
        <v>61</v>
      </c>
      <c r="BK342" s="1" t="s">
        <v>62</v>
      </c>
      <c r="BL342" s="1" t="s">
        <v>63</v>
      </c>
      <c r="BM342" s="1" t="s">
        <v>330</v>
      </c>
      <c r="BN342" s="1" t="s">
        <v>331</v>
      </c>
      <c r="BO342" s="1" t="s">
        <v>332</v>
      </c>
      <c r="BP342" s="1" t="s">
        <v>333</v>
      </c>
      <c r="BQ342" s="1" t="s">
        <v>334</v>
      </c>
      <c r="BR342" s="1" t="s">
        <v>335</v>
      </c>
      <c r="BS342" s="1" t="s">
        <v>336</v>
      </c>
      <c r="BT342" s="1" t="s">
        <v>337</v>
      </c>
      <c r="BU342" s="1" t="s">
        <v>338</v>
      </c>
      <c r="BV342" s="1" t="s">
        <v>339</v>
      </c>
      <c r="BW342" s="1" t="s">
        <v>340</v>
      </c>
      <c r="BX342" s="1" t="s">
        <v>341</v>
      </c>
      <c r="BY342" s="1" t="s">
        <v>342</v>
      </c>
      <c r="BZ342" s="1" t="s">
        <v>343</v>
      </c>
      <c r="CA342" s="1" t="s">
        <v>390</v>
      </c>
    </row>
    <row r="343" spans="40:79" x14ac:dyDescent="0.3">
      <c r="AO343" s="77"/>
      <c r="AP343" s="77"/>
      <c r="AQ343" s="20">
        <v>6</v>
      </c>
      <c r="AR343" t="s">
        <v>5</v>
      </c>
      <c r="AS343" t="s">
        <v>5</v>
      </c>
      <c r="AT343" t="s">
        <v>3</v>
      </c>
      <c r="AU343" t="s">
        <v>5</v>
      </c>
      <c r="AV343" t="s">
        <v>5</v>
      </c>
      <c r="AW343" t="s">
        <v>5</v>
      </c>
      <c r="AX343" t="s">
        <v>5</v>
      </c>
      <c r="AY343" t="s">
        <v>2</v>
      </c>
      <c r="AZ343" t="s">
        <v>2</v>
      </c>
      <c r="BA343" t="s">
        <v>2</v>
      </c>
      <c r="BB343" t="s">
        <v>2</v>
      </c>
      <c r="BC343" t="s">
        <v>3</v>
      </c>
      <c r="BD343" t="s">
        <v>5</v>
      </c>
      <c r="BE343" t="s">
        <v>3</v>
      </c>
      <c r="BF343" t="s">
        <v>3</v>
      </c>
      <c r="BG343" t="s">
        <v>5</v>
      </c>
      <c r="BH343" t="s">
        <v>5</v>
      </c>
      <c r="BI343" t="s">
        <v>5</v>
      </c>
      <c r="BJ343" t="s">
        <v>2</v>
      </c>
      <c r="BK343" t="s">
        <v>3</v>
      </c>
      <c r="BL343" t="s">
        <v>4</v>
      </c>
      <c r="BM343" t="s">
        <v>4</v>
      </c>
      <c r="BN343" t="s">
        <v>3</v>
      </c>
      <c r="BO343" t="s">
        <v>4</v>
      </c>
      <c r="BP343" t="s">
        <v>4</v>
      </c>
      <c r="BQ343" t="s">
        <v>4</v>
      </c>
      <c r="BR343" t="s">
        <v>3</v>
      </c>
      <c r="BS343" t="s">
        <v>4</v>
      </c>
      <c r="BT343" t="s">
        <v>4</v>
      </c>
      <c r="BU343" t="s">
        <v>3</v>
      </c>
      <c r="BV343" t="s">
        <v>3</v>
      </c>
      <c r="BW343" t="s">
        <v>3</v>
      </c>
      <c r="BX343" t="s">
        <v>3</v>
      </c>
      <c r="BY343" t="s">
        <v>3</v>
      </c>
      <c r="BZ343" t="s">
        <v>3</v>
      </c>
      <c r="CA343" t="s">
        <v>3</v>
      </c>
    </row>
    <row r="344" spans="40:79" x14ac:dyDescent="0.3">
      <c r="AO344" s="67" t="s">
        <v>504</v>
      </c>
      <c r="AP344" s="67"/>
      <c r="AQ344" s="43">
        <f>PRODUCT('Data Training 2'!AW22,'Data Training 2'!AT34,'Data Training 2'!AT40,'Data Training 2'!AT44,'Data Training 2'!AT52,'Data Training 2'!AT58,'Data Training 2'!AT64,'Data Training 2'!AT70,'Data Training 2'!AT75,'Data Training 2'!AT81,'Data Training 2'!AT87,'Data Training 2'!AT93,'Data Training 2'!AT98,'Data Training 2'!AT106,'Data Training 2'!AT110,'Data Training 2'!AT116,'Data Training 2'!AT124,'Data Training 2'!AT130,'Data Training 2'!AT136,'Data Training 2'!AT141,'Data Training 2'!AT146,'Data Training 2'!AT151,'Data Training 2'!AT157,'Data Training 2'!AT164,'Data Training 2'!AT167,'Data Training 2'!AT171,'Data Training 2'!AT175,'Data Training 2'!AT180,'Data Training 2'!AT183,'Data Training 2'!AT187,'Data Training 2'!AT192,'Data Training 2'!AT196,'Data Training 2'!AT200,'Data Training 2'!AT204,'Data Training 2'!AT208,'Data Training 2'!AT212,'Data Training 2'!AT216)</f>
        <v>0</v>
      </c>
    </row>
    <row r="345" spans="40:79" x14ac:dyDescent="0.3">
      <c r="AO345" s="67" t="s">
        <v>505</v>
      </c>
      <c r="AP345" s="67"/>
      <c r="AQ345" s="43">
        <f>PRODUCT('Data Training 2'!AW23,'Data Training 2'!AU34,'Data Training 2'!AU40,'Data Training 2'!AU44,'Data Training 2'!AU52,'Data Training 2'!AU58,'Data Training 2'!AU64,'Data Training 2'!AU70,'Data Training 2'!AU75,'Data Training 2'!AU81,'Data Training 2'!AU87,'Data Training 2'!AU93,'Data Training 2'!AU98,'Data Training 2'!AU106,'Data Training 2'!AU110,'Data Training 2'!AU116,'Data Training 2'!AU124,'Data Training 2'!AU130,'Data Training 2'!AU136,'Data Training 2'!AU141,'Data Training 2'!AU146,'Data Training 2'!AU151,'Data Training 2'!AU157,'Data Training 2'!AU164,'Data Training 2'!AU167,'Data Training 2'!AU171,'Data Training 2'!AU175,'Data Training 2'!AU180,'Data Training 2'!AU183,'Data Training 2'!AU187,'Data Training 2'!AU192,'Data Training 2'!AU196,'Data Training 2'!AU200,'Data Training 2'!AU204,'Data Training 2'!AU208,'Data Training 2'!AU212,'Data Training 2'!AU216)</f>
        <v>0</v>
      </c>
    </row>
    <row r="346" spans="40:79" x14ac:dyDescent="0.3">
      <c r="AO346" s="67" t="s">
        <v>506</v>
      </c>
      <c r="AP346" s="67"/>
      <c r="AQ346" s="43">
        <f>PRODUCT('Data Training 2'!AW24,'Data Training 2'!AV34,'Data Training 2'!AV40,'Data Training 2'!AV44,'Data Training 2'!AV52,'Data Training 2'!AV58,'Data Training 2'!AV64,'Data Training 2'!AV70,'Data Training 2'!AV75,'Data Training 2'!AV81,'Data Training 2'!AV87,'Data Training 2'!AV93,'Data Training 2'!AV98,'Data Training 2'!AV106,'Data Training 2'!AV110,'Data Training 2'!AV116,'Data Training 2'!AV124,'Data Training 2'!AV130,'Data Training 2'!AV136,'Data Training 2'!AV141,'Data Training 2'!AV146,'Data Training 2'!AV151,'Data Training 2'!AV157,'Data Training 2'!AV164,'Data Training 2'!AV167,'Data Training 2'!AV171,'Data Training 2'!AV175,'Data Training 2'!AV180,'Data Training 2'!AV183,'Data Training 2'!AV187,'Data Training 2'!AV192,'Data Training 2'!AV196,'Data Training 2'!AV200,'Data Training 2'!AV204,'Data Training 2'!AV208,'Data Training 2'!AV212,'Data Training 2'!AV216)</f>
        <v>0</v>
      </c>
    </row>
    <row r="347" spans="40:79" x14ac:dyDescent="0.3">
      <c r="AO347" s="67" t="s">
        <v>507</v>
      </c>
      <c r="AP347" s="67"/>
      <c r="AQ347">
        <f>PRODUCT('Data Training 2'!AW25,'Data Training 2'!AW34,'Data Training 2'!AW40,'Data Training 2'!AW44,'Data Training 2'!AW52,'Data Training 2'!AW58,'Data Training 2'!AW64,'Data Training 2'!AW70,'Data Training 2'!AW75,'Data Training 2'!AW81,'Data Training 2'!AW87,'Data Training 2'!AW93,'Data Training 2'!AW98,'Data Training 2'!AW106,'Data Training 2'!AW110,'Data Training 2'!AW116,'Data Training 2'!AW124,'Data Training 2'!AW130,'Data Training 2'!AW136,'Data Training 2'!AW141,'Data Training 2'!AW146,'Data Training 2'!AW151,'Data Training 2'!AW157,'Data Training 2'!AW164,'Data Training 2'!AW167,'Data Training 2'!AW171,'Data Training 2'!AW175,'Data Training 2'!AW180,'Data Training 2'!AW183,'Data Training 2'!AW187,'Data Training 2'!AW192,'Data Training 2'!AW196,'Data Training 2'!AW200,'Data Training 2'!AW204,'Data Training 2'!AW208,'Data Training 2'!AW212,'Data Training 2'!AW216)</f>
        <v>0</v>
      </c>
    </row>
    <row r="348" spans="40:79" x14ac:dyDescent="0.3">
      <c r="AO348" s="67" t="s">
        <v>508</v>
      </c>
      <c r="AP348" s="67"/>
      <c r="AQ348" s="43">
        <f>PRODUCT('Data Training 2'!AW26,'Data Training 2'!AX34,'Data Training 2'!AX40,'Data Training 2'!AX44,'Data Training 2'!AX52,'Data Training 2'!AX58,'Data Training 2'!AX64,'Data Training 2'!AX70,'Data Training 2'!AX75,'Data Training 2'!AX81,'Data Training 2'!AX87,'Data Training 2'!AX93,'Data Training 2'!AX98,'Data Training 2'!AX106,'Data Training 2'!AX110,'Data Training 2'!AX116,'Data Training 2'!AX124,'Data Training 2'!AX130,'Data Training 2'!AX136,'Data Training 2'!AX141,'Data Training 2'!AX146,'Data Training 2'!AX151,'Data Training 2'!AX157,'Data Training 2'!AX164,'Data Training 2'!AX167,'Data Training 2'!AX171,'Data Training 2'!AX175,'Data Training 2'!AX180,'Data Training 2'!AX183,'Data Training 2'!AX187,'Data Training 2'!AX192,'Data Training 2'!AX196,'Data Training 2'!AX200,'Data Training 2'!AX204,'Data Training 2'!AX208,'Data Training 2'!AX212,'Data Training 2'!AX216)</f>
        <v>0</v>
      </c>
    </row>
    <row r="349" spans="40:79" x14ac:dyDescent="0.3">
      <c r="AO349" s="67" t="s">
        <v>509</v>
      </c>
      <c r="AP349" s="67"/>
      <c r="AQ349" s="43">
        <f>PRODUCT('Data Training 2'!AW27,'Data Training 2'!AY34,'Data Training 2'!AY40,'Data Training 2'!AY44,'Data Training 2'!AY52,'Data Training 2'!AY58,'Data Training 2'!AY64,'Data Training 2'!AY70,'Data Training 2'!AY75,'Data Training 2'!AY81,'Data Training 2'!AY87,'Data Training 2'!AY93,'Data Training 2'!AY98,'Data Training 2'!AY106,'Data Training 2'!AY110,'Data Training 2'!AY116,'Data Training 2'!AY124,'Data Training 2'!AY130,'Data Training 2'!AY136,'Data Training 2'!AY141,'Data Training 2'!AY146,'Data Training 2'!AY151,'Data Training 2'!AY157,'Data Training 2'!AY164,'Data Training 2'!AY167,'Data Training 2'!AY171,'Data Training 2'!AY175,'Data Training 2'!AY180,'Data Training 2'!AY183,'Data Training 2'!AY187,'Data Training 2'!AY192,'Data Training 2'!AY196,'Data Training 2'!AY200,'Data Training 2'!AY204,'Data Training 2'!AY208,'Data Training 2'!AY212,'Data Training 2'!AY216)</f>
        <v>1.7859349221372509E-13</v>
      </c>
    </row>
    <row r="350" spans="40:79" x14ac:dyDescent="0.3">
      <c r="AO350" s="76" t="s">
        <v>437</v>
      </c>
      <c r="AP350" s="76"/>
      <c r="AQ350" t="s">
        <v>298</v>
      </c>
      <c r="AR350" s="74" t="s">
        <v>438</v>
      </c>
      <c r="AS350" s="74"/>
      <c r="AT350" s="74"/>
    </row>
    <row r="352" spans="40:79" x14ac:dyDescent="0.3">
      <c r="AN352">
        <v>36</v>
      </c>
      <c r="AO352" s="77" t="s">
        <v>488</v>
      </c>
      <c r="AP352" s="77"/>
      <c r="AQ352" s="20" t="s">
        <v>64</v>
      </c>
      <c r="AR352" s="1" t="s">
        <v>43</v>
      </c>
      <c r="AS352" s="1" t="s">
        <v>44</v>
      </c>
      <c r="AT352" s="1" t="s">
        <v>45</v>
      </c>
      <c r="AU352" s="1" t="s">
        <v>46</v>
      </c>
      <c r="AV352" s="1" t="s">
        <v>47</v>
      </c>
      <c r="AW352" s="1" t="s">
        <v>48</v>
      </c>
      <c r="AX352" s="1" t="s">
        <v>49</v>
      </c>
      <c r="AY352" s="1" t="s">
        <v>50</v>
      </c>
      <c r="AZ352" s="1" t="s">
        <v>51</v>
      </c>
      <c r="BA352" s="1" t="s">
        <v>52</v>
      </c>
      <c r="BB352" s="1" t="s">
        <v>53</v>
      </c>
      <c r="BC352" s="1" t="s">
        <v>54</v>
      </c>
      <c r="BD352" s="1" t="s">
        <v>55</v>
      </c>
      <c r="BE352" s="1" t="s">
        <v>56</v>
      </c>
      <c r="BF352" s="1" t="s">
        <v>57</v>
      </c>
      <c r="BG352" s="1" t="s">
        <v>58</v>
      </c>
      <c r="BH352" s="1" t="s">
        <v>59</v>
      </c>
      <c r="BI352" s="1" t="s">
        <v>60</v>
      </c>
      <c r="BJ352" s="1" t="s">
        <v>61</v>
      </c>
      <c r="BK352" s="1" t="s">
        <v>62</v>
      </c>
      <c r="BL352" s="1" t="s">
        <v>63</v>
      </c>
      <c r="BM352" s="1" t="s">
        <v>330</v>
      </c>
      <c r="BN352" s="1" t="s">
        <v>331</v>
      </c>
      <c r="BO352" s="1" t="s">
        <v>332</v>
      </c>
      <c r="BP352" s="1" t="s">
        <v>333</v>
      </c>
      <c r="BQ352" s="1" t="s">
        <v>334</v>
      </c>
      <c r="BR352" s="1" t="s">
        <v>335</v>
      </c>
      <c r="BS352" s="1" t="s">
        <v>336</v>
      </c>
      <c r="BT352" s="1" t="s">
        <v>337</v>
      </c>
      <c r="BU352" s="1" t="s">
        <v>338</v>
      </c>
      <c r="BV352" s="1" t="s">
        <v>339</v>
      </c>
      <c r="BW352" s="1" t="s">
        <v>340</v>
      </c>
      <c r="BX352" s="1" t="s">
        <v>341</v>
      </c>
      <c r="BY352" s="1" t="s">
        <v>342</v>
      </c>
      <c r="BZ352" s="1" t="s">
        <v>343</v>
      </c>
      <c r="CA352" s="1" t="s">
        <v>390</v>
      </c>
    </row>
    <row r="353" spans="41:79" x14ac:dyDescent="0.3">
      <c r="AO353" s="77"/>
      <c r="AP353" s="77"/>
      <c r="AQ353" s="20">
        <v>6</v>
      </c>
      <c r="AR353" t="s">
        <v>5</v>
      </c>
      <c r="AS353" t="s">
        <v>5</v>
      </c>
      <c r="AT353" t="s">
        <v>4</v>
      </c>
      <c r="AU353" t="s">
        <v>5</v>
      </c>
      <c r="AV353" t="s">
        <v>5</v>
      </c>
      <c r="AW353" t="s">
        <v>5</v>
      </c>
      <c r="AX353" t="s">
        <v>5</v>
      </c>
      <c r="AY353" t="s">
        <v>2</v>
      </c>
      <c r="AZ353" t="s">
        <v>3</v>
      </c>
      <c r="BA353" t="s">
        <v>4</v>
      </c>
      <c r="BB353" t="s">
        <v>3</v>
      </c>
      <c r="BC353" t="s">
        <v>5</v>
      </c>
      <c r="BD353" t="s">
        <v>5</v>
      </c>
      <c r="BE353" t="s">
        <v>3</v>
      </c>
      <c r="BF353" t="s">
        <v>5</v>
      </c>
      <c r="BG353" t="s">
        <v>5</v>
      </c>
      <c r="BH353" t="s">
        <v>3</v>
      </c>
      <c r="BI353" t="s">
        <v>5</v>
      </c>
      <c r="BJ353" t="s">
        <v>3</v>
      </c>
      <c r="BK353" t="s">
        <v>4</v>
      </c>
      <c r="BL353" t="s">
        <v>2</v>
      </c>
      <c r="BM353" t="s">
        <v>2</v>
      </c>
      <c r="BN353" t="s">
        <v>3</v>
      </c>
      <c r="BO353" t="s">
        <v>4</v>
      </c>
      <c r="BP353" t="s">
        <v>4</v>
      </c>
      <c r="BQ353" t="s">
        <v>4</v>
      </c>
      <c r="BR353" t="s">
        <v>4</v>
      </c>
      <c r="BS353" t="s">
        <v>4</v>
      </c>
      <c r="BT353" t="s">
        <v>4</v>
      </c>
      <c r="BU353" t="s">
        <v>3</v>
      </c>
      <c r="BV353" t="s">
        <v>4</v>
      </c>
      <c r="BW353" t="s">
        <v>3</v>
      </c>
      <c r="BX353" t="s">
        <v>3</v>
      </c>
      <c r="BY353" t="s">
        <v>4</v>
      </c>
      <c r="BZ353" t="s">
        <v>3</v>
      </c>
      <c r="CA353" t="s">
        <v>3</v>
      </c>
    </row>
    <row r="354" spans="41:79" x14ac:dyDescent="0.3">
      <c r="AO354" s="67" t="s">
        <v>504</v>
      </c>
      <c r="AP354" s="67"/>
      <c r="AQ354">
        <f>PRODUCT('Data Training 2'!AW22,'Data Training 2'!AT34,'Data Training 2'!AT40,'Data Training 2'!AT43,'Data Training 2'!AT52,'Data Training 2'!AT58,'Data Training 2'!AT64,'Data Training 2'!AT70,'Data Training 2'!AT75,'Data Training 2'!AT80,'Data Training 2'!AT85,'Data Training 2'!AT92,'Data Training 2'!AT100,'Data Training 2'!AT106,'Data Training 2'!AT110,'Data Training 2'!AT118,'Data Training 2'!AT124,'Data Training 2'!AT128,'Data Training 2'!AT136,'Data Training 2'!AT140,'Data Training 2'!AT145,'Data Training 2'!AT153,'Data Training 2'!AT159,'Data Training 2'!AT164,'Data Training 2'!AT167,'Data Training 2'!AT171,'Data Training 2'!AT175,'Data Training 2'!AT179,'Data Training 2'!AT183,'Data Training 2'!AT187,'Data Training 2'!AT192,'Data Training 2'!AT195,'Data Training 2'!AT200,'Data Training 2'!AT204,'Data Training 2'!AT207,'Data Training 2'!AT212,'Data Training 2'!AT216)</f>
        <v>0</v>
      </c>
    </row>
    <row r="355" spans="41:79" x14ac:dyDescent="0.3">
      <c r="AO355" s="67" t="s">
        <v>505</v>
      </c>
      <c r="AP355" s="67"/>
      <c r="AQ355" s="43">
        <f>PRODUCT('Data Training 2'!AW23,'Data Training 2'!AU34,'Data Training 2'!AU40,'Data Training 2'!AU43,'Data Training 2'!AU52,'Data Training 2'!AU58,'Data Training 2'!AU64,'Data Training 2'!AU70,'Data Training 2'!AU75,'Data Training 2'!AU80,'Data Training 2'!AU85,'Data Training 2'!AU92,'Data Training 2'!AU100,'Data Training 2'!AU106,'Data Training 2'!AU110,'Data Training 2'!AU118,'Data Training 2'!AU124,'Data Training 2'!AU128,'Data Training 2'!AU136,'Data Training 2'!AU140,'Data Training 2'!AU145,'Data Training 2'!AU153,'Data Training 2'!AU159,'Data Training 2'!AU164,'Data Training 2'!AU167,'Data Training 2'!AU171,'Data Training 2'!AU175,'Data Training 2'!AU179,'Data Training 2'!AU183,'Data Training 2'!AU187,'Data Training 2'!AU192,'Data Training 2'!AU195,'Data Training 2'!AU200,'Data Training 2'!AU204,'Data Training 2'!AU207,'Data Training 2'!AU212,'Data Training 2'!AU216)</f>
        <v>0</v>
      </c>
    </row>
    <row r="356" spans="41:79" x14ac:dyDescent="0.3">
      <c r="AO356" s="67" t="s">
        <v>506</v>
      </c>
      <c r="AP356" s="67"/>
      <c r="AQ356" s="43">
        <f>PRODUCT('Data Training 2'!AW24,'Data Training 2'!AV34,'Data Training 2'!AV40,'Data Training 2'!AV43,'Data Training 2'!AV52,'Data Training 2'!AV58,'Data Training 2'!AV64,'Data Training 2'!AV70,'Data Training 2'!AV75,'Data Training 2'!AV80,'Data Training 2'!AV85,'Data Training 2'!AV92,'Data Training 2'!AV100,'Data Training 2'!AV106,'Data Training 2'!AV110,'Data Training 2'!AV118,'Data Training 2'!AV124,'Data Training 2'!AV128,'Data Training 2'!AV136,'Data Training 2'!AV140,'Data Training 2'!AV145,'Data Training 2'!AV153,'Data Training 2'!AV159,'Data Training 2'!AV164,'Data Training 2'!AV167,'Data Training 2'!AV171,'Data Training 2'!AV175,'Data Training 2'!AV179,'Data Training 2'!AV183,'Data Training 2'!AV187,'Data Training 2'!AV192,'Data Training 2'!AV195,'Data Training 2'!AV200,'Data Training 2'!AV204,'Data Training 2'!AV207,'Data Training 2'!AV212,'Data Training 2'!AV216)</f>
        <v>0</v>
      </c>
    </row>
    <row r="357" spans="41:79" x14ac:dyDescent="0.3">
      <c r="AO357" s="67" t="s">
        <v>507</v>
      </c>
      <c r="AP357" s="67"/>
      <c r="AQ357" s="43">
        <f>PRODUCT('Data Training 2'!AW25,'Data Training 2'!AW34,'Data Training 2'!AW40,'Data Training 2'!AW43,'Data Training 2'!AW52,'Data Training 2'!AW58,'Data Training 2'!AW64,'Data Training 2'!AW70,'Data Training 2'!AW75,'Data Training 2'!AW80,'Data Training 2'!AW85,'Data Training 2'!AW92,'Data Training 2'!AW100,'Data Training 2'!AW106,'Data Training 2'!AW110,'Data Training 2'!AW118,'Data Training 2'!AW124,'Data Training 2'!AW128,'Data Training 2'!AW136,'Data Training 2'!AW140,'Data Training 2'!AW145,'Data Training 2'!AW153,'Data Training 2'!AW159,'Data Training 2'!AW164,'Data Training 2'!AW167,'Data Training 2'!AW171,'Data Training 2'!AW175,'Data Training 2'!AW179,'Data Training 2'!AW183,'Data Training 2'!AW187,'Data Training 2'!AW192,'Data Training 2'!AW195,'Data Training 2'!AW200,'Data Training 2'!AW204,'Data Training 2'!AW207,'Data Training 2'!AW212,'Data Training 2'!AW216)</f>
        <v>1.1287515354034849E-10</v>
      </c>
    </row>
    <row r="358" spans="41:79" x14ac:dyDescent="0.3">
      <c r="AO358" s="67" t="s">
        <v>508</v>
      </c>
      <c r="AP358" s="67"/>
      <c r="AQ358" s="43">
        <f>PRODUCT('Data Training 2'!AW26,'Data Training 2'!AX34,'Data Training 2'!AX40,'Data Training 2'!AX43,'Data Training 2'!AX52,'Data Training 2'!AX58,'Data Training 2'!AX64,'Data Training 2'!AX70,'Data Training 2'!AX75,'Data Training 2'!AX80,'Data Training 2'!AX85,'Data Training 2'!AX92,'Data Training 2'!AX100,'Data Training 2'!AX106,'Data Training 2'!AX110,'Data Training 2'!AX118,'Data Training 2'!AX124,'Data Training 2'!AX128,'Data Training 2'!AX136,'Data Training 2'!AX140,'Data Training 2'!AX145,'Data Training 2'!AX153,'Data Training 2'!AX159,'Data Training 2'!AX164,'Data Training 2'!AX167,'Data Training 2'!AX171,'Data Training 2'!AX175,'Data Training 2'!AX179,'Data Training 2'!AX183,'Data Training 2'!AX187,'Data Training 2'!AX192,'Data Training 2'!AX195,'Data Training 2'!AX200,'Data Training 2'!AX204,'Data Training 2'!AX207,'Data Training 2'!AX212,'Data Training 2'!AX216)</f>
        <v>0</v>
      </c>
    </row>
    <row r="359" spans="41:79" x14ac:dyDescent="0.3">
      <c r="AO359" s="67" t="s">
        <v>509</v>
      </c>
      <c r="AP359" s="67"/>
      <c r="AQ359" s="43">
        <f>PRODUCT('Data Training 2'!AW27,'Data Training 2'!AY34,'Data Training 2'!AY40,'Data Training 2'!AY43,'Data Training 2'!AY52,'Data Training 2'!AY58,'Data Training 2'!AY64,'Data Training 2'!AY70,'Data Training 2'!AY75,'Data Training 2'!AY80,'Data Training 2'!AY85,'Data Training 2'!AY92,'Data Training 2'!AY100,'Data Training 2'!AY106,'Data Training 2'!AY110,'Data Training 2'!AY118,'Data Training 2'!AY124,'Data Training 2'!AY128,'Data Training 2'!AY136,'Data Training 2'!AY140,'Data Training 2'!AY145,'Data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2.9043588077764822E-9</v>
      </c>
    </row>
    <row r="360" spans="41:79" x14ac:dyDescent="0.3">
      <c r="AO360" s="76" t="s">
        <v>437</v>
      </c>
      <c r="AP360" s="76"/>
      <c r="AQ360" t="s">
        <v>298</v>
      </c>
      <c r="AR360" s="74" t="s">
        <v>438</v>
      </c>
      <c r="AS360" s="74"/>
      <c r="AT360" s="74"/>
    </row>
    <row r="362" spans="41:79" x14ac:dyDescent="0.3">
      <c r="AO362" s="85"/>
      <c r="AP362" s="85"/>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spans="41:79" x14ac:dyDescent="0.3">
      <c r="AO363" s="85"/>
      <c r="AP363" s="85"/>
    </row>
    <row r="364" spans="41:79" x14ac:dyDescent="0.3">
      <c r="AO364" s="67"/>
      <c r="AP364" s="67"/>
    </row>
    <row r="365" spans="41:79" x14ac:dyDescent="0.3">
      <c r="AO365" s="67"/>
      <c r="AP365" s="67"/>
    </row>
    <row r="366" spans="41:79" x14ac:dyDescent="0.3">
      <c r="AO366" s="67"/>
      <c r="AP366" s="67"/>
      <c r="AQ366" s="43"/>
    </row>
    <row r="367" spans="41:79" x14ac:dyDescent="0.3">
      <c r="AO367" s="67"/>
      <c r="AP367" s="67"/>
      <c r="AQ367" s="43"/>
    </row>
    <row r="368" spans="41:79" x14ac:dyDescent="0.3">
      <c r="AO368" s="67"/>
      <c r="AP368" s="67"/>
      <c r="AQ368" s="43"/>
    </row>
    <row r="369" spans="41:79" x14ac:dyDescent="0.3">
      <c r="AO369" s="67"/>
      <c r="AP369" s="67"/>
      <c r="AQ369" s="43"/>
    </row>
    <row r="370" spans="41:79" x14ac:dyDescent="0.3">
      <c r="AO370" s="67"/>
      <c r="AP370" s="67"/>
      <c r="AR370" s="67"/>
      <c r="AS370" s="67"/>
      <c r="AT370" s="67"/>
    </row>
    <row r="372" spans="41:79" x14ac:dyDescent="0.3">
      <c r="AO372" s="85"/>
      <c r="AP372" s="85"/>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spans="41:79" x14ac:dyDescent="0.3">
      <c r="AO373" s="85"/>
      <c r="AP373" s="85"/>
    </row>
    <row r="374" spans="41:79" x14ac:dyDescent="0.3">
      <c r="AO374" s="67"/>
      <c r="AP374" s="67"/>
      <c r="AQ374" s="43"/>
    </row>
    <row r="375" spans="41:79" x14ac:dyDescent="0.3">
      <c r="AO375" s="67"/>
      <c r="AP375" s="67"/>
      <c r="AQ375" s="43"/>
    </row>
    <row r="376" spans="41:79" x14ac:dyDescent="0.3">
      <c r="AO376" s="67"/>
      <c r="AP376" s="67"/>
      <c r="AQ376" s="43"/>
    </row>
    <row r="377" spans="41:79" x14ac:dyDescent="0.3">
      <c r="AO377" s="67"/>
      <c r="AP377" s="67"/>
      <c r="AQ377" s="43"/>
    </row>
    <row r="378" spans="41:79" x14ac:dyDescent="0.3">
      <c r="AO378" s="67"/>
      <c r="AP378" s="67"/>
      <c r="AQ378" s="43"/>
    </row>
    <row r="379" spans="41:79" x14ac:dyDescent="0.3">
      <c r="AO379" s="67"/>
      <c r="AP379" s="67"/>
      <c r="AQ379" s="43"/>
    </row>
    <row r="380" spans="41:79" x14ac:dyDescent="0.3">
      <c r="AO380" s="67"/>
      <c r="AP380" s="67"/>
      <c r="AR380" s="67"/>
      <c r="AS380" s="67"/>
      <c r="AT380" s="67"/>
    </row>
    <row r="382" spans="41:79" x14ac:dyDescent="0.3">
      <c r="AO382" s="85"/>
      <c r="AP382" s="85"/>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spans="41:79" x14ac:dyDescent="0.3">
      <c r="AO383" s="85"/>
      <c r="AP383" s="85"/>
    </row>
    <row r="384" spans="41:79" x14ac:dyDescent="0.3">
      <c r="AO384" s="67"/>
      <c r="AP384" s="67"/>
      <c r="AQ384" s="43"/>
    </row>
    <row r="385" spans="41:79" x14ac:dyDescent="0.3">
      <c r="AO385" s="67"/>
      <c r="AP385" s="67"/>
      <c r="AQ385" s="43"/>
    </row>
    <row r="386" spans="41:79" x14ac:dyDescent="0.3">
      <c r="AO386" s="67"/>
      <c r="AP386" s="67"/>
      <c r="AQ386" s="43"/>
    </row>
    <row r="387" spans="41:79" x14ac:dyDescent="0.3">
      <c r="AO387" s="67"/>
      <c r="AP387" s="67"/>
      <c r="AQ387" s="43"/>
    </row>
    <row r="388" spans="41:79" x14ac:dyDescent="0.3">
      <c r="AO388" s="67"/>
      <c r="AP388" s="67"/>
      <c r="AQ388" s="43"/>
    </row>
    <row r="389" spans="41:79" x14ac:dyDescent="0.3">
      <c r="AO389" s="67"/>
      <c r="AP389" s="67"/>
      <c r="AQ389" s="43"/>
    </row>
    <row r="390" spans="41:79" x14ac:dyDescent="0.3">
      <c r="AO390" s="67"/>
      <c r="AP390" s="67"/>
      <c r="AR390" s="67"/>
      <c r="AS390" s="67"/>
      <c r="AT390" s="67"/>
    </row>
    <row r="392" spans="41:79" x14ac:dyDescent="0.3">
      <c r="AO392" s="85"/>
      <c r="AP392" s="85"/>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spans="41:79" x14ac:dyDescent="0.3">
      <c r="AO393" s="85"/>
      <c r="AP393" s="85"/>
    </row>
    <row r="394" spans="41:79" x14ac:dyDescent="0.3">
      <c r="AO394" s="67"/>
      <c r="AP394" s="67"/>
      <c r="AQ394" s="43"/>
    </row>
    <row r="395" spans="41:79" x14ac:dyDescent="0.3">
      <c r="AO395" s="67"/>
      <c r="AP395" s="67"/>
      <c r="AQ395" s="43"/>
    </row>
    <row r="396" spans="41:79" x14ac:dyDescent="0.3">
      <c r="AO396" s="67"/>
      <c r="AP396" s="67"/>
      <c r="AQ396" s="43"/>
    </row>
    <row r="397" spans="41:79" x14ac:dyDescent="0.3">
      <c r="AO397" s="67"/>
      <c r="AP397" s="67"/>
      <c r="AQ397" s="43"/>
    </row>
    <row r="398" spans="41:79" x14ac:dyDescent="0.3">
      <c r="AO398" s="67"/>
      <c r="AP398" s="67"/>
      <c r="AQ398" s="43"/>
    </row>
    <row r="399" spans="41:79" x14ac:dyDescent="0.3">
      <c r="AO399" s="67"/>
      <c r="AP399" s="67"/>
      <c r="AQ399" s="43"/>
    </row>
    <row r="400" spans="41:79" x14ac:dyDescent="0.3">
      <c r="AO400" s="67"/>
      <c r="AP400" s="67"/>
      <c r="AR400" s="67"/>
      <c r="AS400" s="67"/>
      <c r="AT400" s="67"/>
    </row>
    <row r="402" spans="41:79" x14ac:dyDescent="0.3">
      <c r="AO402" s="85"/>
      <c r="AP402" s="85"/>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spans="41:79" x14ac:dyDescent="0.3">
      <c r="AO403" s="85"/>
      <c r="AP403" s="85"/>
    </row>
    <row r="404" spans="41:79" x14ac:dyDescent="0.3">
      <c r="AO404" s="67"/>
      <c r="AP404" s="67"/>
      <c r="AQ404" s="43"/>
    </row>
    <row r="405" spans="41:79" x14ac:dyDescent="0.3">
      <c r="AO405" s="67"/>
      <c r="AP405" s="67"/>
      <c r="AQ405" s="43"/>
    </row>
    <row r="406" spans="41:79" x14ac:dyDescent="0.3">
      <c r="AO406" s="67"/>
      <c r="AP406" s="67"/>
      <c r="AQ406" s="43"/>
    </row>
    <row r="407" spans="41:79" x14ac:dyDescent="0.3">
      <c r="AO407" s="67"/>
      <c r="AP407" s="67"/>
      <c r="AQ407" s="43"/>
    </row>
    <row r="408" spans="41:79" x14ac:dyDescent="0.3">
      <c r="AO408" s="67"/>
      <c r="AP408" s="67"/>
      <c r="AQ408" s="43"/>
    </row>
    <row r="409" spans="41:79" x14ac:dyDescent="0.3">
      <c r="AO409" s="67"/>
      <c r="AP409" s="67"/>
      <c r="AQ409" s="43"/>
    </row>
    <row r="410" spans="41:79" x14ac:dyDescent="0.3">
      <c r="AO410" s="67"/>
      <c r="AP410" s="67"/>
      <c r="AR410" s="67"/>
      <c r="AS410" s="67"/>
      <c r="AT410" s="67"/>
    </row>
    <row r="412" spans="41:79" x14ac:dyDescent="0.3">
      <c r="AO412" s="85"/>
      <c r="AP412" s="85"/>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spans="41:79" x14ac:dyDescent="0.3">
      <c r="AO413" s="85"/>
      <c r="AP413" s="85"/>
    </row>
    <row r="414" spans="41:79" x14ac:dyDescent="0.3">
      <c r="AO414" s="67"/>
      <c r="AP414" s="67"/>
      <c r="AQ414" s="43"/>
    </row>
    <row r="415" spans="41:79" x14ac:dyDescent="0.3">
      <c r="AO415" s="67"/>
      <c r="AP415" s="67"/>
      <c r="AQ415" s="43"/>
    </row>
    <row r="416" spans="41:79" x14ac:dyDescent="0.3">
      <c r="AO416" s="67"/>
      <c r="AP416" s="67"/>
      <c r="AQ416" s="43"/>
    </row>
    <row r="417" spans="41:79" x14ac:dyDescent="0.3">
      <c r="AO417" s="67"/>
      <c r="AP417" s="67"/>
      <c r="AQ417" s="43"/>
    </row>
    <row r="418" spans="41:79" x14ac:dyDescent="0.3">
      <c r="AO418" s="67"/>
      <c r="AP418" s="67"/>
      <c r="AQ418" s="43"/>
    </row>
    <row r="419" spans="41:79" x14ac:dyDescent="0.3">
      <c r="AO419" s="67"/>
      <c r="AP419" s="67"/>
      <c r="AQ419" s="43"/>
    </row>
    <row r="420" spans="41:79" x14ac:dyDescent="0.3">
      <c r="AO420" s="67"/>
      <c r="AP420" s="67"/>
      <c r="AR420" s="67"/>
      <c r="AS420" s="67"/>
      <c r="AT420" s="67"/>
    </row>
    <row r="422" spans="41:79" x14ac:dyDescent="0.3">
      <c r="AO422" s="85"/>
      <c r="AP422" s="85"/>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spans="41:79" x14ac:dyDescent="0.3">
      <c r="AO423" s="85"/>
      <c r="AP423" s="85"/>
    </row>
    <row r="424" spans="41:79" x14ac:dyDescent="0.3">
      <c r="AO424" s="67"/>
      <c r="AP424" s="67"/>
      <c r="AQ424" s="43"/>
    </row>
    <row r="425" spans="41:79" x14ac:dyDescent="0.3">
      <c r="AO425" s="67"/>
      <c r="AP425" s="67"/>
      <c r="AQ425" s="43"/>
    </row>
    <row r="426" spans="41:79" x14ac:dyDescent="0.3">
      <c r="AO426" s="67"/>
      <c r="AP426" s="67"/>
      <c r="AQ426" s="43"/>
    </row>
    <row r="427" spans="41:79" x14ac:dyDescent="0.3">
      <c r="AO427" s="67"/>
      <c r="AP427" s="67"/>
      <c r="AQ427" s="43"/>
    </row>
    <row r="428" spans="41:79" x14ac:dyDescent="0.3">
      <c r="AO428" s="67"/>
      <c r="AP428" s="67"/>
      <c r="AQ428" s="43"/>
    </row>
    <row r="429" spans="41:79" x14ac:dyDescent="0.3">
      <c r="AO429" s="67"/>
      <c r="AP429" s="67"/>
      <c r="AQ429" s="43"/>
    </row>
    <row r="430" spans="41:79" x14ac:dyDescent="0.3">
      <c r="AO430" s="67"/>
      <c r="AP430" s="67"/>
      <c r="AR430" s="67"/>
      <c r="AS430" s="67"/>
      <c r="AT430" s="67"/>
    </row>
    <row r="432" spans="41:79" x14ac:dyDescent="0.3">
      <c r="AO432" s="85"/>
      <c r="AP432" s="85"/>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spans="41:79" x14ac:dyDescent="0.3">
      <c r="AO433" s="85"/>
      <c r="AP433" s="85"/>
    </row>
    <row r="434" spans="41:79" x14ac:dyDescent="0.3">
      <c r="AO434" s="67"/>
      <c r="AP434" s="67"/>
      <c r="AQ434" s="43"/>
    </row>
    <row r="435" spans="41:79" x14ac:dyDescent="0.3">
      <c r="AO435" s="67"/>
      <c r="AP435" s="67"/>
    </row>
    <row r="436" spans="41:79" x14ac:dyDescent="0.3">
      <c r="AO436" s="67"/>
      <c r="AP436" s="67"/>
    </row>
    <row r="437" spans="41:79" x14ac:dyDescent="0.3">
      <c r="AO437" s="67"/>
      <c r="AP437" s="67"/>
    </row>
    <row r="438" spans="41:79" x14ac:dyDescent="0.3">
      <c r="AO438" s="67"/>
      <c r="AP438" s="67"/>
    </row>
    <row r="439" spans="41:79" x14ac:dyDescent="0.3">
      <c r="AO439" s="67"/>
      <c r="AP439" s="67"/>
    </row>
    <row r="440" spans="41:79" x14ac:dyDescent="0.3">
      <c r="AO440" s="67"/>
      <c r="AP440" s="67"/>
      <c r="AR440" s="67"/>
      <c r="AS440" s="67"/>
      <c r="AT440" s="67"/>
    </row>
    <row r="442" spans="41:79" x14ac:dyDescent="0.3">
      <c r="AO442" s="85"/>
      <c r="AP442" s="85"/>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spans="41:79" x14ac:dyDescent="0.3">
      <c r="AO443" s="85"/>
      <c r="AP443" s="85"/>
    </row>
    <row r="444" spans="41:79" x14ac:dyDescent="0.3">
      <c r="AO444" s="67"/>
      <c r="AP444" s="67"/>
    </row>
    <row r="445" spans="41:79" x14ac:dyDescent="0.3">
      <c r="AO445" s="67"/>
      <c r="AP445" s="67"/>
    </row>
    <row r="446" spans="41:79" x14ac:dyDescent="0.3">
      <c r="AO446" s="67"/>
      <c r="AP446" s="67"/>
    </row>
    <row r="447" spans="41:79" x14ac:dyDescent="0.3">
      <c r="AO447" s="67"/>
      <c r="AP447" s="67"/>
    </row>
    <row r="448" spans="41:79" x14ac:dyDescent="0.3">
      <c r="AO448" s="67"/>
      <c r="AP448" s="67"/>
    </row>
    <row r="449" spans="41:79" x14ac:dyDescent="0.3">
      <c r="AO449" s="67"/>
      <c r="AP449" s="67"/>
    </row>
    <row r="450" spans="41:79" x14ac:dyDescent="0.3">
      <c r="AO450" s="67"/>
      <c r="AP450" s="67"/>
      <c r="AR450" s="67"/>
      <c r="AS450" s="67"/>
      <c r="AT450" s="67"/>
    </row>
    <row r="451" spans="41:79" x14ac:dyDescent="0.3">
      <c r="AO451" s="67"/>
      <c r="AP451" s="67"/>
    </row>
    <row r="452" spans="41:79" x14ac:dyDescent="0.3">
      <c r="AO452" s="85"/>
      <c r="AP452" s="85"/>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spans="41:79" x14ac:dyDescent="0.3">
      <c r="AO453" s="85"/>
      <c r="AP453" s="85"/>
    </row>
    <row r="454" spans="41:79" x14ac:dyDescent="0.3">
      <c r="AO454" s="67"/>
      <c r="AP454" s="67"/>
      <c r="AQ454" s="43"/>
    </row>
    <row r="455" spans="41:79" x14ac:dyDescent="0.3">
      <c r="AO455" s="67"/>
      <c r="AP455" s="67"/>
    </row>
    <row r="456" spans="41:79" x14ac:dyDescent="0.3">
      <c r="AO456" s="67"/>
      <c r="AP456" s="67"/>
    </row>
    <row r="457" spans="41:79" x14ac:dyDescent="0.3">
      <c r="AO457" s="67"/>
      <c r="AP457" s="67"/>
    </row>
    <row r="458" spans="41:79" x14ac:dyDescent="0.3">
      <c r="AO458" s="67"/>
      <c r="AP458" s="67"/>
    </row>
    <row r="459" spans="41:79" x14ac:dyDescent="0.3">
      <c r="AO459" s="67"/>
      <c r="AP459" s="67"/>
    </row>
    <row r="460" spans="41:79" x14ac:dyDescent="0.3">
      <c r="AO460" s="67"/>
      <c r="AP460" s="67"/>
      <c r="AR460" s="67"/>
      <c r="AS460" s="67"/>
      <c r="AT460" s="67"/>
    </row>
    <row r="462" spans="41:79" x14ac:dyDescent="0.3">
      <c r="AO462" s="85"/>
      <c r="AP462" s="85"/>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spans="41:79" x14ac:dyDescent="0.3">
      <c r="AO463" s="85"/>
      <c r="AP463" s="85"/>
    </row>
    <row r="464" spans="41:79" x14ac:dyDescent="0.3">
      <c r="AO464" s="67"/>
      <c r="AP464" s="67"/>
    </row>
    <row r="465" spans="41:79" x14ac:dyDescent="0.3">
      <c r="AO465" s="67"/>
      <c r="AP465" s="67"/>
    </row>
    <row r="466" spans="41:79" x14ac:dyDescent="0.3">
      <c r="AO466" s="67"/>
      <c r="AP466" s="67"/>
    </row>
    <row r="467" spans="41:79" x14ac:dyDescent="0.3">
      <c r="AO467" s="67"/>
      <c r="AP467" s="67"/>
    </row>
    <row r="468" spans="41:79" x14ac:dyDescent="0.3">
      <c r="AO468" s="67"/>
      <c r="AP468" s="67"/>
    </row>
    <row r="469" spans="41:79" x14ac:dyDescent="0.3">
      <c r="AO469" s="67"/>
      <c r="AP469" s="67"/>
    </row>
    <row r="470" spans="41:79" x14ac:dyDescent="0.3">
      <c r="AO470" s="67"/>
      <c r="AP470" s="67"/>
      <c r="AR470" s="67"/>
      <c r="AS470" s="67"/>
      <c r="AT470" s="67"/>
    </row>
    <row r="471" spans="41:79" x14ac:dyDescent="0.3">
      <c r="AO471" s="41"/>
      <c r="AP471" s="41"/>
    </row>
    <row r="472" spans="41:79" x14ac:dyDescent="0.3">
      <c r="AO472" s="85"/>
      <c r="AP472" s="85"/>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spans="41:79" x14ac:dyDescent="0.3">
      <c r="AO473" s="85"/>
      <c r="AP473" s="85"/>
    </row>
    <row r="474" spans="41:79" x14ac:dyDescent="0.3">
      <c r="AO474" s="67"/>
      <c r="AP474" s="67"/>
      <c r="AQ474" s="43"/>
    </row>
    <row r="475" spans="41:79" x14ac:dyDescent="0.3">
      <c r="AO475" s="67"/>
      <c r="AP475" s="67"/>
    </row>
    <row r="476" spans="41:79" x14ac:dyDescent="0.3">
      <c r="AO476" s="67"/>
      <c r="AP476" s="67"/>
    </row>
    <row r="477" spans="41:79" x14ac:dyDescent="0.3">
      <c r="AO477" s="67"/>
      <c r="AP477" s="67"/>
    </row>
    <row r="478" spans="41:79" x14ac:dyDescent="0.3">
      <c r="AO478" s="67"/>
      <c r="AP478" s="67"/>
    </row>
    <row r="479" spans="41:79" x14ac:dyDescent="0.3">
      <c r="AO479" s="67"/>
      <c r="AP479" s="67"/>
    </row>
    <row r="480" spans="41:79" x14ac:dyDescent="0.3">
      <c r="AO480" s="67"/>
      <c r="AP480" s="67"/>
      <c r="AR480" s="67"/>
      <c r="AS480" s="67"/>
      <c r="AT480" s="67"/>
    </row>
    <row r="482" spans="41:79" x14ac:dyDescent="0.3">
      <c r="AO482" s="72"/>
      <c r="AP482" s="7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spans="41:79" x14ac:dyDescent="0.3">
      <c r="AO483" s="72"/>
      <c r="AP483" s="72"/>
    </row>
    <row r="484" spans="41:79" x14ac:dyDescent="0.3">
      <c r="AO484" s="67"/>
      <c r="AP484" s="67"/>
      <c r="AQ484" s="43"/>
    </row>
    <row r="485" spans="41:79" x14ac:dyDescent="0.3">
      <c r="AO485" s="67"/>
      <c r="AP485" s="67"/>
    </row>
    <row r="486" spans="41:79" x14ac:dyDescent="0.3">
      <c r="AO486" s="67"/>
      <c r="AP486" s="67"/>
    </row>
    <row r="487" spans="41:79" x14ac:dyDescent="0.3">
      <c r="AO487" s="67"/>
      <c r="AP487" s="67"/>
    </row>
    <row r="488" spans="41:79" x14ac:dyDescent="0.3">
      <c r="AO488" s="67"/>
      <c r="AP488" s="67"/>
    </row>
    <row r="489" spans="41:79" x14ac:dyDescent="0.3">
      <c r="AO489" s="67"/>
      <c r="AP489" s="67"/>
    </row>
    <row r="490" spans="41:79" x14ac:dyDescent="0.3">
      <c r="AO490" s="67"/>
      <c r="AP490" s="67"/>
      <c r="AR490" s="67"/>
      <c r="AS490" s="67"/>
      <c r="AT490" s="67"/>
    </row>
    <row r="492" spans="41:79" x14ac:dyDescent="0.3">
      <c r="AO492" s="72"/>
      <c r="AP492" s="7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spans="41:79" x14ac:dyDescent="0.3">
      <c r="AO493" s="72"/>
      <c r="AP493" s="72"/>
    </row>
    <row r="494" spans="41:79" x14ac:dyDescent="0.3">
      <c r="AO494" s="67"/>
      <c r="AP494" s="67"/>
      <c r="AQ494" s="43"/>
    </row>
    <row r="495" spans="41:79" x14ac:dyDescent="0.3">
      <c r="AO495" s="67"/>
      <c r="AP495" s="67"/>
    </row>
    <row r="496" spans="41:79" x14ac:dyDescent="0.3">
      <c r="AO496" s="67"/>
      <c r="AP496" s="67"/>
    </row>
    <row r="497" spans="41:79" x14ac:dyDescent="0.3">
      <c r="AO497" s="67"/>
      <c r="AP497" s="67"/>
    </row>
    <row r="498" spans="41:79" x14ac:dyDescent="0.3">
      <c r="AO498" s="67"/>
      <c r="AP498" s="67"/>
    </row>
    <row r="499" spans="41:79" x14ac:dyDescent="0.3">
      <c r="AO499" s="67"/>
      <c r="AP499" s="67"/>
    </row>
    <row r="500" spans="41:79" x14ac:dyDescent="0.3">
      <c r="AO500" s="67"/>
      <c r="AP500" s="67"/>
      <c r="AR500" s="67"/>
      <c r="AS500" s="67"/>
      <c r="AT500" s="67"/>
    </row>
    <row r="502" spans="41:79" x14ac:dyDescent="0.3">
      <c r="AO502" s="72"/>
      <c r="AP502" s="7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spans="41:79" x14ac:dyDescent="0.3">
      <c r="AO503" s="72"/>
      <c r="AP503" s="72"/>
    </row>
    <row r="504" spans="41:79" x14ac:dyDescent="0.3">
      <c r="AO504" s="67"/>
      <c r="AP504" s="67"/>
      <c r="AQ504" s="43"/>
    </row>
    <row r="505" spans="41:79" x14ac:dyDescent="0.3">
      <c r="AO505" s="67"/>
      <c r="AP505" s="67"/>
    </row>
    <row r="506" spans="41:79" x14ac:dyDescent="0.3">
      <c r="AO506" s="67"/>
      <c r="AP506" s="67"/>
    </row>
    <row r="507" spans="41:79" x14ac:dyDescent="0.3">
      <c r="AO507" s="67"/>
      <c r="AP507" s="67"/>
    </row>
    <row r="508" spans="41:79" x14ac:dyDescent="0.3">
      <c r="AO508" s="67"/>
      <c r="AP508" s="67"/>
    </row>
    <row r="509" spans="41:79" x14ac:dyDescent="0.3">
      <c r="AO509" s="67"/>
      <c r="AP509" s="67"/>
    </row>
    <row r="510" spans="41:79" x14ac:dyDescent="0.3">
      <c r="AO510" s="67"/>
      <c r="AP510" s="67"/>
      <c r="AR510" s="67"/>
      <c r="AS510" s="67"/>
      <c r="AT510" s="67"/>
    </row>
    <row r="512" spans="41:79" x14ac:dyDescent="0.3">
      <c r="AO512" s="72"/>
      <c r="AP512" s="7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spans="41:79" x14ac:dyDescent="0.3">
      <c r="AO513" s="72"/>
      <c r="AP513" s="72"/>
    </row>
    <row r="514" spans="41:79" x14ac:dyDescent="0.3">
      <c r="AO514" s="67"/>
      <c r="AP514" s="67"/>
      <c r="AQ514" s="43"/>
    </row>
    <row r="515" spans="41:79" x14ac:dyDescent="0.3">
      <c r="AO515" s="67"/>
      <c r="AP515" s="67"/>
    </row>
    <row r="516" spans="41:79" x14ac:dyDescent="0.3">
      <c r="AO516" s="67"/>
      <c r="AP516" s="67"/>
    </row>
    <row r="517" spans="41:79" x14ac:dyDescent="0.3">
      <c r="AO517" s="67"/>
      <c r="AP517" s="67"/>
    </row>
    <row r="518" spans="41:79" x14ac:dyDescent="0.3">
      <c r="AO518" s="67"/>
      <c r="AP518" s="67"/>
    </row>
    <row r="519" spans="41:79" x14ac:dyDescent="0.3">
      <c r="AO519" s="67"/>
      <c r="AP519" s="67"/>
    </row>
    <row r="520" spans="41:79" x14ac:dyDescent="0.3">
      <c r="AO520" s="67"/>
      <c r="AP520" s="67"/>
      <c r="AR520" s="67"/>
      <c r="AS520" s="67"/>
      <c r="AT520" s="67"/>
    </row>
    <row r="522" spans="41:79" x14ac:dyDescent="0.3">
      <c r="AO522" s="72"/>
      <c r="AP522" s="7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spans="41:79" x14ac:dyDescent="0.3">
      <c r="AO523" s="72"/>
      <c r="AP523" s="72"/>
    </row>
    <row r="524" spans="41:79" x14ac:dyDescent="0.3">
      <c r="AO524" s="67"/>
      <c r="AP524" s="67"/>
    </row>
    <row r="525" spans="41:79" x14ac:dyDescent="0.3">
      <c r="AO525" s="67"/>
      <c r="AP525" s="67"/>
    </row>
    <row r="526" spans="41:79" x14ac:dyDescent="0.3">
      <c r="AO526" s="67"/>
      <c r="AP526" s="67"/>
    </row>
    <row r="527" spans="41:79" x14ac:dyDescent="0.3">
      <c r="AO527" s="67"/>
      <c r="AP527" s="67"/>
    </row>
    <row r="528" spans="41:79" x14ac:dyDescent="0.3">
      <c r="AO528" s="67"/>
      <c r="AP528" s="67"/>
    </row>
    <row r="529" spans="41:79" x14ac:dyDescent="0.3">
      <c r="AO529" s="67"/>
      <c r="AP529" s="67"/>
    </row>
    <row r="530" spans="41:79" x14ac:dyDescent="0.3">
      <c r="AO530" s="67"/>
      <c r="AP530" s="67"/>
      <c r="AR530" s="67"/>
      <c r="AS530" s="67"/>
      <c r="AT530" s="67"/>
    </row>
    <row r="532" spans="41:79" x14ac:dyDescent="0.3">
      <c r="AO532" s="72"/>
      <c r="AP532" s="7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spans="41:79" x14ac:dyDescent="0.3">
      <c r="AO533" s="72"/>
      <c r="AP533" s="72"/>
    </row>
    <row r="534" spans="41:79" x14ac:dyDescent="0.3">
      <c r="AO534" s="67"/>
      <c r="AP534" s="67"/>
      <c r="AQ534" s="43"/>
    </row>
    <row r="535" spans="41:79" x14ac:dyDescent="0.3">
      <c r="AO535" s="67"/>
      <c r="AP535" s="67"/>
    </row>
    <row r="536" spans="41:79" x14ac:dyDescent="0.3">
      <c r="AO536" s="67"/>
      <c r="AP536" s="67"/>
    </row>
    <row r="537" spans="41:79" x14ac:dyDescent="0.3">
      <c r="AO537" s="67"/>
      <c r="AP537" s="67"/>
    </row>
    <row r="538" spans="41:79" x14ac:dyDescent="0.3">
      <c r="AO538" s="67"/>
      <c r="AP538" s="67"/>
    </row>
    <row r="539" spans="41:79" x14ac:dyDescent="0.3">
      <c r="AO539" s="67"/>
      <c r="AP539" s="67"/>
    </row>
    <row r="540" spans="41:79" x14ac:dyDescent="0.3">
      <c r="AO540" s="67"/>
      <c r="AP540" s="67"/>
      <c r="AR540" s="67"/>
      <c r="AS540" s="67"/>
      <c r="AT540" s="67"/>
    </row>
  </sheetData>
  <mergeCells count="461">
    <mergeCell ref="AO537:AP537"/>
    <mergeCell ref="AO538:AP538"/>
    <mergeCell ref="AO539:AP539"/>
    <mergeCell ref="AO540:AP540"/>
    <mergeCell ref="AR540:AT540"/>
    <mergeCell ref="AO530:AP530"/>
    <mergeCell ref="AR530:AT530"/>
    <mergeCell ref="AO532:AP533"/>
    <mergeCell ref="AO534:AP534"/>
    <mergeCell ref="AO535:AP535"/>
    <mergeCell ref="AO536:AP536"/>
    <mergeCell ref="AO524:AP524"/>
    <mergeCell ref="AO525:AP525"/>
    <mergeCell ref="AO526:AP526"/>
    <mergeCell ref="AO527:AP527"/>
    <mergeCell ref="AO528:AP528"/>
    <mergeCell ref="AO529:AP529"/>
    <mergeCell ref="AO517:AP517"/>
    <mergeCell ref="AO518:AP518"/>
    <mergeCell ref="AO519:AP519"/>
    <mergeCell ref="AO520:AP520"/>
    <mergeCell ref="AR520:AT520"/>
    <mergeCell ref="AO522:AP523"/>
    <mergeCell ref="AO510:AP510"/>
    <mergeCell ref="AR510:AT510"/>
    <mergeCell ref="AO512:AP513"/>
    <mergeCell ref="AO514:AP514"/>
    <mergeCell ref="AO515:AP515"/>
    <mergeCell ref="AO516:AP516"/>
    <mergeCell ref="AO504:AP504"/>
    <mergeCell ref="AO505:AP505"/>
    <mergeCell ref="AO506:AP506"/>
    <mergeCell ref="AO507:AP507"/>
    <mergeCell ref="AO508:AP508"/>
    <mergeCell ref="AO509:AP509"/>
    <mergeCell ref="AO497:AP497"/>
    <mergeCell ref="AO498:AP498"/>
    <mergeCell ref="AO499:AP499"/>
    <mergeCell ref="AO500:AP500"/>
    <mergeCell ref="AR500:AT500"/>
    <mergeCell ref="AO502:AP503"/>
    <mergeCell ref="AO490:AP490"/>
    <mergeCell ref="AR490:AT490"/>
    <mergeCell ref="AO492:AP493"/>
    <mergeCell ref="AO494:AP494"/>
    <mergeCell ref="AO495:AP495"/>
    <mergeCell ref="AO496:AP496"/>
    <mergeCell ref="AO484:AP484"/>
    <mergeCell ref="AO485:AP485"/>
    <mergeCell ref="AO486:AP486"/>
    <mergeCell ref="AO487:AP487"/>
    <mergeCell ref="AO488:AP488"/>
    <mergeCell ref="AO489:AP489"/>
    <mergeCell ref="AO477:AP477"/>
    <mergeCell ref="AO478:AP478"/>
    <mergeCell ref="AO479:AP479"/>
    <mergeCell ref="AO480:AP480"/>
    <mergeCell ref="AR480:AT480"/>
    <mergeCell ref="AO482:AP483"/>
    <mergeCell ref="AO470:AP470"/>
    <mergeCell ref="AR470:AT470"/>
    <mergeCell ref="AO472:AP473"/>
    <mergeCell ref="AO474:AP474"/>
    <mergeCell ref="AO475:AP475"/>
    <mergeCell ref="AO476:AP476"/>
    <mergeCell ref="AO464:AP464"/>
    <mergeCell ref="AO465:AP465"/>
    <mergeCell ref="AO466:AP466"/>
    <mergeCell ref="AO467:AP467"/>
    <mergeCell ref="AO468:AP468"/>
    <mergeCell ref="AO469:AP469"/>
    <mergeCell ref="AO457:AP457"/>
    <mergeCell ref="AO458:AP458"/>
    <mergeCell ref="AO459:AP459"/>
    <mergeCell ref="AO460:AP460"/>
    <mergeCell ref="AR460:AT460"/>
    <mergeCell ref="AO462:AP463"/>
    <mergeCell ref="AR450:AT450"/>
    <mergeCell ref="AO451:AP451"/>
    <mergeCell ref="AO452:AP453"/>
    <mergeCell ref="AO454:AP454"/>
    <mergeCell ref="AO455:AP455"/>
    <mergeCell ref="AO456:AP456"/>
    <mergeCell ref="AO445:AP445"/>
    <mergeCell ref="AO446:AP446"/>
    <mergeCell ref="AO447:AP447"/>
    <mergeCell ref="AO448:AP448"/>
    <mergeCell ref="AO449:AP449"/>
    <mergeCell ref="AO450:AP450"/>
    <mergeCell ref="AO438:AP438"/>
    <mergeCell ref="AO439:AP439"/>
    <mergeCell ref="AO440:AP440"/>
    <mergeCell ref="AR440:AT440"/>
    <mergeCell ref="AO442:AP443"/>
    <mergeCell ref="AO444:AP444"/>
    <mergeCell ref="AR430:AT430"/>
    <mergeCell ref="AO432:AP433"/>
    <mergeCell ref="AO434:AP434"/>
    <mergeCell ref="AO435:AP435"/>
    <mergeCell ref="AO436:AP436"/>
    <mergeCell ref="AO437:AP437"/>
    <mergeCell ref="AO425:AP425"/>
    <mergeCell ref="AO426:AP426"/>
    <mergeCell ref="AO427:AP427"/>
    <mergeCell ref="AO428:AP428"/>
    <mergeCell ref="AO429:AP429"/>
    <mergeCell ref="AO430:AP430"/>
    <mergeCell ref="AO418:AP418"/>
    <mergeCell ref="AO419:AP419"/>
    <mergeCell ref="AO420:AP420"/>
    <mergeCell ref="AR420:AT420"/>
    <mergeCell ref="AO422:AP423"/>
    <mergeCell ref="AO424:AP424"/>
    <mergeCell ref="AR410:AT410"/>
    <mergeCell ref="AO412:AP413"/>
    <mergeCell ref="AO414:AP414"/>
    <mergeCell ref="AO415:AP415"/>
    <mergeCell ref="AO416:AP416"/>
    <mergeCell ref="AO417:AP417"/>
    <mergeCell ref="AO405:AP405"/>
    <mergeCell ref="AO406:AP406"/>
    <mergeCell ref="AO407:AP407"/>
    <mergeCell ref="AO408:AP408"/>
    <mergeCell ref="AO409:AP409"/>
    <mergeCell ref="AO410:AP410"/>
    <mergeCell ref="AO398:AP398"/>
    <mergeCell ref="AO399:AP399"/>
    <mergeCell ref="AO400:AP400"/>
    <mergeCell ref="AR400:AT400"/>
    <mergeCell ref="AO402:AP403"/>
    <mergeCell ref="AO404:AP404"/>
    <mergeCell ref="AR390:AT390"/>
    <mergeCell ref="AO392:AP393"/>
    <mergeCell ref="AO394:AP394"/>
    <mergeCell ref="AO395:AP395"/>
    <mergeCell ref="AO396:AP396"/>
    <mergeCell ref="AO397:AP397"/>
    <mergeCell ref="AO385:AP385"/>
    <mergeCell ref="AO386:AP386"/>
    <mergeCell ref="AO387:AP387"/>
    <mergeCell ref="AO388:AP388"/>
    <mergeCell ref="AO389:AP389"/>
    <mergeCell ref="AO390:AP390"/>
    <mergeCell ref="AO378:AP378"/>
    <mergeCell ref="AO379:AP379"/>
    <mergeCell ref="AO380:AP380"/>
    <mergeCell ref="AR380:AT380"/>
    <mergeCell ref="AO382:AP383"/>
    <mergeCell ref="AO384:AP384"/>
    <mergeCell ref="AR370:AT370"/>
    <mergeCell ref="AO372:AP373"/>
    <mergeCell ref="AO374:AP374"/>
    <mergeCell ref="AO375:AP375"/>
    <mergeCell ref="AO376:AP376"/>
    <mergeCell ref="AO377:AP377"/>
    <mergeCell ref="AO365:AP365"/>
    <mergeCell ref="AO366:AP366"/>
    <mergeCell ref="AO367:AP367"/>
    <mergeCell ref="AO368:AP368"/>
    <mergeCell ref="AO369:AP369"/>
    <mergeCell ref="AO370:AP370"/>
    <mergeCell ref="AO358:AP358"/>
    <mergeCell ref="AO359:AP359"/>
    <mergeCell ref="AO360:AP360"/>
    <mergeCell ref="AR360:AT360"/>
    <mergeCell ref="AO362:AP363"/>
    <mergeCell ref="AO364:AP364"/>
    <mergeCell ref="AR350:AT350"/>
    <mergeCell ref="AO352:AP353"/>
    <mergeCell ref="AO354:AP354"/>
    <mergeCell ref="AO355:AP355"/>
    <mergeCell ref="AO356:AP356"/>
    <mergeCell ref="AO357:AP357"/>
    <mergeCell ref="AO345:AP345"/>
    <mergeCell ref="AO346:AP346"/>
    <mergeCell ref="AO347:AP347"/>
    <mergeCell ref="AO348:AP348"/>
    <mergeCell ref="AO349:AP349"/>
    <mergeCell ref="AO350:AP350"/>
    <mergeCell ref="AO338:AP338"/>
    <mergeCell ref="AO339:AP339"/>
    <mergeCell ref="AO340:AP340"/>
    <mergeCell ref="AR340:AT340"/>
    <mergeCell ref="AO342:AP343"/>
    <mergeCell ref="AO344:AP344"/>
    <mergeCell ref="AR330:AT330"/>
    <mergeCell ref="AO332:AP333"/>
    <mergeCell ref="AO334:AP334"/>
    <mergeCell ref="AO335:AP335"/>
    <mergeCell ref="AO336:AP336"/>
    <mergeCell ref="AO337:AP337"/>
    <mergeCell ref="AO325:AP325"/>
    <mergeCell ref="AO326:AP326"/>
    <mergeCell ref="AO327:AP327"/>
    <mergeCell ref="AO328:AP328"/>
    <mergeCell ref="AO329:AP329"/>
    <mergeCell ref="AO330:AP330"/>
    <mergeCell ref="AO318:AP318"/>
    <mergeCell ref="AO319:AP319"/>
    <mergeCell ref="AO320:AP320"/>
    <mergeCell ref="AR320:AT320"/>
    <mergeCell ref="AO322:AP323"/>
    <mergeCell ref="AO324:AP324"/>
    <mergeCell ref="AR310:AT310"/>
    <mergeCell ref="AO312:AP313"/>
    <mergeCell ref="AO314:AP314"/>
    <mergeCell ref="AO315:AP315"/>
    <mergeCell ref="AO316:AP316"/>
    <mergeCell ref="AO317:AP317"/>
    <mergeCell ref="AO305:AP305"/>
    <mergeCell ref="AO306:AP306"/>
    <mergeCell ref="AO307:AP307"/>
    <mergeCell ref="AO308:AP308"/>
    <mergeCell ref="AO309:AP309"/>
    <mergeCell ref="AO310:AP310"/>
    <mergeCell ref="AO298:AP298"/>
    <mergeCell ref="AO299:AP299"/>
    <mergeCell ref="AO300:AP300"/>
    <mergeCell ref="AR300:AT300"/>
    <mergeCell ref="AO302:AP303"/>
    <mergeCell ref="AO304:AP304"/>
    <mergeCell ref="AR290:AT290"/>
    <mergeCell ref="AO292:AP293"/>
    <mergeCell ref="AO294:AP294"/>
    <mergeCell ref="AO295:AP295"/>
    <mergeCell ref="AO296:AP296"/>
    <mergeCell ref="AO297:AP297"/>
    <mergeCell ref="AO285:AP285"/>
    <mergeCell ref="AO286:AP286"/>
    <mergeCell ref="AO287:AP287"/>
    <mergeCell ref="AO288:AP288"/>
    <mergeCell ref="AO289:AP289"/>
    <mergeCell ref="AO290:AP290"/>
    <mergeCell ref="AO278:AP278"/>
    <mergeCell ref="AO279:AP279"/>
    <mergeCell ref="AO280:AP280"/>
    <mergeCell ref="AR280:AT280"/>
    <mergeCell ref="AO282:AP283"/>
    <mergeCell ref="AO284:AP284"/>
    <mergeCell ref="AR270:AT270"/>
    <mergeCell ref="AO272:AP273"/>
    <mergeCell ref="AO274:AP274"/>
    <mergeCell ref="AO275:AP275"/>
    <mergeCell ref="AO276:AP276"/>
    <mergeCell ref="AO277:AP277"/>
    <mergeCell ref="AO265:AP265"/>
    <mergeCell ref="AO266:AP266"/>
    <mergeCell ref="AO267:AP267"/>
    <mergeCell ref="AO268:AP268"/>
    <mergeCell ref="AO269:AP269"/>
    <mergeCell ref="AO270:AP270"/>
    <mergeCell ref="AO258:AP258"/>
    <mergeCell ref="AO259:AP259"/>
    <mergeCell ref="AO260:AP260"/>
    <mergeCell ref="AR260:AT260"/>
    <mergeCell ref="AO262:AP263"/>
    <mergeCell ref="AO264:AP264"/>
    <mergeCell ref="AR250:AT250"/>
    <mergeCell ref="AO252:AP253"/>
    <mergeCell ref="AO254:AP254"/>
    <mergeCell ref="AO255:AP255"/>
    <mergeCell ref="AO256:AP256"/>
    <mergeCell ref="AO257:AP257"/>
    <mergeCell ref="AO245:AP245"/>
    <mergeCell ref="AO246:AP246"/>
    <mergeCell ref="AO247:AP247"/>
    <mergeCell ref="AO248:AP248"/>
    <mergeCell ref="AO249:AP249"/>
    <mergeCell ref="AO250:AP250"/>
    <mergeCell ref="AO238:AP238"/>
    <mergeCell ref="AO239:AP239"/>
    <mergeCell ref="AO240:AP240"/>
    <mergeCell ref="AR240:AT240"/>
    <mergeCell ref="AO242:AP243"/>
    <mergeCell ref="AO244:AP244"/>
    <mergeCell ref="AR230:AT230"/>
    <mergeCell ref="AO232:AP233"/>
    <mergeCell ref="AO234:AP234"/>
    <mergeCell ref="AO235:AP235"/>
    <mergeCell ref="AO236:AP236"/>
    <mergeCell ref="AO237:AP237"/>
    <mergeCell ref="AO225:AP225"/>
    <mergeCell ref="AO226:AP226"/>
    <mergeCell ref="AO227:AP227"/>
    <mergeCell ref="AO228:AP228"/>
    <mergeCell ref="AO229:AP229"/>
    <mergeCell ref="AO230:AP230"/>
    <mergeCell ref="AO218:AP218"/>
    <mergeCell ref="AO219:AP219"/>
    <mergeCell ref="AO220:AP220"/>
    <mergeCell ref="AR220:AT220"/>
    <mergeCell ref="AO222:AP223"/>
    <mergeCell ref="AO224:AP224"/>
    <mergeCell ref="AR210:AT210"/>
    <mergeCell ref="AO212:AP213"/>
    <mergeCell ref="AO214:AP214"/>
    <mergeCell ref="AO215:AP215"/>
    <mergeCell ref="AO216:AP216"/>
    <mergeCell ref="AO217:AP217"/>
    <mergeCell ref="AO205:AP205"/>
    <mergeCell ref="AO206:AP206"/>
    <mergeCell ref="AO207:AP207"/>
    <mergeCell ref="AO208:AP208"/>
    <mergeCell ref="AO209:AP209"/>
    <mergeCell ref="AO210:AP210"/>
    <mergeCell ref="AO198:AP198"/>
    <mergeCell ref="AO199:AP199"/>
    <mergeCell ref="AO200:AP200"/>
    <mergeCell ref="AR200:AT200"/>
    <mergeCell ref="AO202:AP203"/>
    <mergeCell ref="AO204:AP204"/>
    <mergeCell ref="AR190:AT190"/>
    <mergeCell ref="AO192:AP193"/>
    <mergeCell ref="AO194:AP194"/>
    <mergeCell ref="AO195:AP195"/>
    <mergeCell ref="AO196:AP196"/>
    <mergeCell ref="AO197:AP197"/>
    <mergeCell ref="AO185:AP185"/>
    <mergeCell ref="AO186:AP186"/>
    <mergeCell ref="AO187:AP187"/>
    <mergeCell ref="AO188:AP188"/>
    <mergeCell ref="AO189:AP189"/>
    <mergeCell ref="AO190:AP190"/>
    <mergeCell ref="AO178:AP178"/>
    <mergeCell ref="AO179:AP179"/>
    <mergeCell ref="AO180:AP180"/>
    <mergeCell ref="AR180:AT180"/>
    <mergeCell ref="AO182:AP183"/>
    <mergeCell ref="AO184:AP184"/>
    <mergeCell ref="AR170:AT170"/>
    <mergeCell ref="AO172:AP173"/>
    <mergeCell ref="AO174:AP174"/>
    <mergeCell ref="AO175:AP175"/>
    <mergeCell ref="AO176:AP176"/>
    <mergeCell ref="AO177:AP177"/>
    <mergeCell ref="AO165:AP165"/>
    <mergeCell ref="AO166:AP166"/>
    <mergeCell ref="AO167:AP167"/>
    <mergeCell ref="AO168:AP168"/>
    <mergeCell ref="AO169:AP169"/>
    <mergeCell ref="AO170:AP170"/>
    <mergeCell ref="AO158:AP158"/>
    <mergeCell ref="AO159:AP159"/>
    <mergeCell ref="AO160:AP160"/>
    <mergeCell ref="AR160:AT160"/>
    <mergeCell ref="AO162:AP163"/>
    <mergeCell ref="AO164:AP164"/>
    <mergeCell ref="AO149:AP149"/>
    <mergeCell ref="AO150:AP150"/>
    <mergeCell ref="AR150:AT150"/>
    <mergeCell ref="AO152:AP153"/>
    <mergeCell ref="AO156:AP156"/>
    <mergeCell ref="AO157:AP157"/>
    <mergeCell ref="AO140:AP140"/>
    <mergeCell ref="AR140:AT140"/>
    <mergeCell ref="AO142:AP143"/>
    <mergeCell ref="AO146:AP146"/>
    <mergeCell ref="AO147:AP147"/>
    <mergeCell ref="AO148:AP148"/>
    <mergeCell ref="AR130:AT130"/>
    <mergeCell ref="AO132:AP133"/>
    <mergeCell ref="AO136:AP136"/>
    <mergeCell ref="AO137:AP137"/>
    <mergeCell ref="AO138:AP138"/>
    <mergeCell ref="AO139:AP139"/>
    <mergeCell ref="AO122:AP123"/>
    <mergeCell ref="AO126:AP126"/>
    <mergeCell ref="AO127:AP127"/>
    <mergeCell ref="AO128:AP128"/>
    <mergeCell ref="AO129:AP129"/>
    <mergeCell ref="AO130:AP130"/>
    <mergeCell ref="AO116:AP116"/>
    <mergeCell ref="AO117:AP117"/>
    <mergeCell ref="AO118:AP118"/>
    <mergeCell ref="AO119:AP119"/>
    <mergeCell ref="AO120:AP120"/>
    <mergeCell ref="AR120:AT120"/>
    <mergeCell ref="AO107:AP107"/>
    <mergeCell ref="AO108:AP108"/>
    <mergeCell ref="AO109:AP109"/>
    <mergeCell ref="AO110:AP110"/>
    <mergeCell ref="AR110:AT110"/>
    <mergeCell ref="AO112:AP113"/>
    <mergeCell ref="AO98:AP98"/>
    <mergeCell ref="AO99:AP99"/>
    <mergeCell ref="AO100:AP100"/>
    <mergeCell ref="AR100:AT100"/>
    <mergeCell ref="AO102:AP103"/>
    <mergeCell ref="AO106:AP106"/>
    <mergeCell ref="AO89:AP89"/>
    <mergeCell ref="AO90:AP90"/>
    <mergeCell ref="AR90:AT90"/>
    <mergeCell ref="AO92:AP93"/>
    <mergeCell ref="AO96:AP96"/>
    <mergeCell ref="AO97:AP97"/>
    <mergeCell ref="AR80:AT80"/>
    <mergeCell ref="AO82:AP83"/>
    <mergeCell ref="AO84:AP84"/>
    <mergeCell ref="AO86:AP86"/>
    <mergeCell ref="AO87:AP87"/>
    <mergeCell ref="AO88:AP88"/>
    <mergeCell ref="AO72:AP73"/>
    <mergeCell ref="AO76:AP76"/>
    <mergeCell ref="AO77:AP77"/>
    <mergeCell ref="AO78:AP78"/>
    <mergeCell ref="AO79:AP79"/>
    <mergeCell ref="AO80:AP80"/>
    <mergeCell ref="AO66:AP66"/>
    <mergeCell ref="AO67:AP67"/>
    <mergeCell ref="AO68:AP68"/>
    <mergeCell ref="AO69:AP69"/>
    <mergeCell ref="AO70:AP70"/>
    <mergeCell ref="AR70:AT70"/>
    <mergeCell ref="AO57:AP57"/>
    <mergeCell ref="AO58:AP58"/>
    <mergeCell ref="AO59:AP59"/>
    <mergeCell ref="AO60:AP60"/>
    <mergeCell ref="AR60:AT60"/>
    <mergeCell ref="AO62:AP63"/>
    <mergeCell ref="AO50:AP50"/>
    <mergeCell ref="AR50:AT50"/>
    <mergeCell ref="AO52:AP53"/>
    <mergeCell ref="AO54:AP54"/>
    <mergeCell ref="AO55:AP55"/>
    <mergeCell ref="AO56:AP56"/>
    <mergeCell ref="AO44:AP44"/>
    <mergeCell ref="AO45:AP45"/>
    <mergeCell ref="AO46:AP46"/>
    <mergeCell ref="AO47:AP47"/>
    <mergeCell ref="AO48:AP48"/>
    <mergeCell ref="AO49:AP49"/>
    <mergeCell ref="AO37:AP37"/>
    <mergeCell ref="AO38:AP38"/>
    <mergeCell ref="AO39:AP39"/>
    <mergeCell ref="AO40:AP40"/>
    <mergeCell ref="AR40:AT40"/>
    <mergeCell ref="AO42:AP43"/>
    <mergeCell ref="AO30:AP30"/>
    <mergeCell ref="AR30:AT30"/>
    <mergeCell ref="AO32:AP33"/>
    <mergeCell ref="AO34:AP34"/>
    <mergeCell ref="AO35:AP35"/>
    <mergeCell ref="AO36:AP36"/>
    <mergeCell ref="AO15:AP15"/>
    <mergeCell ref="AO16:AP16"/>
    <mergeCell ref="AO20:AP20"/>
    <mergeCell ref="AO22:AP23"/>
    <mergeCell ref="AO24:AP24"/>
    <mergeCell ref="AO8:AP8"/>
    <mergeCell ref="AO9:AP9"/>
    <mergeCell ref="AO10:AP10"/>
    <mergeCell ref="AR20:AT20"/>
    <mergeCell ref="AO12:AP13"/>
    <mergeCell ref="AO14:AP14"/>
    <mergeCell ref="AO1:CA1"/>
    <mergeCell ref="AO2:AP3"/>
    <mergeCell ref="AO4:AP4"/>
    <mergeCell ref="AO5:AP5"/>
    <mergeCell ref="AO6:AP6"/>
    <mergeCell ref="AO7:AP7"/>
    <mergeCell ref="AR10:AT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B0464-CC20-41D0-9CF6-963643F2EE82}">
  <dimension ref="A1:V40"/>
  <sheetViews>
    <sheetView tabSelected="1" topLeftCell="H14" workbookViewId="0">
      <selection activeCell="N28" sqref="N28:S28"/>
    </sheetView>
  </sheetViews>
  <sheetFormatPr defaultRowHeight="14.4" x14ac:dyDescent="0.3"/>
  <cols>
    <col min="1" max="1" width="3.44140625" bestFit="1" customWidth="1"/>
    <col min="2" max="3" width="12" bestFit="1" customWidth="1"/>
    <col min="7" max="7" width="11" bestFit="1" customWidth="1"/>
    <col min="8" max="8" width="10.44140625" bestFit="1" customWidth="1"/>
    <col min="10" max="10" width="10.77734375" bestFit="1" customWidth="1"/>
    <col min="15" max="21" width="9" bestFit="1" customWidth="1"/>
  </cols>
  <sheetData>
    <row r="1" spans="1:22" x14ac:dyDescent="0.3">
      <c r="A1" s="27" t="s">
        <v>288</v>
      </c>
      <c r="B1" s="27" t="s">
        <v>303</v>
      </c>
      <c r="C1" s="27" t="s">
        <v>304</v>
      </c>
      <c r="D1" s="27" t="s">
        <v>305</v>
      </c>
      <c r="E1" s="27" t="s">
        <v>306</v>
      </c>
      <c r="F1" s="27" t="s">
        <v>307</v>
      </c>
      <c r="G1" s="27" t="s">
        <v>308</v>
      </c>
      <c r="H1" s="45" t="s">
        <v>440</v>
      </c>
      <c r="I1" s="45" t="s">
        <v>329</v>
      </c>
      <c r="J1" s="45" t="s">
        <v>299</v>
      </c>
    </row>
    <row r="2" spans="1:22" x14ac:dyDescent="0.3">
      <c r="A2" s="6">
        <f>ROW()-1</f>
        <v>1</v>
      </c>
      <c r="B2" s="6">
        <f>PRODUCT('Data Training 2'!AW22,'Data Training 2'!AT32,'Data Training 2'!AT40,'Data Training 2'!AT44,'Data Training 2'!AT52,'Data Training 2'!AT58,'Data Training 2'!AT64,'Data Training 2'!AT70,'Data Training 2'!AT75,'Data Training 2'!AT80,'Data Training 2'!AT86,'Data Training 2'!AT92,'Data Training 2'!AT97,'Data Training 2'!AT106,'Data Training 2'!AT110,'Data Training 2'!AT115,'Data Training 2'!AT124,'Data Training 2'!AT130,'Data Training 2'!AT136,'Data Training 2'!AT140,'Data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2.5999875110362323E-10</v>
      </c>
      <c r="C2" s="6">
        <f>PRODUCT('Data Training 2'!AW23,'Data Training 2'!AU32,'Data Training 2'!AU40,'Data Training 2'!AU44,'Data Training 2'!AU52,'Data Training 2'!AU58,'Data Training 2'!AU64,'Data Training 2'!AU70,'Data Training 2'!AU75,'Data Training 2'!AU80,'Data Training 2'!AU86,'Data Training 2'!AU92,'Data Training 2'!AU97,'Data Training 2'!AU106,'Data Training 2'!AU110,'Data Training 2'!AU115,'Data Training 2'!AU124,'Data Training 2'!AU130,'Data Training 2'!AU136,'Data Training 2'!AU140,'Data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5.4334432883695962E-9</v>
      </c>
      <c r="D2" s="6">
        <v>0</v>
      </c>
      <c r="E2" s="46">
        <f>PRODUCT('Data Training 2'!AW25,'Data Training 2'!AW32,'Data Training 2'!AW40,'Data Training 2'!AW44,'Data Training 2'!AW52,'Data Training 2'!AW58,'Data Training 2'!AW64,'Data Training 2'!AW70,'Data Training 2'!AW75,'Data Training 2'!AW80,'Data Training 2'!AW86,'Data Training 2'!AW92,'Data Training 2'!AW97,'Data Training 2'!AW106,'Data Training 2'!AW110,'Data Training 2'!AW115,'Data Training 2'!AW124,'Data Training 2'!AW130,'Data Training 2'!AW136,'Data Training 2'!AW140,'Data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7.7256771756505172E-10</v>
      </c>
      <c r="F2" s="6">
        <v>0</v>
      </c>
      <c r="G2" s="6">
        <v>0</v>
      </c>
      <c r="H2" s="46" t="s">
        <v>303</v>
      </c>
      <c r="I2" s="46" t="s">
        <v>306</v>
      </c>
      <c r="J2" s="46" t="s">
        <v>287</v>
      </c>
      <c r="N2" s="111" t="s">
        <v>520</v>
      </c>
      <c r="O2" s="111"/>
      <c r="P2" s="111"/>
      <c r="Q2" s="111"/>
      <c r="R2" s="111"/>
      <c r="S2" s="111"/>
      <c r="T2" s="111"/>
      <c r="U2" s="111"/>
    </row>
    <row r="3" spans="1:22" x14ac:dyDescent="0.3">
      <c r="A3" s="6">
        <f t="shared" ref="A3:A37" si="0">ROW()-1</f>
        <v>2</v>
      </c>
      <c r="B3" s="24">
        <f>PRODUCT('Data Training 2'!AW22,'Data Training 2'!AT32,'Data Training 2'!AT38,'Data Training 2'!AT45,'Data Training 2'!AT50,'Data Training 2'!AT58,'Data Training 2'!AT64,'Data Training 2'!AT70,'Data Training 2'!AT75,'Data Training 2'!AT81,'Data Training 2'!AT87,'Data Training 2'!AT92,'Data Training 2'!AT99,'Data Training 2'!AT106,'Data Training 2'!AT110,'Data Training 2'!AT116,'Data Training 2'!AT124,'Data Training 2'!AT130,'Data Training 2'!AT136,'Data Training 2'!AT141,'Data Training 2'!AT145,'Data Training 2'!AT152,'Data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1.8866122529061091E-8</v>
      </c>
      <c r="C3" s="6">
        <f>PRODUCT('Data Training 2'!AW23,'Data Training 2'!AU32,'Data Training 2'!AU38,'Data Training 2'!AU45,'Data Training 2'!AU50,'Data Training 2'!AU58,'Data Training 2'!AU64,'Data Training 2'!AU70,'Data Training 2'!AU75,'Data Training 2'!AU81,'Data Training 2'!AU87,'Data Training 2'!AU92,'Data Training 2'!AU99,'Data Training 2'!AU106,'Data Training 2'!AU110,'Data Training 2'!AU116,'Data Training 2'!AU124,'Data Training 2'!AU130,'Data Training 2'!AU136,'Data Training 2'!AU141,'Data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1.4374188593570367E-10</v>
      </c>
      <c r="D3" s="6">
        <v>0</v>
      </c>
      <c r="E3" s="6">
        <v>0</v>
      </c>
      <c r="F3" s="6">
        <v>0</v>
      </c>
      <c r="G3" s="6">
        <v>0</v>
      </c>
      <c r="H3" s="6" t="s">
        <v>303</v>
      </c>
      <c r="I3" s="6" t="s">
        <v>303</v>
      </c>
      <c r="J3" s="6" t="s">
        <v>286</v>
      </c>
      <c r="N3" s="112" t="s">
        <v>301</v>
      </c>
      <c r="O3" s="112" t="s">
        <v>299</v>
      </c>
      <c r="P3" s="112"/>
      <c r="Q3" s="112"/>
      <c r="R3" s="112"/>
      <c r="S3" s="112"/>
      <c r="T3" s="112"/>
      <c r="U3" s="113" t="s">
        <v>302</v>
      </c>
    </row>
    <row r="4" spans="1:22" x14ac:dyDescent="0.3">
      <c r="A4" s="6">
        <f t="shared" si="0"/>
        <v>3</v>
      </c>
      <c r="B4" s="24">
        <f>PRODUCT('Data Training 2'!AW22,'Data Training 2'!AT32,'Data Training 2'!AT40,'Data Training 2'!AT45,'Data Training 2'!AT52,'Data Training 2'!AT58,'Data Training 2'!AT64,'Data Training 2'!AT70,'Data Training 2'!AT75,'Data Training 2'!AT80,'Data Training 2'!AT86,'Data Training 2'!AT93,'Data Training 2'!AT97,'Data Training 2'!AT105,'Data Training 2'!AT110,'Data Training 2'!AT115,'Data Training 2'!AT123,'Data Training 2'!AT129,'Data Training 2'!AT135,'Data Training 2'!AT142,'Data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5.1160714502877472E-13</v>
      </c>
      <c r="C4" s="6">
        <v>0</v>
      </c>
      <c r="D4" s="6">
        <v>0</v>
      </c>
      <c r="E4" s="6">
        <v>0</v>
      </c>
      <c r="F4" s="6">
        <v>0</v>
      </c>
      <c r="G4" s="6">
        <v>0</v>
      </c>
      <c r="H4" s="6" t="s">
        <v>303</v>
      </c>
      <c r="I4" s="6" t="s">
        <v>303</v>
      </c>
      <c r="J4" s="6" t="s">
        <v>286</v>
      </c>
      <c r="N4" s="112"/>
      <c r="O4" s="6" t="s">
        <v>303</v>
      </c>
      <c r="P4" s="6" t="s">
        <v>304</v>
      </c>
      <c r="Q4" s="6" t="s">
        <v>305</v>
      </c>
      <c r="R4" s="6" t="s">
        <v>306</v>
      </c>
      <c r="S4" s="6" t="s">
        <v>307</v>
      </c>
      <c r="T4" s="6" t="s">
        <v>308</v>
      </c>
      <c r="U4" s="114"/>
    </row>
    <row r="5" spans="1:22" x14ac:dyDescent="0.3">
      <c r="A5" s="6">
        <f t="shared" si="0"/>
        <v>4</v>
      </c>
      <c r="B5" s="64">
        <f>PRODUCT('Data Training 2'!AW22,'Data Training 2'!AT31,'Data Training 2'!AT39,'Data Training 2'!AT44,'Data Training 2'!AT50,'Data Training 2'!AT58,'Data Training 2'!AT64,'Data Training 2'!AT70,'Data Training 2'!AT75,'Data Training 2'!AT80,'Data Training 2'!AT86,'Data Training 2'!AT91,'Data Training 2'!AT99,'Data Training 2'!AT106,'Data Training 2'!AT110,'Data Training 2'!AT116,'Data Training 2'!AT124,'Data Training 2'!AT130,'Data Training 2'!AT136,'Data Training 2'!AT139,'Data Training 2'!AT145,'Data Training 2'!AT151,'Data Training 2'!AT157,'Data Training 2'!AT164,'Data Training 2'!AT168,'Data Training 2'!AT172,'Data Training 2'!AT175,'Data Training 2'!AT179,'Data Training 2'!AT183,'Data Training 2'!AT187,'Data Training 2'!AT192,'Data Training 2'!AT195,'Data Training 2'!AT200,'Data Training 2'!AT203,'Data Training 2'!AT207,'Data Training 2'!AT211,'Data Training 2'!AT216)</f>
        <v>1.3371364342472047E-10</v>
      </c>
      <c r="C5" s="6">
        <v>0</v>
      </c>
      <c r="D5" s="6">
        <v>0</v>
      </c>
      <c r="E5" s="6">
        <v>0</v>
      </c>
      <c r="F5" s="6">
        <v>0</v>
      </c>
      <c r="G5" s="6">
        <v>0</v>
      </c>
      <c r="H5" s="6" t="s">
        <v>303</v>
      </c>
      <c r="I5" s="6" t="s">
        <v>303</v>
      </c>
      <c r="J5" s="6" t="s">
        <v>286</v>
      </c>
      <c r="N5" s="6" t="s">
        <v>303</v>
      </c>
      <c r="O5" s="7">
        <v>3</v>
      </c>
      <c r="P5" s="6">
        <v>0</v>
      </c>
      <c r="Q5" s="6">
        <v>1</v>
      </c>
      <c r="R5" s="6">
        <v>1</v>
      </c>
      <c r="S5" s="6">
        <v>0</v>
      </c>
      <c r="T5" s="6">
        <v>1</v>
      </c>
      <c r="U5" s="24">
        <f t="shared" ref="U5:U10" si="1">SUM(O5:T5)</f>
        <v>6</v>
      </c>
    </row>
    <row r="6" spans="1:22" x14ac:dyDescent="0.3">
      <c r="A6" s="6">
        <f t="shared" si="0"/>
        <v>5</v>
      </c>
      <c r="B6" s="6">
        <f>PRODUCT('Data Training 2'!AW22,'Data Training 2'!AT34,'Data Training 2'!AT38,'Data Training 2'!AT43,'Data Training 2'!AT52,'Data Training 2'!AT58,'Data Training 2'!AT64,'Data Training 2'!AT70,'Data Training 2'!AT75,'Data Training 2'!AT81,'Data Training 2'!AT86,'Data Training 2'!AT92,'Data Training 2'!AT99,'Data Training 2'!AT105,'Data Training 2'!AT110,'Data Training 2'!AT117,'Data Training 2'!AT124,'Data Training 2'!AT129,'Data Training 2'!AT136,'Data Training 2'!AT142,'Data Training 2'!AT145,'Data Training 2'!AT151,'Data Training 2'!AT159,'Data Training 2'!AT164,'Data Training 2'!AT168,'Data Training 2'!AT172,'Data Training 2'!AT175,'Data Training 2'!AT179,'Data Training 2'!AT183,'Data Training 2'!AT187,'Data Training 2'!AT192,'Data Training 2'!AT195,'Data Training 2'!AT200,'Data Training 2'!AT203,'Data Training 2'!AT207,'Data Training 2'!AT212,'Data Training 2'!AT216)</f>
        <v>5.788469412325565E-11</v>
      </c>
      <c r="C6" s="6">
        <v>0</v>
      </c>
      <c r="D6" s="46">
        <f>PRODUCT('Data Training 2'!AW24,'Data Training 2'!AV34,'Data Training 2'!AV38,'Data Training 2'!AV43,'Data Training 2'!AV52,'Data Training 2'!AV58,'Data Training 2'!AV64,'Data Training 2'!AV70,'Data Training 2'!AV75,'Data Training 2'!AV81,'Data Training 2'!AV86,'Data Training 2'!AV92,'Data Training 2'!AV99,'Data Training 2'!AV105,'Data Training 2'!AV110,'Data Training 2'!AV117,'Data Training 2'!AV124,'Data Training 2'!AV129,'Data Training 2'!AV136,'Data Training 2'!AV142,'Data Training 2'!AV145,'Data Training 2'!AV151,'Data Training 2'!AV159,'Data Training 2'!AV164,'Data Training 2'!AV168,'Data Training 2'!AV172,'Data Training 2'!AV175,'Data Training 2'!AV179,'Data Training 2'!AV183,'Data Training 2'!AV187,'Data Training 2'!AV192,'Data Training 2'!AV195,'Data Training 2'!AV200,'Data Training 2'!AV203,'Data Training 2'!AV207,'Data Training 2'!AV212,'Data Training 2'!AV216)</f>
        <v>6.8049379781948513E-11</v>
      </c>
      <c r="E6" s="6">
        <f>PRODUCT('Data Training 2'!AW25,'Data Training 2'!AW34,'Data Training 2'!AW38,'Data Training 2'!AW43,'Data Training 2'!AW52,'Data Training 2'!AW58,'Data Training 2'!AW64,'Data Training 2'!AW70,'Data Training 2'!AW75,'Data Training 2'!AW81,'Data Training 2'!AW86,'Data Training 2'!AW92,'Data Training 2'!AW99,'Data Training 2'!AW105,'Data Training 2'!AW110,'Data Training 2'!AW117,'Data Training 2'!AW124,'Data Training 2'!AW129,'Data Training 2'!AW136,'Data Training 2'!AW142,'Data Training 2'!AW145,'Data Training 2'!AW151,'Data Training 2'!AW159,'Data Training 2'!AW164,'Data Training 2'!AW168,'Data Training 2'!AW172,'Data Training 2'!AW175,'Data Training 2'!AW179,'Data Training 2'!AW183,'Data Training 2'!AW187,'Data Training 2'!AW192,'Data Training 2'!AW195,'Data Training 2'!AW200,'Data Training 2'!AW203,'Data Training 2'!AW207,'Data Training 2'!AW212,'Data Training 2'!AW216)</f>
        <v>5.8182010961252331E-11</v>
      </c>
      <c r="F6" s="6">
        <v>0</v>
      </c>
      <c r="G6" s="6">
        <f>PRODUCT('Data Training 2'!AW27,'Data Training 2'!AY34,'Data Training 2'!AY38,'Data Training 2'!AY43,'Data Training 2'!AY52,'Data Training 2'!AY58,'Data Training 2'!AY64,'Data Training 2'!AY70,'Data Training 2'!AY75,'Data Training 2'!AY81,'Data Training 2'!AY86,'Data Training 2'!AY92,'Data Training 2'!AY99,'Data Training 2'!AY105,'Data Training 2'!AY110,'Data Training 2'!AY117,'Data Training 2'!AY124,'Data Training 2'!AY129,'Data Training 2'!AY136,'Data Training 2'!AY142,'Data Training 2'!AY145,'Data Training 2'!AY151,'Data Training 2'!AY159,'Data Training 2'!AY164,'Data Training 2'!AY168,'Data Training 2'!AY172,'Data Training 2'!AY175,'Data Training 2'!AY179,'Data Training 2'!AY183,'Data Training 2'!AY187,'Data Training 2'!AY192,'Data Training 2'!AY195,'Data Training 2'!AY200,'Data Training 2'!AY203,'Data Training 2'!AY207,'Data Training 2'!AY212,'Data Training 2'!AY216)</f>
        <v>5.0932218149840121E-13</v>
      </c>
      <c r="H6" s="46" t="s">
        <v>303</v>
      </c>
      <c r="I6" s="46" t="s">
        <v>305</v>
      </c>
      <c r="J6" s="46" t="s">
        <v>287</v>
      </c>
      <c r="N6" s="6" t="s">
        <v>304</v>
      </c>
      <c r="O6" s="6">
        <v>2</v>
      </c>
      <c r="P6" s="7">
        <v>4</v>
      </c>
      <c r="Q6" s="6">
        <v>0</v>
      </c>
      <c r="R6" s="6">
        <v>0</v>
      </c>
      <c r="S6" s="6">
        <v>0</v>
      </c>
      <c r="T6" s="6">
        <v>0</v>
      </c>
      <c r="U6" s="24">
        <f t="shared" si="1"/>
        <v>6</v>
      </c>
    </row>
    <row r="7" spans="1:22" x14ac:dyDescent="0.3">
      <c r="A7" s="6">
        <f t="shared" si="0"/>
        <v>6</v>
      </c>
      <c r="B7" s="6">
        <v>0</v>
      </c>
      <c r="C7" s="6">
        <f>PRODUCT('Data Training 2'!AW23,'Data Training 2'!AU34,'Data Training 2'!AU40,'Data Training 2'!AU43,'Data Training 2'!AU52,'Data Training 2'!AU58,'Data Training 2'!AU64,'Data Training 2'!AU70,'Data Training 2'!AU75,'Data Training 2'!AU80,'Data Training 2'!AU85,'Data Training 2'!AU92,'Data Training 2'!AU98,'Data Training 2'!AU106,'Data Training 2'!AU110,'Data Training 2'!AU116,'Data Training 2'!AU124,'Data Training 2'!AU128,'Data Training 2'!AU135,'Data Training 2'!AU142,'Data Training 2'!AU145,'Data Training 2'!AU152,'Data Training 2'!AU159,'Data Training 2'!AU164,'Data Training 2'!AU168,'Data Training 2'!AU172,'Data Training 2'!AU175,'Data Training 2'!AU179,'Data Training 2'!AU183,'Data Training 2'!AU187,'Data Training 2'!AU192,'Data Training 2'!AU195,'Data Training 2'!AU200,'Data Training 2'!AU204,'Data Training 2'!AU207,'Data Training 2'!AU211,'Data Training 2'!AU216)</f>
        <v>3.6958427972449035E-13</v>
      </c>
      <c r="D7" s="6">
        <v>0</v>
      </c>
      <c r="E7" s="6">
        <f>PRODUCT('Data Training 2'!AW25,'Data Training 2'!AW34,'Data Training 2'!AW40,'Data Training 2'!AW43,'Data Training 2'!AW52,'Data Training 2'!AW58,'Data Training 2'!AW64,'Data Training 2'!AW70,'Data Training 2'!AW75,'Data Training 2'!AW80,'Data Training 2'!AW85,'Data Training 2'!AW92,'Data Training 2'!AW98,'Data Training 2'!AW106,'Data Training 2'!AW110,'Data Training 2'!AW116,'Data Training 2'!AW124,'Data Training 2'!AW128,'Data Training 2'!AW135,'Data Training 2'!AW142,'Data Training 2'!AW145,'Data Training 2'!AW152,'Data Training 2'!AW159,'Data Training 2'!AW164,'Data Training 2'!AW168,'Data Training 2'!AW172,'Data Training 2'!AW175,'Data Training 2'!AW179,'Data Training 2'!AW183,'Data Training 2'!AW187,'Data Training 2'!AW192,'Data Training 2'!AW195,'Data Training 2'!AW200,'Data Training 2'!AW204,'Data Training 2'!AW207,'Data Training 2'!AW211,'Data Training 2'!AW216)</f>
        <v>1.3717466576084012E-12</v>
      </c>
      <c r="F7" s="6">
        <v>0</v>
      </c>
      <c r="G7" s="46">
        <f>PRODUCT('Data Training 2'!AW27,'Data Training 2'!AY34,'Data Training 2'!AY40,'Data Training 2'!AY43,'Data Training 2'!AY52,'Data Training 2'!AY58,'Data Training 2'!AY64,'Data Training 2'!AY70,'Data Training 2'!AY75,'Data Training 2'!AY80,'Data Training 2'!AY85,'Data Training 2'!AY92,'Data Training 2'!AY98,'Data Training 2'!AY106,'Data Training 2'!AY110,'Data Training 2'!AY116,'Data Training 2'!AY124,'Data Training 2'!AY128,'Data Training 2'!AY135,'Data Training 2'!AY142,'Data Training 2'!AY145,'Data Training 2'!AY152,'Data Training 2'!AY159,'Data Training 2'!AY164,'Data Training 2'!AY168,'Data Training 2'!AY172,'Data Training 2'!AY175,'Data Training 2'!AY179,'Data Training 2'!AY183,'Data Training 2'!AY187,'Data Training 2'!AY192,'Data Training 2'!AY195,'Data Training 2'!AY200,'Data Training 2'!AY204,'Data Training 2'!AY207,'Data Training 2'!AY211,'Data Training 2'!AY216)</f>
        <v>8.1491549039744177E-13</v>
      </c>
      <c r="H7" s="46" t="s">
        <v>303</v>
      </c>
      <c r="I7" s="46" t="s">
        <v>308</v>
      </c>
      <c r="J7" s="46" t="s">
        <v>287</v>
      </c>
      <c r="N7" s="6" t="s">
        <v>305</v>
      </c>
      <c r="O7" s="6">
        <v>0</v>
      </c>
      <c r="P7" s="6">
        <v>0</v>
      </c>
      <c r="Q7" s="7">
        <v>6</v>
      </c>
      <c r="R7" s="6">
        <v>0</v>
      </c>
      <c r="S7" s="6">
        <v>0</v>
      </c>
      <c r="T7" s="6">
        <v>0</v>
      </c>
      <c r="U7" s="24">
        <f t="shared" si="1"/>
        <v>6</v>
      </c>
    </row>
    <row r="8" spans="1:22" x14ac:dyDescent="0.3">
      <c r="A8" s="6">
        <f t="shared" si="0"/>
        <v>7</v>
      </c>
      <c r="B8" s="46">
        <f>PRODUCT('Data Training 2'!AW22,'Data Training 2'!AT31,'Data Training 2'!AT40,'Data Training 2'!AT44,'Data Training 2'!AT50,'Data Training 2'!AT58,'Data Training 2'!AT64,'Data Training 2'!AT70,'Data Training 2'!AT75,'Data Training 2'!AT81,'Data Training 2'!AT86,'Data Training 2'!AT91,'Data Training 2'!AT99,'Data Training 2'!AT106,'Data Training 2'!AT110,'Data Training 2'!AT115,'Data Training 2'!AT124,'Data Training 2'!AT130,'Data Training 2'!AT136,'Data Training 2'!AT139,'Data Training 2'!AT145,'Data Training 2'!AT151,'Data Training 2'!AT157,'Data Training 2'!AT164,'Data Training 2'!AT167,'Data Training 2'!AT171,'Data Training 2'!AT175,'Data Training 2'!AT179,'Data Training 2'!AT183,'Data Training 2'!AT187,'Data Training 2'!AT192,'Data Training 2'!AT195,'Data Training 2'!AT199,'Data Training 2'!AT203,'Data Training 2'!AT207,'Data Training 2'!AT212,'Data Training 2'!AT216)</f>
        <v>8.843494935497389E-11</v>
      </c>
      <c r="C8">
        <f>PRODUCT('Data Training 2'!AW23,'Data Training 2'!AU31,'Data Training 2'!AU40,'Data Training 2'!AU44,'Data Training 2'!AU50,'Data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2'!AU199,'Data Training 2'!AU203,'Data Training 2'!AU207,'Data Training 2'!AU212,'Data Training 2'!AU216)</f>
        <v>2.2740415548421864E-10</v>
      </c>
      <c r="D8" s="6">
        <v>0</v>
      </c>
      <c r="E8" s="6">
        <v>0</v>
      </c>
      <c r="F8" s="6">
        <v>0</v>
      </c>
      <c r="G8" s="6">
        <v>0</v>
      </c>
      <c r="H8" s="46" t="s">
        <v>304</v>
      </c>
      <c r="I8" s="46" t="s">
        <v>303</v>
      </c>
      <c r="J8" s="46" t="s">
        <v>287</v>
      </c>
      <c r="N8" s="6" t="s">
        <v>306</v>
      </c>
      <c r="O8" s="6">
        <v>0</v>
      </c>
      <c r="P8" s="6">
        <v>0</v>
      </c>
      <c r="Q8" s="6">
        <v>0</v>
      </c>
      <c r="R8" s="7">
        <v>5</v>
      </c>
      <c r="S8" s="6">
        <v>0</v>
      </c>
      <c r="T8" s="6">
        <v>1</v>
      </c>
      <c r="U8" s="24">
        <f t="shared" si="1"/>
        <v>6</v>
      </c>
    </row>
    <row r="9" spans="1:22" x14ac:dyDescent="0.3">
      <c r="A9" s="6">
        <f t="shared" si="0"/>
        <v>8</v>
      </c>
      <c r="B9" s="6">
        <v>0</v>
      </c>
      <c r="C9" s="24">
        <f>PRODUCT('Data Training 2'!AW23,'Data Training 2'!AU34,'Data Training 2'!AU38,'Data Training 2'!AU43,'Data Training 2'!AU50,'Data Training 2'!AU58,'Data Training 2'!AU64,'Data Training 2'!AU68,'Data Training 2'!AU73,'Data Training 2'!AU80,'Data Training 2'!AU86,'Data Training 2'!AU91,'Data Training 2'!AU97,'Data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9.7025773006599941E-12</v>
      </c>
      <c r="D9" s="6">
        <v>0</v>
      </c>
      <c r="E9" s="6">
        <v>0</v>
      </c>
      <c r="F9" s="6">
        <v>0</v>
      </c>
      <c r="G9" s="6">
        <v>0</v>
      </c>
      <c r="H9" s="6" t="s">
        <v>304</v>
      </c>
      <c r="I9" s="6" t="s">
        <v>304</v>
      </c>
      <c r="J9" s="6" t="s">
        <v>286</v>
      </c>
      <c r="N9" s="6" t="s">
        <v>307</v>
      </c>
      <c r="O9" s="6">
        <v>0</v>
      </c>
      <c r="P9" s="6">
        <v>0</v>
      </c>
      <c r="Q9" s="6">
        <v>0</v>
      </c>
      <c r="R9" s="6">
        <v>0</v>
      </c>
      <c r="S9" s="7">
        <v>4</v>
      </c>
      <c r="T9" s="6">
        <v>2</v>
      </c>
      <c r="U9" s="24">
        <f t="shared" si="1"/>
        <v>6</v>
      </c>
    </row>
    <row r="10" spans="1:22" x14ac:dyDescent="0.3">
      <c r="A10" s="6">
        <f t="shared" si="0"/>
        <v>9</v>
      </c>
      <c r="B10" s="46">
        <f>'Data Training 2'!AW22*'Data Training 2'!AT31*'Data Training 2'!AT40*'Data Training 2'!AT44*'Data Training 2'!AT52*'Data Training 2'!AT58*'Data Training 2'!AT64*'Data Training 2'!AT70*'Data Training 2'!AT75*'Data Training 2'!AT80*'Data Training 2'!AT87*'Data Training 2'!AT92*'Data Training 2'!AT99*'Data Training 2'!AT106*'Data Training 2'!AT110*'Data Training 2'!AT116*'Data Training 2'!AT124*'Data Training 2'!AT130*'Data Training 2'!AT136*'Data Training 2'!AT139*'Data Training 2'!AT145*'Data Training 2'!AT152*'Data Training 2'!AT159*'Data Training 2'!AT164*'Data Training 2'!AT167*'Data Training 2'!AT171*'Data Training 2'!AT175*'Data Training 2'!AT179*'Data Training 2'!AT183*'Data Training 2'!AT187*'Data Training 2'!AT192*'Data Training 2'!AT195*'Data Training 2'!AT199*'Data Training 2'!AT203*'Data Training 2'!AT207*'Data Training 2'!AT211*'Data Training 2'!AT216</f>
        <v>5.7777500245249601E-10</v>
      </c>
      <c r="C10" s="6">
        <f>'Data Training 2'!AW23*'Data Training 2'!AU31*'Data Training 2'!AU40*'Data Training 2'!AU44*'Data Training 2'!AU52*'Data Training 2'!AU58*'Data Training 2'!AU64*'Data Training 2'!AU70*'Data Training 2'!AU75*'Data Training 2'!AU80*'Data Training 2'!AU87*'Data Training 2'!AU92*'Data Training 2'!AU99*'Data Training 2'!AU106*'Data Training 2'!AU110*'Data Training 2'!AU116*'Data Training 2'!AU124*'Data Training 2'!AU130*'Data Training 2'!AU136*'Data Training 2'!AU139*'Data Training 2'!AU145*'Data Training 2'!AU152*'Data Training 2'!AU159*'Data Training 2'!AU164*'Data Training 2'!AU167*'Data Training 2'!AU171*'Data Training 2'!AU175*'Data Training 2'!AU179*'Data Training 2'!AU183*'Data Training 2'!AU187*'Data Training 2'!AU192*'Data Training 2'!AU195*'Data Training 2'!AU199*'Data Training 2'!AU203*'Data Training 2'!AU207*'Data Training 2'!AU211*'Data Training 2'!AU216</f>
        <v>3.2198182449597615E-9</v>
      </c>
      <c r="D10" s="6">
        <f>'Data Training 2'!AW24*'Data Training 2'!AV31*'Data Training 2'!AV40*'Data Training 2'!AV44*'Data Training 2'!AV52*'Data Training 2'!AV58*'Data Training 2'!AV64*'Data Training 2'!AV70*'Data Training 2'!AV75*'Data Training 2'!AV80*'Data Training 2'!AV87*'Data Training 2'!AV92*'Data Training 2'!AV99*'Data Training 2'!AV106*'Data Training 2'!AV110*'Data Training 2'!AV116*'Data Training 2'!AV124*'Data Training 2'!AV130*'Data Training 2'!AV136*'Data Training 2'!AV139*'Data Training 2'!AV145*'Data Training 2'!AV152*'Data Training 2'!AV159*'Data Training 2'!AV164*'Data Training 2'!AV167*'Data Training 2'!AV171*'Data Training 2'!AV175*'Data Training 2'!AV179*'Data Training 2'!AV183*'Data Training 2'!AV187*'Data Training 2'!AV192*'Data Training 2'!AV195*'Data Training 2'!AV199*'Data Training 2'!AV203*'Data Training 2'!AV207*'Data Training 2'!AV211*'Data Training 2'!AV216</f>
        <v>2.2132924675319188E-9</v>
      </c>
      <c r="E10" s="6">
        <v>0</v>
      </c>
      <c r="F10" s="6">
        <v>0</v>
      </c>
      <c r="G10" s="6">
        <f>'Data Training 2'!AW27*'Data Training 2'!AY31*'Data Training 2'!AY40*'Data Training 2'!AY44*'Data Training 2'!AY52*'Data Training 2'!AY58*'Data Training 2'!AY64*'Data Training 2'!AY70*'Data Training 2'!AY75*'Data Training 2'!AY80*'Data Training 2'!AY87*'Data Training 2'!AY92*'Data Training 2'!AY99*'Data Training 2'!AY106*'Data Training 2'!AY110*'Data Training 2'!AY116*'Data Training 2'!AY124*'Data Training 2'!AY130*'Data Training 2'!AY136*'Data Training 2'!AY139*'Data Training 2'!AY145*'Data Training 2'!AY152*'Data Training 2'!AY159*'Data Training 2'!AY164*'Data Training 2'!AY167*'Data Training 2'!AY171*'Data Training 2'!AY175*'Data Training 2'!AY179*'Data Training 2'!AY183*'Data Training 2'!AY187*'Data Training 2'!AY192*'Data Training 2'!AY195*'Data Training 2'!AY199*'Data Training 2'!AY203*'Data Training 2'!AY207*'Data Training 2'!AY211*'Data Training 2'!AY216</f>
        <v>2.0169158387336675E-12</v>
      </c>
      <c r="H10" s="46" t="s">
        <v>304</v>
      </c>
      <c r="I10" s="46" t="s">
        <v>303</v>
      </c>
      <c r="J10" s="46" t="s">
        <v>287</v>
      </c>
      <c r="N10" s="6" t="s">
        <v>308</v>
      </c>
      <c r="O10" s="6">
        <v>0</v>
      </c>
      <c r="P10" s="6">
        <v>0</v>
      </c>
      <c r="Q10" s="6">
        <v>0</v>
      </c>
      <c r="R10" s="6">
        <v>0</v>
      </c>
      <c r="S10" s="6">
        <v>0</v>
      </c>
      <c r="T10" s="7">
        <v>6</v>
      </c>
      <c r="U10" s="24">
        <f t="shared" si="1"/>
        <v>6</v>
      </c>
    </row>
    <row r="11" spans="1:22" x14ac:dyDescent="0.3">
      <c r="A11" s="6">
        <f t="shared" si="0"/>
        <v>10</v>
      </c>
      <c r="B11" s="6">
        <f>'Data Training 2'!AW22*'Data Training 2'!AT33*'Data Training 2'!AT38*'Data Training 2'!AT45*'Data Training 2'!AT52*'Data Training 2'!AT58*'Data Training 2'!AT64*'Data Training 2'!AT70*'Data Training 2'!AT75*'Data Training 2'!AT80*'Data Training 2'!AT86*'Data Training 2'!AT93*'Data Training 2'!AT100*'Data Training 2'!AT106*'Data Training 2'!AT110*'Data Training 2'!AT117*'Data Training 2'!AT124*'Data Training 2'!AT130*'Data Training 2'!AT136*'Data Training 2'!AT142*'Data Training 2'!AT145*'Data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2.785700904681676E-7</v>
      </c>
      <c r="C11" s="24">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c r="D11" s="6">
        <v>0</v>
      </c>
      <c r="E11" s="6">
        <v>0</v>
      </c>
      <c r="F11"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c r="G11" s="6">
        <v>0</v>
      </c>
      <c r="H11" s="6" t="s">
        <v>304</v>
      </c>
      <c r="I11" s="6" t="s">
        <v>304</v>
      </c>
      <c r="J11" s="6" t="s">
        <v>286</v>
      </c>
      <c r="N11" s="24" t="s">
        <v>302</v>
      </c>
      <c r="O11" s="24">
        <f t="shared" ref="O11:T11" si="2">SUM(O5:O10)</f>
        <v>5</v>
      </c>
      <c r="P11" s="24">
        <f t="shared" si="2"/>
        <v>4</v>
      </c>
      <c r="Q11" s="24">
        <f t="shared" si="2"/>
        <v>7</v>
      </c>
      <c r="R11" s="24">
        <f t="shared" si="2"/>
        <v>6</v>
      </c>
      <c r="S11" s="24">
        <f t="shared" si="2"/>
        <v>4</v>
      </c>
      <c r="T11" s="24">
        <f t="shared" si="2"/>
        <v>10</v>
      </c>
      <c r="U11" s="24">
        <f>SUM(O11:T11)</f>
        <v>36</v>
      </c>
      <c r="V11" s="47"/>
    </row>
    <row r="12" spans="1:22" x14ac:dyDescent="0.3">
      <c r="A12" s="6">
        <f t="shared" si="0"/>
        <v>11</v>
      </c>
      <c r="B12" s="6">
        <v>0</v>
      </c>
      <c r="C12" s="24">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c r="D12" s="6">
        <v>0</v>
      </c>
      <c r="E12" s="6">
        <v>0</v>
      </c>
      <c r="F12"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c r="G12" s="6">
        <v>0</v>
      </c>
      <c r="H12" s="6" t="s">
        <v>304</v>
      </c>
      <c r="I12" s="6" t="s">
        <v>304</v>
      </c>
      <c r="J12" s="6" t="s">
        <v>286</v>
      </c>
    </row>
    <row r="13" spans="1:22" x14ac:dyDescent="0.3">
      <c r="A13" s="6">
        <f t="shared" si="0"/>
        <v>12</v>
      </c>
      <c r="B13" s="6">
        <v>0</v>
      </c>
      <c r="C13" s="24">
        <f>'Data Training 2'!AW23*'Data Training 2'!AU31*'Data Training 2'!AU40*'Data Training 2'!AU44*'Data Training 2'!AU51*'Data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2'!AU215</f>
        <v>4.3661597852969987E-10</v>
      </c>
      <c r="D13" s="6">
        <v>0</v>
      </c>
      <c r="E13" s="6">
        <v>0</v>
      </c>
      <c r="F13" s="6">
        <v>0</v>
      </c>
      <c r="G13" s="6">
        <v>0</v>
      </c>
      <c r="H13" s="6" t="s">
        <v>304</v>
      </c>
      <c r="I13" s="6" t="s">
        <v>304</v>
      </c>
      <c r="J13" s="6" t="s">
        <v>286</v>
      </c>
      <c r="N13" s="103" t="s">
        <v>434</v>
      </c>
      <c r="O13" s="104"/>
      <c r="P13" s="104"/>
      <c r="Q13" s="105"/>
      <c r="R13" s="115">
        <f>J38/J40</f>
        <v>0.77777777777777779</v>
      </c>
    </row>
    <row r="14" spans="1:22" x14ac:dyDescent="0.3">
      <c r="A14" s="6">
        <f t="shared" si="0"/>
        <v>13</v>
      </c>
      <c r="B1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c r="C14" s="6">
        <f>'Data Training 2'!AW23*'Data Training 2'!AU33*'Data Training 2'!AU38*'Data Training 2'!AU44*'Data Training 2'!AU51*'Data Training 2'!AU58*'Data Training 2'!AU64*'Data Training 2'!AU70*'Data Training 2'!AU75*'Data Training 2'!AU80*'Data Training 2'!AU86*'Data Training 2'!AU92*'Data Training 2'!AU99*'Data Training 2'!AU106*'Data Training 2'!AU110*'Data Training 2'!AU116*'Data Training 2'!AU124*'Data Training 2'!AU130*'Data Training 2'!AU136*'Data Training 2'!AU142*'Data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2.2639347034873317E-9</v>
      </c>
      <c r="D14" s="24">
        <f>'Data Training 2'!AW24*'Data Training 2'!AV33*'Data Training 2'!AV38*'Data Training 2'!AV44*'Data Training 2'!AV51*'Data Training 2'!AV58*'Data Training 2'!AV64*'Data Training 2'!AV70*'Data Training 2'!AV75*'Data Training 2'!AV80*'Data Training 2'!AV86*'Data Training 2'!AV92*'Data Training 2'!AV99*'Data Training 2'!AV106*'Data Training 2'!AV110*'Data Training 2'!AV116*'Data Training 2'!AV124*'Data Training 2'!AV130*'Data Training 2'!AV136*'Data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5.5332311688297959E-8</v>
      </c>
      <c r="E14" s="6">
        <f>'Data Training 2'!AW25*'Data Training 2'!AW33*'Data Training 2'!AW38*'Data Training 2'!AW44*'Data Training 2'!AW51*'Data Training 2'!AW58*'Data Training 2'!AW64*'Data Training 2'!AW70*'Data Training 2'!AW75*'Data Training 2'!AW80*'Data Training 2'!AW86*'Data Training 2'!AW92*'Data Training 2'!AW99*'Data Training 2'!AW106*'Data Training 2'!AW110*'Data Training 2'!AW116*'Data Training 2'!AW124*'Data Training 2'!AW130*'Data Training 2'!AW136*'Data Training 2'!AW142*'Data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5.0285880902225259E-9</v>
      </c>
      <c r="F14" s="6">
        <v>0</v>
      </c>
      <c r="G14" s="6">
        <v>0</v>
      </c>
      <c r="H14" s="6" t="s">
        <v>305</v>
      </c>
      <c r="I14" s="6" t="s">
        <v>305</v>
      </c>
      <c r="J14" s="6" t="s">
        <v>286</v>
      </c>
      <c r="N14" s="106" t="s">
        <v>310</v>
      </c>
      <c r="O14" s="107"/>
      <c r="P14" s="107"/>
      <c r="Q14" s="108"/>
      <c r="R14" s="116"/>
    </row>
    <row r="15" spans="1:22" x14ac:dyDescent="0.3">
      <c r="A15" s="6">
        <f t="shared" si="0"/>
        <v>14</v>
      </c>
      <c r="B15" s="6">
        <v>0</v>
      </c>
      <c r="C15" s="6">
        <v>0</v>
      </c>
      <c r="D15" s="24">
        <f>'Data Training 2'!AW25*'Data Training 2'!AV33*'Data Training 2'!AV38*'Data Training 2'!AV44*'Data Training 2'!AV51*'Data Training 2'!AV58*'Data Training 2'!AV63*'Data Training 2'!AV70*'Data Training 2'!AV75*'Data Training 2'!AV80*'Data Training 2'!AV85*'Data Training 2'!AV91*'Data Training 2'!AV100*'Data Training 2'!AV106*'Data Training 2'!AV109*'Data Training 2'!AV118*'Data Training 2'!AV124*'Data Training 2'!AV130*'Data Training 2'!AV136*'Data Training 2'!AV142*'Data Training 2'!AV145*'Data Training 2'!AV152*'Data Training 2'!AV157*'Data Training 2'!AV163*'Data Training 2'!AV167*'Data Training 2'!AV171*'Data Training 2'!AV175*'Data Training 2'!AV179*'Data Training 2'!AV183*'Data Training 2'!AV187*'Data Training 2'!AV191*'Data Training 2'!AV195*'Data Training 2'!AV200*'Data Training 2'!AV203*'Data Training 2'!AV207*'Data Training 2'!AV212*'Data Training 2'!AV215</f>
        <v>7.1134284998730203E-11</v>
      </c>
      <c r="E15" s="6">
        <v>0</v>
      </c>
      <c r="F15" s="6">
        <v>0</v>
      </c>
      <c r="G15" s="6">
        <v>0</v>
      </c>
      <c r="H15" s="6" t="s">
        <v>305</v>
      </c>
      <c r="I15" s="6" t="s">
        <v>305</v>
      </c>
      <c r="J15" s="6" t="s">
        <v>286</v>
      </c>
    </row>
    <row r="16" spans="1:22" x14ac:dyDescent="0.3">
      <c r="A16" s="6">
        <f t="shared" si="0"/>
        <v>15</v>
      </c>
      <c r="B16" s="6">
        <f>'Data Training 2'!AW22*'Data Training 2'!AT33*'Data Training 2'!AT38*'Data Training 2'!AT44*'Data Training 2'!AT52*'Data Training 2'!AT58*'Data Training 2'!AT64*'Data Training 2'!AT69*'Data Training 2'!AT75*'Data Training 2'!AT80*'Data Training 2'!AT86*'Data Training 2'!AT91*'Data Training 2'!AT100*'Data Training 2'!AT105*'Data Training 2'!AT110*'Data Training 2'!AT117*'Data Training 2'!AT124*'Data Training 2'!AT130*'Data Training 2'!AT136*'Data Training 2'!AT142*'Data Training 2'!AT145*'Data Training 2'!AT152*'Data Training 2'!AT158*'Data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2.1064713631080583E-9</v>
      </c>
      <c r="C16" s="6">
        <v>0</v>
      </c>
      <c r="D16" s="24">
        <f>'Data Training 2'!AW24*'Data Training 2'!AV33*'Data Training 2'!AV38*'Data Training 2'!AV44*'Data Training 2'!AV52*'Data Training 2'!AV58*'Data Training 2'!AV64*'Data Training 2'!AV69*'Data Training 2'!AV75*'Data Training 2'!AV80*'Data Training 2'!AV86*'Data Training 2'!AV91*'Data Training 2'!AV100*'Data Training 2'!AV105*'Data Training 2'!AV110*'Data Training 2'!AV117*'Data Training 2'!AV124*'Data Training 2'!AV130*'Data Training 2'!AV136*'Data Training 2'!AV142*'Data Training 2'!AV145*'Data Training 2'!AV152*'Data Training 2'!AV158*'Data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5.5891223927573679E-8</v>
      </c>
      <c r="E16" s="6">
        <v>0</v>
      </c>
      <c r="F16" s="6">
        <f>'Data Training 2'!AW26*'Data Training 2'!AX33*'Data Training 2'!AX38*'Data Training 2'!AX44*'Data Training 2'!AX52*'Data Training 2'!AX58*'Data Training 2'!AX64*'Data Training 2'!AX69*'Data Training 2'!AX75*'Data Training 2'!AX80*'Data Training 2'!AX86*'Data Training 2'!AX91*'Data Training 2'!AX100*'Data Training 2'!AX105*'Data Training 2'!AX110*'Data Training 2'!AX117*'Data Training 2'!AX124*'Data Training 2'!AX130*'Data Training 2'!AX136*'Data Training 2'!AX142*'Data Training 2'!AX145*'Data Training 2'!AX152*'Data Training 2'!AX158*'Data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3.9362650708781791E-11</v>
      </c>
      <c r="G16" s="6">
        <v>0</v>
      </c>
      <c r="H16" s="6" t="s">
        <v>305</v>
      </c>
      <c r="I16" s="6" t="s">
        <v>305</v>
      </c>
      <c r="J16" s="6" t="s">
        <v>286</v>
      </c>
      <c r="N16" s="117" t="s">
        <v>442</v>
      </c>
      <c r="O16" s="117"/>
      <c r="P16" s="117"/>
      <c r="Q16" s="117"/>
      <c r="R16" s="117"/>
      <c r="S16" s="117"/>
    </row>
    <row r="17" spans="1:21" x14ac:dyDescent="0.3">
      <c r="A17" s="6">
        <f t="shared" si="0"/>
        <v>16</v>
      </c>
      <c r="B17" s="6">
        <v>0</v>
      </c>
      <c r="C17" s="6">
        <v>0</v>
      </c>
      <c r="D17" s="24">
        <f>'Data Training 2'!AW24*'Data Training 2'!AV33*'Data Training 2'!AV40*'Data Training 2'!AV44*'Data Training 2'!AV50*'Data Training 2'!AV58*'Data Training 2'!AV64*'Data Training 2'!AV69*'Data Training 2'!AV75*'Data Training 2'!AV80*'Data Training 2'!AV85*'Data Training 2'!AV91*'Data Training 2'!AV100*'Data Training 2'!AV104*'Data Training 2'!AV110*'Data Training 2'!AV117*'Data Training 2'!AV124*'Data Training 2'!AV128*'Data Training 2'!AV135*'Data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2.1898000192009295E-11</v>
      </c>
      <c r="E17" s="6">
        <v>0</v>
      </c>
      <c r="F17" s="6">
        <v>0</v>
      </c>
      <c r="G17" s="6">
        <v>0</v>
      </c>
      <c r="H17" s="6" t="s">
        <v>305</v>
      </c>
      <c r="I17" s="6" t="s">
        <v>305</v>
      </c>
      <c r="J17" s="6" t="s">
        <v>286</v>
      </c>
      <c r="N17" s="117" t="s">
        <v>443</v>
      </c>
      <c r="O17" s="117"/>
      <c r="P17" s="117"/>
      <c r="Q17" s="117"/>
      <c r="R17" s="117"/>
      <c r="S17" s="117"/>
    </row>
    <row r="18" spans="1:21" x14ac:dyDescent="0.3">
      <c r="A18" s="6">
        <f t="shared" si="0"/>
        <v>17</v>
      </c>
      <c r="B18" s="6">
        <v>0</v>
      </c>
      <c r="C18" s="6">
        <v>0</v>
      </c>
      <c r="D18" s="24">
        <f>'Data Training 2'!AW24*'Data Training 2'!AV31*'Data Training 2'!AV38*'Data Training 2'!AV46*'Data Training 2'!AV52*'Data Training 2'!AV58*'Data Training 2'!AV64*'Data Training 2'!AV70*'Data Training 2'!AV75*'Data Training 2'!AV80*'Data Training 2'!AV86*'Data Training 2'!AV93*'Data Training 2'!AV99*'Data Training 2'!AV106*'Data Training 2'!AV110*'Data Training 2'!AV117*'Data Training 2'!AV123*'Data Training 2'!AV130*'Data Training 2'!AV136*'Data Training 2'!AV142*'Data Training 2'!AV146*'Data Training 2'!AV154*'Data Training 2'!AV160*'Data Training 2'!AV163*'Data Training 2'!AV167*'Data Training 2'!AV171*'Data Training 2'!AV175*'Data Training 2'!AV179*'Data Training 2'!AV183*'Data Training 2'!AV187*'Data Training 2'!AV192*'Data Training 2'!AV195*'Data Training 2'!AV200*'Data Training 2'!AV203*'Data Training 2'!AV207*'Data Training 2'!AV212*'Data Training 2'!AV216</f>
        <v>2.1170918154383975E-13</v>
      </c>
      <c r="E18" s="6">
        <v>0</v>
      </c>
      <c r="F18" s="6">
        <v>0</v>
      </c>
      <c r="G18" s="6">
        <v>0</v>
      </c>
      <c r="H18" s="6" t="s">
        <v>305</v>
      </c>
      <c r="I18" s="6" t="s">
        <v>305</v>
      </c>
      <c r="J18" s="6" t="s">
        <v>286</v>
      </c>
      <c r="N18" s="27" t="s">
        <v>441</v>
      </c>
      <c r="O18" s="27" t="s">
        <v>444</v>
      </c>
      <c r="P18" s="7" t="s">
        <v>445</v>
      </c>
      <c r="Q18" s="78" t="s">
        <v>446</v>
      </c>
      <c r="R18" s="78"/>
      <c r="S18" s="27" t="s">
        <v>309</v>
      </c>
    </row>
    <row r="19" spans="1:21" x14ac:dyDescent="0.3">
      <c r="A19" s="6">
        <f t="shared" si="0"/>
        <v>18</v>
      </c>
      <c r="B19" s="6">
        <v>0</v>
      </c>
      <c r="C19" s="6">
        <v>0</v>
      </c>
      <c r="D19" s="24">
        <f>PRODUCT('Data Training 2'!AW24,'Data Training 2'!AV34,'Data Training 2'!AV37,'Data Training 2'!AV43,'Data Training 2'!AV52,'Data Training 2'!AV58,'Data Training 2'!AV64,'Data Training 2'!AV70,'Data Training 2'!AV75,'Data Training 2'!AV81,'Data Training 2'!AV86,'Data Training 2'!AV91,'Data Training 2'!AV99,'Data Training 2'!AV105,'Data Training 2'!AV111,'Data Training 2'!AV118,'Data Training 2'!AV124,'Data Training 2'!AV128,'Data Training 2'!AV134,'Data Training 2'!AV141,'Data Training 2'!AV145,'Data Training 2'!AV154,'Data Training 2'!AV158,'Data Training 2'!AV164,'Data Training 2'!AV168,'Data Training 2'!AV172,'Data Training 2'!AV175,'Data Training 2'!AV179,'Data Training 2'!AV183,'Data Training 2'!AV187,'Data Training 2'!AV192,'Data Training 2'!AV195,'Data Training 2'!AV199,'Data Training 2'!AV203,'Data Training 2'!AV207,'Data Training 2'!AV211,'Data Training 2'!AV216)</f>
        <v>7.3319197071459694E-15</v>
      </c>
      <c r="E19" s="6">
        <v>0</v>
      </c>
      <c r="F19" s="6">
        <v>0</v>
      </c>
      <c r="G19" s="6">
        <v>0</v>
      </c>
      <c r="H19" s="6" t="s">
        <v>305</v>
      </c>
      <c r="I19" s="6" t="s">
        <v>305</v>
      </c>
      <c r="J19" s="6" t="s">
        <v>286</v>
      </c>
      <c r="N19" s="6" t="s">
        <v>303</v>
      </c>
      <c r="O19" s="6">
        <f>O5</f>
        <v>3</v>
      </c>
      <c r="P19" s="6">
        <v>3</v>
      </c>
      <c r="Q19" s="80">
        <f t="shared" ref="Q19:Q24" si="3">SUM(O19:P19)</f>
        <v>6</v>
      </c>
      <c r="R19" s="80"/>
      <c r="S19" s="26">
        <f>O19/Q19</f>
        <v>0.5</v>
      </c>
    </row>
    <row r="20" spans="1:21" x14ac:dyDescent="0.3">
      <c r="A20" s="6">
        <f t="shared" si="0"/>
        <v>19</v>
      </c>
      <c r="B20" s="6">
        <f>'Data Training 2'!AW22*'Data Training 2'!AT32*'Data Training 2'!AT38*'Data Training 2'!AT44*'Data Training 2'!AT52*'Data Training 2'!AT58*'Data Training 2'!AT64*'Data Training 2'!AT70*'Data Training 2'!AT75*'Data Training 2'!AT81*'Data Training 2'!AT86*'Data Training 2'!AT92*'Data Training 2'!AT100*'Data Training 2'!AT106*'Data Training 2'!AT110*'Data Training 2'!AT117*'Data Training 2'!AT124*'Data Training 2'!AT130*'Data Training 2'!AT136*'Data Training 2'!AT139*'Data Training 2'!AT145*'Data Training 2'!AT151*'Data Training 2'!AT159*'Data Training 2'!AT164*'Data Training 2'!AT167*'Data Training 2'!AT171*'Data Training 2'!AT175*'Data Training 2'!AT179*'Data Training 2'!AT183*'Data Training 2'!AT188*'Data Training 2'!AT192*'Data Training 2'!AT195*'Data Training 2'!AT200*'Data Training 2'!AT204*'Data Training 2'!AT207*'Data Training 2'!AT211*'Data Training 2'!AT216</f>
        <v>5.7305847182023058E-10</v>
      </c>
      <c r="C20" s="6">
        <v>0</v>
      </c>
      <c r="D20" s="6">
        <v>0</v>
      </c>
      <c r="E20" s="24">
        <f>'Data Training 2'!AW25*'Data Training 2'!AW32*'Data Training 2'!AW38*'Data Training 2'!AW44*'Data Training 2'!AW52*'Data Training 2'!AW58*'Data Training 2'!AW64*'Data Training 2'!AW70*'Data Training 2'!AW75*'Data Training 2'!AW81*'Data Training 2'!AW86*'Data Training 2'!AW92*'Data Training 2'!AW100*'Data Training 2'!AW106*'Data Training 2'!AW110*'Data Training 2'!AW117*'Data Training 2'!AW124*'Data Training 2'!AW130*'Data Training 2'!AW136*'Data Training 2'!AW139*'Data Training 2'!AW145*'Data Training 2'!AW151*'Data Training 2'!AW159*'Data Training 2'!AW164*'Data Training 2'!AW167*'Data Training 2'!AW171*'Data Training 2'!AW175*'Data Training 2'!AW179*'Data Training 2'!AW183*'Data Training 2'!AW188*'Data Training 2'!AW192*'Data Training 2'!AW195*'Data Training 2'!AW200*'Data Training 2'!AW204*'Data Training 2'!AW207*'Data Training 2'!AW211*'Data Training 2'!AW216</f>
        <v>6.0839707758247844E-8</v>
      </c>
      <c r="F20" s="6">
        <v>0</v>
      </c>
      <c r="G20" s="6">
        <v>0</v>
      </c>
      <c r="H20" s="6" t="s">
        <v>306</v>
      </c>
      <c r="I20" s="6" t="s">
        <v>306</v>
      </c>
      <c r="J20" s="6" t="s">
        <v>286</v>
      </c>
      <c r="N20" s="6" t="s">
        <v>304</v>
      </c>
      <c r="O20" s="6">
        <f>P6</f>
        <v>4</v>
      </c>
      <c r="P20" s="6">
        <v>2</v>
      </c>
      <c r="Q20" s="80">
        <f t="shared" si="3"/>
        <v>6</v>
      </c>
      <c r="R20" s="80"/>
      <c r="S20" s="26">
        <f t="shared" ref="S20:S24" si="4">O20/Q20</f>
        <v>0.66666666666666663</v>
      </c>
    </row>
    <row r="21" spans="1:21" x14ac:dyDescent="0.3">
      <c r="A21" s="6">
        <f t="shared" si="0"/>
        <v>20</v>
      </c>
      <c r="B21" s="6">
        <v>0</v>
      </c>
      <c r="C21" s="6">
        <v>0</v>
      </c>
      <c r="D21" s="6">
        <v>0</v>
      </c>
      <c r="E21" s="24">
        <f>'Data Training 2'!AW25*'Data Training 2'!AW34*'Data Training 2'!AW40*'Data Training 2'!AW45*'Data Training 2'!AW52*'Data Training 2'!AW58*'Data Training 2'!AW64*'Data Training 2'!AW70*'Data Training 2'!AW75*'Data Training 2'!AW81*'Data Training 2'!AW87*'Data Training 2'!AW92*'Data Training 2'!AW100*'Data Training 2'!AW106*'Data Training 2'!AW111*'Data Training 2'!AW117*'Data Training 2'!AW124*'Data Training 2'!AW130*'Data Training 2'!AW136*'Data Training 2'!AW142*'Data Training 2'!AW146*'Data Training 2'!AW152*'Data Training 2'!AW159*'Data Training 2'!AW164*'Data Training 2'!AW167*'Data Training 2'!AW171*'Data Training 2'!AW175*'Data Training 2'!AW179*'Data Training 2'!AW183*'Data Training 2'!AW188*'Data Training 2'!AW192*'Data Training 2'!AW195*'Data Training 2'!AW200*'Data Training 2'!AW204*'Data Training 2'!AW207*'Data Training 2'!AW212*'Data Training 2'!AW216</f>
        <v>5.9125080425896835E-8</v>
      </c>
      <c r="F21" s="6">
        <f>'Data Training 2'!AW26*'Data Training 2'!AX34*'Data Training 2'!AX40*'Data Training 2'!AX45*'Data Training 2'!AX52*'Data Training 2'!AX58*'Data Training 2'!AX64*'Data Training 2'!AX70*'Data Training 2'!AX75*'Data Training 2'!AX81*'Data Training 2'!AX87*'Data Training 2'!AX92*'Data Training 2'!AX100*'Data Training 2'!AX106*'Data Training 2'!AX111*'Data Training 2'!AX117*'Data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3.7379334338352473E-8</v>
      </c>
      <c r="G21" s="6">
        <f>'Data Training 2'!AW27*'Data Training 2'!AY34*'Data Training 2'!AY40*'Data Training 2'!AY45*'Data Training 2'!AY52*'Data Training 2'!AY58*'Data Training 2'!AY64*'Data Training 2'!AY70*'Data Training 2'!AY75*'Data Training 2'!AY81*'Data Training 2'!AY87*'Data Training 2'!AY92*'Data Training 2'!AY100*'Data Training 2'!AY106*'Data Training 2'!AY111*'Data Training 2'!AY117*'Data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2.4311039127593316E-10</v>
      </c>
      <c r="H21" s="6" t="s">
        <v>306</v>
      </c>
      <c r="I21" s="6" t="s">
        <v>306</v>
      </c>
      <c r="J21" s="6" t="s">
        <v>286</v>
      </c>
      <c r="N21" s="6" t="s">
        <v>305</v>
      </c>
      <c r="O21" s="6">
        <f>Q7</f>
        <v>6</v>
      </c>
      <c r="P21" s="6">
        <v>0</v>
      </c>
      <c r="Q21" s="80">
        <f t="shared" si="3"/>
        <v>6</v>
      </c>
      <c r="R21" s="80"/>
      <c r="S21" s="26">
        <f t="shared" si="4"/>
        <v>1</v>
      </c>
    </row>
    <row r="22" spans="1:21" x14ac:dyDescent="0.3">
      <c r="A22" s="6">
        <f t="shared" si="0"/>
        <v>21</v>
      </c>
      <c r="B22" s="6">
        <v>0</v>
      </c>
      <c r="C22" s="6">
        <v>0</v>
      </c>
      <c r="D22" s="6">
        <v>0</v>
      </c>
      <c r="E22" s="24">
        <f>'Data Training 2'!AW25*'Data Training 2'!AW34*'Data Training 2'!AW38*'Data Training 2'!AW45*'Data Training 2'!AW52*'Data Training 2'!AW58*'Data Training 2'!AW64*'Data Training 2'!AW69*'Data Training 2'!AW75*'Data Training 2'!AW80*'Data Training 2'!AW86*'Data Training 2'!AW92*'Data Training 2'!AW97*'Data Training 2'!AW105*'Data Training 2'!AW111*'Data Training 2'!AW116*'Data Training 2'!AW124*'Data Training 2'!AW129*'Data Training 2'!AW135*'Data Training 2'!AW142*'Data Training 2'!AW146*'Data Training 2'!AW153*'Data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1.7102295990961887E-13</v>
      </c>
      <c r="F22" s="6">
        <v>0</v>
      </c>
      <c r="G22" s="6">
        <f>'Data Training 2'!AW27*'Data Training 2'!AY34*'Data Training 2'!AY38*'Data Training 2'!AY45*'Data Training 2'!AY52*'Data Training 2'!AY58*'Data Training 2'!AY64*'Data Training 2'!AY69*'Data Training 2'!AY75*'Data Training 2'!AY80*'Data Training 2'!AY86*'Data Training 2'!AY92*'Data Training 2'!AY97*'Data Training 2'!AY105*'Data Training 2'!AY111*'Data Training 2'!AY116*'Data Training 2'!AY124*'Data Training 2'!AY129*'Data Training 2'!AY135*'Data Training 2'!AY142*'Data Training 2'!AY146*'Data Training 2'!AY153*'Data Training 2'!AY159*'Data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1.0504769993404522E-13</v>
      </c>
      <c r="H22" s="6" t="s">
        <v>306</v>
      </c>
      <c r="I22" s="6" t="s">
        <v>306</v>
      </c>
      <c r="J22" s="6" t="s">
        <v>286</v>
      </c>
      <c r="N22" s="6" t="s">
        <v>306</v>
      </c>
      <c r="O22" s="6">
        <f>R8</f>
        <v>5</v>
      </c>
      <c r="P22" s="6">
        <v>1</v>
      </c>
      <c r="Q22" s="80">
        <f t="shared" si="3"/>
        <v>6</v>
      </c>
      <c r="R22" s="80"/>
      <c r="S22" s="26">
        <f t="shared" si="4"/>
        <v>0.83333333333333337</v>
      </c>
    </row>
    <row r="23" spans="1:21" x14ac:dyDescent="0.3">
      <c r="A23" s="6">
        <f t="shared" si="0"/>
        <v>22</v>
      </c>
      <c r="B23" s="6">
        <v>0</v>
      </c>
      <c r="C23" s="6">
        <v>0</v>
      </c>
      <c r="D23" s="6">
        <v>0</v>
      </c>
      <c r="E23" s="6">
        <v>0</v>
      </c>
      <c r="F23" s="6">
        <v>0</v>
      </c>
      <c r="G23" s="46">
        <f>PRODUCT('Data Training 2'!AW27,'Data Training 2'!AY34,'Data Training 2'!AY40,'Data Training 2'!AY45,'Data Training 2'!AY52,'Data Training 2'!AY58,'Data Training 2'!AY64,'Data Training 2'!AY70,'Data Training 2'!AY75,'Data Training 2'!AY80,'Data Training 2'!AY85,'Data Training 2'!AY91,'Data Training 2'!AY98,'Data Training 2'!AY105,'Data Training 2'!AY111,'Data Training 2'!AY116,'Data Training 2'!AY124,'Data Training 2'!AY128,'Data Training 2'!AY135,'Data Training 2'!AY142,'Data Training 2'!AY146,'Data Training 2'!AY151,'Data Training 2'!AY157,'Data Training 2'!AY164,'Data Training 2'!AY167,'Data Training 2'!AY171,'Data Training 2'!AY175,'Data Training 2'!AY179,'Data Training 2'!AY183,'Data Training 2'!AY187,'Data Training 2'!AY192,'Data Training 2'!AY196,'Data Training 2'!AY200,'Data Training 2'!AY203,'Data Training 2'!AY207,'Data Training 2'!AY212,'Data Training 2'!AY216)</f>
        <v>4.5273082799857859E-13</v>
      </c>
      <c r="H23" s="46" t="s">
        <v>306</v>
      </c>
      <c r="I23" s="46" t="s">
        <v>308</v>
      </c>
      <c r="J23" s="46" t="s">
        <v>287</v>
      </c>
      <c r="N23" s="6" t="s">
        <v>307</v>
      </c>
      <c r="O23" s="6">
        <f>S9</f>
        <v>4</v>
      </c>
      <c r="P23" s="6">
        <v>2</v>
      </c>
      <c r="Q23" s="80">
        <f t="shared" si="3"/>
        <v>6</v>
      </c>
      <c r="R23" s="80"/>
      <c r="S23" s="26">
        <f t="shared" si="4"/>
        <v>0.66666666666666663</v>
      </c>
    </row>
    <row r="24" spans="1:21" x14ac:dyDescent="0.3">
      <c r="A24" s="6">
        <f t="shared" si="0"/>
        <v>23</v>
      </c>
      <c r="B24" s="6">
        <v>0</v>
      </c>
      <c r="C24" s="6">
        <v>0</v>
      </c>
      <c r="D24" s="6">
        <v>0</v>
      </c>
      <c r="E24" s="24">
        <f>PRODUCT('Data Training 2'!AW25,'Data Training 2'!AW33,'Data Training 2'!AW40,'Data Training 2'!AW45,'Data Training 2'!AW52,'Data Training 2'!AW58,'Data Training 2'!AW64,'Data Training 2'!AW70,'Data Training 2'!AW75,'Data Training 2'!AW81,'Data Training 2'!AW87,'Data Training 2'!AW94,'Data Training 2'!AW97,'Data Training 2'!AW106,'Data Training 2'!AW111,'Data Training 2'!AW115,'Data Training 2'!AW124,'Data Training 2'!AW130,'Data Training 2'!AW136,'Data Training 2'!AW139,'Data Training 2'!AW146,'Data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1.6555022519251112E-10</v>
      </c>
      <c r="F24" s="6">
        <v>0</v>
      </c>
      <c r="G24" s="6">
        <v>0</v>
      </c>
      <c r="H24" s="6" t="s">
        <v>306</v>
      </c>
      <c r="I24" s="6" t="s">
        <v>306</v>
      </c>
      <c r="J24" s="6" t="s">
        <v>286</v>
      </c>
      <c r="N24" s="28" t="s">
        <v>308</v>
      </c>
      <c r="O24" s="28">
        <f>T10</f>
        <v>6</v>
      </c>
      <c r="P24" s="28">
        <v>0</v>
      </c>
      <c r="Q24" s="102">
        <f t="shared" si="3"/>
        <v>6</v>
      </c>
      <c r="R24" s="102"/>
      <c r="S24" s="29">
        <f t="shared" si="4"/>
        <v>1</v>
      </c>
    </row>
    <row r="25" spans="1:21" x14ac:dyDescent="0.3">
      <c r="A25" s="6">
        <f t="shared" si="0"/>
        <v>24</v>
      </c>
      <c r="B25" s="6">
        <v>0</v>
      </c>
      <c r="C25" s="6">
        <v>0</v>
      </c>
      <c r="D25" s="6">
        <v>0</v>
      </c>
      <c r="E25" s="24">
        <f>PRODUCT('Data Training 2'!AW25,'Data Training 2'!AW32,'Data Training 2'!AW40,'Data Training 2'!AW43,'Data Training 2'!AW52,'Data Training 2'!AW58,'Data Training 2'!AW64,'Data Training 2'!AW70,'Data Training 2'!AW75,'Data Training 2'!AW81,'Data Training 2'!AW85,'Data Training 2'!AW91,'Data Training 2'!AW100,'Data Training 2'!AW105,'Data Training 2'!AW110,'Data Training 2'!AW118,'Data Training 2'!AW124,'Data Training 2'!AW129,'Data Training 2'!AW136,'Data Training 2'!AW142,'Data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8.0449200341484734E-10</v>
      </c>
      <c r="F25" s="6">
        <v>0</v>
      </c>
      <c r="G25" s="6">
        <v>0</v>
      </c>
      <c r="H25" s="6" t="s">
        <v>306</v>
      </c>
      <c r="I25" s="6" t="s">
        <v>306</v>
      </c>
      <c r="J25" s="6" t="s">
        <v>286</v>
      </c>
      <c r="N25" s="89" t="s">
        <v>447</v>
      </c>
      <c r="O25" s="89"/>
      <c r="P25" s="89"/>
      <c r="Q25" s="89"/>
      <c r="R25" s="89"/>
      <c r="S25" s="48">
        <f>SUM(S19:S24)/6</f>
        <v>0.77777777777777768</v>
      </c>
      <c r="T25" s="5"/>
      <c r="U25" s="5"/>
    </row>
    <row r="26" spans="1:21" x14ac:dyDescent="0.3">
      <c r="A26" s="6">
        <f t="shared" si="0"/>
        <v>25</v>
      </c>
      <c r="B26" s="6">
        <v>0</v>
      </c>
      <c r="C26" s="6">
        <v>0</v>
      </c>
      <c r="D26" s="6">
        <v>0</v>
      </c>
      <c r="E26" s="6">
        <f>'Data Training 2'!AW25*'Data Training 2'!AW34*'Data Training 2'!AW38*'Data Training 2'!AW44*'Data Training 2'!AW52*'Data Training 2'!AW58*'Data Training 2'!AW64*'Data Training 2'!AW70*'Data Training 2'!AW75*'Data Training 2'!AW81*'Data Training 2'!AW88*'Data Training 2'!AW92*'Data Training 2'!AW99*'Data Training 2'!AW106*'Data Training 2'!AW111*'Data Training 2'!AW116*'Data Training 2'!AW124*'Data Training 2'!AW130*'Data Training 2'!AW136*'Data Training 2'!AW142*'Data Training 2'!AW146*'Data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1.2515597024553842E-7</v>
      </c>
      <c r="F26" s="6">
        <f>'Data Training 2'!AW26*'Data Training 2'!AX34*'Data Training 2'!AX38*'Data Training 2'!AX44*'Data Training 2'!AX52*'Data Training 2'!AX58*'Data Training 2'!AX64*'Data Training 2'!AX70*'Data Training 2'!AX75*'Data Training 2'!AX81*'Data Training 2'!AX88*'Data Training 2'!AX92*'Data Training 2'!AX99*'Data Training 2'!AX106*'Data Training 2'!AX111*'Data Training 2'!AX116*'Data Training 2'!AX124*'Data Training 2'!AX130*'Data Training 2'!AX136*'Data Training 2'!AX142*'Data Training 2'!AX146*'Data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2.1264687979151626E-8</v>
      </c>
      <c r="G26" s="46">
        <f>'Data Training 2'!AW27*'Data Training 2'!AY34*'Data Training 2'!AY38*'Data Training 2'!AY44*'Data Training 2'!AY52*'Data Training 2'!AY58*'Data Training 2'!AY64*'Data Training 2'!AY70*'Data Training 2'!AY75*'Data Training 2'!AY81*'Data Training 2'!AY88*'Data Training 2'!AY92*'Data Training 2'!AY99*'Data Training 2'!AY106*'Data Training 2'!AY111*'Data Training 2'!AY116*'Data Training 2'!AY124*'Data Training 2'!AY130*'Data Training 2'!AY136*'Data Training 2'!AY142*'Data Training 2'!AY146*'Data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7.5634343952512571E-11</v>
      </c>
      <c r="H26" s="46" t="s">
        <v>307</v>
      </c>
      <c r="I26" s="46" t="s">
        <v>308</v>
      </c>
      <c r="J26" s="46" t="s">
        <v>287</v>
      </c>
    </row>
    <row r="27" spans="1:21" x14ac:dyDescent="0.3">
      <c r="A27" s="6">
        <f t="shared" si="0"/>
        <v>26</v>
      </c>
      <c r="B27" s="6">
        <v>0</v>
      </c>
      <c r="C27" s="6">
        <v>0</v>
      </c>
      <c r="D27" s="6">
        <v>0</v>
      </c>
      <c r="E27" s="6">
        <v>0</v>
      </c>
      <c r="F27" s="24">
        <f>'Data Training 2'!AW26*'Data Training 2'!AX34*'Data Training 2'!AX38*'Data Training 2'!AX46*'Data Training 2'!AX52*'Data Training 2'!AX58*'Data Training 2'!AX64*'Data Training 2'!AX70*'Data Training 2'!AX75*'Data Training 2'!AX81*'Data Training 2'!AX85*'Data Training 2'!AX91*'Data Training 2'!AX98*'Data Training 2'!AX106*'Data Training 2'!AX111*'Data Training 2'!AX118*'Data Training 2'!AX123*'Data Training 2'!AX129*'Data Training 2'!AX136*'Data Training 2'!AX139*'Data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9.0646533889302756E-11</v>
      </c>
      <c r="G27" s="6">
        <v>0</v>
      </c>
      <c r="H27" s="6" t="s">
        <v>307</v>
      </c>
      <c r="I27" s="6" t="s">
        <v>307</v>
      </c>
      <c r="J27" s="6" t="s">
        <v>286</v>
      </c>
      <c r="N27" s="103" t="s">
        <v>435</v>
      </c>
      <c r="O27" s="104"/>
      <c r="P27" s="104"/>
      <c r="Q27" s="104"/>
      <c r="R27" s="104"/>
      <c r="S27" s="105"/>
    </row>
    <row r="28" spans="1:21" x14ac:dyDescent="0.3">
      <c r="A28" s="6">
        <f t="shared" si="0"/>
        <v>27</v>
      </c>
      <c r="B28" s="6">
        <v>0</v>
      </c>
      <c r="C28" s="6">
        <v>0</v>
      </c>
      <c r="D28" s="6">
        <v>0</v>
      </c>
      <c r="E28" s="6">
        <v>0</v>
      </c>
      <c r="F28" s="6">
        <f>'Data Training 2'!AW26*'Data Training 2'!AX34*'Data Training 2'!AX40*'Data Training 2'!AX45*'Data Training 2'!AX52*'Data Training 2'!AX58*'Data Training 2'!AX62*'Data Training 2'!AX70*'Data Training 2'!AX75*'Data Training 2'!AX81*'Data Training 2'!AX87*'Data Training 2'!AX93*'Data Training 2'!AX99*'Data Training 2'!AX105*'Data Training 2'!AX110*'Data Training 2'!AX116*'Data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3.0513742317022442E-9</v>
      </c>
      <c r="G28" s="46">
        <f>'Data Training 2'!AW27*'Data Training 2'!AY34*'Data Training 2'!AY40*'Data Training 2'!AY45*'Data Training 2'!AY52*'Data Training 2'!AY58*'Data Training 2'!AY62*'Data Training 2'!AY70*'Data Training 2'!AY75*'Data Training 2'!AY81*'Data Training 2'!AY87*'Data Training 2'!AY93*'Data Training 2'!AY99*'Data Training 2'!AY105*'Data Training 2'!AY110*'Data Training 2'!AY116*'Data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8.1855350597957332E-13</v>
      </c>
      <c r="H28" s="46" t="s">
        <v>307</v>
      </c>
      <c r="I28" s="46" t="s">
        <v>308</v>
      </c>
      <c r="J28" s="46" t="s">
        <v>287</v>
      </c>
      <c r="N28" s="106" t="s">
        <v>311</v>
      </c>
      <c r="O28" s="107"/>
      <c r="P28" s="107"/>
      <c r="Q28" s="107"/>
      <c r="R28" s="107"/>
      <c r="S28" s="108"/>
    </row>
    <row r="29" spans="1:21" x14ac:dyDescent="0.3">
      <c r="A29" s="6">
        <f t="shared" si="0"/>
        <v>28</v>
      </c>
      <c r="B29" s="6">
        <v>0</v>
      </c>
      <c r="C29" s="6">
        <v>0</v>
      </c>
      <c r="D29" s="6">
        <v>0</v>
      </c>
      <c r="E29" s="6">
        <f>PRODUCT('Data Training 2'!AW25,'Data Training 2'!AW33,'Data Training 2'!AW38,'Data Training 2'!AW46,'Data Training 2'!AW52,'Data Training 2'!AW58,'Data Training 2'!AW64,'Data Training 2'!AW70,'Data Training 2'!AW75,'Data Training 2'!AW80,'Data Training 2'!AW86,'Data Training 2'!AW94,'Data Training 2'!AW99,'Data Training 2'!AW106,'Data Training 2'!AW111,'Data Training 2'!AW117,'Data Training 2'!AW124,'Data Training 2'!AW130,'Data Training 2'!AW136,'Data Training 2'!AW140,'Data Training 2'!AW146,'Data Training 2'!AW151,'Data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1.7168171501445595E-10</v>
      </c>
      <c r="F29" s="24">
        <f>PRODUCT('Data Training 2'!AW26,'Data Training 2'!AX33,'Data Training 2'!AX38,'Data Training 2'!AX46,'Data Training 2'!AX52,'Data Training 2'!AX58,'Data Training 2'!AX64,'Data Training 2'!AX70,'Data Training 2'!AX75,'Data Training 2'!AX80,'Data Training 2'!AX86,'Data Training 2'!AX94,'Data Training 2'!AX99,'Data Training 2'!AX106,'Data Training 2'!AX111,'Data Training 2'!AX117,'Data Training 2'!AX124,'Data Training 2'!AX130,'Data Training 2'!AX136,'Data Training 2'!AX140,'Data Training 2'!AX146,'Data Training 2'!AX151,'Data Training 2'!AX159,'Data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8.8998415091315388E-11</v>
      </c>
      <c r="G29" s="6">
        <v>0</v>
      </c>
      <c r="H29" s="6" t="s">
        <v>307</v>
      </c>
      <c r="I29" s="6" t="s">
        <v>307</v>
      </c>
      <c r="J29" s="6" t="s">
        <v>286</v>
      </c>
      <c r="N29" s="38" t="s">
        <v>441</v>
      </c>
      <c r="O29" s="38" t="s">
        <v>444</v>
      </c>
      <c r="P29" s="39" t="s">
        <v>448</v>
      </c>
      <c r="Q29" s="109" t="s">
        <v>312</v>
      </c>
      <c r="R29" s="110"/>
      <c r="S29" s="38" t="s">
        <v>521</v>
      </c>
    </row>
    <row r="30" spans="1:21" x14ac:dyDescent="0.3">
      <c r="A30" s="6">
        <f t="shared" si="0"/>
        <v>29</v>
      </c>
      <c r="B30" s="6">
        <v>0</v>
      </c>
      <c r="C30" s="6">
        <v>0</v>
      </c>
      <c r="D30" s="6">
        <v>0</v>
      </c>
      <c r="E30" s="6">
        <v>0</v>
      </c>
      <c r="F30" s="24">
        <f>PRODUCT('Data Training 2'!AW26,'Data Training 2'!AX33,'Data Training 2'!AX38,'Data Training 2'!AX43,'Data Training 2'!AX52,'Data Training 2'!AX58,'Data Training 2'!AX62,'Data Training 2'!AX70,'Data Training 2'!AX75,'Data Training 2'!AX80,'Data Training 2'!AX87,'Data Training 2'!AX93,'Data Training 2'!AX100,'Data Training 2'!AX106,'Data Training 2'!AX111,'Data Training 2'!AX118,'Data Training 2'!AX124,'Data Training 2'!AX128,'Data Training 2'!AX136,'Data Training 2'!AX141,'Data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3.0998087433165655E-11</v>
      </c>
      <c r="G30" s="6">
        <v>0</v>
      </c>
      <c r="H30" s="6" t="s">
        <v>307</v>
      </c>
      <c r="I30" s="6" t="s">
        <v>307</v>
      </c>
      <c r="J30" s="6" t="s">
        <v>286</v>
      </c>
      <c r="N30" s="6" t="s">
        <v>303</v>
      </c>
      <c r="O30" s="6">
        <f>O5</f>
        <v>3</v>
      </c>
      <c r="P30" s="6">
        <v>2</v>
      </c>
      <c r="Q30" s="99">
        <f t="shared" ref="Q30:Q35" si="5">SUM(O30:P30)</f>
        <v>5</v>
      </c>
      <c r="R30" s="101"/>
      <c r="S30" s="26">
        <f>O30/Q30</f>
        <v>0.6</v>
      </c>
    </row>
    <row r="31" spans="1:21" x14ac:dyDescent="0.3">
      <c r="A31" s="6">
        <f t="shared" si="0"/>
        <v>30</v>
      </c>
      <c r="B31" s="6">
        <v>0</v>
      </c>
      <c r="C31" s="6">
        <v>0</v>
      </c>
      <c r="D31" s="6">
        <v>0</v>
      </c>
      <c r="E31" s="6">
        <v>0</v>
      </c>
      <c r="F31" s="24">
        <f>PRODUCT('Data Training 2'!AW26,'Data Training 2'!AX34,'Data Training 2'!AX40,'Data Training 2'!AX44,'Data Training 2'!AX52,'Data Training 2'!AX58,'Data Training 2'!AX64,'Data Training 2'!AX70,'Data Training 2'!AX75,'Data Training 2'!AX81,'Data Training 2'!AX88,'Data Training 2'!AX93,'Data Training 2'!AX99,'Data Training 2'!AX103,'Data Training 2'!AX110,'Data Training 2'!AX117,'Data Training 2'!AX124,'Data Training 2'!AX130,'Data Training 2'!AX136,'Data Training 2'!AX140,'Data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2'!AX212,'Data Training 2'!AX216)</f>
        <v>3.1078811619189511E-9</v>
      </c>
      <c r="G31" s="6">
        <v>0</v>
      </c>
      <c r="H31" s="6" t="s">
        <v>307</v>
      </c>
      <c r="I31" s="6" t="s">
        <v>307</v>
      </c>
      <c r="J31" s="6" t="s">
        <v>286</v>
      </c>
      <c r="N31" s="6" t="s">
        <v>304</v>
      </c>
      <c r="O31" s="6">
        <f>P6</f>
        <v>4</v>
      </c>
      <c r="P31" s="6">
        <v>0</v>
      </c>
      <c r="Q31" s="99">
        <f t="shared" si="5"/>
        <v>4</v>
      </c>
      <c r="R31" s="101"/>
      <c r="S31" s="26">
        <f t="shared" ref="S31:S35" si="6">O31/Q31</f>
        <v>1</v>
      </c>
    </row>
    <row r="32" spans="1:21" x14ac:dyDescent="0.3">
      <c r="A32" s="6">
        <f t="shared" si="0"/>
        <v>31</v>
      </c>
      <c r="B32" s="6">
        <v>0</v>
      </c>
      <c r="C32" s="6">
        <v>0</v>
      </c>
      <c r="D32" s="6">
        <v>0</v>
      </c>
      <c r="E32" s="6">
        <v>0</v>
      </c>
      <c r="F32" s="6">
        <v>0</v>
      </c>
      <c r="G32" s="24">
        <f>'Data Training 2'!AW27*'Data Training 2'!AY34*'Data Training 2'!AY40*'Data Training 2'!AY44*'Data Training 2'!AY52*'Data Training 2'!AY58*'Data Training 2'!AY64*'Data Training 2'!AY70*'Data Training 2'!AY75*'Data Training 2'!AY81*'Data Training 2'!AY85*'Data Training 2'!AY91*'Data Training 2'!AY97*'Data Training 2'!AY106*'Data Training 2'!AY109*'Data Training 2'!AY124*'Data Training 2'!AY118*'Data Training 2'!AY130*'Data Training 2'!AY136*'Data Training 2'!AY140*'Data Training 2'!AY148*'Data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8.0676633549346722E-10</v>
      </c>
      <c r="H32" s="6" t="s">
        <v>308</v>
      </c>
      <c r="I32" s="6" t="s">
        <v>308</v>
      </c>
      <c r="J32" s="6" t="s">
        <v>286</v>
      </c>
      <c r="N32" s="6" t="s">
        <v>305</v>
      </c>
      <c r="O32" s="6">
        <f>Q7</f>
        <v>6</v>
      </c>
      <c r="P32" s="6">
        <v>1</v>
      </c>
      <c r="Q32" s="99">
        <f t="shared" si="5"/>
        <v>7</v>
      </c>
      <c r="R32" s="101"/>
      <c r="S32" s="26">
        <f t="shared" si="6"/>
        <v>0.8571428571428571</v>
      </c>
    </row>
    <row r="33" spans="1:19" x14ac:dyDescent="0.3">
      <c r="A33" s="6">
        <f t="shared" si="0"/>
        <v>32</v>
      </c>
      <c r="B33" s="6">
        <v>0</v>
      </c>
      <c r="C33" s="6">
        <v>0</v>
      </c>
      <c r="D33" s="6">
        <v>0</v>
      </c>
      <c r="E33" s="6">
        <v>0</v>
      </c>
      <c r="F33" s="6">
        <v>0</v>
      </c>
      <c r="G33" s="24">
        <f>'Data Training 2'!AW27*'Data Training 2'!AY31*'Data Training 2'!AY40*'Data Training 2'!AY45*'Data Training 2'!AY52*'Data Training 2'!AY58*'Data Training 2'!AY64*'Data Training 2'!AY69*'Data Training 2'!AY75*'Data Training 2'!AY81*'Data Training 2'!AY85*'Data Training 2'!AY93*'Data Training 2'!AY100*'Data Training 2'!AY106*'Data Training 2'!AY109*'Data Training 2'!AY118*'Data Training 2'!AY124*'Data Training 2'!AY130*'Data Training 2'!AY136*'Data Training 2'!AY142*'Data Training 2'!AY145*'Data Training 2'!AY152*'Data Training 2'!AY159*'Data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1.6408277097135984E-12</v>
      </c>
      <c r="H33" s="6" t="s">
        <v>308</v>
      </c>
      <c r="I33" s="6" t="s">
        <v>308</v>
      </c>
      <c r="J33" s="6" t="s">
        <v>286</v>
      </c>
      <c r="N33" s="6" t="s">
        <v>306</v>
      </c>
      <c r="O33" s="6">
        <f>R8</f>
        <v>5</v>
      </c>
      <c r="P33" s="6">
        <v>1</v>
      </c>
      <c r="Q33" s="99">
        <f t="shared" si="5"/>
        <v>6</v>
      </c>
      <c r="R33" s="101"/>
      <c r="S33" s="26">
        <f t="shared" si="6"/>
        <v>0.83333333333333337</v>
      </c>
    </row>
    <row r="34" spans="1:19" x14ac:dyDescent="0.3">
      <c r="A34" s="6">
        <f t="shared" si="0"/>
        <v>33</v>
      </c>
      <c r="B34" s="6">
        <v>0</v>
      </c>
      <c r="C34" s="6">
        <v>0</v>
      </c>
      <c r="D34" s="6">
        <v>0</v>
      </c>
      <c r="E34" s="6">
        <v>0</v>
      </c>
      <c r="F34" s="6">
        <v>0</v>
      </c>
      <c r="G34" s="24">
        <f>'Data Training 2'!AW27*'Data Training 2'!AY34*'Data Training 2'!AY40*'Data Training 2'!AY44*'Data Training 2'!AY51*'Data Training 2'!AY58*'Data Training 2'!AY64*'Data Training 2'!AY70*'Data Training 2'!AY76*'Data Training 2'!AY81*'Data Training 2'!AY85*'Data Training 2'!AY91*'Data Training 2'!AY99*'Data Training 2'!AY106*'Data Training 2'!AY111*'Data Training 2'!AY117*'Data Training 2'!AY124*'Data Training 2'!AY128*'Data Training 2'!AY136*'Data Training 2'!AY140*'Data Training 2'!AY147*'Data Training 2'!AY153*'Data Training 2'!AY160*'Data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4.2092742272595132E-14</v>
      </c>
      <c r="H34" s="6" t="s">
        <v>308</v>
      </c>
      <c r="I34" s="6" t="s">
        <v>308</v>
      </c>
      <c r="J34" s="6" t="s">
        <v>286</v>
      </c>
      <c r="N34" s="6" t="s">
        <v>307</v>
      </c>
      <c r="O34" s="6">
        <f>S9</f>
        <v>4</v>
      </c>
      <c r="P34" s="6">
        <v>0</v>
      </c>
      <c r="Q34" s="99">
        <f t="shared" si="5"/>
        <v>4</v>
      </c>
      <c r="R34" s="101"/>
      <c r="S34" s="26">
        <f t="shared" si="6"/>
        <v>1</v>
      </c>
    </row>
    <row r="35" spans="1:19" x14ac:dyDescent="0.3">
      <c r="A35" s="6">
        <f t="shared" si="0"/>
        <v>34</v>
      </c>
      <c r="B35" s="6">
        <v>0</v>
      </c>
      <c r="C35" s="6">
        <v>0</v>
      </c>
      <c r="D35" s="6">
        <v>0</v>
      </c>
      <c r="E35" s="6">
        <v>0</v>
      </c>
      <c r="F35" s="6">
        <v>0</v>
      </c>
      <c r="G35" s="24">
        <f>PRODUCT('Data Training 2'!AW27,'Data Training 2'!AY34,'Data Training 2'!AY40,'Data Training 2'!AY45,'Data Training 2'!AY52,'Data Training 2'!AY58,'Data Training 2'!AY64,'Data Training 2'!AY70,'Data Training 2'!AY76,'Data Training 2'!AY81,'Data Training 2'!AY85,'Data Training 2'!AY91,'Data Training 2'!AY100,'Data Training 2'!AY105,'Data Training 2'!AY110,'Data Training 2'!AY118,'Data Training 2'!AY124,'Data Training 2'!AY128,'Data Training 2'!AY136,'Data Training 2'!AY142,'Data Training 2'!AY145,'Data Training 2'!AY152,'Data Training 2'!AY159,'Data Training 2'!AY164,'Data Training 2'!AY167,'Data Training 2'!AY171,'Data Training 2'!AY176,'Data Training 2'!AY179,'Data Training 2'!AY183,'Data Training 2'!AY187,'Data Training 2'!AY192,'Data Training 2'!AY195,'Data Training 2'!AY200,'Data Training 2'!AY203,'Data Training 2'!AY207,'Data Training 2'!AY211,'Data Training 2'!AY216)</f>
        <v>2.7381160477354036E-10</v>
      </c>
      <c r="H35" s="6" t="s">
        <v>308</v>
      </c>
      <c r="I35" s="6" t="s">
        <v>308</v>
      </c>
      <c r="J35" s="6" t="s">
        <v>286</v>
      </c>
      <c r="N35" s="6" t="s">
        <v>308</v>
      </c>
      <c r="O35" s="6">
        <f>T10</f>
        <v>6</v>
      </c>
      <c r="P35" s="6">
        <v>4</v>
      </c>
      <c r="Q35" s="80">
        <f t="shared" si="5"/>
        <v>10</v>
      </c>
      <c r="R35" s="80"/>
      <c r="S35" s="26">
        <f t="shared" si="6"/>
        <v>0.6</v>
      </c>
    </row>
    <row r="36" spans="1:19" x14ac:dyDescent="0.3">
      <c r="A36" s="6">
        <f t="shared" si="0"/>
        <v>35</v>
      </c>
      <c r="B36" s="6">
        <v>0</v>
      </c>
      <c r="C36" s="6">
        <v>0</v>
      </c>
      <c r="D36" s="6">
        <v>0</v>
      </c>
      <c r="E36" s="6">
        <v>0</v>
      </c>
      <c r="F36" s="6">
        <v>0</v>
      </c>
      <c r="G36" s="24">
        <f>PRODUCT('Data Training 2'!AW27,'Data Training 2'!AY34,'Data Training 2'!AY40,'Data Training 2'!AY44,'Data Training 2'!AY52,'Data Training 2'!AY58,'Data Training 2'!AY64,'Data Training 2'!AY70,'Data Training 2'!AY75,'Data Training 2'!AY81,'Data Training 2'!AY87,'Data Training 2'!AY93,'Data Training 2'!AY98,'Data Training 2'!AY106,'Data Training 2'!AY110,'Data Training 2'!AY116,'Data Training 2'!AY124,'Data Training 2'!AY130,'Data Training 2'!AY136,'Data Training 2'!AY141,'Data Training 2'!AY146,'Data Training 2'!AY151,'Data Training 2'!AY157,'Data Training 2'!AY164,'Data Training 2'!AY167,'Data Training 2'!AY171,'Data Training 2'!AY175,'Data Training 2'!AY180,'Data Training 2'!AY183,'Data Training 2'!AY187,'Data Training 2'!AY192,'Data Training 2'!AY196,'Data Training 2'!AY200,'Data Training 2'!AY204,'Data Training 2'!AY208,'Data Training 2'!AY212,'Data Training 2'!AY216)</f>
        <v>1.7859349221372509E-13</v>
      </c>
      <c r="H36" s="6" t="s">
        <v>308</v>
      </c>
      <c r="I36" s="6" t="s">
        <v>308</v>
      </c>
      <c r="J36" s="6" t="s">
        <v>286</v>
      </c>
      <c r="N36" s="89" t="s">
        <v>449</v>
      </c>
      <c r="O36" s="89"/>
      <c r="P36" s="89"/>
      <c r="Q36" s="89"/>
      <c r="R36" s="89"/>
      <c r="S36" s="54">
        <f>SUM(S30:S35)/6</f>
        <v>0.81507936507936518</v>
      </c>
    </row>
    <row r="37" spans="1:19" x14ac:dyDescent="0.3">
      <c r="A37" s="6">
        <f t="shared" si="0"/>
        <v>36</v>
      </c>
      <c r="B37" s="6">
        <v>0</v>
      </c>
      <c r="C37" s="6">
        <v>0</v>
      </c>
      <c r="D37" s="6">
        <v>0</v>
      </c>
      <c r="E37" s="6">
        <f>PRODUCT('Data Training 2'!AW25,'Data Training 2'!AW34,'Data Training 2'!AW40,'Data Training 2'!AW43,'Data Training 2'!AW52,'Data Training 2'!AW58,'Data Training 2'!AW64,'Data Training 2'!AW70,'Data Training 2'!AW75,'Data Training 2'!AW80,'Data Training 2'!AW85,'Data Training 2'!AW92,'Data Training 2'!AW100,'Data Training 2'!AW106,'Data Training 2'!AW110,'Data Training 2'!AW118,'Data Training 2'!AW124,'Data Training 2'!AW128,'Data Training 2'!AW136,'Data Training 2'!AW140,'Data Training 2'!AW145,'Data Training 2'!AW153,'Data Training 2'!AW159,'Data Training 2'!AW164,'Data Training 2'!AW167,'Data Training 2'!AW171,'Data Training 2'!AW175,'Data Training 2'!AW179,'Data Training 2'!AW183,'Data Training 2'!AW187,'Data Training 2'!AW192,'Data Training 2'!AW195,'Data Training 2'!AW200,'Data Training 2'!AW204,'Data Training 2'!AW207,'Data Training 2'!AW212,'Data Training 2'!AW216)</f>
        <v>1.1287515354034849E-10</v>
      </c>
      <c r="F37" s="6">
        <v>0</v>
      </c>
      <c r="G37" s="24">
        <f>PRODUCT('Data Training 2'!AW27,'Data Training 2'!AY34,'Data Training 2'!AY40,'Data Training 2'!AY43,'Data Training 2'!AY52,'Data Training 2'!AY58,'Data Training 2'!AY64,'Data Training 2'!AY70,'Data Training 2'!AY75,'Data Training 2'!AY80,'Data Training 2'!AY85,'Data Training 2'!AY92,'Data Training 2'!AY100,'Data Training 2'!AY106,'Data Training 2'!AY110,'Data Training 2'!AY118,'Data Training 2'!AY124,'Data Training 2'!AY128,'Data Training 2'!AY136,'Data Training 2'!AY140,'Data Training 2'!AY145,'Data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2.9043588077764822E-9</v>
      </c>
      <c r="H37" s="6" t="s">
        <v>308</v>
      </c>
      <c r="I37" s="6" t="s">
        <v>308</v>
      </c>
      <c r="J37" s="6" t="s">
        <v>286</v>
      </c>
    </row>
    <row r="38" spans="1:19" x14ac:dyDescent="0.3">
      <c r="A38" s="93" t="s">
        <v>518</v>
      </c>
      <c r="B38" s="94"/>
      <c r="C38" s="94"/>
      <c r="D38" s="94"/>
      <c r="E38" s="94"/>
      <c r="F38" s="94"/>
      <c r="G38" s="94"/>
      <c r="H38" s="97" t="s">
        <v>286</v>
      </c>
      <c r="I38" s="98"/>
      <c r="J38" s="10">
        <f>COUNTIF(J2:J37,"Sesuai")</f>
        <v>28</v>
      </c>
      <c r="N38" s="90" t="s">
        <v>522</v>
      </c>
      <c r="O38" s="91"/>
      <c r="P38" s="91"/>
      <c r="Q38" s="91"/>
      <c r="R38" s="92"/>
      <c r="S38" s="48">
        <f>2*((S36*S25)/(S36+S25))</f>
        <v>0.79599180645518464</v>
      </c>
    </row>
    <row r="39" spans="1:19" x14ac:dyDescent="0.3">
      <c r="A39" s="95"/>
      <c r="B39" s="96"/>
      <c r="C39" s="96"/>
      <c r="D39" s="96"/>
      <c r="E39" s="96"/>
      <c r="F39" s="96"/>
      <c r="G39" s="96"/>
      <c r="H39" s="99" t="s">
        <v>485</v>
      </c>
      <c r="I39" s="100"/>
      <c r="J39" s="30">
        <f>COUNTIF(J2:J37,"Tidak Sesuai")</f>
        <v>8</v>
      </c>
    </row>
    <row r="40" spans="1:19" x14ac:dyDescent="0.3">
      <c r="A40" s="86" t="s">
        <v>519</v>
      </c>
      <c r="B40" s="87"/>
      <c r="C40" s="87"/>
      <c r="D40" s="87"/>
      <c r="E40" s="87"/>
      <c r="F40" s="87"/>
      <c r="G40" s="87"/>
      <c r="H40" s="87"/>
      <c r="I40" s="88"/>
      <c r="J40" s="24">
        <f>SUM(J38:J39)</f>
        <v>36</v>
      </c>
    </row>
  </sheetData>
  <mergeCells count="32">
    <mergeCell ref="Q21:R21"/>
    <mergeCell ref="N2:U2"/>
    <mergeCell ref="N3:N4"/>
    <mergeCell ref="O3:T3"/>
    <mergeCell ref="U3:U4"/>
    <mergeCell ref="N13:Q13"/>
    <mergeCell ref="R13:R14"/>
    <mergeCell ref="N14:Q14"/>
    <mergeCell ref="N16:S16"/>
    <mergeCell ref="N17:S17"/>
    <mergeCell ref="Q18:R18"/>
    <mergeCell ref="Q19:R19"/>
    <mergeCell ref="Q20:R20"/>
    <mergeCell ref="Q34:R34"/>
    <mergeCell ref="Q22:R22"/>
    <mergeCell ref="Q23:R23"/>
    <mergeCell ref="Q24:R24"/>
    <mergeCell ref="N25:R25"/>
    <mergeCell ref="N27:S27"/>
    <mergeCell ref="N28:S28"/>
    <mergeCell ref="Q29:R29"/>
    <mergeCell ref="Q30:R30"/>
    <mergeCell ref="Q31:R31"/>
    <mergeCell ref="Q32:R32"/>
    <mergeCell ref="Q33:R33"/>
    <mergeCell ref="A40:I40"/>
    <mergeCell ref="Q35:R35"/>
    <mergeCell ref="N36:R36"/>
    <mergeCell ref="A38:G39"/>
    <mergeCell ref="H38:I38"/>
    <mergeCell ref="N38:R38"/>
    <mergeCell ref="H39:I3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799D-F9F6-4D9A-8B0C-07154D91B23D}">
  <dimension ref="A1:C117"/>
  <sheetViews>
    <sheetView zoomScale="90" zoomScaleNormal="90" workbookViewId="0">
      <selection activeCell="C22" sqref="C22"/>
    </sheetView>
  </sheetViews>
  <sheetFormatPr defaultRowHeight="14.4" x14ac:dyDescent="0.3"/>
  <cols>
    <col min="1" max="1" width="50.33203125" bestFit="1" customWidth="1"/>
    <col min="2" max="2" width="13.33203125" bestFit="1" customWidth="1"/>
    <col min="3" max="3" width="55.6640625" bestFit="1" customWidth="1"/>
  </cols>
  <sheetData>
    <row r="1" spans="1:3" x14ac:dyDescent="0.3">
      <c r="A1" s="36" t="s">
        <v>433</v>
      </c>
      <c r="B1" s="36" t="s">
        <v>535</v>
      </c>
      <c r="C1" s="63" t="s">
        <v>85</v>
      </c>
    </row>
    <row r="2" spans="1:3" x14ac:dyDescent="0.3">
      <c r="A2" s="8" t="s">
        <v>391</v>
      </c>
      <c r="B2" s="9" t="s">
        <v>4</v>
      </c>
      <c r="C2" s="6" t="s">
        <v>86</v>
      </c>
    </row>
    <row r="3" spans="1:3" x14ac:dyDescent="0.3">
      <c r="A3" s="11"/>
      <c r="B3" t="s">
        <v>3</v>
      </c>
      <c r="C3" s="6" t="s">
        <v>87</v>
      </c>
    </row>
    <row r="4" spans="1:3" x14ac:dyDescent="0.3">
      <c r="A4" s="11"/>
      <c r="B4" t="s">
        <v>2</v>
      </c>
      <c r="C4" s="6" t="s">
        <v>88</v>
      </c>
    </row>
    <row r="5" spans="1:3" x14ac:dyDescent="0.3">
      <c r="A5" s="12"/>
      <c r="B5" s="13" t="s">
        <v>5</v>
      </c>
      <c r="C5" s="6" t="s">
        <v>89</v>
      </c>
    </row>
    <row r="6" spans="1:3" x14ac:dyDescent="0.3">
      <c r="A6" s="8" t="s">
        <v>392</v>
      </c>
      <c r="B6" s="9" t="s">
        <v>4</v>
      </c>
      <c r="C6" s="6" t="s">
        <v>90</v>
      </c>
    </row>
    <row r="7" spans="1:3" x14ac:dyDescent="0.3">
      <c r="A7" s="11"/>
      <c r="B7" t="s">
        <v>3</v>
      </c>
      <c r="C7" s="6" t="s">
        <v>91</v>
      </c>
    </row>
    <row r="8" spans="1:3" x14ac:dyDescent="0.3">
      <c r="A8" s="11"/>
      <c r="B8" t="s">
        <v>2</v>
      </c>
      <c r="C8" s="6" t="s">
        <v>92</v>
      </c>
    </row>
    <row r="9" spans="1:3" x14ac:dyDescent="0.3">
      <c r="A9" s="12"/>
      <c r="B9" s="13" t="s">
        <v>5</v>
      </c>
      <c r="C9" s="6" t="s">
        <v>93</v>
      </c>
    </row>
    <row r="10" spans="1:3" x14ac:dyDescent="0.3">
      <c r="A10" s="8" t="s">
        <v>393</v>
      </c>
      <c r="B10" s="9" t="s">
        <v>4</v>
      </c>
      <c r="C10" s="6" t="s">
        <v>94</v>
      </c>
    </row>
    <row r="11" spans="1:3" x14ac:dyDescent="0.3">
      <c r="A11" s="11"/>
      <c r="B11" t="s">
        <v>3</v>
      </c>
      <c r="C11" s="6" t="s">
        <v>95</v>
      </c>
    </row>
    <row r="12" spans="1:3" x14ac:dyDescent="0.3">
      <c r="A12" s="11"/>
      <c r="B12" t="s">
        <v>2</v>
      </c>
      <c r="C12" s="6" t="s">
        <v>96</v>
      </c>
    </row>
    <row r="13" spans="1:3" x14ac:dyDescent="0.3">
      <c r="A13" s="12"/>
      <c r="B13" s="13" t="s">
        <v>5</v>
      </c>
      <c r="C13" s="6" t="s">
        <v>97</v>
      </c>
    </row>
    <row r="14" spans="1:3" x14ac:dyDescent="0.3">
      <c r="A14" s="8" t="s">
        <v>394</v>
      </c>
      <c r="B14" s="9" t="s">
        <v>4</v>
      </c>
      <c r="C14" s="6" t="s">
        <v>98</v>
      </c>
    </row>
    <row r="15" spans="1:3" x14ac:dyDescent="0.3">
      <c r="A15" s="11"/>
      <c r="B15" t="s">
        <v>3</v>
      </c>
      <c r="C15" s="6" t="s">
        <v>99</v>
      </c>
    </row>
    <row r="16" spans="1:3" x14ac:dyDescent="0.3">
      <c r="A16" s="11"/>
      <c r="B16" t="s">
        <v>2</v>
      </c>
      <c r="C16" s="6" t="s">
        <v>100</v>
      </c>
    </row>
    <row r="17" spans="1:3" x14ac:dyDescent="0.3">
      <c r="A17" s="12"/>
      <c r="B17" s="13" t="s">
        <v>5</v>
      </c>
      <c r="C17" s="6" t="s">
        <v>101</v>
      </c>
    </row>
    <row r="18" spans="1:3" x14ac:dyDescent="0.3">
      <c r="A18" s="8" t="s">
        <v>395</v>
      </c>
      <c r="B18" s="9" t="s">
        <v>4</v>
      </c>
      <c r="C18" s="6" t="s">
        <v>102</v>
      </c>
    </row>
    <row r="19" spans="1:3" x14ac:dyDescent="0.3">
      <c r="A19" s="11"/>
      <c r="B19" t="s">
        <v>3</v>
      </c>
      <c r="C19" s="6" t="s">
        <v>103</v>
      </c>
    </row>
    <row r="20" spans="1:3" x14ac:dyDescent="0.3">
      <c r="A20" s="11"/>
      <c r="B20" t="s">
        <v>2</v>
      </c>
      <c r="C20" s="6" t="s">
        <v>104</v>
      </c>
    </row>
    <row r="21" spans="1:3" x14ac:dyDescent="0.3">
      <c r="A21" s="12"/>
      <c r="B21" s="13" t="s">
        <v>5</v>
      </c>
      <c r="C21" s="6" t="s">
        <v>89</v>
      </c>
    </row>
    <row r="22" spans="1:3" x14ac:dyDescent="0.3">
      <c r="A22" s="8" t="s">
        <v>396</v>
      </c>
      <c r="B22" s="9" t="s">
        <v>4</v>
      </c>
      <c r="C22" s="6" t="s">
        <v>105</v>
      </c>
    </row>
    <row r="23" spans="1:3" x14ac:dyDescent="0.3">
      <c r="A23" s="11"/>
      <c r="B23" t="s">
        <v>3</v>
      </c>
      <c r="C23" s="6" t="s">
        <v>106</v>
      </c>
    </row>
    <row r="24" spans="1:3" x14ac:dyDescent="0.3">
      <c r="A24" s="11"/>
      <c r="B24" t="s">
        <v>2</v>
      </c>
      <c r="C24" s="6" t="s">
        <v>107</v>
      </c>
    </row>
    <row r="25" spans="1:3" x14ac:dyDescent="0.3">
      <c r="A25" s="12"/>
      <c r="B25" s="13" t="s">
        <v>5</v>
      </c>
      <c r="C25" s="6" t="s">
        <v>108</v>
      </c>
    </row>
    <row r="26" spans="1:3" x14ac:dyDescent="0.3">
      <c r="A26" s="8" t="s">
        <v>397</v>
      </c>
      <c r="B26" s="9" t="s">
        <v>4</v>
      </c>
      <c r="C26" s="6" t="s">
        <v>109</v>
      </c>
    </row>
    <row r="27" spans="1:3" x14ac:dyDescent="0.3">
      <c r="A27" s="11"/>
      <c r="B27" t="s">
        <v>3</v>
      </c>
      <c r="C27" s="6" t="s">
        <v>110</v>
      </c>
    </row>
    <row r="28" spans="1:3" x14ac:dyDescent="0.3">
      <c r="A28" s="11"/>
      <c r="B28" t="s">
        <v>2</v>
      </c>
      <c r="C28" s="6" t="s">
        <v>111</v>
      </c>
    </row>
    <row r="29" spans="1:3" x14ac:dyDescent="0.3">
      <c r="A29" s="12"/>
      <c r="B29" s="13" t="s">
        <v>5</v>
      </c>
      <c r="C29" s="6" t="s">
        <v>112</v>
      </c>
    </row>
    <row r="30" spans="1:3" x14ac:dyDescent="0.3">
      <c r="A30" s="8" t="s">
        <v>398</v>
      </c>
      <c r="B30" s="9" t="s">
        <v>4</v>
      </c>
      <c r="C30" s="6" t="s">
        <v>113</v>
      </c>
    </row>
    <row r="31" spans="1:3" x14ac:dyDescent="0.3">
      <c r="A31" s="11"/>
      <c r="B31" t="s">
        <v>3</v>
      </c>
      <c r="C31" s="6" t="s">
        <v>114</v>
      </c>
    </row>
    <row r="32" spans="1:3" x14ac:dyDescent="0.3">
      <c r="A32" s="11"/>
      <c r="B32" t="s">
        <v>2</v>
      </c>
      <c r="C32" s="6" t="s">
        <v>115</v>
      </c>
    </row>
    <row r="33" spans="1:3" x14ac:dyDescent="0.3">
      <c r="A33" s="12"/>
      <c r="B33" s="13" t="s">
        <v>5</v>
      </c>
      <c r="C33" s="6" t="s">
        <v>116</v>
      </c>
    </row>
    <row r="34" spans="1:3" x14ac:dyDescent="0.3">
      <c r="A34" t="s">
        <v>399</v>
      </c>
      <c r="B34" t="s">
        <v>4</v>
      </c>
      <c r="C34" s="6" t="s">
        <v>426</v>
      </c>
    </row>
    <row r="35" spans="1:3" x14ac:dyDescent="0.3">
      <c r="B35" t="s">
        <v>3</v>
      </c>
      <c r="C35" s="6" t="s">
        <v>117</v>
      </c>
    </row>
    <row r="36" spans="1:3" x14ac:dyDescent="0.3">
      <c r="B36" t="s">
        <v>2</v>
      </c>
      <c r="C36" s="6" t="s">
        <v>118</v>
      </c>
    </row>
    <row r="37" spans="1:3" x14ac:dyDescent="0.3">
      <c r="B37" t="s">
        <v>5</v>
      </c>
      <c r="C37" s="6" t="s">
        <v>119</v>
      </c>
    </row>
    <row r="38" spans="1:3" x14ac:dyDescent="0.3">
      <c r="A38" s="8" t="s">
        <v>400</v>
      </c>
      <c r="B38" s="9" t="s">
        <v>4</v>
      </c>
      <c r="C38" s="6" t="s">
        <v>120</v>
      </c>
    </row>
    <row r="39" spans="1:3" x14ac:dyDescent="0.3">
      <c r="A39" s="11"/>
      <c r="B39" t="s">
        <v>3</v>
      </c>
      <c r="C39" s="6" t="s">
        <v>121</v>
      </c>
    </row>
    <row r="40" spans="1:3" x14ac:dyDescent="0.3">
      <c r="A40" s="11"/>
      <c r="B40" t="s">
        <v>2</v>
      </c>
      <c r="C40" s="6" t="s">
        <v>122</v>
      </c>
    </row>
    <row r="41" spans="1:3" x14ac:dyDescent="0.3">
      <c r="A41" s="12"/>
      <c r="B41" s="13" t="s">
        <v>5</v>
      </c>
      <c r="C41" s="6" t="s">
        <v>123</v>
      </c>
    </row>
    <row r="42" spans="1:3" x14ac:dyDescent="0.3">
      <c r="A42" s="8" t="s">
        <v>401</v>
      </c>
      <c r="B42" s="9" t="s">
        <v>4</v>
      </c>
      <c r="C42" s="6" t="s">
        <v>124</v>
      </c>
    </row>
    <row r="43" spans="1:3" x14ac:dyDescent="0.3">
      <c r="A43" s="11"/>
      <c r="B43" t="s">
        <v>3</v>
      </c>
      <c r="C43" s="6" t="s">
        <v>125</v>
      </c>
    </row>
    <row r="44" spans="1:3" x14ac:dyDescent="0.3">
      <c r="A44" s="11"/>
      <c r="B44" t="s">
        <v>2</v>
      </c>
      <c r="C44" s="6" t="s">
        <v>126</v>
      </c>
    </row>
    <row r="45" spans="1:3" x14ac:dyDescent="0.3">
      <c r="A45" s="12"/>
      <c r="B45" s="13" t="s">
        <v>5</v>
      </c>
      <c r="C45" s="6" t="s">
        <v>127</v>
      </c>
    </row>
    <row r="46" spans="1:3" x14ac:dyDescent="0.3">
      <c r="A46" s="8" t="s">
        <v>402</v>
      </c>
      <c r="B46" s="9" t="s">
        <v>4</v>
      </c>
      <c r="C46" s="6" t="s">
        <v>128</v>
      </c>
    </row>
    <row r="47" spans="1:3" x14ac:dyDescent="0.3">
      <c r="A47" s="11"/>
      <c r="B47" t="s">
        <v>3</v>
      </c>
      <c r="C47" s="6" t="s">
        <v>129</v>
      </c>
    </row>
    <row r="48" spans="1:3" x14ac:dyDescent="0.3">
      <c r="A48" s="11"/>
      <c r="B48" t="s">
        <v>2</v>
      </c>
      <c r="C48" s="6" t="s">
        <v>130</v>
      </c>
    </row>
    <row r="49" spans="1:3" x14ac:dyDescent="0.3">
      <c r="A49" s="12"/>
      <c r="B49" s="13" t="s">
        <v>5</v>
      </c>
      <c r="C49" s="6" t="s">
        <v>131</v>
      </c>
    </row>
    <row r="50" spans="1:3" x14ac:dyDescent="0.3">
      <c r="A50" s="8" t="s">
        <v>403</v>
      </c>
      <c r="B50" s="9" t="s">
        <v>4</v>
      </c>
      <c r="C50" s="6" t="s">
        <v>132</v>
      </c>
    </row>
    <row r="51" spans="1:3" x14ac:dyDescent="0.3">
      <c r="A51" s="11"/>
      <c r="B51" t="s">
        <v>3</v>
      </c>
      <c r="C51" s="6" t="s">
        <v>133</v>
      </c>
    </row>
    <row r="52" spans="1:3" x14ac:dyDescent="0.3">
      <c r="A52" s="11"/>
      <c r="B52" t="s">
        <v>2</v>
      </c>
      <c r="C52" s="6" t="s">
        <v>134</v>
      </c>
    </row>
    <row r="53" spans="1:3" x14ac:dyDescent="0.3">
      <c r="A53" s="12"/>
      <c r="B53" s="13" t="s">
        <v>5</v>
      </c>
      <c r="C53" s="6" t="s">
        <v>135</v>
      </c>
    </row>
    <row r="54" spans="1:3" x14ac:dyDescent="0.3">
      <c r="A54" s="8" t="s">
        <v>404</v>
      </c>
      <c r="B54" s="9" t="s">
        <v>4</v>
      </c>
      <c r="C54" s="6" t="s">
        <v>136</v>
      </c>
    </row>
    <row r="55" spans="1:3" x14ac:dyDescent="0.3">
      <c r="A55" s="11"/>
      <c r="B55" t="s">
        <v>3</v>
      </c>
      <c r="C55" s="6" t="s">
        <v>137</v>
      </c>
    </row>
    <row r="56" spans="1:3" x14ac:dyDescent="0.3">
      <c r="A56" s="11"/>
      <c r="B56" t="s">
        <v>2</v>
      </c>
      <c r="C56" s="6" t="s">
        <v>138</v>
      </c>
    </row>
    <row r="57" spans="1:3" x14ac:dyDescent="0.3">
      <c r="A57" s="12"/>
      <c r="B57" s="13" t="s">
        <v>5</v>
      </c>
      <c r="C57" s="6" t="s">
        <v>139</v>
      </c>
    </row>
    <row r="58" spans="1:3" x14ac:dyDescent="0.3">
      <c r="A58" s="8" t="s">
        <v>405</v>
      </c>
      <c r="B58" s="9" t="s">
        <v>4</v>
      </c>
      <c r="C58" s="6" t="s">
        <v>139</v>
      </c>
    </row>
    <row r="59" spans="1:3" x14ac:dyDescent="0.3">
      <c r="A59" s="11"/>
      <c r="B59" t="s">
        <v>3</v>
      </c>
      <c r="C59" s="6" t="s">
        <v>140</v>
      </c>
    </row>
    <row r="60" spans="1:3" x14ac:dyDescent="0.3">
      <c r="A60" s="11"/>
      <c r="B60" t="s">
        <v>2</v>
      </c>
      <c r="C60" s="6" t="s">
        <v>137</v>
      </c>
    </row>
    <row r="61" spans="1:3" x14ac:dyDescent="0.3">
      <c r="A61" s="12"/>
      <c r="B61" s="13" t="s">
        <v>5</v>
      </c>
      <c r="C61" s="6" t="s">
        <v>136</v>
      </c>
    </row>
    <row r="62" spans="1:3" x14ac:dyDescent="0.3">
      <c r="A62" s="8" t="s">
        <v>406</v>
      </c>
      <c r="B62" s="9" t="s">
        <v>4</v>
      </c>
      <c r="C62" s="6" t="s">
        <v>141</v>
      </c>
    </row>
    <row r="63" spans="1:3" x14ac:dyDescent="0.3">
      <c r="A63" s="11"/>
      <c r="B63" t="s">
        <v>3</v>
      </c>
      <c r="C63" s="6" t="s">
        <v>142</v>
      </c>
    </row>
    <row r="64" spans="1:3" x14ac:dyDescent="0.3">
      <c r="A64" s="11"/>
      <c r="B64" t="s">
        <v>2</v>
      </c>
      <c r="C64" s="6" t="s">
        <v>143</v>
      </c>
    </row>
    <row r="65" spans="1:3" x14ac:dyDescent="0.3">
      <c r="A65" s="12"/>
      <c r="B65" s="13" t="s">
        <v>5</v>
      </c>
      <c r="C65" s="6" t="s">
        <v>144</v>
      </c>
    </row>
    <row r="66" spans="1:3" x14ac:dyDescent="0.3">
      <c r="A66" s="8" t="s">
        <v>407</v>
      </c>
      <c r="B66" s="9" t="s">
        <v>4</v>
      </c>
      <c r="C66" s="6" t="s">
        <v>145</v>
      </c>
    </row>
    <row r="67" spans="1:3" x14ac:dyDescent="0.3">
      <c r="A67" s="11"/>
      <c r="B67" t="s">
        <v>3</v>
      </c>
      <c r="C67" s="6" t="s">
        <v>146</v>
      </c>
    </row>
    <row r="68" spans="1:3" x14ac:dyDescent="0.3">
      <c r="A68" s="11"/>
      <c r="B68" t="s">
        <v>2</v>
      </c>
      <c r="C68" s="6" t="s">
        <v>147</v>
      </c>
    </row>
    <row r="69" spans="1:3" x14ac:dyDescent="0.3">
      <c r="A69" s="12"/>
      <c r="B69" s="13" t="s">
        <v>5</v>
      </c>
      <c r="C69" s="6" t="s">
        <v>144</v>
      </c>
    </row>
    <row r="70" spans="1:3" x14ac:dyDescent="0.3">
      <c r="A70" s="8" t="s">
        <v>408</v>
      </c>
      <c r="B70" s="9" t="s">
        <v>4</v>
      </c>
      <c r="C70" s="6" t="s">
        <v>148</v>
      </c>
    </row>
    <row r="71" spans="1:3" x14ac:dyDescent="0.3">
      <c r="A71" s="11"/>
      <c r="B71" t="s">
        <v>3</v>
      </c>
      <c r="C71" s="6" t="s">
        <v>149</v>
      </c>
    </row>
    <row r="72" spans="1:3" x14ac:dyDescent="0.3">
      <c r="A72" s="11"/>
      <c r="B72" t="s">
        <v>2</v>
      </c>
      <c r="C72" s="6" t="s">
        <v>150</v>
      </c>
    </row>
    <row r="73" spans="1:3" x14ac:dyDescent="0.3">
      <c r="A73" s="12"/>
      <c r="B73" s="13" t="s">
        <v>5</v>
      </c>
      <c r="C73" s="6" t="s">
        <v>144</v>
      </c>
    </row>
    <row r="74" spans="1:3" x14ac:dyDescent="0.3">
      <c r="A74" s="8" t="s">
        <v>409</v>
      </c>
      <c r="B74" s="9" t="s">
        <v>4</v>
      </c>
      <c r="C74" s="6" t="s">
        <v>151</v>
      </c>
    </row>
    <row r="75" spans="1:3" x14ac:dyDescent="0.3">
      <c r="A75" s="11"/>
      <c r="B75" t="s">
        <v>3</v>
      </c>
      <c r="C75" s="6" t="s">
        <v>152</v>
      </c>
    </row>
    <row r="76" spans="1:3" x14ac:dyDescent="0.3">
      <c r="A76" s="11"/>
      <c r="B76" t="s">
        <v>2</v>
      </c>
      <c r="C76" s="6" t="s">
        <v>153</v>
      </c>
    </row>
    <row r="77" spans="1:3" x14ac:dyDescent="0.3">
      <c r="A77" s="12"/>
      <c r="B77" s="13" t="s">
        <v>5</v>
      </c>
      <c r="C77" s="6" t="s">
        <v>154</v>
      </c>
    </row>
    <row r="78" spans="1:3" x14ac:dyDescent="0.3">
      <c r="A78" s="8" t="s">
        <v>410</v>
      </c>
      <c r="B78" s="9" t="s">
        <v>4</v>
      </c>
      <c r="C78" s="6" t="s">
        <v>155</v>
      </c>
    </row>
    <row r="79" spans="1:3" x14ac:dyDescent="0.3">
      <c r="A79" s="11"/>
      <c r="B79" t="s">
        <v>3</v>
      </c>
      <c r="C79" s="6" t="s">
        <v>156</v>
      </c>
    </row>
    <row r="80" spans="1:3" x14ac:dyDescent="0.3">
      <c r="A80" s="11"/>
      <c r="B80" t="s">
        <v>2</v>
      </c>
      <c r="C80" s="6" t="s">
        <v>157</v>
      </c>
    </row>
    <row r="81" spans="1:3" x14ac:dyDescent="0.3">
      <c r="A81" s="12"/>
      <c r="B81" s="13" t="s">
        <v>5</v>
      </c>
      <c r="C81" s="6" t="s">
        <v>158</v>
      </c>
    </row>
    <row r="82" spans="1:3" x14ac:dyDescent="0.3">
      <c r="A82" s="8" t="s">
        <v>411</v>
      </c>
      <c r="B82" s="9" t="s">
        <v>4</v>
      </c>
      <c r="C82" s="6" t="s">
        <v>144</v>
      </c>
    </row>
    <row r="83" spans="1:3" x14ac:dyDescent="0.3">
      <c r="A83" s="11"/>
      <c r="B83" t="s">
        <v>3</v>
      </c>
      <c r="C83" s="6" t="s">
        <v>159</v>
      </c>
    </row>
    <row r="84" spans="1:3" x14ac:dyDescent="0.3">
      <c r="A84" s="11"/>
      <c r="B84" t="s">
        <v>2</v>
      </c>
      <c r="C84" s="6" t="s">
        <v>160</v>
      </c>
    </row>
    <row r="85" spans="1:3" x14ac:dyDescent="0.3">
      <c r="A85" s="12"/>
      <c r="B85" s="13" t="s">
        <v>5</v>
      </c>
      <c r="C85" s="6" t="s">
        <v>161</v>
      </c>
    </row>
    <row r="86" spans="1:3" x14ac:dyDescent="0.3">
      <c r="A86" s="8" t="s">
        <v>412</v>
      </c>
      <c r="B86" s="9" t="s">
        <v>4</v>
      </c>
      <c r="C86" s="6" t="s">
        <v>226</v>
      </c>
    </row>
    <row r="87" spans="1:3" x14ac:dyDescent="0.3">
      <c r="A87" s="11"/>
      <c r="B87" t="s">
        <v>3</v>
      </c>
      <c r="C87" s="6" t="s">
        <v>227</v>
      </c>
    </row>
    <row r="88" spans="1:3" x14ac:dyDescent="0.3">
      <c r="A88" s="11"/>
      <c r="B88" t="s">
        <v>2</v>
      </c>
      <c r="C88" s="6" t="s">
        <v>228</v>
      </c>
    </row>
    <row r="89" spans="1:3" x14ac:dyDescent="0.3">
      <c r="A89" s="11"/>
      <c r="B89" t="s">
        <v>5</v>
      </c>
      <c r="C89" s="6" t="s">
        <v>229</v>
      </c>
    </row>
    <row r="90" spans="1:3" x14ac:dyDescent="0.3">
      <c r="A90" s="15" t="s">
        <v>413</v>
      </c>
      <c r="B90" s="15" t="s">
        <v>4</v>
      </c>
      <c r="C90" s="58" t="s">
        <v>230</v>
      </c>
    </row>
    <row r="91" spans="1:3" x14ac:dyDescent="0.3">
      <c r="A91" s="17"/>
      <c r="B91" s="17" t="s">
        <v>3</v>
      </c>
      <c r="C91" s="58" t="s">
        <v>231</v>
      </c>
    </row>
    <row r="92" spans="1:3" x14ac:dyDescent="0.3">
      <c r="A92" t="s">
        <v>414</v>
      </c>
      <c r="B92" t="s">
        <v>4</v>
      </c>
      <c r="C92" s="6" t="s">
        <v>428</v>
      </c>
    </row>
    <row r="93" spans="1:3" x14ac:dyDescent="0.3">
      <c r="B93" s="13" t="s">
        <v>3</v>
      </c>
      <c r="C93" s="6" t="s">
        <v>429</v>
      </c>
    </row>
    <row r="94" spans="1:3" x14ac:dyDescent="0.3">
      <c r="A94" s="8" t="s">
        <v>415</v>
      </c>
      <c r="B94" t="s">
        <v>4</v>
      </c>
      <c r="C94" s="6" t="s">
        <v>428</v>
      </c>
    </row>
    <row r="95" spans="1:3" x14ac:dyDescent="0.3">
      <c r="A95" s="13"/>
      <c r="B95" t="s">
        <v>3</v>
      </c>
      <c r="C95" s="6" t="s">
        <v>429</v>
      </c>
    </row>
    <row r="96" spans="1:3" x14ac:dyDescent="0.3">
      <c r="A96" s="9" t="s">
        <v>416</v>
      </c>
      <c r="B96" s="9" t="s">
        <v>4</v>
      </c>
      <c r="C96" s="6" t="s">
        <v>428</v>
      </c>
    </row>
    <row r="97" spans="1:3" x14ac:dyDescent="0.3">
      <c r="B97" t="s">
        <v>3</v>
      </c>
      <c r="C97" s="6" t="s">
        <v>431</v>
      </c>
    </row>
    <row r="98" spans="1:3" x14ac:dyDescent="0.3">
      <c r="A98" s="8" t="s">
        <v>417</v>
      </c>
      <c r="B98" s="9" t="s">
        <v>4</v>
      </c>
      <c r="C98" s="6" t="s">
        <v>432</v>
      </c>
    </row>
    <row r="99" spans="1:3" x14ac:dyDescent="0.3">
      <c r="B99" t="s">
        <v>3</v>
      </c>
      <c r="C99" s="6" t="s">
        <v>431</v>
      </c>
    </row>
    <row r="100" spans="1:3" x14ac:dyDescent="0.3">
      <c r="A100" s="9" t="s">
        <v>418</v>
      </c>
      <c r="B100" s="9" t="s">
        <v>4</v>
      </c>
      <c r="C100" s="6" t="s">
        <v>432</v>
      </c>
    </row>
    <row r="101" spans="1:3" x14ac:dyDescent="0.3">
      <c r="B101" t="s">
        <v>3</v>
      </c>
      <c r="C101" s="6" t="s">
        <v>431</v>
      </c>
    </row>
    <row r="102" spans="1:3" x14ac:dyDescent="0.3">
      <c r="A102" s="8" t="s">
        <v>419</v>
      </c>
      <c r="B102" s="9" t="s">
        <v>4</v>
      </c>
      <c r="C102" s="6" t="s">
        <v>432</v>
      </c>
    </row>
    <row r="103" spans="1:3" x14ac:dyDescent="0.3">
      <c r="A103" s="12"/>
      <c r="B103" s="13" t="s">
        <v>3</v>
      </c>
      <c r="C103" s="6" t="s">
        <v>431</v>
      </c>
    </row>
    <row r="104" spans="1:3" x14ac:dyDescent="0.3">
      <c r="A104" s="8" t="s">
        <v>420</v>
      </c>
      <c r="B104" s="9" t="s">
        <v>4</v>
      </c>
      <c r="C104" s="6" t="s">
        <v>432</v>
      </c>
    </row>
    <row r="105" spans="1:3" x14ac:dyDescent="0.3">
      <c r="A105" s="12"/>
      <c r="B105" s="13" t="s">
        <v>3</v>
      </c>
      <c r="C105" s="6" t="s">
        <v>431</v>
      </c>
    </row>
    <row r="106" spans="1:3" x14ac:dyDescent="0.3">
      <c r="A106" s="8" t="s">
        <v>421</v>
      </c>
      <c r="B106" s="9" t="s">
        <v>4</v>
      </c>
      <c r="C106" s="6" t="s">
        <v>432</v>
      </c>
    </row>
    <row r="107" spans="1:3" x14ac:dyDescent="0.3">
      <c r="A107" s="12"/>
      <c r="B107" s="13" t="s">
        <v>3</v>
      </c>
      <c r="C107" s="6" t="s">
        <v>431</v>
      </c>
    </row>
    <row r="108" spans="1:3" x14ac:dyDescent="0.3">
      <c r="A108" s="8" t="s">
        <v>422</v>
      </c>
      <c r="B108" s="9" t="s">
        <v>4</v>
      </c>
      <c r="C108" s="6" t="s">
        <v>432</v>
      </c>
    </row>
    <row r="109" spans="1:3" x14ac:dyDescent="0.3">
      <c r="A109" s="12"/>
      <c r="B109" s="13" t="s">
        <v>3</v>
      </c>
      <c r="C109" s="6" t="s">
        <v>431</v>
      </c>
    </row>
    <row r="110" spans="1:3" x14ac:dyDescent="0.3">
      <c r="A110" s="8" t="s">
        <v>423</v>
      </c>
      <c r="B110" s="9" t="s">
        <v>4</v>
      </c>
      <c r="C110" s="6" t="s">
        <v>432</v>
      </c>
    </row>
    <row r="111" spans="1:3" x14ac:dyDescent="0.3">
      <c r="A111" s="12"/>
      <c r="B111" s="13" t="s">
        <v>3</v>
      </c>
      <c r="C111" s="6" t="s">
        <v>431</v>
      </c>
    </row>
    <row r="112" spans="1:3" x14ac:dyDescent="0.3">
      <c r="A112" s="8" t="s">
        <v>424</v>
      </c>
      <c r="B112" s="9" t="s">
        <v>4</v>
      </c>
      <c r="C112" s="6" t="s">
        <v>432</v>
      </c>
    </row>
    <row r="113" spans="1:3" x14ac:dyDescent="0.3">
      <c r="A113" s="12"/>
      <c r="B113" s="13" t="s">
        <v>3</v>
      </c>
      <c r="C113" s="6" t="s">
        <v>431</v>
      </c>
    </row>
    <row r="114" spans="1:3" x14ac:dyDescent="0.3">
      <c r="A114" s="8" t="s">
        <v>425</v>
      </c>
      <c r="B114" s="9" t="s">
        <v>4</v>
      </c>
      <c r="C114" s="6" t="s">
        <v>428</v>
      </c>
    </row>
    <row r="115" spans="1:3" x14ac:dyDescent="0.3">
      <c r="A115" s="12"/>
      <c r="B115" s="13" t="s">
        <v>3</v>
      </c>
      <c r="C115" s="6" t="s">
        <v>431</v>
      </c>
    </row>
    <row r="116" spans="1:3" x14ac:dyDescent="0.3">
      <c r="A116" s="8" t="s">
        <v>427</v>
      </c>
      <c r="B116" s="9" t="s">
        <v>4</v>
      </c>
      <c r="C116" s="6" t="s">
        <v>432</v>
      </c>
    </row>
    <row r="117" spans="1:3" x14ac:dyDescent="0.3">
      <c r="A117" s="12"/>
      <c r="B117" s="13" t="s">
        <v>3</v>
      </c>
      <c r="C117" s="6" t="s">
        <v>431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C04F-6D75-4A47-8448-10B87895542A}">
  <dimension ref="A1:C20"/>
  <sheetViews>
    <sheetView workbookViewId="0">
      <selection activeCell="C13" sqref="C13"/>
    </sheetView>
  </sheetViews>
  <sheetFormatPr defaultRowHeight="14.4" x14ac:dyDescent="0.3"/>
  <cols>
    <col min="1" max="1" width="46.77734375" bestFit="1" customWidth="1"/>
    <col min="2" max="2" width="5.109375" bestFit="1" customWidth="1"/>
    <col min="3" max="3" width="15.5546875" bestFit="1" customWidth="1"/>
  </cols>
  <sheetData>
    <row r="1" spans="1:3" x14ac:dyDescent="0.3">
      <c r="A1" s="37" t="s">
        <v>534</v>
      </c>
      <c r="B1" s="44"/>
      <c r="C1" s="44"/>
    </row>
    <row r="2" spans="1:3" x14ac:dyDescent="0.3">
      <c r="A2" s="58" t="s">
        <v>523</v>
      </c>
      <c r="B2" s="31"/>
      <c r="C2" s="31"/>
    </row>
    <row r="3" spans="1:3" x14ac:dyDescent="0.3">
      <c r="A3" s="59" t="s">
        <v>524</v>
      </c>
      <c r="B3" s="31"/>
      <c r="C3" s="31"/>
    </row>
    <row r="4" spans="1:3" x14ac:dyDescent="0.3">
      <c r="A4" s="58" t="s">
        <v>525</v>
      </c>
      <c r="B4" s="31"/>
      <c r="C4" s="31"/>
    </row>
    <row r="5" spans="1:3" x14ac:dyDescent="0.3">
      <c r="A5" s="61" t="s">
        <v>526</v>
      </c>
      <c r="B5" s="31"/>
      <c r="C5" s="31"/>
    </row>
    <row r="6" spans="1:3" x14ac:dyDescent="0.3">
      <c r="A6" s="60"/>
      <c r="B6" s="31"/>
      <c r="C6" s="31"/>
    </row>
    <row r="7" spans="1:3" x14ac:dyDescent="0.3">
      <c r="A7" s="62" t="s">
        <v>527</v>
      </c>
      <c r="B7" s="31"/>
      <c r="C7" s="31"/>
    </row>
    <row r="8" spans="1:3" x14ac:dyDescent="0.3">
      <c r="A8" s="18"/>
      <c r="B8" s="31"/>
      <c r="C8" s="31"/>
    </row>
    <row r="9" spans="1:3" x14ac:dyDescent="0.3">
      <c r="A9" s="61" t="s">
        <v>528</v>
      </c>
      <c r="B9" s="31"/>
      <c r="C9" s="31"/>
    </row>
    <row r="10" spans="1:3" x14ac:dyDescent="0.3">
      <c r="A10" s="60"/>
      <c r="B10" s="31"/>
      <c r="C10" s="31"/>
    </row>
    <row r="11" spans="1:3" x14ac:dyDescent="0.3">
      <c r="A11" s="62" t="s">
        <v>529</v>
      </c>
      <c r="B11" s="31"/>
      <c r="C11" s="31"/>
    </row>
    <row r="12" spans="1:3" x14ac:dyDescent="0.3">
      <c r="A12" s="60"/>
      <c r="B12" s="31"/>
      <c r="C12" s="31"/>
    </row>
    <row r="13" spans="1:3" x14ac:dyDescent="0.3">
      <c r="A13" s="16" t="s">
        <v>530</v>
      </c>
      <c r="B13" s="31"/>
      <c r="C13" s="31"/>
    </row>
    <row r="14" spans="1:3" x14ac:dyDescent="0.3">
      <c r="A14" s="60"/>
      <c r="B14" s="31"/>
      <c r="C14" s="31"/>
    </row>
    <row r="15" spans="1:3" x14ac:dyDescent="0.3">
      <c r="A15" s="62" t="s">
        <v>531</v>
      </c>
      <c r="B15" s="31"/>
      <c r="C15" s="31"/>
    </row>
    <row r="16" spans="1:3" x14ac:dyDescent="0.3">
      <c r="A16" s="60"/>
      <c r="B16" s="31"/>
      <c r="C16" s="31"/>
    </row>
    <row r="17" spans="1:3" x14ac:dyDescent="0.3">
      <c r="A17" s="62" t="s">
        <v>532</v>
      </c>
      <c r="B17" s="31"/>
      <c r="C17" s="31"/>
    </row>
    <row r="18" spans="1:3" x14ac:dyDescent="0.3">
      <c r="A18" s="59"/>
      <c r="B18" s="31"/>
      <c r="C18" s="31"/>
    </row>
    <row r="19" spans="1:3" x14ac:dyDescent="0.3">
      <c r="A19" s="62" t="s">
        <v>533</v>
      </c>
      <c r="B19" s="31"/>
      <c r="C19" s="31"/>
    </row>
    <row r="20" spans="1:3" x14ac:dyDescent="0.3">
      <c r="A20" s="59"/>
      <c r="B20" s="31"/>
      <c r="C20" s="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1183-34E6-4AD3-8E41-D84E180E5241}">
  <dimension ref="A1:AM115"/>
  <sheetViews>
    <sheetView workbookViewId="0">
      <selection activeCell="H15" sqref="H15"/>
    </sheetView>
  </sheetViews>
  <sheetFormatPr defaultRowHeight="14.4" x14ac:dyDescent="0.3"/>
  <cols>
    <col min="1" max="1" width="6.21875" customWidth="1"/>
    <col min="2" max="2" width="23.44140625" bestFit="1" customWidth="1"/>
    <col min="3" max="3" width="17.44140625" bestFit="1" customWidth="1"/>
  </cols>
  <sheetData>
    <row r="1" spans="1:39" x14ac:dyDescent="0.3">
      <c r="A1" s="49" t="s">
        <v>288</v>
      </c>
      <c r="B1" s="49" t="s">
        <v>0</v>
      </c>
      <c r="C1" s="49" t="s">
        <v>64</v>
      </c>
      <c r="D1" s="49" t="s">
        <v>43</v>
      </c>
      <c r="E1" s="49" t="s">
        <v>44</v>
      </c>
      <c r="F1" s="49" t="s">
        <v>45</v>
      </c>
      <c r="G1" s="49" t="s">
        <v>46</v>
      </c>
      <c r="H1" s="49" t="s">
        <v>47</v>
      </c>
      <c r="I1" s="49" t="s">
        <v>48</v>
      </c>
      <c r="J1" s="49" t="s">
        <v>49</v>
      </c>
      <c r="K1" s="49" t="s">
        <v>50</v>
      </c>
      <c r="L1" s="49" t="s">
        <v>51</v>
      </c>
      <c r="M1" s="49" t="s">
        <v>52</v>
      </c>
      <c r="N1" s="49" t="s">
        <v>53</v>
      </c>
      <c r="O1" s="49" t="s">
        <v>54</v>
      </c>
      <c r="P1" s="49" t="s">
        <v>55</v>
      </c>
      <c r="Q1" s="49" t="s">
        <v>56</v>
      </c>
      <c r="R1" s="49" t="s">
        <v>57</v>
      </c>
      <c r="S1" s="49" t="s">
        <v>58</v>
      </c>
      <c r="T1" s="49" t="s">
        <v>59</v>
      </c>
      <c r="U1" s="49" t="s">
        <v>60</v>
      </c>
      <c r="V1" s="49" t="s">
        <v>61</v>
      </c>
      <c r="W1" s="49" t="s">
        <v>62</v>
      </c>
      <c r="X1" s="49" t="s">
        <v>63</v>
      </c>
      <c r="Y1" s="49" t="s">
        <v>330</v>
      </c>
      <c r="Z1" s="49" t="s">
        <v>331</v>
      </c>
      <c r="AA1" s="49" t="s">
        <v>332</v>
      </c>
      <c r="AB1" s="49" t="s">
        <v>333</v>
      </c>
      <c r="AC1" s="49" t="s">
        <v>334</v>
      </c>
      <c r="AD1" s="49" t="s">
        <v>335</v>
      </c>
      <c r="AE1" s="49" t="s">
        <v>336</v>
      </c>
      <c r="AF1" s="49" t="s">
        <v>337</v>
      </c>
      <c r="AG1" s="49" t="s">
        <v>338</v>
      </c>
      <c r="AH1" s="49" t="s">
        <v>339</v>
      </c>
      <c r="AI1" s="49" t="s">
        <v>340</v>
      </c>
      <c r="AJ1" s="49" t="s">
        <v>341</v>
      </c>
      <c r="AK1" s="49" t="s">
        <v>342</v>
      </c>
      <c r="AL1" s="49" t="s">
        <v>343</v>
      </c>
      <c r="AM1" s="49" t="s">
        <v>390</v>
      </c>
    </row>
    <row r="2" spans="1:39" x14ac:dyDescent="0.3">
      <c r="A2" s="6">
        <f>ROW()-1</f>
        <v>1</v>
      </c>
      <c r="B2" s="6" t="s">
        <v>1</v>
      </c>
      <c r="C2" s="6">
        <v>1</v>
      </c>
      <c r="D2" s="6" t="s">
        <v>2</v>
      </c>
      <c r="E2" s="6" t="s">
        <v>3</v>
      </c>
      <c r="F2" s="6" t="s">
        <v>4</v>
      </c>
      <c r="G2" s="6" t="s">
        <v>5</v>
      </c>
      <c r="H2" s="6" t="s">
        <v>5</v>
      </c>
      <c r="I2" s="6" t="s">
        <v>5</v>
      </c>
      <c r="J2" s="6" t="s">
        <v>2</v>
      </c>
      <c r="K2" s="6" t="s">
        <v>2</v>
      </c>
      <c r="L2" s="6" t="s">
        <v>3</v>
      </c>
      <c r="M2" s="6" t="s">
        <v>2</v>
      </c>
      <c r="N2" s="6" t="s">
        <v>4</v>
      </c>
      <c r="O2" s="6" t="s">
        <v>2</v>
      </c>
      <c r="P2" s="6" t="s">
        <v>5</v>
      </c>
      <c r="Q2" s="6" t="s">
        <v>3</v>
      </c>
      <c r="R2" s="6" t="s">
        <v>3</v>
      </c>
      <c r="S2" s="6" t="s">
        <v>5</v>
      </c>
      <c r="T2" s="6" t="s">
        <v>5</v>
      </c>
      <c r="U2" s="6" t="s">
        <v>5</v>
      </c>
      <c r="V2" s="6" t="s">
        <v>2</v>
      </c>
      <c r="W2" s="6" t="s">
        <v>4</v>
      </c>
      <c r="X2" s="6" t="s">
        <v>3</v>
      </c>
      <c r="Y2" s="6" t="s">
        <v>4</v>
      </c>
      <c r="Z2" s="6" t="s">
        <v>4</v>
      </c>
      <c r="AA2" s="6" t="s">
        <v>4</v>
      </c>
      <c r="AB2" s="6" t="s">
        <v>4</v>
      </c>
      <c r="AC2" s="6" t="s">
        <v>4</v>
      </c>
      <c r="AD2" s="6" t="s">
        <v>4</v>
      </c>
      <c r="AE2" s="6" t="s">
        <v>4</v>
      </c>
      <c r="AF2" s="6" t="s">
        <v>3</v>
      </c>
      <c r="AG2" s="6" t="s">
        <v>4</v>
      </c>
      <c r="AH2" s="6" t="s">
        <v>4</v>
      </c>
      <c r="AI2" s="6" t="s">
        <v>3</v>
      </c>
      <c r="AJ2" s="6" t="s">
        <v>4</v>
      </c>
      <c r="AK2" s="6" t="s">
        <v>4</v>
      </c>
      <c r="AL2" s="6" t="s">
        <v>4</v>
      </c>
      <c r="AM2" s="6" t="s">
        <v>3</v>
      </c>
    </row>
    <row r="3" spans="1:39" x14ac:dyDescent="0.3">
      <c r="A3" s="6">
        <f t="shared" ref="A3:A72" si="0">ROW()-1</f>
        <v>2</v>
      </c>
      <c r="B3" s="6" t="s">
        <v>6</v>
      </c>
      <c r="C3" s="6">
        <v>1</v>
      </c>
      <c r="D3" s="6" t="s">
        <v>5</v>
      </c>
      <c r="E3" s="6" t="s">
        <v>3</v>
      </c>
      <c r="F3" s="6" t="s">
        <v>2</v>
      </c>
      <c r="G3" s="6" t="s">
        <v>3</v>
      </c>
      <c r="H3" s="6" t="s">
        <v>5</v>
      </c>
      <c r="I3" s="6" t="s">
        <v>3</v>
      </c>
      <c r="J3" s="6" t="s">
        <v>5</v>
      </c>
      <c r="K3" s="6" t="s">
        <v>2</v>
      </c>
      <c r="L3" s="6" t="s">
        <v>2</v>
      </c>
      <c r="M3" s="6" t="s">
        <v>3</v>
      </c>
      <c r="N3" s="6" t="s">
        <v>3</v>
      </c>
      <c r="O3" s="6" t="s">
        <v>4</v>
      </c>
      <c r="P3" s="6" t="s">
        <v>5</v>
      </c>
      <c r="Q3" s="6" t="s">
        <v>3</v>
      </c>
      <c r="R3" s="6" t="s">
        <v>3</v>
      </c>
      <c r="S3" s="6" t="s">
        <v>5</v>
      </c>
      <c r="T3" s="6" t="s">
        <v>5</v>
      </c>
      <c r="U3" s="6" t="s">
        <v>5</v>
      </c>
      <c r="V3" s="6" t="s">
        <v>4</v>
      </c>
      <c r="W3" s="6" t="s">
        <v>4</v>
      </c>
      <c r="X3" s="6" t="s">
        <v>4</v>
      </c>
      <c r="Y3" s="6" t="s">
        <v>5</v>
      </c>
      <c r="Z3" s="6" t="s">
        <v>3</v>
      </c>
      <c r="AA3" s="6" t="s">
        <v>4</v>
      </c>
      <c r="AB3" s="6" t="s">
        <v>4</v>
      </c>
      <c r="AC3" s="6" t="s">
        <v>4</v>
      </c>
      <c r="AD3" s="6" t="s">
        <v>4</v>
      </c>
      <c r="AE3" s="6" t="s">
        <v>4</v>
      </c>
      <c r="AF3" s="6" t="s">
        <v>4</v>
      </c>
      <c r="AG3" s="6" t="s">
        <v>3</v>
      </c>
      <c r="AH3" s="6" t="s">
        <v>4</v>
      </c>
      <c r="AI3" s="6" t="s">
        <v>3</v>
      </c>
      <c r="AJ3" s="6" t="s">
        <v>4</v>
      </c>
      <c r="AK3" s="6" t="s">
        <v>4</v>
      </c>
      <c r="AL3" s="6" t="s">
        <v>4</v>
      </c>
      <c r="AM3" s="6" t="s">
        <v>3</v>
      </c>
    </row>
    <row r="4" spans="1:39" x14ac:dyDescent="0.3">
      <c r="A4" s="6">
        <f t="shared" si="0"/>
        <v>3</v>
      </c>
      <c r="B4" s="6" t="s">
        <v>7</v>
      </c>
      <c r="C4" s="6">
        <v>1</v>
      </c>
      <c r="D4" s="6" t="s">
        <v>2</v>
      </c>
      <c r="E4" s="6" t="s">
        <v>3</v>
      </c>
      <c r="F4" s="6" t="s">
        <v>4</v>
      </c>
      <c r="G4" s="6" t="s">
        <v>5</v>
      </c>
      <c r="H4" s="6" t="s">
        <v>5</v>
      </c>
      <c r="I4" s="6" t="s">
        <v>5</v>
      </c>
      <c r="J4" s="6" t="s">
        <v>5</v>
      </c>
      <c r="K4" s="6" t="s">
        <v>2</v>
      </c>
      <c r="L4" s="6" t="s">
        <v>3</v>
      </c>
      <c r="M4" s="6" t="s">
        <v>3</v>
      </c>
      <c r="N4" s="6" t="s">
        <v>4</v>
      </c>
      <c r="O4" s="6" t="s">
        <v>3</v>
      </c>
      <c r="P4" s="6" t="s">
        <v>5</v>
      </c>
      <c r="Q4" s="6" t="s">
        <v>3</v>
      </c>
      <c r="R4" s="6" t="s">
        <v>3</v>
      </c>
      <c r="S4" s="6" t="s">
        <v>5</v>
      </c>
      <c r="T4" s="6" t="s">
        <v>5</v>
      </c>
      <c r="U4" s="6" t="s">
        <v>5</v>
      </c>
      <c r="V4" s="6" t="s">
        <v>2</v>
      </c>
      <c r="W4" s="6" t="s">
        <v>4</v>
      </c>
      <c r="X4" s="6" t="s">
        <v>3</v>
      </c>
      <c r="Y4" s="6" t="s">
        <v>2</v>
      </c>
      <c r="Z4" s="6" t="s">
        <v>3</v>
      </c>
      <c r="AA4" s="6" t="s">
        <v>4</v>
      </c>
      <c r="AB4" s="6" t="s">
        <v>4</v>
      </c>
      <c r="AC4" s="6" t="s">
        <v>4</v>
      </c>
      <c r="AD4" s="6" t="s">
        <v>4</v>
      </c>
      <c r="AE4" s="6" t="s">
        <v>4</v>
      </c>
      <c r="AF4" s="6" t="s">
        <v>4</v>
      </c>
      <c r="AG4" s="6" t="s">
        <v>4</v>
      </c>
      <c r="AH4" s="6" t="s">
        <v>4</v>
      </c>
      <c r="AI4" s="6" t="s">
        <v>4</v>
      </c>
      <c r="AJ4" s="6" t="s">
        <v>4</v>
      </c>
      <c r="AK4" s="6" t="s">
        <v>4</v>
      </c>
      <c r="AL4" s="6" t="s">
        <v>3</v>
      </c>
      <c r="AM4" s="6" t="s">
        <v>3</v>
      </c>
    </row>
    <row r="5" spans="1:39" x14ac:dyDescent="0.3">
      <c r="A5" s="6">
        <f t="shared" si="0"/>
        <v>4</v>
      </c>
      <c r="B5" s="6" t="s">
        <v>8</v>
      </c>
      <c r="C5" s="6">
        <v>1</v>
      </c>
      <c r="D5" s="6" t="s">
        <v>5</v>
      </c>
      <c r="E5" s="6" t="s">
        <v>3</v>
      </c>
      <c r="F5" s="6" t="s">
        <v>2</v>
      </c>
      <c r="G5" s="6" t="s">
        <v>3</v>
      </c>
      <c r="H5" s="6" t="s">
        <v>5</v>
      </c>
      <c r="I5" s="6" t="s">
        <v>5</v>
      </c>
      <c r="J5" s="6" t="s">
        <v>5</v>
      </c>
      <c r="K5" s="6" t="s">
        <v>2</v>
      </c>
      <c r="L5" s="6" t="s">
        <v>3</v>
      </c>
      <c r="M5" s="6" t="s">
        <v>3</v>
      </c>
      <c r="N5" s="6" t="s">
        <v>4</v>
      </c>
      <c r="O5" s="6" t="s">
        <v>2</v>
      </c>
      <c r="P5" s="6" t="s">
        <v>5</v>
      </c>
      <c r="Q5" s="6" t="s">
        <v>3</v>
      </c>
      <c r="R5" s="6" t="s">
        <v>2</v>
      </c>
      <c r="S5" s="6" t="s">
        <v>5</v>
      </c>
      <c r="T5" s="6" t="s">
        <v>2</v>
      </c>
      <c r="U5" s="6" t="s">
        <v>2</v>
      </c>
      <c r="V5" s="6" t="s">
        <v>3</v>
      </c>
      <c r="W5" s="6" t="s">
        <v>4</v>
      </c>
      <c r="X5" s="6" t="s">
        <v>3</v>
      </c>
      <c r="Y5" s="6" t="s">
        <v>3</v>
      </c>
      <c r="Z5" s="6" t="s">
        <v>3</v>
      </c>
      <c r="AA5" s="6" t="s">
        <v>4</v>
      </c>
      <c r="AB5" s="6" t="s">
        <v>4</v>
      </c>
      <c r="AC5" s="6" t="s">
        <v>4</v>
      </c>
      <c r="AD5" s="6" t="s">
        <v>4</v>
      </c>
      <c r="AE5" s="6" t="s">
        <v>4</v>
      </c>
      <c r="AF5" s="6" t="s">
        <v>4</v>
      </c>
      <c r="AG5" s="6" t="s">
        <v>3</v>
      </c>
      <c r="AH5" s="6" t="s">
        <v>4</v>
      </c>
      <c r="AI5" s="6" t="s">
        <v>3</v>
      </c>
      <c r="AJ5" s="6" t="s">
        <v>4</v>
      </c>
      <c r="AK5" s="6" t="s">
        <v>4</v>
      </c>
      <c r="AL5" s="6" t="s">
        <v>4</v>
      </c>
      <c r="AM5" s="6" t="s">
        <v>3</v>
      </c>
    </row>
    <row r="6" spans="1:39" x14ac:dyDescent="0.3">
      <c r="A6" s="6">
        <f t="shared" si="0"/>
        <v>5</v>
      </c>
      <c r="B6" s="6" t="s">
        <v>9</v>
      </c>
      <c r="C6" s="6">
        <v>1</v>
      </c>
      <c r="D6" s="6" t="s">
        <v>2</v>
      </c>
      <c r="E6" s="6" t="s">
        <v>3</v>
      </c>
      <c r="F6" s="6" t="s">
        <v>3</v>
      </c>
      <c r="G6" s="6" t="s">
        <v>5</v>
      </c>
      <c r="H6" s="6" t="s">
        <v>5</v>
      </c>
      <c r="I6" s="6" t="s">
        <v>3</v>
      </c>
      <c r="J6" s="6" t="s">
        <v>2</v>
      </c>
      <c r="K6" s="6" t="s">
        <v>2</v>
      </c>
      <c r="L6" s="6" t="s">
        <v>2</v>
      </c>
      <c r="M6" s="6" t="s">
        <v>3</v>
      </c>
      <c r="N6" s="6" t="s">
        <v>4</v>
      </c>
      <c r="O6" s="6" t="s">
        <v>5</v>
      </c>
      <c r="P6" s="6" t="s">
        <v>5</v>
      </c>
      <c r="Q6" s="6" t="s">
        <v>3</v>
      </c>
      <c r="R6" s="6" t="s">
        <v>3</v>
      </c>
      <c r="S6" s="6" t="s">
        <v>5</v>
      </c>
      <c r="T6" s="6" t="s">
        <v>5</v>
      </c>
      <c r="U6" s="6" t="s">
        <v>5</v>
      </c>
      <c r="V6" s="6" t="s">
        <v>5</v>
      </c>
      <c r="W6" s="6" t="s">
        <v>4</v>
      </c>
      <c r="X6" s="6" t="s">
        <v>3</v>
      </c>
      <c r="Y6" s="6" t="s">
        <v>2</v>
      </c>
      <c r="Z6" s="6" t="s">
        <v>3</v>
      </c>
      <c r="AA6" s="6" t="s">
        <v>4</v>
      </c>
      <c r="AB6" s="6" t="s">
        <v>4</v>
      </c>
      <c r="AC6" s="6" t="s">
        <v>4</v>
      </c>
      <c r="AD6" s="6" t="s">
        <v>4</v>
      </c>
      <c r="AE6" s="6" t="s">
        <v>4</v>
      </c>
      <c r="AF6" s="6" t="s">
        <v>3</v>
      </c>
      <c r="AG6" s="6" t="s">
        <v>3</v>
      </c>
      <c r="AH6" s="6" t="s">
        <v>4</v>
      </c>
      <c r="AI6" s="6" t="s">
        <v>4</v>
      </c>
      <c r="AJ6" s="6" t="s">
        <v>4</v>
      </c>
      <c r="AK6" s="6" t="s">
        <v>4</v>
      </c>
      <c r="AL6" s="6" t="s">
        <v>4</v>
      </c>
      <c r="AM6" s="6" t="s">
        <v>3</v>
      </c>
    </row>
    <row r="7" spans="1:39" x14ac:dyDescent="0.3">
      <c r="A7" s="6">
        <f t="shared" si="0"/>
        <v>6</v>
      </c>
      <c r="B7" s="6" t="s">
        <v>10</v>
      </c>
      <c r="C7" s="6">
        <v>1</v>
      </c>
      <c r="D7" s="6" t="s">
        <v>3</v>
      </c>
      <c r="E7" s="6" t="s">
        <v>3</v>
      </c>
      <c r="F7" s="6" t="s">
        <v>2</v>
      </c>
      <c r="G7" s="6" t="s">
        <v>5</v>
      </c>
      <c r="H7" s="6" t="s">
        <v>5</v>
      </c>
      <c r="I7" s="6" t="s">
        <v>3</v>
      </c>
      <c r="J7" s="6" t="s">
        <v>5</v>
      </c>
      <c r="K7" s="6" t="s">
        <v>2</v>
      </c>
      <c r="L7" s="6" t="s">
        <v>2</v>
      </c>
      <c r="M7" s="6" t="s">
        <v>2</v>
      </c>
      <c r="N7" s="6" t="s">
        <v>3</v>
      </c>
      <c r="O7" s="6" t="s">
        <v>3</v>
      </c>
      <c r="P7" s="6" t="s">
        <v>5</v>
      </c>
      <c r="Q7" s="6" t="s">
        <v>3</v>
      </c>
      <c r="R7" s="6" t="s">
        <v>3</v>
      </c>
      <c r="S7" s="6" t="s">
        <v>5</v>
      </c>
      <c r="T7" s="6" t="s">
        <v>5</v>
      </c>
      <c r="U7" s="6" t="s">
        <v>5</v>
      </c>
      <c r="V7" s="6" t="s">
        <v>5</v>
      </c>
      <c r="W7" s="6" t="s">
        <v>4</v>
      </c>
      <c r="X7" s="6" t="s">
        <v>3</v>
      </c>
      <c r="Y7" s="6" t="s">
        <v>2</v>
      </c>
      <c r="Z7" s="6" t="s">
        <v>3</v>
      </c>
      <c r="AA7" s="6" t="s">
        <v>4</v>
      </c>
      <c r="AB7" s="6" t="s">
        <v>4</v>
      </c>
      <c r="AC7" s="6" t="s">
        <v>4</v>
      </c>
      <c r="AD7" s="6" t="s">
        <v>4</v>
      </c>
      <c r="AE7" s="6" t="s">
        <v>4</v>
      </c>
      <c r="AF7" s="6" t="s">
        <v>4</v>
      </c>
      <c r="AG7" s="6" t="s">
        <v>3</v>
      </c>
      <c r="AH7" s="6" t="s">
        <v>4</v>
      </c>
      <c r="AI7" s="6" t="s">
        <v>3</v>
      </c>
      <c r="AJ7" s="6" t="s">
        <v>4</v>
      </c>
      <c r="AK7" s="6" t="s">
        <v>4</v>
      </c>
      <c r="AL7" s="6" t="s">
        <v>4</v>
      </c>
      <c r="AM7" s="6" t="s">
        <v>3</v>
      </c>
    </row>
    <row r="8" spans="1:39" x14ac:dyDescent="0.3">
      <c r="A8" s="6">
        <f t="shared" si="0"/>
        <v>7</v>
      </c>
      <c r="B8" s="6" t="s">
        <v>255</v>
      </c>
      <c r="C8" s="6">
        <v>1</v>
      </c>
      <c r="D8" s="6" t="s">
        <v>3</v>
      </c>
      <c r="E8" s="6" t="s">
        <v>3</v>
      </c>
      <c r="F8" s="6" t="s">
        <v>4</v>
      </c>
      <c r="G8" s="6" t="s">
        <v>3</v>
      </c>
      <c r="H8" s="6" t="s">
        <v>5</v>
      </c>
      <c r="I8" s="6" t="s">
        <v>5</v>
      </c>
      <c r="J8" s="6" t="s">
        <v>2</v>
      </c>
      <c r="K8" s="6" t="s">
        <v>2</v>
      </c>
      <c r="L8" s="6" t="s">
        <v>3</v>
      </c>
      <c r="M8" s="6" t="s">
        <v>3</v>
      </c>
      <c r="N8" s="6" t="s">
        <v>4</v>
      </c>
      <c r="O8" s="6" t="s">
        <v>5</v>
      </c>
      <c r="P8" s="6" t="s">
        <v>5</v>
      </c>
      <c r="Q8" s="6" t="s">
        <v>3</v>
      </c>
      <c r="R8" s="6" t="s">
        <v>2</v>
      </c>
      <c r="S8" s="6" t="s">
        <v>2</v>
      </c>
      <c r="T8" s="6" t="s">
        <v>2</v>
      </c>
      <c r="U8" s="6" t="s">
        <v>2</v>
      </c>
      <c r="V8" s="6" t="s">
        <v>5</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3</v>
      </c>
      <c r="AM8" s="6" t="s">
        <v>3</v>
      </c>
    </row>
    <row r="9" spans="1:39" x14ac:dyDescent="0.3">
      <c r="A9" s="6">
        <f t="shared" si="0"/>
        <v>8</v>
      </c>
      <c r="B9" s="6" t="s">
        <v>256</v>
      </c>
      <c r="C9" s="6">
        <v>1</v>
      </c>
      <c r="D9" s="6" t="s">
        <v>3</v>
      </c>
      <c r="E9" s="6" t="s">
        <v>5</v>
      </c>
      <c r="F9" s="6" t="s">
        <v>3</v>
      </c>
      <c r="G9" s="6" t="s">
        <v>5</v>
      </c>
      <c r="H9" s="6" t="s">
        <v>5</v>
      </c>
      <c r="I9" s="6" t="s">
        <v>5</v>
      </c>
      <c r="J9" s="6" t="s">
        <v>5</v>
      </c>
      <c r="K9" s="6" t="s">
        <v>2</v>
      </c>
      <c r="L9" s="6" t="s">
        <v>3</v>
      </c>
      <c r="M9" s="6" t="s">
        <v>3</v>
      </c>
      <c r="N9" s="6" t="s">
        <v>3</v>
      </c>
      <c r="O9" s="6" t="s">
        <v>4</v>
      </c>
      <c r="P9" s="6" t="s">
        <v>5</v>
      </c>
      <c r="Q9" s="6" t="s">
        <v>3</v>
      </c>
      <c r="R9" s="6" t="s">
        <v>4</v>
      </c>
      <c r="S9" s="6" t="s">
        <v>5</v>
      </c>
      <c r="T9" s="6" t="s">
        <v>5</v>
      </c>
      <c r="U9" s="6" t="s">
        <v>5</v>
      </c>
      <c r="V9" s="6" t="s">
        <v>3</v>
      </c>
      <c r="W9" s="6" t="s">
        <v>4</v>
      </c>
      <c r="X9" s="6" t="s">
        <v>3</v>
      </c>
      <c r="Y9" s="6" t="s">
        <v>2</v>
      </c>
      <c r="Z9" s="6" t="s">
        <v>3</v>
      </c>
      <c r="AA9" s="6" t="s">
        <v>4</v>
      </c>
      <c r="AB9" s="6" t="s">
        <v>4</v>
      </c>
      <c r="AC9" s="6" t="s">
        <v>4</v>
      </c>
      <c r="AD9" s="6" t="s">
        <v>4</v>
      </c>
      <c r="AE9" s="6" t="s">
        <v>4</v>
      </c>
      <c r="AF9" s="6" t="s">
        <v>4</v>
      </c>
      <c r="AG9" s="6" t="s">
        <v>3</v>
      </c>
      <c r="AH9" s="6" t="s">
        <v>4</v>
      </c>
      <c r="AI9" s="6" t="s">
        <v>3</v>
      </c>
      <c r="AJ9" s="6" t="s">
        <v>4</v>
      </c>
      <c r="AK9" s="6" t="s">
        <v>4</v>
      </c>
      <c r="AL9" s="6" t="s">
        <v>4</v>
      </c>
      <c r="AM9" s="6" t="s">
        <v>3</v>
      </c>
    </row>
    <row r="10" spans="1:39" x14ac:dyDescent="0.3">
      <c r="A10" s="6">
        <f t="shared" si="0"/>
        <v>9</v>
      </c>
      <c r="B10" s="6" t="s">
        <v>257</v>
      </c>
      <c r="C10" s="6">
        <v>1</v>
      </c>
      <c r="D10" s="6" t="s">
        <v>3</v>
      </c>
      <c r="E10" s="6" t="s">
        <v>3</v>
      </c>
      <c r="F10" s="6" t="s">
        <v>2</v>
      </c>
      <c r="G10" s="6" t="s">
        <v>3</v>
      </c>
      <c r="H10" s="6" t="s">
        <v>5</v>
      </c>
      <c r="I10" s="6" t="s">
        <v>5</v>
      </c>
      <c r="J10" s="6" t="s">
        <v>5</v>
      </c>
      <c r="K10" s="6" t="s">
        <v>2</v>
      </c>
      <c r="L10" s="6" t="s">
        <v>2</v>
      </c>
      <c r="M10" s="6" t="s">
        <v>2</v>
      </c>
      <c r="N10" s="6" t="s">
        <v>3</v>
      </c>
      <c r="O10" s="6" t="s">
        <v>2</v>
      </c>
      <c r="P10" s="6" t="s">
        <v>5</v>
      </c>
      <c r="Q10" s="6" t="s">
        <v>3</v>
      </c>
      <c r="R10" s="6" t="s">
        <v>3</v>
      </c>
      <c r="S10" s="6" t="s">
        <v>5</v>
      </c>
      <c r="T10" s="6" t="s">
        <v>5</v>
      </c>
      <c r="U10" s="6" t="s">
        <v>5</v>
      </c>
      <c r="V10" s="6" t="s">
        <v>2</v>
      </c>
      <c r="W10" s="6" t="s">
        <v>4</v>
      </c>
      <c r="X10" s="6" t="s">
        <v>3</v>
      </c>
      <c r="Y10" s="6" t="s">
        <v>4</v>
      </c>
      <c r="Z10" s="6" t="s">
        <v>3</v>
      </c>
      <c r="AA10" s="6" t="s">
        <v>4</v>
      </c>
      <c r="AB10" s="6" t="s">
        <v>4</v>
      </c>
      <c r="AC10" s="6" t="s">
        <v>4</v>
      </c>
      <c r="AD10" s="6" t="s">
        <v>4</v>
      </c>
      <c r="AE10" s="6" t="s">
        <v>4</v>
      </c>
      <c r="AF10" s="6" t="s">
        <v>4</v>
      </c>
      <c r="AG10" s="6" t="s">
        <v>3</v>
      </c>
      <c r="AH10" s="6" t="s">
        <v>4</v>
      </c>
      <c r="AI10" s="6" t="s">
        <v>3</v>
      </c>
      <c r="AJ10" s="6" t="s">
        <v>4</v>
      </c>
      <c r="AK10" s="6" t="s">
        <v>4</v>
      </c>
      <c r="AL10" s="6" t="s">
        <v>4</v>
      </c>
      <c r="AM10" s="6" t="s">
        <v>3</v>
      </c>
    </row>
    <row r="11" spans="1:39" x14ac:dyDescent="0.3">
      <c r="A11" s="6">
        <f t="shared" si="0"/>
        <v>10</v>
      </c>
      <c r="B11" s="6" t="s">
        <v>258</v>
      </c>
      <c r="C11" s="6">
        <v>1</v>
      </c>
      <c r="D11" s="6" t="s">
        <v>3</v>
      </c>
      <c r="E11" s="6" t="s">
        <v>5</v>
      </c>
      <c r="F11" s="6" t="s">
        <v>2</v>
      </c>
      <c r="G11" s="6" t="s">
        <v>5</v>
      </c>
      <c r="H11" s="6" t="s">
        <v>5</v>
      </c>
      <c r="I11" s="6" t="s">
        <v>5</v>
      </c>
      <c r="J11" s="6" t="s">
        <v>5</v>
      </c>
      <c r="K11" s="6" t="s">
        <v>2</v>
      </c>
      <c r="L11" s="6" t="s">
        <v>3</v>
      </c>
      <c r="M11" s="6" t="s">
        <v>3</v>
      </c>
      <c r="N11" s="6" t="s">
        <v>2</v>
      </c>
      <c r="O11" s="6" t="s">
        <v>4</v>
      </c>
      <c r="P11" s="6" t="s">
        <v>4</v>
      </c>
      <c r="Q11" s="6" t="s">
        <v>3</v>
      </c>
      <c r="R11" s="6" t="s">
        <v>4</v>
      </c>
      <c r="S11" s="6" t="s">
        <v>2</v>
      </c>
      <c r="T11" s="6" t="s">
        <v>2</v>
      </c>
      <c r="U11" s="6" t="s">
        <v>2</v>
      </c>
      <c r="V11" s="6" t="s">
        <v>5</v>
      </c>
      <c r="W11" s="6" t="s">
        <v>4</v>
      </c>
      <c r="X11" s="6" t="s">
        <v>4</v>
      </c>
      <c r="Y11" s="6" t="s">
        <v>2</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row>
    <row r="12" spans="1:39" x14ac:dyDescent="0.3">
      <c r="A12" s="6">
        <f t="shared" si="0"/>
        <v>11</v>
      </c>
      <c r="B12" s="6" t="s">
        <v>457</v>
      </c>
      <c r="C12" s="6">
        <v>1</v>
      </c>
      <c r="D12" s="6" t="s">
        <v>4</v>
      </c>
      <c r="E12" s="6" t="s">
        <v>2</v>
      </c>
      <c r="F12" s="6" t="s">
        <v>3</v>
      </c>
      <c r="G12" s="6" t="s">
        <v>3</v>
      </c>
      <c r="H12" s="6" t="s">
        <v>5</v>
      </c>
      <c r="I12" s="6" t="s">
        <v>5</v>
      </c>
      <c r="J12" s="6" t="s">
        <v>5</v>
      </c>
      <c r="K12" s="6" t="s">
        <v>2</v>
      </c>
      <c r="L12" s="6" t="s">
        <v>3</v>
      </c>
      <c r="M12" s="6" t="s">
        <v>3</v>
      </c>
      <c r="N12" s="6" t="s">
        <v>4</v>
      </c>
      <c r="O12" s="6" t="s">
        <v>4</v>
      </c>
      <c r="P12" s="6" t="s">
        <v>5</v>
      </c>
      <c r="Q12" s="6" t="s">
        <v>3</v>
      </c>
      <c r="R12" s="6" t="s">
        <v>5</v>
      </c>
      <c r="S12" s="6" t="s">
        <v>5</v>
      </c>
      <c r="T12" s="6" t="s">
        <v>5</v>
      </c>
      <c r="U12" s="6" t="s">
        <v>5</v>
      </c>
      <c r="V12" s="6" t="s">
        <v>4</v>
      </c>
      <c r="W12" s="6" t="s">
        <v>4</v>
      </c>
      <c r="X12" s="6" t="s">
        <v>4</v>
      </c>
      <c r="Y12" s="6" t="s">
        <v>4</v>
      </c>
      <c r="Z12" s="6" t="s">
        <v>3</v>
      </c>
      <c r="AA12" s="6" t="s">
        <v>3</v>
      </c>
      <c r="AB12" s="6" t="s">
        <v>3</v>
      </c>
      <c r="AC12" s="6" t="s">
        <v>4</v>
      </c>
      <c r="AD12" s="6" t="s">
        <v>4</v>
      </c>
      <c r="AE12" s="6" t="s">
        <v>4</v>
      </c>
      <c r="AF12" s="6" t="s">
        <v>4</v>
      </c>
      <c r="AG12" s="6" t="s">
        <v>3</v>
      </c>
      <c r="AH12" s="6" t="s">
        <v>4</v>
      </c>
      <c r="AI12" s="6" t="s">
        <v>3</v>
      </c>
      <c r="AJ12" s="6" t="s">
        <v>4</v>
      </c>
      <c r="AK12" s="6" t="s">
        <v>4</v>
      </c>
      <c r="AL12" s="6" t="s">
        <v>4</v>
      </c>
      <c r="AM12" s="6" t="s">
        <v>3</v>
      </c>
    </row>
    <row r="13" spans="1:39" x14ac:dyDescent="0.3">
      <c r="A13" s="6">
        <f t="shared" si="0"/>
        <v>12</v>
      </c>
      <c r="B13" s="6" t="s">
        <v>458</v>
      </c>
      <c r="C13" s="6">
        <v>1</v>
      </c>
      <c r="D13" s="6" t="s">
        <v>5</v>
      </c>
      <c r="E13" s="6" t="s">
        <v>3</v>
      </c>
      <c r="F13" s="6" t="s">
        <v>4</v>
      </c>
      <c r="G13" s="6" t="s">
        <v>2</v>
      </c>
      <c r="H13" s="6" t="s">
        <v>5</v>
      </c>
      <c r="I13" s="6" t="s">
        <v>5</v>
      </c>
      <c r="J13" s="6" t="s">
        <v>5</v>
      </c>
      <c r="K13" s="6" t="s">
        <v>2</v>
      </c>
      <c r="L13" s="6" t="s">
        <v>2</v>
      </c>
      <c r="M13" s="6" t="s">
        <v>3</v>
      </c>
      <c r="N13" s="6" t="s">
        <v>3</v>
      </c>
      <c r="O13" s="6" t="s">
        <v>2</v>
      </c>
      <c r="P13" s="6" t="s">
        <v>4</v>
      </c>
      <c r="Q13" s="6" t="s">
        <v>3</v>
      </c>
      <c r="R13" s="6" t="s">
        <v>2</v>
      </c>
      <c r="S13" s="6" t="s">
        <v>5</v>
      </c>
      <c r="T13" s="6" t="s">
        <v>2</v>
      </c>
      <c r="U13" s="6" t="s">
        <v>5</v>
      </c>
      <c r="V13" s="6" t="s">
        <v>5</v>
      </c>
      <c r="W13" s="6" t="s">
        <v>4</v>
      </c>
      <c r="X13" s="6" t="s">
        <v>4</v>
      </c>
      <c r="Y13" s="6" t="s">
        <v>2</v>
      </c>
      <c r="Z13" s="6" t="s">
        <v>3</v>
      </c>
      <c r="AA13" s="6" t="s">
        <v>3</v>
      </c>
      <c r="AB13" s="6" t="s">
        <v>3</v>
      </c>
      <c r="AC13" s="6" t="s">
        <v>4</v>
      </c>
      <c r="AD13" s="6" t="s">
        <v>4</v>
      </c>
      <c r="AE13" s="6" t="s">
        <v>4</v>
      </c>
      <c r="AF13" s="6" t="s">
        <v>4</v>
      </c>
      <c r="AG13" s="6" t="s">
        <v>3</v>
      </c>
      <c r="AH13" s="6" t="s">
        <v>4</v>
      </c>
      <c r="AI13" s="6" t="s">
        <v>3</v>
      </c>
      <c r="AJ13" s="6" t="s">
        <v>4</v>
      </c>
      <c r="AK13" s="6" t="s">
        <v>3</v>
      </c>
      <c r="AL13" s="6" t="s">
        <v>3</v>
      </c>
      <c r="AM13" s="6" t="s">
        <v>3</v>
      </c>
    </row>
    <row r="14" spans="1:39" x14ac:dyDescent="0.3">
      <c r="A14" s="6">
        <f t="shared" si="0"/>
        <v>13</v>
      </c>
      <c r="B14" s="6" t="s">
        <v>459</v>
      </c>
      <c r="C14" s="6">
        <v>1</v>
      </c>
      <c r="D14" s="6" t="s">
        <v>5</v>
      </c>
      <c r="E14" s="6" t="s">
        <v>5</v>
      </c>
      <c r="F14" s="6" t="s">
        <v>4</v>
      </c>
      <c r="G14" s="6" t="s">
        <v>5</v>
      </c>
      <c r="H14" s="6" t="s">
        <v>5</v>
      </c>
      <c r="I14" s="6" t="s">
        <v>5</v>
      </c>
      <c r="J14" s="6" t="s">
        <v>5</v>
      </c>
      <c r="K14" s="6" t="s">
        <v>2</v>
      </c>
      <c r="L14" s="6" t="s">
        <v>3</v>
      </c>
      <c r="M14" s="6" t="s">
        <v>4</v>
      </c>
      <c r="N14" s="6" t="s">
        <v>3</v>
      </c>
      <c r="O14" s="6" t="s">
        <v>3</v>
      </c>
      <c r="P14" s="6" t="s">
        <v>5</v>
      </c>
      <c r="Q14" s="6" t="s">
        <v>3</v>
      </c>
      <c r="R14" s="6" t="s">
        <v>3</v>
      </c>
      <c r="S14" s="6" t="s">
        <v>5</v>
      </c>
      <c r="T14" s="6" t="s">
        <v>3</v>
      </c>
      <c r="U14" s="6" t="s">
        <v>3</v>
      </c>
      <c r="V14" s="6" t="s">
        <v>5</v>
      </c>
      <c r="W14" s="6" t="s">
        <v>4</v>
      </c>
      <c r="X14" s="6" t="s">
        <v>3</v>
      </c>
      <c r="Y14" s="6" t="s">
        <v>2</v>
      </c>
      <c r="Z14" s="6" t="s">
        <v>3</v>
      </c>
      <c r="AA14" s="6" t="s">
        <v>3</v>
      </c>
      <c r="AB14" s="6" t="s">
        <v>3</v>
      </c>
      <c r="AC14" s="6" t="s">
        <v>4</v>
      </c>
      <c r="AD14" s="6" t="s">
        <v>4</v>
      </c>
      <c r="AE14" s="6" t="s">
        <v>4</v>
      </c>
      <c r="AF14" s="6" t="s">
        <v>4</v>
      </c>
      <c r="AG14" s="6" t="s">
        <v>3</v>
      </c>
      <c r="AH14" s="6" t="s">
        <v>4</v>
      </c>
      <c r="AI14" s="6" t="s">
        <v>3</v>
      </c>
      <c r="AJ14" s="6" t="s">
        <v>3</v>
      </c>
      <c r="AK14" s="6" t="s">
        <v>4</v>
      </c>
      <c r="AL14" s="6" t="s">
        <v>4</v>
      </c>
      <c r="AM14" s="6" t="s">
        <v>3</v>
      </c>
    </row>
    <row r="15" spans="1:39" x14ac:dyDescent="0.3">
      <c r="A15" s="6">
        <f t="shared" si="0"/>
        <v>14</v>
      </c>
      <c r="B15" s="6" t="s">
        <v>317</v>
      </c>
      <c r="C15" s="6">
        <v>1</v>
      </c>
      <c r="D15" s="6" t="s">
        <v>4</v>
      </c>
      <c r="E15" s="6" t="s">
        <v>5</v>
      </c>
      <c r="F15" s="6" t="s">
        <v>3</v>
      </c>
      <c r="G15" s="6" t="s">
        <v>5</v>
      </c>
      <c r="H15" s="6" t="s">
        <v>5</v>
      </c>
      <c r="I15" s="6" t="s">
        <v>5</v>
      </c>
      <c r="J15" s="6" t="s">
        <v>2</v>
      </c>
      <c r="K15" s="6" t="s">
        <v>2</v>
      </c>
      <c r="L15" s="6" t="s">
        <v>2</v>
      </c>
      <c r="M15" s="6" t="s">
        <v>2</v>
      </c>
      <c r="N15" s="6" t="s">
        <v>3</v>
      </c>
      <c r="O15" s="6" t="s">
        <v>5</v>
      </c>
      <c r="P15" s="6" t="s">
        <v>5</v>
      </c>
      <c r="Q15" s="6" t="s">
        <v>3</v>
      </c>
      <c r="R15" s="6" t="s">
        <v>3</v>
      </c>
      <c r="S15" s="6" t="s">
        <v>5</v>
      </c>
      <c r="T15" s="6" t="s">
        <v>5</v>
      </c>
      <c r="U15" s="6" t="s">
        <v>5</v>
      </c>
      <c r="V15" s="6" t="s">
        <v>2</v>
      </c>
      <c r="W15" s="6" t="s">
        <v>4</v>
      </c>
      <c r="X15" s="6" t="s">
        <v>4</v>
      </c>
      <c r="Y15" s="6" t="s">
        <v>2</v>
      </c>
      <c r="Z15" s="6" t="s">
        <v>4</v>
      </c>
      <c r="AA15" s="6" t="s">
        <v>4</v>
      </c>
      <c r="AB15" s="6" t="s">
        <v>4</v>
      </c>
      <c r="AC15" s="6" t="s">
        <v>4</v>
      </c>
      <c r="AD15" s="6" t="s">
        <v>4</v>
      </c>
      <c r="AE15" s="6" t="s">
        <v>4</v>
      </c>
      <c r="AF15" s="6" t="s">
        <v>4</v>
      </c>
      <c r="AG15" s="6" t="s">
        <v>3</v>
      </c>
      <c r="AH15" s="6" t="s">
        <v>4</v>
      </c>
      <c r="AI15" s="6" t="s">
        <v>3</v>
      </c>
      <c r="AJ15" s="6" t="s">
        <v>4</v>
      </c>
      <c r="AK15" s="6" t="s">
        <v>4</v>
      </c>
      <c r="AL15" s="6" t="s">
        <v>4</v>
      </c>
      <c r="AM15" s="6" t="s">
        <v>3</v>
      </c>
    </row>
    <row r="16" spans="1:39" x14ac:dyDescent="0.3">
      <c r="A16" s="6">
        <f t="shared" si="0"/>
        <v>15</v>
      </c>
      <c r="B16" s="6" t="s">
        <v>313</v>
      </c>
      <c r="C16" s="6">
        <v>1</v>
      </c>
      <c r="D16" s="6" t="s">
        <v>2</v>
      </c>
      <c r="E16" s="6" t="s">
        <v>3</v>
      </c>
      <c r="F16" s="6" t="s">
        <v>4</v>
      </c>
      <c r="G16" s="6" t="s">
        <v>5</v>
      </c>
      <c r="H16" s="6" t="s">
        <v>5</v>
      </c>
      <c r="I16" s="6" t="s">
        <v>5</v>
      </c>
      <c r="J16" s="6" t="s">
        <v>5</v>
      </c>
      <c r="K16" s="6" t="s">
        <v>2</v>
      </c>
      <c r="L16" s="6" t="s">
        <v>3</v>
      </c>
      <c r="M16" s="6" t="s">
        <v>3</v>
      </c>
      <c r="N16" s="6" t="s">
        <v>4</v>
      </c>
      <c r="O16" s="6" t="s">
        <v>3</v>
      </c>
      <c r="P16" s="6" t="s">
        <v>5</v>
      </c>
      <c r="Q16" s="6" t="s">
        <v>3</v>
      </c>
      <c r="R16" s="6" t="s">
        <v>3</v>
      </c>
      <c r="S16" s="6" t="s">
        <v>5</v>
      </c>
      <c r="T16" s="6" t="s">
        <v>5</v>
      </c>
      <c r="U16" s="6" t="s">
        <v>5</v>
      </c>
      <c r="V16" s="6" t="s">
        <v>2</v>
      </c>
      <c r="W16" s="6" t="s">
        <v>4</v>
      </c>
      <c r="X16" s="6" t="s">
        <v>3</v>
      </c>
      <c r="Y16" s="6" t="s">
        <v>2</v>
      </c>
      <c r="Z16" s="6" t="s">
        <v>3</v>
      </c>
      <c r="AA16" s="6" t="s">
        <v>4</v>
      </c>
      <c r="AB16" s="6" t="s">
        <v>4</v>
      </c>
      <c r="AC16" s="6" t="s">
        <v>4</v>
      </c>
      <c r="AD16" s="6" t="s">
        <v>4</v>
      </c>
      <c r="AE16" s="6" t="s">
        <v>4</v>
      </c>
      <c r="AF16" s="6" t="s">
        <v>4</v>
      </c>
      <c r="AG16" s="6" t="s">
        <v>4</v>
      </c>
      <c r="AH16" s="6" t="s">
        <v>4</v>
      </c>
      <c r="AI16" s="6" t="s">
        <v>4</v>
      </c>
      <c r="AJ16" s="6" t="s">
        <v>4</v>
      </c>
      <c r="AK16" s="6" t="s">
        <v>4</v>
      </c>
      <c r="AL16" s="6" t="s">
        <v>3</v>
      </c>
      <c r="AM16" s="6" t="s">
        <v>3</v>
      </c>
    </row>
    <row r="17" spans="1:39" x14ac:dyDescent="0.3">
      <c r="A17" s="6">
        <f t="shared" si="0"/>
        <v>16</v>
      </c>
      <c r="B17" s="6" t="s">
        <v>316</v>
      </c>
      <c r="C17" s="6">
        <v>1</v>
      </c>
      <c r="D17" s="6" t="s">
        <v>2</v>
      </c>
      <c r="E17" s="6" t="s">
        <v>5</v>
      </c>
      <c r="F17" s="6" t="s">
        <v>3</v>
      </c>
      <c r="G17" s="6" t="s">
        <v>5</v>
      </c>
      <c r="H17" s="6" t="s">
        <v>5</v>
      </c>
      <c r="I17" s="6" t="s">
        <v>3</v>
      </c>
      <c r="J17" s="6" t="s">
        <v>2</v>
      </c>
      <c r="K17" s="6" t="s">
        <v>2</v>
      </c>
      <c r="L17" s="6" t="s">
        <v>2</v>
      </c>
      <c r="M17" s="6" t="s">
        <v>3</v>
      </c>
      <c r="N17" s="6" t="s">
        <v>4</v>
      </c>
      <c r="O17" s="6" t="s">
        <v>5</v>
      </c>
      <c r="P17" s="6" t="s">
        <v>5</v>
      </c>
      <c r="Q17" s="6" t="s">
        <v>3</v>
      </c>
      <c r="R17" s="6" t="s">
        <v>3</v>
      </c>
      <c r="S17" s="6" t="s">
        <v>5</v>
      </c>
      <c r="T17" s="6" t="s">
        <v>5</v>
      </c>
      <c r="U17" s="6" t="s">
        <v>5</v>
      </c>
      <c r="V17" s="6" t="s">
        <v>5</v>
      </c>
      <c r="W17" s="6" t="s">
        <v>4</v>
      </c>
      <c r="X17" s="6" t="s">
        <v>3</v>
      </c>
      <c r="Y17" s="6" t="s">
        <v>2</v>
      </c>
      <c r="Z17" s="6" t="s">
        <v>3</v>
      </c>
      <c r="AA17" s="6" t="s">
        <v>4</v>
      </c>
      <c r="AB17" s="6" t="s">
        <v>4</v>
      </c>
      <c r="AC17" s="6" t="s">
        <v>4</v>
      </c>
      <c r="AD17" s="6" t="s">
        <v>4</v>
      </c>
      <c r="AE17" s="6" t="s">
        <v>4</v>
      </c>
      <c r="AF17" s="6" t="s">
        <v>3</v>
      </c>
      <c r="AG17" s="6" t="s">
        <v>3</v>
      </c>
      <c r="AH17" s="6" t="s">
        <v>4</v>
      </c>
      <c r="AI17" s="6" t="s">
        <v>4</v>
      </c>
      <c r="AJ17" s="6" t="s">
        <v>4</v>
      </c>
      <c r="AK17" s="6" t="s">
        <v>4</v>
      </c>
      <c r="AL17" s="6" t="s">
        <v>4</v>
      </c>
      <c r="AM17" s="6" t="s">
        <v>3</v>
      </c>
    </row>
    <row r="18" spans="1:39" x14ac:dyDescent="0.3">
      <c r="A18" s="6">
        <f t="shared" si="0"/>
        <v>17</v>
      </c>
      <c r="B18" s="6" t="s">
        <v>484</v>
      </c>
      <c r="C18" s="6">
        <v>1</v>
      </c>
      <c r="D18" s="6" t="s">
        <v>5</v>
      </c>
      <c r="E18" s="6" t="s">
        <v>3</v>
      </c>
      <c r="F18" s="6" t="s">
        <v>2</v>
      </c>
      <c r="G18" s="6" t="s">
        <v>3</v>
      </c>
      <c r="H18" s="6" t="s">
        <v>5</v>
      </c>
      <c r="I18" s="6" t="s">
        <v>5</v>
      </c>
      <c r="J18" s="6" t="s">
        <v>5</v>
      </c>
      <c r="K18" s="6" t="s">
        <v>2</v>
      </c>
      <c r="L18" s="6" t="s">
        <v>2</v>
      </c>
      <c r="M18" s="6" t="s">
        <v>2</v>
      </c>
      <c r="N18" s="6" t="s">
        <v>2</v>
      </c>
      <c r="O18" s="6" t="s">
        <v>5</v>
      </c>
      <c r="P18" s="6" t="s">
        <v>5</v>
      </c>
      <c r="Q18" s="6" t="s">
        <v>3</v>
      </c>
      <c r="R18" s="6" t="s">
        <v>3</v>
      </c>
      <c r="S18" s="6" t="s">
        <v>5</v>
      </c>
      <c r="T18" s="6" t="s">
        <v>5</v>
      </c>
      <c r="U18" s="6" t="s">
        <v>5</v>
      </c>
      <c r="V18" s="6" t="s">
        <v>5</v>
      </c>
      <c r="W18" s="6" t="s">
        <v>4</v>
      </c>
      <c r="X18" s="6" t="s">
        <v>4</v>
      </c>
      <c r="Y18" s="6" t="s">
        <v>4</v>
      </c>
      <c r="Z18" s="6" t="s">
        <v>3</v>
      </c>
      <c r="AA18" s="6" t="s">
        <v>3</v>
      </c>
      <c r="AB18" s="6" t="s">
        <v>3</v>
      </c>
      <c r="AC18" s="6" t="s">
        <v>4</v>
      </c>
      <c r="AD18" s="6" t="s">
        <v>4</v>
      </c>
      <c r="AE18" s="6" t="s">
        <v>4</v>
      </c>
      <c r="AF18" s="6" t="s">
        <v>4</v>
      </c>
      <c r="AG18" s="6" t="s">
        <v>3</v>
      </c>
      <c r="AH18" s="6" t="s">
        <v>4</v>
      </c>
      <c r="AI18" s="6" t="s">
        <v>3</v>
      </c>
      <c r="AJ18" s="6" t="s">
        <v>3</v>
      </c>
      <c r="AK18" s="6" t="s">
        <v>4</v>
      </c>
      <c r="AL18" s="6" t="s">
        <v>4</v>
      </c>
      <c r="AM18" s="6" t="s">
        <v>3</v>
      </c>
    </row>
    <row r="19" spans="1:39" x14ac:dyDescent="0.3">
      <c r="A19" s="6">
        <f t="shared" si="0"/>
        <v>18</v>
      </c>
      <c r="B19" s="6" t="s">
        <v>460</v>
      </c>
      <c r="C19" s="6">
        <v>1</v>
      </c>
      <c r="D19" s="6" t="s">
        <v>5</v>
      </c>
      <c r="E19" s="6" t="s">
        <v>3</v>
      </c>
      <c r="F19" s="6" t="s">
        <v>4</v>
      </c>
      <c r="G19" s="6" t="s">
        <v>3</v>
      </c>
      <c r="H19" s="6" t="s">
        <v>5</v>
      </c>
      <c r="I19" s="6" t="s">
        <v>5</v>
      </c>
      <c r="J19" s="6" t="s">
        <v>5</v>
      </c>
      <c r="K19" s="6" t="s">
        <v>2</v>
      </c>
      <c r="L19" s="6" t="s">
        <v>3</v>
      </c>
      <c r="M19" s="6" t="s">
        <v>3</v>
      </c>
      <c r="N19" s="6" t="s">
        <v>2</v>
      </c>
      <c r="O19" s="6" t="s">
        <v>4</v>
      </c>
      <c r="P19" s="6" t="s">
        <v>5</v>
      </c>
      <c r="Q19" s="6" t="s">
        <v>3</v>
      </c>
      <c r="R19" s="6" t="s">
        <v>2</v>
      </c>
      <c r="S19" s="6" t="s">
        <v>5</v>
      </c>
      <c r="T19" s="6" t="s">
        <v>5</v>
      </c>
      <c r="U19" s="6" t="s">
        <v>5</v>
      </c>
      <c r="V19" s="6" t="s">
        <v>5</v>
      </c>
      <c r="W19" s="6" t="s">
        <v>4</v>
      </c>
      <c r="X19" s="6" t="s">
        <v>4</v>
      </c>
      <c r="Y19" s="6" t="s">
        <v>4</v>
      </c>
      <c r="Z19" s="6" t="s">
        <v>3</v>
      </c>
      <c r="AA19" s="6" t="s">
        <v>3</v>
      </c>
      <c r="AB19" s="6" t="s">
        <v>3</v>
      </c>
      <c r="AC19" s="6" t="s">
        <v>4</v>
      </c>
      <c r="AD19" s="6" t="s">
        <v>4</v>
      </c>
      <c r="AE19" s="6" t="s">
        <v>4</v>
      </c>
      <c r="AF19" s="6" t="s">
        <v>4</v>
      </c>
      <c r="AG19" s="6" t="s">
        <v>4</v>
      </c>
      <c r="AH19" s="6" t="s">
        <v>4</v>
      </c>
      <c r="AI19" s="6" t="s">
        <v>4</v>
      </c>
      <c r="AJ19" s="6" t="s">
        <v>4</v>
      </c>
      <c r="AK19" s="6" t="s">
        <v>4</v>
      </c>
      <c r="AL19" s="6" t="s">
        <v>4</v>
      </c>
      <c r="AM19" s="6" t="s">
        <v>3</v>
      </c>
    </row>
    <row r="20" spans="1:39" x14ac:dyDescent="0.3">
      <c r="A20" s="6">
        <f t="shared" si="0"/>
        <v>19</v>
      </c>
      <c r="B20" s="6" t="s">
        <v>483</v>
      </c>
      <c r="C20" s="6">
        <v>1</v>
      </c>
      <c r="D20" s="6" t="s">
        <v>5</v>
      </c>
      <c r="E20" s="6" t="s">
        <v>3</v>
      </c>
      <c r="F20" s="6" t="s">
        <v>2</v>
      </c>
      <c r="G20" s="6" t="s">
        <v>3</v>
      </c>
      <c r="H20" s="6" t="s">
        <v>5</v>
      </c>
      <c r="I20" s="6" t="s">
        <v>5</v>
      </c>
      <c r="J20" s="6" t="s">
        <v>5</v>
      </c>
      <c r="K20" s="6" t="s">
        <v>2</v>
      </c>
      <c r="L20" s="6" t="s">
        <v>3</v>
      </c>
      <c r="M20" s="6" t="s">
        <v>3</v>
      </c>
      <c r="N20" s="6" t="s">
        <v>2</v>
      </c>
      <c r="O20" s="6" t="s">
        <v>5</v>
      </c>
      <c r="P20" s="6" t="s">
        <v>5</v>
      </c>
      <c r="Q20" s="6" t="s">
        <v>3</v>
      </c>
      <c r="R20" s="6" t="s">
        <v>2</v>
      </c>
      <c r="S20" s="6" t="s">
        <v>5</v>
      </c>
      <c r="T20" s="6" t="s">
        <v>5</v>
      </c>
      <c r="U20" s="6" t="s">
        <v>5</v>
      </c>
      <c r="V20" s="6" t="s">
        <v>4</v>
      </c>
      <c r="W20" s="6" t="s">
        <v>4</v>
      </c>
      <c r="X20" s="6" t="s">
        <v>4</v>
      </c>
      <c r="Y20" s="6" t="s">
        <v>4</v>
      </c>
      <c r="Z20" s="6" t="s">
        <v>3</v>
      </c>
      <c r="AA20" s="6" t="s">
        <v>3</v>
      </c>
      <c r="AB20" s="6" t="s">
        <v>3</v>
      </c>
      <c r="AC20" s="6" t="s">
        <v>4</v>
      </c>
      <c r="AD20" s="6" t="s">
        <v>4</v>
      </c>
      <c r="AE20" s="6" t="s">
        <v>4</v>
      </c>
      <c r="AF20" s="6" t="s">
        <v>4</v>
      </c>
      <c r="AG20" s="6" t="s">
        <v>3</v>
      </c>
      <c r="AH20" s="6" t="s">
        <v>4</v>
      </c>
      <c r="AI20" s="6" t="s">
        <v>3</v>
      </c>
      <c r="AJ20" s="6" t="s">
        <v>4</v>
      </c>
      <c r="AK20" s="6" t="s">
        <v>4</v>
      </c>
      <c r="AL20" s="6" t="s">
        <v>3</v>
      </c>
      <c r="AM20" s="6" t="s">
        <v>3</v>
      </c>
    </row>
    <row r="21" spans="1:39" x14ac:dyDescent="0.3">
      <c r="A21" s="6">
        <f t="shared" si="0"/>
        <v>20</v>
      </c>
      <c r="B21" s="6" t="s">
        <v>11</v>
      </c>
      <c r="C21" s="6">
        <v>2</v>
      </c>
      <c r="D21" s="6" t="s">
        <v>4</v>
      </c>
      <c r="E21" s="6" t="s">
        <v>5</v>
      </c>
      <c r="F21" s="6" t="s">
        <v>3</v>
      </c>
      <c r="G21" s="6" t="s">
        <v>3</v>
      </c>
      <c r="H21" s="6" t="s">
        <v>5</v>
      </c>
      <c r="I21" s="6" t="s">
        <v>5</v>
      </c>
      <c r="J21" s="6" t="s">
        <v>5</v>
      </c>
      <c r="K21" s="6" t="s">
        <v>2</v>
      </c>
      <c r="L21" s="6" t="s">
        <v>2</v>
      </c>
      <c r="M21" s="6" t="s">
        <v>3</v>
      </c>
      <c r="N21" s="6" t="s">
        <v>4</v>
      </c>
      <c r="O21" s="6" t="s">
        <v>2</v>
      </c>
      <c r="P21" s="6" t="s">
        <v>5</v>
      </c>
      <c r="Q21" s="6" t="s">
        <v>3</v>
      </c>
      <c r="R21" s="6" t="s">
        <v>4</v>
      </c>
      <c r="S21" s="6" t="s">
        <v>5</v>
      </c>
      <c r="T21" s="6" t="s">
        <v>5</v>
      </c>
      <c r="U21" s="6" t="s">
        <v>5</v>
      </c>
      <c r="V21" s="6" t="s">
        <v>4</v>
      </c>
      <c r="W21" s="6" t="s">
        <v>4</v>
      </c>
      <c r="X21" s="6" t="s">
        <v>4</v>
      </c>
      <c r="Y21" s="6" t="s">
        <v>4</v>
      </c>
      <c r="Z21" s="6" t="s">
        <v>3</v>
      </c>
      <c r="AA21" s="6" t="s">
        <v>4</v>
      </c>
      <c r="AB21" s="6" t="s">
        <v>4</v>
      </c>
      <c r="AC21" s="6" t="s">
        <v>4</v>
      </c>
      <c r="AD21" s="6" t="s">
        <v>4</v>
      </c>
      <c r="AE21" s="6" t="s">
        <v>4</v>
      </c>
      <c r="AF21" s="6" t="s">
        <v>4</v>
      </c>
      <c r="AG21" s="6" t="s">
        <v>3</v>
      </c>
      <c r="AH21" s="6" t="s">
        <v>4</v>
      </c>
      <c r="AI21" s="6" t="s">
        <v>4</v>
      </c>
      <c r="AJ21" s="6" t="s">
        <v>4</v>
      </c>
      <c r="AK21" s="6" t="s">
        <v>4</v>
      </c>
      <c r="AL21" s="6" t="s">
        <v>3</v>
      </c>
      <c r="AM21" s="6" t="s">
        <v>3</v>
      </c>
    </row>
    <row r="22" spans="1:39" x14ac:dyDescent="0.3">
      <c r="A22" s="6">
        <f t="shared" si="0"/>
        <v>21</v>
      </c>
      <c r="B22" s="6" t="s">
        <v>12</v>
      </c>
      <c r="C22" s="6">
        <v>2</v>
      </c>
      <c r="D22" s="6" t="s">
        <v>5</v>
      </c>
      <c r="E22" s="6" t="s">
        <v>3</v>
      </c>
      <c r="F22" s="6" t="s">
        <v>4</v>
      </c>
      <c r="G22" s="6" t="s">
        <v>3</v>
      </c>
      <c r="H22" s="6" t="s">
        <v>5</v>
      </c>
      <c r="I22" s="6" t="s">
        <v>5</v>
      </c>
      <c r="J22" s="6" t="s">
        <v>3</v>
      </c>
      <c r="K22" s="6" t="s">
        <v>4</v>
      </c>
      <c r="L22" s="6" t="s">
        <v>3</v>
      </c>
      <c r="M22" s="6" t="s">
        <v>3</v>
      </c>
      <c r="N22" s="6" t="s">
        <v>4</v>
      </c>
      <c r="O22" s="6" t="s">
        <v>4</v>
      </c>
      <c r="P22" s="6" t="s">
        <v>5</v>
      </c>
      <c r="Q22" s="6" t="s">
        <v>3</v>
      </c>
      <c r="R22" s="6" t="s">
        <v>4</v>
      </c>
      <c r="S22" s="6" t="s">
        <v>5</v>
      </c>
      <c r="T22" s="6" t="s">
        <v>5</v>
      </c>
      <c r="U22" s="6" t="s">
        <v>5</v>
      </c>
      <c r="V22" s="6" t="s">
        <v>4</v>
      </c>
      <c r="W22" s="6" t="s">
        <v>4</v>
      </c>
      <c r="X22" s="6" t="s">
        <v>4</v>
      </c>
      <c r="Y22" s="6" t="s">
        <v>4</v>
      </c>
      <c r="Z22" s="6" t="s">
        <v>3</v>
      </c>
      <c r="AA22" s="6" t="s">
        <v>4</v>
      </c>
      <c r="AB22" s="6" t="s">
        <v>4</v>
      </c>
      <c r="AC22" s="6" t="s">
        <v>4</v>
      </c>
      <c r="AD22" s="6" t="s">
        <v>4</v>
      </c>
      <c r="AE22" s="6" t="s">
        <v>4</v>
      </c>
      <c r="AF22" s="6" t="s">
        <v>4</v>
      </c>
      <c r="AG22" s="6" t="s">
        <v>3</v>
      </c>
      <c r="AH22" s="6" t="s">
        <v>4</v>
      </c>
      <c r="AI22" s="6" t="s">
        <v>3</v>
      </c>
      <c r="AJ22" s="6" t="s">
        <v>4</v>
      </c>
      <c r="AK22" s="6" t="s">
        <v>4</v>
      </c>
      <c r="AL22" s="6" t="s">
        <v>4</v>
      </c>
      <c r="AM22" s="6" t="s">
        <v>3</v>
      </c>
    </row>
    <row r="23" spans="1:39" x14ac:dyDescent="0.3">
      <c r="A23" s="6">
        <f t="shared" si="0"/>
        <v>22</v>
      </c>
      <c r="B23" s="6" t="s">
        <v>13</v>
      </c>
      <c r="C23" s="6">
        <v>2</v>
      </c>
      <c r="D23" s="6" t="s">
        <v>5</v>
      </c>
      <c r="E23" s="6" t="s">
        <v>5</v>
      </c>
      <c r="F23" s="6" t="s">
        <v>2</v>
      </c>
      <c r="G23" s="6" t="s">
        <v>2</v>
      </c>
      <c r="H23" s="6" t="s">
        <v>5</v>
      </c>
      <c r="I23" s="6" t="s">
        <v>5</v>
      </c>
      <c r="J23" s="6" t="s">
        <v>2</v>
      </c>
      <c r="K23" s="6" t="s">
        <v>2</v>
      </c>
      <c r="L23" s="6" t="s">
        <v>2</v>
      </c>
      <c r="M23" s="6" t="s">
        <v>4</v>
      </c>
      <c r="N23" s="6" t="s">
        <v>4</v>
      </c>
      <c r="O23" s="6" t="s">
        <v>4</v>
      </c>
      <c r="P23" s="6" t="s">
        <v>5</v>
      </c>
      <c r="Q23" s="6" t="s">
        <v>4</v>
      </c>
      <c r="R23" s="6" t="s">
        <v>5</v>
      </c>
      <c r="S23" s="6" t="s">
        <v>5</v>
      </c>
      <c r="T23" s="6" t="s">
        <v>5</v>
      </c>
      <c r="U23" s="6" t="s">
        <v>5</v>
      </c>
      <c r="V23" s="6" t="s">
        <v>5</v>
      </c>
      <c r="W23" s="6" t="s">
        <v>4</v>
      </c>
      <c r="X23" s="6" t="s">
        <v>3</v>
      </c>
      <c r="Y23" s="6" t="s">
        <v>2</v>
      </c>
      <c r="Z23" s="6" t="s">
        <v>3</v>
      </c>
      <c r="AA23" s="6" t="s">
        <v>4</v>
      </c>
      <c r="AB23" s="6" t="s">
        <v>4</v>
      </c>
      <c r="AC23" s="6" t="s">
        <v>4</v>
      </c>
      <c r="AD23" s="6" t="s">
        <v>4</v>
      </c>
      <c r="AE23" s="6" t="s">
        <v>4</v>
      </c>
      <c r="AF23" s="6" t="s">
        <v>4</v>
      </c>
      <c r="AG23" s="6" t="s">
        <v>4</v>
      </c>
      <c r="AH23" s="6" t="s">
        <v>4</v>
      </c>
      <c r="AI23" s="6" t="s">
        <v>3</v>
      </c>
      <c r="AJ23" s="6" t="s">
        <v>4</v>
      </c>
      <c r="AK23" s="6" t="s">
        <v>4</v>
      </c>
      <c r="AL23" s="6" t="s">
        <v>4</v>
      </c>
      <c r="AM23" s="6" t="s">
        <v>4</v>
      </c>
    </row>
    <row r="24" spans="1:39" x14ac:dyDescent="0.3">
      <c r="A24" s="6">
        <f t="shared" si="0"/>
        <v>23</v>
      </c>
      <c r="B24" s="6" t="s">
        <v>14</v>
      </c>
      <c r="C24" s="6">
        <v>2</v>
      </c>
      <c r="D24" s="6" t="s">
        <v>5</v>
      </c>
      <c r="E24" s="6" t="s">
        <v>5</v>
      </c>
      <c r="F24" s="6" t="s">
        <v>3</v>
      </c>
      <c r="G24" s="6" t="s">
        <v>5</v>
      </c>
      <c r="H24" s="6" t="s">
        <v>5</v>
      </c>
      <c r="I24" s="6" t="s">
        <v>5</v>
      </c>
      <c r="J24" s="6" t="s">
        <v>5</v>
      </c>
      <c r="K24" s="6" t="s">
        <v>2</v>
      </c>
      <c r="L24" s="6" t="s">
        <v>2</v>
      </c>
      <c r="M24" s="6" t="s">
        <v>4</v>
      </c>
      <c r="N24" s="6" t="s">
        <v>4</v>
      </c>
      <c r="O24" s="6" t="s">
        <v>2</v>
      </c>
      <c r="P24" s="6" t="s">
        <v>5</v>
      </c>
      <c r="Q24" s="6" t="s">
        <v>4</v>
      </c>
      <c r="R24" s="6" t="s">
        <v>2</v>
      </c>
      <c r="S24" s="6" t="s">
        <v>5</v>
      </c>
      <c r="T24" s="6" t="s">
        <v>3</v>
      </c>
      <c r="U24" s="6" t="s">
        <v>4</v>
      </c>
      <c r="V24" s="6" t="s">
        <v>5</v>
      </c>
      <c r="W24" s="6" t="s">
        <v>2</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4</v>
      </c>
      <c r="AM24" s="6" t="s">
        <v>3</v>
      </c>
    </row>
    <row r="25" spans="1:39" x14ac:dyDescent="0.3">
      <c r="A25" s="6">
        <f t="shared" si="0"/>
        <v>24</v>
      </c>
      <c r="B25" s="6" t="s">
        <v>15</v>
      </c>
      <c r="C25" s="6">
        <v>2</v>
      </c>
      <c r="D25" s="6" t="s">
        <v>2</v>
      </c>
      <c r="E25" s="6" t="s">
        <v>5</v>
      </c>
      <c r="F25" s="6" t="s">
        <v>4</v>
      </c>
      <c r="G25" s="6" t="s">
        <v>5</v>
      </c>
      <c r="H25" s="6" t="s">
        <v>5</v>
      </c>
      <c r="I25" s="6" t="s">
        <v>5</v>
      </c>
      <c r="J25" s="6" t="s">
        <v>2</v>
      </c>
      <c r="K25" s="6" t="s">
        <v>2</v>
      </c>
      <c r="L25" s="6" t="s">
        <v>3</v>
      </c>
      <c r="M25" s="6" t="s">
        <v>4</v>
      </c>
      <c r="N25" s="6" t="s">
        <v>4</v>
      </c>
      <c r="O25" s="6" t="s">
        <v>5</v>
      </c>
      <c r="P25" s="6" t="s">
        <v>5</v>
      </c>
      <c r="Q25" s="6" t="s">
        <v>4</v>
      </c>
      <c r="R25" s="6" t="s">
        <v>5</v>
      </c>
      <c r="S25" s="6" t="s">
        <v>5</v>
      </c>
      <c r="T25" s="6" t="s">
        <v>2</v>
      </c>
      <c r="U25" s="6" t="s">
        <v>5</v>
      </c>
      <c r="V25" s="6" t="s">
        <v>5</v>
      </c>
      <c r="W25" s="6" t="s">
        <v>4</v>
      </c>
      <c r="X25" s="6" t="s">
        <v>4</v>
      </c>
      <c r="Y25" s="6" t="s">
        <v>4</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row>
    <row r="26" spans="1:39" x14ac:dyDescent="0.3">
      <c r="A26" s="6">
        <f t="shared" si="0"/>
        <v>25</v>
      </c>
      <c r="B26" s="6" t="s">
        <v>16</v>
      </c>
      <c r="C26" s="6">
        <v>2</v>
      </c>
      <c r="D26" s="6" t="s">
        <v>5</v>
      </c>
      <c r="E26" s="6" t="s">
        <v>5</v>
      </c>
      <c r="F26" s="6" t="s">
        <v>3</v>
      </c>
      <c r="G26" s="6" t="s">
        <v>5</v>
      </c>
      <c r="H26" s="6" t="s">
        <v>5</v>
      </c>
      <c r="I26" s="6" t="s">
        <v>5</v>
      </c>
      <c r="J26" s="6" t="s">
        <v>2</v>
      </c>
      <c r="K26" s="6" t="s">
        <v>2</v>
      </c>
      <c r="L26" s="6" t="s">
        <v>3</v>
      </c>
      <c r="M26" s="6" t="s">
        <v>2</v>
      </c>
      <c r="N26" s="6" t="s">
        <v>2</v>
      </c>
      <c r="O26" s="6" t="s">
        <v>3</v>
      </c>
      <c r="P26" s="6" t="s">
        <v>5</v>
      </c>
      <c r="Q26" s="6" t="s">
        <v>3</v>
      </c>
      <c r="R26" s="6" t="s">
        <v>4</v>
      </c>
      <c r="S26" s="6" t="s">
        <v>5</v>
      </c>
      <c r="T26" s="6" t="s">
        <v>5</v>
      </c>
      <c r="U26" s="6" t="s">
        <v>5</v>
      </c>
      <c r="V26" s="6" t="s">
        <v>5</v>
      </c>
      <c r="W26" s="6" t="s">
        <v>4</v>
      </c>
      <c r="X26" s="6" t="s">
        <v>4</v>
      </c>
      <c r="Y26" s="6" t="s">
        <v>2</v>
      </c>
      <c r="Z26" s="6" t="s">
        <v>3</v>
      </c>
      <c r="AA26" s="6" t="s">
        <v>4</v>
      </c>
      <c r="AB26" s="6" t="s">
        <v>4</v>
      </c>
      <c r="AC26" s="6" t="s">
        <v>4</v>
      </c>
      <c r="AD26" s="6" t="s">
        <v>4</v>
      </c>
      <c r="AE26" s="6" t="s">
        <v>4</v>
      </c>
      <c r="AF26" s="6" t="s">
        <v>4</v>
      </c>
      <c r="AG26" s="6" t="s">
        <v>3</v>
      </c>
      <c r="AH26" s="6" t="s">
        <v>4</v>
      </c>
      <c r="AI26" s="6" t="s">
        <v>4</v>
      </c>
      <c r="AJ26" s="6" t="s">
        <v>4</v>
      </c>
      <c r="AK26" s="6" t="s">
        <v>4</v>
      </c>
      <c r="AL26" s="6" t="s">
        <v>3</v>
      </c>
      <c r="AM26" s="6" t="s">
        <v>4</v>
      </c>
    </row>
    <row r="27" spans="1:39" x14ac:dyDescent="0.3">
      <c r="A27" s="6">
        <f t="shared" si="0"/>
        <v>26</v>
      </c>
      <c r="B27" s="6" t="s">
        <v>259</v>
      </c>
      <c r="C27" s="6">
        <v>2</v>
      </c>
      <c r="D27" s="6" t="s">
        <v>4</v>
      </c>
      <c r="E27" s="6" t="s">
        <v>5</v>
      </c>
      <c r="F27" s="6" t="s">
        <v>2</v>
      </c>
      <c r="G27" s="6" t="s">
        <v>5</v>
      </c>
      <c r="H27" s="6" t="s">
        <v>5</v>
      </c>
      <c r="I27" s="6" t="s">
        <v>5</v>
      </c>
      <c r="J27" s="6" t="s">
        <v>5</v>
      </c>
      <c r="K27" s="6" t="s">
        <v>2</v>
      </c>
      <c r="L27" s="6" t="s">
        <v>3</v>
      </c>
      <c r="M27" s="6" t="s">
        <v>2</v>
      </c>
      <c r="N27" s="6" t="s">
        <v>3</v>
      </c>
      <c r="O27" s="6" t="s">
        <v>5</v>
      </c>
      <c r="P27" s="6" t="s">
        <v>5</v>
      </c>
      <c r="Q27" s="6" t="s">
        <v>3</v>
      </c>
      <c r="R27" s="6" t="s">
        <v>3</v>
      </c>
      <c r="S27" s="6" t="s">
        <v>5</v>
      </c>
      <c r="T27" s="6" t="s">
        <v>5</v>
      </c>
      <c r="U27" s="6" t="s">
        <v>5</v>
      </c>
      <c r="V27" s="6" t="s">
        <v>5</v>
      </c>
      <c r="W27" s="6" t="s">
        <v>4</v>
      </c>
      <c r="X27" s="6" t="s">
        <v>3</v>
      </c>
      <c r="Y27" s="6" t="s">
        <v>2</v>
      </c>
      <c r="Z27" s="6" t="s">
        <v>3</v>
      </c>
      <c r="AA27" s="6" t="s">
        <v>4</v>
      </c>
      <c r="AB27" s="6" t="s">
        <v>4</v>
      </c>
      <c r="AC27" s="6" t="s">
        <v>4</v>
      </c>
      <c r="AD27" s="6" t="s">
        <v>4</v>
      </c>
      <c r="AE27" s="6" t="s">
        <v>4</v>
      </c>
      <c r="AF27" s="6" t="s">
        <v>4</v>
      </c>
      <c r="AG27" s="6" t="s">
        <v>3</v>
      </c>
      <c r="AH27" s="6" t="s">
        <v>4</v>
      </c>
      <c r="AI27" s="6" t="s">
        <v>3</v>
      </c>
      <c r="AJ27" s="6" t="s">
        <v>4</v>
      </c>
      <c r="AK27" s="6" t="s">
        <v>4</v>
      </c>
      <c r="AL27" s="6" t="s">
        <v>3</v>
      </c>
      <c r="AM27" s="6" t="s">
        <v>3</v>
      </c>
    </row>
    <row r="28" spans="1:39" x14ac:dyDescent="0.3">
      <c r="A28" s="6">
        <f t="shared" si="0"/>
        <v>27</v>
      </c>
      <c r="B28" s="6" t="s">
        <v>260</v>
      </c>
      <c r="C28" s="6">
        <v>2</v>
      </c>
      <c r="D28" s="6" t="s">
        <v>3</v>
      </c>
      <c r="E28" s="6" t="s">
        <v>5</v>
      </c>
      <c r="F28" s="6" t="s">
        <v>3</v>
      </c>
      <c r="G28" s="6" t="s">
        <v>5</v>
      </c>
      <c r="H28" s="6" t="s">
        <v>5</v>
      </c>
      <c r="I28" s="6" t="s">
        <v>5</v>
      </c>
      <c r="J28" s="6" t="s">
        <v>2</v>
      </c>
      <c r="K28" s="6" t="s">
        <v>2</v>
      </c>
      <c r="L28" s="6" t="s">
        <v>2</v>
      </c>
      <c r="M28" s="6" t="s">
        <v>2</v>
      </c>
      <c r="N28" s="6" t="s">
        <v>2</v>
      </c>
      <c r="O28" s="6" t="s">
        <v>2</v>
      </c>
      <c r="P28" s="6" t="s">
        <v>5</v>
      </c>
      <c r="Q28" s="6" t="s">
        <v>3</v>
      </c>
      <c r="R28" s="6" t="s">
        <v>3</v>
      </c>
      <c r="S28" s="6" t="s">
        <v>5</v>
      </c>
      <c r="T28" s="6" t="s">
        <v>5</v>
      </c>
      <c r="U28" s="6" t="s">
        <v>5</v>
      </c>
      <c r="V28" s="6" t="s">
        <v>5</v>
      </c>
      <c r="W28" s="6" t="s">
        <v>4</v>
      </c>
      <c r="X28" s="6" t="s">
        <v>4</v>
      </c>
      <c r="Y28" s="6" t="s">
        <v>4</v>
      </c>
      <c r="Z28" s="6" t="s">
        <v>3</v>
      </c>
      <c r="AA28" s="6" t="s">
        <v>4</v>
      </c>
      <c r="AB28" s="6" t="s">
        <v>4</v>
      </c>
      <c r="AC28" s="6" t="s">
        <v>4</v>
      </c>
      <c r="AD28" s="6" t="s">
        <v>4</v>
      </c>
      <c r="AE28" s="6" t="s">
        <v>4</v>
      </c>
      <c r="AF28" s="6" t="s">
        <v>4</v>
      </c>
      <c r="AG28" s="6" t="s">
        <v>3</v>
      </c>
      <c r="AH28" s="6" t="s">
        <v>4</v>
      </c>
      <c r="AI28" s="6" t="s">
        <v>3</v>
      </c>
      <c r="AJ28" s="6" t="s">
        <v>4</v>
      </c>
      <c r="AK28" s="6" t="s">
        <v>4</v>
      </c>
      <c r="AL28" s="6" t="s">
        <v>4</v>
      </c>
      <c r="AM28" s="6" t="s">
        <v>3</v>
      </c>
    </row>
    <row r="29" spans="1:39" x14ac:dyDescent="0.3">
      <c r="A29" s="6">
        <f t="shared" si="0"/>
        <v>28</v>
      </c>
      <c r="B29" s="6" t="s">
        <v>261</v>
      </c>
      <c r="C29" s="6">
        <v>2</v>
      </c>
      <c r="D29" s="6" t="s">
        <v>5</v>
      </c>
      <c r="E29" s="6" t="s">
        <v>3</v>
      </c>
      <c r="F29" s="6" t="s">
        <v>2</v>
      </c>
      <c r="G29" s="6" t="s">
        <v>2</v>
      </c>
      <c r="H29" s="6" t="s">
        <v>5</v>
      </c>
      <c r="I29" s="6" t="s">
        <v>5</v>
      </c>
      <c r="J29" s="6" t="s">
        <v>5</v>
      </c>
      <c r="K29" s="6" t="s">
        <v>2</v>
      </c>
      <c r="L29" s="6" t="s">
        <v>2</v>
      </c>
      <c r="M29" s="6" t="s">
        <v>2</v>
      </c>
      <c r="N29" s="6" t="s">
        <v>3</v>
      </c>
      <c r="O29" s="6" t="s">
        <v>2</v>
      </c>
      <c r="P29" s="6" t="s">
        <v>5</v>
      </c>
      <c r="Q29" s="6" t="s">
        <v>3</v>
      </c>
      <c r="R29" s="6" t="s">
        <v>2</v>
      </c>
      <c r="S29" s="6" t="s">
        <v>5</v>
      </c>
      <c r="T29" s="6" t="s">
        <v>2</v>
      </c>
      <c r="U29" s="6" t="s">
        <v>2</v>
      </c>
      <c r="V29" s="6" t="s">
        <v>2</v>
      </c>
      <c r="W29" s="6" t="s">
        <v>4</v>
      </c>
      <c r="X29" s="6" t="s">
        <v>4</v>
      </c>
      <c r="Y29" s="6" t="s">
        <v>4</v>
      </c>
      <c r="Z29" s="6" t="s">
        <v>3</v>
      </c>
      <c r="AA29" s="6" t="s">
        <v>4</v>
      </c>
      <c r="AB29" s="6" t="s">
        <v>4</v>
      </c>
      <c r="AC29" s="6" t="s">
        <v>4</v>
      </c>
      <c r="AD29" s="6" t="s">
        <v>4</v>
      </c>
      <c r="AE29" s="6" t="s">
        <v>4</v>
      </c>
      <c r="AF29" s="6" t="s">
        <v>4</v>
      </c>
      <c r="AG29" s="6" t="s">
        <v>3</v>
      </c>
      <c r="AH29" s="6" t="s">
        <v>4</v>
      </c>
      <c r="AI29" s="6" t="s">
        <v>3</v>
      </c>
      <c r="AJ29" s="6" t="s">
        <v>4</v>
      </c>
      <c r="AK29" s="6" t="s">
        <v>4</v>
      </c>
      <c r="AL29" s="6" t="s">
        <v>3</v>
      </c>
      <c r="AM29" s="6" t="s">
        <v>3</v>
      </c>
    </row>
    <row r="30" spans="1:39" x14ac:dyDescent="0.3">
      <c r="A30" s="6">
        <f t="shared" si="0"/>
        <v>29</v>
      </c>
      <c r="B30" s="6" t="s">
        <v>262</v>
      </c>
      <c r="C30" s="6">
        <v>2</v>
      </c>
      <c r="D30" s="6" t="s">
        <v>4</v>
      </c>
      <c r="E30" s="6" t="s">
        <v>5</v>
      </c>
      <c r="F30" s="6" t="s">
        <v>3</v>
      </c>
      <c r="G30" s="6" t="s">
        <v>5</v>
      </c>
      <c r="H30" s="6" t="s">
        <v>5</v>
      </c>
      <c r="I30" s="6" t="s">
        <v>5</v>
      </c>
      <c r="J30" s="6" t="s">
        <v>5</v>
      </c>
      <c r="K30" s="6" t="s">
        <v>2</v>
      </c>
      <c r="L30" s="6" t="s">
        <v>3</v>
      </c>
      <c r="M30" s="6" t="s">
        <v>2</v>
      </c>
      <c r="N30" s="6" t="s">
        <v>3</v>
      </c>
      <c r="O30" s="6" t="s">
        <v>2</v>
      </c>
      <c r="P30" s="6" t="s">
        <v>5</v>
      </c>
      <c r="Q30" s="6" t="s">
        <v>3</v>
      </c>
      <c r="R30" s="6" t="s">
        <v>3</v>
      </c>
      <c r="S30" s="6" t="s">
        <v>5</v>
      </c>
      <c r="T30" s="6" t="s">
        <v>5</v>
      </c>
      <c r="U30" s="6" t="s">
        <v>5</v>
      </c>
      <c r="V30" s="6" t="s">
        <v>3</v>
      </c>
      <c r="W30" s="6" t="s">
        <v>4</v>
      </c>
      <c r="X30" s="6" t="s">
        <v>4</v>
      </c>
      <c r="Y30" s="6" t="s">
        <v>2</v>
      </c>
      <c r="Z30" s="6" t="s">
        <v>3</v>
      </c>
      <c r="AA30" s="6" t="s">
        <v>4</v>
      </c>
      <c r="AB30" s="6" t="s">
        <v>4</v>
      </c>
      <c r="AC30" s="6" t="s">
        <v>4</v>
      </c>
      <c r="AD30" s="6" t="s">
        <v>4</v>
      </c>
      <c r="AE30" s="6" t="s">
        <v>4</v>
      </c>
      <c r="AF30" s="6" t="s">
        <v>4</v>
      </c>
      <c r="AG30" s="6" t="s">
        <v>3</v>
      </c>
      <c r="AH30" s="6" t="s">
        <v>4</v>
      </c>
      <c r="AI30" s="6" t="s">
        <v>4</v>
      </c>
      <c r="AJ30" s="6" t="s">
        <v>4</v>
      </c>
      <c r="AK30" s="6" t="s">
        <v>4</v>
      </c>
      <c r="AL30" s="6" t="s">
        <v>4</v>
      </c>
      <c r="AM30" s="6" t="s">
        <v>3</v>
      </c>
    </row>
    <row r="31" spans="1:39" x14ac:dyDescent="0.3">
      <c r="A31" s="6">
        <f t="shared" si="0"/>
        <v>30</v>
      </c>
      <c r="B31" s="6" t="s">
        <v>461</v>
      </c>
      <c r="C31" s="6">
        <v>2</v>
      </c>
      <c r="D31" s="6" t="s">
        <v>5</v>
      </c>
      <c r="E31" s="6" t="s">
        <v>5</v>
      </c>
      <c r="F31" s="6" t="s">
        <v>2</v>
      </c>
      <c r="G31" s="6" t="s">
        <v>2</v>
      </c>
      <c r="H31" s="6" t="s">
        <v>5</v>
      </c>
      <c r="I31" s="6" t="s">
        <v>3</v>
      </c>
      <c r="J31" s="6" t="s">
        <v>2</v>
      </c>
      <c r="K31" s="6" t="s">
        <v>2</v>
      </c>
      <c r="L31" s="6" t="s">
        <v>3</v>
      </c>
      <c r="M31" s="6" t="s">
        <v>3</v>
      </c>
      <c r="N31" s="6" t="s">
        <v>4</v>
      </c>
      <c r="O31" s="6" t="s">
        <v>5</v>
      </c>
      <c r="P31" s="6" t="s">
        <v>5</v>
      </c>
      <c r="Q31" s="6" t="s">
        <v>4</v>
      </c>
      <c r="R31" s="6" t="s">
        <v>5</v>
      </c>
      <c r="S31" s="6" t="s">
        <v>5</v>
      </c>
      <c r="T31" s="6" t="s">
        <v>2</v>
      </c>
      <c r="U31" s="6" t="s">
        <v>5</v>
      </c>
      <c r="V31" s="6" t="s">
        <v>5</v>
      </c>
      <c r="W31" s="6" t="s">
        <v>3</v>
      </c>
      <c r="X31" s="6" t="s">
        <v>4</v>
      </c>
      <c r="Y31" s="6" t="s">
        <v>2</v>
      </c>
      <c r="Z31" s="6" t="s">
        <v>3</v>
      </c>
      <c r="AA31" s="6" t="s">
        <v>3</v>
      </c>
      <c r="AB31" s="6" t="s">
        <v>4</v>
      </c>
      <c r="AC31" s="6" t="s">
        <v>4</v>
      </c>
      <c r="AD31" s="6" t="s">
        <v>4</v>
      </c>
      <c r="AE31" s="6" t="s">
        <v>4</v>
      </c>
      <c r="AF31" s="6" t="s">
        <v>4</v>
      </c>
      <c r="AG31" s="6" t="s">
        <v>3</v>
      </c>
      <c r="AH31" s="6" t="s">
        <v>4</v>
      </c>
      <c r="AI31" s="6" t="s">
        <v>3</v>
      </c>
      <c r="AJ31" s="6" t="s">
        <v>4</v>
      </c>
      <c r="AK31" s="6" t="s">
        <v>4</v>
      </c>
      <c r="AL31" s="6" t="s">
        <v>3</v>
      </c>
      <c r="AM31" s="6" t="s">
        <v>3</v>
      </c>
    </row>
    <row r="32" spans="1:39" x14ac:dyDescent="0.3">
      <c r="A32" s="6">
        <f t="shared" si="0"/>
        <v>31</v>
      </c>
      <c r="B32" s="6" t="s">
        <v>462</v>
      </c>
      <c r="C32" s="6">
        <v>2</v>
      </c>
      <c r="D32" s="6" t="s">
        <v>5</v>
      </c>
      <c r="E32" s="6" t="s">
        <v>3</v>
      </c>
      <c r="F32" s="6" t="s">
        <v>5</v>
      </c>
      <c r="G32" s="6" t="s">
        <v>5</v>
      </c>
      <c r="H32" s="6" t="s">
        <v>5</v>
      </c>
      <c r="I32" s="6" t="s">
        <v>5</v>
      </c>
      <c r="J32" s="6" t="s">
        <v>5</v>
      </c>
      <c r="K32" s="6" t="s">
        <v>2</v>
      </c>
      <c r="L32" s="6" t="s">
        <v>3</v>
      </c>
      <c r="M32" s="6" t="s">
        <v>3</v>
      </c>
      <c r="N32" s="6" t="s">
        <v>3</v>
      </c>
      <c r="O32" s="6" t="s">
        <v>5</v>
      </c>
      <c r="P32" s="6" t="s">
        <v>5</v>
      </c>
      <c r="Q32" s="6" t="s">
        <v>3</v>
      </c>
      <c r="R32" s="6" t="s">
        <v>5</v>
      </c>
      <c r="S32" s="6" t="s">
        <v>5</v>
      </c>
      <c r="T32" s="6" t="s">
        <v>5</v>
      </c>
      <c r="U32" s="6" t="s">
        <v>5</v>
      </c>
      <c r="V32" s="6" t="s">
        <v>5</v>
      </c>
      <c r="W32" s="6" t="s">
        <v>3</v>
      </c>
      <c r="X32" s="6" t="s">
        <v>4</v>
      </c>
      <c r="Y32" s="6" t="s">
        <v>4</v>
      </c>
      <c r="Z32" s="6" t="s">
        <v>3</v>
      </c>
      <c r="AA32" s="6" t="s">
        <v>3</v>
      </c>
      <c r="AB32" s="6" t="s">
        <v>3</v>
      </c>
      <c r="AC32" s="6" t="s">
        <v>4</v>
      </c>
      <c r="AD32" s="6" t="s">
        <v>4</v>
      </c>
      <c r="AE32" s="6" t="s">
        <v>4</v>
      </c>
      <c r="AF32" s="6" t="s">
        <v>4</v>
      </c>
      <c r="AG32" s="6" t="s">
        <v>3</v>
      </c>
      <c r="AH32" s="6" t="s">
        <v>4</v>
      </c>
      <c r="AI32" s="6" t="s">
        <v>4</v>
      </c>
      <c r="AJ32" s="6" t="s">
        <v>3</v>
      </c>
      <c r="AK32" s="6" t="s">
        <v>4</v>
      </c>
      <c r="AL32" s="6" t="s">
        <v>4</v>
      </c>
      <c r="AM32" s="6" t="s">
        <v>3</v>
      </c>
    </row>
    <row r="33" spans="1:39" x14ac:dyDescent="0.3">
      <c r="A33" s="6">
        <f t="shared" si="0"/>
        <v>32</v>
      </c>
      <c r="B33" s="6" t="s">
        <v>491</v>
      </c>
      <c r="C33" s="6">
        <v>2</v>
      </c>
      <c r="D33" s="6" t="s">
        <v>3</v>
      </c>
      <c r="E33" s="6" t="s">
        <v>3</v>
      </c>
      <c r="F33" s="6" t="s">
        <v>3</v>
      </c>
      <c r="G33" s="6" t="s">
        <v>2</v>
      </c>
      <c r="H33" s="6" t="s">
        <v>5</v>
      </c>
      <c r="I33" s="6" t="s">
        <v>5</v>
      </c>
      <c r="J33" s="6" t="s">
        <v>2</v>
      </c>
      <c r="K33" s="6" t="s">
        <v>2</v>
      </c>
      <c r="L33" s="6" t="s">
        <v>2</v>
      </c>
      <c r="M33" s="6" t="s">
        <v>4</v>
      </c>
      <c r="N33" s="6" t="s">
        <v>4</v>
      </c>
      <c r="O33" s="6" t="s">
        <v>4</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4</v>
      </c>
      <c r="AE33" s="6" t="s">
        <v>4</v>
      </c>
      <c r="AF33" s="6" t="s">
        <v>4</v>
      </c>
      <c r="AG33" s="6" t="s">
        <v>4</v>
      </c>
      <c r="AH33" s="6" t="s">
        <v>4</v>
      </c>
      <c r="AI33" s="6" t="s">
        <v>3</v>
      </c>
      <c r="AJ33" s="6" t="s">
        <v>4</v>
      </c>
      <c r="AK33" s="6" t="s">
        <v>4</v>
      </c>
      <c r="AL33" s="6" t="s">
        <v>4</v>
      </c>
      <c r="AM33" s="6" t="s">
        <v>3</v>
      </c>
    </row>
    <row r="34" spans="1:39" x14ac:dyDescent="0.3">
      <c r="A34" s="6">
        <f t="shared" si="0"/>
        <v>33</v>
      </c>
      <c r="B34" s="6" t="s">
        <v>314</v>
      </c>
      <c r="C34" s="6">
        <v>2</v>
      </c>
      <c r="D34" s="6" t="s">
        <v>5</v>
      </c>
      <c r="E34" s="6" t="s">
        <v>3</v>
      </c>
      <c r="F34" s="6" t="s">
        <v>4</v>
      </c>
      <c r="G34" s="6" t="s">
        <v>3</v>
      </c>
      <c r="H34" s="6" t="s">
        <v>5</v>
      </c>
      <c r="I34" s="6" t="s">
        <v>5</v>
      </c>
      <c r="J34" s="6" t="s">
        <v>3</v>
      </c>
      <c r="K34" s="6" t="s">
        <v>4</v>
      </c>
      <c r="L34" s="6" t="s">
        <v>3</v>
      </c>
      <c r="M34" s="6" t="s">
        <v>3</v>
      </c>
      <c r="N34" s="6" t="s">
        <v>4</v>
      </c>
      <c r="O34" s="6" t="s">
        <v>4</v>
      </c>
      <c r="P34" s="6" t="s">
        <v>5</v>
      </c>
      <c r="Q34" s="6" t="s">
        <v>3</v>
      </c>
      <c r="R34" s="6" t="s">
        <v>4</v>
      </c>
      <c r="S34" s="6" t="s">
        <v>5</v>
      </c>
      <c r="T34" s="6" t="s">
        <v>5</v>
      </c>
      <c r="U34" s="6" t="s">
        <v>5</v>
      </c>
      <c r="V34" s="6" t="s">
        <v>3</v>
      </c>
      <c r="W34" s="6" t="s">
        <v>4</v>
      </c>
      <c r="X34" s="6" t="s">
        <v>4</v>
      </c>
      <c r="Y34" s="6" t="s">
        <v>4</v>
      </c>
      <c r="Z34" s="6" t="s">
        <v>3</v>
      </c>
      <c r="AA34" s="6" t="s">
        <v>4</v>
      </c>
      <c r="AB34" s="6" t="s">
        <v>4</v>
      </c>
      <c r="AC34" s="6" t="s">
        <v>4</v>
      </c>
      <c r="AD34" s="6" t="s">
        <v>4</v>
      </c>
      <c r="AE34" s="6" t="s">
        <v>4</v>
      </c>
      <c r="AF34" s="6" t="s">
        <v>4</v>
      </c>
      <c r="AG34" s="6" t="s">
        <v>3</v>
      </c>
      <c r="AH34" s="6" t="s">
        <v>4</v>
      </c>
      <c r="AI34" s="6" t="s">
        <v>3</v>
      </c>
      <c r="AJ34" s="6" t="s">
        <v>4</v>
      </c>
      <c r="AK34" s="6" t="s">
        <v>4</v>
      </c>
      <c r="AL34" s="6" t="s">
        <v>4</v>
      </c>
      <c r="AM34" s="6" t="s">
        <v>3</v>
      </c>
    </row>
    <row r="35" spans="1:39" x14ac:dyDescent="0.3">
      <c r="A35" s="6">
        <f t="shared" si="0"/>
        <v>34</v>
      </c>
      <c r="B35" s="6" t="s">
        <v>315</v>
      </c>
      <c r="C35" s="6">
        <v>2</v>
      </c>
      <c r="D35" s="6" t="s">
        <v>5</v>
      </c>
      <c r="E35" s="6" t="s">
        <v>5</v>
      </c>
      <c r="F35" s="6" t="s">
        <v>3</v>
      </c>
      <c r="G35" s="6" t="s">
        <v>5</v>
      </c>
      <c r="H35" s="6" t="s">
        <v>5</v>
      </c>
      <c r="I35" s="6" t="s">
        <v>5</v>
      </c>
      <c r="J35" s="6" t="s">
        <v>2</v>
      </c>
      <c r="K35" s="6" t="s">
        <v>2</v>
      </c>
      <c r="L35" s="6" t="s">
        <v>3</v>
      </c>
      <c r="M35" s="6" t="s">
        <v>2</v>
      </c>
      <c r="N35" s="6" t="s">
        <v>2</v>
      </c>
      <c r="O35" s="6" t="s">
        <v>3</v>
      </c>
      <c r="P35" s="6" t="s">
        <v>5</v>
      </c>
      <c r="Q35" s="6" t="s">
        <v>3</v>
      </c>
      <c r="R35" s="6" t="s">
        <v>4</v>
      </c>
      <c r="S35" s="6" t="s">
        <v>5</v>
      </c>
      <c r="T35" s="6" t="s">
        <v>5</v>
      </c>
      <c r="U35" s="6" t="s">
        <v>5</v>
      </c>
      <c r="V35" s="6" t="s">
        <v>5</v>
      </c>
      <c r="W35" s="6" t="s">
        <v>4</v>
      </c>
      <c r="X35" s="6" t="s">
        <v>3</v>
      </c>
      <c r="Y35" s="6" t="s">
        <v>2</v>
      </c>
      <c r="Z35" s="6" t="s">
        <v>3</v>
      </c>
      <c r="AA35" s="6" t="s">
        <v>4</v>
      </c>
      <c r="AB35" s="6" t="s">
        <v>4</v>
      </c>
      <c r="AC35" s="6" t="s">
        <v>4</v>
      </c>
      <c r="AD35" s="6" t="s">
        <v>4</v>
      </c>
      <c r="AE35" s="6" t="s">
        <v>4</v>
      </c>
      <c r="AF35" s="6" t="s">
        <v>4</v>
      </c>
      <c r="AG35" s="6" t="s">
        <v>3</v>
      </c>
      <c r="AH35" s="6" t="s">
        <v>4</v>
      </c>
      <c r="AI35" s="6" t="s">
        <v>4</v>
      </c>
      <c r="AJ35" s="6" t="s">
        <v>4</v>
      </c>
      <c r="AK35" s="6" t="s">
        <v>4</v>
      </c>
      <c r="AL35" s="6" t="s">
        <v>3</v>
      </c>
      <c r="AM35" s="6" t="s">
        <v>4</v>
      </c>
    </row>
    <row r="36" spans="1:39" x14ac:dyDescent="0.3">
      <c r="A36" s="6">
        <f t="shared" si="0"/>
        <v>35</v>
      </c>
      <c r="B36" s="6" t="s">
        <v>318</v>
      </c>
      <c r="C36" s="6">
        <v>2</v>
      </c>
      <c r="D36" s="6" t="s">
        <v>4</v>
      </c>
      <c r="E36" s="6" t="s">
        <v>5</v>
      </c>
      <c r="F36" s="6" t="s">
        <v>3</v>
      </c>
      <c r="G36" s="6" t="s">
        <v>5</v>
      </c>
      <c r="H36" s="6" t="s">
        <v>5</v>
      </c>
      <c r="I36" s="6" t="s">
        <v>5</v>
      </c>
      <c r="J36" s="6" t="s">
        <v>5</v>
      </c>
      <c r="K36" s="6" t="s">
        <v>2</v>
      </c>
      <c r="L36" s="6" t="s">
        <v>3</v>
      </c>
      <c r="M36" s="6" t="s">
        <v>2</v>
      </c>
      <c r="N36" s="6" t="s">
        <v>3</v>
      </c>
      <c r="O36" s="6" t="s">
        <v>2</v>
      </c>
      <c r="P36" s="6" t="s">
        <v>5</v>
      </c>
      <c r="Q36" s="6" t="s">
        <v>3</v>
      </c>
      <c r="R36" s="6" t="s">
        <v>3</v>
      </c>
      <c r="S36" s="6" t="s">
        <v>5</v>
      </c>
      <c r="T36" s="6" t="s">
        <v>5</v>
      </c>
      <c r="U36" s="6" t="s">
        <v>5</v>
      </c>
      <c r="V36" s="6" t="s">
        <v>4</v>
      </c>
      <c r="W36" s="6" t="s">
        <v>4</v>
      </c>
      <c r="X36" s="6" t="s">
        <v>3</v>
      </c>
      <c r="Y36" s="6" t="s">
        <v>2</v>
      </c>
      <c r="Z36" s="6" t="s">
        <v>3</v>
      </c>
      <c r="AA36" s="6" t="s">
        <v>4</v>
      </c>
      <c r="AB36" s="6" t="s">
        <v>4</v>
      </c>
      <c r="AC36" s="6" t="s">
        <v>4</v>
      </c>
      <c r="AD36" s="6" t="s">
        <v>4</v>
      </c>
      <c r="AE36" s="6" t="s">
        <v>4</v>
      </c>
      <c r="AF36" s="6" t="s">
        <v>4</v>
      </c>
      <c r="AG36" s="6" t="s">
        <v>3</v>
      </c>
      <c r="AH36" s="6" t="s">
        <v>4</v>
      </c>
      <c r="AI36" s="6" t="s">
        <v>4</v>
      </c>
      <c r="AJ36" s="6" t="s">
        <v>4</v>
      </c>
      <c r="AK36" s="6" t="s">
        <v>4</v>
      </c>
      <c r="AL36" s="6" t="s">
        <v>4</v>
      </c>
      <c r="AM36" s="6" t="s">
        <v>3</v>
      </c>
    </row>
    <row r="37" spans="1:39" x14ac:dyDescent="0.3">
      <c r="A37" s="6">
        <f t="shared" si="0"/>
        <v>36</v>
      </c>
      <c r="B37" s="6" t="s">
        <v>463</v>
      </c>
      <c r="C37" s="6">
        <v>2</v>
      </c>
      <c r="D37" s="6" t="s">
        <v>2</v>
      </c>
      <c r="E37" s="6" t="s">
        <v>3</v>
      </c>
      <c r="F37" s="6" t="s">
        <v>2</v>
      </c>
      <c r="G37" s="6" t="s">
        <v>5</v>
      </c>
      <c r="H37" s="6" t="s">
        <v>5</v>
      </c>
      <c r="I37" s="6" t="s">
        <v>5</v>
      </c>
      <c r="J37" s="6" t="s">
        <v>5</v>
      </c>
      <c r="K37" s="6" t="s">
        <v>2</v>
      </c>
      <c r="L37" s="6" t="s">
        <v>3</v>
      </c>
      <c r="M37" s="6" t="s">
        <v>3</v>
      </c>
      <c r="N37" s="6" t="s">
        <v>2</v>
      </c>
      <c r="O37" s="6" t="s">
        <v>5</v>
      </c>
      <c r="P37" s="6" t="s">
        <v>5</v>
      </c>
      <c r="Q37" s="6" t="s">
        <v>3</v>
      </c>
      <c r="R37" s="6" t="s">
        <v>2</v>
      </c>
      <c r="S37" s="6" t="s">
        <v>5</v>
      </c>
      <c r="T37" s="6" t="s">
        <v>5</v>
      </c>
      <c r="U37" s="6" t="s">
        <v>5</v>
      </c>
      <c r="V37" s="6" t="s">
        <v>5</v>
      </c>
      <c r="W37" s="6" t="s">
        <v>4</v>
      </c>
      <c r="X37" s="6" t="s">
        <v>4</v>
      </c>
      <c r="Y37" s="6" t="s">
        <v>4</v>
      </c>
      <c r="Z37" s="6" t="s">
        <v>3</v>
      </c>
      <c r="AA37" s="6" t="s">
        <v>4</v>
      </c>
      <c r="AB37" s="6" t="s">
        <v>4</v>
      </c>
      <c r="AC37" s="6" t="s">
        <v>4</v>
      </c>
      <c r="AD37" s="6" t="s">
        <v>4</v>
      </c>
      <c r="AE37" s="6" t="s">
        <v>4</v>
      </c>
      <c r="AF37" s="6" t="s">
        <v>4</v>
      </c>
      <c r="AG37" s="6" t="s">
        <v>3</v>
      </c>
      <c r="AH37" s="6" t="s">
        <v>4</v>
      </c>
      <c r="AI37" s="6" t="s">
        <v>3</v>
      </c>
      <c r="AJ37" s="6" t="s">
        <v>4</v>
      </c>
      <c r="AK37" s="6" t="s">
        <v>4</v>
      </c>
      <c r="AL37" s="6" t="s">
        <v>4</v>
      </c>
      <c r="AM37" s="6" t="s">
        <v>3</v>
      </c>
    </row>
    <row r="38" spans="1:39" x14ac:dyDescent="0.3">
      <c r="A38" s="6">
        <f t="shared" si="0"/>
        <v>37</v>
      </c>
      <c r="B38" s="6" t="s">
        <v>464</v>
      </c>
      <c r="C38" s="6">
        <v>2</v>
      </c>
      <c r="D38" s="6" t="s">
        <v>4</v>
      </c>
      <c r="E38" s="6" t="s">
        <v>5</v>
      </c>
      <c r="F38" s="6" t="s">
        <v>5</v>
      </c>
      <c r="G38" s="6" t="s">
        <v>5</v>
      </c>
      <c r="H38" s="6" t="s">
        <v>5</v>
      </c>
      <c r="I38" s="6" t="s">
        <v>5</v>
      </c>
      <c r="J38" s="6" t="s">
        <v>5</v>
      </c>
      <c r="K38" s="6" t="s">
        <v>2</v>
      </c>
      <c r="L38" s="6" t="s">
        <v>3</v>
      </c>
      <c r="M38" s="6" t="s">
        <v>4</v>
      </c>
      <c r="N38" s="6" t="s">
        <v>4</v>
      </c>
      <c r="O38" s="6" t="s">
        <v>2</v>
      </c>
      <c r="P38" s="6" t="s">
        <v>5</v>
      </c>
      <c r="Q38" s="6" t="s">
        <v>4</v>
      </c>
      <c r="R38" s="6" t="s">
        <v>2</v>
      </c>
      <c r="S38" s="6" t="s">
        <v>5</v>
      </c>
      <c r="T38" s="6" t="s">
        <v>2</v>
      </c>
      <c r="U38" s="6" t="s">
        <v>5</v>
      </c>
      <c r="V38" s="6" t="s">
        <v>5</v>
      </c>
      <c r="W38" s="6" t="s">
        <v>2</v>
      </c>
      <c r="X38" s="6" t="s">
        <v>4</v>
      </c>
      <c r="Y38" s="6" t="s">
        <v>4</v>
      </c>
      <c r="Z38" s="6" t="s">
        <v>3</v>
      </c>
      <c r="AA38" s="6" t="s">
        <v>4</v>
      </c>
      <c r="AB38" s="6" t="s">
        <v>4</v>
      </c>
      <c r="AC38" s="6" t="s">
        <v>4</v>
      </c>
      <c r="AD38" s="6" t="s">
        <v>4</v>
      </c>
      <c r="AE38" s="6" t="s">
        <v>4</v>
      </c>
      <c r="AF38" s="6" t="s">
        <v>4</v>
      </c>
      <c r="AG38" s="6" t="s">
        <v>4</v>
      </c>
      <c r="AH38" s="6" t="s">
        <v>4</v>
      </c>
      <c r="AI38" s="6" t="s">
        <v>4</v>
      </c>
      <c r="AJ38" s="6" t="s">
        <v>4</v>
      </c>
      <c r="AK38" s="6" t="s">
        <v>4</v>
      </c>
      <c r="AL38" s="6" t="s">
        <v>4</v>
      </c>
      <c r="AM38" s="6" t="s">
        <v>3</v>
      </c>
    </row>
    <row r="39" spans="1:39" x14ac:dyDescent="0.3">
      <c r="A39" s="6">
        <f t="shared" si="0"/>
        <v>38</v>
      </c>
      <c r="B39" s="6" t="s">
        <v>490</v>
      </c>
      <c r="C39" s="6">
        <v>2</v>
      </c>
      <c r="D39" s="6" t="s">
        <v>4</v>
      </c>
      <c r="E39" s="6" t="s">
        <v>5</v>
      </c>
      <c r="F39" s="6" t="s">
        <v>3</v>
      </c>
      <c r="G39" s="6" t="s">
        <v>2</v>
      </c>
      <c r="H39" s="6" t="s">
        <v>5</v>
      </c>
      <c r="I39" s="6" t="s">
        <v>5</v>
      </c>
      <c r="J39" s="6" t="s">
        <v>5</v>
      </c>
      <c r="K39" s="6" t="s">
        <v>2</v>
      </c>
      <c r="L39" s="6" t="s">
        <v>2</v>
      </c>
      <c r="M39" s="6" t="s">
        <v>3</v>
      </c>
      <c r="N39" s="6" t="s">
        <v>4</v>
      </c>
      <c r="O39" s="6" t="s">
        <v>2</v>
      </c>
      <c r="P39" s="6" t="s">
        <v>5</v>
      </c>
      <c r="Q39" s="6" t="s">
        <v>3</v>
      </c>
      <c r="R39" s="6" t="s">
        <v>4</v>
      </c>
      <c r="S39" s="6" t="s">
        <v>5</v>
      </c>
      <c r="T39" s="6" t="s">
        <v>5</v>
      </c>
      <c r="U39" s="6" t="s">
        <v>5</v>
      </c>
      <c r="V39" s="6" t="s">
        <v>4</v>
      </c>
      <c r="W39" s="6" t="s">
        <v>4</v>
      </c>
      <c r="X39" s="6" t="s">
        <v>3</v>
      </c>
      <c r="Y39" s="6" t="s">
        <v>4</v>
      </c>
      <c r="Z39" s="6" t="s">
        <v>3</v>
      </c>
      <c r="AA39" s="6" t="s">
        <v>4</v>
      </c>
      <c r="AB39" s="6" t="s">
        <v>4</v>
      </c>
      <c r="AC39" s="6" t="s">
        <v>4</v>
      </c>
      <c r="AD39" s="6" t="s">
        <v>4</v>
      </c>
      <c r="AE39" s="6" t="s">
        <v>4</v>
      </c>
      <c r="AF39" s="6" t="s">
        <v>4</v>
      </c>
      <c r="AG39" s="6" t="s">
        <v>3</v>
      </c>
      <c r="AH39" s="6" t="s">
        <v>4</v>
      </c>
      <c r="AI39" s="6" t="s">
        <v>3</v>
      </c>
      <c r="AJ39" s="6" t="s">
        <v>4</v>
      </c>
      <c r="AK39" s="6" t="s">
        <v>4</v>
      </c>
      <c r="AL39" s="6" t="s">
        <v>4</v>
      </c>
      <c r="AM39" s="6" t="s">
        <v>4</v>
      </c>
    </row>
    <row r="40" spans="1:39" x14ac:dyDescent="0.3">
      <c r="A40" s="6">
        <f t="shared" si="0"/>
        <v>39</v>
      </c>
      <c r="B40" s="6" t="s">
        <v>17</v>
      </c>
      <c r="C40" s="6">
        <v>3</v>
      </c>
      <c r="D40" s="6" t="s">
        <v>5</v>
      </c>
      <c r="E40" s="6" t="s">
        <v>3</v>
      </c>
      <c r="F40" s="6" t="s">
        <v>3</v>
      </c>
      <c r="G40" s="6" t="s">
        <v>5</v>
      </c>
      <c r="H40" s="6" t="s">
        <v>5</v>
      </c>
      <c r="I40" s="6" t="s">
        <v>5</v>
      </c>
      <c r="J40" s="6" t="s">
        <v>2</v>
      </c>
      <c r="K40" s="6" t="s">
        <v>2</v>
      </c>
      <c r="L40" s="6" t="s">
        <v>3</v>
      </c>
      <c r="M40" s="6" t="s">
        <v>3</v>
      </c>
      <c r="N40" s="6" t="s">
        <v>4</v>
      </c>
      <c r="O40" s="6" t="s">
        <v>5</v>
      </c>
      <c r="P40" s="6" t="s">
        <v>2</v>
      </c>
      <c r="Q40" s="6" t="s">
        <v>3</v>
      </c>
      <c r="R40" s="6" t="s">
        <v>2</v>
      </c>
      <c r="S40" s="6" t="s">
        <v>5</v>
      </c>
      <c r="T40" s="6" t="s">
        <v>5</v>
      </c>
      <c r="U40" s="6" t="s">
        <v>5</v>
      </c>
      <c r="V40" s="6" t="s">
        <v>5</v>
      </c>
      <c r="W40" s="6" t="s">
        <v>4</v>
      </c>
      <c r="X40" s="6" t="s">
        <v>3</v>
      </c>
      <c r="Y40" s="6" t="s">
        <v>3</v>
      </c>
      <c r="Z40" s="6" t="s">
        <v>3</v>
      </c>
      <c r="AA40" s="6" t="s">
        <v>4</v>
      </c>
      <c r="AB40" s="6" t="s">
        <v>4</v>
      </c>
      <c r="AC40" s="6" t="s">
        <v>4</v>
      </c>
      <c r="AD40" s="6" t="s">
        <v>4</v>
      </c>
      <c r="AE40" s="6" t="s">
        <v>4</v>
      </c>
      <c r="AF40" s="6" t="s">
        <v>4</v>
      </c>
      <c r="AG40" s="6" t="s">
        <v>3</v>
      </c>
      <c r="AH40" s="6" t="s">
        <v>4</v>
      </c>
      <c r="AI40" s="6" t="s">
        <v>3</v>
      </c>
      <c r="AJ40" s="6" t="s">
        <v>4</v>
      </c>
      <c r="AK40" s="6" t="s">
        <v>4</v>
      </c>
      <c r="AL40" s="6" t="s">
        <v>4</v>
      </c>
      <c r="AM40" s="6" t="s">
        <v>3</v>
      </c>
    </row>
    <row r="41" spans="1:39" x14ac:dyDescent="0.3">
      <c r="A41" s="6">
        <f t="shared" si="0"/>
        <v>40</v>
      </c>
      <c r="B41" s="6" t="s">
        <v>18</v>
      </c>
      <c r="C41" s="6">
        <v>3</v>
      </c>
      <c r="D41" s="6" t="s">
        <v>5</v>
      </c>
      <c r="E41" s="6" t="s">
        <v>4</v>
      </c>
      <c r="F41" s="6" t="s">
        <v>4</v>
      </c>
      <c r="G41" s="6" t="s">
        <v>3</v>
      </c>
      <c r="H41" s="6" t="s">
        <v>5</v>
      </c>
      <c r="I41" s="6" t="s">
        <v>5</v>
      </c>
      <c r="J41" s="6" t="s">
        <v>5</v>
      </c>
      <c r="K41" s="6" t="s">
        <v>2</v>
      </c>
      <c r="L41" s="6" t="s">
        <v>2</v>
      </c>
      <c r="M41" s="6" t="s">
        <v>3</v>
      </c>
      <c r="N41" s="6" t="s">
        <v>4</v>
      </c>
      <c r="O41" s="6" t="s">
        <v>2</v>
      </c>
      <c r="P41" s="6" t="s">
        <v>2</v>
      </c>
      <c r="Q41" s="6" t="s">
        <v>2</v>
      </c>
      <c r="R41" s="6" t="s">
        <v>5</v>
      </c>
      <c r="S41" s="6" t="s">
        <v>5</v>
      </c>
      <c r="T41" s="6" t="s">
        <v>3</v>
      </c>
      <c r="U41" s="6" t="s">
        <v>3</v>
      </c>
      <c r="V41" s="6" t="s">
        <v>2</v>
      </c>
      <c r="W41" s="6" t="s">
        <v>4</v>
      </c>
      <c r="X41" s="6" t="s">
        <v>5</v>
      </c>
      <c r="Y41" s="6" t="s">
        <v>3</v>
      </c>
      <c r="Z41" s="6" t="s">
        <v>3</v>
      </c>
      <c r="AA41" s="6" t="s">
        <v>3</v>
      </c>
      <c r="AB41" s="6" t="s">
        <v>3</v>
      </c>
      <c r="AC41" s="6" t="s">
        <v>4</v>
      </c>
      <c r="AD41" s="6" t="s">
        <v>4</v>
      </c>
      <c r="AE41" s="6" t="s">
        <v>4</v>
      </c>
      <c r="AF41" s="6" t="s">
        <v>4</v>
      </c>
      <c r="AG41" s="6" t="s">
        <v>3</v>
      </c>
      <c r="AH41" s="6" t="s">
        <v>4</v>
      </c>
      <c r="AI41" s="6" t="s">
        <v>4</v>
      </c>
      <c r="AJ41" s="6" t="s">
        <v>4</v>
      </c>
      <c r="AK41" s="6" t="s">
        <v>4</v>
      </c>
      <c r="AL41" s="6" t="s">
        <v>4</v>
      </c>
      <c r="AM41" s="6" t="s">
        <v>3</v>
      </c>
    </row>
    <row r="42" spans="1:39" x14ac:dyDescent="0.3">
      <c r="A42" s="6">
        <f t="shared" si="0"/>
        <v>41</v>
      </c>
      <c r="B42" s="6" t="s">
        <v>19</v>
      </c>
      <c r="C42" s="6">
        <v>3</v>
      </c>
      <c r="D42" s="6" t="s">
        <v>5</v>
      </c>
      <c r="E42" s="6" t="s">
        <v>5</v>
      </c>
      <c r="F42" s="6" t="s">
        <v>4</v>
      </c>
      <c r="G42" s="6" t="s">
        <v>5</v>
      </c>
      <c r="H42" s="6" t="s">
        <v>5</v>
      </c>
      <c r="I42" s="6" t="s">
        <v>2</v>
      </c>
      <c r="J42" s="6" t="s">
        <v>5</v>
      </c>
      <c r="K42" s="6" t="s">
        <v>2</v>
      </c>
      <c r="L42" s="6" t="s">
        <v>3</v>
      </c>
      <c r="M42" s="6" t="s">
        <v>4</v>
      </c>
      <c r="N42" s="6" t="s">
        <v>4</v>
      </c>
      <c r="O42" s="6" t="s">
        <v>2</v>
      </c>
      <c r="P42" s="6" t="s">
        <v>5</v>
      </c>
      <c r="Q42" s="6" t="s">
        <v>5</v>
      </c>
      <c r="R42" s="6" t="s">
        <v>5</v>
      </c>
      <c r="S42" s="6" t="s">
        <v>5</v>
      </c>
      <c r="T42" s="6" t="s">
        <v>5</v>
      </c>
      <c r="U42" s="6" t="s">
        <v>5</v>
      </c>
      <c r="V42" s="6" t="s">
        <v>4</v>
      </c>
      <c r="W42" s="6" t="s">
        <v>4</v>
      </c>
      <c r="X42" s="6" t="s">
        <v>4</v>
      </c>
      <c r="Y42" s="6" t="s">
        <v>5</v>
      </c>
      <c r="Z42" s="6" t="s">
        <v>3</v>
      </c>
      <c r="AA42" s="6" t="s">
        <v>4</v>
      </c>
      <c r="AB42" s="6" t="s">
        <v>4</v>
      </c>
      <c r="AC42" s="6" t="s">
        <v>4</v>
      </c>
      <c r="AD42" s="6" t="s">
        <v>4</v>
      </c>
      <c r="AE42" s="6" t="s">
        <v>4</v>
      </c>
      <c r="AF42" s="6" t="s">
        <v>4</v>
      </c>
      <c r="AG42" s="6" t="s">
        <v>3</v>
      </c>
      <c r="AH42" s="6" t="s">
        <v>4</v>
      </c>
      <c r="AI42" s="6" t="s">
        <v>3</v>
      </c>
      <c r="AJ42" s="6" t="s">
        <v>4</v>
      </c>
      <c r="AK42" s="6" t="s">
        <v>4</v>
      </c>
      <c r="AL42" s="6" t="s">
        <v>4</v>
      </c>
      <c r="AM42" s="6" t="s">
        <v>3</v>
      </c>
    </row>
    <row r="43" spans="1:39" x14ac:dyDescent="0.3">
      <c r="A43" s="6">
        <f t="shared" si="0"/>
        <v>42</v>
      </c>
      <c r="B43" s="6" t="s">
        <v>20</v>
      </c>
      <c r="C43" s="6">
        <v>3</v>
      </c>
      <c r="D43" s="6" t="s">
        <v>2</v>
      </c>
      <c r="E43" s="6" t="s">
        <v>3</v>
      </c>
      <c r="F43" s="6" t="s">
        <v>3</v>
      </c>
      <c r="G43" s="6" t="s">
        <v>2</v>
      </c>
      <c r="H43" s="6" t="s">
        <v>5</v>
      </c>
      <c r="I43" s="6" t="s">
        <v>2</v>
      </c>
      <c r="J43" s="6" t="s">
        <v>5</v>
      </c>
      <c r="K43" s="6" t="s">
        <v>2</v>
      </c>
      <c r="L43" s="6" t="s">
        <v>3</v>
      </c>
      <c r="M43" s="6" t="s">
        <v>4</v>
      </c>
      <c r="N43" s="6" t="s">
        <v>4</v>
      </c>
      <c r="O43" s="6" t="s">
        <v>5</v>
      </c>
      <c r="P43" s="6" t="s">
        <v>5</v>
      </c>
      <c r="Q43" s="6" t="s">
        <v>4</v>
      </c>
      <c r="R43" s="6" t="s">
        <v>5</v>
      </c>
      <c r="S43" s="6" t="s">
        <v>5</v>
      </c>
      <c r="T43" s="6" t="s">
        <v>5</v>
      </c>
      <c r="U43" s="6" t="s">
        <v>5</v>
      </c>
      <c r="V43" s="6" t="s">
        <v>5</v>
      </c>
      <c r="W43" s="6" t="s">
        <v>4</v>
      </c>
      <c r="X43" s="6" t="s">
        <v>4</v>
      </c>
      <c r="Y43" s="6" t="s">
        <v>4</v>
      </c>
      <c r="Z43" s="6" t="s">
        <v>4</v>
      </c>
      <c r="AA43" s="6" t="s">
        <v>4</v>
      </c>
      <c r="AB43" s="6" t="s">
        <v>4</v>
      </c>
      <c r="AC43" s="6" t="s">
        <v>4</v>
      </c>
      <c r="AD43" s="6" t="s">
        <v>4</v>
      </c>
      <c r="AE43" s="6" t="s">
        <v>4</v>
      </c>
      <c r="AF43" s="6" t="s">
        <v>4</v>
      </c>
      <c r="AG43" s="6" t="s">
        <v>4</v>
      </c>
      <c r="AH43" s="6" t="s">
        <v>4</v>
      </c>
      <c r="AI43" s="6" t="s">
        <v>3</v>
      </c>
      <c r="AJ43" s="6" t="s">
        <v>4</v>
      </c>
      <c r="AK43" s="6" t="s">
        <v>4</v>
      </c>
      <c r="AL43" s="6" t="s">
        <v>3</v>
      </c>
      <c r="AM43" s="6" t="s">
        <v>4</v>
      </c>
    </row>
    <row r="44" spans="1:39" x14ac:dyDescent="0.3">
      <c r="A44" s="6">
        <f t="shared" si="0"/>
        <v>43</v>
      </c>
      <c r="B44" s="6" t="s">
        <v>21</v>
      </c>
      <c r="C44" s="6">
        <v>3</v>
      </c>
      <c r="D44" s="6" t="s">
        <v>2</v>
      </c>
      <c r="E44" s="6" t="s">
        <v>5</v>
      </c>
      <c r="F44" s="6" t="s">
        <v>3</v>
      </c>
      <c r="G44" s="6" t="s">
        <v>5</v>
      </c>
      <c r="H44" s="6" t="s">
        <v>5</v>
      </c>
      <c r="I44" s="6" t="s">
        <v>5</v>
      </c>
      <c r="J44" s="6" t="s">
        <v>5</v>
      </c>
      <c r="K44" s="6" t="s">
        <v>2</v>
      </c>
      <c r="L44" s="6" t="s">
        <v>2</v>
      </c>
      <c r="M44" s="6" t="s">
        <v>3</v>
      </c>
      <c r="N44" s="6" t="s">
        <v>4</v>
      </c>
      <c r="O44" s="6" t="s">
        <v>2</v>
      </c>
      <c r="P44" s="6" t="s">
        <v>5</v>
      </c>
      <c r="Q44" s="6" t="s">
        <v>3</v>
      </c>
      <c r="R44" s="6" t="s">
        <v>3</v>
      </c>
      <c r="S44" s="6" t="s">
        <v>5</v>
      </c>
      <c r="T44" s="6" t="s">
        <v>5</v>
      </c>
      <c r="U44" s="6" t="s">
        <v>5</v>
      </c>
      <c r="V44" s="6" t="s">
        <v>5</v>
      </c>
      <c r="W44" s="6" t="s">
        <v>4</v>
      </c>
      <c r="X44" s="6" t="s">
        <v>2</v>
      </c>
      <c r="Y44" s="6" t="s">
        <v>2</v>
      </c>
      <c r="Z44" s="6" t="s">
        <v>3</v>
      </c>
      <c r="AA44" s="6" t="s">
        <v>4</v>
      </c>
      <c r="AB44" s="6" t="s">
        <v>4</v>
      </c>
      <c r="AC44" s="6" t="s">
        <v>4</v>
      </c>
      <c r="AD44" s="6" t="s">
        <v>4</v>
      </c>
      <c r="AE44" s="6" t="s">
        <v>4</v>
      </c>
      <c r="AF44" s="6" t="s">
        <v>4</v>
      </c>
      <c r="AG44" s="6" t="s">
        <v>3</v>
      </c>
      <c r="AH44" s="6" t="s">
        <v>4</v>
      </c>
      <c r="AI44" s="6" t="s">
        <v>3</v>
      </c>
      <c r="AJ44" s="6" t="s">
        <v>4</v>
      </c>
      <c r="AK44" s="6" t="s">
        <v>4</v>
      </c>
      <c r="AL44" s="6" t="s">
        <v>4</v>
      </c>
      <c r="AM44" s="6" t="s">
        <v>3</v>
      </c>
    </row>
    <row r="45" spans="1:39" x14ac:dyDescent="0.3">
      <c r="A45" s="6">
        <f t="shared" si="0"/>
        <v>44</v>
      </c>
      <c r="B45" s="6" t="s">
        <v>22</v>
      </c>
      <c r="C45" s="6">
        <v>3</v>
      </c>
      <c r="D45" s="6" t="s">
        <v>4</v>
      </c>
      <c r="E45" s="6" t="s">
        <v>5</v>
      </c>
      <c r="F45" s="6" t="s">
        <v>3</v>
      </c>
      <c r="G45" s="6" t="s">
        <v>5</v>
      </c>
      <c r="H45" s="6" t="s">
        <v>5</v>
      </c>
      <c r="I45" s="6" t="s">
        <v>5</v>
      </c>
      <c r="J45" s="6" t="s">
        <v>5</v>
      </c>
      <c r="K45" s="6" t="s">
        <v>2</v>
      </c>
      <c r="L45" s="6" t="s">
        <v>3</v>
      </c>
      <c r="M45" s="6" t="s">
        <v>2</v>
      </c>
      <c r="N45" s="6" t="s">
        <v>2</v>
      </c>
      <c r="O45" s="6" t="s">
        <v>5</v>
      </c>
      <c r="P45" s="6" t="s">
        <v>3</v>
      </c>
      <c r="Q45" s="6" t="s">
        <v>3</v>
      </c>
      <c r="R45" s="6" t="s">
        <v>2</v>
      </c>
      <c r="S45" s="6" t="s">
        <v>5</v>
      </c>
      <c r="T45" s="6" t="s">
        <v>2</v>
      </c>
      <c r="U45" s="6" t="s">
        <v>2</v>
      </c>
      <c r="V45" s="6" t="s">
        <v>5</v>
      </c>
      <c r="W45" s="6" t="s">
        <v>4</v>
      </c>
      <c r="X45" s="6" t="s">
        <v>3</v>
      </c>
      <c r="Y45" s="6" t="s">
        <v>2</v>
      </c>
      <c r="Z45" s="6" t="s">
        <v>3</v>
      </c>
      <c r="AA45" s="6" t="s">
        <v>4</v>
      </c>
      <c r="AB45" s="6" t="s">
        <v>4</v>
      </c>
      <c r="AC45" s="6" t="s">
        <v>4</v>
      </c>
      <c r="AD45" s="6" t="s">
        <v>4</v>
      </c>
      <c r="AE45" s="6" t="s">
        <v>4</v>
      </c>
      <c r="AF45" s="6" t="s">
        <v>4</v>
      </c>
      <c r="AG45" s="6" t="s">
        <v>3</v>
      </c>
      <c r="AH45" s="6" t="s">
        <v>4</v>
      </c>
      <c r="AI45" s="6" t="s">
        <v>3</v>
      </c>
      <c r="AJ45" s="6" t="s">
        <v>4</v>
      </c>
      <c r="AK45" s="6" t="s">
        <v>4</v>
      </c>
      <c r="AL45" s="6" t="s">
        <v>3</v>
      </c>
      <c r="AM45" s="6" t="s">
        <v>3</v>
      </c>
    </row>
    <row r="46" spans="1:39" x14ac:dyDescent="0.3">
      <c r="A46" s="6">
        <f t="shared" si="0"/>
        <v>45</v>
      </c>
      <c r="B46" s="6" t="s">
        <v>263</v>
      </c>
      <c r="C46" s="6">
        <v>3</v>
      </c>
      <c r="D46" s="6" t="s">
        <v>2</v>
      </c>
      <c r="E46" s="6" t="s">
        <v>5</v>
      </c>
      <c r="F46" s="6" t="s">
        <v>3</v>
      </c>
      <c r="G46" s="6" t="s">
        <v>5</v>
      </c>
      <c r="H46" s="6" t="s">
        <v>5</v>
      </c>
      <c r="I46" s="6" t="s">
        <v>5</v>
      </c>
      <c r="J46" s="6" t="s">
        <v>5</v>
      </c>
      <c r="K46" s="6" t="s">
        <v>2</v>
      </c>
      <c r="L46" s="6" t="s">
        <v>2</v>
      </c>
      <c r="M46" s="6" t="s">
        <v>2</v>
      </c>
      <c r="N46" s="6" t="s">
        <v>3</v>
      </c>
      <c r="O46" s="6" t="s">
        <v>5</v>
      </c>
      <c r="P46" s="6" t="s">
        <v>5</v>
      </c>
      <c r="Q46" s="6" t="s">
        <v>3</v>
      </c>
      <c r="R46" s="6" t="s">
        <v>2</v>
      </c>
      <c r="S46" s="6" t="s">
        <v>2</v>
      </c>
      <c r="T46" s="6" t="s">
        <v>5</v>
      </c>
      <c r="U46" s="6" t="s">
        <v>5</v>
      </c>
      <c r="V46" s="6" t="s">
        <v>2</v>
      </c>
      <c r="W46" s="6" t="s">
        <v>4</v>
      </c>
      <c r="X46" s="6" t="s">
        <v>2</v>
      </c>
      <c r="Y46" s="6" t="s">
        <v>2</v>
      </c>
      <c r="Z46" s="6" t="s">
        <v>3</v>
      </c>
      <c r="AA46" s="6" t="s">
        <v>4</v>
      </c>
      <c r="AB46" s="6" t="s">
        <v>4</v>
      </c>
      <c r="AC46" s="6" t="s">
        <v>4</v>
      </c>
      <c r="AD46" s="6" t="s">
        <v>4</v>
      </c>
      <c r="AE46" s="6" t="s">
        <v>4</v>
      </c>
      <c r="AF46" s="6" t="s">
        <v>4</v>
      </c>
      <c r="AG46" s="6" t="s">
        <v>3</v>
      </c>
      <c r="AH46" s="6" t="s">
        <v>4</v>
      </c>
      <c r="AI46" s="6" t="s">
        <v>3</v>
      </c>
      <c r="AJ46" s="6" t="s">
        <v>4</v>
      </c>
      <c r="AK46" s="6" t="s">
        <v>4</v>
      </c>
      <c r="AL46" s="6" t="s">
        <v>4</v>
      </c>
      <c r="AM46" s="6" t="s">
        <v>3</v>
      </c>
    </row>
    <row r="47" spans="1:39" x14ac:dyDescent="0.3">
      <c r="A47" s="6">
        <f t="shared" si="0"/>
        <v>46</v>
      </c>
      <c r="B47" s="6" t="s">
        <v>264</v>
      </c>
      <c r="C47" s="6">
        <v>3</v>
      </c>
      <c r="D47" s="6" t="s">
        <v>5</v>
      </c>
      <c r="E47" s="6" t="s">
        <v>3</v>
      </c>
      <c r="F47" s="6" t="s">
        <v>3</v>
      </c>
      <c r="G47" s="6" t="s">
        <v>5</v>
      </c>
      <c r="H47" s="6" t="s">
        <v>5</v>
      </c>
      <c r="I47" s="6" t="s">
        <v>5</v>
      </c>
      <c r="J47" s="6" t="s">
        <v>5</v>
      </c>
      <c r="K47" s="6" t="s">
        <v>2</v>
      </c>
      <c r="L47" s="6" t="s">
        <v>2</v>
      </c>
      <c r="M47" s="6" t="s">
        <v>3</v>
      </c>
      <c r="N47" s="6" t="s">
        <v>3</v>
      </c>
      <c r="O47" s="6" t="s">
        <v>2</v>
      </c>
      <c r="P47" s="6" t="s">
        <v>5</v>
      </c>
      <c r="Q47" s="6" t="s">
        <v>3</v>
      </c>
      <c r="R47" s="6" t="s">
        <v>3</v>
      </c>
      <c r="S47" s="6" t="s">
        <v>2</v>
      </c>
      <c r="T47" s="6" t="s">
        <v>5</v>
      </c>
      <c r="U47" s="6" t="s">
        <v>5</v>
      </c>
      <c r="V47" s="6" t="s">
        <v>5</v>
      </c>
      <c r="W47" s="6" t="s">
        <v>4</v>
      </c>
      <c r="X47" s="6" t="s">
        <v>3</v>
      </c>
      <c r="Y47" s="6" t="s">
        <v>2</v>
      </c>
      <c r="Z47" s="6" t="s">
        <v>3</v>
      </c>
      <c r="AA47" s="6" t="s">
        <v>4</v>
      </c>
      <c r="AB47" s="6" t="s">
        <v>4</v>
      </c>
      <c r="AC47" s="6" t="s">
        <v>4</v>
      </c>
      <c r="AD47" s="6" t="s">
        <v>4</v>
      </c>
      <c r="AE47" s="6" t="s">
        <v>4</v>
      </c>
      <c r="AF47" s="6" t="s">
        <v>4</v>
      </c>
      <c r="AG47" s="6" t="s">
        <v>3</v>
      </c>
      <c r="AH47" s="6" t="s">
        <v>4</v>
      </c>
      <c r="AI47" s="6" t="s">
        <v>4</v>
      </c>
      <c r="AJ47" s="6" t="s">
        <v>4</v>
      </c>
      <c r="AK47" s="6" t="s">
        <v>4</v>
      </c>
      <c r="AL47" s="6" t="s">
        <v>3</v>
      </c>
      <c r="AM47" s="6" t="s">
        <v>3</v>
      </c>
    </row>
    <row r="48" spans="1:39" x14ac:dyDescent="0.3">
      <c r="A48" s="6">
        <f t="shared" si="0"/>
        <v>47</v>
      </c>
      <c r="B48" s="6" t="s">
        <v>265</v>
      </c>
      <c r="C48" s="6">
        <v>3</v>
      </c>
      <c r="D48" s="6" t="s">
        <v>5</v>
      </c>
      <c r="E48" s="6" t="s">
        <v>3</v>
      </c>
      <c r="F48" s="6" t="s">
        <v>3</v>
      </c>
      <c r="G48" s="6" t="s">
        <v>2</v>
      </c>
      <c r="H48" s="6" t="s">
        <v>5</v>
      </c>
      <c r="I48" s="6" t="s">
        <v>5</v>
      </c>
      <c r="J48" s="6" t="s">
        <v>5</v>
      </c>
      <c r="K48" s="6" t="s">
        <v>2</v>
      </c>
      <c r="L48" s="6" t="s">
        <v>3</v>
      </c>
      <c r="M48" s="6" t="s">
        <v>3</v>
      </c>
      <c r="N48" s="6" t="s">
        <v>3</v>
      </c>
      <c r="O48" s="6" t="s">
        <v>2</v>
      </c>
      <c r="P48" s="6" t="s">
        <v>5</v>
      </c>
      <c r="Q48" s="6" t="s">
        <v>3</v>
      </c>
      <c r="R48" s="6" t="s">
        <v>3</v>
      </c>
      <c r="S48" s="6" t="s">
        <v>5</v>
      </c>
      <c r="T48" s="6" t="s">
        <v>5</v>
      </c>
      <c r="U48" s="6" t="s">
        <v>5</v>
      </c>
      <c r="V48" s="6" t="s">
        <v>5</v>
      </c>
      <c r="W48" s="6" t="s">
        <v>4</v>
      </c>
      <c r="X48" s="6" t="s">
        <v>3</v>
      </c>
      <c r="Y48" s="6" t="s">
        <v>2</v>
      </c>
      <c r="Z48" s="6" t="s">
        <v>3</v>
      </c>
      <c r="AA48" s="6" t="s">
        <v>4</v>
      </c>
      <c r="AB48" s="6" t="s">
        <v>4</v>
      </c>
      <c r="AC48" s="6" t="s">
        <v>4</v>
      </c>
      <c r="AD48" s="6" t="s">
        <v>4</v>
      </c>
      <c r="AE48" s="6" t="s">
        <v>4</v>
      </c>
      <c r="AF48" s="6" t="s">
        <v>4</v>
      </c>
      <c r="AG48" s="6" t="s">
        <v>3</v>
      </c>
      <c r="AH48" s="6" t="s">
        <v>4</v>
      </c>
      <c r="AI48" s="6" t="s">
        <v>3</v>
      </c>
      <c r="AJ48" s="6" t="s">
        <v>4</v>
      </c>
      <c r="AK48" s="6" t="s">
        <v>4</v>
      </c>
      <c r="AL48" s="6" t="s">
        <v>3</v>
      </c>
      <c r="AM48" s="6" t="s">
        <v>3</v>
      </c>
    </row>
    <row r="49" spans="1:39" x14ac:dyDescent="0.3">
      <c r="A49" s="6">
        <f t="shared" si="0"/>
        <v>48</v>
      </c>
      <c r="B49" s="6" t="s">
        <v>266</v>
      </c>
      <c r="C49" s="6">
        <v>3</v>
      </c>
      <c r="D49" s="6" t="s">
        <v>5</v>
      </c>
      <c r="E49" s="6" t="s">
        <v>3</v>
      </c>
      <c r="F49" s="6" t="s">
        <v>3</v>
      </c>
      <c r="G49" s="6" t="s">
        <v>5</v>
      </c>
      <c r="H49" s="6" t="s">
        <v>5</v>
      </c>
      <c r="I49" s="6" t="s">
        <v>5</v>
      </c>
      <c r="J49" s="6" t="s">
        <v>2</v>
      </c>
      <c r="K49" s="6" t="s">
        <v>2</v>
      </c>
      <c r="L49" s="6" t="s">
        <v>3</v>
      </c>
      <c r="M49" s="6" t="s">
        <v>4</v>
      </c>
      <c r="N49" s="6" t="s">
        <v>4</v>
      </c>
      <c r="O49" s="6" t="s">
        <v>5</v>
      </c>
      <c r="P49" s="6" t="s">
        <v>2</v>
      </c>
      <c r="Q49" s="6" t="s">
        <v>3</v>
      </c>
      <c r="R49" s="6" t="s">
        <v>2</v>
      </c>
      <c r="S49" s="6" t="s">
        <v>5</v>
      </c>
      <c r="T49" s="6" t="s">
        <v>5</v>
      </c>
      <c r="U49" s="6" t="s">
        <v>5</v>
      </c>
      <c r="V49" s="6" t="s">
        <v>5</v>
      </c>
      <c r="W49" s="6" t="s">
        <v>4</v>
      </c>
      <c r="X49" s="6" t="s">
        <v>3</v>
      </c>
      <c r="Y49" s="6" t="s">
        <v>3</v>
      </c>
      <c r="Z49" s="6" t="s">
        <v>3</v>
      </c>
      <c r="AA49" s="6" t="s">
        <v>4</v>
      </c>
      <c r="AB49" s="6" t="s">
        <v>4</v>
      </c>
      <c r="AC49" s="6" t="s">
        <v>4</v>
      </c>
      <c r="AD49" s="6" t="s">
        <v>4</v>
      </c>
      <c r="AE49" s="6" t="s">
        <v>4</v>
      </c>
      <c r="AF49" s="6" t="s">
        <v>4</v>
      </c>
      <c r="AG49" s="6" t="s">
        <v>3</v>
      </c>
      <c r="AH49" s="6" t="s">
        <v>4</v>
      </c>
      <c r="AI49" s="6" t="s">
        <v>4</v>
      </c>
      <c r="AJ49" s="6" t="s">
        <v>4</v>
      </c>
      <c r="AK49" s="6" t="s">
        <v>4</v>
      </c>
      <c r="AL49" s="6" t="s">
        <v>4</v>
      </c>
      <c r="AM49" s="6" t="s">
        <v>3</v>
      </c>
    </row>
    <row r="50" spans="1:39" x14ac:dyDescent="0.3">
      <c r="A50" s="6">
        <f t="shared" si="0"/>
        <v>49</v>
      </c>
      <c r="B50" s="6" t="s">
        <v>465</v>
      </c>
      <c r="C50" s="6">
        <v>3</v>
      </c>
      <c r="D50" s="6" t="s">
        <v>5</v>
      </c>
      <c r="E50" s="6" t="s">
        <v>5</v>
      </c>
      <c r="F50" s="6" t="s">
        <v>5</v>
      </c>
      <c r="G50" s="6" t="s">
        <v>5</v>
      </c>
      <c r="H50" s="6" t="s">
        <v>5</v>
      </c>
      <c r="I50" s="6" t="s">
        <v>5</v>
      </c>
      <c r="J50" s="6" t="s">
        <v>5</v>
      </c>
      <c r="K50" s="6" t="s">
        <v>2</v>
      </c>
      <c r="L50" s="6" t="s">
        <v>2</v>
      </c>
      <c r="M50" s="6" t="s">
        <v>2</v>
      </c>
      <c r="N50" s="6" t="s">
        <v>5</v>
      </c>
      <c r="O50" s="6" t="s">
        <v>2</v>
      </c>
      <c r="P50" s="6" t="s">
        <v>2</v>
      </c>
      <c r="Q50" s="6" t="s">
        <v>2</v>
      </c>
      <c r="R50" s="6" t="s">
        <v>2</v>
      </c>
      <c r="S50" s="6" t="s">
        <v>5</v>
      </c>
      <c r="T50" s="6" t="s">
        <v>5</v>
      </c>
      <c r="U50" s="6" t="s">
        <v>5</v>
      </c>
      <c r="V50" s="6" t="s">
        <v>5</v>
      </c>
      <c r="W50" s="6" t="s">
        <v>3</v>
      </c>
      <c r="X50" s="6" t="s">
        <v>4</v>
      </c>
      <c r="Y50" s="6" t="s">
        <v>4</v>
      </c>
      <c r="Z50" s="6" t="s">
        <v>3</v>
      </c>
      <c r="AA50" s="6" t="s">
        <v>4</v>
      </c>
      <c r="AB50" s="6" t="s">
        <v>3</v>
      </c>
      <c r="AC50" s="6" t="s">
        <v>4</v>
      </c>
      <c r="AD50" s="6" t="s">
        <v>4</v>
      </c>
      <c r="AE50" s="6" t="s">
        <v>4</v>
      </c>
      <c r="AF50" s="6" t="s">
        <v>4</v>
      </c>
      <c r="AG50" s="6" t="s">
        <v>4</v>
      </c>
      <c r="AH50" s="6" t="s">
        <v>4</v>
      </c>
      <c r="AI50" s="6" t="s">
        <v>3</v>
      </c>
      <c r="AJ50" s="6" t="s">
        <v>4</v>
      </c>
      <c r="AK50" s="6" t="s">
        <v>4</v>
      </c>
      <c r="AL50" s="6" t="s">
        <v>4</v>
      </c>
      <c r="AM50" s="6" t="s">
        <v>3</v>
      </c>
    </row>
    <row r="51" spans="1:39" x14ac:dyDescent="0.3">
      <c r="A51" s="6">
        <f t="shared" si="0"/>
        <v>50</v>
      </c>
      <c r="B51" s="6" t="s">
        <v>466</v>
      </c>
      <c r="C51" s="6">
        <v>3</v>
      </c>
      <c r="D51" s="6" t="s">
        <v>5</v>
      </c>
      <c r="E51" s="6" t="s">
        <v>3</v>
      </c>
      <c r="F51" s="6" t="s">
        <v>3</v>
      </c>
      <c r="G51" s="6" t="s">
        <v>5</v>
      </c>
      <c r="H51" s="6" t="s">
        <v>5</v>
      </c>
      <c r="I51" s="6" t="s">
        <v>5</v>
      </c>
      <c r="J51" s="6" t="s">
        <v>5</v>
      </c>
      <c r="K51" s="6" t="s">
        <v>2</v>
      </c>
      <c r="L51" s="6" t="s">
        <v>3</v>
      </c>
      <c r="M51" s="6" t="s">
        <v>3</v>
      </c>
      <c r="N51" s="6" t="s">
        <v>4</v>
      </c>
      <c r="O51" s="6" t="s">
        <v>5</v>
      </c>
      <c r="P51" s="6" t="s">
        <v>2</v>
      </c>
      <c r="Q51" s="6" t="s">
        <v>3</v>
      </c>
      <c r="R51" s="6" t="s">
        <v>5</v>
      </c>
      <c r="S51" s="6" t="s">
        <v>5</v>
      </c>
      <c r="T51" s="6" t="s">
        <v>5</v>
      </c>
      <c r="U51" s="6" t="s">
        <v>5</v>
      </c>
      <c r="V51" s="6" t="s">
        <v>4</v>
      </c>
      <c r="W51" s="6" t="s">
        <v>4</v>
      </c>
      <c r="X51" s="6" t="s">
        <v>4</v>
      </c>
      <c r="Y51" s="6" t="s">
        <v>2</v>
      </c>
      <c r="Z51" s="6" t="s">
        <v>3</v>
      </c>
      <c r="AA51" s="6" t="s">
        <v>4</v>
      </c>
      <c r="AB51" s="6" t="s">
        <v>4</v>
      </c>
      <c r="AC51" s="6" t="s">
        <v>4</v>
      </c>
      <c r="AD51" s="6" t="s">
        <v>4</v>
      </c>
      <c r="AE51" s="6" t="s">
        <v>4</v>
      </c>
      <c r="AF51" s="6" t="s">
        <v>4</v>
      </c>
      <c r="AG51" s="6" t="s">
        <v>3</v>
      </c>
      <c r="AH51" s="6" t="s">
        <v>4</v>
      </c>
      <c r="AI51" s="6" t="s">
        <v>3</v>
      </c>
      <c r="AJ51" s="6" t="s">
        <v>4</v>
      </c>
      <c r="AK51" s="6" t="s">
        <v>4</v>
      </c>
      <c r="AL51" s="6" t="s">
        <v>4</v>
      </c>
      <c r="AM51" s="6" t="s">
        <v>4</v>
      </c>
    </row>
    <row r="52" spans="1:39" x14ac:dyDescent="0.3">
      <c r="A52" s="6">
        <f t="shared" si="0"/>
        <v>51</v>
      </c>
      <c r="B52" s="6" t="s">
        <v>493</v>
      </c>
      <c r="C52" s="6">
        <v>3</v>
      </c>
      <c r="D52" s="6" t="s">
        <v>2</v>
      </c>
      <c r="E52" s="6" t="s">
        <v>5</v>
      </c>
      <c r="F52" s="6" t="s">
        <v>3</v>
      </c>
      <c r="G52" s="6" t="s">
        <v>2</v>
      </c>
      <c r="H52" s="6" t="s">
        <v>5</v>
      </c>
      <c r="I52" s="6" t="s">
        <v>5</v>
      </c>
      <c r="J52" s="6" t="s">
        <v>5</v>
      </c>
      <c r="K52" s="6" t="s">
        <v>2</v>
      </c>
      <c r="L52" s="6" t="s">
        <v>3</v>
      </c>
      <c r="M52" s="6" t="s">
        <v>4</v>
      </c>
      <c r="N52" s="6" t="s">
        <v>4</v>
      </c>
      <c r="O52" s="6" t="s">
        <v>5</v>
      </c>
      <c r="P52" s="6" t="s">
        <v>5</v>
      </c>
      <c r="Q52" s="6" t="s">
        <v>4</v>
      </c>
      <c r="R52" s="6" t="s">
        <v>5</v>
      </c>
      <c r="S52" s="6" t="s">
        <v>5</v>
      </c>
      <c r="T52" s="6" t="s">
        <v>5</v>
      </c>
      <c r="U52" s="6" t="s">
        <v>5</v>
      </c>
      <c r="V52" s="6" t="s">
        <v>5</v>
      </c>
      <c r="W52" s="6" t="s">
        <v>4</v>
      </c>
      <c r="X52" s="6" t="s">
        <v>4</v>
      </c>
      <c r="Y52" s="6" t="s">
        <v>4</v>
      </c>
      <c r="Z52" s="6" t="s">
        <v>4</v>
      </c>
      <c r="AA52" s="6" t="s">
        <v>4</v>
      </c>
      <c r="AB52" s="6" t="s">
        <v>4</v>
      </c>
      <c r="AC52" s="6" t="s">
        <v>4</v>
      </c>
      <c r="AD52" s="6" t="s">
        <v>4</v>
      </c>
      <c r="AE52" s="6" t="s">
        <v>4</v>
      </c>
      <c r="AF52" s="6" t="s">
        <v>4</v>
      </c>
      <c r="AG52" s="6" t="s">
        <v>4</v>
      </c>
      <c r="AH52" s="6" t="s">
        <v>4</v>
      </c>
      <c r="AI52" s="6" t="s">
        <v>3</v>
      </c>
      <c r="AJ52" s="6" t="s">
        <v>4</v>
      </c>
      <c r="AK52" s="6" t="s">
        <v>4</v>
      </c>
      <c r="AL52" s="6" t="s">
        <v>3</v>
      </c>
      <c r="AM52" s="6" t="s">
        <v>4</v>
      </c>
    </row>
    <row r="53" spans="1:39" x14ac:dyDescent="0.3">
      <c r="A53" s="6">
        <f t="shared" si="0"/>
        <v>52</v>
      </c>
      <c r="B53" s="6" t="s">
        <v>319</v>
      </c>
      <c r="C53" s="6">
        <v>3</v>
      </c>
      <c r="D53" s="6" t="s">
        <v>2</v>
      </c>
      <c r="E53" s="6" t="s">
        <v>3</v>
      </c>
      <c r="F53" s="6" t="s">
        <v>3</v>
      </c>
      <c r="G53" s="6" t="s">
        <v>2</v>
      </c>
      <c r="H53" s="6" t="s">
        <v>5</v>
      </c>
      <c r="I53" s="6" t="s">
        <v>5</v>
      </c>
      <c r="J53" s="6" t="s">
        <v>5</v>
      </c>
      <c r="K53" s="6" t="s">
        <v>2</v>
      </c>
      <c r="L53" s="6" t="s">
        <v>3</v>
      </c>
      <c r="M53" s="6" t="s">
        <v>3</v>
      </c>
      <c r="N53" s="6" t="s">
        <v>3</v>
      </c>
      <c r="O53" s="6" t="s">
        <v>2</v>
      </c>
      <c r="P53" s="6" t="s">
        <v>5</v>
      </c>
      <c r="Q53" s="6" t="s">
        <v>3</v>
      </c>
      <c r="R53" s="6" t="s">
        <v>3</v>
      </c>
      <c r="S53" s="6" t="s">
        <v>5</v>
      </c>
      <c r="T53" s="6" t="s">
        <v>5</v>
      </c>
      <c r="U53" s="6" t="s">
        <v>5</v>
      </c>
      <c r="V53" s="6" t="s">
        <v>5</v>
      </c>
      <c r="W53" s="6" t="s">
        <v>4</v>
      </c>
      <c r="X53" s="6" t="s">
        <v>3</v>
      </c>
      <c r="Y53" s="6" t="s">
        <v>2</v>
      </c>
      <c r="Z53" s="6" t="s">
        <v>3</v>
      </c>
      <c r="AA53" s="6" t="s">
        <v>4</v>
      </c>
      <c r="AB53" s="6" t="s">
        <v>4</v>
      </c>
      <c r="AC53" s="6" t="s">
        <v>4</v>
      </c>
      <c r="AD53" s="6" t="s">
        <v>4</v>
      </c>
      <c r="AE53" s="6" t="s">
        <v>4</v>
      </c>
      <c r="AF53" s="6" t="s">
        <v>4</v>
      </c>
      <c r="AG53" s="6" t="s">
        <v>3</v>
      </c>
      <c r="AH53" s="6" t="s">
        <v>4</v>
      </c>
      <c r="AI53" s="6" t="s">
        <v>3</v>
      </c>
      <c r="AJ53" s="6" t="s">
        <v>4</v>
      </c>
      <c r="AK53" s="6" t="s">
        <v>4</v>
      </c>
      <c r="AL53" s="6" t="s">
        <v>3</v>
      </c>
      <c r="AM53" s="6" t="s">
        <v>3</v>
      </c>
    </row>
    <row r="54" spans="1:39" x14ac:dyDescent="0.3">
      <c r="A54" s="6">
        <f t="shared" si="0"/>
        <v>53</v>
      </c>
      <c r="B54" s="6" t="s">
        <v>501</v>
      </c>
      <c r="C54" s="6">
        <v>3</v>
      </c>
      <c r="D54" s="6" t="s">
        <v>2</v>
      </c>
      <c r="E54" s="6" t="s">
        <v>3</v>
      </c>
      <c r="F54" s="6" t="s">
        <v>3</v>
      </c>
      <c r="G54" s="6" t="s">
        <v>2</v>
      </c>
      <c r="H54" s="6" t="s">
        <v>5</v>
      </c>
      <c r="I54" s="6" t="s">
        <v>2</v>
      </c>
      <c r="J54" s="6" t="s">
        <v>5</v>
      </c>
      <c r="K54" s="6" t="s">
        <v>2</v>
      </c>
      <c r="L54" s="6" t="s">
        <v>3</v>
      </c>
      <c r="M54" s="6" t="s">
        <v>4</v>
      </c>
      <c r="N54" s="6" t="s">
        <v>4</v>
      </c>
      <c r="O54" s="6" t="s">
        <v>5</v>
      </c>
      <c r="P54" s="6" t="s">
        <v>5</v>
      </c>
      <c r="Q54" s="6" t="s">
        <v>4</v>
      </c>
      <c r="R54" s="6" t="s">
        <v>5</v>
      </c>
      <c r="S54" s="6" t="s">
        <v>5</v>
      </c>
      <c r="T54" s="6" t="s">
        <v>5</v>
      </c>
      <c r="U54" s="6" t="s">
        <v>5</v>
      </c>
      <c r="V54" s="6" t="s">
        <v>5</v>
      </c>
      <c r="W54" s="6" t="s">
        <v>4</v>
      </c>
      <c r="X54" s="6" t="s">
        <v>3</v>
      </c>
      <c r="Y54" s="6" t="s">
        <v>4</v>
      </c>
      <c r="Z54" s="6" t="s">
        <v>4</v>
      </c>
      <c r="AA54" s="6" t="s">
        <v>4</v>
      </c>
      <c r="AB54" s="6" t="s">
        <v>4</v>
      </c>
      <c r="AC54" s="6" t="s">
        <v>4</v>
      </c>
      <c r="AD54" s="6" t="s">
        <v>4</v>
      </c>
      <c r="AE54" s="6" t="s">
        <v>4</v>
      </c>
      <c r="AF54" s="6" t="s">
        <v>4</v>
      </c>
      <c r="AG54" s="6" t="s">
        <v>4</v>
      </c>
      <c r="AH54" s="6" t="s">
        <v>4</v>
      </c>
      <c r="AI54" s="6" t="s">
        <v>3</v>
      </c>
      <c r="AJ54" s="6" t="s">
        <v>4</v>
      </c>
      <c r="AK54" s="6" t="s">
        <v>4</v>
      </c>
      <c r="AL54" s="6" t="s">
        <v>3</v>
      </c>
      <c r="AM54" s="6" t="s">
        <v>4</v>
      </c>
    </row>
    <row r="55" spans="1:39" x14ac:dyDescent="0.3">
      <c r="A55" s="6">
        <f t="shared" si="0"/>
        <v>54</v>
      </c>
      <c r="B55" s="6" t="s">
        <v>320</v>
      </c>
      <c r="C55" s="6">
        <v>3</v>
      </c>
      <c r="D55" s="6" t="s">
        <v>2</v>
      </c>
      <c r="E55" s="6" t="s">
        <v>3</v>
      </c>
      <c r="F55" s="6" t="s">
        <v>3</v>
      </c>
      <c r="G55" s="6" t="s">
        <v>5</v>
      </c>
      <c r="H55" s="6" t="s">
        <v>5</v>
      </c>
      <c r="I55" s="6" t="s">
        <v>5</v>
      </c>
      <c r="J55" s="6" t="s">
        <v>2</v>
      </c>
      <c r="K55" s="6" t="s">
        <v>2</v>
      </c>
      <c r="L55" s="6" t="s">
        <v>3</v>
      </c>
      <c r="M55" s="6" t="s">
        <v>3</v>
      </c>
      <c r="N55" s="6" t="s">
        <v>4</v>
      </c>
      <c r="O55" s="6" t="s">
        <v>5</v>
      </c>
      <c r="P55" s="6" t="s">
        <v>2</v>
      </c>
      <c r="Q55" s="6" t="s">
        <v>3</v>
      </c>
      <c r="R55" s="6" t="s">
        <v>2</v>
      </c>
      <c r="S55" s="6" t="s">
        <v>5</v>
      </c>
      <c r="T55" s="6" t="s">
        <v>5</v>
      </c>
      <c r="U55" s="6" t="s">
        <v>5</v>
      </c>
      <c r="V55" s="6" t="s">
        <v>5</v>
      </c>
      <c r="W55" s="6" t="s">
        <v>4</v>
      </c>
      <c r="X55" s="6" t="s">
        <v>3</v>
      </c>
      <c r="Y55" s="6" t="s">
        <v>3</v>
      </c>
      <c r="Z55" s="6" t="s">
        <v>3</v>
      </c>
      <c r="AA55" s="6" t="s">
        <v>4</v>
      </c>
      <c r="AB55" s="6" t="s">
        <v>4</v>
      </c>
      <c r="AC55" s="6" t="s">
        <v>4</v>
      </c>
      <c r="AD55" s="6" t="s">
        <v>4</v>
      </c>
      <c r="AE55" s="6" t="s">
        <v>4</v>
      </c>
      <c r="AF55" s="6" t="s">
        <v>4</v>
      </c>
      <c r="AG55" s="6" t="s">
        <v>3</v>
      </c>
      <c r="AH55" s="6" t="s">
        <v>4</v>
      </c>
      <c r="AI55" s="6" t="s">
        <v>3</v>
      </c>
      <c r="AJ55" s="6" t="s">
        <v>4</v>
      </c>
      <c r="AK55" s="6" t="s">
        <v>4</v>
      </c>
      <c r="AL55" s="6" t="s">
        <v>3</v>
      </c>
      <c r="AM55" s="6" t="s">
        <v>3</v>
      </c>
    </row>
    <row r="56" spans="1:39" x14ac:dyDescent="0.3">
      <c r="A56" s="6">
        <f t="shared" si="0"/>
        <v>55</v>
      </c>
      <c r="B56" s="6" t="s">
        <v>467</v>
      </c>
      <c r="C56" s="6">
        <v>3</v>
      </c>
      <c r="D56" s="6" t="s">
        <v>2</v>
      </c>
      <c r="E56" s="6" t="s">
        <v>5</v>
      </c>
      <c r="F56" s="6" t="s">
        <v>3</v>
      </c>
      <c r="G56" s="6" t="s">
        <v>3</v>
      </c>
      <c r="H56" s="6" t="s">
        <v>5</v>
      </c>
      <c r="I56" s="6" t="s">
        <v>5</v>
      </c>
      <c r="J56" s="6" t="s">
        <v>2</v>
      </c>
      <c r="K56" s="6" t="s">
        <v>2</v>
      </c>
      <c r="L56" s="6" t="s">
        <v>3</v>
      </c>
      <c r="M56" s="6" t="s">
        <v>4</v>
      </c>
      <c r="N56" s="6" t="s">
        <v>4</v>
      </c>
      <c r="O56" s="6" t="s">
        <v>5</v>
      </c>
      <c r="P56" s="6" t="s">
        <v>3</v>
      </c>
      <c r="Q56" s="6" t="s">
        <v>3</v>
      </c>
      <c r="R56" s="6" t="s">
        <v>2</v>
      </c>
      <c r="S56" s="6" t="s">
        <v>5</v>
      </c>
      <c r="T56" s="6" t="s">
        <v>3</v>
      </c>
      <c r="U56" s="6" t="s">
        <v>2</v>
      </c>
      <c r="V56" s="6" t="s">
        <v>5</v>
      </c>
      <c r="W56" s="6" t="s">
        <v>4</v>
      </c>
      <c r="X56" s="6" t="s">
        <v>3</v>
      </c>
      <c r="Y56" s="6" t="s">
        <v>2</v>
      </c>
      <c r="Z56" s="6" t="s">
        <v>3</v>
      </c>
      <c r="AA56" s="6" t="s">
        <v>4</v>
      </c>
      <c r="AB56" s="6" t="s">
        <v>4</v>
      </c>
      <c r="AC56" s="6" t="s">
        <v>4</v>
      </c>
      <c r="AD56" s="6" t="s">
        <v>4</v>
      </c>
      <c r="AE56" s="6" t="s">
        <v>4</v>
      </c>
      <c r="AF56" s="6" t="s">
        <v>4</v>
      </c>
      <c r="AG56" s="6" t="s">
        <v>3</v>
      </c>
      <c r="AH56" s="6" t="s">
        <v>4</v>
      </c>
      <c r="AI56" s="6" t="s">
        <v>3</v>
      </c>
      <c r="AJ56" s="6" t="s">
        <v>4</v>
      </c>
      <c r="AK56" s="6" t="s">
        <v>4</v>
      </c>
      <c r="AL56" s="6" t="s">
        <v>4</v>
      </c>
      <c r="AM56" s="6" t="s">
        <v>3</v>
      </c>
    </row>
    <row r="57" spans="1:39" x14ac:dyDescent="0.3">
      <c r="A57" s="6">
        <f t="shared" si="0"/>
        <v>56</v>
      </c>
      <c r="B57" s="6" t="s">
        <v>468</v>
      </c>
      <c r="C57" s="6">
        <v>3</v>
      </c>
      <c r="D57" s="6" t="s">
        <v>4</v>
      </c>
      <c r="E57" s="6" t="s">
        <v>3</v>
      </c>
      <c r="F57" s="6" t="s">
        <v>5</v>
      </c>
      <c r="G57" s="6" t="s">
        <v>5</v>
      </c>
      <c r="H57" s="6" t="s">
        <v>5</v>
      </c>
      <c r="I57" s="6" t="s">
        <v>5</v>
      </c>
      <c r="J57" s="6" t="s">
        <v>5</v>
      </c>
      <c r="K57" s="6" t="s">
        <v>2</v>
      </c>
      <c r="L57" s="6" t="s">
        <v>3</v>
      </c>
      <c r="M57" s="6" t="s">
        <v>3</v>
      </c>
      <c r="N57" s="6" t="s">
        <v>2</v>
      </c>
      <c r="O57" s="6" t="s">
        <v>2</v>
      </c>
      <c r="P57" s="6" t="s">
        <v>5</v>
      </c>
      <c r="Q57" s="6" t="s">
        <v>3</v>
      </c>
      <c r="R57" s="6" t="s">
        <v>2</v>
      </c>
      <c r="S57" s="6" t="s">
        <v>2</v>
      </c>
      <c r="T57" s="6" t="s">
        <v>5</v>
      </c>
      <c r="U57" s="6" t="s">
        <v>5</v>
      </c>
      <c r="V57" s="6" t="s">
        <v>5</v>
      </c>
      <c r="W57" s="6" t="s">
        <v>3</v>
      </c>
      <c r="X57" s="6" t="s">
        <v>5</v>
      </c>
      <c r="Y57" s="6" t="s">
        <v>5</v>
      </c>
      <c r="Z57" s="6" t="s">
        <v>4</v>
      </c>
      <c r="AA57" s="6" t="s">
        <v>4</v>
      </c>
      <c r="AB57" s="6" t="s">
        <v>4</v>
      </c>
      <c r="AC57" s="6" t="s">
        <v>4</v>
      </c>
      <c r="AD57" s="6" t="s">
        <v>4</v>
      </c>
      <c r="AE57" s="6" t="s">
        <v>4</v>
      </c>
      <c r="AF57" s="6" t="s">
        <v>4</v>
      </c>
      <c r="AG57" s="6" t="s">
        <v>3</v>
      </c>
      <c r="AH57" s="6" t="s">
        <v>4</v>
      </c>
      <c r="AI57" s="6" t="s">
        <v>3</v>
      </c>
      <c r="AJ57" s="6" t="s">
        <v>4</v>
      </c>
      <c r="AK57" s="6" t="s">
        <v>4</v>
      </c>
      <c r="AL57" s="6" t="s">
        <v>3</v>
      </c>
      <c r="AM57" s="6" t="s">
        <v>3</v>
      </c>
    </row>
    <row r="58" spans="1:39" x14ac:dyDescent="0.3">
      <c r="A58" s="6">
        <f t="shared" si="0"/>
        <v>57</v>
      </c>
      <c r="B58" s="6" t="s">
        <v>492</v>
      </c>
      <c r="C58" s="6">
        <v>3</v>
      </c>
      <c r="D58" s="6" t="s">
        <v>5</v>
      </c>
      <c r="E58" s="6" t="s">
        <v>4</v>
      </c>
      <c r="F58" s="6" t="s">
        <v>4</v>
      </c>
      <c r="G58" s="6" t="s">
        <v>5</v>
      </c>
      <c r="H58" s="6" t="s">
        <v>5</v>
      </c>
      <c r="I58" s="6" t="s">
        <v>5</v>
      </c>
      <c r="J58" s="6" t="s">
        <v>5</v>
      </c>
      <c r="K58" s="6" t="s">
        <v>2</v>
      </c>
      <c r="L58" s="6" t="s">
        <v>2</v>
      </c>
      <c r="M58" s="6" t="s">
        <v>3</v>
      </c>
      <c r="N58" s="6" t="s">
        <v>4</v>
      </c>
      <c r="O58" s="6" t="s">
        <v>2</v>
      </c>
      <c r="P58" s="6" t="s">
        <v>2</v>
      </c>
      <c r="Q58" s="6" t="s">
        <v>2</v>
      </c>
      <c r="R58" s="6" t="s">
        <v>5</v>
      </c>
      <c r="S58" s="6" t="s">
        <v>5</v>
      </c>
      <c r="T58" s="6" t="s">
        <v>3</v>
      </c>
      <c r="U58" s="6" t="s">
        <v>3</v>
      </c>
      <c r="V58" s="6" t="s">
        <v>2</v>
      </c>
      <c r="W58" s="6" t="s">
        <v>4</v>
      </c>
      <c r="X58" s="6" t="s">
        <v>5</v>
      </c>
      <c r="Y58" s="6" t="s">
        <v>3</v>
      </c>
      <c r="Z58" s="6" t="s">
        <v>3</v>
      </c>
      <c r="AA58" s="6" t="s">
        <v>3</v>
      </c>
      <c r="AB58" s="6" t="s">
        <v>3</v>
      </c>
      <c r="AC58" s="6" t="s">
        <v>4</v>
      </c>
      <c r="AD58" s="6" t="s">
        <v>4</v>
      </c>
      <c r="AE58" s="6" t="s">
        <v>4</v>
      </c>
      <c r="AF58" s="6" t="s">
        <v>4</v>
      </c>
      <c r="AG58" s="6" t="s">
        <v>3</v>
      </c>
      <c r="AH58" s="6" t="s">
        <v>4</v>
      </c>
      <c r="AI58" s="6" t="s">
        <v>4</v>
      </c>
      <c r="AJ58" s="6" t="s">
        <v>4</v>
      </c>
      <c r="AK58" s="6" t="s">
        <v>4</v>
      </c>
      <c r="AL58" s="6" t="s">
        <v>4</v>
      </c>
      <c r="AM58" s="6" t="s">
        <v>3</v>
      </c>
    </row>
    <row r="59" spans="1:39" x14ac:dyDescent="0.3">
      <c r="A59" s="6">
        <f t="shared" si="0"/>
        <v>58</v>
      </c>
      <c r="B59" s="6" t="s">
        <v>23</v>
      </c>
      <c r="C59" s="6">
        <v>4</v>
      </c>
      <c r="D59" s="6" t="s">
        <v>3</v>
      </c>
      <c r="E59" s="6" t="s">
        <v>3</v>
      </c>
      <c r="F59" s="6" t="s">
        <v>4</v>
      </c>
      <c r="G59" s="6" t="s">
        <v>2</v>
      </c>
      <c r="H59" s="6" t="s">
        <v>5</v>
      </c>
      <c r="I59" s="6" t="s">
        <v>5</v>
      </c>
      <c r="J59" s="6" t="s">
        <v>5</v>
      </c>
      <c r="K59" s="6" t="s">
        <v>2</v>
      </c>
      <c r="L59" s="6" t="s">
        <v>2</v>
      </c>
      <c r="M59" s="6" t="s">
        <v>2</v>
      </c>
      <c r="N59" s="6" t="s">
        <v>5</v>
      </c>
      <c r="O59" s="6" t="s">
        <v>2</v>
      </c>
      <c r="P59" s="6" t="s">
        <v>5</v>
      </c>
      <c r="Q59" s="6" t="s">
        <v>3</v>
      </c>
      <c r="R59" s="6" t="s">
        <v>3</v>
      </c>
      <c r="S59" s="6" t="s">
        <v>5</v>
      </c>
      <c r="T59" s="6" t="s">
        <v>5</v>
      </c>
      <c r="U59" s="6" t="s">
        <v>5</v>
      </c>
      <c r="V59" s="6" t="s">
        <v>5</v>
      </c>
      <c r="W59" s="6" t="s">
        <v>4</v>
      </c>
      <c r="X59" s="6" t="s">
        <v>4</v>
      </c>
      <c r="Y59" s="6" t="s">
        <v>2</v>
      </c>
      <c r="Z59" s="6" t="s">
        <v>3</v>
      </c>
      <c r="AA59" s="6" t="s">
        <v>4</v>
      </c>
      <c r="AB59" s="6" t="s">
        <v>4</v>
      </c>
      <c r="AC59" s="6" t="s">
        <v>4</v>
      </c>
      <c r="AD59" s="6" t="s">
        <v>4</v>
      </c>
      <c r="AE59" s="6" t="s">
        <v>4</v>
      </c>
      <c r="AF59" s="6" t="s">
        <v>4</v>
      </c>
      <c r="AG59" s="6" t="s">
        <v>3</v>
      </c>
      <c r="AH59" s="6" t="s">
        <v>4</v>
      </c>
      <c r="AI59" s="6" t="s">
        <v>3</v>
      </c>
      <c r="AJ59" s="6" t="s">
        <v>3</v>
      </c>
      <c r="AK59" s="6" t="s">
        <v>4</v>
      </c>
      <c r="AL59" s="6" t="s">
        <v>3</v>
      </c>
      <c r="AM59" s="6" t="s">
        <v>3</v>
      </c>
    </row>
    <row r="60" spans="1:39" x14ac:dyDescent="0.3">
      <c r="A60" s="6">
        <f t="shared" si="0"/>
        <v>59</v>
      </c>
      <c r="B60" s="6" t="s">
        <v>24</v>
      </c>
      <c r="C60" s="6">
        <v>4</v>
      </c>
      <c r="D60" s="6" t="s">
        <v>5</v>
      </c>
      <c r="E60" s="6" t="s">
        <v>3</v>
      </c>
      <c r="F60" s="6" t="s">
        <v>3</v>
      </c>
      <c r="G60" s="6" t="s">
        <v>5</v>
      </c>
      <c r="H60" s="6" t="s">
        <v>5</v>
      </c>
      <c r="I60" s="6" t="s">
        <v>5</v>
      </c>
      <c r="J60" s="6" t="s">
        <v>5</v>
      </c>
      <c r="K60" s="6" t="s">
        <v>2</v>
      </c>
      <c r="L60" s="6" t="s">
        <v>2</v>
      </c>
      <c r="M60" s="6" t="s">
        <v>5</v>
      </c>
      <c r="N60" s="6" t="s">
        <v>3</v>
      </c>
      <c r="O60" s="6" t="s">
        <v>4</v>
      </c>
      <c r="P60" s="6" t="s">
        <v>5</v>
      </c>
      <c r="Q60" s="6" t="s">
        <v>3</v>
      </c>
      <c r="R60" s="6" t="s">
        <v>5</v>
      </c>
      <c r="S60" s="6" t="s">
        <v>5</v>
      </c>
      <c r="T60" s="6" t="s">
        <v>5</v>
      </c>
      <c r="U60" s="6" t="s">
        <v>5</v>
      </c>
      <c r="V60" s="6" t="s">
        <v>5</v>
      </c>
      <c r="W60" s="6" t="s">
        <v>4</v>
      </c>
      <c r="X60" s="6" t="s">
        <v>4</v>
      </c>
      <c r="Y60" s="6" t="s">
        <v>4</v>
      </c>
      <c r="Z60" s="6" t="s">
        <v>3</v>
      </c>
      <c r="AA60" s="6" t="s">
        <v>4</v>
      </c>
      <c r="AB60" s="6" t="s">
        <v>4</v>
      </c>
      <c r="AC60" s="6" t="s">
        <v>4</v>
      </c>
      <c r="AD60" s="6" t="s">
        <v>4</v>
      </c>
      <c r="AE60" s="6" t="s">
        <v>4</v>
      </c>
      <c r="AF60" s="6" t="s">
        <v>4</v>
      </c>
      <c r="AG60" s="6" t="s">
        <v>3</v>
      </c>
      <c r="AH60" s="6" t="s">
        <v>4</v>
      </c>
      <c r="AI60" s="6" t="s">
        <v>3</v>
      </c>
      <c r="AJ60" s="6" t="s">
        <v>4</v>
      </c>
      <c r="AK60" s="6" t="s">
        <v>4</v>
      </c>
      <c r="AL60" s="6" t="s">
        <v>4</v>
      </c>
      <c r="AM60" s="6" t="s">
        <v>3</v>
      </c>
    </row>
    <row r="61" spans="1:39" x14ac:dyDescent="0.3">
      <c r="A61" s="6">
        <f t="shared" si="0"/>
        <v>60</v>
      </c>
      <c r="B61" s="6" t="s">
        <v>25</v>
      </c>
      <c r="C61" s="6">
        <v>4</v>
      </c>
      <c r="D61" s="6" t="s">
        <v>5</v>
      </c>
      <c r="E61" s="6" t="s">
        <v>5</v>
      </c>
      <c r="F61" s="6" t="s">
        <v>5</v>
      </c>
      <c r="G61" s="6" t="s">
        <v>5</v>
      </c>
      <c r="H61" s="6" t="s">
        <v>5</v>
      </c>
      <c r="I61" s="6" t="s">
        <v>5</v>
      </c>
      <c r="J61" s="6" t="s">
        <v>5</v>
      </c>
      <c r="K61" s="6" t="s">
        <v>2</v>
      </c>
      <c r="L61" s="6" t="s">
        <v>5</v>
      </c>
      <c r="M61" s="6" t="s">
        <v>5</v>
      </c>
      <c r="N61" s="6" t="s">
        <v>3</v>
      </c>
      <c r="O61" s="6" t="s">
        <v>5</v>
      </c>
      <c r="P61" s="6" t="s">
        <v>5</v>
      </c>
      <c r="Q61" s="6" t="s">
        <v>2</v>
      </c>
      <c r="R61" s="6" t="s">
        <v>2</v>
      </c>
      <c r="S61" s="6" t="s">
        <v>5</v>
      </c>
      <c r="T61" s="6" t="s">
        <v>5</v>
      </c>
      <c r="U61" s="6" t="s">
        <v>5</v>
      </c>
      <c r="V61" s="6" t="s">
        <v>5</v>
      </c>
      <c r="W61" s="6" t="s">
        <v>4</v>
      </c>
      <c r="X61" s="6" t="s">
        <v>3</v>
      </c>
      <c r="Y61" s="6" t="s">
        <v>2</v>
      </c>
      <c r="Z61" s="6" t="s">
        <v>3</v>
      </c>
      <c r="AA61" s="6" t="s">
        <v>4</v>
      </c>
      <c r="AB61" s="6" t="s">
        <v>4</v>
      </c>
      <c r="AC61" s="6" t="s">
        <v>4</v>
      </c>
      <c r="AD61" s="6" t="s">
        <v>4</v>
      </c>
      <c r="AE61" s="6" t="s">
        <v>4</v>
      </c>
      <c r="AF61" s="6" t="s">
        <v>4</v>
      </c>
      <c r="AG61" s="6" t="s">
        <v>3</v>
      </c>
      <c r="AH61" s="6" t="s">
        <v>4</v>
      </c>
      <c r="AI61" s="6" t="s">
        <v>3</v>
      </c>
      <c r="AJ61" s="6" t="s">
        <v>4</v>
      </c>
      <c r="AK61" s="6" t="s">
        <v>4</v>
      </c>
      <c r="AL61" s="6" t="s">
        <v>3</v>
      </c>
      <c r="AM61" s="6" t="s">
        <v>3</v>
      </c>
    </row>
    <row r="62" spans="1:39" x14ac:dyDescent="0.3">
      <c r="A62" s="6">
        <f t="shared" si="0"/>
        <v>61</v>
      </c>
      <c r="B62" s="6" t="s">
        <v>26</v>
      </c>
      <c r="C62" s="6">
        <v>4</v>
      </c>
      <c r="D62" s="6" t="s">
        <v>3</v>
      </c>
      <c r="E62" s="6" t="s">
        <v>3</v>
      </c>
      <c r="F62" s="6" t="s">
        <v>3</v>
      </c>
      <c r="G62" s="6" t="s">
        <v>5</v>
      </c>
      <c r="H62" s="6" t="s">
        <v>5</v>
      </c>
      <c r="I62" s="6" t="s">
        <v>5</v>
      </c>
      <c r="J62" s="6" t="s">
        <v>5</v>
      </c>
      <c r="K62" s="6" t="s">
        <v>2</v>
      </c>
      <c r="L62" s="6" t="s">
        <v>2</v>
      </c>
      <c r="M62" s="6" t="s">
        <v>4</v>
      </c>
      <c r="N62" s="6" t="s">
        <v>4</v>
      </c>
      <c r="O62" s="6" t="s">
        <v>5</v>
      </c>
      <c r="P62" s="6" t="s">
        <v>5</v>
      </c>
      <c r="Q62" s="6" t="s">
        <v>3</v>
      </c>
      <c r="R62" s="6" t="s">
        <v>2</v>
      </c>
      <c r="S62" s="6" t="s">
        <v>5</v>
      </c>
      <c r="T62" s="6" t="s">
        <v>5</v>
      </c>
      <c r="U62" s="6" t="s">
        <v>5</v>
      </c>
      <c r="V62" s="6" t="s">
        <v>4</v>
      </c>
      <c r="W62" s="6" t="s">
        <v>4</v>
      </c>
      <c r="X62" s="6" t="s">
        <v>3</v>
      </c>
      <c r="Y62" s="6" t="s">
        <v>4</v>
      </c>
      <c r="Z62" s="6" t="s">
        <v>3</v>
      </c>
      <c r="AA62" s="6" t="s">
        <v>4</v>
      </c>
      <c r="AB62" s="6" t="s">
        <v>4</v>
      </c>
      <c r="AC62" s="6" t="s">
        <v>4</v>
      </c>
      <c r="AD62" s="6" t="s">
        <v>4</v>
      </c>
      <c r="AE62" s="6" t="s">
        <v>4</v>
      </c>
      <c r="AF62" s="6" t="s">
        <v>3</v>
      </c>
      <c r="AG62" s="6" t="s">
        <v>3</v>
      </c>
      <c r="AH62" s="6" t="s">
        <v>4</v>
      </c>
      <c r="AI62" s="6" t="s">
        <v>3</v>
      </c>
      <c r="AJ62" s="6" t="s">
        <v>4</v>
      </c>
      <c r="AK62" s="6" t="s">
        <v>4</v>
      </c>
      <c r="AL62" s="6" t="s">
        <v>4</v>
      </c>
      <c r="AM62" s="6" t="s">
        <v>3</v>
      </c>
    </row>
    <row r="63" spans="1:39" x14ac:dyDescent="0.3">
      <c r="A63" s="6">
        <f t="shared" si="0"/>
        <v>62</v>
      </c>
      <c r="B63" s="6" t="s">
        <v>27</v>
      </c>
      <c r="C63" s="6">
        <v>4</v>
      </c>
      <c r="D63" s="6" t="s">
        <v>5</v>
      </c>
      <c r="E63" s="6" t="s">
        <v>3</v>
      </c>
      <c r="F63" s="6" t="s">
        <v>4</v>
      </c>
      <c r="G63" s="6" t="s">
        <v>3</v>
      </c>
      <c r="H63" s="6" t="s">
        <v>5</v>
      </c>
      <c r="I63" s="6" t="s">
        <v>5</v>
      </c>
      <c r="J63" s="6" t="s">
        <v>5</v>
      </c>
      <c r="K63" s="6" t="s">
        <v>2</v>
      </c>
      <c r="L63" s="6" t="s">
        <v>3</v>
      </c>
      <c r="M63" s="6" t="s">
        <v>3</v>
      </c>
      <c r="N63" s="6" t="s">
        <v>4</v>
      </c>
      <c r="O63" s="6" t="s">
        <v>5</v>
      </c>
      <c r="P63" s="6" t="s">
        <v>4</v>
      </c>
      <c r="Q63" s="6" t="s">
        <v>2</v>
      </c>
      <c r="R63" s="6" t="s">
        <v>5</v>
      </c>
      <c r="S63" s="6" t="s">
        <v>5</v>
      </c>
      <c r="T63" s="6" t="s">
        <v>5</v>
      </c>
      <c r="U63" s="6" t="s">
        <v>5</v>
      </c>
      <c r="V63" s="6" t="s">
        <v>4</v>
      </c>
      <c r="W63" s="6" t="s">
        <v>4</v>
      </c>
      <c r="X63" s="6" t="s">
        <v>4</v>
      </c>
      <c r="Y63" s="6" t="s">
        <v>2</v>
      </c>
      <c r="Z63" s="6" t="s">
        <v>3</v>
      </c>
      <c r="AA63" s="6" t="s">
        <v>4</v>
      </c>
      <c r="AB63" s="6" t="s">
        <v>4</v>
      </c>
      <c r="AC63" s="6" t="s">
        <v>4</v>
      </c>
      <c r="AD63" s="6" t="s">
        <v>4</v>
      </c>
      <c r="AE63" s="6" t="s">
        <v>4</v>
      </c>
      <c r="AF63" s="6" t="s">
        <v>4</v>
      </c>
      <c r="AG63" s="6" t="s">
        <v>4</v>
      </c>
      <c r="AH63" s="6" t="s">
        <v>4</v>
      </c>
      <c r="AI63" s="6" t="s">
        <v>3</v>
      </c>
      <c r="AJ63" s="6" t="s">
        <v>4</v>
      </c>
      <c r="AK63" s="6" t="s">
        <v>4</v>
      </c>
      <c r="AL63" s="6" t="s">
        <v>4</v>
      </c>
      <c r="AM63" s="6" t="s">
        <v>3</v>
      </c>
    </row>
    <row r="64" spans="1:39" x14ac:dyDescent="0.3">
      <c r="A64" s="6">
        <f t="shared" si="0"/>
        <v>63</v>
      </c>
      <c r="B64" s="6" t="s">
        <v>28</v>
      </c>
      <c r="C64" s="6">
        <v>4</v>
      </c>
      <c r="D64" s="6" t="s">
        <v>5</v>
      </c>
      <c r="E64" s="6" t="s">
        <v>3</v>
      </c>
      <c r="F64" s="6" t="s">
        <v>2</v>
      </c>
      <c r="G64" s="6" t="s">
        <v>5</v>
      </c>
      <c r="H64" s="6" t="s">
        <v>5</v>
      </c>
      <c r="I64" s="6" t="s">
        <v>5</v>
      </c>
      <c r="J64" s="6" t="s">
        <v>2</v>
      </c>
      <c r="K64" s="6" t="s">
        <v>2</v>
      </c>
      <c r="L64" s="6" t="s">
        <v>3</v>
      </c>
      <c r="M64" s="6" t="s">
        <v>3</v>
      </c>
      <c r="N64" s="6" t="s">
        <v>3</v>
      </c>
      <c r="O64" s="6" t="s">
        <v>3</v>
      </c>
      <c r="P64" s="6" t="s">
        <v>2</v>
      </c>
      <c r="Q64" s="6" t="s">
        <v>2</v>
      </c>
      <c r="R64" s="6" t="s">
        <v>2</v>
      </c>
      <c r="S64" s="6" t="s">
        <v>5</v>
      </c>
      <c r="T64" s="6" t="s">
        <v>2</v>
      </c>
      <c r="U64" s="6" t="s">
        <v>2</v>
      </c>
      <c r="V64" s="6" t="s">
        <v>5</v>
      </c>
      <c r="W64" s="6" t="s">
        <v>3</v>
      </c>
      <c r="X64" s="6" t="s">
        <v>2</v>
      </c>
      <c r="Y64" s="6" t="s">
        <v>2</v>
      </c>
      <c r="Z64" s="6" t="s">
        <v>3</v>
      </c>
      <c r="AA64" s="6" t="s">
        <v>4</v>
      </c>
      <c r="AB64" s="6" t="s">
        <v>4</v>
      </c>
      <c r="AC64" s="6" t="s">
        <v>4</v>
      </c>
      <c r="AD64" s="6" t="s">
        <v>4</v>
      </c>
      <c r="AE64" s="6" t="s">
        <v>4</v>
      </c>
      <c r="AF64" s="6" t="s">
        <v>4</v>
      </c>
      <c r="AG64" s="6" t="s">
        <v>3</v>
      </c>
      <c r="AH64" s="6" t="s">
        <v>4</v>
      </c>
      <c r="AI64" s="6" t="s">
        <v>3</v>
      </c>
      <c r="AJ64" s="6" t="s">
        <v>4</v>
      </c>
      <c r="AK64" s="6" t="s">
        <v>4</v>
      </c>
      <c r="AL64" s="6" t="s">
        <v>4</v>
      </c>
      <c r="AM64" s="6" t="s">
        <v>3</v>
      </c>
    </row>
    <row r="65" spans="1:39" x14ac:dyDescent="0.3">
      <c r="A65" s="6">
        <f t="shared" si="0"/>
        <v>64</v>
      </c>
      <c r="B65" s="6" t="s">
        <v>267</v>
      </c>
      <c r="C65" s="6">
        <v>4</v>
      </c>
      <c r="D65" s="6" t="s">
        <v>5</v>
      </c>
      <c r="E65" s="6" t="s">
        <v>3</v>
      </c>
      <c r="F65" s="6" t="s">
        <v>3</v>
      </c>
      <c r="G65" s="6" t="s">
        <v>2</v>
      </c>
      <c r="H65" s="6" t="s">
        <v>5</v>
      </c>
      <c r="I65" s="6" t="s">
        <v>5</v>
      </c>
      <c r="J65" s="6" t="s">
        <v>5</v>
      </c>
      <c r="K65" s="6" t="s">
        <v>2</v>
      </c>
      <c r="L65" s="6" t="s">
        <v>2</v>
      </c>
      <c r="M65" s="6" t="s">
        <v>2</v>
      </c>
      <c r="N65" s="6" t="s">
        <v>3</v>
      </c>
      <c r="O65" s="6" t="s">
        <v>5</v>
      </c>
      <c r="P65" s="6" t="s">
        <v>5</v>
      </c>
      <c r="Q65" s="6" t="s">
        <v>2</v>
      </c>
      <c r="R65" s="6" t="s">
        <v>2</v>
      </c>
      <c r="S65" s="6" t="s">
        <v>5</v>
      </c>
      <c r="T65" s="6" t="s">
        <v>5</v>
      </c>
      <c r="U65" s="6" t="s">
        <v>5</v>
      </c>
      <c r="V65" s="6" t="s">
        <v>5</v>
      </c>
      <c r="W65" s="6" t="s">
        <v>3</v>
      </c>
      <c r="X65" s="6" t="s">
        <v>3</v>
      </c>
      <c r="Y65" s="6" t="s">
        <v>2</v>
      </c>
      <c r="Z65" s="6" t="s">
        <v>3</v>
      </c>
      <c r="AA65" s="6" t="s">
        <v>4</v>
      </c>
      <c r="AB65" s="6" t="s">
        <v>4</v>
      </c>
      <c r="AC65" s="6" t="s">
        <v>4</v>
      </c>
      <c r="AD65" s="6" t="s">
        <v>4</v>
      </c>
      <c r="AE65" s="6" t="s">
        <v>4</v>
      </c>
      <c r="AF65" s="6" t="s">
        <v>3</v>
      </c>
      <c r="AG65" s="6" t="s">
        <v>3</v>
      </c>
      <c r="AH65" s="6" t="s">
        <v>4</v>
      </c>
      <c r="AI65" s="6" t="s">
        <v>3</v>
      </c>
      <c r="AJ65" s="6" t="s">
        <v>4</v>
      </c>
      <c r="AK65" s="6" t="s">
        <v>4</v>
      </c>
      <c r="AL65" s="6" t="s">
        <v>3</v>
      </c>
      <c r="AM65" s="6" t="s">
        <v>3</v>
      </c>
    </row>
    <row r="66" spans="1:39" x14ac:dyDescent="0.3">
      <c r="A66" s="6">
        <f t="shared" si="0"/>
        <v>65</v>
      </c>
      <c r="B66" s="6" t="s">
        <v>268</v>
      </c>
      <c r="C66" s="6">
        <v>4</v>
      </c>
      <c r="D66" s="6" t="s">
        <v>2</v>
      </c>
      <c r="E66" s="6" t="s">
        <v>3</v>
      </c>
      <c r="F66" s="6" t="s">
        <v>3</v>
      </c>
      <c r="G66" s="6" t="s">
        <v>5</v>
      </c>
      <c r="H66" s="6" t="s">
        <v>5</v>
      </c>
      <c r="I66" s="6" t="s">
        <v>5</v>
      </c>
      <c r="J66" s="6" t="s">
        <v>5</v>
      </c>
      <c r="K66" s="6" t="s">
        <v>2</v>
      </c>
      <c r="L66" s="6" t="s">
        <v>2</v>
      </c>
      <c r="M66" s="6" t="s">
        <v>4</v>
      </c>
      <c r="N66" s="6" t="s">
        <v>4</v>
      </c>
      <c r="O66" s="6" t="s">
        <v>4</v>
      </c>
      <c r="P66" s="6" t="s">
        <v>5</v>
      </c>
      <c r="Q66" s="6" t="s">
        <v>3</v>
      </c>
      <c r="R66" s="6" t="s">
        <v>4</v>
      </c>
      <c r="S66" s="6" t="s">
        <v>5</v>
      </c>
      <c r="T66" s="6" t="s">
        <v>5</v>
      </c>
      <c r="U66" s="6" t="s">
        <v>5</v>
      </c>
      <c r="V66" s="6" t="s">
        <v>4</v>
      </c>
      <c r="W66" s="6" t="s">
        <v>4</v>
      </c>
      <c r="X66" s="6" t="s">
        <v>3</v>
      </c>
      <c r="Y66" s="6" t="s">
        <v>2</v>
      </c>
      <c r="Z66" s="6" t="s">
        <v>3</v>
      </c>
      <c r="AA66" s="6" t="s">
        <v>4</v>
      </c>
      <c r="AB66" s="6" t="s">
        <v>4</v>
      </c>
      <c r="AC66" s="6" t="s">
        <v>4</v>
      </c>
      <c r="AD66" s="6" t="s">
        <v>3</v>
      </c>
      <c r="AE66" s="6" t="s">
        <v>4</v>
      </c>
      <c r="AF66" s="6" t="s">
        <v>4</v>
      </c>
      <c r="AG66" s="6" t="s">
        <v>3</v>
      </c>
      <c r="AH66" s="6" t="s">
        <v>4</v>
      </c>
      <c r="AI66" s="6" t="s">
        <v>3</v>
      </c>
      <c r="AJ66" s="6" t="s">
        <v>3</v>
      </c>
      <c r="AK66" s="6" t="s">
        <v>4</v>
      </c>
      <c r="AL66" s="6" t="s">
        <v>4</v>
      </c>
      <c r="AM66" s="6" t="s">
        <v>3</v>
      </c>
    </row>
    <row r="67" spans="1:39" x14ac:dyDescent="0.3">
      <c r="A67" s="6">
        <f t="shared" si="0"/>
        <v>66</v>
      </c>
      <c r="B67" s="6" t="s">
        <v>269</v>
      </c>
      <c r="C67" s="6">
        <v>4</v>
      </c>
      <c r="D67" s="6" t="s">
        <v>3</v>
      </c>
      <c r="E67" s="6" t="s">
        <v>3</v>
      </c>
      <c r="F67" s="6" t="s">
        <v>4</v>
      </c>
      <c r="G67" s="6" t="s">
        <v>2</v>
      </c>
      <c r="H67" s="6" t="s">
        <v>5</v>
      </c>
      <c r="I67" s="6" t="s">
        <v>5</v>
      </c>
      <c r="J67" s="6" t="s">
        <v>5</v>
      </c>
      <c r="K67" s="6" t="s">
        <v>2</v>
      </c>
      <c r="L67" s="6" t="s">
        <v>2</v>
      </c>
      <c r="M67" s="6" t="s">
        <v>2</v>
      </c>
      <c r="N67" s="6" t="s">
        <v>5</v>
      </c>
      <c r="O67" s="6" t="s">
        <v>2</v>
      </c>
      <c r="P67" s="6" t="s">
        <v>5</v>
      </c>
      <c r="Q67" s="6" t="s">
        <v>3</v>
      </c>
      <c r="R67" s="6" t="s">
        <v>3</v>
      </c>
      <c r="S67" s="6" t="s">
        <v>5</v>
      </c>
      <c r="T67" s="6" t="s">
        <v>5</v>
      </c>
      <c r="U67" s="6" t="s">
        <v>5</v>
      </c>
      <c r="V67" s="6" t="s">
        <v>5</v>
      </c>
      <c r="W67" s="6" t="s">
        <v>4</v>
      </c>
      <c r="X67" s="6" t="s">
        <v>4</v>
      </c>
      <c r="Y67" s="6" t="s">
        <v>2</v>
      </c>
      <c r="Z67" s="6" t="s">
        <v>3</v>
      </c>
      <c r="AA67" s="6" t="s">
        <v>4</v>
      </c>
      <c r="AB67" s="6" t="s">
        <v>4</v>
      </c>
      <c r="AC67" s="6" t="s">
        <v>4</v>
      </c>
      <c r="AD67" s="6" t="s">
        <v>3</v>
      </c>
      <c r="AE67" s="6" t="s">
        <v>4</v>
      </c>
      <c r="AF67" s="6" t="s">
        <v>4</v>
      </c>
      <c r="AG67" s="6" t="s">
        <v>3</v>
      </c>
      <c r="AH67" s="6" t="s">
        <v>4</v>
      </c>
      <c r="AI67" s="6" t="s">
        <v>3</v>
      </c>
      <c r="AJ67" s="6" t="s">
        <v>3</v>
      </c>
      <c r="AK67" s="6" t="s">
        <v>4</v>
      </c>
      <c r="AL67" s="6" t="s">
        <v>3</v>
      </c>
      <c r="AM67" s="6" t="s">
        <v>3</v>
      </c>
    </row>
    <row r="68" spans="1:39" x14ac:dyDescent="0.3">
      <c r="A68" s="6">
        <f t="shared" si="0"/>
        <v>67</v>
      </c>
      <c r="B68" s="6" t="s">
        <v>270</v>
      </c>
      <c r="C68" s="6">
        <v>4</v>
      </c>
      <c r="D68" s="6" t="s">
        <v>5</v>
      </c>
      <c r="E68" s="6" t="s">
        <v>3</v>
      </c>
      <c r="F68" s="6" t="s">
        <v>2</v>
      </c>
      <c r="G68" s="6" t="s">
        <v>5</v>
      </c>
      <c r="H68" s="6" t="s">
        <v>5</v>
      </c>
      <c r="I68" s="6" t="s">
        <v>5</v>
      </c>
      <c r="J68" s="6" t="s">
        <v>5</v>
      </c>
      <c r="K68" s="6" t="s">
        <v>2</v>
      </c>
      <c r="L68" s="6" t="s">
        <v>2</v>
      </c>
      <c r="M68" s="6" t="s">
        <v>2</v>
      </c>
      <c r="N68" s="6" t="s">
        <v>3</v>
      </c>
      <c r="O68" s="6" t="s">
        <v>5</v>
      </c>
      <c r="P68" s="6" t="s">
        <v>5</v>
      </c>
      <c r="Q68" s="6" t="s">
        <v>2</v>
      </c>
      <c r="R68" s="6" t="s">
        <v>2</v>
      </c>
      <c r="S68" s="6" t="s">
        <v>5</v>
      </c>
      <c r="T68" s="6" t="s">
        <v>5</v>
      </c>
      <c r="U68" s="6" t="s">
        <v>5</v>
      </c>
      <c r="V68" s="6" t="s">
        <v>5</v>
      </c>
      <c r="W68" s="6" t="s">
        <v>3</v>
      </c>
      <c r="X68" s="6" t="s">
        <v>3</v>
      </c>
      <c r="Y68" s="6" t="s">
        <v>2</v>
      </c>
      <c r="Z68" s="6" t="s">
        <v>3</v>
      </c>
      <c r="AA68" s="6" t="s">
        <v>4</v>
      </c>
      <c r="AB68" s="6" t="s">
        <v>4</v>
      </c>
      <c r="AC68" s="6" t="s">
        <v>4</v>
      </c>
      <c r="AD68" s="6" t="s">
        <v>4</v>
      </c>
      <c r="AE68" s="6" t="s">
        <v>4</v>
      </c>
      <c r="AF68" s="6" t="s">
        <v>3</v>
      </c>
      <c r="AG68" s="6" t="s">
        <v>3</v>
      </c>
      <c r="AH68" s="6" t="s">
        <v>4</v>
      </c>
      <c r="AI68" s="6" t="s">
        <v>3</v>
      </c>
      <c r="AJ68" s="6" t="s">
        <v>3</v>
      </c>
      <c r="AK68" s="6" t="s">
        <v>4</v>
      </c>
      <c r="AL68" s="6" t="s">
        <v>3</v>
      </c>
      <c r="AM68" s="6" t="s">
        <v>3</v>
      </c>
    </row>
    <row r="69" spans="1:39" x14ac:dyDescent="0.3">
      <c r="A69" s="6">
        <f t="shared" si="0"/>
        <v>68</v>
      </c>
      <c r="B69" s="6" t="s">
        <v>469</v>
      </c>
      <c r="C69" s="6">
        <v>4</v>
      </c>
      <c r="D69" s="6" t="s">
        <v>5</v>
      </c>
      <c r="E69" s="6" t="s">
        <v>5</v>
      </c>
      <c r="F69" s="6" t="s">
        <v>2</v>
      </c>
      <c r="G69" s="6" t="s">
        <v>3</v>
      </c>
      <c r="H69" s="6" t="s">
        <v>5</v>
      </c>
      <c r="I69" s="6" t="s">
        <v>5</v>
      </c>
      <c r="J69" s="6" t="s">
        <v>5</v>
      </c>
      <c r="K69" s="6" t="s">
        <v>2</v>
      </c>
      <c r="L69" s="6" t="s">
        <v>3</v>
      </c>
      <c r="M69" s="6" t="s">
        <v>3</v>
      </c>
      <c r="N69" s="6" t="s">
        <v>5</v>
      </c>
      <c r="O69" s="6" t="s">
        <v>2</v>
      </c>
      <c r="P69" s="6" t="s">
        <v>5</v>
      </c>
      <c r="Q69" s="6" t="s">
        <v>3</v>
      </c>
      <c r="R69" s="6" t="s">
        <v>2</v>
      </c>
      <c r="S69" s="6" t="s">
        <v>5</v>
      </c>
      <c r="T69" s="6" t="s">
        <v>5</v>
      </c>
      <c r="U69" s="6" t="s">
        <v>5</v>
      </c>
      <c r="V69" s="6" t="s">
        <v>5</v>
      </c>
      <c r="W69" s="6" t="s">
        <v>3</v>
      </c>
      <c r="X69" s="6" t="s">
        <v>4</v>
      </c>
      <c r="Y69" s="6" t="s">
        <v>4</v>
      </c>
      <c r="Z69" s="6" t="s">
        <v>3</v>
      </c>
      <c r="AA69" s="6" t="s">
        <v>4</v>
      </c>
      <c r="AB69" s="6" t="s">
        <v>4</v>
      </c>
      <c r="AC69" s="6" t="s">
        <v>4</v>
      </c>
      <c r="AD69" s="6" t="s">
        <v>4</v>
      </c>
      <c r="AE69" s="6" t="s">
        <v>4</v>
      </c>
      <c r="AF69" s="6" t="s">
        <v>4</v>
      </c>
      <c r="AG69" s="6" t="s">
        <v>3</v>
      </c>
      <c r="AH69" s="6" t="s">
        <v>4</v>
      </c>
      <c r="AI69" s="6" t="s">
        <v>3</v>
      </c>
      <c r="AJ69" s="6" t="s">
        <v>4</v>
      </c>
      <c r="AK69" s="6" t="s">
        <v>4</v>
      </c>
      <c r="AL69" s="6" t="s">
        <v>3</v>
      </c>
      <c r="AM69" s="6" t="s">
        <v>3</v>
      </c>
    </row>
    <row r="70" spans="1:39" x14ac:dyDescent="0.3">
      <c r="A70" s="6">
        <f t="shared" si="0"/>
        <v>69</v>
      </c>
      <c r="B70" s="6" t="s">
        <v>470</v>
      </c>
      <c r="C70" s="6">
        <v>4</v>
      </c>
      <c r="D70" s="6" t="s">
        <v>5</v>
      </c>
      <c r="E70" s="6" t="s">
        <v>5</v>
      </c>
      <c r="F70" s="6" t="s">
        <v>5</v>
      </c>
      <c r="G70" s="6" t="s">
        <v>5</v>
      </c>
      <c r="H70" s="6" t="s">
        <v>5</v>
      </c>
      <c r="I70" s="6" t="s">
        <v>5</v>
      </c>
      <c r="J70" s="6" t="s">
        <v>5</v>
      </c>
      <c r="K70" s="6" t="s">
        <v>2</v>
      </c>
      <c r="L70" s="6" t="s">
        <v>2</v>
      </c>
      <c r="M70" s="6" t="s">
        <v>2</v>
      </c>
      <c r="N70" s="6" t="s">
        <v>3</v>
      </c>
      <c r="O70" s="6" t="s">
        <v>3</v>
      </c>
      <c r="P70" s="6" t="s">
        <v>5</v>
      </c>
      <c r="Q70" s="6" t="s">
        <v>3</v>
      </c>
      <c r="R70" s="6" t="s">
        <v>3</v>
      </c>
      <c r="S70" s="6" t="s">
        <v>5</v>
      </c>
      <c r="T70" s="6" t="s">
        <v>5</v>
      </c>
      <c r="U70" s="6" t="s">
        <v>5</v>
      </c>
      <c r="V70" s="6" t="s">
        <v>5</v>
      </c>
      <c r="W70" s="6" t="s">
        <v>4</v>
      </c>
      <c r="X70" s="6" t="s">
        <v>4</v>
      </c>
      <c r="Y70" s="6" t="s">
        <v>2</v>
      </c>
      <c r="Z70" s="6" t="s">
        <v>3</v>
      </c>
      <c r="AA70" s="6" t="s">
        <v>3</v>
      </c>
      <c r="AB70" s="6" t="s">
        <v>3</v>
      </c>
      <c r="AC70" s="6" t="s">
        <v>4</v>
      </c>
      <c r="AD70" s="6" t="s">
        <v>4</v>
      </c>
      <c r="AE70" s="6" t="s">
        <v>4</v>
      </c>
      <c r="AF70" s="6" t="s">
        <v>4</v>
      </c>
      <c r="AG70" s="6" t="s">
        <v>3</v>
      </c>
      <c r="AH70" s="6" t="s">
        <v>4</v>
      </c>
      <c r="AI70" s="6" t="s">
        <v>3</v>
      </c>
      <c r="AJ70" s="6" t="s">
        <v>3</v>
      </c>
      <c r="AK70" s="6" t="s">
        <v>4</v>
      </c>
      <c r="AL70" s="6" t="s">
        <v>4</v>
      </c>
      <c r="AM70" s="6" t="s">
        <v>3</v>
      </c>
    </row>
    <row r="71" spans="1:39" x14ac:dyDescent="0.3">
      <c r="A71" s="6">
        <f t="shared" si="0"/>
        <v>70</v>
      </c>
      <c r="B71" s="6" t="s">
        <v>487</v>
      </c>
      <c r="C71" s="6">
        <v>4</v>
      </c>
      <c r="D71" s="6" t="s">
        <v>5</v>
      </c>
      <c r="E71" s="6" t="s">
        <v>5</v>
      </c>
      <c r="F71" s="6" t="s">
        <v>4</v>
      </c>
      <c r="G71" s="6" t="s">
        <v>5</v>
      </c>
      <c r="H71" s="6" t="s">
        <v>5</v>
      </c>
      <c r="I71" s="6" t="s">
        <v>5</v>
      </c>
      <c r="J71" s="6" t="s">
        <v>5</v>
      </c>
      <c r="K71" s="6" t="s">
        <v>2</v>
      </c>
      <c r="L71" s="6" t="s">
        <v>2</v>
      </c>
      <c r="M71" s="6" t="s">
        <v>4</v>
      </c>
      <c r="N71" s="6" t="s">
        <v>4</v>
      </c>
      <c r="O71" s="6" t="s">
        <v>4</v>
      </c>
      <c r="P71" s="6" t="s">
        <v>5</v>
      </c>
      <c r="Q71" s="6" t="s">
        <v>4</v>
      </c>
      <c r="R71" s="6" t="s">
        <v>5</v>
      </c>
      <c r="S71" s="6" t="s">
        <v>5</v>
      </c>
      <c r="T71" s="6" t="s">
        <v>3</v>
      </c>
      <c r="U71" s="6" t="s">
        <v>5</v>
      </c>
      <c r="V71" s="6" t="s">
        <v>3</v>
      </c>
      <c r="W71" s="6" t="s">
        <v>4</v>
      </c>
      <c r="X71" s="6" t="s">
        <v>4</v>
      </c>
      <c r="Y71" s="6" t="s">
        <v>2</v>
      </c>
      <c r="Z71" s="6" t="s">
        <v>3</v>
      </c>
      <c r="AA71" s="6" t="s">
        <v>4</v>
      </c>
      <c r="AB71" s="6" t="s">
        <v>4</v>
      </c>
      <c r="AC71" s="6" t="s">
        <v>4</v>
      </c>
      <c r="AD71" s="6" t="s">
        <v>4</v>
      </c>
      <c r="AE71" s="6" t="s">
        <v>4</v>
      </c>
      <c r="AF71" s="6" t="s">
        <v>3</v>
      </c>
      <c r="AG71" s="6" t="s">
        <v>3</v>
      </c>
      <c r="AH71" s="6" t="s">
        <v>4</v>
      </c>
      <c r="AI71" s="6" t="s">
        <v>3</v>
      </c>
      <c r="AJ71" s="6" t="s">
        <v>4</v>
      </c>
      <c r="AK71" s="6" t="s">
        <v>4</v>
      </c>
      <c r="AL71" s="6" t="s">
        <v>4</v>
      </c>
      <c r="AM71" s="6" t="s">
        <v>3</v>
      </c>
    </row>
    <row r="72" spans="1:39" x14ac:dyDescent="0.3">
      <c r="A72" s="6">
        <f t="shared" si="0"/>
        <v>71</v>
      </c>
      <c r="B72" s="6" t="s">
        <v>321</v>
      </c>
      <c r="C72" s="6">
        <v>4</v>
      </c>
      <c r="D72" s="6" t="s">
        <v>3</v>
      </c>
      <c r="E72" s="6" t="s">
        <v>3</v>
      </c>
      <c r="F72" s="6" t="s">
        <v>3</v>
      </c>
      <c r="G72" s="6" t="s">
        <v>5</v>
      </c>
      <c r="H72" s="6" t="s">
        <v>5</v>
      </c>
      <c r="I72" s="6" t="s">
        <v>5</v>
      </c>
      <c r="J72" s="6" t="s">
        <v>5</v>
      </c>
      <c r="K72" s="6" t="s">
        <v>2</v>
      </c>
      <c r="L72" s="6" t="s">
        <v>2</v>
      </c>
      <c r="M72" s="6" t="s">
        <v>3</v>
      </c>
      <c r="N72" s="6" t="s">
        <v>4</v>
      </c>
      <c r="O72" s="6" t="s">
        <v>5</v>
      </c>
      <c r="P72" s="6" t="s">
        <v>5</v>
      </c>
      <c r="Q72" s="6" t="s">
        <v>3</v>
      </c>
      <c r="R72" s="6" t="s">
        <v>2</v>
      </c>
      <c r="S72" s="6" t="s">
        <v>5</v>
      </c>
      <c r="T72" s="6" t="s">
        <v>5</v>
      </c>
      <c r="U72" s="6" t="s">
        <v>5</v>
      </c>
      <c r="V72" s="6" t="s">
        <v>4</v>
      </c>
      <c r="W72" s="6" t="s">
        <v>4</v>
      </c>
      <c r="X72" s="6" t="s">
        <v>4</v>
      </c>
      <c r="Y72" s="6" t="s">
        <v>2</v>
      </c>
      <c r="Z72" s="6" t="s">
        <v>3</v>
      </c>
      <c r="AA72" s="6" t="s">
        <v>4</v>
      </c>
      <c r="AB72" s="6" t="s">
        <v>4</v>
      </c>
      <c r="AC72" s="6" t="s">
        <v>4</v>
      </c>
      <c r="AD72" s="6" t="s">
        <v>4</v>
      </c>
      <c r="AE72" s="6" t="s">
        <v>4</v>
      </c>
      <c r="AF72" s="6" t="s">
        <v>3</v>
      </c>
      <c r="AG72" s="6" t="s">
        <v>3</v>
      </c>
      <c r="AH72" s="6" t="s">
        <v>4</v>
      </c>
      <c r="AI72" s="6" t="s">
        <v>3</v>
      </c>
      <c r="AJ72" s="6" t="s">
        <v>3</v>
      </c>
      <c r="AK72" s="6" t="s">
        <v>4</v>
      </c>
      <c r="AL72" s="6" t="s">
        <v>4</v>
      </c>
      <c r="AM72" s="6" t="s">
        <v>3</v>
      </c>
    </row>
    <row r="73" spans="1:39" x14ac:dyDescent="0.3">
      <c r="A73" s="6">
        <f t="shared" ref="A73:A115" si="1">ROW()-1</f>
        <v>72</v>
      </c>
      <c r="B73" s="6" t="s">
        <v>322</v>
      </c>
      <c r="C73" s="6">
        <v>4</v>
      </c>
      <c r="D73" s="6" t="s">
        <v>5</v>
      </c>
      <c r="E73" s="6" t="s">
        <v>5</v>
      </c>
      <c r="F73" s="6" t="s">
        <v>2</v>
      </c>
      <c r="G73" s="6" t="s">
        <v>5</v>
      </c>
      <c r="H73" s="6" t="s">
        <v>5</v>
      </c>
      <c r="I73" s="6" t="s">
        <v>5</v>
      </c>
      <c r="J73" s="6" t="s">
        <v>5</v>
      </c>
      <c r="K73" s="6" t="s">
        <v>2</v>
      </c>
      <c r="L73" s="6" t="s">
        <v>2</v>
      </c>
      <c r="M73" s="6" t="s">
        <v>2</v>
      </c>
      <c r="N73" s="6" t="s">
        <v>3</v>
      </c>
      <c r="O73" s="6" t="s">
        <v>5</v>
      </c>
      <c r="P73" s="6" t="s">
        <v>5</v>
      </c>
      <c r="Q73" s="6" t="s">
        <v>2</v>
      </c>
      <c r="R73" s="6" t="s">
        <v>2</v>
      </c>
      <c r="S73" s="6" t="s">
        <v>5</v>
      </c>
      <c r="T73" s="6" t="s">
        <v>5</v>
      </c>
      <c r="U73" s="6" t="s">
        <v>5</v>
      </c>
      <c r="V73" s="6" t="s">
        <v>5</v>
      </c>
      <c r="W73" s="6" t="s">
        <v>3</v>
      </c>
      <c r="X73" s="6" t="s">
        <v>3</v>
      </c>
      <c r="Y73" s="6" t="s">
        <v>2</v>
      </c>
      <c r="Z73" s="6" t="s">
        <v>3</v>
      </c>
      <c r="AA73" s="6" t="s">
        <v>4</v>
      </c>
      <c r="AB73" s="6" t="s">
        <v>4</v>
      </c>
      <c r="AC73" s="6" t="s">
        <v>4</v>
      </c>
      <c r="AD73" s="6" t="s">
        <v>4</v>
      </c>
      <c r="AE73" s="6" t="s">
        <v>4</v>
      </c>
      <c r="AF73" s="6" t="s">
        <v>3</v>
      </c>
      <c r="AG73" s="6" t="s">
        <v>3</v>
      </c>
      <c r="AH73" s="6" t="s">
        <v>4</v>
      </c>
      <c r="AI73" s="6" t="s">
        <v>3</v>
      </c>
      <c r="AJ73" s="6" t="s">
        <v>3</v>
      </c>
      <c r="AK73" s="6" t="s">
        <v>4</v>
      </c>
      <c r="AL73" s="6" t="s">
        <v>3</v>
      </c>
      <c r="AM73" s="6" t="s">
        <v>3</v>
      </c>
    </row>
    <row r="74" spans="1:39" x14ac:dyDescent="0.3">
      <c r="A74" s="6">
        <f t="shared" si="1"/>
        <v>73</v>
      </c>
      <c r="B74" s="6" t="s">
        <v>323</v>
      </c>
      <c r="C74" s="6">
        <v>4</v>
      </c>
      <c r="D74" s="6" t="s">
        <v>5</v>
      </c>
      <c r="E74" s="6" t="s">
        <v>3</v>
      </c>
      <c r="F74" s="6" t="s">
        <v>2</v>
      </c>
      <c r="G74" s="6" t="s">
        <v>5</v>
      </c>
      <c r="H74" s="6" t="s">
        <v>5</v>
      </c>
      <c r="I74" s="6" t="s">
        <v>5</v>
      </c>
      <c r="J74" s="6" t="s">
        <v>2</v>
      </c>
      <c r="K74" s="6" t="s">
        <v>2</v>
      </c>
      <c r="L74" s="6" t="s">
        <v>3</v>
      </c>
      <c r="M74" s="6" t="s">
        <v>3</v>
      </c>
      <c r="N74" s="6" t="s">
        <v>3</v>
      </c>
      <c r="O74" s="6" t="s">
        <v>3</v>
      </c>
      <c r="P74" s="6" t="s">
        <v>2</v>
      </c>
      <c r="Q74" s="6" t="s">
        <v>2</v>
      </c>
      <c r="R74" s="6" t="s">
        <v>2</v>
      </c>
      <c r="S74" s="6" t="s">
        <v>5</v>
      </c>
      <c r="T74" s="6" t="s">
        <v>2</v>
      </c>
      <c r="U74" s="6" t="s">
        <v>2</v>
      </c>
      <c r="V74" s="6" t="s">
        <v>5</v>
      </c>
      <c r="W74" s="6" t="s">
        <v>3</v>
      </c>
      <c r="X74" s="6" t="s">
        <v>2</v>
      </c>
      <c r="Y74" s="6" t="s">
        <v>2</v>
      </c>
      <c r="Z74" s="6" t="s">
        <v>3</v>
      </c>
      <c r="AA74" s="6" t="s">
        <v>4</v>
      </c>
      <c r="AB74" s="6" t="s">
        <v>4</v>
      </c>
      <c r="AC74" s="6" t="s">
        <v>4</v>
      </c>
      <c r="AD74" s="6" t="s">
        <v>4</v>
      </c>
      <c r="AE74" s="6" t="s">
        <v>4</v>
      </c>
      <c r="AF74" s="6" t="s">
        <v>3</v>
      </c>
      <c r="AG74" s="6" t="s">
        <v>3</v>
      </c>
      <c r="AH74" s="6" t="s">
        <v>4</v>
      </c>
      <c r="AI74" s="6" t="s">
        <v>3</v>
      </c>
      <c r="AJ74" s="6" t="s">
        <v>4</v>
      </c>
      <c r="AK74" s="6" t="s">
        <v>4</v>
      </c>
      <c r="AL74" s="6" t="s">
        <v>4</v>
      </c>
      <c r="AM74" s="6" t="s">
        <v>3</v>
      </c>
    </row>
    <row r="75" spans="1:39" x14ac:dyDescent="0.3">
      <c r="A75" s="6">
        <f t="shared" si="1"/>
        <v>74</v>
      </c>
      <c r="B75" s="6" t="s">
        <v>471</v>
      </c>
      <c r="C75" s="6">
        <v>4</v>
      </c>
      <c r="D75" s="6" t="s">
        <v>5</v>
      </c>
      <c r="E75" s="6" t="s">
        <v>5</v>
      </c>
      <c r="F75" s="6" t="s">
        <v>2</v>
      </c>
      <c r="G75" s="6" t="s">
        <v>5</v>
      </c>
      <c r="H75" s="6" t="s">
        <v>5</v>
      </c>
      <c r="I75" s="6" t="s">
        <v>5</v>
      </c>
      <c r="J75" s="6" t="s">
        <v>5</v>
      </c>
      <c r="K75" s="6" t="s">
        <v>2</v>
      </c>
      <c r="L75" s="6" t="s">
        <v>3</v>
      </c>
      <c r="M75" s="6" t="s">
        <v>4</v>
      </c>
      <c r="N75" s="6" t="s">
        <v>4</v>
      </c>
      <c r="O75" s="6" t="s">
        <v>3</v>
      </c>
      <c r="P75" s="6" t="s">
        <v>2</v>
      </c>
      <c r="Q75" s="6" t="s">
        <v>2</v>
      </c>
      <c r="R75" s="6" t="s">
        <v>3</v>
      </c>
      <c r="S75" s="6" t="s">
        <v>5</v>
      </c>
      <c r="T75" s="6" t="s">
        <v>3</v>
      </c>
      <c r="U75" s="6" t="s">
        <v>2</v>
      </c>
      <c r="V75" s="6" t="s">
        <v>5</v>
      </c>
      <c r="W75" s="6" t="s">
        <v>3</v>
      </c>
      <c r="X75" s="6" t="s">
        <v>4</v>
      </c>
      <c r="Y75" s="6" t="s">
        <v>4</v>
      </c>
      <c r="Z75" s="6" t="s">
        <v>3</v>
      </c>
      <c r="AA75" s="6" t="s">
        <v>4</v>
      </c>
      <c r="AB75" s="6" t="s">
        <v>4</v>
      </c>
      <c r="AC75" s="6" t="s">
        <v>4</v>
      </c>
      <c r="AD75" s="6" t="s">
        <v>4</v>
      </c>
      <c r="AE75" s="6" t="s">
        <v>4</v>
      </c>
      <c r="AF75" s="6" t="s">
        <v>4</v>
      </c>
      <c r="AG75" s="6" t="s">
        <v>3</v>
      </c>
      <c r="AH75" s="6" t="s">
        <v>3</v>
      </c>
      <c r="AI75" s="6" t="s">
        <v>3</v>
      </c>
      <c r="AJ75" s="6" t="s">
        <v>4</v>
      </c>
      <c r="AK75" s="6" t="s">
        <v>4</v>
      </c>
      <c r="AL75" s="6" t="s">
        <v>3</v>
      </c>
      <c r="AM75" s="6" t="s">
        <v>3</v>
      </c>
    </row>
    <row r="76" spans="1:39" x14ac:dyDescent="0.3">
      <c r="A76" s="6">
        <f t="shared" si="1"/>
        <v>75</v>
      </c>
      <c r="B76" s="6" t="s">
        <v>472</v>
      </c>
      <c r="C76" s="6">
        <v>4</v>
      </c>
      <c r="D76" s="6" t="s">
        <v>2</v>
      </c>
      <c r="E76" s="6" t="s">
        <v>5</v>
      </c>
      <c r="F76" s="6" t="s">
        <v>2</v>
      </c>
      <c r="G76" s="6" t="s">
        <v>5</v>
      </c>
      <c r="H76" s="6" t="s">
        <v>5</v>
      </c>
      <c r="I76" s="6" t="s">
        <v>5</v>
      </c>
      <c r="J76" s="6" t="s">
        <v>5</v>
      </c>
      <c r="K76" s="6" t="s">
        <v>2</v>
      </c>
      <c r="L76" s="6" t="s">
        <v>2</v>
      </c>
      <c r="M76" s="6" t="s">
        <v>2</v>
      </c>
      <c r="N76" s="6" t="s">
        <v>5</v>
      </c>
      <c r="O76" s="6" t="s">
        <v>4</v>
      </c>
      <c r="P76" s="6" t="s">
        <v>5</v>
      </c>
      <c r="Q76" s="6" t="s">
        <v>2</v>
      </c>
      <c r="R76" s="6" t="s">
        <v>4</v>
      </c>
      <c r="S76" s="6" t="s">
        <v>5</v>
      </c>
      <c r="T76" s="6" t="s">
        <v>5</v>
      </c>
      <c r="U76" s="6" t="s">
        <v>5</v>
      </c>
      <c r="V76" s="6" t="s">
        <v>4</v>
      </c>
      <c r="W76" s="6" t="s">
        <v>3</v>
      </c>
      <c r="X76" s="6" t="s">
        <v>4</v>
      </c>
      <c r="Y76" s="6" t="s">
        <v>4</v>
      </c>
      <c r="Z76" s="6" t="s">
        <v>3</v>
      </c>
      <c r="AA76" s="6" t="s">
        <v>4</v>
      </c>
      <c r="AB76" s="6" t="s">
        <v>4</v>
      </c>
      <c r="AC76" s="6" t="s">
        <v>4</v>
      </c>
      <c r="AD76" s="6" t="s">
        <v>4</v>
      </c>
      <c r="AE76" s="6" t="s">
        <v>4</v>
      </c>
      <c r="AF76" s="6" t="s">
        <v>4</v>
      </c>
      <c r="AG76" s="6" t="s">
        <v>3</v>
      </c>
      <c r="AH76" s="6" t="s">
        <v>4</v>
      </c>
      <c r="AI76" s="6" t="s">
        <v>3</v>
      </c>
      <c r="AJ76" s="6" t="s">
        <v>4</v>
      </c>
      <c r="AK76" s="6" t="s">
        <v>4</v>
      </c>
      <c r="AL76" s="6" t="s">
        <v>3</v>
      </c>
      <c r="AM76" s="6" t="s">
        <v>3</v>
      </c>
    </row>
    <row r="77" spans="1:39" x14ac:dyDescent="0.3">
      <c r="A77" s="6">
        <f t="shared" si="1"/>
        <v>76</v>
      </c>
      <c r="B77" s="6" t="s">
        <v>486</v>
      </c>
      <c r="C77" s="6">
        <v>4</v>
      </c>
      <c r="D77" s="6" t="s">
        <v>3</v>
      </c>
      <c r="E77" s="6" t="s">
        <v>5</v>
      </c>
      <c r="F77" s="6" t="s">
        <v>4</v>
      </c>
      <c r="G77" s="6" t="s">
        <v>5</v>
      </c>
      <c r="H77" s="6" t="s">
        <v>5</v>
      </c>
      <c r="I77" s="6" t="s">
        <v>5</v>
      </c>
      <c r="J77" s="6" t="s">
        <v>5</v>
      </c>
      <c r="K77" s="6" t="s">
        <v>2</v>
      </c>
      <c r="L77" s="6" t="s">
        <v>2</v>
      </c>
      <c r="M77" s="6" t="s">
        <v>4</v>
      </c>
      <c r="N77" s="6" t="s">
        <v>4</v>
      </c>
      <c r="O77" s="6" t="s">
        <v>5</v>
      </c>
      <c r="P77" s="6" t="s">
        <v>2</v>
      </c>
      <c r="Q77" s="6" t="s">
        <v>3</v>
      </c>
      <c r="R77" s="6" t="s">
        <v>5</v>
      </c>
      <c r="S77" s="6" t="s">
        <v>5</v>
      </c>
      <c r="T77" s="6" t="s">
        <v>2</v>
      </c>
      <c r="U77" s="6" t="s">
        <v>5</v>
      </c>
      <c r="V77" s="6" t="s">
        <v>5</v>
      </c>
      <c r="W77" s="6" t="s">
        <v>4</v>
      </c>
      <c r="X77" s="6" t="s">
        <v>4</v>
      </c>
      <c r="Y77" s="6" t="s">
        <v>2</v>
      </c>
      <c r="Z77" s="6" t="s">
        <v>3</v>
      </c>
      <c r="AA77" s="6" t="s">
        <v>4</v>
      </c>
      <c r="AB77" s="6" t="s">
        <v>4</v>
      </c>
      <c r="AC77" s="6" t="s">
        <v>4</v>
      </c>
      <c r="AD77" s="6" t="s">
        <v>4</v>
      </c>
      <c r="AE77" s="6" t="s">
        <v>4</v>
      </c>
      <c r="AF77" s="6" t="s">
        <v>4</v>
      </c>
      <c r="AG77" s="6" t="s">
        <v>3</v>
      </c>
      <c r="AH77" s="6" t="s">
        <v>4</v>
      </c>
      <c r="AI77" s="6" t="s">
        <v>3</v>
      </c>
      <c r="AJ77" s="6" t="s">
        <v>4</v>
      </c>
      <c r="AK77" s="6" t="s">
        <v>4</v>
      </c>
      <c r="AL77" s="6" t="s">
        <v>4</v>
      </c>
      <c r="AM77" s="6" t="s">
        <v>3</v>
      </c>
    </row>
    <row r="78" spans="1:39" x14ac:dyDescent="0.3">
      <c r="A78" s="6">
        <f t="shared" si="1"/>
        <v>77</v>
      </c>
      <c r="B78" s="6" t="s">
        <v>29</v>
      </c>
      <c r="C78" s="6">
        <v>5</v>
      </c>
      <c r="D78" s="6" t="s">
        <v>5</v>
      </c>
      <c r="E78" s="6" t="s">
        <v>3</v>
      </c>
      <c r="F78" s="6" t="s">
        <v>5</v>
      </c>
      <c r="G78" s="6" t="s">
        <v>5</v>
      </c>
      <c r="H78" s="6" t="s">
        <v>5</v>
      </c>
      <c r="I78" s="6" t="s">
        <v>5</v>
      </c>
      <c r="J78" s="6" t="s">
        <v>5</v>
      </c>
      <c r="K78" s="6" t="s">
        <v>2</v>
      </c>
      <c r="L78" s="6" t="s">
        <v>2</v>
      </c>
      <c r="M78" s="6" t="s">
        <v>4</v>
      </c>
      <c r="N78" s="6" t="s">
        <v>4</v>
      </c>
      <c r="O78" s="6" t="s">
        <v>3</v>
      </c>
      <c r="P78" s="6" t="s">
        <v>5</v>
      </c>
      <c r="Q78" s="6" t="s">
        <v>2</v>
      </c>
      <c r="R78" s="6" t="s">
        <v>5</v>
      </c>
      <c r="S78" s="6" t="s">
        <v>2</v>
      </c>
      <c r="T78" s="6" t="s">
        <v>2</v>
      </c>
      <c r="U78" s="6" t="s">
        <v>5</v>
      </c>
      <c r="V78" s="6" t="s">
        <v>4</v>
      </c>
      <c r="W78" s="6" t="s">
        <v>3</v>
      </c>
      <c r="X78" s="6" t="s">
        <v>3</v>
      </c>
      <c r="Y78" s="6" t="s">
        <v>4</v>
      </c>
      <c r="Z78" s="6" t="s">
        <v>3</v>
      </c>
      <c r="AA78" s="6" t="s">
        <v>4</v>
      </c>
      <c r="AB78" s="6" t="s">
        <v>4</v>
      </c>
      <c r="AC78" s="6" t="s">
        <v>4</v>
      </c>
      <c r="AD78" s="6" t="s">
        <v>4</v>
      </c>
      <c r="AE78" s="6" t="s">
        <v>4</v>
      </c>
      <c r="AF78" s="6" t="s">
        <v>4</v>
      </c>
      <c r="AG78" s="6" t="s">
        <v>3</v>
      </c>
      <c r="AH78" s="6" t="s">
        <v>4</v>
      </c>
      <c r="AI78" s="6" t="s">
        <v>3</v>
      </c>
      <c r="AJ78" s="6" t="s">
        <v>4</v>
      </c>
      <c r="AK78" s="6" t="s">
        <v>4</v>
      </c>
      <c r="AL78" s="6" t="s">
        <v>4</v>
      </c>
      <c r="AM78" s="6" t="s">
        <v>3</v>
      </c>
    </row>
    <row r="79" spans="1:39" x14ac:dyDescent="0.3">
      <c r="A79" s="6">
        <f t="shared" si="1"/>
        <v>78</v>
      </c>
      <c r="B79" s="6" t="s">
        <v>30</v>
      </c>
      <c r="C79" s="6">
        <v>5</v>
      </c>
      <c r="D79" s="6" t="s">
        <v>2</v>
      </c>
      <c r="E79" s="6" t="s">
        <v>5</v>
      </c>
      <c r="F79" s="6" t="s">
        <v>3</v>
      </c>
      <c r="G79" s="6" t="s">
        <v>5</v>
      </c>
      <c r="H79" s="6" t="s">
        <v>5</v>
      </c>
      <c r="I79" s="6" t="s">
        <v>3</v>
      </c>
      <c r="J79" s="6" t="s">
        <v>5</v>
      </c>
      <c r="K79" s="6" t="s">
        <v>2</v>
      </c>
      <c r="L79" s="6" t="s">
        <v>2</v>
      </c>
      <c r="M79" s="6" t="s">
        <v>5</v>
      </c>
      <c r="N79" s="6" t="s">
        <v>2</v>
      </c>
      <c r="O79" s="6" t="s">
        <v>2</v>
      </c>
      <c r="P79" s="6" t="s">
        <v>4</v>
      </c>
      <c r="Q79" s="6" t="s">
        <v>3</v>
      </c>
      <c r="R79" s="6" t="s">
        <v>2</v>
      </c>
      <c r="S79" s="6" t="s">
        <v>5</v>
      </c>
      <c r="T79" s="6" t="s">
        <v>5</v>
      </c>
      <c r="U79" s="6" t="s">
        <v>5</v>
      </c>
      <c r="V79" s="6" t="s">
        <v>3</v>
      </c>
      <c r="W79" s="6" t="s">
        <v>3</v>
      </c>
      <c r="X79" s="6" t="s">
        <v>3</v>
      </c>
      <c r="Y79" s="6" t="s">
        <v>4</v>
      </c>
      <c r="Z79" s="6" t="s">
        <v>3</v>
      </c>
      <c r="AA79" s="6" t="s">
        <v>4</v>
      </c>
      <c r="AB79" s="6" t="s">
        <v>4</v>
      </c>
      <c r="AC79" s="6" t="s">
        <v>4</v>
      </c>
      <c r="AD79" s="6" t="s">
        <v>4</v>
      </c>
      <c r="AE79" s="6" t="s">
        <v>4</v>
      </c>
      <c r="AF79" s="6" t="s">
        <v>3</v>
      </c>
      <c r="AG79" s="6" t="s">
        <v>4</v>
      </c>
      <c r="AH79" s="6" t="s">
        <v>4</v>
      </c>
      <c r="AI79" s="6" t="s">
        <v>3</v>
      </c>
      <c r="AJ79" s="6" t="s">
        <v>4</v>
      </c>
      <c r="AK79" s="6" t="s">
        <v>4</v>
      </c>
      <c r="AL79" s="6" t="s">
        <v>4</v>
      </c>
      <c r="AM79" s="6" t="s">
        <v>3</v>
      </c>
    </row>
    <row r="80" spans="1:39" x14ac:dyDescent="0.3">
      <c r="A80" s="6">
        <f t="shared" si="1"/>
        <v>79</v>
      </c>
      <c r="B80" s="6" t="s">
        <v>31</v>
      </c>
      <c r="C80" s="6">
        <v>5</v>
      </c>
      <c r="D80" s="6" t="s">
        <v>4</v>
      </c>
      <c r="E80" s="6" t="s">
        <v>5</v>
      </c>
      <c r="F80" s="6" t="s">
        <v>2</v>
      </c>
      <c r="G80" s="6" t="s">
        <v>5</v>
      </c>
      <c r="H80" s="6" t="s">
        <v>5</v>
      </c>
      <c r="I80" s="6" t="s">
        <v>5</v>
      </c>
      <c r="J80" s="6" t="s">
        <v>2</v>
      </c>
      <c r="K80" s="6" t="s">
        <v>2</v>
      </c>
      <c r="L80" s="6" t="s">
        <v>2</v>
      </c>
      <c r="M80" s="6" t="s">
        <v>4</v>
      </c>
      <c r="N80" s="6" t="s">
        <v>4</v>
      </c>
      <c r="O80" s="6" t="s">
        <v>4</v>
      </c>
      <c r="P80" s="6" t="s">
        <v>5</v>
      </c>
      <c r="Q80" s="6" t="s">
        <v>4</v>
      </c>
      <c r="R80" s="6" t="s">
        <v>5</v>
      </c>
      <c r="S80" s="6" t="s">
        <v>5</v>
      </c>
      <c r="T80" s="6" t="s">
        <v>5</v>
      </c>
      <c r="U80" s="6" t="s">
        <v>5</v>
      </c>
      <c r="V80" s="6" t="s">
        <v>5</v>
      </c>
      <c r="W80" s="6" t="s">
        <v>4</v>
      </c>
      <c r="X80" s="6" t="s">
        <v>3</v>
      </c>
      <c r="Y80" s="6" t="s">
        <v>3</v>
      </c>
      <c r="Z80" s="6" t="s">
        <v>3</v>
      </c>
      <c r="AA80" s="6" t="s">
        <v>4</v>
      </c>
      <c r="AB80" s="6" t="s">
        <v>4</v>
      </c>
      <c r="AC80" s="6" t="s">
        <v>4</v>
      </c>
      <c r="AD80" s="6" t="s">
        <v>4</v>
      </c>
      <c r="AE80" s="6" t="s">
        <v>4</v>
      </c>
      <c r="AF80" s="6" t="s">
        <v>4</v>
      </c>
      <c r="AG80" s="6" t="s">
        <v>3</v>
      </c>
      <c r="AH80" s="6" t="s">
        <v>4</v>
      </c>
      <c r="AI80" s="6" t="s">
        <v>3</v>
      </c>
      <c r="AJ80" s="6" t="s">
        <v>4</v>
      </c>
      <c r="AK80" s="6" t="s">
        <v>4</v>
      </c>
      <c r="AL80" s="6" t="s">
        <v>4</v>
      </c>
      <c r="AM80" s="6" t="s">
        <v>3</v>
      </c>
    </row>
    <row r="81" spans="1:39" x14ac:dyDescent="0.3">
      <c r="A81" s="6">
        <f t="shared" si="1"/>
        <v>80</v>
      </c>
      <c r="B81" s="6" t="s">
        <v>32</v>
      </c>
      <c r="C81" s="6">
        <v>5</v>
      </c>
      <c r="D81" s="6" t="s">
        <v>5</v>
      </c>
      <c r="E81" s="6" t="s">
        <v>3</v>
      </c>
      <c r="F81" s="6" t="s">
        <v>3</v>
      </c>
      <c r="G81" s="6" t="s">
        <v>5</v>
      </c>
      <c r="H81" s="6" t="s">
        <v>5</v>
      </c>
      <c r="I81" s="6" t="s">
        <v>5</v>
      </c>
      <c r="J81" s="6" t="s">
        <v>5</v>
      </c>
      <c r="K81" s="6" t="s">
        <v>2</v>
      </c>
      <c r="L81" s="6" t="s">
        <v>4</v>
      </c>
      <c r="M81" s="6" t="s">
        <v>4</v>
      </c>
      <c r="N81" s="6" t="s">
        <v>4</v>
      </c>
      <c r="O81" s="6" t="s">
        <v>5</v>
      </c>
      <c r="P81" s="6" t="s">
        <v>2</v>
      </c>
      <c r="Q81" s="6" t="s">
        <v>4</v>
      </c>
      <c r="R81" s="6" t="s">
        <v>5</v>
      </c>
      <c r="S81" s="6" t="s">
        <v>5</v>
      </c>
      <c r="T81" s="6" t="s">
        <v>3</v>
      </c>
      <c r="U81" s="6" t="s">
        <v>3</v>
      </c>
      <c r="V81" s="6" t="s">
        <v>3</v>
      </c>
      <c r="W81" s="6" t="s">
        <v>4</v>
      </c>
      <c r="X81" s="6" t="s">
        <v>3</v>
      </c>
      <c r="Y81" s="6" t="s">
        <v>2</v>
      </c>
      <c r="Z81" s="6" t="s">
        <v>3</v>
      </c>
      <c r="AA81" s="6" t="s">
        <v>4</v>
      </c>
      <c r="AB81" s="6" t="s">
        <v>4</v>
      </c>
      <c r="AC81" s="6" t="s">
        <v>4</v>
      </c>
      <c r="AD81" s="6" t="s">
        <v>4</v>
      </c>
      <c r="AE81" s="6" t="s">
        <v>4</v>
      </c>
      <c r="AF81" s="6" t="s">
        <v>4</v>
      </c>
      <c r="AG81" s="6" t="s">
        <v>3</v>
      </c>
      <c r="AH81" s="6" t="s">
        <v>4</v>
      </c>
      <c r="AI81" s="6" t="s">
        <v>3</v>
      </c>
      <c r="AJ81" s="6" t="s">
        <v>4</v>
      </c>
      <c r="AK81" s="6" t="s">
        <v>4</v>
      </c>
      <c r="AL81" s="6" t="s">
        <v>4</v>
      </c>
      <c r="AM81" s="6" t="s">
        <v>3</v>
      </c>
    </row>
    <row r="82" spans="1:39" x14ac:dyDescent="0.3">
      <c r="A82" s="6">
        <f t="shared" si="1"/>
        <v>81</v>
      </c>
      <c r="B82" s="6" t="s">
        <v>33</v>
      </c>
      <c r="C82" s="6">
        <v>5</v>
      </c>
      <c r="D82" s="6" t="s">
        <v>5</v>
      </c>
      <c r="E82" s="6" t="s">
        <v>3</v>
      </c>
      <c r="F82" s="6" t="s">
        <v>4</v>
      </c>
      <c r="G82" s="6" t="s">
        <v>5</v>
      </c>
      <c r="H82" s="6" t="s">
        <v>5</v>
      </c>
      <c r="I82" s="6" t="s">
        <v>3</v>
      </c>
      <c r="J82" s="6" t="s">
        <v>5</v>
      </c>
      <c r="K82" s="6" t="s">
        <v>2</v>
      </c>
      <c r="L82" s="6" t="s">
        <v>3</v>
      </c>
      <c r="M82" s="6" t="s">
        <v>2</v>
      </c>
      <c r="N82" s="6" t="s">
        <v>2</v>
      </c>
      <c r="O82" s="6" t="s">
        <v>5</v>
      </c>
      <c r="P82" s="6" t="s">
        <v>5</v>
      </c>
      <c r="Q82" s="6" t="s">
        <v>2</v>
      </c>
      <c r="R82" s="6" t="s">
        <v>5</v>
      </c>
      <c r="S82" s="6" t="s">
        <v>5</v>
      </c>
      <c r="T82" s="6" t="s">
        <v>3</v>
      </c>
      <c r="U82" s="6" t="s">
        <v>5</v>
      </c>
      <c r="V82" s="6" t="s">
        <v>2</v>
      </c>
      <c r="W82" s="6" t="s">
        <v>4</v>
      </c>
      <c r="X82" s="6" t="s">
        <v>4</v>
      </c>
      <c r="Y82" s="6" t="s">
        <v>2</v>
      </c>
      <c r="Z82" s="6" t="s">
        <v>3</v>
      </c>
      <c r="AA82" s="6" t="s">
        <v>4</v>
      </c>
      <c r="AB82" s="6" t="s">
        <v>4</v>
      </c>
      <c r="AC82" s="6" t="s">
        <v>4</v>
      </c>
      <c r="AD82" s="6" t="s">
        <v>4</v>
      </c>
      <c r="AE82" s="6" t="s">
        <v>4</v>
      </c>
      <c r="AF82" s="6" t="s">
        <v>4</v>
      </c>
      <c r="AG82" s="6" t="s">
        <v>3</v>
      </c>
      <c r="AH82" s="6" t="s">
        <v>4</v>
      </c>
      <c r="AI82" s="6" t="s">
        <v>3</v>
      </c>
      <c r="AJ82" s="6" t="s">
        <v>4</v>
      </c>
      <c r="AK82" s="6" t="s">
        <v>4</v>
      </c>
      <c r="AL82" s="6" t="s">
        <v>3</v>
      </c>
      <c r="AM82" s="6" t="s">
        <v>3</v>
      </c>
    </row>
    <row r="83" spans="1:39" x14ac:dyDescent="0.3">
      <c r="A83" s="6">
        <f t="shared" si="1"/>
        <v>82</v>
      </c>
      <c r="B83" s="6" t="s">
        <v>34</v>
      </c>
      <c r="C83" s="6">
        <v>5</v>
      </c>
      <c r="D83" s="6" t="s">
        <v>5</v>
      </c>
      <c r="E83" s="6" t="s">
        <v>5</v>
      </c>
      <c r="F83" s="6" t="s">
        <v>3</v>
      </c>
      <c r="G83" s="6" t="s">
        <v>5</v>
      </c>
      <c r="H83" s="6" t="s">
        <v>5</v>
      </c>
      <c r="I83" s="6" t="s">
        <v>3</v>
      </c>
      <c r="J83" s="6" t="s">
        <v>5</v>
      </c>
      <c r="K83" s="6" t="s">
        <v>2</v>
      </c>
      <c r="L83" s="6" t="s">
        <v>4</v>
      </c>
      <c r="M83" s="6" t="s">
        <v>4</v>
      </c>
      <c r="N83" s="6" t="s">
        <v>4</v>
      </c>
      <c r="O83" s="6" t="s">
        <v>5</v>
      </c>
      <c r="P83" s="6" t="s">
        <v>2</v>
      </c>
      <c r="Q83" s="6" t="s">
        <v>4</v>
      </c>
      <c r="R83" s="6" t="s">
        <v>5</v>
      </c>
      <c r="S83" s="6" t="s">
        <v>5</v>
      </c>
      <c r="T83" s="6" t="s">
        <v>2</v>
      </c>
      <c r="U83" s="6" t="s">
        <v>5</v>
      </c>
      <c r="V83" s="6" t="s">
        <v>5</v>
      </c>
      <c r="W83" s="6" t="s">
        <v>3</v>
      </c>
      <c r="X83" s="6" t="s">
        <v>3</v>
      </c>
      <c r="Y83" s="6" t="s">
        <v>4</v>
      </c>
      <c r="Z83" s="6" t="s">
        <v>3</v>
      </c>
      <c r="AA83" s="6" t="s">
        <v>4</v>
      </c>
      <c r="AB83" s="6" t="s">
        <v>4</v>
      </c>
      <c r="AC83" s="6" t="s">
        <v>4</v>
      </c>
      <c r="AD83" s="6" t="s">
        <v>4</v>
      </c>
      <c r="AE83" s="6" t="s">
        <v>4</v>
      </c>
      <c r="AF83" s="6" t="s">
        <v>4</v>
      </c>
      <c r="AG83" s="6" t="s">
        <v>4</v>
      </c>
      <c r="AH83" s="6" t="s">
        <v>4</v>
      </c>
      <c r="AI83" s="6" t="s">
        <v>3</v>
      </c>
      <c r="AJ83" s="6" t="s">
        <v>4</v>
      </c>
      <c r="AK83" s="6" t="s">
        <v>4</v>
      </c>
      <c r="AL83" s="6" t="s">
        <v>3</v>
      </c>
      <c r="AM83" s="6" t="s">
        <v>3</v>
      </c>
    </row>
    <row r="84" spans="1:39" x14ac:dyDescent="0.3">
      <c r="A84" s="6">
        <f t="shared" si="1"/>
        <v>83</v>
      </c>
      <c r="B84" s="6" t="s">
        <v>271</v>
      </c>
      <c r="C84" s="6">
        <v>5</v>
      </c>
      <c r="D84" s="6" t="s">
        <v>5</v>
      </c>
      <c r="E84" s="6" t="s">
        <v>3</v>
      </c>
      <c r="F84" s="6" t="s">
        <v>2</v>
      </c>
      <c r="G84" s="6" t="s">
        <v>5</v>
      </c>
      <c r="H84" s="6" t="s">
        <v>5</v>
      </c>
      <c r="I84" s="6" t="s">
        <v>5</v>
      </c>
      <c r="J84" s="6" t="s">
        <v>5</v>
      </c>
      <c r="K84" s="6" t="s">
        <v>2</v>
      </c>
      <c r="L84" s="6" t="s">
        <v>2</v>
      </c>
      <c r="M84" s="6" t="s">
        <v>2</v>
      </c>
      <c r="N84" s="6" t="s">
        <v>3</v>
      </c>
      <c r="O84" s="6" t="s">
        <v>2</v>
      </c>
      <c r="P84" s="6" t="s">
        <v>5</v>
      </c>
      <c r="Q84" s="6" t="s">
        <v>2</v>
      </c>
      <c r="R84" s="6" t="s">
        <v>2</v>
      </c>
      <c r="S84" s="6" t="s">
        <v>5</v>
      </c>
      <c r="T84" s="6" t="s">
        <v>5</v>
      </c>
      <c r="U84" s="6" t="s">
        <v>5</v>
      </c>
      <c r="V84" s="6" t="s">
        <v>5</v>
      </c>
      <c r="W84" s="6" t="s">
        <v>3</v>
      </c>
      <c r="X84" s="6" t="s">
        <v>3</v>
      </c>
      <c r="Y84" s="6" t="s">
        <v>2</v>
      </c>
      <c r="Z84" s="6" t="s">
        <v>3</v>
      </c>
      <c r="AA84" s="6" t="s">
        <v>4</v>
      </c>
      <c r="AB84" s="6" t="s">
        <v>4</v>
      </c>
      <c r="AC84" s="6" t="s">
        <v>4</v>
      </c>
      <c r="AD84" s="6" t="s">
        <v>4</v>
      </c>
      <c r="AE84" s="6" t="s">
        <v>4</v>
      </c>
      <c r="AF84" s="6" t="s">
        <v>3</v>
      </c>
      <c r="AG84" s="6" t="s">
        <v>3</v>
      </c>
      <c r="AH84" s="6" t="s">
        <v>4</v>
      </c>
      <c r="AI84" s="6" t="s">
        <v>3</v>
      </c>
      <c r="AJ84" s="6" t="s">
        <v>4</v>
      </c>
      <c r="AK84" s="6" t="s">
        <v>4</v>
      </c>
      <c r="AL84" s="6" t="s">
        <v>3</v>
      </c>
      <c r="AM84" s="6" t="s">
        <v>3</v>
      </c>
    </row>
    <row r="85" spans="1:39" x14ac:dyDescent="0.3">
      <c r="A85" s="6">
        <f t="shared" si="1"/>
        <v>84</v>
      </c>
      <c r="B85" s="6" t="s">
        <v>272</v>
      </c>
      <c r="C85" s="6">
        <v>5</v>
      </c>
      <c r="D85" s="6" t="s">
        <v>5</v>
      </c>
      <c r="E85" s="6" t="s">
        <v>5</v>
      </c>
      <c r="F85" s="6" t="s">
        <v>2</v>
      </c>
      <c r="G85" s="6" t="s">
        <v>5</v>
      </c>
      <c r="H85" s="6" t="s">
        <v>5</v>
      </c>
      <c r="I85" s="6" t="s">
        <v>3</v>
      </c>
      <c r="J85" s="6" t="s">
        <v>5</v>
      </c>
      <c r="K85" s="6" t="s">
        <v>2</v>
      </c>
      <c r="L85" s="6" t="s">
        <v>2</v>
      </c>
      <c r="M85" s="6" t="s">
        <v>2</v>
      </c>
      <c r="N85" s="6" t="s">
        <v>2</v>
      </c>
      <c r="O85" s="6" t="s">
        <v>2</v>
      </c>
      <c r="P85" s="6" t="s">
        <v>2</v>
      </c>
      <c r="Q85" s="6" t="s">
        <v>3</v>
      </c>
      <c r="R85" s="6" t="s">
        <v>3</v>
      </c>
      <c r="S85" s="6" t="s">
        <v>5</v>
      </c>
      <c r="T85" s="6" t="s">
        <v>5</v>
      </c>
      <c r="U85" s="6" t="s">
        <v>5</v>
      </c>
      <c r="V85" s="6" t="s">
        <v>5</v>
      </c>
      <c r="W85" s="6" t="s">
        <v>3</v>
      </c>
      <c r="X85" s="6" t="s">
        <v>3</v>
      </c>
      <c r="Y85" s="6" t="s">
        <v>2</v>
      </c>
      <c r="Z85" s="6" t="s">
        <v>3</v>
      </c>
      <c r="AA85" s="6" t="s">
        <v>4</v>
      </c>
      <c r="AB85" s="6" t="s">
        <v>4</v>
      </c>
      <c r="AC85" s="6" t="s">
        <v>4</v>
      </c>
      <c r="AD85" s="6" t="s">
        <v>4</v>
      </c>
      <c r="AE85" s="6" t="s">
        <v>4</v>
      </c>
      <c r="AF85" s="6" t="s">
        <v>3</v>
      </c>
      <c r="AG85" s="6" t="s">
        <v>3</v>
      </c>
      <c r="AH85" s="6" t="s">
        <v>4</v>
      </c>
      <c r="AI85" s="6" t="s">
        <v>3</v>
      </c>
      <c r="AJ85" s="6" t="s">
        <v>3</v>
      </c>
      <c r="AK85" s="6" t="s">
        <v>4</v>
      </c>
      <c r="AL85" s="6" t="s">
        <v>3</v>
      </c>
      <c r="AM85" s="6" t="s">
        <v>3</v>
      </c>
    </row>
    <row r="86" spans="1:39" x14ac:dyDescent="0.3">
      <c r="A86" s="6">
        <f t="shared" si="1"/>
        <v>85</v>
      </c>
      <c r="B86" s="6" t="s">
        <v>273</v>
      </c>
      <c r="C86" s="6">
        <v>5</v>
      </c>
      <c r="D86" s="6" t="s">
        <v>5</v>
      </c>
      <c r="E86" s="6" t="s">
        <v>5</v>
      </c>
      <c r="F86" s="6" t="s">
        <v>2</v>
      </c>
      <c r="G86" s="6" t="s">
        <v>5</v>
      </c>
      <c r="H86" s="6" t="s">
        <v>5</v>
      </c>
      <c r="I86" s="6" t="s">
        <v>3</v>
      </c>
      <c r="J86" s="6" t="s">
        <v>5</v>
      </c>
      <c r="K86" s="6" t="s">
        <v>2</v>
      </c>
      <c r="L86" s="6" t="s">
        <v>3</v>
      </c>
      <c r="M86" s="6" t="s">
        <v>5</v>
      </c>
      <c r="N86" s="6" t="s">
        <v>2</v>
      </c>
      <c r="O86" s="6" t="s">
        <v>5</v>
      </c>
      <c r="P86" s="6" t="s">
        <v>5</v>
      </c>
      <c r="Q86" s="6" t="s">
        <v>2</v>
      </c>
      <c r="R86" s="6" t="s">
        <v>2</v>
      </c>
      <c r="S86" s="6" t="s">
        <v>5</v>
      </c>
      <c r="T86" s="6" t="s">
        <v>5</v>
      </c>
      <c r="U86" s="6" t="s">
        <v>5</v>
      </c>
      <c r="V86" s="6" t="s">
        <v>5</v>
      </c>
      <c r="W86" s="6" t="s">
        <v>3</v>
      </c>
      <c r="X86" s="6" t="s">
        <v>3</v>
      </c>
      <c r="Y86" s="6" t="s">
        <v>2</v>
      </c>
      <c r="Z86" s="6" t="s">
        <v>3</v>
      </c>
      <c r="AA86" s="6" t="s">
        <v>4</v>
      </c>
      <c r="AB86" s="6" t="s">
        <v>4</v>
      </c>
      <c r="AC86" s="6" t="s">
        <v>4</v>
      </c>
      <c r="AD86" s="6" t="s">
        <v>4</v>
      </c>
      <c r="AE86" s="6" t="s">
        <v>4</v>
      </c>
      <c r="AF86" s="6" t="s">
        <v>4</v>
      </c>
      <c r="AG86" s="6" t="s">
        <v>3</v>
      </c>
      <c r="AH86" s="6" t="s">
        <v>4</v>
      </c>
      <c r="AI86" s="6" t="s">
        <v>3</v>
      </c>
      <c r="AJ86" s="6" t="s">
        <v>3</v>
      </c>
      <c r="AK86" s="6" t="s">
        <v>4</v>
      </c>
      <c r="AL86" s="6" t="s">
        <v>4</v>
      </c>
      <c r="AM86" s="6" t="s">
        <v>3</v>
      </c>
    </row>
    <row r="87" spans="1:39" x14ac:dyDescent="0.3">
      <c r="A87" s="6">
        <f t="shared" si="1"/>
        <v>86</v>
      </c>
      <c r="B87" s="6" t="s">
        <v>274</v>
      </c>
      <c r="C87" s="6">
        <v>5</v>
      </c>
      <c r="D87" s="6" t="s">
        <v>5</v>
      </c>
      <c r="E87" s="6" t="s">
        <v>3</v>
      </c>
      <c r="F87" s="6" t="s">
        <v>3</v>
      </c>
      <c r="G87" s="6" t="s">
        <v>5</v>
      </c>
      <c r="H87" s="6" t="s">
        <v>5</v>
      </c>
      <c r="I87" s="6" t="s">
        <v>5</v>
      </c>
      <c r="J87" s="6" t="s">
        <v>5</v>
      </c>
      <c r="K87" s="6" t="s">
        <v>2</v>
      </c>
      <c r="L87" s="6" t="s">
        <v>2</v>
      </c>
      <c r="M87" s="6" t="s">
        <v>5</v>
      </c>
      <c r="N87" s="6" t="s">
        <v>3</v>
      </c>
      <c r="O87" s="6" t="s">
        <v>2</v>
      </c>
      <c r="P87" s="6" t="s">
        <v>5</v>
      </c>
      <c r="Q87" s="6" t="s">
        <v>2</v>
      </c>
      <c r="R87" s="6" t="s">
        <v>3</v>
      </c>
      <c r="S87" s="6" t="s">
        <v>5</v>
      </c>
      <c r="T87" s="6" t="s">
        <v>5</v>
      </c>
      <c r="U87" s="6" t="s">
        <v>5</v>
      </c>
      <c r="V87" s="6" t="s">
        <v>5</v>
      </c>
      <c r="W87" s="6" t="s">
        <v>3</v>
      </c>
      <c r="X87" s="6" t="s">
        <v>3</v>
      </c>
      <c r="Y87" s="6" t="s">
        <v>2</v>
      </c>
      <c r="Z87" s="6" t="s">
        <v>3</v>
      </c>
      <c r="AA87" s="6" t="s">
        <v>4</v>
      </c>
      <c r="AB87" s="6" t="s">
        <v>4</v>
      </c>
      <c r="AC87" s="6" t="s">
        <v>4</v>
      </c>
      <c r="AD87" s="6" t="s">
        <v>4</v>
      </c>
      <c r="AE87" s="6" t="s">
        <v>4</v>
      </c>
      <c r="AF87" s="6" t="s">
        <v>4</v>
      </c>
      <c r="AG87" s="6" t="s">
        <v>3</v>
      </c>
      <c r="AH87" s="6" t="s">
        <v>4</v>
      </c>
      <c r="AI87" s="6" t="s">
        <v>3</v>
      </c>
      <c r="AJ87" s="6" t="s">
        <v>4</v>
      </c>
      <c r="AK87" s="6" t="s">
        <v>4</v>
      </c>
      <c r="AL87" s="6" t="s">
        <v>4</v>
      </c>
      <c r="AM87" s="6" t="s">
        <v>3</v>
      </c>
    </row>
    <row r="88" spans="1:39" x14ac:dyDescent="0.3">
      <c r="A88" s="6">
        <f t="shared" si="1"/>
        <v>87</v>
      </c>
      <c r="B88" s="6" t="s">
        <v>473</v>
      </c>
      <c r="C88" s="6">
        <v>5</v>
      </c>
      <c r="D88" s="6" t="s">
        <v>5</v>
      </c>
      <c r="E88" s="6" t="s">
        <v>3</v>
      </c>
      <c r="F88" s="6" t="s">
        <v>5</v>
      </c>
      <c r="G88" s="6" t="s">
        <v>5</v>
      </c>
      <c r="H88" s="6" t="s">
        <v>5</v>
      </c>
      <c r="I88" s="6" t="s">
        <v>5</v>
      </c>
      <c r="J88" s="6" t="s">
        <v>5</v>
      </c>
      <c r="K88" s="6" t="s">
        <v>2</v>
      </c>
      <c r="L88" s="6" t="s">
        <v>3</v>
      </c>
      <c r="M88" s="6" t="s">
        <v>3</v>
      </c>
      <c r="N88" s="6" t="s">
        <v>5</v>
      </c>
      <c r="O88" s="6" t="s">
        <v>2</v>
      </c>
      <c r="P88" s="6" t="s">
        <v>5</v>
      </c>
      <c r="Q88" s="6" t="s">
        <v>2</v>
      </c>
      <c r="R88" s="6" t="s">
        <v>2</v>
      </c>
      <c r="S88" s="6" t="s">
        <v>5</v>
      </c>
      <c r="T88" s="6" t="s">
        <v>5</v>
      </c>
      <c r="U88" s="6" t="s">
        <v>5</v>
      </c>
      <c r="V88" s="6" t="s">
        <v>3</v>
      </c>
      <c r="W88" s="6" t="s">
        <v>3</v>
      </c>
      <c r="X88" s="6" t="s">
        <v>4</v>
      </c>
      <c r="Y88" s="6" t="s">
        <v>4</v>
      </c>
      <c r="Z88" s="6" t="s">
        <v>3</v>
      </c>
      <c r="AA88" s="6" t="s">
        <v>4</v>
      </c>
      <c r="AB88" s="6" t="s">
        <v>4</v>
      </c>
      <c r="AC88" s="6" t="s">
        <v>4</v>
      </c>
      <c r="AD88" s="6" t="s">
        <v>4</v>
      </c>
      <c r="AE88" s="6" t="s">
        <v>4</v>
      </c>
      <c r="AF88" s="6" t="s">
        <v>3</v>
      </c>
      <c r="AG88" s="6" t="s">
        <v>3</v>
      </c>
      <c r="AH88" s="6" t="s">
        <v>4</v>
      </c>
      <c r="AI88" s="6" t="s">
        <v>3</v>
      </c>
      <c r="AJ88" s="6" t="s">
        <v>4</v>
      </c>
      <c r="AK88" s="6" t="s">
        <v>4</v>
      </c>
      <c r="AL88" s="6" t="s">
        <v>3</v>
      </c>
      <c r="AM88" s="6" t="s">
        <v>3</v>
      </c>
    </row>
    <row r="89" spans="1:39" x14ac:dyDescent="0.3">
      <c r="A89" s="6">
        <f t="shared" si="1"/>
        <v>88</v>
      </c>
      <c r="B89" s="6" t="s">
        <v>478</v>
      </c>
      <c r="C89" s="6">
        <v>5</v>
      </c>
      <c r="D89" s="6" t="s">
        <v>5</v>
      </c>
      <c r="E89" s="6" t="s">
        <v>5</v>
      </c>
      <c r="F89" s="6" t="s">
        <v>2</v>
      </c>
      <c r="G89" s="6" t="s">
        <v>5</v>
      </c>
      <c r="H89" s="6" t="s">
        <v>5</v>
      </c>
      <c r="I89" s="6" t="s">
        <v>3</v>
      </c>
      <c r="J89" s="6" t="s">
        <v>5</v>
      </c>
      <c r="K89" s="6" t="s">
        <v>2</v>
      </c>
      <c r="L89" s="6" t="s">
        <v>3</v>
      </c>
      <c r="M89" s="6" t="s">
        <v>5</v>
      </c>
      <c r="N89" s="6" t="s">
        <v>2</v>
      </c>
      <c r="O89" s="6" t="s">
        <v>5</v>
      </c>
      <c r="P89" s="6" t="s">
        <v>5</v>
      </c>
      <c r="Q89" s="6" t="s">
        <v>2</v>
      </c>
      <c r="R89" s="6" t="s">
        <v>2</v>
      </c>
      <c r="S89" s="6" t="s">
        <v>5</v>
      </c>
      <c r="T89" s="6" t="s">
        <v>5</v>
      </c>
      <c r="U89" s="6" t="s">
        <v>5</v>
      </c>
      <c r="V89" s="6" t="s">
        <v>5</v>
      </c>
      <c r="W89" s="6" t="s">
        <v>3</v>
      </c>
      <c r="X89" s="6" t="s">
        <v>3</v>
      </c>
      <c r="Y89" s="6" t="s">
        <v>2</v>
      </c>
      <c r="Z89" s="6" t="s">
        <v>3</v>
      </c>
      <c r="AA89" s="6" t="s">
        <v>4</v>
      </c>
      <c r="AB89" s="6" t="s">
        <v>4</v>
      </c>
      <c r="AC89" s="6" t="s">
        <v>4</v>
      </c>
      <c r="AD89" s="6" t="s">
        <v>4</v>
      </c>
      <c r="AE89" s="6" t="s">
        <v>4</v>
      </c>
      <c r="AF89" s="6" t="s">
        <v>4</v>
      </c>
      <c r="AG89" s="6" t="s">
        <v>3</v>
      </c>
      <c r="AH89" s="6" t="s">
        <v>4</v>
      </c>
      <c r="AI89" s="6" t="s">
        <v>3</v>
      </c>
      <c r="AJ89" s="6" t="s">
        <v>4</v>
      </c>
      <c r="AK89" s="6" t="s">
        <v>4</v>
      </c>
      <c r="AL89" s="6" t="s">
        <v>3</v>
      </c>
      <c r="AM89" s="6" t="s">
        <v>3</v>
      </c>
    </row>
    <row r="90" spans="1:39" x14ac:dyDescent="0.3">
      <c r="A90" s="6">
        <f t="shared" si="1"/>
        <v>89</v>
      </c>
      <c r="B90" s="6" t="s">
        <v>494</v>
      </c>
      <c r="C90" s="6">
        <v>5</v>
      </c>
      <c r="D90" s="6" t="s">
        <v>2</v>
      </c>
      <c r="E90" s="6" t="s">
        <v>5</v>
      </c>
      <c r="F90" s="6" t="s">
        <v>2</v>
      </c>
      <c r="G90" s="6" t="s">
        <v>5</v>
      </c>
      <c r="H90" s="6" t="s">
        <v>5</v>
      </c>
      <c r="I90" s="6" t="s">
        <v>5</v>
      </c>
      <c r="J90" s="6" t="s">
        <v>2</v>
      </c>
      <c r="K90" s="6" t="s">
        <v>2</v>
      </c>
      <c r="L90" s="6" t="s">
        <v>2</v>
      </c>
      <c r="M90" s="6" t="s">
        <v>4</v>
      </c>
      <c r="N90" s="6" t="s">
        <v>4</v>
      </c>
      <c r="O90" s="6" t="s">
        <v>4</v>
      </c>
      <c r="P90" s="6" t="s">
        <v>5</v>
      </c>
      <c r="Q90" s="6" t="s">
        <v>4</v>
      </c>
      <c r="R90" s="6" t="s">
        <v>5</v>
      </c>
      <c r="S90" s="6" t="s">
        <v>5</v>
      </c>
      <c r="T90" s="6" t="s">
        <v>5</v>
      </c>
      <c r="U90" s="6" t="s">
        <v>5</v>
      </c>
      <c r="V90" s="6" t="s">
        <v>5</v>
      </c>
      <c r="W90" s="6" t="s">
        <v>4</v>
      </c>
      <c r="X90" s="6" t="s">
        <v>3</v>
      </c>
      <c r="Y90" s="6" t="s">
        <v>3</v>
      </c>
      <c r="Z90" s="6" t="s">
        <v>3</v>
      </c>
      <c r="AA90" s="6" t="s">
        <v>4</v>
      </c>
      <c r="AB90" s="6" t="s">
        <v>4</v>
      </c>
      <c r="AC90" s="6" t="s">
        <v>4</v>
      </c>
      <c r="AD90" s="6" t="s">
        <v>4</v>
      </c>
      <c r="AE90" s="6" t="s">
        <v>3</v>
      </c>
      <c r="AF90" s="6" t="s">
        <v>3</v>
      </c>
      <c r="AG90" s="6" t="s">
        <v>3</v>
      </c>
      <c r="AH90" s="6" t="s">
        <v>4</v>
      </c>
      <c r="AI90" s="6" t="s">
        <v>3</v>
      </c>
      <c r="AJ90" s="6" t="s">
        <v>4</v>
      </c>
      <c r="AK90" s="6" t="s">
        <v>4</v>
      </c>
      <c r="AL90" s="6" t="s">
        <v>4</v>
      </c>
      <c r="AM90" s="6" t="s">
        <v>3</v>
      </c>
    </row>
    <row r="91" spans="1:39" x14ac:dyDescent="0.3">
      <c r="A91" s="6">
        <f t="shared" si="1"/>
        <v>90</v>
      </c>
      <c r="B91" s="6" t="s">
        <v>324</v>
      </c>
      <c r="C91" s="6">
        <v>5</v>
      </c>
      <c r="D91" s="6" t="s">
        <v>5</v>
      </c>
      <c r="E91" s="6" t="s">
        <v>3</v>
      </c>
      <c r="F91" s="6" t="s">
        <v>3</v>
      </c>
      <c r="G91" s="6" t="s">
        <v>5</v>
      </c>
      <c r="H91" s="6" t="s">
        <v>5</v>
      </c>
      <c r="I91" s="6" t="s">
        <v>5</v>
      </c>
      <c r="J91" s="6" t="s">
        <v>5</v>
      </c>
      <c r="K91" s="6" t="s">
        <v>2</v>
      </c>
      <c r="L91" s="6" t="s">
        <v>2</v>
      </c>
      <c r="M91" s="6" t="s">
        <v>5</v>
      </c>
      <c r="N91" s="6" t="s">
        <v>3</v>
      </c>
      <c r="O91" s="6" t="s">
        <v>2</v>
      </c>
      <c r="P91" s="6" t="s">
        <v>5</v>
      </c>
      <c r="Q91" s="6" t="s">
        <v>2</v>
      </c>
      <c r="R91" s="6" t="s">
        <v>3</v>
      </c>
      <c r="S91" s="6" t="s">
        <v>5</v>
      </c>
      <c r="T91" s="6" t="s">
        <v>5</v>
      </c>
      <c r="U91" s="6" t="s">
        <v>5</v>
      </c>
      <c r="V91" s="6" t="s">
        <v>5</v>
      </c>
      <c r="W91" s="6" t="s">
        <v>3</v>
      </c>
      <c r="X91" s="6" t="s">
        <v>4</v>
      </c>
      <c r="Y91" s="6" t="s">
        <v>2</v>
      </c>
      <c r="Z91" s="6" t="s">
        <v>3</v>
      </c>
      <c r="AA91" s="6" t="s">
        <v>4</v>
      </c>
      <c r="AB91" s="6" t="s">
        <v>4</v>
      </c>
      <c r="AC91" s="6" t="s">
        <v>4</v>
      </c>
      <c r="AD91" s="6" t="s">
        <v>4</v>
      </c>
      <c r="AE91" s="6" t="s">
        <v>4</v>
      </c>
      <c r="AF91" s="6" t="s">
        <v>4</v>
      </c>
      <c r="AG91" s="6" t="s">
        <v>3</v>
      </c>
      <c r="AH91" s="6" t="s">
        <v>4</v>
      </c>
      <c r="AI91" s="6" t="s">
        <v>3</v>
      </c>
      <c r="AJ91" s="6" t="s">
        <v>4</v>
      </c>
      <c r="AK91" s="6" t="s">
        <v>4</v>
      </c>
      <c r="AL91" s="6" t="s">
        <v>4</v>
      </c>
      <c r="AM91" s="6" t="s">
        <v>3</v>
      </c>
    </row>
    <row r="92" spans="1:39" x14ac:dyDescent="0.3">
      <c r="A92" s="6">
        <f t="shared" si="1"/>
        <v>91</v>
      </c>
      <c r="B92" s="6" t="s">
        <v>325</v>
      </c>
      <c r="C92" s="6">
        <v>5</v>
      </c>
      <c r="D92" s="6" t="s">
        <v>5</v>
      </c>
      <c r="E92" s="6" t="s">
        <v>3</v>
      </c>
      <c r="F92" s="6" t="s">
        <v>5</v>
      </c>
      <c r="G92" s="6" t="s">
        <v>5</v>
      </c>
      <c r="H92" s="6" t="s">
        <v>5</v>
      </c>
      <c r="I92" s="6" t="s">
        <v>5</v>
      </c>
      <c r="J92" s="6" t="s">
        <v>5</v>
      </c>
      <c r="K92" s="6" t="s">
        <v>2</v>
      </c>
      <c r="L92" s="6" t="s">
        <v>2</v>
      </c>
      <c r="M92" s="6" t="s">
        <v>4</v>
      </c>
      <c r="N92" s="6" t="s">
        <v>4</v>
      </c>
      <c r="O92" s="6" t="s">
        <v>3</v>
      </c>
      <c r="P92" s="6" t="s">
        <v>5</v>
      </c>
      <c r="Q92" s="6" t="s">
        <v>2</v>
      </c>
      <c r="R92" s="6" t="s">
        <v>5</v>
      </c>
      <c r="S92" s="6" t="s">
        <v>2</v>
      </c>
      <c r="T92" s="6" t="s">
        <v>2</v>
      </c>
      <c r="U92" s="6" t="s">
        <v>5</v>
      </c>
      <c r="V92" s="6" t="s">
        <v>4</v>
      </c>
      <c r="W92" s="6" t="s">
        <v>3</v>
      </c>
      <c r="X92" s="6" t="s">
        <v>3</v>
      </c>
      <c r="Y92" s="6" t="s">
        <v>4</v>
      </c>
      <c r="Z92" s="6" t="s">
        <v>3</v>
      </c>
      <c r="AA92" s="6" t="s">
        <v>4</v>
      </c>
      <c r="AB92" s="6" t="s">
        <v>4</v>
      </c>
      <c r="AC92" s="6" t="s">
        <v>4</v>
      </c>
      <c r="AD92" s="6" t="s">
        <v>4</v>
      </c>
      <c r="AE92" s="6" t="s">
        <v>4</v>
      </c>
      <c r="AF92" s="6" t="s">
        <v>3</v>
      </c>
      <c r="AG92" s="6" t="s">
        <v>3</v>
      </c>
      <c r="AH92" s="6" t="s">
        <v>4</v>
      </c>
      <c r="AI92" s="6" t="s">
        <v>3</v>
      </c>
      <c r="AJ92" s="6" t="s">
        <v>4</v>
      </c>
      <c r="AK92" s="6" t="s">
        <v>4</v>
      </c>
      <c r="AL92" s="6" t="s">
        <v>4</v>
      </c>
      <c r="AM92" s="6" t="s">
        <v>3</v>
      </c>
    </row>
    <row r="93" spans="1:39" x14ac:dyDescent="0.3">
      <c r="A93" s="6">
        <f t="shared" si="1"/>
        <v>92</v>
      </c>
      <c r="B93" s="6" t="s">
        <v>326</v>
      </c>
      <c r="C93" s="6">
        <v>5</v>
      </c>
      <c r="D93" s="6" t="s">
        <v>5</v>
      </c>
      <c r="E93" s="6" t="s">
        <v>5</v>
      </c>
      <c r="F93" s="6" t="s">
        <v>2</v>
      </c>
      <c r="G93" s="6" t="s">
        <v>5</v>
      </c>
      <c r="H93" s="6" t="s">
        <v>5</v>
      </c>
      <c r="I93" s="6" t="s">
        <v>3</v>
      </c>
      <c r="J93" s="6" t="s">
        <v>5</v>
      </c>
      <c r="K93" s="6" t="s">
        <v>2</v>
      </c>
      <c r="L93" s="6" t="s">
        <v>2</v>
      </c>
      <c r="M93" s="6" t="s">
        <v>2</v>
      </c>
      <c r="N93" s="6" t="s">
        <v>2</v>
      </c>
      <c r="O93" s="6" t="s">
        <v>2</v>
      </c>
      <c r="P93" s="6" t="s">
        <v>2</v>
      </c>
      <c r="Q93" s="6" t="s">
        <v>3</v>
      </c>
      <c r="R93" s="6" t="s">
        <v>3</v>
      </c>
      <c r="S93" s="6" t="s">
        <v>5</v>
      </c>
      <c r="T93" s="6" t="s">
        <v>5</v>
      </c>
      <c r="U93" s="6" t="s">
        <v>5</v>
      </c>
      <c r="V93" s="6" t="s">
        <v>5</v>
      </c>
      <c r="W93" s="6" t="s">
        <v>3</v>
      </c>
      <c r="X93" s="6" t="s">
        <v>3</v>
      </c>
      <c r="Y93" s="6" t="s">
        <v>2</v>
      </c>
      <c r="Z93" s="6" t="s">
        <v>3</v>
      </c>
      <c r="AA93" s="6" t="s">
        <v>4</v>
      </c>
      <c r="AB93" s="6" t="s">
        <v>4</v>
      </c>
      <c r="AC93" s="6" t="s">
        <v>4</v>
      </c>
      <c r="AD93" s="6" t="s">
        <v>4</v>
      </c>
      <c r="AE93" s="6" t="s">
        <v>4</v>
      </c>
      <c r="AF93" s="6" t="s">
        <v>3</v>
      </c>
      <c r="AG93" s="6" t="s">
        <v>3</v>
      </c>
      <c r="AH93" s="6" t="s">
        <v>4</v>
      </c>
      <c r="AI93" s="6" t="s">
        <v>3</v>
      </c>
      <c r="AJ93" s="6" t="s">
        <v>3</v>
      </c>
      <c r="AK93" s="6" t="s">
        <v>4</v>
      </c>
      <c r="AL93" s="6" t="s">
        <v>3</v>
      </c>
      <c r="AM93" s="6" t="s">
        <v>3</v>
      </c>
    </row>
    <row r="94" spans="1:39" x14ac:dyDescent="0.3">
      <c r="A94" s="6">
        <f t="shared" si="1"/>
        <v>93</v>
      </c>
      <c r="B94" s="6" t="s">
        <v>479</v>
      </c>
      <c r="C94" s="6">
        <v>5</v>
      </c>
      <c r="D94" s="6" t="s">
        <v>2</v>
      </c>
      <c r="E94" s="6" t="s">
        <v>3</v>
      </c>
      <c r="F94" s="6" t="s">
        <v>5</v>
      </c>
      <c r="G94" s="6" t="s">
        <v>5</v>
      </c>
      <c r="H94" s="6" t="s">
        <v>5</v>
      </c>
      <c r="I94" s="6" t="s">
        <v>5</v>
      </c>
      <c r="J94" s="6" t="s">
        <v>5</v>
      </c>
      <c r="K94" s="6" t="s">
        <v>2</v>
      </c>
      <c r="L94" s="6" t="s">
        <v>3</v>
      </c>
      <c r="M94" s="6" t="s">
        <v>3</v>
      </c>
      <c r="N94" s="6" t="s">
        <v>5</v>
      </c>
      <c r="O94" s="6" t="s">
        <v>2</v>
      </c>
      <c r="P94" s="6" t="s">
        <v>5</v>
      </c>
      <c r="Q94" s="6" t="s">
        <v>2</v>
      </c>
      <c r="R94" s="6" t="s">
        <v>2</v>
      </c>
      <c r="S94" s="6" t="s">
        <v>5</v>
      </c>
      <c r="T94" s="6" t="s">
        <v>5</v>
      </c>
      <c r="U94" s="6" t="s">
        <v>5</v>
      </c>
      <c r="V94" s="6" t="s">
        <v>3</v>
      </c>
      <c r="W94" s="6" t="s">
        <v>3</v>
      </c>
      <c r="X94" s="6" t="s">
        <v>4</v>
      </c>
      <c r="Y94" s="6" t="s">
        <v>2</v>
      </c>
      <c r="Z94" s="6" t="s">
        <v>3</v>
      </c>
      <c r="AA94" s="6" t="s">
        <v>4</v>
      </c>
      <c r="AB94" s="6" t="s">
        <v>4</v>
      </c>
      <c r="AC94" s="6" t="s">
        <v>4</v>
      </c>
      <c r="AD94" s="6" t="s">
        <v>4</v>
      </c>
      <c r="AE94" s="6" t="s">
        <v>4</v>
      </c>
      <c r="AF94" s="6" t="s">
        <v>3</v>
      </c>
      <c r="AG94" s="6" t="s">
        <v>3</v>
      </c>
      <c r="AH94" s="6" t="s">
        <v>4</v>
      </c>
      <c r="AI94" s="6" t="s">
        <v>3</v>
      </c>
      <c r="AJ94" s="6" t="s">
        <v>4</v>
      </c>
      <c r="AK94" s="6" t="s">
        <v>4</v>
      </c>
      <c r="AL94" s="6" t="s">
        <v>4</v>
      </c>
      <c r="AM94" s="6" t="s">
        <v>3</v>
      </c>
    </row>
    <row r="95" spans="1:39" x14ac:dyDescent="0.3">
      <c r="A95" s="6">
        <f t="shared" si="1"/>
        <v>94</v>
      </c>
      <c r="B95" s="6" t="s">
        <v>480</v>
      </c>
      <c r="C95" s="6">
        <v>5</v>
      </c>
      <c r="D95" s="6" t="s">
        <v>2</v>
      </c>
      <c r="E95" s="6" t="s">
        <v>3</v>
      </c>
      <c r="F95" s="6" t="s">
        <v>4</v>
      </c>
      <c r="G95" s="6" t="s">
        <v>5</v>
      </c>
      <c r="H95" s="6" t="s">
        <v>5</v>
      </c>
      <c r="I95" s="6" t="s">
        <v>3</v>
      </c>
      <c r="J95" s="6" t="s">
        <v>5</v>
      </c>
      <c r="K95" s="6" t="s">
        <v>2</v>
      </c>
      <c r="L95" s="6" t="s">
        <v>3</v>
      </c>
      <c r="M95" s="6" t="s">
        <v>2</v>
      </c>
      <c r="N95" s="6" t="s">
        <v>2</v>
      </c>
      <c r="O95" s="6" t="s">
        <v>5</v>
      </c>
      <c r="P95" s="6" t="s">
        <v>5</v>
      </c>
      <c r="Q95" s="6" t="s">
        <v>2</v>
      </c>
      <c r="R95" s="6" t="s">
        <v>5</v>
      </c>
      <c r="S95" s="6" t="s">
        <v>5</v>
      </c>
      <c r="T95" s="6" t="s">
        <v>3</v>
      </c>
      <c r="U95" s="6" t="s">
        <v>5</v>
      </c>
      <c r="V95" s="6" t="s">
        <v>2</v>
      </c>
      <c r="W95" s="6" t="s">
        <v>4</v>
      </c>
      <c r="X95" s="6" t="s">
        <v>4</v>
      </c>
      <c r="Y95" s="6" t="s">
        <v>2</v>
      </c>
      <c r="Z95" s="6" t="s">
        <v>3</v>
      </c>
      <c r="AA95" s="6" t="s">
        <v>4</v>
      </c>
      <c r="AB95" s="6" t="s">
        <v>4</v>
      </c>
      <c r="AC95" s="6" t="s">
        <v>4</v>
      </c>
      <c r="AD95" s="6" t="s">
        <v>4</v>
      </c>
      <c r="AE95" s="6" t="s">
        <v>4</v>
      </c>
      <c r="AF95" s="6" t="s">
        <v>4</v>
      </c>
      <c r="AG95" s="6" t="s">
        <v>3</v>
      </c>
      <c r="AH95" s="6" t="s">
        <v>4</v>
      </c>
      <c r="AI95" s="6" t="s">
        <v>3</v>
      </c>
      <c r="AJ95" s="6" t="s">
        <v>4</v>
      </c>
      <c r="AK95" s="6" t="s">
        <v>4</v>
      </c>
      <c r="AL95" s="6" t="s">
        <v>3</v>
      </c>
      <c r="AM95" s="6" t="s">
        <v>3</v>
      </c>
    </row>
    <row r="96" spans="1:39" x14ac:dyDescent="0.3">
      <c r="A96" s="6">
        <f t="shared" si="1"/>
        <v>95</v>
      </c>
      <c r="B96" s="6" t="s">
        <v>496</v>
      </c>
      <c r="C96" s="6">
        <v>5</v>
      </c>
      <c r="D96" s="6" t="s">
        <v>5</v>
      </c>
      <c r="E96" s="6" t="s">
        <v>5</v>
      </c>
      <c r="F96" s="6" t="s">
        <v>3</v>
      </c>
      <c r="G96" s="6" t="s">
        <v>5</v>
      </c>
      <c r="H96" s="6" t="s">
        <v>5</v>
      </c>
      <c r="I96" s="6" t="s">
        <v>5</v>
      </c>
      <c r="J96" s="6" t="s">
        <v>5</v>
      </c>
      <c r="K96" s="6" t="s">
        <v>2</v>
      </c>
      <c r="L96" s="6" t="s">
        <v>2</v>
      </c>
      <c r="M96" s="6" t="s">
        <v>5</v>
      </c>
      <c r="N96" s="6" t="s">
        <v>2</v>
      </c>
      <c r="O96" s="6" t="s">
        <v>2</v>
      </c>
      <c r="P96" s="6" t="s">
        <v>4</v>
      </c>
      <c r="Q96" s="6" t="s">
        <v>3</v>
      </c>
      <c r="R96" s="6" t="s">
        <v>2</v>
      </c>
      <c r="S96" s="6" t="s">
        <v>5</v>
      </c>
      <c r="T96" s="6" t="s">
        <v>5</v>
      </c>
      <c r="U96" s="6" t="s">
        <v>5</v>
      </c>
      <c r="V96" s="6" t="s">
        <v>3</v>
      </c>
      <c r="W96" s="6" t="s">
        <v>3</v>
      </c>
      <c r="X96" s="6" t="s">
        <v>3</v>
      </c>
      <c r="Y96" s="6" t="s">
        <v>4</v>
      </c>
      <c r="Z96" s="6" t="s">
        <v>3</v>
      </c>
      <c r="AA96" s="6" t="s">
        <v>4</v>
      </c>
      <c r="AB96" s="6" t="s">
        <v>4</v>
      </c>
      <c r="AC96" s="6" t="s">
        <v>4</v>
      </c>
      <c r="AD96" s="6" t="s">
        <v>4</v>
      </c>
      <c r="AE96" s="6" t="s">
        <v>4</v>
      </c>
      <c r="AF96" s="6" t="s">
        <v>3</v>
      </c>
      <c r="AG96" s="6" t="s">
        <v>3</v>
      </c>
      <c r="AH96" s="6" t="s">
        <v>4</v>
      </c>
      <c r="AI96" s="6" t="s">
        <v>3</v>
      </c>
      <c r="AJ96" s="6" t="s">
        <v>4</v>
      </c>
      <c r="AK96" s="6" t="s">
        <v>4</v>
      </c>
      <c r="AL96" s="6" t="s">
        <v>3</v>
      </c>
      <c r="AM96" s="6" t="s">
        <v>3</v>
      </c>
    </row>
    <row r="97" spans="1:39" x14ac:dyDescent="0.3">
      <c r="A97" s="6">
        <f t="shared" si="1"/>
        <v>96</v>
      </c>
      <c r="B97" s="6" t="s">
        <v>35</v>
      </c>
      <c r="C97" s="50">
        <v>6</v>
      </c>
      <c r="D97" s="6" t="s">
        <v>5</v>
      </c>
      <c r="E97" s="6" t="s">
        <v>3</v>
      </c>
      <c r="F97" s="6" t="s">
        <v>3</v>
      </c>
      <c r="G97" s="6" t="s">
        <v>5</v>
      </c>
      <c r="H97" s="6" t="s">
        <v>5</v>
      </c>
      <c r="I97" s="6" t="s">
        <v>5</v>
      </c>
      <c r="J97" s="6" t="s">
        <v>5</v>
      </c>
      <c r="K97" s="6" t="s">
        <v>5</v>
      </c>
      <c r="L97" s="6" t="s">
        <v>2</v>
      </c>
      <c r="M97" s="6" t="s">
        <v>3</v>
      </c>
      <c r="N97" s="6" t="s">
        <v>2</v>
      </c>
      <c r="O97" s="6" t="s">
        <v>3</v>
      </c>
      <c r="P97" s="6" t="s">
        <v>2</v>
      </c>
      <c r="Q97" s="6" t="s">
        <v>2</v>
      </c>
      <c r="R97" s="6" t="s">
        <v>3</v>
      </c>
      <c r="S97" s="6" t="s">
        <v>5</v>
      </c>
      <c r="T97" s="6" t="s">
        <v>2</v>
      </c>
      <c r="U97" s="6" t="s">
        <v>5</v>
      </c>
      <c r="V97" s="6" t="s">
        <v>3</v>
      </c>
      <c r="W97" s="6" t="s">
        <v>3</v>
      </c>
      <c r="X97" s="6" t="s">
        <v>3</v>
      </c>
      <c r="Y97" s="6" t="s">
        <v>2</v>
      </c>
      <c r="Z97" s="6" t="s">
        <v>3</v>
      </c>
      <c r="AA97" s="6" t="s">
        <v>4</v>
      </c>
      <c r="AB97" s="6" t="s">
        <v>4</v>
      </c>
      <c r="AC97" s="6" t="s">
        <v>3</v>
      </c>
      <c r="AD97" s="6" t="s">
        <v>4</v>
      </c>
      <c r="AE97" s="6" t="s">
        <v>4</v>
      </c>
      <c r="AF97" s="6" t="s">
        <v>3</v>
      </c>
      <c r="AG97" s="6" t="s">
        <v>3</v>
      </c>
      <c r="AH97" s="6" t="s">
        <v>4</v>
      </c>
      <c r="AI97" s="6" t="s">
        <v>3</v>
      </c>
      <c r="AJ97" s="6" t="s">
        <v>4</v>
      </c>
      <c r="AK97" s="6" t="s">
        <v>4</v>
      </c>
      <c r="AL97" s="6" t="s">
        <v>3</v>
      </c>
      <c r="AM97" s="6" t="s">
        <v>3</v>
      </c>
    </row>
    <row r="98" spans="1:39" x14ac:dyDescent="0.3">
      <c r="A98" s="6">
        <f t="shared" si="1"/>
        <v>97</v>
      </c>
      <c r="B98" s="6" t="s">
        <v>36</v>
      </c>
      <c r="C98" s="50">
        <v>6</v>
      </c>
      <c r="D98" s="6" t="s">
        <v>5</v>
      </c>
      <c r="E98" s="6" t="s">
        <v>5</v>
      </c>
      <c r="F98" s="6" t="s">
        <v>5</v>
      </c>
      <c r="G98" s="6" t="s">
        <v>5</v>
      </c>
      <c r="H98" s="6" t="s">
        <v>5</v>
      </c>
      <c r="I98" s="6" t="s">
        <v>5</v>
      </c>
      <c r="J98" s="6" t="s">
        <v>5</v>
      </c>
      <c r="K98" s="6" t="s">
        <v>2</v>
      </c>
      <c r="L98" s="6" t="s">
        <v>4</v>
      </c>
      <c r="M98" s="6" t="s">
        <v>4</v>
      </c>
      <c r="N98" s="6" t="s">
        <v>4</v>
      </c>
      <c r="O98" s="6" t="s">
        <v>5</v>
      </c>
      <c r="P98" s="6" t="s">
        <v>5</v>
      </c>
      <c r="Q98" s="6" t="s">
        <v>3</v>
      </c>
      <c r="R98" s="6" t="s">
        <v>5</v>
      </c>
      <c r="S98" s="6" t="s">
        <v>5</v>
      </c>
      <c r="T98" s="6" t="s">
        <v>2</v>
      </c>
      <c r="U98" s="6" t="s">
        <v>5</v>
      </c>
      <c r="V98" s="6" t="s">
        <v>3</v>
      </c>
      <c r="W98" s="6" t="s">
        <v>3</v>
      </c>
      <c r="X98" s="6" t="s">
        <v>3</v>
      </c>
      <c r="Y98" s="6" t="s">
        <v>2</v>
      </c>
      <c r="Z98" s="6" t="s">
        <v>3</v>
      </c>
      <c r="AA98" s="6" t="s">
        <v>4</v>
      </c>
      <c r="AB98" s="6" t="s">
        <v>4</v>
      </c>
      <c r="AC98" s="6" t="s">
        <v>4</v>
      </c>
      <c r="AD98" s="6" t="s">
        <v>4</v>
      </c>
      <c r="AE98" s="6" t="s">
        <v>3</v>
      </c>
      <c r="AF98" s="6" t="s">
        <v>3</v>
      </c>
      <c r="AG98" s="6" t="s">
        <v>3</v>
      </c>
      <c r="AH98" s="6" t="s">
        <v>4</v>
      </c>
      <c r="AI98" s="6" t="s">
        <v>3</v>
      </c>
      <c r="AJ98" s="6" t="s">
        <v>3</v>
      </c>
      <c r="AK98" s="6" t="s">
        <v>3</v>
      </c>
      <c r="AL98" s="6" t="s">
        <v>3</v>
      </c>
      <c r="AM98" s="6" t="s">
        <v>3</v>
      </c>
    </row>
    <row r="99" spans="1:39" x14ac:dyDescent="0.3">
      <c r="A99" s="6">
        <f t="shared" si="1"/>
        <v>98</v>
      </c>
      <c r="B99" s="6" t="s">
        <v>37</v>
      </c>
      <c r="C99" s="50">
        <v>6</v>
      </c>
      <c r="D99" s="6" t="s">
        <v>5</v>
      </c>
      <c r="E99" s="6" t="s">
        <v>3</v>
      </c>
      <c r="F99" s="6" t="s">
        <v>2</v>
      </c>
      <c r="G99" s="6" t="s">
        <v>5</v>
      </c>
      <c r="H99" s="6" t="s">
        <v>5</v>
      </c>
      <c r="I99" s="6" t="s">
        <v>5</v>
      </c>
      <c r="J99" s="6" t="s">
        <v>5</v>
      </c>
      <c r="K99" s="6" t="s">
        <v>2</v>
      </c>
      <c r="L99" s="6" t="s">
        <v>2</v>
      </c>
      <c r="M99" s="6" t="s">
        <v>4</v>
      </c>
      <c r="N99" s="6" t="s">
        <v>4</v>
      </c>
      <c r="O99" s="6" t="s">
        <v>5</v>
      </c>
      <c r="P99" s="6" t="s">
        <v>5</v>
      </c>
      <c r="Q99" s="6" t="s">
        <v>4</v>
      </c>
      <c r="R99" s="6" t="s">
        <v>5</v>
      </c>
      <c r="S99" s="6" t="s">
        <v>5</v>
      </c>
      <c r="T99" s="6" t="s">
        <v>2</v>
      </c>
      <c r="U99" s="6" t="s">
        <v>5</v>
      </c>
      <c r="V99" s="6" t="s">
        <v>5</v>
      </c>
      <c r="W99" s="6" t="s">
        <v>4</v>
      </c>
      <c r="X99" s="6" t="s">
        <v>3</v>
      </c>
      <c r="Y99" s="6" t="s">
        <v>2</v>
      </c>
      <c r="Z99" s="6" t="s">
        <v>3</v>
      </c>
      <c r="AA99" s="6" t="s">
        <v>3</v>
      </c>
      <c r="AB99" s="6" t="s">
        <v>4</v>
      </c>
      <c r="AC99" s="6" t="s">
        <v>4</v>
      </c>
      <c r="AD99" s="6" t="s">
        <v>4</v>
      </c>
      <c r="AE99" s="6" t="s">
        <v>4</v>
      </c>
      <c r="AF99" s="6" t="s">
        <v>4</v>
      </c>
      <c r="AG99" s="6" t="s">
        <v>3</v>
      </c>
      <c r="AH99" s="6" t="s">
        <v>4</v>
      </c>
      <c r="AI99" s="6" t="s">
        <v>3</v>
      </c>
      <c r="AJ99" s="6" t="s">
        <v>4</v>
      </c>
      <c r="AK99" s="6" t="s">
        <v>4</v>
      </c>
      <c r="AL99" s="6" t="s">
        <v>4</v>
      </c>
      <c r="AM99" s="6" t="s">
        <v>3</v>
      </c>
    </row>
    <row r="100" spans="1:39" x14ac:dyDescent="0.3">
      <c r="A100" s="6">
        <f t="shared" si="1"/>
        <v>99</v>
      </c>
      <c r="B100" s="6" t="s">
        <v>38</v>
      </c>
      <c r="C100" s="50">
        <v>6</v>
      </c>
      <c r="D100" s="6" t="s">
        <v>5</v>
      </c>
      <c r="E100" s="6" t="s">
        <v>3</v>
      </c>
      <c r="F100" s="6" t="s">
        <v>5</v>
      </c>
      <c r="G100" s="6" t="s">
        <v>5</v>
      </c>
      <c r="H100" s="6" t="s">
        <v>5</v>
      </c>
      <c r="I100" s="6" t="s">
        <v>5</v>
      </c>
      <c r="J100" s="6" t="s">
        <v>5</v>
      </c>
      <c r="K100" s="6" t="s">
        <v>2</v>
      </c>
      <c r="L100" s="6" t="s">
        <v>2</v>
      </c>
      <c r="M100" s="6" t="s">
        <v>4</v>
      </c>
      <c r="N100" s="6" t="s">
        <v>3</v>
      </c>
      <c r="O100" s="6" t="s">
        <v>5</v>
      </c>
      <c r="P100" s="6" t="s">
        <v>2</v>
      </c>
      <c r="Q100" s="6" t="s">
        <v>3</v>
      </c>
      <c r="R100" s="6" t="s">
        <v>2</v>
      </c>
      <c r="S100" s="6" t="s">
        <v>5</v>
      </c>
      <c r="T100" s="6" t="s">
        <v>5</v>
      </c>
      <c r="U100" s="6" t="s">
        <v>5</v>
      </c>
      <c r="V100" s="6" t="s">
        <v>5</v>
      </c>
      <c r="W100" s="6" t="s">
        <v>2</v>
      </c>
      <c r="X100" s="6" t="s">
        <v>2</v>
      </c>
      <c r="Y100" s="6" t="s">
        <v>2</v>
      </c>
      <c r="Z100" s="6" t="s">
        <v>3</v>
      </c>
      <c r="AA100" s="6" t="s">
        <v>4</v>
      </c>
      <c r="AB100" s="6" t="s">
        <v>4</v>
      </c>
      <c r="AC100" s="6" t="s">
        <v>4</v>
      </c>
      <c r="AD100" s="6" t="s">
        <v>4</v>
      </c>
      <c r="AE100" s="6" t="s">
        <v>4</v>
      </c>
      <c r="AF100" s="6" t="s">
        <v>3</v>
      </c>
      <c r="AG100" s="6" t="s">
        <v>4</v>
      </c>
      <c r="AH100" s="6" t="s">
        <v>4</v>
      </c>
      <c r="AI100" s="6" t="s">
        <v>4</v>
      </c>
      <c r="AJ100" s="6" t="s">
        <v>4</v>
      </c>
      <c r="AK100" s="6" t="s">
        <v>4</v>
      </c>
      <c r="AL100" s="6" t="s">
        <v>4</v>
      </c>
      <c r="AM100" s="6" t="s">
        <v>3</v>
      </c>
    </row>
    <row r="101" spans="1:39" x14ac:dyDescent="0.3">
      <c r="A101" s="6">
        <f t="shared" si="1"/>
        <v>100</v>
      </c>
      <c r="B101" s="6" t="s">
        <v>254</v>
      </c>
      <c r="C101" s="50">
        <v>6</v>
      </c>
      <c r="D101" s="6" t="s">
        <v>4</v>
      </c>
      <c r="E101" s="6" t="s">
        <v>5</v>
      </c>
      <c r="F101" s="6" t="s">
        <v>2</v>
      </c>
      <c r="G101" s="6" t="s">
        <v>5</v>
      </c>
      <c r="H101" s="6" t="s">
        <v>5</v>
      </c>
      <c r="I101" s="6" t="s">
        <v>5</v>
      </c>
      <c r="J101" s="6" t="s">
        <v>2</v>
      </c>
      <c r="K101" s="6" t="s">
        <v>2</v>
      </c>
      <c r="L101" s="6" t="s">
        <v>2</v>
      </c>
      <c r="M101" s="6" t="s">
        <v>4</v>
      </c>
      <c r="N101" s="6" t="s">
        <v>3</v>
      </c>
      <c r="O101" s="6" t="s">
        <v>5</v>
      </c>
      <c r="P101" s="6" t="s">
        <v>5</v>
      </c>
      <c r="Q101" s="6" t="s">
        <v>4</v>
      </c>
      <c r="R101" s="6" t="s">
        <v>5</v>
      </c>
      <c r="S101" s="6" t="s">
        <v>5</v>
      </c>
      <c r="T101" s="6" t="s">
        <v>5</v>
      </c>
      <c r="U101" s="6" t="s">
        <v>5</v>
      </c>
      <c r="V101" s="6" t="s">
        <v>5</v>
      </c>
      <c r="W101" s="6" t="s">
        <v>4</v>
      </c>
      <c r="X101" s="6" t="s">
        <v>3</v>
      </c>
      <c r="Y101" s="6" t="s">
        <v>2</v>
      </c>
      <c r="Z101" s="6" t="s">
        <v>3</v>
      </c>
      <c r="AA101" s="6" t="s">
        <v>4</v>
      </c>
      <c r="AB101" s="6" t="s">
        <v>4</v>
      </c>
      <c r="AC101" s="6" t="s">
        <v>4</v>
      </c>
      <c r="AD101" s="6" t="s">
        <v>3</v>
      </c>
      <c r="AE101" s="6" t="s">
        <v>4</v>
      </c>
      <c r="AF101" s="6" t="s">
        <v>3</v>
      </c>
      <c r="AG101" s="6" t="s">
        <v>3</v>
      </c>
      <c r="AH101" s="6" t="s">
        <v>3</v>
      </c>
      <c r="AI101" s="6" t="s">
        <v>3</v>
      </c>
      <c r="AJ101" s="6" t="s">
        <v>3</v>
      </c>
      <c r="AK101" s="6" t="s">
        <v>3</v>
      </c>
      <c r="AL101" s="6" t="s">
        <v>3</v>
      </c>
      <c r="AM101" s="6" t="s">
        <v>3</v>
      </c>
    </row>
    <row r="102" spans="1:39" x14ac:dyDescent="0.3">
      <c r="A102" s="6">
        <f t="shared" si="1"/>
        <v>101</v>
      </c>
      <c r="B102" s="6" t="s">
        <v>253</v>
      </c>
      <c r="C102" s="50">
        <v>6</v>
      </c>
      <c r="D102" s="6" t="s">
        <v>5</v>
      </c>
      <c r="E102" s="6" t="s">
        <v>5</v>
      </c>
      <c r="F102" s="6" t="s">
        <v>3</v>
      </c>
      <c r="G102" s="6" t="s">
        <v>2</v>
      </c>
      <c r="H102" s="6" t="s">
        <v>5</v>
      </c>
      <c r="I102" s="6" t="s">
        <v>5</v>
      </c>
      <c r="J102" s="6" t="s">
        <v>5</v>
      </c>
      <c r="K102" s="6" t="s">
        <v>5</v>
      </c>
      <c r="L102" s="6" t="s">
        <v>2</v>
      </c>
      <c r="M102" s="6" t="s">
        <v>4</v>
      </c>
      <c r="N102" s="6" t="s">
        <v>4</v>
      </c>
      <c r="O102" s="6" t="s">
        <v>2</v>
      </c>
      <c r="P102" s="6" t="s">
        <v>5</v>
      </c>
      <c r="Q102" s="6" t="s">
        <v>2</v>
      </c>
      <c r="R102" s="6" t="s">
        <v>2</v>
      </c>
      <c r="S102" s="6" t="s">
        <v>5</v>
      </c>
      <c r="T102" s="6" t="s">
        <v>3</v>
      </c>
      <c r="U102" s="6" t="s">
        <v>5</v>
      </c>
      <c r="V102" s="6" t="s">
        <v>3</v>
      </c>
      <c r="W102" s="6" t="s">
        <v>2</v>
      </c>
      <c r="X102" s="6" t="s">
        <v>2</v>
      </c>
      <c r="Y102" s="6" t="s">
        <v>5</v>
      </c>
      <c r="Z102" s="6" t="s">
        <v>3</v>
      </c>
      <c r="AA102" s="6" t="s">
        <v>4</v>
      </c>
      <c r="AB102" s="6" t="s">
        <v>4</v>
      </c>
      <c r="AC102" s="6" t="s">
        <v>4</v>
      </c>
      <c r="AD102" s="6" t="s">
        <v>3</v>
      </c>
      <c r="AE102" s="6" t="s">
        <v>4</v>
      </c>
      <c r="AF102" s="6" t="s">
        <v>3</v>
      </c>
      <c r="AG102" s="6" t="s">
        <v>3</v>
      </c>
      <c r="AH102" s="6" t="s">
        <v>3</v>
      </c>
      <c r="AI102" s="6" t="s">
        <v>3</v>
      </c>
      <c r="AJ102" s="6" t="s">
        <v>3</v>
      </c>
      <c r="AK102" s="6" t="s">
        <v>3</v>
      </c>
      <c r="AL102" s="6" t="s">
        <v>4</v>
      </c>
      <c r="AM102" s="6" t="s">
        <v>3</v>
      </c>
    </row>
    <row r="103" spans="1:39" x14ac:dyDescent="0.3">
      <c r="A103" s="6">
        <f t="shared" si="1"/>
        <v>102</v>
      </c>
      <c r="B103" s="6" t="s">
        <v>275</v>
      </c>
      <c r="C103" s="50">
        <v>6</v>
      </c>
      <c r="D103" s="6" t="s">
        <v>5</v>
      </c>
      <c r="E103" s="6" t="s">
        <v>3</v>
      </c>
      <c r="F103" s="6" t="s">
        <v>3</v>
      </c>
      <c r="G103" s="6" t="s">
        <v>5</v>
      </c>
      <c r="H103" s="6" t="s">
        <v>5</v>
      </c>
      <c r="I103" s="6" t="s">
        <v>5</v>
      </c>
      <c r="J103" s="6" t="s">
        <v>5</v>
      </c>
      <c r="K103" s="6" t="s">
        <v>2</v>
      </c>
      <c r="L103" s="6" t="s">
        <v>2</v>
      </c>
      <c r="M103" s="6" t="s">
        <v>5</v>
      </c>
      <c r="N103" s="6" t="s">
        <v>3</v>
      </c>
      <c r="O103" s="6" t="s">
        <v>5</v>
      </c>
      <c r="P103" s="6" t="s">
        <v>5</v>
      </c>
      <c r="Q103" s="6" t="s">
        <v>3</v>
      </c>
      <c r="R103" s="6" t="s">
        <v>2</v>
      </c>
      <c r="S103" s="6" t="s">
        <v>5</v>
      </c>
      <c r="T103" s="6" t="s">
        <v>5</v>
      </c>
      <c r="U103" s="6" t="s">
        <v>5</v>
      </c>
      <c r="V103" s="6" t="s">
        <v>5</v>
      </c>
      <c r="W103" s="6" t="s">
        <v>4</v>
      </c>
      <c r="X103" s="6" t="s">
        <v>4</v>
      </c>
      <c r="Y103" s="6" t="s">
        <v>4</v>
      </c>
      <c r="Z103" s="6" t="s">
        <v>3</v>
      </c>
      <c r="AA103" s="6" t="s">
        <v>4</v>
      </c>
      <c r="AB103" s="6" t="s">
        <v>4</v>
      </c>
      <c r="AC103" s="6" t="s">
        <v>4</v>
      </c>
      <c r="AD103" s="6" t="s">
        <v>4</v>
      </c>
      <c r="AE103" s="6" t="s">
        <v>4</v>
      </c>
      <c r="AF103" s="6" t="s">
        <v>4</v>
      </c>
      <c r="AG103" s="6" t="s">
        <v>3</v>
      </c>
      <c r="AH103" s="6" t="s">
        <v>4</v>
      </c>
      <c r="AI103" s="6" t="s">
        <v>3</v>
      </c>
      <c r="AJ103" s="6" t="s">
        <v>3</v>
      </c>
      <c r="AK103" s="6" t="s">
        <v>3</v>
      </c>
      <c r="AL103" s="6" t="s">
        <v>4</v>
      </c>
      <c r="AM103" s="6" t="s">
        <v>3</v>
      </c>
    </row>
    <row r="104" spans="1:39" x14ac:dyDescent="0.3">
      <c r="A104" s="6">
        <f t="shared" si="1"/>
        <v>103</v>
      </c>
      <c r="B104" s="6" t="s">
        <v>276</v>
      </c>
      <c r="C104" s="50">
        <v>6</v>
      </c>
      <c r="D104" s="6" t="s">
        <v>5</v>
      </c>
      <c r="E104" s="6" t="s">
        <v>5</v>
      </c>
      <c r="F104" s="6" t="s">
        <v>5</v>
      </c>
      <c r="G104" s="6" t="s">
        <v>5</v>
      </c>
      <c r="H104" s="6" t="s">
        <v>5</v>
      </c>
      <c r="I104" s="6" t="s">
        <v>5</v>
      </c>
      <c r="J104" s="6" t="s">
        <v>5</v>
      </c>
      <c r="K104" s="6" t="s">
        <v>2</v>
      </c>
      <c r="L104" s="6" t="s">
        <v>3</v>
      </c>
      <c r="M104" s="6" t="s">
        <v>5</v>
      </c>
      <c r="N104" s="6" t="s">
        <v>4</v>
      </c>
      <c r="O104" s="6" t="s">
        <v>5</v>
      </c>
      <c r="P104" s="6" t="s">
        <v>2</v>
      </c>
      <c r="Q104" s="6" t="s">
        <v>2</v>
      </c>
      <c r="R104" s="6" t="s">
        <v>2</v>
      </c>
      <c r="S104" s="6" t="s">
        <v>5</v>
      </c>
      <c r="T104" s="6" t="s">
        <v>3</v>
      </c>
      <c r="U104" s="6" t="s">
        <v>5</v>
      </c>
      <c r="V104" s="6" t="s">
        <v>5</v>
      </c>
      <c r="W104" s="6" t="s">
        <v>3</v>
      </c>
      <c r="X104" s="6" t="s">
        <v>2</v>
      </c>
      <c r="Y104" s="6" t="s">
        <v>2</v>
      </c>
      <c r="Z104" s="6" t="s">
        <v>3</v>
      </c>
      <c r="AA104" s="6" t="s">
        <v>4</v>
      </c>
      <c r="AB104" s="6" t="s">
        <v>4</v>
      </c>
      <c r="AC104" s="6" t="s">
        <v>4</v>
      </c>
      <c r="AD104" s="6" t="s">
        <v>4</v>
      </c>
      <c r="AE104" s="6" t="s">
        <v>4</v>
      </c>
      <c r="AF104" s="6" t="s">
        <v>4</v>
      </c>
      <c r="AG104" s="6" t="s">
        <v>4</v>
      </c>
      <c r="AH104" s="6" t="s">
        <v>4</v>
      </c>
      <c r="AI104" s="6" t="s">
        <v>3</v>
      </c>
      <c r="AJ104" s="6" t="s">
        <v>3</v>
      </c>
      <c r="AK104" s="6" t="s">
        <v>4</v>
      </c>
      <c r="AL104" s="6" t="s">
        <v>4</v>
      </c>
      <c r="AM104" s="6" t="s">
        <v>3</v>
      </c>
    </row>
    <row r="105" spans="1:39" x14ac:dyDescent="0.3">
      <c r="A105" s="6">
        <f t="shared" si="1"/>
        <v>104</v>
      </c>
      <c r="B105" s="6" t="s">
        <v>277</v>
      </c>
      <c r="C105" s="50">
        <v>6</v>
      </c>
      <c r="D105" s="6" t="s">
        <v>5</v>
      </c>
      <c r="E105" s="6" t="s">
        <v>3</v>
      </c>
      <c r="F105" s="6" t="s">
        <v>4</v>
      </c>
      <c r="G105" s="6" t="s">
        <v>5</v>
      </c>
      <c r="H105" s="6" t="s">
        <v>5</v>
      </c>
      <c r="I105" s="6" t="s">
        <v>3</v>
      </c>
      <c r="J105" s="6" t="s">
        <v>2</v>
      </c>
      <c r="K105" s="6" t="s">
        <v>2</v>
      </c>
      <c r="L105" s="6" t="s">
        <v>3</v>
      </c>
      <c r="M105" s="6" t="s">
        <v>3</v>
      </c>
      <c r="N105" s="6" t="s">
        <v>4</v>
      </c>
      <c r="O105" s="6" t="s">
        <v>5</v>
      </c>
      <c r="P105" s="6" t="s">
        <v>5</v>
      </c>
      <c r="Q105" s="6" t="s">
        <v>3</v>
      </c>
      <c r="R105" s="6" t="s">
        <v>5</v>
      </c>
      <c r="S105" s="6" t="s">
        <v>5</v>
      </c>
      <c r="T105" s="6" t="s">
        <v>5</v>
      </c>
      <c r="U105" s="6" t="s">
        <v>5</v>
      </c>
      <c r="V105" s="6" t="s">
        <v>4</v>
      </c>
      <c r="W105" s="6" t="s">
        <v>4</v>
      </c>
      <c r="X105" s="6" t="s">
        <v>3</v>
      </c>
      <c r="Y105" s="6" t="s">
        <v>4</v>
      </c>
      <c r="Z105" s="6" t="s">
        <v>3</v>
      </c>
      <c r="AA105" s="6" t="s">
        <v>3</v>
      </c>
      <c r="AB105" s="6" t="s">
        <v>3</v>
      </c>
      <c r="AC105" s="6" t="s">
        <v>4</v>
      </c>
      <c r="AD105" s="6" t="s">
        <v>4</v>
      </c>
      <c r="AE105" s="6" t="s">
        <v>4</v>
      </c>
      <c r="AF105" s="6" t="s">
        <v>4</v>
      </c>
      <c r="AG105" s="6" t="s">
        <v>4</v>
      </c>
      <c r="AH105" s="6" t="s">
        <v>4</v>
      </c>
      <c r="AI105" s="6" t="s">
        <v>4</v>
      </c>
      <c r="AJ105" s="6" t="s">
        <v>4</v>
      </c>
      <c r="AK105" s="6" t="s">
        <v>4</v>
      </c>
      <c r="AL105" s="6" t="s">
        <v>4</v>
      </c>
      <c r="AM105" s="6" t="s">
        <v>4</v>
      </c>
    </row>
    <row r="106" spans="1:39" x14ac:dyDescent="0.3">
      <c r="A106" s="6">
        <f t="shared" si="1"/>
        <v>105</v>
      </c>
      <c r="B106" s="6" t="s">
        <v>278</v>
      </c>
      <c r="C106" s="50">
        <v>6</v>
      </c>
      <c r="D106" s="6" t="s">
        <v>5</v>
      </c>
      <c r="E106" s="6" t="s">
        <v>5</v>
      </c>
      <c r="F106" s="6" t="s">
        <v>3</v>
      </c>
      <c r="G106" s="6" t="s">
        <v>5</v>
      </c>
      <c r="H106" s="6" t="s">
        <v>5</v>
      </c>
      <c r="I106" s="6" t="s">
        <v>5</v>
      </c>
      <c r="J106" s="6" t="s">
        <v>5</v>
      </c>
      <c r="K106" s="6" t="s">
        <v>2</v>
      </c>
      <c r="L106" s="6" t="s">
        <v>2</v>
      </c>
      <c r="M106" s="6" t="s">
        <v>4</v>
      </c>
      <c r="N106" s="6" t="s">
        <v>4</v>
      </c>
      <c r="O106" s="6" t="s">
        <v>4</v>
      </c>
      <c r="P106" s="6" t="s">
        <v>5</v>
      </c>
      <c r="Q106" s="6" t="s">
        <v>4</v>
      </c>
      <c r="R106" s="6" t="s">
        <v>5</v>
      </c>
      <c r="S106" s="6" t="s">
        <v>5</v>
      </c>
      <c r="T106" s="6" t="s">
        <v>5</v>
      </c>
      <c r="U106" s="6" t="s">
        <v>5</v>
      </c>
      <c r="V106" s="6" t="s">
        <v>3</v>
      </c>
      <c r="W106" s="6" t="s">
        <v>5</v>
      </c>
      <c r="X106" s="6" t="s">
        <v>2</v>
      </c>
      <c r="Y106" s="6" t="s">
        <v>4</v>
      </c>
      <c r="Z106" s="6" t="s">
        <v>3</v>
      </c>
      <c r="AA106" s="6" t="s">
        <v>4</v>
      </c>
      <c r="AB106" s="6" t="s">
        <v>4</v>
      </c>
      <c r="AC106" s="6" t="s">
        <v>4</v>
      </c>
      <c r="AD106" s="6" t="s">
        <v>4</v>
      </c>
      <c r="AE106" s="6" t="s">
        <v>4</v>
      </c>
      <c r="AF106" s="6" t="s">
        <v>4</v>
      </c>
      <c r="AG106" s="6" t="s">
        <v>3</v>
      </c>
      <c r="AH106" s="6" t="s">
        <v>4</v>
      </c>
      <c r="AI106" s="6" t="s">
        <v>3</v>
      </c>
      <c r="AJ106" s="6" t="s">
        <v>3</v>
      </c>
      <c r="AK106" s="6" t="s">
        <v>4</v>
      </c>
      <c r="AL106" s="6" t="s">
        <v>4</v>
      </c>
      <c r="AM106" s="6" t="s">
        <v>3</v>
      </c>
    </row>
    <row r="107" spans="1:39" x14ac:dyDescent="0.3">
      <c r="A107" s="6">
        <f t="shared" si="1"/>
        <v>106</v>
      </c>
      <c r="B107" s="6" t="s">
        <v>474</v>
      </c>
      <c r="C107" s="6">
        <v>6</v>
      </c>
      <c r="D107" s="6" t="s">
        <v>5</v>
      </c>
      <c r="E107" s="6" t="s">
        <v>5</v>
      </c>
      <c r="F107" s="6" t="s">
        <v>3</v>
      </c>
      <c r="G107" s="6" t="s">
        <v>5</v>
      </c>
      <c r="H107" s="6" t="s">
        <v>5</v>
      </c>
      <c r="I107" s="6" t="s">
        <v>5</v>
      </c>
      <c r="J107" s="6" t="s">
        <v>2</v>
      </c>
      <c r="K107" s="6" t="s">
        <v>2</v>
      </c>
      <c r="L107" s="6" t="s">
        <v>2</v>
      </c>
      <c r="M107" s="6" t="s">
        <v>2</v>
      </c>
      <c r="N107" s="6" t="s">
        <v>4</v>
      </c>
      <c r="O107" s="6" t="s">
        <v>5</v>
      </c>
      <c r="P107" s="6" t="s">
        <v>2</v>
      </c>
      <c r="Q107" s="6" t="s">
        <v>3</v>
      </c>
      <c r="R107" s="6" t="s">
        <v>3</v>
      </c>
      <c r="S107" s="6" t="s">
        <v>5</v>
      </c>
      <c r="T107" s="6" t="s">
        <v>3</v>
      </c>
      <c r="U107" s="6" t="s">
        <v>2</v>
      </c>
      <c r="V107" s="6" t="s">
        <v>3</v>
      </c>
      <c r="W107" s="6" t="s">
        <v>4</v>
      </c>
      <c r="X107" s="6" t="s">
        <v>4</v>
      </c>
      <c r="Y107" s="6" t="s">
        <v>4</v>
      </c>
      <c r="Z107" s="6" t="s">
        <v>3</v>
      </c>
      <c r="AA107" s="6" t="s">
        <v>4</v>
      </c>
      <c r="AB107" s="6" t="s">
        <v>4</v>
      </c>
      <c r="AC107" s="6" t="s">
        <v>4</v>
      </c>
      <c r="AD107" s="6" t="s">
        <v>4</v>
      </c>
      <c r="AE107" s="6" t="s">
        <v>4</v>
      </c>
      <c r="AF107" s="6" t="s">
        <v>4</v>
      </c>
      <c r="AG107" s="6" t="s">
        <v>3</v>
      </c>
      <c r="AH107" s="6" t="s">
        <v>4</v>
      </c>
      <c r="AI107" s="6" t="s">
        <v>3</v>
      </c>
      <c r="AJ107" s="6" t="s">
        <v>4</v>
      </c>
      <c r="AK107" s="6" t="s">
        <v>3</v>
      </c>
      <c r="AL107" s="6" t="s">
        <v>3</v>
      </c>
      <c r="AM107" s="6" t="s">
        <v>3</v>
      </c>
    </row>
    <row r="108" spans="1:39" x14ac:dyDescent="0.3">
      <c r="A108" s="6">
        <f t="shared" si="1"/>
        <v>107</v>
      </c>
      <c r="B108" s="6" t="s">
        <v>476</v>
      </c>
      <c r="C108" s="6">
        <v>6</v>
      </c>
      <c r="D108" s="6" t="s">
        <v>5</v>
      </c>
      <c r="E108" s="6" t="s">
        <v>5</v>
      </c>
      <c r="F108" s="6" t="s">
        <v>5</v>
      </c>
      <c r="G108" s="6" t="s">
        <v>5</v>
      </c>
      <c r="H108" s="6" t="s">
        <v>5</v>
      </c>
      <c r="I108" s="6" t="s">
        <v>5</v>
      </c>
      <c r="J108" s="6" t="s">
        <v>5</v>
      </c>
      <c r="K108" s="6" t="s">
        <v>2</v>
      </c>
      <c r="L108" s="6" t="s">
        <v>3</v>
      </c>
      <c r="M108" s="6" t="s">
        <v>3</v>
      </c>
      <c r="N108" s="6" t="s">
        <v>4</v>
      </c>
      <c r="O108" s="6" t="s">
        <v>3</v>
      </c>
      <c r="P108" s="6" t="s">
        <v>5</v>
      </c>
      <c r="Q108" s="6" t="s">
        <v>3</v>
      </c>
      <c r="R108" s="6" t="s">
        <v>3</v>
      </c>
      <c r="S108" s="6" t="s">
        <v>5</v>
      </c>
      <c r="T108" s="6" t="s">
        <v>3</v>
      </c>
      <c r="U108" s="6" t="s">
        <v>5</v>
      </c>
      <c r="V108" s="6" t="s">
        <v>4</v>
      </c>
      <c r="W108" s="6" t="s">
        <v>2</v>
      </c>
      <c r="X108" s="6" t="s">
        <v>5</v>
      </c>
      <c r="Y108" s="6" t="s">
        <v>4</v>
      </c>
      <c r="Z108" s="6" t="s">
        <v>3</v>
      </c>
      <c r="AA108" s="6" t="s">
        <v>4</v>
      </c>
      <c r="AB108" s="6" t="s">
        <v>4</v>
      </c>
      <c r="AC108" s="6" t="s">
        <v>4</v>
      </c>
      <c r="AD108" s="6" t="s">
        <v>4</v>
      </c>
      <c r="AE108" s="6" t="s">
        <v>3</v>
      </c>
      <c r="AF108" s="6" t="s">
        <v>4</v>
      </c>
      <c r="AG108" s="6" t="s">
        <v>3</v>
      </c>
      <c r="AH108" s="6" t="s">
        <v>4</v>
      </c>
      <c r="AI108" s="6" t="s">
        <v>3</v>
      </c>
      <c r="AJ108" s="6" t="s">
        <v>4</v>
      </c>
      <c r="AK108" s="6" t="s">
        <v>3</v>
      </c>
      <c r="AL108" s="6" t="s">
        <v>3</v>
      </c>
      <c r="AM108" s="6" t="s">
        <v>3</v>
      </c>
    </row>
    <row r="109" spans="1:39" x14ac:dyDescent="0.3">
      <c r="A109" s="6">
        <f t="shared" si="1"/>
        <v>108</v>
      </c>
      <c r="B109" s="6" t="s">
        <v>489</v>
      </c>
      <c r="C109" s="6">
        <v>6</v>
      </c>
      <c r="D109" s="6" t="s">
        <v>5</v>
      </c>
      <c r="E109" s="6" t="s">
        <v>5</v>
      </c>
      <c r="F109" s="6" t="s">
        <v>4</v>
      </c>
      <c r="G109" s="6" t="s">
        <v>5</v>
      </c>
      <c r="H109" s="6" t="s">
        <v>5</v>
      </c>
      <c r="I109" s="6" t="s">
        <v>3</v>
      </c>
      <c r="J109" s="6" t="s">
        <v>5</v>
      </c>
      <c r="K109" s="6" t="s">
        <v>2</v>
      </c>
      <c r="L109" s="6" t="s">
        <v>2</v>
      </c>
      <c r="M109" s="6" t="s">
        <v>4</v>
      </c>
      <c r="N109" s="6" t="s">
        <v>3</v>
      </c>
      <c r="O109" s="6" t="s">
        <v>5</v>
      </c>
      <c r="P109" s="6" t="s">
        <v>5</v>
      </c>
      <c r="Q109" s="6" t="s">
        <v>4</v>
      </c>
      <c r="R109" s="6" t="s">
        <v>5</v>
      </c>
      <c r="S109" s="6" t="s">
        <v>5</v>
      </c>
      <c r="T109" s="6" t="s">
        <v>5</v>
      </c>
      <c r="U109" s="6" t="s">
        <v>5</v>
      </c>
      <c r="V109" s="6" t="s">
        <v>2</v>
      </c>
      <c r="W109" s="6" t="s">
        <v>4</v>
      </c>
      <c r="X109" s="6" t="s">
        <v>5</v>
      </c>
      <c r="Y109" s="6" t="s">
        <v>2</v>
      </c>
      <c r="Z109" s="6" t="s">
        <v>3</v>
      </c>
      <c r="AA109" s="6" t="s">
        <v>4</v>
      </c>
      <c r="AB109" s="6" t="s">
        <v>4</v>
      </c>
      <c r="AC109" s="6" t="s">
        <v>4</v>
      </c>
      <c r="AD109" s="6" t="s">
        <v>4</v>
      </c>
      <c r="AE109" s="6" t="s">
        <v>4</v>
      </c>
      <c r="AF109" s="6" t="s">
        <v>4</v>
      </c>
      <c r="AG109" s="6" t="s">
        <v>3</v>
      </c>
      <c r="AH109" s="6" t="s">
        <v>4</v>
      </c>
      <c r="AI109" s="6" t="s">
        <v>4</v>
      </c>
      <c r="AJ109" s="6" t="s">
        <v>4</v>
      </c>
      <c r="AK109" s="6" t="s">
        <v>3</v>
      </c>
      <c r="AL109" s="6" t="s">
        <v>4</v>
      </c>
      <c r="AM109" s="6" t="s">
        <v>3</v>
      </c>
    </row>
    <row r="110" spans="1:39" x14ac:dyDescent="0.3">
      <c r="A110" s="6">
        <f t="shared" si="1"/>
        <v>109</v>
      </c>
      <c r="B110" s="6" t="s">
        <v>430</v>
      </c>
      <c r="C110" s="6">
        <v>6</v>
      </c>
      <c r="D110" s="6" t="s">
        <v>5</v>
      </c>
      <c r="E110" s="6" t="s">
        <v>5</v>
      </c>
      <c r="F110" s="6" t="s">
        <v>3</v>
      </c>
      <c r="G110" s="6" t="s">
        <v>5</v>
      </c>
      <c r="H110" s="6" t="s">
        <v>5</v>
      </c>
      <c r="I110" s="6" t="s">
        <v>5</v>
      </c>
      <c r="J110" s="6" t="s">
        <v>5</v>
      </c>
      <c r="K110" s="6" t="s">
        <v>2</v>
      </c>
      <c r="L110" s="6" t="s">
        <v>2</v>
      </c>
      <c r="M110" s="6" t="s">
        <v>4</v>
      </c>
      <c r="N110" s="6" t="s">
        <v>4</v>
      </c>
      <c r="O110" s="6" t="s">
        <v>4</v>
      </c>
      <c r="P110" s="6" t="s">
        <v>5</v>
      </c>
      <c r="Q110" s="6" t="s">
        <v>4</v>
      </c>
      <c r="R110" s="6" t="s">
        <v>5</v>
      </c>
      <c r="S110" s="6" t="s">
        <v>5</v>
      </c>
      <c r="T110" s="6" t="s">
        <v>5</v>
      </c>
      <c r="U110" s="6" t="s">
        <v>5</v>
      </c>
      <c r="V110" s="6" t="s">
        <v>3</v>
      </c>
      <c r="W110" s="6" t="s">
        <v>5</v>
      </c>
      <c r="X110" s="6" t="s">
        <v>2</v>
      </c>
      <c r="Y110" s="6" t="s">
        <v>2</v>
      </c>
      <c r="Z110" s="6" t="s">
        <v>3</v>
      </c>
      <c r="AA110" s="6" t="s">
        <v>4</v>
      </c>
      <c r="AB110" s="6" t="s">
        <v>4</v>
      </c>
      <c r="AC110" s="6" t="s">
        <v>4</v>
      </c>
      <c r="AD110" s="6" t="s">
        <v>4</v>
      </c>
      <c r="AE110" s="6" t="s">
        <v>4</v>
      </c>
      <c r="AF110" s="6" t="s">
        <v>4</v>
      </c>
      <c r="AG110" s="6" t="s">
        <v>3</v>
      </c>
      <c r="AH110" s="6" t="s">
        <v>4</v>
      </c>
      <c r="AI110" s="6" t="s">
        <v>3</v>
      </c>
      <c r="AJ110" s="6" t="s">
        <v>3</v>
      </c>
      <c r="AK110" s="6" t="s">
        <v>4</v>
      </c>
      <c r="AL110" s="6" t="s">
        <v>3</v>
      </c>
      <c r="AM110" s="6" t="s">
        <v>3</v>
      </c>
    </row>
    <row r="111" spans="1:39" x14ac:dyDescent="0.3">
      <c r="A111" s="6">
        <f t="shared" si="1"/>
        <v>110</v>
      </c>
      <c r="B111" s="6" t="s">
        <v>327</v>
      </c>
      <c r="C111" s="6">
        <v>6</v>
      </c>
      <c r="D111" s="6" t="s">
        <v>4</v>
      </c>
      <c r="E111" s="6" t="s">
        <v>5</v>
      </c>
      <c r="F111" s="6" t="s">
        <v>2</v>
      </c>
      <c r="G111" s="6" t="s">
        <v>5</v>
      </c>
      <c r="H111" s="6" t="s">
        <v>5</v>
      </c>
      <c r="I111" s="6" t="s">
        <v>5</v>
      </c>
      <c r="J111" s="6" t="s">
        <v>2</v>
      </c>
      <c r="K111" s="6" t="s">
        <v>2</v>
      </c>
      <c r="L111" s="6" t="s">
        <v>2</v>
      </c>
      <c r="M111" s="6" t="s">
        <v>4</v>
      </c>
      <c r="N111" s="6" t="s">
        <v>2</v>
      </c>
      <c r="O111" s="6" t="s">
        <v>5</v>
      </c>
      <c r="P111" s="6" t="s">
        <v>5</v>
      </c>
      <c r="Q111" s="6" t="s">
        <v>4</v>
      </c>
      <c r="R111" s="6" t="s">
        <v>5</v>
      </c>
      <c r="S111" s="6" t="s">
        <v>5</v>
      </c>
      <c r="T111" s="6" t="s">
        <v>5</v>
      </c>
      <c r="U111" s="6" t="s">
        <v>5</v>
      </c>
      <c r="V111" s="6" t="s">
        <v>5</v>
      </c>
      <c r="W111" s="6" t="s">
        <v>4</v>
      </c>
      <c r="X111" s="6" t="s">
        <v>3</v>
      </c>
      <c r="Y111" s="6" t="s">
        <v>2</v>
      </c>
      <c r="Z111" s="6" t="s">
        <v>3</v>
      </c>
      <c r="AA111" s="6" t="s">
        <v>4</v>
      </c>
      <c r="AB111" s="6" t="s">
        <v>4</v>
      </c>
      <c r="AC111" s="6" t="s">
        <v>4</v>
      </c>
      <c r="AD111" s="6" t="s">
        <v>3</v>
      </c>
      <c r="AE111" s="6" t="s">
        <v>4</v>
      </c>
      <c r="AF111" s="6" t="s">
        <v>3</v>
      </c>
      <c r="AG111" s="6" t="s">
        <v>3</v>
      </c>
      <c r="AH111" s="6" t="s">
        <v>3</v>
      </c>
      <c r="AI111" s="6" t="s">
        <v>3</v>
      </c>
      <c r="AJ111" s="6" t="s">
        <v>3</v>
      </c>
      <c r="AK111" s="6" t="s">
        <v>3</v>
      </c>
      <c r="AL111" s="6" t="s">
        <v>3</v>
      </c>
      <c r="AM111" s="6" t="s">
        <v>3</v>
      </c>
    </row>
    <row r="112" spans="1:39" x14ac:dyDescent="0.3">
      <c r="A112" s="6">
        <f t="shared" si="1"/>
        <v>111</v>
      </c>
      <c r="B112" s="6" t="s">
        <v>328</v>
      </c>
      <c r="C112" s="6">
        <v>6</v>
      </c>
      <c r="D112" s="6" t="s">
        <v>5</v>
      </c>
      <c r="E112" s="6" t="s">
        <v>5</v>
      </c>
      <c r="F112" s="6" t="s">
        <v>3</v>
      </c>
      <c r="G112" s="6" t="s">
        <v>2</v>
      </c>
      <c r="H112" s="6" t="s">
        <v>5</v>
      </c>
      <c r="I112" s="6" t="s">
        <v>5</v>
      </c>
      <c r="J112" s="6" t="s">
        <v>5</v>
      </c>
      <c r="K112" s="6" t="s">
        <v>5</v>
      </c>
      <c r="L112" s="6" t="s">
        <v>2</v>
      </c>
      <c r="M112" s="6" t="s">
        <v>4</v>
      </c>
      <c r="N112" s="6" t="s">
        <v>4</v>
      </c>
      <c r="O112" s="6" t="s">
        <v>2</v>
      </c>
      <c r="P112" s="6" t="s">
        <v>5</v>
      </c>
      <c r="Q112" s="6" t="s">
        <v>2</v>
      </c>
      <c r="R112" s="6" t="s">
        <v>2</v>
      </c>
      <c r="S112" s="6" t="s">
        <v>5</v>
      </c>
      <c r="T112" s="6" t="s">
        <v>3</v>
      </c>
      <c r="U112" s="6" t="s">
        <v>5</v>
      </c>
      <c r="V112" s="6" t="s">
        <v>3</v>
      </c>
      <c r="W112" s="6" t="s">
        <v>2</v>
      </c>
      <c r="X112" s="6" t="s">
        <v>2</v>
      </c>
      <c r="Y112" s="6" t="s">
        <v>5</v>
      </c>
      <c r="Z112" s="6" t="s">
        <v>3</v>
      </c>
      <c r="AA112" s="6" t="s">
        <v>4</v>
      </c>
      <c r="AB112" s="6" t="s">
        <v>4</v>
      </c>
      <c r="AC112" s="6" t="s">
        <v>4</v>
      </c>
      <c r="AD112" s="6" t="s">
        <v>3</v>
      </c>
      <c r="AE112" s="6" t="s">
        <v>4</v>
      </c>
      <c r="AF112" s="6" t="s">
        <v>3</v>
      </c>
      <c r="AG112" s="6" t="s">
        <v>3</v>
      </c>
      <c r="AH112" s="6" t="s">
        <v>3</v>
      </c>
      <c r="AI112" s="6" t="s">
        <v>3</v>
      </c>
      <c r="AJ112" s="6" t="s">
        <v>3</v>
      </c>
      <c r="AK112" s="6" t="s">
        <v>3</v>
      </c>
      <c r="AL112" s="6" t="s">
        <v>3</v>
      </c>
      <c r="AM112" s="6" t="s">
        <v>3</v>
      </c>
    </row>
    <row r="113" spans="1:39" x14ac:dyDescent="0.3">
      <c r="A113" s="6">
        <f t="shared" si="1"/>
        <v>112</v>
      </c>
      <c r="B113" s="6" t="s">
        <v>475</v>
      </c>
      <c r="C113" s="6">
        <v>6</v>
      </c>
      <c r="D113" s="6" t="s">
        <v>5</v>
      </c>
      <c r="E113" s="6" t="s">
        <v>5</v>
      </c>
      <c r="F113" s="6" t="s">
        <v>2</v>
      </c>
      <c r="G113" s="6" t="s">
        <v>5</v>
      </c>
      <c r="H113" s="6" t="s">
        <v>5</v>
      </c>
      <c r="I113" s="6" t="s">
        <v>5</v>
      </c>
      <c r="J113" s="6" t="s">
        <v>5</v>
      </c>
      <c r="K113" s="6" t="s">
        <v>5</v>
      </c>
      <c r="L113" s="6" t="s">
        <v>2</v>
      </c>
      <c r="M113" s="6" t="s">
        <v>4</v>
      </c>
      <c r="N113" s="6" t="s">
        <v>4</v>
      </c>
      <c r="O113" s="6" t="s">
        <v>5</v>
      </c>
      <c r="P113" s="6" t="s">
        <v>2</v>
      </c>
      <c r="Q113" s="6" t="s">
        <v>3</v>
      </c>
      <c r="R113" s="6" t="s">
        <v>5</v>
      </c>
      <c r="S113" s="6" t="s">
        <v>5</v>
      </c>
      <c r="T113" s="6" t="s">
        <v>3</v>
      </c>
      <c r="U113" s="6" t="s">
        <v>5</v>
      </c>
      <c r="V113" s="6" t="s">
        <v>5</v>
      </c>
      <c r="W113" s="6" t="s">
        <v>4</v>
      </c>
      <c r="X113" s="6" t="s">
        <v>3</v>
      </c>
      <c r="Y113" s="6" t="s">
        <v>2</v>
      </c>
      <c r="Z113" s="6" t="s">
        <v>3</v>
      </c>
      <c r="AA113" s="6" t="s">
        <v>4</v>
      </c>
      <c r="AB113" s="6" t="s">
        <v>4</v>
      </c>
      <c r="AC113" s="6" t="s">
        <v>3</v>
      </c>
      <c r="AD113" s="6" t="s">
        <v>4</v>
      </c>
      <c r="AE113" s="6" t="s">
        <v>4</v>
      </c>
      <c r="AF113" s="6" t="s">
        <v>4</v>
      </c>
      <c r="AG113" s="6" t="s">
        <v>3</v>
      </c>
      <c r="AH113" s="6" t="s">
        <v>4</v>
      </c>
      <c r="AI113" s="6" t="s">
        <v>3</v>
      </c>
      <c r="AJ113" s="6" t="s">
        <v>4</v>
      </c>
      <c r="AK113" s="6" t="s">
        <v>4</v>
      </c>
      <c r="AL113" s="6" t="s">
        <v>4</v>
      </c>
      <c r="AM113" s="6" t="s">
        <v>3</v>
      </c>
    </row>
    <row r="114" spans="1:39" x14ac:dyDescent="0.3">
      <c r="A114" s="6">
        <f t="shared" si="1"/>
        <v>113</v>
      </c>
      <c r="B114" s="6" t="s">
        <v>477</v>
      </c>
      <c r="C114" s="6">
        <v>6</v>
      </c>
      <c r="D114" s="6" t="s">
        <v>5</v>
      </c>
      <c r="E114" s="6" t="s">
        <v>5</v>
      </c>
      <c r="F114" s="6" t="s">
        <v>3</v>
      </c>
      <c r="G114" s="6" t="s">
        <v>5</v>
      </c>
      <c r="H114" s="6" t="s">
        <v>5</v>
      </c>
      <c r="I114" s="6" t="s">
        <v>5</v>
      </c>
      <c r="J114" s="6" t="s">
        <v>5</v>
      </c>
      <c r="K114" s="6" t="s">
        <v>2</v>
      </c>
      <c r="L114" s="6" t="s">
        <v>2</v>
      </c>
      <c r="M114" s="6" t="s">
        <v>2</v>
      </c>
      <c r="N114" s="6" t="s">
        <v>2</v>
      </c>
      <c r="O114" s="6" t="s">
        <v>3</v>
      </c>
      <c r="P114" s="6" t="s">
        <v>5</v>
      </c>
      <c r="Q114" s="6" t="s">
        <v>3</v>
      </c>
      <c r="R114" s="6" t="s">
        <v>3</v>
      </c>
      <c r="S114" s="6" t="s">
        <v>5</v>
      </c>
      <c r="T114" s="6" t="s">
        <v>5</v>
      </c>
      <c r="U114" s="6" t="s">
        <v>5</v>
      </c>
      <c r="V114" s="6" t="s">
        <v>2</v>
      </c>
      <c r="W114" s="6" t="s">
        <v>3</v>
      </c>
      <c r="X114" s="6" t="s">
        <v>4</v>
      </c>
      <c r="Y114" s="6" t="s">
        <v>4</v>
      </c>
      <c r="Z114" s="6" t="s">
        <v>3</v>
      </c>
      <c r="AA114" s="6" t="s">
        <v>4</v>
      </c>
      <c r="AB114" s="6" t="s">
        <v>4</v>
      </c>
      <c r="AC114" s="6" t="s">
        <v>4</v>
      </c>
      <c r="AD114" s="6" t="s">
        <v>3</v>
      </c>
      <c r="AE114" s="6" t="s">
        <v>4</v>
      </c>
      <c r="AF114" s="6" t="s">
        <v>4</v>
      </c>
      <c r="AG114" s="6" t="s">
        <v>3</v>
      </c>
      <c r="AH114" s="6" t="s">
        <v>3</v>
      </c>
      <c r="AI114" s="6" t="s">
        <v>3</v>
      </c>
      <c r="AJ114" s="6" t="s">
        <v>3</v>
      </c>
      <c r="AK114" s="6" t="s">
        <v>3</v>
      </c>
      <c r="AL114" s="6" t="s">
        <v>3</v>
      </c>
      <c r="AM114" s="6" t="s">
        <v>3</v>
      </c>
    </row>
    <row r="115" spans="1:39" x14ac:dyDescent="0.3">
      <c r="A115" s="6">
        <f t="shared" si="1"/>
        <v>114</v>
      </c>
      <c r="B115" s="6" t="s">
        <v>488</v>
      </c>
      <c r="C115" s="6">
        <v>6</v>
      </c>
      <c r="D115" s="6" t="s">
        <v>5</v>
      </c>
      <c r="E115" s="6" t="s">
        <v>5</v>
      </c>
      <c r="F115" s="6" t="s">
        <v>4</v>
      </c>
      <c r="G115" s="6" t="s">
        <v>5</v>
      </c>
      <c r="H115" s="6" t="s">
        <v>5</v>
      </c>
      <c r="I115" s="6" t="s">
        <v>5</v>
      </c>
      <c r="J115" s="6" t="s">
        <v>5</v>
      </c>
      <c r="K115" s="6" t="s">
        <v>2</v>
      </c>
      <c r="L115" s="6" t="s">
        <v>3</v>
      </c>
      <c r="M115" s="6" t="s">
        <v>4</v>
      </c>
      <c r="N115" s="6" t="s">
        <v>3</v>
      </c>
      <c r="O115" s="6" t="s">
        <v>5</v>
      </c>
      <c r="P115" s="6" t="s">
        <v>5</v>
      </c>
      <c r="Q115" s="6" t="s">
        <v>3</v>
      </c>
      <c r="R115" s="6" t="s">
        <v>5</v>
      </c>
      <c r="S115" s="6" t="s">
        <v>5</v>
      </c>
      <c r="T115" s="6" t="s">
        <v>3</v>
      </c>
      <c r="U115" s="6" t="s">
        <v>5</v>
      </c>
      <c r="V115" s="6" t="s">
        <v>3</v>
      </c>
      <c r="W115" s="6" t="s">
        <v>4</v>
      </c>
      <c r="X115" s="6" t="s">
        <v>2</v>
      </c>
      <c r="Y115" s="6" t="s">
        <v>2</v>
      </c>
      <c r="Z115" s="6" t="s">
        <v>3</v>
      </c>
      <c r="AA115" s="6" t="s">
        <v>4</v>
      </c>
      <c r="AB115" s="6" t="s">
        <v>4</v>
      </c>
      <c r="AC115" s="6" t="s">
        <v>4</v>
      </c>
      <c r="AD115" s="6" t="s">
        <v>4</v>
      </c>
      <c r="AE115" s="6" t="s">
        <v>4</v>
      </c>
      <c r="AF115" s="6" t="s">
        <v>4</v>
      </c>
      <c r="AG115" s="6" t="s">
        <v>3</v>
      </c>
      <c r="AH115" s="6" t="s">
        <v>4</v>
      </c>
      <c r="AI115" s="6" t="s">
        <v>3</v>
      </c>
      <c r="AJ115" s="6" t="s">
        <v>3</v>
      </c>
      <c r="AK115" s="6" t="s">
        <v>4</v>
      </c>
      <c r="AL115" s="6" t="s">
        <v>3</v>
      </c>
      <c r="AM115" s="6" t="s">
        <v>3</v>
      </c>
    </row>
  </sheetData>
  <autoFilter ref="A1:C113" xr:uid="{D95A1183-34E6-4AD3-8E41-D84E180E52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Training 1+Uji 1</vt:lpstr>
      <vt:lpstr>Data Training 1</vt:lpstr>
      <vt:lpstr>Data Uji 1</vt:lpstr>
      <vt:lpstr>Evaluasi 1</vt:lpstr>
      <vt:lpstr>Training2+Uji2</vt:lpstr>
      <vt:lpstr>Data Training 2</vt:lpstr>
      <vt:lpstr>Data Uji 2</vt:lpstr>
      <vt:lpstr>Evaluasi 2</vt:lpstr>
      <vt:lpstr>IM (Indikator miskin)</vt:lpstr>
      <vt:lpstr>Seleksi Atribut Tidak Terpakai</vt:lpstr>
      <vt:lpstr>Seluruh Data Warga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arina marankahar</dc:creator>
  <cp:lastModifiedBy>arina marankahar</cp:lastModifiedBy>
  <dcterms:created xsi:type="dcterms:W3CDTF">2026-04-08T14:42:51Z</dcterms:created>
  <dcterms:modified xsi:type="dcterms:W3CDTF">2026-06-27T19:32:13Z</dcterms:modified>
</cp:coreProperties>
</file>
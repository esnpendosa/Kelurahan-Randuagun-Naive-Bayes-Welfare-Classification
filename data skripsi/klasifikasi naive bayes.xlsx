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RIPSII\HASIL SKRIPSI FIXX\"/>
    </mc:Choice>
  </mc:AlternateContent>
  <xr:revisionPtr revIDLastSave="0" documentId="13_ncr:1_{C4642435-8FB0-4A07-AD2C-4BB7AC8D66DB}" xr6:coauthVersionLast="47" xr6:coauthVersionMax="47" xr10:uidLastSave="{00000000-0000-0000-0000-000000000000}"/>
  <bookViews>
    <workbookView xWindow="-108" yWindow="-108" windowWidth="23256" windowHeight="12456" xr2:uid="{D064E9FF-8F79-4233-9656-810C23DD2569}"/>
  </bookViews>
  <sheets>
    <sheet name="Perhitungan naive bayes" sheetId="1" r:id="rId1"/>
    <sheet name="IM (Indikator miskin)" sheetId="2" r:id="rId2"/>
    <sheet name="Sheet1" sheetId="4" r:id="rId3"/>
  </sheets>
  <definedNames>
    <definedName name="_xlnm._FilterDatabase" localSheetId="0" hidden="1">'Perhitungan naive bayes'!$A$1:$AM$61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8" i="1" l="1"/>
  <c r="AR1337" i="1" a="1"/>
  <c r="AR1337" i="1" s="1"/>
  <c r="AR1333" i="1"/>
  <c r="AS1333" i="1" s="1"/>
  <c r="AR1332" i="1"/>
  <c r="AS1332" i="1" s="1"/>
  <c r="AR1331" i="1"/>
  <c r="AS1331" i="1" s="1"/>
  <c r="AR1330" i="1"/>
  <c r="AS1330" i="1" s="1"/>
  <c r="AR1329" i="1"/>
  <c r="AS1329" i="1" s="1"/>
  <c r="AR1328" i="1"/>
  <c r="AS1328" i="1" s="1"/>
  <c r="AR1324" i="1"/>
  <c r="AR1320" i="1"/>
  <c r="AS1320" i="1" s="1"/>
  <c r="AR1319" i="1"/>
  <c r="AS1319" i="1" s="1"/>
  <c r="AR1318" i="1"/>
  <c r="AS1318" i="1" s="1"/>
  <c r="AR1317" i="1"/>
  <c r="AS1317" i="1" s="1"/>
  <c r="AR1316" i="1"/>
  <c r="AS1316" i="1" s="1"/>
  <c r="AR1315" i="1"/>
  <c r="AS1315" i="1" s="1"/>
  <c r="AQ1310" i="1"/>
  <c r="AO1306" i="1"/>
  <c r="AU1299" i="1"/>
  <c r="AU1298" i="1"/>
  <c r="AU1297" i="1"/>
  <c r="AU1295" i="1"/>
  <c r="AU1296" i="1"/>
  <c r="AU1294" i="1"/>
  <c r="AU1300" i="1"/>
  <c r="AT27" i="1"/>
  <c r="AV314" i="1"/>
  <c r="AV313" i="1"/>
  <c r="AV312" i="1"/>
  <c r="AV311" i="1"/>
  <c r="AV310" i="1"/>
  <c r="AV309" i="1"/>
  <c r="AS292" i="1"/>
  <c r="AV305" i="1"/>
  <c r="AV304" i="1"/>
  <c r="AV303" i="1"/>
  <c r="AV302" i="1"/>
  <c r="AV301" i="1"/>
  <c r="AV300" i="1"/>
  <c r="AS295" i="1"/>
  <c r="AW154" i="1"/>
  <c r="AQ1334" i="1" l="1"/>
  <c r="AQ1321" i="1"/>
  <c r="AT126" i="1"/>
  <c r="AX27" i="1" l="1"/>
  <c r="AU27" i="1"/>
  <c r="AV18" i="1"/>
  <c r="AY212" i="1"/>
  <c r="AY211" i="1"/>
  <c r="AX212" i="1"/>
  <c r="AX211" i="1"/>
  <c r="AW212" i="1"/>
  <c r="AW211" i="1"/>
  <c r="AV212" i="1"/>
  <c r="AV211" i="1"/>
  <c r="AU212" i="1"/>
  <c r="AU211" i="1"/>
  <c r="AT212" i="1"/>
  <c r="AT211" i="1"/>
  <c r="AY208" i="1"/>
  <c r="AY207" i="1"/>
  <c r="AX208" i="1"/>
  <c r="AX207" i="1"/>
  <c r="AW208" i="1"/>
  <c r="AW207" i="1"/>
  <c r="AV208" i="1"/>
  <c r="AV207" i="1"/>
  <c r="AU208" i="1"/>
  <c r="AU207" i="1"/>
  <c r="AT208" i="1"/>
  <c r="AT207" i="1"/>
  <c r="AY204" i="1"/>
  <c r="AY203" i="1"/>
  <c r="AX204" i="1"/>
  <c r="AX203" i="1"/>
  <c r="AW204" i="1"/>
  <c r="AW203" i="1"/>
  <c r="AV204" i="1"/>
  <c r="AV203" i="1"/>
  <c r="AU204" i="1"/>
  <c r="AU203" i="1"/>
  <c r="AT204" i="1"/>
  <c r="AT203" i="1"/>
  <c r="AV76" i="1"/>
  <c r="AY200" i="1"/>
  <c r="AY199" i="1"/>
  <c r="AX200" i="1"/>
  <c r="AX199" i="1"/>
  <c r="AW200" i="1"/>
  <c r="AW199" i="1"/>
  <c r="AV200" i="1"/>
  <c r="AV199" i="1"/>
  <c r="AU200" i="1"/>
  <c r="AU199" i="1"/>
  <c r="AT200" i="1"/>
  <c r="AT199" i="1"/>
  <c r="AY196" i="1"/>
  <c r="AY195" i="1"/>
  <c r="AX196" i="1"/>
  <c r="AX195" i="1"/>
  <c r="AW196" i="1"/>
  <c r="AW195" i="1"/>
  <c r="AV196" i="1"/>
  <c r="AV195" i="1"/>
  <c r="AU196" i="1"/>
  <c r="AU195" i="1"/>
  <c r="AT196" i="1"/>
  <c r="AT195" i="1"/>
  <c r="AY192" i="1"/>
  <c r="AY191" i="1"/>
  <c r="AX192" i="1"/>
  <c r="AX191" i="1"/>
  <c r="AW192" i="1"/>
  <c r="AW191" i="1"/>
  <c r="AV192" i="1"/>
  <c r="AV191" i="1"/>
  <c r="AU192" i="1"/>
  <c r="AU191" i="1"/>
  <c r="AT192" i="1"/>
  <c r="AT191" i="1"/>
  <c r="AY188" i="1"/>
  <c r="AY187" i="1"/>
  <c r="AX188" i="1"/>
  <c r="AX187" i="1"/>
  <c r="AW188" i="1"/>
  <c r="AW187" i="1"/>
  <c r="AV188" i="1"/>
  <c r="AV187" i="1"/>
  <c r="AU188" i="1"/>
  <c r="AU187" i="1"/>
  <c r="AT188" i="1"/>
  <c r="AT187" i="1"/>
  <c r="AY184" i="1"/>
  <c r="AY183" i="1"/>
  <c r="AX184" i="1"/>
  <c r="AX183" i="1"/>
  <c r="AW184" i="1"/>
  <c r="AW183" i="1"/>
  <c r="AV184" i="1"/>
  <c r="AV183" i="1"/>
  <c r="AU184" i="1"/>
  <c r="AU183" i="1"/>
  <c r="AT184" i="1"/>
  <c r="AT183" i="1"/>
  <c r="AY180" i="1"/>
  <c r="AY179" i="1"/>
  <c r="AX180" i="1"/>
  <c r="AX179" i="1"/>
  <c r="AW180" i="1"/>
  <c r="AW179" i="1"/>
  <c r="AV180" i="1"/>
  <c r="AV179" i="1"/>
  <c r="AU180" i="1"/>
  <c r="AU179" i="1"/>
  <c r="AT180" i="1"/>
  <c r="AT179" i="1"/>
  <c r="AY176" i="1"/>
  <c r="AY175" i="1"/>
  <c r="AX176" i="1"/>
  <c r="AX175" i="1"/>
  <c r="AW175" i="1"/>
  <c r="AW176" i="1"/>
  <c r="AV176" i="1"/>
  <c r="AV175" i="1"/>
  <c r="AU176" i="1"/>
  <c r="AU175" i="1"/>
  <c r="AT176" i="1"/>
  <c r="AT175" i="1"/>
  <c r="AT171" i="1"/>
  <c r="AU171" i="1"/>
  <c r="AV171" i="1"/>
  <c r="AW171" i="1"/>
  <c r="AX171" i="1"/>
  <c r="AY171" i="1"/>
  <c r="AY172" i="1"/>
  <c r="AX172" i="1"/>
  <c r="AW172" i="1"/>
  <c r="AV172" i="1"/>
  <c r="AU172" i="1"/>
  <c r="AT172" i="1"/>
  <c r="AY168" i="1"/>
  <c r="AY167" i="1"/>
  <c r="AX168" i="1"/>
  <c r="AX167" i="1"/>
  <c r="AW168" i="1"/>
  <c r="AW167" i="1"/>
  <c r="AV168" i="1"/>
  <c r="AV167" i="1"/>
  <c r="AV164" i="1"/>
  <c r="AV163" i="1"/>
  <c r="AU168" i="1"/>
  <c r="AU167" i="1"/>
  <c r="AT168" i="1"/>
  <c r="AT167" i="1"/>
  <c r="AY164" i="1"/>
  <c r="AY163" i="1"/>
  <c r="AX164" i="1"/>
  <c r="AX163" i="1"/>
  <c r="AW164" i="1"/>
  <c r="AW163" i="1"/>
  <c r="AU164" i="1"/>
  <c r="AU163" i="1"/>
  <c r="AT164" i="1"/>
  <c r="AT163" i="1"/>
  <c r="AY160" i="1"/>
  <c r="AY159" i="1"/>
  <c r="AX160" i="1"/>
  <c r="AX159" i="1"/>
  <c r="AW160" i="1"/>
  <c r="AW159" i="1"/>
  <c r="AV160" i="1"/>
  <c r="AV159" i="1"/>
  <c r="AU160" i="1"/>
  <c r="AU159" i="1"/>
  <c r="AT160" i="1"/>
  <c r="AT159" i="1"/>
  <c r="AY155" i="1"/>
  <c r="AY154" i="1"/>
  <c r="AY156" i="1"/>
  <c r="AY153" i="1"/>
  <c r="AX156" i="1"/>
  <c r="AX155" i="1"/>
  <c r="AX154" i="1"/>
  <c r="AX153" i="1"/>
  <c r="AW156" i="1"/>
  <c r="AW155" i="1"/>
  <c r="AW153" i="1"/>
  <c r="AV154" i="1"/>
  <c r="AV156" i="1"/>
  <c r="AV155" i="1"/>
  <c r="AV153" i="1"/>
  <c r="AU156" i="1"/>
  <c r="AU155" i="1"/>
  <c r="AU154" i="1"/>
  <c r="AU153" i="1"/>
  <c r="AT156" i="1"/>
  <c r="AT155" i="1"/>
  <c r="AT154" i="1"/>
  <c r="AT153" i="1"/>
  <c r="AY150" i="1"/>
  <c r="AY149" i="1"/>
  <c r="AY148" i="1"/>
  <c r="AY147" i="1"/>
  <c r="AX150" i="1"/>
  <c r="AX149" i="1"/>
  <c r="AX148" i="1"/>
  <c r="AX147" i="1"/>
  <c r="AW150" i="1"/>
  <c r="AW149" i="1"/>
  <c r="AW148" i="1"/>
  <c r="AW147" i="1"/>
  <c r="AV150" i="1"/>
  <c r="AV149" i="1"/>
  <c r="AV148" i="1"/>
  <c r="AV147" i="1"/>
  <c r="AU150" i="1"/>
  <c r="AU149" i="1"/>
  <c r="AU148" i="1"/>
  <c r="AU147" i="1"/>
  <c r="AT150" i="1"/>
  <c r="AT149" i="1"/>
  <c r="AT148" i="1"/>
  <c r="AT147" i="1"/>
  <c r="AY144" i="1"/>
  <c r="AY143" i="1"/>
  <c r="AY142" i="1"/>
  <c r="AY141" i="1"/>
  <c r="AX144" i="1"/>
  <c r="AX143" i="1"/>
  <c r="AX142" i="1"/>
  <c r="AX141" i="1"/>
  <c r="AT142" i="1"/>
  <c r="AW144" i="1"/>
  <c r="AW143" i="1"/>
  <c r="AW142" i="1"/>
  <c r="AW141" i="1"/>
  <c r="AV144" i="1"/>
  <c r="AV143" i="1"/>
  <c r="AV142" i="1"/>
  <c r="AV141" i="1"/>
  <c r="AU144" i="1"/>
  <c r="AU143" i="1"/>
  <c r="AU142" i="1"/>
  <c r="AU141" i="1"/>
  <c r="AT144" i="1"/>
  <c r="AT143" i="1"/>
  <c r="AT141" i="1"/>
  <c r="AY138" i="1"/>
  <c r="AY137" i="1"/>
  <c r="AY136" i="1"/>
  <c r="AY135" i="1"/>
  <c r="AX138" i="1"/>
  <c r="AX137" i="1"/>
  <c r="AX136" i="1"/>
  <c r="AX135" i="1"/>
  <c r="AW137" i="1"/>
  <c r="AW136" i="1"/>
  <c r="AW135" i="1"/>
  <c r="AW138" i="1"/>
  <c r="AV138" i="1"/>
  <c r="AV137" i="1"/>
  <c r="AV136" i="1"/>
  <c r="AV135" i="1"/>
  <c r="AU138" i="1"/>
  <c r="AU137" i="1"/>
  <c r="AU136" i="1"/>
  <c r="AU135" i="1"/>
  <c r="AT138" i="1"/>
  <c r="AT137" i="1"/>
  <c r="AT136" i="1"/>
  <c r="AT135" i="1"/>
  <c r="AY132" i="1"/>
  <c r="AY131" i="1"/>
  <c r="AY130" i="1"/>
  <c r="AY129" i="1"/>
  <c r="AX132" i="1"/>
  <c r="AX131" i="1"/>
  <c r="AX130" i="1"/>
  <c r="AX129" i="1"/>
  <c r="AW132" i="1"/>
  <c r="AW131" i="1"/>
  <c r="AW130" i="1"/>
  <c r="AW129" i="1"/>
  <c r="AV132" i="1"/>
  <c r="AV131" i="1"/>
  <c r="AV130" i="1"/>
  <c r="AV129" i="1"/>
  <c r="AU132" i="1"/>
  <c r="AU131" i="1"/>
  <c r="AU130" i="1"/>
  <c r="AU129" i="1"/>
  <c r="AT132" i="1"/>
  <c r="AT131" i="1"/>
  <c r="AT130" i="1"/>
  <c r="AT129" i="1"/>
  <c r="AY126" i="1"/>
  <c r="AY125" i="1"/>
  <c r="AY124" i="1"/>
  <c r="AY123" i="1"/>
  <c r="AX126" i="1"/>
  <c r="AX125" i="1"/>
  <c r="AX124" i="1"/>
  <c r="AX123" i="1"/>
  <c r="AW126" i="1"/>
  <c r="AW125" i="1"/>
  <c r="AW124" i="1"/>
  <c r="AW123" i="1"/>
  <c r="AV126" i="1"/>
  <c r="AV125" i="1"/>
  <c r="AV124" i="1"/>
  <c r="AV123" i="1"/>
  <c r="AU126" i="1"/>
  <c r="AU125" i="1"/>
  <c r="AU124" i="1"/>
  <c r="AU123" i="1"/>
  <c r="AT125" i="1"/>
  <c r="AT124" i="1"/>
  <c r="AT123" i="1"/>
  <c r="AY120" i="1"/>
  <c r="AY119" i="1"/>
  <c r="AY118" i="1"/>
  <c r="AY117" i="1"/>
  <c r="AX120" i="1"/>
  <c r="AX119" i="1"/>
  <c r="AX118" i="1"/>
  <c r="AX117" i="1"/>
  <c r="AW120" i="1"/>
  <c r="AW119" i="1"/>
  <c r="AW118" i="1"/>
  <c r="AW117" i="1"/>
  <c r="AV120" i="1"/>
  <c r="AV119" i="1"/>
  <c r="AV118" i="1"/>
  <c r="AV117" i="1"/>
  <c r="AU120" i="1"/>
  <c r="AU119" i="1"/>
  <c r="AU118" i="1"/>
  <c r="AU117" i="1"/>
  <c r="AT120" i="1"/>
  <c r="AT119" i="1"/>
  <c r="AT118" i="1"/>
  <c r="AT117" i="1"/>
  <c r="AY114" i="1"/>
  <c r="AY113" i="1"/>
  <c r="AY112" i="1"/>
  <c r="AX114" i="1"/>
  <c r="AX113" i="1"/>
  <c r="AX112" i="1"/>
  <c r="AW114" i="1"/>
  <c r="AW113" i="1"/>
  <c r="AW112" i="1"/>
  <c r="AV114" i="1"/>
  <c r="AV113" i="1"/>
  <c r="AV112" i="1"/>
  <c r="AU114" i="1"/>
  <c r="AU113" i="1"/>
  <c r="AU112" i="1"/>
  <c r="AU111" i="1"/>
  <c r="AT114" i="1"/>
  <c r="AT113" i="1"/>
  <c r="AT112" i="1"/>
  <c r="AY111" i="1"/>
  <c r="AX111" i="1"/>
  <c r="AW111" i="1"/>
  <c r="AV111" i="1"/>
  <c r="AT111" i="1"/>
  <c r="AY108" i="1"/>
  <c r="AY107" i="1"/>
  <c r="AY106" i="1"/>
  <c r="AX108" i="1"/>
  <c r="AX107" i="1"/>
  <c r="AX106" i="1"/>
  <c r="AY105" i="1"/>
  <c r="AX105" i="1"/>
  <c r="AW108" i="1"/>
  <c r="AW107" i="1"/>
  <c r="AW106" i="1"/>
  <c r="AW105" i="1"/>
  <c r="AV108" i="1"/>
  <c r="AV107" i="1"/>
  <c r="AV106" i="1"/>
  <c r="AU108" i="1"/>
  <c r="AU107" i="1"/>
  <c r="AU106" i="1"/>
  <c r="AU105" i="1"/>
  <c r="AT108" i="1"/>
  <c r="AT107" i="1"/>
  <c r="AT106" i="1"/>
  <c r="AV105" i="1"/>
  <c r="AT105" i="1"/>
  <c r="AY102" i="1"/>
  <c r="AY101" i="1"/>
  <c r="AY100" i="1"/>
  <c r="AY99" i="1"/>
  <c r="AX100" i="1"/>
  <c r="AX99" i="1"/>
  <c r="AX101" i="1"/>
  <c r="AX102" i="1"/>
  <c r="AW102" i="1"/>
  <c r="AW101" i="1"/>
  <c r="AW100" i="1"/>
  <c r="AW99" i="1"/>
  <c r="AV102" i="1"/>
  <c r="AV101" i="1"/>
  <c r="AV100" i="1"/>
  <c r="AV99" i="1"/>
  <c r="AU102" i="1"/>
  <c r="AU101" i="1"/>
  <c r="AU100" i="1"/>
  <c r="AU99" i="1"/>
  <c r="AT102" i="1"/>
  <c r="AT101" i="1"/>
  <c r="AT100" i="1"/>
  <c r="AT99" i="1"/>
  <c r="AY96" i="1"/>
  <c r="AY95" i="1"/>
  <c r="AY94" i="1"/>
  <c r="AY93" i="1"/>
  <c r="AX96" i="1"/>
  <c r="AX95" i="1"/>
  <c r="AX94" i="1"/>
  <c r="AX93" i="1"/>
  <c r="AW96" i="1"/>
  <c r="AW95" i="1"/>
  <c r="AW94" i="1"/>
  <c r="AW93" i="1"/>
  <c r="AV96" i="1"/>
  <c r="AV95" i="1"/>
  <c r="AV94" i="1"/>
  <c r="AV93" i="1"/>
  <c r="AU96" i="1"/>
  <c r="AU95" i="1"/>
  <c r="AU94" i="1"/>
  <c r="AU93" i="1"/>
  <c r="AT96" i="1"/>
  <c r="AT95" i="1"/>
  <c r="AT94" i="1"/>
  <c r="AT93" i="1"/>
  <c r="AY90" i="1"/>
  <c r="AY89" i="1"/>
  <c r="AY88" i="1"/>
  <c r="AX88" i="1"/>
  <c r="AX90" i="1"/>
  <c r="AX89" i="1"/>
  <c r="AW90" i="1"/>
  <c r="AW89" i="1"/>
  <c r="AW88" i="1"/>
  <c r="AV90" i="1"/>
  <c r="AV89" i="1"/>
  <c r="AV88" i="1"/>
  <c r="AV87" i="1"/>
  <c r="AU90" i="1"/>
  <c r="AU89" i="1"/>
  <c r="AU88" i="1"/>
  <c r="AY87" i="1"/>
  <c r="AX87" i="1"/>
  <c r="AW87" i="1"/>
  <c r="AU87" i="1"/>
  <c r="AT90" i="1"/>
  <c r="AT89" i="1"/>
  <c r="AT88" i="1"/>
  <c r="AT87" i="1"/>
  <c r="AY84" i="1"/>
  <c r="AY83" i="1"/>
  <c r="AY82" i="1"/>
  <c r="AX84" i="1"/>
  <c r="AX83" i="1"/>
  <c r="AX82" i="1"/>
  <c r="AW82" i="1"/>
  <c r="AW83" i="1"/>
  <c r="AW84" i="1"/>
  <c r="AV84" i="1"/>
  <c r="AV83" i="1"/>
  <c r="AV82" i="1"/>
  <c r="AY81" i="1"/>
  <c r="AX81" i="1"/>
  <c r="AW81" i="1"/>
  <c r="AV81" i="1"/>
  <c r="AU84" i="1"/>
  <c r="AU83" i="1"/>
  <c r="AU82" i="1"/>
  <c r="AU81" i="1"/>
  <c r="AT84" i="1"/>
  <c r="AT83" i="1"/>
  <c r="AT82" i="1"/>
  <c r="AT81" i="1"/>
  <c r="AX78" i="1"/>
  <c r="AX77" i="1"/>
  <c r="AV78" i="1"/>
  <c r="AV77" i="1"/>
  <c r="AY78" i="1"/>
  <c r="AY77" i="1"/>
  <c r="AY76" i="1"/>
  <c r="AX76" i="1"/>
  <c r="AW78" i="1"/>
  <c r="AW77" i="1"/>
  <c r="AW76" i="1"/>
  <c r="AY75" i="1"/>
  <c r="AX75" i="1"/>
  <c r="AW75" i="1"/>
  <c r="AV75" i="1"/>
  <c r="AU78" i="1"/>
  <c r="AU77" i="1"/>
  <c r="AU76" i="1"/>
  <c r="AU75" i="1"/>
  <c r="AT78" i="1"/>
  <c r="AT77" i="1"/>
  <c r="AT76" i="1"/>
  <c r="AT75" i="1"/>
  <c r="AY72" i="1"/>
  <c r="AY71" i="1"/>
  <c r="AY70" i="1"/>
  <c r="AY69" i="1"/>
  <c r="AX72" i="1"/>
  <c r="AX71" i="1"/>
  <c r="AX70" i="1"/>
  <c r="AX69" i="1"/>
  <c r="AW72" i="1"/>
  <c r="AW71" i="1"/>
  <c r="AW70" i="1"/>
  <c r="AW69" i="1"/>
  <c r="AV72" i="1"/>
  <c r="AV71" i="1"/>
  <c r="AV70" i="1"/>
  <c r="AV69" i="1"/>
  <c r="AU72" i="1"/>
  <c r="AU71" i="1"/>
  <c r="AU70" i="1"/>
  <c r="AU69" i="1"/>
  <c r="AT72" i="1"/>
  <c r="AT71" i="1"/>
  <c r="AT70" i="1"/>
  <c r="AT69" i="1"/>
  <c r="AY66" i="1"/>
  <c r="AY65" i="1"/>
  <c r="AY64" i="1"/>
  <c r="AY63" i="1"/>
  <c r="AX66" i="1"/>
  <c r="AX65" i="1"/>
  <c r="AX64" i="1"/>
  <c r="AW66" i="1"/>
  <c r="AW65" i="1"/>
  <c r="AW64" i="1"/>
  <c r="AX63" i="1"/>
  <c r="AW63" i="1"/>
  <c r="AV66" i="1"/>
  <c r="AV65" i="1"/>
  <c r="AV64" i="1"/>
  <c r="AV63" i="1"/>
  <c r="AU66" i="1"/>
  <c r="AU65" i="1"/>
  <c r="AU64" i="1"/>
  <c r="AU63" i="1"/>
  <c r="AT66" i="1"/>
  <c r="AT65" i="1"/>
  <c r="AT64" i="1"/>
  <c r="AT63" i="1"/>
  <c r="AY60" i="1"/>
  <c r="AY59" i="1"/>
  <c r="AY58" i="1"/>
  <c r="AY57" i="1"/>
  <c r="AX60" i="1"/>
  <c r="AX59" i="1"/>
  <c r="AX58" i="1"/>
  <c r="AX57" i="1"/>
  <c r="AW57" i="1"/>
  <c r="AW60" i="1"/>
  <c r="AW59" i="1"/>
  <c r="AW58" i="1"/>
  <c r="AV60" i="1"/>
  <c r="AV59" i="1"/>
  <c r="AV58" i="1"/>
  <c r="AV57" i="1"/>
  <c r="AU60" i="1"/>
  <c r="AU59" i="1"/>
  <c r="AU58" i="1"/>
  <c r="AU57" i="1"/>
  <c r="AT60" i="1"/>
  <c r="AT59" i="1"/>
  <c r="AT58" i="1"/>
  <c r="AT57" i="1"/>
  <c r="AV54" i="1"/>
  <c r="AV53" i="1"/>
  <c r="AV52" i="1"/>
  <c r="AV51" i="1"/>
  <c r="AY54" i="1"/>
  <c r="AY53" i="1"/>
  <c r="AY52" i="1"/>
  <c r="AY51" i="1"/>
  <c r="AX54" i="1"/>
  <c r="AX53" i="1"/>
  <c r="AX52" i="1"/>
  <c r="AX51" i="1"/>
  <c r="AW54" i="1"/>
  <c r="AW53" i="1"/>
  <c r="AW52" i="1"/>
  <c r="AW51" i="1"/>
  <c r="AU54" i="1"/>
  <c r="AU53" i="1"/>
  <c r="AU52" i="1"/>
  <c r="AU51" i="1"/>
  <c r="AT54" i="1"/>
  <c r="AT53" i="1"/>
  <c r="AT52" i="1"/>
  <c r="AT51" i="1"/>
  <c r="AY48" i="1"/>
  <c r="AY47" i="1"/>
  <c r="AY46" i="1"/>
  <c r="AY45" i="1"/>
  <c r="AX45" i="1"/>
  <c r="AX48" i="1"/>
  <c r="AX47" i="1"/>
  <c r="AX46" i="1"/>
  <c r="AW45" i="1"/>
  <c r="AW48" i="1"/>
  <c r="AW47" i="1"/>
  <c r="AW46" i="1"/>
  <c r="AV45" i="1"/>
  <c r="AV48" i="1"/>
  <c r="AV47" i="1"/>
  <c r="AV46" i="1"/>
  <c r="AU45" i="1"/>
  <c r="AU48" i="1"/>
  <c r="AU47" i="1"/>
  <c r="AU46" i="1"/>
  <c r="AT45" i="1"/>
  <c r="AT48" i="1"/>
  <c r="AT47" i="1"/>
  <c r="AT46" i="1"/>
  <c r="AY42" i="1"/>
  <c r="AY41" i="1"/>
  <c r="AY40" i="1"/>
  <c r="AX42" i="1"/>
  <c r="AX41" i="1"/>
  <c r="AX40" i="1"/>
  <c r="AW42" i="1"/>
  <c r="AW41" i="1"/>
  <c r="AW40" i="1"/>
  <c r="AV42" i="1"/>
  <c r="AV41" i="1"/>
  <c r="AV40" i="1"/>
  <c r="AU42" i="1"/>
  <c r="AU41" i="1"/>
  <c r="AU40" i="1"/>
  <c r="AT42" i="1"/>
  <c r="AT41" i="1"/>
  <c r="AT40" i="1"/>
  <c r="AY39" i="1"/>
  <c r="AX39" i="1"/>
  <c r="AW39" i="1"/>
  <c r="AV39" i="1"/>
  <c r="AU39" i="1"/>
  <c r="AT39" i="1"/>
  <c r="AY36" i="1"/>
  <c r="AY35" i="1"/>
  <c r="AX36" i="1"/>
  <c r="AX35" i="1"/>
  <c r="AW36" i="1"/>
  <c r="AW35" i="1"/>
  <c r="AV36" i="1"/>
  <c r="AV35" i="1"/>
  <c r="AU35" i="1"/>
  <c r="AU36" i="1"/>
  <c r="AT36" i="1"/>
  <c r="AT35" i="1"/>
  <c r="AY34" i="1"/>
  <c r="AX34" i="1"/>
  <c r="AW34" i="1"/>
  <c r="AV34" i="1"/>
  <c r="AU34" i="1"/>
  <c r="AU33" i="1"/>
  <c r="AT34" i="1"/>
  <c r="AY33" i="1"/>
  <c r="AX33" i="1"/>
  <c r="AW33" i="1"/>
  <c r="AV33" i="1"/>
  <c r="AT33" i="1"/>
  <c r="AY30" i="1"/>
  <c r="AX30" i="1"/>
  <c r="AW30" i="1"/>
  <c r="AV30" i="1"/>
  <c r="AU30" i="1"/>
  <c r="AT30" i="1"/>
  <c r="AY29" i="1"/>
  <c r="AX29" i="1"/>
  <c r="AW29" i="1"/>
  <c r="AV29" i="1"/>
  <c r="AU29" i="1"/>
  <c r="AT29" i="1"/>
  <c r="AY28" i="1"/>
  <c r="AX28" i="1"/>
  <c r="AW28" i="1"/>
  <c r="AV28" i="1"/>
  <c r="AU28" i="1"/>
  <c r="AY27" i="1"/>
  <c r="AW27" i="1"/>
  <c r="AV27" i="1"/>
  <c r="AV23" i="1"/>
  <c r="AV22" i="1"/>
  <c r="AV21" i="1"/>
  <c r="AV20" i="1"/>
  <c r="AV19" i="1"/>
  <c r="BJ6" i="1" l="1"/>
  <c r="BJ352" i="1"/>
  <c r="AO1156" i="1"/>
  <c r="BJ80" i="1"/>
  <c r="AO1108" i="1"/>
  <c r="AO1092" i="1"/>
  <c r="BJ192" i="1"/>
  <c r="AT1287" i="1"/>
  <c r="BJ320" i="1"/>
  <c r="AO1236" i="1"/>
  <c r="AO1220" i="1"/>
  <c r="AO1172" i="1"/>
  <c r="BJ464" i="1"/>
  <c r="AO1060" i="1"/>
  <c r="AT1281" i="1"/>
  <c r="AT1284" i="1"/>
  <c r="AT1288" i="1"/>
  <c r="AX270" i="1"/>
  <c r="AO1140" i="1"/>
  <c r="AO1188" i="1"/>
  <c r="AO1252" i="1"/>
  <c r="BJ880" i="1"/>
  <c r="AO1204" i="1"/>
  <c r="BJ384" i="1"/>
  <c r="AO1012" i="1"/>
  <c r="AT1289" i="1"/>
  <c r="AO1124" i="1"/>
  <c r="BJ256" i="1"/>
  <c r="AO1028" i="1"/>
  <c r="AO1268" i="1"/>
  <c r="AO1044" i="1"/>
  <c r="AO1076" i="1"/>
  <c r="AO996" i="1"/>
  <c r="AO1088" i="1"/>
  <c r="AO1136" i="1"/>
  <c r="AO1184" i="1"/>
  <c r="AO1040" i="1"/>
  <c r="AO1264" i="1"/>
  <c r="AO1072" i="1"/>
  <c r="AO992" i="1"/>
  <c r="AR1282" i="1"/>
  <c r="AO1152" i="1"/>
  <c r="AO1248" i="1"/>
  <c r="BJ76" i="1"/>
  <c r="AR1283" i="1"/>
  <c r="AO1216" i="1"/>
  <c r="AO1104" i="1"/>
  <c r="BJ188" i="1"/>
  <c r="AO1168" i="1"/>
  <c r="BJ316" i="1"/>
  <c r="AO1232" i="1"/>
  <c r="BJ460" i="1"/>
  <c r="AO1056" i="1"/>
  <c r="AO1200" i="1"/>
  <c r="BJ876" i="1"/>
  <c r="BJ380" i="1"/>
  <c r="AO1008" i="1"/>
  <c r="AR1278" i="1"/>
  <c r="AR1281" i="1"/>
  <c r="AR1284" i="1"/>
  <c r="AO1120" i="1"/>
  <c r="BJ252" i="1"/>
  <c r="AO1024" i="1"/>
  <c r="AS1282" i="1"/>
  <c r="AS1285" i="1"/>
  <c r="AO1266" i="1"/>
  <c r="AO1074" i="1"/>
  <c r="AO994" i="1"/>
  <c r="AO1154" i="1"/>
  <c r="AO1202" i="1"/>
  <c r="AS1286" i="1"/>
  <c r="AO1250" i="1"/>
  <c r="BJ78" i="1"/>
  <c r="AO1218" i="1"/>
  <c r="AO1106" i="1"/>
  <c r="AO1090" i="1"/>
  <c r="BJ190" i="1"/>
  <c r="BJ318" i="1"/>
  <c r="AO1234" i="1"/>
  <c r="AO1170" i="1"/>
  <c r="BJ462" i="1"/>
  <c r="AO1058" i="1"/>
  <c r="AS1281" i="1"/>
  <c r="AS1284" i="1"/>
  <c r="BJ878" i="1"/>
  <c r="BJ382" i="1"/>
  <c r="AO1010" i="1"/>
  <c r="AO1138" i="1"/>
  <c r="AO1186" i="1"/>
  <c r="AO1122" i="1"/>
  <c r="BJ254" i="1"/>
  <c r="AO1026" i="1"/>
  <c r="AO1042" i="1"/>
  <c r="AO986" i="1"/>
  <c r="BJ950" i="1"/>
  <c r="AO1194" i="1"/>
  <c r="AO1273" i="1"/>
  <c r="BJ854" i="1"/>
  <c r="BJ870" i="1"/>
  <c r="BJ646" i="1"/>
  <c r="AO1114" i="1"/>
  <c r="BJ374" i="1"/>
  <c r="AO1002" i="1"/>
  <c r="AO1242" i="1"/>
  <c r="AO1210" i="1"/>
  <c r="AO1178" i="1"/>
  <c r="BJ326" i="1"/>
  <c r="BJ246" i="1"/>
  <c r="AO1274" i="1"/>
  <c r="AO1146" i="1"/>
  <c r="AO1034" i="1"/>
  <c r="AO1018" i="1"/>
  <c r="BJ630" i="1"/>
  <c r="AO1066" i="1"/>
  <c r="AO1258" i="1"/>
  <c r="BJ790" i="1"/>
  <c r="AO1082" i="1"/>
  <c r="AO1050" i="1"/>
  <c r="BJ886" i="1"/>
  <c r="BJ758" i="1"/>
  <c r="AO1130" i="1"/>
  <c r="AO1098" i="1"/>
  <c r="BJ70" i="1"/>
  <c r="BJ598" i="1"/>
  <c r="BJ182" i="1"/>
  <c r="AO1162" i="1"/>
  <c r="BJ310" i="1"/>
  <c r="AO1272" i="1"/>
  <c r="AO1226" i="1"/>
  <c r="BJ566" i="1"/>
  <c r="BJ454" i="1"/>
  <c r="AO1004" i="1"/>
  <c r="BJ872" i="1"/>
  <c r="AO1116" i="1"/>
  <c r="AP1278" i="1"/>
  <c r="BJ248" i="1"/>
  <c r="AO1020" i="1"/>
  <c r="AO1084" i="1"/>
  <c r="AO1148" i="1"/>
  <c r="AO1212" i="1"/>
  <c r="AO1260" i="1"/>
  <c r="AO1180" i="1"/>
  <c r="AO988" i="1"/>
  <c r="AP1275" i="1"/>
  <c r="AO1036" i="1"/>
  <c r="AO1244" i="1"/>
  <c r="AO1132" i="1"/>
  <c r="AO1100" i="1"/>
  <c r="BJ72" i="1"/>
  <c r="AP1276" i="1"/>
  <c r="BJ184" i="1"/>
  <c r="AO1052" i="1"/>
  <c r="AP1277" i="1"/>
  <c r="AO1164" i="1"/>
  <c r="BJ312" i="1"/>
  <c r="AO1068" i="1"/>
  <c r="AO1228" i="1"/>
  <c r="BJ456" i="1"/>
  <c r="AP1273" i="1"/>
  <c r="AO1196" i="1"/>
  <c r="BJ376" i="1"/>
  <c r="AO1150" i="1"/>
  <c r="AO1086" i="1"/>
  <c r="AO1038" i="1"/>
  <c r="AQ1279" i="1"/>
  <c r="AO1262" i="1"/>
  <c r="AO1182" i="1"/>
  <c r="AO1070" i="1"/>
  <c r="AO990" i="1"/>
  <c r="AO1102" i="1"/>
  <c r="AO1214" i="1"/>
  <c r="AO1054" i="1"/>
  <c r="AQ1280" i="1"/>
  <c r="AO1246" i="1"/>
  <c r="AO1134" i="1"/>
  <c r="BJ74" i="1"/>
  <c r="AO1118" i="1"/>
  <c r="BJ186" i="1"/>
  <c r="AO1166" i="1"/>
  <c r="BJ314" i="1"/>
  <c r="AO1230" i="1"/>
  <c r="BJ458" i="1"/>
  <c r="AO1198" i="1"/>
  <c r="BJ874" i="1"/>
  <c r="BJ378" i="1"/>
  <c r="AO1006" i="1"/>
  <c r="BJ250" i="1"/>
  <c r="AO1022" i="1"/>
  <c r="BJ334" i="1"/>
  <c r="BJ350" i="1"/>
  <c r="BJ332" i="1"/>
  <c r="BJ348" i="1"/>
  <c r="BJ342" i="1"/>
  <c r="BJ344" i="1"/>
  <c r="BJ336" i="1"/>
  <c r="BJ346" i="1"/>
  <c r="BJ960" i="1"/>
  <c r="BJ944" i="1"/>
  <c r="BJ912" i="1"/>
  <c r="AX272" i="1"/>
  <c r="BJ902" i="1"/>
  <c r="BJ918" i="1"/>
  <c r="BJ904" i="1"/>
  <c r="BJ888" i="1"/>
  <c r="BJ890" i="1"/>
  <c r="BJ896" i="1"/>
  <c r="BJ856" i="1"/>
  <c r="BJ858" i="1"/>
  <c r="BJ860" i="1"/>
  <c r="BJ862" i="1"/>
  <c r="BJ864" i="1"/>
  <c r="AX269" i="1"/>
  <c r="BJ838" i="1"/>
  <c r="BJ822" i="1"/>
  <c r="AX268" i="1"/>
  <c r="BJ848" i="1"/>
  <c r="AX267" i="1"/>
  <c r="BJ832" i="1"/>
  <c r="BJ806" i="1"/>
  <c r="AX266" i="1"/>
  <c r="BJ816" i="1"/>
  <c r="BJ776" i="1"/>
  <c r="BJ792" i="1"/>
  <c r="BJ778" i="1"/>
  <c r="BJ780" i="1"/>
  <c r="AV265" i="1"/>
  <c r="BJ796" i="1"/>
  <c r="AW265" i="1"/>
  <c r="BJ798" i="1"/>
  <c r="AW264" i="1"/>
  <c r="BJ782" i="1"/>
  <c r="AX265" i="1"/>
  <c r="BJ800" i="1"/>
  <c r="AX264" i="1"/>
  <c r="BJ784" i="1"/>
  <c r="BJ774" i="1"/>
  <c r="BJ760" i="1"/>
  <c r="BJ762" i="1"/>
  <c r="BJ764" i="1"/>
  <c r="AW263" i="1"/>
  <c r="BJ766" i="1"/>
  <c r="BJ768" i="1"/>
  <c r="BJ742" i="1"/>
  <c r="BJ744" i="1"/>
  <c r="BJ746" i="1"/>
  <c r="AV262" i="1"/>
  <c r="BJ748" i="1"/>
  <c r="AW262" i="1"/>
  <c r="BJ750" i="1"/>
  <c r="BJ752" i="1"/>
  <c r="BJ728" i="1"/>
  <c r="BJ730" i="1"/>
  <c r="BJ732" i="1"/>
  <c r="AW261" i="1"/>
  <c r="BJ734" i="1"/>
  <c r="BJ720" i="1"/>
  <c r="AX261" i="1"/>
  <c r="BJ736" i="1"/>
  <c r="BJ666" i="1"/>
  <c r="BJ712" i="1"/>
  <c r="BJ714" i="1"/>
  <c r="BJ710" i="1"/>
  <c r="BJ726" i="1"/>
  <c r="BJ716" i="1"/>
  <c r="AW260" i="1"/>
  <c r="BJ718" i="1"/>
  <c r="BJ694" i="1"/>
  <c r="BJ704" i="1"/>
  <c r="BJ698" i="1"/>
  <c r="BJ700" i="1"/>
  <c r="BJ696" i="1"/>
  <c r="BJ702" i="1"/>
  <c r="AW259" i="1"/>
  <c r="BJ684" i="1"/>
  <c r="BJ688" i="1"/>
  <c r="BJ678" i="1"/>
  <c r="BJ680" i="1"/>
  <c r="BJ682" i="1"/>
  <c r="BJ672" i="1"/>
  <c r="AW258" i="1"/>
  <c r="BJ686" i="1"/>
  <c r="BJ668" i="1"/>
  <c r="AW257" i="1"/>
  <c r="BJ670" i="1"/>
  <c r="BJ656" i="1"/>
  <c r="BJ662" i="1"/>
  <c r="BJ664" i="1"/>
  <c r="BJ648" i="1"/>
  <c r="BJ650" i="1"/>
  <c r="BJ652" i="1"/>
  <c r="AW256" i="1"/>
  <c r="BJ654" i="1"/>
  <c r="AV255" i="1"/>
  <c r="BJ636" i="1"/>
  <c r="BJ638" i="1"/>
  <c r="AW255" i="1"/>
  <c r="BJ632" i="1"/>
  <c r="BJ634" i="1"/>
  <c r="BJ640" i="1"/>
  <c r="BJ618" i="1"/>
  <c r="AV254" i="1"/>
  <c r="BJ620" i="1"/>
  <c r="BJ622" i="1"/>
  <c r="BJ614" i="1"/>
  <c r="BJ616" i="1"/>
  <c r="BJ624" i="1"/>
  <c r="BJ600" i="1"/>
  <c r="BJ602" i="1"/>
  <c r="AV253" i="1"/>
  <c r="BJ604" i="1"/>
  <c r="AV252" i="1"/>
  <c r="BJ588" i="1"/>
  <c r="BJ606" i="1"/>
  <c r="AX253" i="1"/>
  <c r="BJ608" i="1"/>
  <c r="BJ582" i="1"/>
  <c r="BJ584" i="1"/>
  <c r="BJ586" i="1"/>
  <c r="BJ590" i="1"/>
  <c r="BJ592" i="1"/>
  <c r="BJ574" i="1"/>
  <c r="BJ568" i="1"/>
  <c r="BJ570" i="1"/>
  <c r="BJ572" i="1"/>
  <c r="BJ556" i="1"/>
  <c r="AV251" i="1"/>
  <c r="BJ576" i="1"/>
  <c r="BJ552" i="1"/>
  <c r="BJ536" i="1"/>
  <c r="BJ554" i="1"/>
  <c r="AV249" i="1"/>
  <c r="BJ540" i="1"/>
  <c r="BJ542" i="1"/>
  <c r="BJ560" i="1"/>
  <c r="BJ534" i="1"/>
  <c r="AV250" i="1"/>
  <c r="BJ544" i="1"/>
  <c r="BJ550" i="1"/>
  <c r="BJ538" i="1"/>
  <c r="BJ558" i="1"/>
  <c r="BJ520" i="1"/>
  <c r="BJ504" i="1"/>
  <c r="BJ522" i="1"/>
  <c r="AV248" i="1"/>
  <c r="BJ524" i="1"/>
  <c r="BJ526" i="1"/>
  <c r="BJ528" i="1"/>
  <c r="BJ518" i="1"/>
  <c r="BJ502" i="1"/>
  <c r="BJ490" i="1"/>
  <c r="AV246" i="1"/>
  <c r="BJ492" i="1"/>
  <c r="BJ488" i="1"/>
  <c r="AV247" i="1"/>
  <c r="BJ508" i="1"/>
  <c r="AW247" i="1"/>
  <c r="BJ510" i="1"/>
  <c r="BJ496" i="1"/>
  <c r="BJ506" i="1"/>
  <c r="BJ494" i="1"/>
  <c r="AX247" i="1"/>
  <c r="BJ512" i="1"/>
  <c r="BJ486" i="1"/>
  <c r="AU245" i="1"/>
  <c r="BJ474" i="1"/>
  <c r="BJ472" i="1"/>
  <c r="BJ470" i="1"/>
  <c r="BJ476" i="1"/>
  <c r="BJ478" i="1"/>
  <c r="BJ480" i="1"/>
  <c r="AT244" i="1"/>
  <c r="AU244" i="1"/>
  <c r="AV244" i="1"/>
  <c r="AX244" i="1"/>
  <c r="AS243" i="1"/>
  <c r="BJ438" i="1"/>
  <c r="AU243" i="1"/>
  <c r="BJ442" i="1"/>
  <c r="BJ444" i="1"/>
  <c r="BJ446" i="1"/>
  <c r="BJ440" i="1"/>
  <c r="BJ448" i="1"/>
  <c r="AU242" i="1"/>
  <c r="BJ426" i="1"/>
  <c r="AU241" i="1"/>
  <c r="BJ410" i="1"/>
  <c r="BJ430" i="1"/>
  <c r="BJ432" i="1"/>
  <c r="BJ428" i="1"/>
  <c r="BJ422" i="1"/>
  <c r="AT241" i="1"/>
  <c r="BJ408" i="1"/>
  <c r="BJ424" i="1"/>
  <c r="BJ394" i="1"/>
  <c r="BJ412" i="1"/>
  <c r="BJ416" i="1"/>
  <c r="BJ406" i="1"/>
  <c r="BJ414" i="1"/>
  <c r="BJ400" i="1"/>
  <c r="BJ396" i="1"/>
  <c r="BJ398" i="1"/>
  <c r="BJ390" i="1"/>
  <c r="BJ392" i="1"/>
  <c r="AU239" i="1"/>
  <c r="BJ368" i="1"/>
  <c r="BJ360" i="1"/>
  <c r="AU238" i="1"/>
  <c r="BJ362" i="1"/>
  <c r="AU237" i="1"/>
  <c r="AU236" i="1"/>
  <c r="BJ330" i="1"/>
  <c r="BJ364" i="1"/>
  <c r="BJ366" i="1"/>
  <c r="BJ358" i="1"/>
  <c r="BJ328" i="1"/>
  <c r="AT235" i="1"/>
  <c r="BJ294" i="1"/>
  <c r="AT234" i="1"/>
  <c r="BJ296" i="1"/>
  <c r="BJ298" i="1"/>
  <c r="BJ304" i="1"/>
  <c r="BJ302" i="1"/>
  <c r="BJ300" i="1"/>
  <c r="BJ284" i="1"/>
  <c r="BJ286" i="1"/>
  <c r="AS233" i="1"/>
  <c r="BJ278" i="1"/>
  <c r="AT233" i="1"/>
  <c r="BJ280" i="1"/>
  <c r="BJ288" i="1"/>
  <c r="BJ282" i="1"/>
  <c r="BJ262" i="1"/>
  <c r="AW232" i="1"/>
  <c r="AT231" i="1"/>
  <c r="AW230" i="1"/>
  <c r="BJ238" i="1"/>
  <c r="BJ240" i="1"/>
  <c r="BJ230" i="1"/>
  <c r="AU230" i="1"/>
  <c r="BJ234" i="1"/>
  <c r="BJ236" i="1"/>
  <c r="AT230" i="1"/>
  <c r="BJ232" i="1"/>
  <c r="BJ198" i="1"/>
  <c r="BJ200" i="1"/>
  <c r="AT227" i="1"/>
  <c r="BJ166" i="1"/>
  <c r="AT224" i="1"/>
  <c r="BJ136" i="1"/>
  <c r="AS224" i="1"/>
  <c r="BJ134" i="1"/>
  <c r="AS222" i="1"/>
  <c r="BJ102" i="1"/>
  <c r="BJ104" i="1"/>
  <c r="BJ110" i="1"/>
  <c r="BJ118" i="1"/>
  <c r="BJ106" i="1"/>
  <c r="BJ108" i="1"/>
  <c r="BJ112" i="1"/>
  <c r="BJ42" i="1"/>
  <c r="BJ44" i="1"/>
  <c r="BJ46" i="1"/>
  <c r="BJ48" i="1"/>
  <c r="AS219" i="1"/>
  <c r="BJ54" i="1"/>
  <c r="BJ24" i="1"/>
  <c r="AS220" i="1"/>
  <c r="AS218" i="1"/>
  <c r="BJ38" i="1"/>
  <c r="AT218" i="1"/>
  <c r="BJ40" i="1"/>
  <c r="BJ14" i="1"/>
  <c r="BJ16" i="1"/>
  <c r="BJ22" i="1"/>
  <c r="BJ26" i="1"/>
  <c r="AU216" i="1"/>
  <c r="BJ10" i="1"/>
  <c r="BJ28" i="1"/>
  <c r="BJ30" i="1"/>
  <c r="AS216" i="1"/>
  <c r="BJ12" i="1"/>
  <c r="BJ32" i="1"/>
  <c r="BJ8" i="1"/>
  <c r="AX274" i="1"/>
  <c r="AX273" i="1"/>
  <c r="BJ928" i="1"/>
  <c r="AX271" i="1"/>
  <c r="AX275" i="1"/>
  <c r="AS241" i="1"/>
  <c r="BJ176" i="1"/>
  <c r="AU240" i="1"/>
  <c r="AS235" i="1"/>
  <c r="BJ170" i="1"/>
  <c r="BJ140" i="1"/>
  <c r="BJ172" i="1"/>
  <c r="BJ174" i="1"/>
  <c r="BJ142" i="1"/>
  <c r="AS226" i="1"/>
  <c r="BJ138" i="1"/>
  <c r="AT226" i="1"/>
  <c r="BJ168" i="1"/>
  <c r="BJ144" i="1"/>
  <c r="BJ120" i="1"/>
  <c r="AT223" i="1"/>
  <c r="AS223" i="1"/>
  <c r="AT228" i="1"/>
  <c r="BJ272" i="1"/>
  <c r="BJ266" i="1"/>
  <c r="BJ268" i="1"/>
  <c r="AT232" i="1"/>
  <c r="BJ264" i="1"/>
  <c r="BJ270" i="1"/>
  <c r="AS232" i="1"/>
  <c r="BJ942" i="1"/>
  <c r="BJ122" i="1"/>
  <c r="BJ124" i="1"/>
  <c r="BJ126" i="1"/>
  <c r="BJ128" i="1"/>
  <c r="BJ150" i="1"/>
  <c r="AS225" i="1"/>
  <c r="BJ216" i="1"/>
  <c r="AT229" i="1"/>
  <c r="AX228" i="1"/>
  <c r="BJ208" i="1"/>
  <c r="BJ92" i="1"/>
  <c r="BJ62" i="1"/>
  <c r="BJ90" i="1"/>
  <c r="BJ94" i="1"/>
  <c r="BJ96" i="1"/>
  <c r="AS221" i="1"/>
  <c r="BJ86" i="1"/>
  <c r="BJ88" i="1"/>
  <c r="BJ56" i="1"/>
  <c r="BJ58" i="1"/>
  <c r="BJ64" i="1"/>
  <c r="BJ60" i="1"/>
  <c r="BJ940" i="1"/>
  <c r="AT217" i="1"/>
  <c r="BJ936" i="1"/>
  <c r="BJ952" i="1"/>
  <c r="BJ894" i="1"/>
  <c r="BJ958" i="1"/>
  <c r="AW216" i="1"/>
  <c r="BJ846" i="1"/>
  <c r="BJ926" i="1"/>
  <c r="BJ910" i="1"/>
  <c r="BJ920" i="1"/>
  <c r="BJ840" i="1"/>
  <c r="AT216" i="1"/>
  <c r="BJ954" i="1"/>
  <c r="BJ938" i="1"/>
  <c r="AU217" i="1"/>
  <c r="AX216" i="1"/>
  <c r="BJ924" i="1"/>
  <c r="BJ908" i="1"/>
  <c r="BJ844" i="1"/>
  <c r="BJ922" i="1"/>
  <c r="BJ906" i="1"/>
  <c r="BJ842" i="1"/>
  <c r="AS217" i="1"/>
  <c r="BJ934" i="1"/>
  <c r="BJ956" i="1"/>
  <c r="BJ892" i="1"/>
  <c r="AV216" i="1"/>
  <c r="BJ830" i="1"/>
  <c r="BJ814" i="1"/>
  <c r="BJ824" i="1"/>
  <c r="BJ808" i="1"/>
  <c r="BJ826" i="1"/>
  <c r="BJ810" i="1"/>
  <c r="BJ828" i="1"/>
  <c r="BJ812" i="1"/>
  <c r="BJ794" i="1"/>
  <c r="BJ214" i="1"/>
  <c r="BJ218" i="1"/>
  <c r="BJ202" i="1"/>
  <c r="BJ220" i="1"/>
  <c r="BJ204" i="1"/>
  <c r="BJ222" i="1"/>
  <c r="BJ206" i="1"/>
  <c r="BJ224" i="1"/>
  <c r="BJ152" i="1"/>
  <c r="BJ158" i="1"/>
  <c r="BJ154" i="1"/>
  <c r="BJ156" i="1"/>
  <c r="BJ1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<sst xmlns="http://schemas.openxmlformats.org/spreadsheetml/2006/main" count="11618" uniqueCount="1136">
  <si>
    <t>Kepala Rumah Tangga</t>
  </si>
  <si>
    <t>Nanang Fathoni</t>
  </si>
  <si>
    <t>C</t>
  </si>
  <si>
    <t>B</t>
  </si>
  <si>
    <t>A</t>
  </si>
  <si>
    <t>D</t>
  </si>
  <si>
    <t>Muhaimin</t>
  </si>
  <si>
    <t>Sujiati</t>
  </si>
  <si>
    <t>Supriadi</t>
  </si>
  <si>
    <t>Lilik Rohma</t>
  </si>
  <si>
    <t>Supaiji Susanto</t>
  </si>
  <si>
    <t>Sigit Pramono</t>
  </si>
  <si>
    <t>Choiri Zain</t>
  </si>
  <si>
    <t>Musana</t>
  </si>
  <si>
    <t>Edy Askandar</t>
  </si>
  <si>
    <t>Aslicha</t>
  </si>
  <si>
    <t>Mardia Ningsih</t>
  </si>
  <si>
    <t>Suwari</t>
  </si>
  <si>
    <t>Suratmi</t>
  </si>
  <si>
    <t>Komsatun</t>
  </si>
  <si>
    <t>Sri Astuti</t>
  </si>
  <si>
    <t>Suis</t>
  </si>
  <si>
    <t>Muhammad Harun</t>
  </si>
  <si>
    <t>Moh Subchan</t>
  </si>
  <si>
    <t>Indrati</t>
  </si>
  <si>
    <t>Dra. Zul Izatil Kasanah</t>
  </si>
  <si>
    <t>Riyanto</t>
  </si>
  <si>
    <t>Bambang Tri Haryanto</t>
  </si>
  <si>
    <t>Imam Safii</t>
  </si>
  <si>
    <t>Khamim Tohari</t>
  </si>
  <si>
    <t>Mulyono</t>
  </si>
  <si>
    <t>Cicik Puspitasari Santoso</t>
  </si>
  <si>
    <t xml:space="preserve">Asmaiyah </t>
  </si>
  <si>
    <t>Imam Wahyudi</t>
  </si>
  <si>
    <t>Khusnul Khotimah</t>
  </si>
  <si>
    <t>Hj. Sukarti</t>
  </si>
  <si>
    <t>Slamet Hariono</t>
  </si>
  <si>
    <t>Pujiati</t>
  </si>
  <si>
    <t>Soejatmi</t>
  </si>
  <si>
    <t>Rumus</t>
  </si>
  <si>
    <t>Keterangan</t>
  </si>
  <si>
    <t>X: Data dengan class yang belum diketahui</t>
  </si>
  <si>
    <t>H: Hipotesis data yang merupakan suatu class spesifik</t>
  </si>
  <si>
    <t>P(H|X) : Probabilitas hipotesis H berdasarkan kondisi X (posterior probabilitas)</t>
  </si>
  <si>
    <t xml:space="preserve">P(H) : Probabilitas hipotesis H (prior probabilitas) </t>
  </si>
  <si>
    <t>P(X) : Probabilitas X</t>
  </si>
  <si>
    <t>P(X|H) : Probabilitas X berdasarkan kondisi pada hipotesis H</t>
  </si>
  <si>
    <t>Jumlah data (n)</t>
  </si>
  <si>
    <t xml:space="preserve">1. Menentukan probabilitas kelas </t>
  </si>
  <si>
    <t xml:space="preserve">2. Menentukan probabilitas kategori / atribut </t>
  </si>
  <si>
    <t>IM 1</t>
  </si>
  <si>
    <t>IM 2</t>
  </si>
  <si>
    <t>IM 3</t>
  </si>
  <si>
    <t>IM 4</t>
  </si>
  <si>
    <t>IM 5</t>
  </si>
  <si>
    <t>IM 6</t>
  </si>
  <si>
    <t>IM 7</t>
  </si>
  <si>
    <t>IM 8</t>
  </si>
  <si>
    <t>IM 9</t>
  </si>
  <si>
    <t>IM 10</t>
  </si>
  <si>
    <t>IM 11</t>
  </si>
  <si>
    <t>IM 12</t>
  </si>
  <si>
    <t>IM 13</t>
  </si>
  <si>
    <t>IM 14</t>
  </si>
  <si>
    <t>IM 15</t>
  </si>
  <si>
    <t>IM 16</t>
  </si>
  <si>
    <t>IM 17</t>
  </si>
  <si>
    <t>IM 18</t>
  </si>
  <si>
    <t>IM 19</t>
  </si>
  <si>
    <t>IM 20</t>
  </si>
  <si>
    <t>IM 21</t>
  </si>
  <si>
    <t>Kelas Kesejahteraan</t>
  </si>
  <si>
    <t>P(IM | Kelas Kesejahteraan)</t>
  </si>
  <si>
    <t>P(IM 1 A | Kelas Kesejahteraan)</t>
  </si>
  <si>
    <t>P(IM 1 B | Kelas Kesejahteraan)</t>
  </si>
  <si>
    <t>P(IM 1 C | Kelas Kesejahteraan)</t>
  </si>
  <si>
    <t>P(IM 1 D | Kelas Kesejahteraan)</t>
  </si>
  <si>
    <t>P(IM 2 A | Kelas Kesejahteraan)</t>
  </si>
  <si>
    <t>P(IM 2 B | Kelas Kesejahteraan)</t>
  </si>
  <si>
    <t>P(IM 2 C | Kelas Kesejahteraan)</t>
  </si>
  <si>
    <t>P(IM 2 D | Kelas Kesejahteraan)</t>
  </si>
  <si>
    <t>P(IM 3 A | Kelas Kesejahteraan)</t>
  </si>
  <si>
    <t>P(IM 3 B | Kelas Kesejahteraan)</t>
  </si>
  <si>
    <t>P(IM 3 C | Kelas Kesejahteraan)</t>
  </si>
  <si>
    <t>P(IM 3 D | Kelas Kesejahteraan)</t>
  </si>
  <si>
    <t>P(IM 4 A | Kelas Kesejahteraan)</t>
  </si>
  <si>
    <t>P(IM 4 B | Kelas Kesejahteraan)</t>
  </si>
  <si>
    <t>P(IM 4 C | Kelas Kesejahteraan)</t>
  </si>
  <si>
    <t>P(IM 4 D | Kelas Kesejahteraan)</t>
  </si>
  <si>
    <t>P(IM 5 A | Kelas Kesejahteraan)</t>
  </si>
  <si>
    <t>P(IM 5 B | Kelas Kesejahteraan)</t>
  </si>
  <si>
    <t>P(IM 5 C | Kelas Kesejahteraan)</t>
  </si>
  <si>
    <t>P(IM 5 D | Kelas Kesejahteraan)</t>
  </si>
  <si>
    <t>Kode</t>
  </si>
  <si>
    <t xml:space="preserve">Keterangan </t>
  </si>
  <si>
    <t>Milik orang lain tanpa sewa</t>
  </si>
  <si>
    <t>Milik orang tua</t>
  </si>
  <si>
    <t>Menyewa</t>
  </si>
  <si>
    <t>Milik sendiri</t>
  </si>
  <si>
    <t xml:space="preserve">Berdinding bambu / kayu berkualitas </t>
  </si>
  <si>
    <t xml:space="preserve">Tembok tanpa plester </t>
  </si>
  <si>
    <t>Papan / kayu jati</t>
  </si>
  <si>
    <t>Tembok kualitas baik</t>
  </si>
  <si>
    <t>&lt; 5 m2/jiwa</t>
  </si>
  <si>
    <t>6 m2/jiwa</t>
  </si>
  <si>
    <t>7 m2/jiwa</t>
  </si>
  <si>
    <t>&gt; 8 m2/jiwa</t>
  </si>
  <si>
    <t>Tanah</t>
  </si>
  <si>
    <t xml:space="preserve">Plester semen / batu bata </t>
  </si>
  <si>
    <t>Tegel</t>
  </si>
  <si>
    <t xml:space="preserve">Keramik </t>
  </si>
  <si>
    <t>Tidak Punya</t>
  </si>
  <si>
    <t>Umum</t>
  </si>
  <si>
    <t>Jamban bersama</t>
  </si>
  <si>
    <t>Sungai / air hujan</t>
  </si>
  <si>
    <t xml:space="preserve">Sumur / mata air </t>
  </si>
  <si>
    <t>Ledeng eceran</t>
  </si>
  <si>
    <t>PDAM / membeli air kemasan</t>
  </si>
  <si>
    <t>Petromak / ublik</t>
  </si>
  <si>
    <t>Listrik numpang</t>
  </si>
  <si>
    <t>PLN 450 Watt</t>
  </si>
  <si>
    <t>PLN 900 Watt / Lebih</t>
  </si>
  <si>
    <t>Kayu Bakar</t>
  </si>
  <si>
    <t>Arang</t>
  </si>
  <si>
    <t>Gas LPG 3 Kg</t>
  </si>
  <si>
    <t xml:space="preserve">Gas LPG &gt; 3 Kg / Blue gas </t>
  </si>
  <si>
    <t>Tidak sekolah / tidak tamas SD</t>
  </si>
  <si>
    <t>Tamat SD / SMP</t>
  </si>
  <si>
    <t>Tamat SMA</t>
  </si>
  <si>
    <t>Tamat Perguruan Tinggi</t>
  </si>
  <si>
    <t>Tidak punya pekerjaan</t>
  </si>
  <si>
    <t>Pekerjaan bebas</t>
  </si>
  <si>
    <t>Buruh / karyawan</t>
  </si>
  <si>
    <t>wirausaha / pedagang besar</t>
  </si>
  <si>
    <t>&lt; Rp. 608,828,-</t>
  </si>
  <si>
    <t>&gt; Rp. 608,828,- s.d Rp. 1,500,000,-</t>
  </si>
  <si>
    <t>&gt; Rp. 1,500,000,- s.d Rp. 2,500,000,-</t>
  </si>
  <si>
    <t>&gt; Rp 2,500,000,-</t>
  </si>
  <si>
    <t>&gt; 6 orang / 1 orang lanjut usia sebatang kara</t>
  </si>
  <si>
    <t>5 orang</t>
  </si>
  <si>
    <t>4 orang</t>
  </si>
  <si>
    <t>1-3 orang</t>
  </si>
  <si>
    <t>&gt; 3 KK</t>
  </si>
  <si>
    <t>3 KK</t>
  </si>
  <si>
    <t>2 KK</t>
  </si>
  <si>
    <t>1 KK</t>
  </si>
  <si>
    <t>0 orang</t>
  </si>
  <si>
    <t>1 orang</t>
  </si>
  <si>
    <t xml:space="preserve">2 orang </t>
  </si>
  <si>
    <t>&gt; 3 orang</t>
  </si>
  <si>
    <t>2-3 orang</t>
  </si>
  <si>
    <t>Penyandang disabilitas multi</t>
  </si>
  <si>
    <t>Penyandang disabilitas ganda</t>
  </si>
  <si>
    <t>Penyandang disabilitas tunggal</t>
  </si>
  <si>
    <t xml:space="preserve">Tidak ada </t>
  </si>
  <si>
    <t>Lanjut usia terlantar</t>
  </si>
  <si>
    <t>Lanjut usia tidak potensial</t>
  </si>
  <si>
    <t>Lanjut usia potensial</t>
  </si>
  <si>
    <t>Ada anggota keluarga yang menderita sakit kronis berat</t>
  </si>
  <si>
    <t>Ada anggota keluarga yang menderita sakit kronis sedang</t>
  </si>
  <si>
    <t>Ada anggota keluarga yang menderita sakit kronis ringan</t>
  </si>
  <si>
    <t>Tidak memiliki jaminan kesehatan</t>
  </si>
  <si>
    <t>Memiliki jaminan kesehatan namun tidak aktif</t>
  </si>
  <si>
    <t>Memiliki jaminan kesehatan namun ada tunggakan pembayaran</t>
  </si>
  <si>
    <t xml:space="preserve">Memiliki jaminan kesehatan aktif </t>
  </si>
  <si>
    <t>Rp. 0,- s.d Rp. 608,828,-</t>
  </si>
  <si>
    <t>Rp. 608,828, s.d Rp. 1,500,000,-</t>
  </si>
  <si>
    <t>Rp. 1,500,000,- s.d Rp. 5,000,000,-</t>
  </si>
  <si>
    <t>Rp. 5,000,000,-</t>
  </si>
  <si>
    <t xml:space="preserve">1 stel untuk setiap anggota keluarga </t>
  </si>
  <si>
    <t xml:space="preserve">2 stel untuk setiap anggota keluarga </t>
  </si>
  <si>
    <t>&gt; 2 stel untuk setiap anggota keluarga</t>
  </si>
  <si>
    <t>P(IM 6 A | Kelas Kesejahteraan)</t>
  </si>
  <si>
    <t>P(IM 6 B | Kelas Kesejahteraan)</t>
  </si>
  <si>
    <t>P(IM 6 C | Kelas Kesejahteraan)</t>
  </si>
  <si>
    <t>P(IM 6 D | Kelas Kesejahteraan)</t>
  </si>
  <si>
    <t>P(IM 7 A | Kelas Kesejahteraan)</t>
  </si>
  <si>
    <t>P(IM 7 B | Kelas Kesejahteraan)</t>
  </si>
  <si>
    <t>P(IM 7 C | Kelas Kesejahteraan)</t>
  </si>
  <si>
    <t>P(IM 7 D | Kelas Kesejahteraan)</t>
  </si>
  <si>
    <t>P(IM 8 A | Kelas Kesejahteraan)</t>
  </si>
  <si>
    <t>P(IM 8 B | Kelas Kesejahteraan)</t>
  </si>
  <si>
    <t>P(IM 8 C | Kelas Kesejahteraan)</t>
  </si>
  <si>
    <t>P(IM 8 D | Kelas Kesejahteraan)</t>
  </si>
  <si>
    <t>P(IM 9 A | Kelas Kesejahteraan)</t>
  </si>
  <si>
    <t>P(IM 9 B | Kelas Kesejahteraan)</t>
  </si>
  <si>
    <t>P(IM 9 C | Kelas Kesejahteraan)</t>
  </si>
  <si>
    <t>P(IM 9 D | Kelas Kesejahteraan)</t>
  </si>
  <si>
    <t>P(IM 10 A | Kelas Kesejahteraan)</t>
  </si>
  <si>
    <t>P(IM 10 B | Kelas Kesejahteraan)</t>
  </si>
  <si>
    <t>P(IM 10 C | Kelas Kesejahteraan)</t>
  </si>
  <si>
    <t>P(IM 10 D | Kelas Kesejahteraan)</t>
  </si>
  <si>
    <t>P(IM 11 A | Kelas Kesejahteraan)</t>
  </si>
  <si>
    <t>P(IM 11 B | Kelas Kesejahteraan)</t>
  </si>
  <si>
    <t>P(IM 11 C | Kelas Kesejahteraan)</t>
  </si>
  <si>
    <t>P(IM 11 D | Kelas Kesejahteraan)</t>
  </si>
  <si>
    <t>P(IM 12 A | Kelas Kesejahteraan)</t>
  </si>
  <si>
    <t>P(IM 13 B | Kelas Kesejahteraan)</t>
  </si>
  <si>
    <t>P(IM 12 B | Kelas Kesejahteraan)</t>
  </si>
  <si>
    <t>P(IM 12 C | Kelas Kesejahteraan)</t>
  </si>
  <si>
    <t>P(IM 12 D | Kelas Kesejahteraan)</t>
  </si>
  <si>
    <t>P(IM 13 A | Kelas Kesejahteraan)</t>
  </si>
  <si>
    <t>P(IM 13 C | Kelas Kesejahteraan)</t>
  </si>
  <si>
    <t>P(IM 13 D | Kelas Kesejahteraan)</t>
  </si>
  <si>
    <t>P(IM 14 A | Kelas Kesejahteraan)</t>
  </si>
  <si>
    <t>P(IM 14 B | Kelas Kesejahteraan)</t>
  </si>
  <si>
    <t>P(IM 14 C | Kelas Kesejahteraan)</t>
  </si>
  <si>
    <t>P(IM 14 D | Kelas Kesejahteraan)</t>
  </si>
  <si>
    <t>P(IM 15 A | Kelas Kesejahteraan)</t>
  </si>
  <si>
    <t>P(IM 15 B | Kelas Kesejahteraan)</t>
  </si>
  <si>
    <t>P(IM 15 C | Kelas Kesejahteraan)</t>
  </si>
  <si>
    <t>P(IM 15 D | Kelas Kesejahteraan)</t>
  </si>
  <si>
    <t>P(IM 16 A | Kelas Kesejahteraan)</t>
  </si>
  <si>
    <t>P(IM 16 B | Kelas Kesejahteraan)</t>
  </si>
  <si>
    <t>P(IM 16 C | Kelas Kesejahteraan)</t>
  </si>
  <si>
    <t>P(IM 16 D | Kelas Kesejahteraan)</t>
  </si>
  <si>
    <t>P(IM 17 A | Kelas Kesejahteraan)</t>
  </si>
  <si>
    <t>P(IM 17 B | Kelas Kesejahteraan)</t>
  </si>
  <si>
    <t>P(IM 17 C | Kelas Kesejahteraan)</t>
  </si>
  <si>
    <t>P(IM 17 D | Kelas Kesejahteraan)</t>
  </si>
  <si>
    <t>P(IM 18 A | Kelas Kesejahteraan)</t>
  </si>
  <si>
    <t>P(IM 18 B | Kelas Kesejahteraan)</t>
  </si>
  <si>
    <t>P(IM 18 C | Kelas Kesejahteraan)</t>
  </si>
  <si>
    <t>P(IM 18 D | Kelas Kesejahteraan)</t>
  </si>
  <si>
    <t>P(IM 19 A | Kelas Kesejahteraan)</t>
  </si>
  <si>
    <t>P(IM 19 B | Kelas Kesejahteraan)</t>
  </si>
  <si>
    <t>P(IM 19 C | Kelas Kesejahteraan)</t>
  </si>
  <si>
    <t>P(IM 19 D | Kelas Kesejahteraan)</t>
  </si>
  <si>
    <t>P(IM 20 A | Kelas Kesejahteraan)</t>
  </si>
  <si>
    <t>P(IM 20 B | Kelas Kesejahteraan)</t>
  </si>
  <si>
    <t>P(IM 20 C | Kelas Kesejahteraan)</t>
  </si>
  <si>
    <t>P(IM 20 D | Kelas Kesejahteraan)</t>
  </si>
  <si>
    <t>P(IM 21 A | Kelas Kesejahteraan)</t>
  </si>
  <si>
    <t>P(IM 21 B | Kelas Kesejahteraan)</t>
  </si>
  <si>
    <t>P(IM 21 C | Kelas Kesejahteraan)</t>
  </si>
  <si>
    <t>P(IM 21 D | Kelas Kesejahteraan)</t>
  </si>
  <si>
    <t>P(IL 1 A | Kelas Kesejahteraan)</t>
  </si>
  <si>
    <t>P(IL 1 B | Kelas Kesejahteraan)</t>
  </si>
  <si>
    <t>P(IL 1 C | Kelas Kesejahteraan)</t>
  </si>
  <si>
    <t>P(IL 1 D | Kelas Kesejahteraan)</t>
  </si>
  <si>
    <t>P(IL 2 A | Kelas Kesejahteraan)</t>
  </si>
  <si>
    <t>P(IL 2 B | Kelas Kesejahteraan)</t>
  </si>
  <si>
    <t>Asbes</t>
  </si>
  <si>
    <t>Seng</t>
  </si>
  <si>
    <t>Genteng</t>
  </si>
  <si>
    <t>Beton</t>
  </si>
  <si>
    <t>Ipal</t>
  </si>
  <si>
    <t>Tangki Septik</t>
  </si>
  <si>
    <t>Tidak</t>
  </si>
  <si>
    <t>Ya</t>
  </si>
  <si>
    <t>Tidak Ada = 0</t>
  </si>
  <si>
    <t>Ada = 1</t>
  </si>
  <si>
    <t>P(IL 3 A | Kelas Kesejahteraan)</t>
  </si>
  <si>
    <t>P(IL 3 B | Kelas Kesejahteraan)</t>
  </si>
  <si>
    <t>P(IL 4 A | Kelas Kesejahteraan)</t>
  </si>
  <si>
    <t>P(IL 4 B | Kelas Kesejahteraan)</t>
  </si>
  <si>
    <t>P(IL 5 A | Kelas Kesejahteraan)</t>
  </si>
  <si>
    <t>P(IL 5 B | Kelas Kesejahteraan)</t>
  </si>
  <si>
    <t>P(IL 6 A | Kelas Kesejahteraan)</t>
  </si>
  <si>
    <t>P(IL 6 B | Kelas Kesejahteraan)</t>
  </si>
  <si>
    <t>P(IL 7 A | Kelas Kesejahteraan)</t>
  </si>
  <si>
    <t>P(IL 7 B | Kelas Kesejahteraan)</t>
  </si>
  <si>
    <t>P(IL 8 A | Kelas Kesejahteraan)</t>
  </si>
  <si>
    <t>P(IL 9 B | Kelas Kesejahteraan)</t>
  </si>
  <si>
    <t>P(IM 1 | Kelas Kesejahteraan)</t>
  </si>
  <si>
    <t>P(IM 2 | Kelas Kesejahteraan)</t>
  </si>
  <si>
    <t>P(IM 3 | Kelas Kesejahteraan)</t>
  </si>
  <si>
    <t>P(IM 4 | Kelas Kesejahteraan)</t>
  </si>
  <si>
    <t>P(IM 5 | Kelas Kesejahteraan)</t>
  </si>
  <si>
    <t>P(IM 6 | Kelas Kesejahteraan)</t>
  </si>
  <si>
    <t>P(IM 7 | Kelas Kesejahteraan)</t>
  </si>
  <si>
    <t>P(IM 8 | Kelas Kesejahteraan)</t>
  </si>
  <si>
    <t>P(IM 9 | Kelas Kesejahteraan)</t>
  </si>
  <si>
    <t>P(IM 10 | Kelas Kesejahteraan)</t>
  </si>
  <si>
    <t>P(IM 11 | Kelas Kesejahteraan)</t>
  </si>
  <si>
    <t>P(IM 12 | Kelas Kesejahteraan)</t>
  </si>
  <si>
    <t>P(IM 13 | Kelas Kesejahteraan)</t>
  </si>
  <si>
    <t>P(IM 14 | Kelas Kesejahteraan)</t>
  </si>
  <si>
    <t>P(IM 15 | Kelas Kesejahteraan)</t>
  </si>
  <si>
    <t>P(IM 16 | Kelas Kesejahteraan)</t>
  </si>
  <si>
    <t>P(IM 17 | Kelas Kesejahteraan)</t>
  </si>
  <si>
    <t>P(IM 18 | Kelas Kesejahteraan)</t>
  </si>
  <si>
    <t>P(IM 19 | Kelas Kesejahteraan)</t>
  </si>
  <si>
    <t>P(IM 20 | Kelas Kesejahteraan)</t>
  </si>
  <si>
    <t>P(IM 21 | Kelas Kesejahteraan)</t>
  </si>
  <si>
    <t>P(IL 1 | Kelas Kesejahteraan)</t>
  </si>
  <si>
    <t>P(IL 2 | Kelas Kesejahteraan)</t>
  </si>
  <si>
    <t>P(IL 3 | Kelas Kesejahteraan)</t>
  </si>
  <si>
    <t>P(IL 4 | Kelas Kesejahteraan)</t>
  </si>
  <si>
    <t>P(IL 5 | Kelas Kesejahteraan)</t>
  </si>
  <si>
    <t>P(IL 6 | Kelas Kesejahteraan)</t>
  </si>
  <si>
    <t>P(IL 7 | Kelas Kesejahteraan)</t>
  </si>
  <si>
    <t>P(IL 8 | Kelas Kesejahteraan)</t>
  </si>
  <si>
    <t>P(IL 8 B | Kelas Kesejahteraan)</t>
  </si>
  <si>
    <t>P(IL 9 A | Kelas Kesejahteraan)</t>
  </si>
  <si>
    <t>P(IL 10 A | Kelas Kesejahteraan)</t>
  </si>
  <si>
    <t>P(IL 10 B | Kelas Kesejahteraan)</t>
  </si>
  <si>
    <t>P(IL 10 | Kelas Kesejahteraan)</t>
  </si>
  <si>
    <t>P(IL 9 | Kelas Kesejahteraan)</t>
  </si>
  <si>
    <t>Amin Mashuri</t>
  </si>
  <si>
    <t>Soedarmijati</t>
  </si>
  <si>
    <t>P(IL 11 A | Kelas Kesejahteraan)</t>
  </si>
  <si>
    <t>P(IL 11 | Kelas Kesejahteraan)</t>
  </si>
  <si>
    <t>P(IL 11 B | Kelas Kesejahteraan)</t>
  </si>
  <si>
    <t>P(IL 12 A | Kelas Kesejahteraan)</t>
  </si>
  <si>
    <t>P(IL 12 | Kelas Kesejahteraan)</t>
  </si>
  <si>
    <t>P(IL 12 B | Kelas Kesejahteraan)</t>
  </si>
  <si>
    <t>P(IL 13 | Kelas Kesejahteraan)</t>
  </si>
  <si>
    <t>P(IL 13 A | Kelas Kesejahteraan)</t>
  </si>
  <si>
    <t>P(IL 13 B | Kelas Kesejahteraan)</t>
  </si>
  <si>
    <t>P(IL 14 | Kelas Kesejahteraan)</t>
  </si>
  <si>
    <t>P(IL 14 A | Kelas Kesejahteraan)</t>
  </si>
  <si>
    <t>P(IL 14 B | Kelas Kesejahteraan)</t>
  </si>
  <si>
    <t>P(IL 15 | Kelas Kesejahteraan)</t>
  </si>
  <si>
    <t>P(IL 15 A | Kelas Kesejahteraan)</t>
  </si>
  <si>
    <t>P(IL 15 B | Kelas Kesejahteraan)</t>
  </si>
  <si>
    <t>Duparji</t>
  </si>
  <si>
    <t>Siti Juariyah</t>
  </si>
  <si>
    <t>Lilik Utami</t>
  </si>
  <si>
    <t>Sugito</t>
  </si>
  <si>
    <t>Palilo</t>
  </si>
  <si>
    <t>Harmanto</t>
  </si>
  <si>
    <t>Masprio</t>
  </si>
  <si>
    <t>Susito</t>
  </si>
  <si>
    <t>Nurul Wahyuni</t>
  </si>
  <si>
    <t>Maulana Supri</t>
  </si>
  <si>
    <t>Dadik Siji</t>
  </si>
  <si>
    <t>Ali Hari Wahyu</t>
  </si>
  <si>
    <t>Sofyan Hardi</t>
  </si>
  <si>
    <t>Slamet Sasmito</t>
  </si>
  <si>
    <t xml:space="preserve">Rudi Bambang </t>
  </si>
  <si>
    <t>Pratama Rino</t>
  </si>
  <si>
    <t>Chusnul Qotimah</t>
  </si>
  <si>
    <t>Isnain Putri</t>
  </si>
  <si>
    <t>Arman Dwi Jaya</t>
  </si>
  <si>
    <t>Jaya Agustian</t>
  </si>
  <si>
    <t>Wilis Setiyani</t>
  </si>
  <si>
    <t>Asria</t>
  </si>
  <si>
    <t>Trimunah</t>
  </si>
  <si>
    <t xml:space="preserve">Sunaryo </t>
  </si>
  <si>
    <t>/60</t>
  </si>
  <si>
    <t>4/10=0,4</t>
  </si>
  <si>
    <t>1/10 = 0,1</t>
  </si>
  <si>
    <t>5/10=0,5</t>
  </si>
  <si>
    <t>3/10=0,3</t>
  </si>
  <si>
    <t>7/10=0,7</t>
  </si>
  <si>
    <t>2/10=0,2</t>
  </si>
  <si>
    <t>8/10=0,8</t>
  </si>
  <si>
    <t>1/10=0,1</t>
  </si>
  <si>
    <t>9/10=0,9</t>
  </si>
  <si>
    <t>0/10=0</t>
  </si>
  <si>
    <t>2/10 = 0,2</t>
  </si>
  <si>
    <t>2/10  = 0,2</t>
  </si>
  <si>
    <t>6/10=0,6</t>
  </si>
  <si>
    <t>10/10=1</t>
  </si>
  <si>
    <t>=</t>
  </si>
  <si>
    <t>6*</t>
  </si>
  <si>
    <t>Data 1</t>
  </si>
  <si>
    <t>P(Kesejahteraan|2) = P(Kesejahteraan|2)x(P(IM1 |C)xP(IM2|B)xP(IM3|A)xP(IM4|D)xP(IM5|D)xP(IM6|D)xP(IM7|C)xP(IM8|C)xP(IM9|B)xP(IM10|C)xP(IM11|A)xP(IM12|C)xP(IM13|D)xP(IM14|B)xP(IM15|B)xP(IM16|D)xP(IM17|D)xP(IM18|D)xP(IM19|C)xP(IM20|A)xP(IM21|B)xP(IL1|A)xP(IL2|A)xP(IL3|A)xP(IL4|A)xP(IL5|A)xP(IL6|A)xP(IL7|A)xP(IL8|B)xP(IL9|A)xP(IL10|A)xP(IL11|B)xP(IL12|A)xP(IL13|A)xP(IL14|A)xP(IL15|B))</t>
  </si>
  <si>
    <t>P(Kesejahteraan|3) = P(Kesejahteraan|3)x(P(IM1 |C)xP(IM2|B)xP(IM3|A)xP(IM4|D)xP(IM5|D)xP(IM6|D)xP(IM7|C)xP(IM8|C)xP(IM9|B)xP(IM10|C)xP(IM11|A)xP(IM12|C)xP(IM13|D)xP(IM14|B)xP(IM15|B)xP(IM16|D)xP(IM17|D)xP(IM18|D)xP(IM19|C)xP(IM20|A)xP(IM21|B)xP(IL1|A)xP(IL2|A)xP(IL3|A)xP(IL4|A)xP(IL5|A)xP(IL6|A)xP(IL7|A)xP(IL8|B)xP(IL9|A)xP(IL10|A)xP(IL11|B)xP(IL12|A)xP(IL13|A)xP(IL14|A)xP(IL15|B))</t>
  </si>
  <si>
    <t>P(Kesejahteraan|4) = P(Kesejahteraan|4)x(P(IM1 |C)xP(IM2|B)xP(IM3|A)xP(IM4|D)xP(IM5|D)xP(IM6|D)xP(IM7|C)xP(IM8|C)xP(IM9|B)xP(IM10|C)xP(IM11|A)xP(IM12|C)xP(IM13|D)xP(IM14|B)xP(IM15|B)xP(IM16|D)xP(IM17|D)xP(IM18|D)xP(IM19|C)xP(IM20|A)xP(IM21|B)xP(IL1|A)xP(IL2|A)xP(IL3|A)xP(IL4|A)xP(IL5|A)xP(IL6|A)xP(IL7|A)xP(IL8|B)xP(IL9|A)xP(IL10|A)xP(IL11|B)xP(IL12|A)xP(IL13|A)xP(IL14|A)xP(IL15|B))</t>
  </si>
  <si>
    <t>P(Kesejahteraan|5) = P(Kesejahteraan|5)x(P(IM1 |C)xP(IM2|B)xP(IM3|A)xP(IM4|D)xP(IM5|D)xP(IM6|D)xP(IM7|C)xP(IM8|C)xP(IM9|B)xP(IM10|C)xP(IM11|A)xP(IM12|C)xP(IM13|D)xP(IM14|B)xP(IM15|B)xP(IM16|D)xP(IM17|D)xP(IM18|D)xP(IM19|C)xP(IM20|A)xP(IM21|B)xP(IL1|A)xP(IL2|A)xP(IL3|A)xP(IL4|A)xP(IL5|A)xP(IL6|A)xP(IL7|A)xP(IL8|B)xP(IL9|A)xP(IL10|A)xP(IL11|B)xP(IL12|A)xP(IL13|A)xP(IL14|A)xP(IL15|B))</t>
  </si>
  <si>
    <t>P(Kesejahteraan|6) = P(Kesejahteraan|6)x(P(IM1 |C)xP(IM2|B)xP(IM3|A)xP(IM4|D)xP(IM5|D)xP(IM6|D)xP(IM7|C)xP(IM8|C)xP(IM9|B)xP(IM10|C)xP(IM11|A)xP(IM12|C)xP(IM13|D)xP(IM14|B)xP(IM15|B)xP(IM16|D)xP(IM17|D)xP(IM18|D)xP(IM19|C)xP(IM20|A)xP(IM21|B)xP(IL1|A)xP(IL2|A)xP(IL3|A)xP(IL4|A)xP(IL5|A)xP(IL6|A)xP(IL7|A)xP(IL8|B)xP(IL9|A)xP(IL10|A)xP(IL11|B)xP(IL12|A)xP(IL13|A)xP(IL14|A)xP(IL15|B))</t>
  </si>
  <si>
    <t>Data 2</t>
  </si>
  <si>
    <t>P(Kesejahteraan|1) = P(Kesejahteraan|1)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</si>
  <si>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P(Kesejahteraan|2) = P(Kesejahteraan|1)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</si>
  <si>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P(Kesejahteraan|3) = P(Kesejahteraan|3)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</si>
  <si>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P(Kesejahteraan|4) = P(Kesejahteraan|4)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</si>
  <si>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P(Kesejahteraan|5) = P(Kesejahteraan|5)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</si>
  <si>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P(Kesejahteraan|6) = P(Kesejahteraan|6)x(P(IM1|D)xP(IM2|B)xP(IM3|C)xP(IM4|B)xP(IM5|D)xP(IM6|B)xP(IM7|D)xP(IM8|C)xP(IM9|C)xP(IM10|B)xP(IM11|B)xP(IM12|A)xP(IM13|D)xP(IM14|B)xP(IM15|B)xP(IM16|D)xP(IM17|D)xP(IM18|D)xP(IM19|A)xP(IM20|A)xP(IM21|A)xP(IL1|D)xP(IL2|B)xP(IL3|A)xP(IL4|A)xP(IL5|A)xP(IL6|A)xP(IL7|A)xP(IL8|A)xP(IL9|B)xP(IL10|A)xP(IL11|B)xP(IL12|A)xP(IL13|A)xP(IL14|A)xP(IL15|B))</t>
  </si>
  <si>
    <t>Data 3</t>
  </si>
  <si>
    <t xml:space="preserve">Hasil Klasifikasi </t>
  </si>
  <si>
    <t>Kelas Kesejahteraan 1</t>
  </si>
  <si>
    <t>Kelas Kesejahteraan 2</t>
  </si>
  <si>
    <t>Kelas Kesejahteraan 3</t>
  </si>
  <si>
    <t>Kelas Kesejahteraan 4</t>
  </si>
  <si>
    <t>Kelas Kesejahteraan 5</t>
  </si>
  <si>
    <t>Kelas Kesejahteraan 6</t>
  </si>
  <si>
    <t>Kelas kesejahteraan 1</t>
  </si>
  <si>
    <t>Sesuai</t>
  </si>
  <si>
    <t>Hasil Klasifikasi</t>
  </si>
  <si>
    <t>Tidak sesuai</t>
  </si>
  <si>
    <t>Data 4</t>
  </si>
  <si>
    <t>No</t>
  </si>
  <si>
    <t>Data 5</t>
  </si>
  <si>
    <t>P(Kesejahteraan|1) = P(Kesejahteraan|1)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</si>
  <si>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P(Kesejahteraan|2) = P(Kesejahteraan|2)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</si>
  <si>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P(Kesejahteraan|3) = P(Kesejahteraan|3)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</si>
  <si>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P(Kesejahteraan|4) = P(Kesejahteraan|4)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</si>
  <si>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P(Kesejahteraan|5) = P(Kesejahteraan|5)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</si>
  <si>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P(Kesejahteraan|6) = P(Kesejahteraan|6)x(P(IM1|C)xP(IM2|B)xP(IM3|B)xP(IM4|D)xP(IM5|D)xP(IM6|B)xP(IM7|C)xP(IM8|C)xP(IM9|C)xP(IM10|B)xP(IM11|A)xP(IM12|D)xP(IM13|D)xP(IM14|B)xP(IM15|B)xP(IM16|D)xP(IM17|D)xP(IM18|D)xP(IM19|D)xP(IM20|A)xP(IM21|B)xP(IL1|C)xP(IL2|B)xP(IL3|A)xP(IL4|A)xP(IL5|A)xP(IL6|A)xP(IL7|A)xP(IL8|B)xP(IL9|B)xP(IL10|A)xP(IL11|A)xP(IL12|A)xP(IL13|A)xP(IL14|A)xP(IL15|B))</t>
  </si>
  <si>
    <t>Hasil klasifikasi</t>
  </si>
  <si>
    <t>Data  6</t>
  </si>
  <si>
    <t>Data 7</t>
  </si>
  <si>
    <t>Data 8</t>
  </si>
  <si>
    <t>Data 9</t>
  </si>
  <si>
    <t xml:space="preserve">Hasil klasifikasi </t>
  </si>
  <si>
    <t>Data 10</t>
  </si>
  <si>
    <t>P(Kesejahteraan|1) = P(Kesejahteraan|1)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</si>
  <si>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P(Kesejahteraan|2) = P(Kesejahteraan|2)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</si>
  <si>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P(Kesejahteraan|3) = P(Kesejahteraan|3)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</si>
  <si>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P(Kesejahteraan|4) = P(Kesejahteraan|4)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</si>
  <si>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P(Kesejahteraan|5) = P(Kesejahteraan|5)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</si>
  <si>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P(Kesejahteraan|6) = P(Kesejahteraan|6)x(P(IM1|B)xP(IM2|D)xP(IM3|C)xP(IM4|D)xP(IM5|D)xP(IM6|D)xP(IM7|D)xP(IM8|C)xP(IM9|B)xP(IM10|B)xP(IM11|C)xP(IM12|A)xP(IM13|A)xP(IM14|B)xP(IM15|A)xP(IM16|C)xP(IM17|C)xP(IM18|C)xP(IM19|D)xP(IM20|A)xP(IM21|A)xP(IL1|C)xP(IL2|B)xP(IL3|A)xP(IL4|A)xP(IL5|A)xP(IL6|A)xP(IL7|A)xP(IL8|A)xP(IL9|B)xP(IL10|A)xP(IL11|B)xP(IL12|A)xP(IL13|A)xP(IL14|A)xP(IL15|B))</t>
  </si>
  <si>
    <t>Data 11</t>
  </si>
  <si>
    <t xml:space="preserve">Sesuai </t>
  </si>
  <si>
    <t>Data 12</t>
  </si>
  <si>
    <t>Data 13</t>
  </si>
  <si>
    <t>P(Kesejahteraan|1) = P(Kesejahteraan|1)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</si>
  <si>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P(Kesejahteraan|3) = P(Kesejahteraan|3)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</si>
  <si>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P(Kesejahteraan|2) = P(Kesejahteraan|2)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</si>
  <si>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P(Kesejahteraan|4) = P(Kesejahteraan|4)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</si>
  <si>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P(Kesejahteraan|5) = P(Kesejahteraan|5)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</si>
  <si>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P(Kesejahteraan|6) = P(Kesejahteraan|6)x(P(IM1|D)xP(IM2|D)xP(IM3|C)xP(IM4|C)xP(IM5|D)xP(IM6|D)xP(IM7|C)xP(IM8|C)xP(IM9|C)xP(IM10|A)xP(IM11|A)xP(IM12|A)xP(IM13|D)xP(IM14|A)xP(IM15|D)xP(IM16|D)xP(IM17|D)xP(IM18|D)xP(IM19|D)xP(IM20|A)xP(IM21|B)xP(IL1|C)xP(IL2|B)xP(IL3|A)xP(IL4|A)xP(IL5|A)xP(IL6|A)xP(IL7|A)xP(IL8|A)xP(IL9|A)xP(IL10|A)xP(IL11|B)xP(IL12|A)xP(IL13|A)xP(IL14|A)xP(IL15|A))</t>
  </si>
  <si>
    <t>Data 14</t>
  </si>
  <si>
    <t>P(Kesejahteraan|1) = P(Kesejahteraan|1)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</si>
  <si>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P(Kesejahteraan|2) = P(Kesejahteraan|2)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</si>
  <si>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P(Kesejahteraan|3) = P(Kesejahteraan|3)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</si>
  <si>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P(Kesejahteraan|4) = P(Kesejahteraan|4)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</si>
  <si>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P(Kesejahteraan|5) = P(Kesejahteraan|5)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</si>
  <si>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P(Kesejahteraan|6) = P(Kesejahteraan|6)x(P(IM1|D)xP(IM2|D)xP(IM3|B)xP(IM4|D)xP(IM5|D)xP(IM6|D)xP(IM7|D)xP(IM8|C)xP(IM9|C)xP(IM10|A)xP(IM11|A)xP(IM12|C)xP(IM13|D)xP(IM14|A)xP(IM15|C)xP(IM16|D)xP(IM17B)xP(IM18|A)xP(IM19|D)xP(IM20|C)xP(IM21|A)xP(IL1|A)xP(IL2|B)xP(IL3|A)xP(IL4|A)xP(IL5|A)xP(IL6|A)xP(IL7|A)xP(IL8|A)xP(IL9|B)xP(IL10|A)xP(IL11|B)xP(IL12|A)xP(IL13|A)xP(IL14|A)xP(IL15|B))</t>
  </si>
  <si>
    <t>Data 15</t>
  </si>
  <si>
    <t>P(Kesejahteraan|1) = P(Kesejahteraan|1)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</si>
  <si>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P(Kesejahteraan|2) = P(Kesejahteraan|2)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</si>
  <si>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P(Kesejahteraan|3) = P(Kesejahteraan|3)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</si>
  <si>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P(Kesejahteraan|4) = P(Kesejahteraan|4)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</si>
  <si>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P(Kesejahteraan|5) = P(Kesejahteraan|5)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</si>
  <si>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P(Kesejahteraan|6) = P(Kesejahteraan|6)x(P(IM1|C)xP(IM2|D)xP(IM3|A)xP(IM4|D)xP(IM5|D)xP(IM6|D)xP(IM7|C)xP(IM8|C)xP(IM9|B)xP(IM10|A)xP(IM11|A)xP(IM12|D)xP(IM13|D)xP(IM14|A)xP(IM15|D)xP(IM16|D)xP(IM17|C)xP(IM18|D)xP(IM19|D)xP(IM20|A)xP(IM21|A)xP(IL1|A)xP(IL2|B)xP(IL3|A)xP(IL4|A)xP(IL5|A)xP(IL6|A)xP(IL7|A)xP(IL8|A)xP(IL9|B)xP(IL10|A)xP(IL11|B)xP(IL12|A)xP(IL13|A)xP(IL14|A)xP(IL15|B))</t>
  </si>
  <si>
    <t>Data 16</t>
  </si>
  <si>
    <t>Sangat miskin</t>
  </si>
  <si>
    <t>Miskn</t>
  </si>
  <si>
    <t>Hampir Miskin</t>
  </si>
  <si>
    <t>Rentan Miskin</t>
  </si>
  <si>
    <t>Pas-Pasan</t>
  </si>
  <si>
    <t xml:space="preserve">Menengah Keatas </t>
  </si>
  <si>
    <t>Data 17</t>
  </si>
  <si>
    <t>Data 18</t>
  </si>
  <si>
    <t>Hasik klasifikasi</t>
  </si>
  <si>
    <t>Data 19</t>
  </si>
  <si>
    <t>Data 20</t>
  </si>
  <si>
    <t>Data 21</t>
  </si>
  <si>
    <t>Data 22</t>
  </si>
  <si>
    <t>P(Kesejahteraan|1) = P(Kesejahteraan|1)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</si>
  <si>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P(Kesejahteraan|2) = P(Kesejahteraan|2)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</si>
  <si>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P(Kesejahteraan|3) = P(Kesejahteraan|3)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</si>
  <si>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P(Kesejahteraan|4) = P(Kesejahteraan|4)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</si>
  <si>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P(Kesejahteraan|5) = P(Kesejahteraan|5)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</si>
  <si>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P(Kesejahteraan|6) = P(Kesejahteraan|6)x(P(IM1|D)xP(IM2|A)xP(IM3|A)xP(IM4|B)xP(IM5|C)xP(IM6|D)xP(IM7|D)xP(IM8|C)xP(IM9|C)xP(IM10|B)xP(IM11|A)xP(IM12|C)xP(IM13|C)xP(IM14|C)xP(IM15|D)xP(IM16|D)xP(IM17|B)xP(IM18|B)xP(IM19|C)xP(IM20|A)xP(IM21|D)xP(IL1|B)xP(IL2|B)xP(IL3|B)xP(IL4|B)xP(IL5|A)xP(IL6|A)xP(IL7|A)xP(IL8|A)xP(IL9|B)xP(IL10|A)xP(IL11|A)xP(IL12|A)xP(IL13|A)xP(IL14|A)xP(IL15|B))</t>
  </si>
  <si>
    <t>Hasi Klasifikasi</t>
  </si>
  <si>
    <t>Data 23</t>
  </si>
  <si>
    <t>P(Kesejahteraan|1) = P(Kesejahteraan|1)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</si>
  <si>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P(Kesejahteraan|2) = P(Kesejahteraan|2)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</si>
  <si>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P(Kesejahteraan|3) = P(Kesejahteraan|3)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</si>
  <si>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P(Kesejahteraan|4) = P(Kesejahteraan|4)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</si>
  <si>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P(Kesejahteraan|5) = P(Kesejahteraan|5)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</si>
  <si>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P(Kesejahteraan|6) = P(Kesejahteraan|6)x(P(IM1|D)xP(IM2|D)xP(IM3|A)xP(IM4|D)xP(IM5|D)xP(IM6|C)xP(IM7|D)xP(IM8|C)xP(IM9|B)xP(IM10|A)xP(IM11|A)xP(IM12|C)xP(IM13|D)xP(IM14|D)xP(IM15|D)xP(IM16|D)xP(IM17|D)xP(IM18|D)xP(IM19|A)xP(IM20|A)xP(IM21|A)xP(IL1|D)xP(IL2|B)xP(IL3|A)xP(IL4|A)xP(IL5|A)xP(IL6|A)xP(IL7|A)xP(IL8|A)xP(IL9|B)xP(IL10|A)xP(IL11|B)xP(IL12|A)xP(IL13|A)xP(IL14|A)xP(IL15|B))</t>
  </si>
  <si>
    <t>Data 24</t>
  </si>
  <si>
    <t>P(Kesejahteraan|1) = P(Kesejahteraan|1)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</si>
  <si>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>P(Kesejahteraan|2) = P(Kesejahteraan|2)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</si>
  <si>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>P(Kesejahteraan|3) = P(Kesejahteraan|3)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</si>
  <si>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>P(Kesejahteraan|4) = P(Kesejahteraan|4)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</si>
  <si>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>P(Kesejahteraan|5) = P(Kesejahteraan|5)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</si>
  <si>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>P(Kesejahteraan|6) = P(Kesejahteraan|6)x(P(IM1|C)xP(IM2|B)xP(IM3|B)xP(IM4|C)xP(IM5|D)xP(IM6|C)xP(IM7|D)xP(IM8|C)xP(IM9|B)xP(IM10|A)xP(IM11|A)xP(IM12|D)xP(IM13|D)xP(IM14|A)xP(IM15|D)xP(IM16|D)xP(IM17|D)xP(IM18|D)xP(IM19|D)xP(IM20|A)xP(IM21|A)xP(IL1|A)xP(IL2|A)xP(IL3|A)xP(IL4|A)xP(IL5|A)xP(IL6|A)xP(IL7|A)xP(IL8|A)xP(IL9|A)xP(IL10|A)xP(IL11|B)xP(IL12|A)xP(IL13|A)xP(IL14|B)xP(IL15|A))</t>
  </si>
  <si>
    <t xml:space="preserve"> Data 25</t>
  </si>
  <si>
    <t>Data 26</t>
  </si>
  <si>
    <t>P(Kesejahteraan|1) = P(Kesejahteraan|1)x(P(IM1|C)xP(IM2|B)xP(IM3|A)xP(IM4|D)xP(IM5|D)xP(IM6|D)xP(IM7|D)xP(IM8|C)xP(IM9|B)xP(IM10|B)xP(IM11|A)xP(IM12|B)xP(IM13|D)xP(IM14|B)xP(IM15|B)xP(IM16|D)xP(IM17|D)xP(IM18|D)xP(IM19|C)xP(IM20|A)xP(IM21|B)xP(IL1|C)xP(IL2|B)xP(IL3|A)xP(IL4|A)xP(IL5|A)xP(IL6|A)xP(IL7|A)xP(IL8|A)xP(IL9|A)xP(IL10|A)xP(IL11|A)xP(IL12|A)xP(IL13|A)xP(IL14|B)xP(IL15|B))</t>
  </si>
  <si>
    <t>P(Kesejahteraan|2) = P(Kesejahteraan|2)x(P(IM1|C)xP(IM2|B)xP(IM3|A)xP(IM4|B)xP(IM5|D)xP(IM6|D)xP(IM7|D)xP(IM8|C)xP(IM9|B)xP(IM10|B)xP(IM11|A)xP(IM12|C)xP(IM13|D)xP(IM14|B)xP(IM15|B)xP(IM16|D)xP(IM17|D)xP(IM18|D)xP(IM19|C)xP(IM20|A)xP(IM21|A)xP(IL1|A)xP(IL2|B)xP(IL3|A)xP(IL4|A)xP(IL5|A)xP(IL6|A)xP(IL7|A)xP(IL8|A)xP(IL9|A)xP(IL10|A)xP(IL11|A)xP(IL12|A)xP(IL13|A)xP(IL14|A)xP(IL15|B))</t>
  </si>
  <si>
    <t>P(Kesejahteraan|3) = P(Kesejahteraan|3)x(P(IM1|C)xP(IM2|B)xP(IM3|A)xP(IM4|B)xP(IM5|D)xP(IM6|D)xP(IM7|D)xP(IM8|C)xP(IM9|B)xP(IM10|B)xP(IM11|A)xP(IM12|C)xP(IM13|D)xP(IM14|B)xP(IM15|B)xP(IM16|D)xP(IM17|D)xP(IM18|D)xP(IM19|C)xP(IM20|A)xP(IM21|A)xP(IL1|A)xP(IL2|B)xP(IL3|A)xP(IL4|A)xP(IL5|A)xP(IL6|A)xP(IL7|A)xP(IL8|A)xP(IL9|A)xP(IL10|A)xP(IL11|A)xP(IL12|A)xP(IL13|A)xP(IL14|A)xP(IL15|B))</t>
  </si>
  <si>
    <t>P(Kesejahteraan|4) = P(Kesejahteraan|4)x(P(IM1|C)xP(IM2|B)xP(IM3|A)xP(IM4|B)xP(IM5|D)xP(IM6|D)xP(IM7|D)xP(IM8|C)xP(IM9|B)xP(IM10|B)xP(IM11|A)xP(IM12|C)xP(IM13|D)xP(IM14|B)xP(IM15|B)xP(IM16|D)xP(IM17|D)xP(IM18|D)xP(IM19|C)xP(IM20|A)xP(IM21|A)xP(IL1|A)xP(IL2|B)xP(IL3|A)xP(IL4|A)xP(IL5|A)xP(IL6|A)xP(IL7|A)xP(IL8|A)xP(IL9|A)xP(IL10|A)xP(IL11|A)xP(IL12|A)xP(IL13|A)xP(IL14|A)xP(IL15|B))</t>
  </si>
  <si>
    <t>P(Kesejahteraan|5) = P(Kesejahteraan|5)x(P(IM1|C)xP(IM2|B)xP(IM3|A)xP(IM4|B)xP(IM5|D)xP(IM6|D)xP(IM7|D)xP(IM8|C)xP(IM9|B)xP(IM10|B)xP(IM11|A)xP(IM12|C)xP(IM13|D)xP(IM14|B)xP(IM15|B)xP(IM16|D)xP(IM17|D)xP(IM18|D)xP(IM19|C)xP(IM20|A)xP(IM21|A)xP(IL1|A)xP(IL2|B)xP(IL3|A)xP(IL4|A)xP(IL5|A)xP(IL6|A)xP(IL7|A)xP(IL8|A)xP(IL9|A)xP(IL10|A)xP(IL11|A)xP(IL12|A)xP(IL13|A)xP(IL14|A)xP(IL15|B))</t>
  </si>
  <si>
    <t>P(Kesejahteraan|6) = P(Kesejahteraan|6)x(P(IM1|C)xP(IM2|B)xP(IM3|A)xP(IM4|B)xP(IM5|D)xP(IM6|D)xP(IM7|D)xP(IM8|C)xP(IM9|B)xP(IM10|B)xP(IM11|A)xP(IM12|C)xP(IM13|D)xP(IM14|B)xP(IM15|B)xP(IM16|D)xP(IM17|D)xP(IM18|D)xP(IM19|C)xP(IM20|A)xP(IM21|A)xP(IL1|A)xP(IL2|B)xP(IL3|A)xP(IL4|A)xP(IL5|A)xP(IL6|A)xP(IL7|A)xP(IL8|A)xP(IL9|A)xP(IL10|A)xP(IL11|A)xP(IL12|A)xP(IL13|A)xP(IL14|A)xP(IL15|B))</t>
  </si>
  <si>
    <t>Data 27</t>
  </si>
  <si>
    <t>P(Kesejahteraan|1) = P(Kesejahteraan|1)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</si>
  <si>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P(Kesejahteraan|2) = P(Kesejahteraan|2)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</si>
  <si>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P(Kesejahteraan|3) = P(Kesejahteraan|3)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</si>
  <si>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P(Kesejahteraan|4) = P(Kesejahteraan|4)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</si>
  <si>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P(Kesejahteraan|5) = P(Kesejahteraan|5)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</si>
  <si>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P(Kesejahteraan|6) = P(Kesejahteraan|6)x(P(IM1|C)xP(IM2|D)xP(IM3|B)xP(IM4|D)xP(IM5|D)xP(IM6|D)xP(IM7|D)xP(IM8|C)xP(IM9|C)xP(IM10|C)xP(IM11|B)xP(IM12|D)xP(IM13|D)xP(IM14|B)xP(IM15|C)xP(IM16|C)xP(IM17|D)xP(IM18|D)xP(IM19|C)xP(IM20|A)xP(IM21|C)xP(IL1|C)xP(IL2|B)xP(IL3|A)xP(IL4|A)xP(IL5|A)xP(IL6|A)xP(IL7|A)xP(IL8|A)xP(IL9|B)xP(IL10|A)xP(IL11|B)xP(IL12|A)xP(IL13|A)xP(IL14|A)xP(IL15|B))</t>
  </si>
  <si>
    <t>Kelas kesejahteraan 3</t>
  </si>
  <si>
    <t>Data 28</t>
  </si>
  <si>
    <t>Data 29</t>
  </si>
  <si>
    <t xml:space="preserve">sesuai </t>
  </si>
  <si>
    <t xml:space="preserve"> </t>
  </si>
  <si>
    <t>P(Kesejahteraan|1) = P(Kesejahteraan|1)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</si>
  <si>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P(Kesejahteraan|2) = P(Kesejahteraan|2)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</si>
  <si>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P(Kesejahteraan|3) = P(Kesejahteraan|3)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</si>
  <si>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P(Kesejahteraan|4) = P(Kesejahteraan|4)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</si>
  <si>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P(Kesejahteraan|5) = P(Kesejahteraan|5)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</si>
  <si>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P(Kesejahteraan|6) = P(Kesejahteraan|6)x(P(IM1|D)xP(IM2|B)xP(IM3|B)xP(IM4|D)xP(IM5|D)xP(IM6|D)xP(IM7|C)xP(IM8|C)xP(IM9|B)xP(IM10|B)xP(IM11|A)xP(IM12|D)xP(IM13|C)xP(IM14|B)xP(IM15|C)xP(IM16|D)xP(IM17|D)xP(IM18|D)xP(IM19|D)xP(IM20|A)xP(IM21|B)xP(IL1|B)xP(IL2|B)xP(IL3|A)xP(IL4|A)xP(IL5|A)xP(IL6|A)xP(IL7|A)xP(IL8|A)xP(IL9|B)xP(IL10|A)xP(IL11|B)xP(IL12|A)xP(IL13|A)xP(IL14|A)xP(IL15|B))</t>
  </si>
  <si>
    <t>P(Kesejahteraan|1) = P(Kesejahteraan|1)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</si>
  <si>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P(Kesejahteraan|2) = P(Kesejahteraan|2)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</si>
  <si>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P(Kesejahteraan|3) = P(Kesejahteraan|3)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</si>
  <si>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Data 30</t>
  </si>
  <si>
    <t xml:space="preserve">Tidak sesuai </t>
  </si>
  <si>
    <t>Data 31</t>
  </si>
  <si>
    <t>P(Kesejahteraan|1) = P(Kesejahteraan|1)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</si>
  <si>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P(Kesejahteraan|2) = P(Kesejahteraan|2)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</si>
  <si>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P(Kesejahteraan|3) = P(Kesejahteraan|3)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</si>
  <si>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P(Kesejahteraan|4) = P(Kesejahteraan|4)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</si>
  <si>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P(Kesejahteraan|5) = P(Kesejahteraan|5)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</si>
  <si>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P(Kesejahteraan|6) = P(Kesejahteraan|6)x(P(IM1|B)xP(IM2|B)xP(IM3|A)xP(IM4|C)xP(IM5|D)xP(IM6|D)xP(IM7|D)xP(IM8|C)xP(IM9|C)xP(IM10|C)xP(IM11|D)xP(IM12|C)xP(IM13|D)xP(IM14|B)xP(IM15|B)xP(IM16|D)xP(IM17|D)xP(IM18|D)xP(IM19|D)xP(IM20|A)xP(IM21|A)xP(IL1|C)xP(IL2|B)xP(IL3|A)xP(IL4|A)xP(IL5|A)xP(IL6|A)xP(IL7|A)xP(IL8|A)xP(IL9|B)xP(IL10|A)xP(IL11|B)xP(IL12|B)xP(IL13|A)xP(IL14|B)xP(IL15|B))</t>
  </si>
  <si>
    <t>Data 32</t>
  </si>
  <si>
    <t>P(Kesejahteraan|1) = P(Kesejahteraan|1)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</si>
  <si>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P(Kesejahteraan|2) = P(Kesejahteraan|2)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</si>
  <si>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P(Kesejahteraan|3) = P(Kesejahteraan|3)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</si>
  <si>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P(Kesejahteraan|4) = P(Kesejahteraan|4)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</si>
  <si>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P(Kesejahteraan|5) = P(Kesejahteraan|5)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</si>
  <si>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P(Kesejahteraan|6) = P(Kesejahteraan|6)x(P(IM1|D)xP(IM2|B)xP(IM3|B)xP(IM4|D)xP(IM5|D)xP(IM6|D)xP(IM7|D)xP(IM8|C)xP(IM9|C)xP(IM10|D)xP(IM11|B)xP(IM12|A)xP(IM13|D)xP(IM14|B)xP(IM15|D)xP(IM16|D)xP(IM17|D)xP(IM18|D)xP(IM19|D)xP(IM20|A)xP(IM21|A)xP(IL1|A)xP(IL2|B)xP(IL3|A)xP(IL4|A)xP(IL5|A)xP(IL6|A)xP(IL7|A)xP(IL8|A)xP(IL9|B)xP(IL10|A)xP(IL11|B)xP(IL12|A)xP(IL13|A)xP(IL14|A)xP(IL15|B))</t>
  </si>
  <si>
    <t>Data 33</t>
  </si>
  <si>
    <t>Kelas kesejahteraan 4</t>
  </si>
  <si>
    <t>Data 34</t>
  </si>
  <si>
    <t>Data 35</t>
  </si>
  <si>
    <t>P(Kesejahteraan|1) = P(Kesejahteraan|1)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</si>
  <si>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P(Kesejahteraan|2) = P(Kesejahteraan|2)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</si>
  <si>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P(Kesejahteraan|3) = P(Kesejahteraan|3)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</si>
  <si>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P(Kesejahteraan|4) = P(Kesejahteraan|4)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</si>
  <si>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P(Kesejahteraan|5) = P(Kesejahteraan|5)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</si>
  <si>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P(Kesejahteraan|6) = P(Kesejahteraan|6)x(P(IM1|D)xP(IM2|B)xP(IM3|A)xP(IM4|B)xP(IM5|D)xP(IM6|D)xP(IM7|D)xP(IM8|C)xP(IM9|B)xP(IM10|B)xP(IM11|A)xP(IM12|D)xP(IM13|A)xP(IM14|C)xP(IM15|D)xP(IM16|D)xP(IM17|D)xP(IM18|D)xP(IM19|A)xP(IM20|A)xP(IM21|A)xP(IL1|C)xP(IL2|B)xP(IL3|A)xP(IL4|A)xP(IL5|A)xP(IL6|A)xP(IL7|A)xP(IL8|A)xP(IL9|A)xP(IL10|A)xP(IL11|B)xP(IL12|A)xP(IL13|A)xP(IL14|A)xP(IL15|B))</t>
  </si>
  <si>
    <t>Data 36</t>
  </si>
  <si>
    <t>P(Kesejahteraan|1) = P(Kesejahteraan|1)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</si>
  <si>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P(Kesejahteraan|2) = P(Kesejahteraan|2)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</si>
  <si>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P(Kesejahteraan|3) = P(Kesejahteraan|3)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</si>
  <si>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P(Kesejahteraan|4) = P(Kesejahteraan|4)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</si>
  <si>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P(Kesejahteraan|5) = P(Kesejahteraan|5)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</si>
  <si>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P(Kesejahteraan|6) = P(Kesejahteraan|6)x(P(IM1|D)xP(IM2|B)xP(IM3|C)xP(IM4|D)xP(IM5|D)xP(IM6|D)xP(IM7|C)xP(IM8|C)xP(IM9|B)xP(IM10|B)xP(IM11|B)xP(IM12|B)xP(IM13|C)xP(IM14|C)xP(IM15|C)xP(IM16|D)xP(IM17|C)xP(IM18|C)xP(IM19|D)xP(IM20|B)xP(IM21|C)xP(IL1|C)xP(IL2|B)xP(IL3|A)xP(IL4|A)xP(IL5|A)xP(IL6|A)xP(IL7|A)xP(IL8|A)xP(IL9|B)xP(IL10|A)xP(IL11|B)xP(IL12|A)xP(IL13|A)xP(IL14|A)xP(IL15|B))</t>
  </si>
  <si>
    <t>Data 37</t>
  </si>
  <si>
    <t>P(Kesejahteraan|1) = P(Kesejahteraan|1)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</si>
  <si>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P(Kesejahteraan|2) = P(Kesejahteraan|2)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</si>
  <si>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P(Kesejahteraan|3) = P(Kesejahteraan|3)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</si>
  <si>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P(Kesejahteraan|4) = P(Kesejahteraan|4)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</si>
  <si>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P(Kesejahteraan|5) = P(Kesejahteraan|5)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</si>
  <si>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P(Kesejahteraan|6) = P(Kesejahteraan|6)x(P(IM1|D)xP(IM2|B)xP(IM3|B)xP(IM4|C)xP(IM5|D)xP(IM6|D)xP(IM7|D)xP(IM8|C)xP(IM9|C)xP(IM10|C)xP(IM11|B)xP(IM12|D)xP(IM13|D)xP(IM14|C)xP(IM15|C)xP(IM16|D)xP(IM17|D)xP(IM18|D)xP(IM19|D)xP(IM20|B)xP(IM21|B)xP(IL1|C)xP(IL2|B)xP(IL3|A)xP(IL4|A)xP(IL5|A)xP(IL6|A)xP(IL7|A)xP(IL8|B)xP(IL9|B)xP(IL10|A)xP(IL11|B)xP(IL12|A)xP(IL13|A)xP(IL14|B)xP(IL15|B))</t>
  </si>
  <si>
    <t>Data 38</t>
  </si>
  <si>
    <t>Data 39</t>
  </si>
  <si>
    <t>P(Kesejahteraan|1) = P(Kesejahteraan|1)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</si>
  <si>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P(Kesejahteraan|2) = P(Kesejahteraan|2)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</si>
  <si>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P(Kesejahteraan|3) = P(Kesejahteraan|3)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</si>
  <si>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P(Kesejahteraan|4) = P(Kesejahteraan|4)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</si>
  <si>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P(Kesejahteraan|5) = P(Kesejahteraan|5)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</si>
  <si>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P(Kesejahteraan|6) = P(Kesejahteraan|6)x(P(IM1|B)xP(IM2|B)xP(IM3|A)xP(IM4|C)xP(IM5|D)xP(IM6|D)xP(IM7|D)xP(IM8|C)xP(IM9|C)xP(IM10|C)xP(IM11|D)xP(IM12|C)xP(IM13|D)xP(IM14|B)xP(IM15|B)xP(IM16|D)xP(IM17|D)xP(IM18|D)xP(IM19|D)xP(IM20|A)xP(IM21|A)xP(IL1|C)xP(IL2|B)xP(IL3|A)xP(IL4|A)xP(IL5|A)xP(IL6|B)xP(IL7|A)xP(IL8|A)xP(IL9|B)xP(IL10|A)xP(IL11|B)xP(IL12|B)xP(IL13|A)xP(IL14|B)xP(IL15|B))</t>
  </si>
  <si>
    <t>kelas Kesejahteraan 4</t>
  </si>
  <si>
    <t>Data 40</t>
  </si>
  <si>
    <t>P(Kesejahteraan|1) = P(Kesejahteraan|1)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</si>
  <si>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P(Kesejahteraan|2) = P(Kesejahteraan|2)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</si>
  <si>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P(Kesejahteraan|3) = P(Kesejahteraan|3)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</si>
  <si>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P(Kesejahteraan|4) = P(Kesejahteraan|4)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</si>
  <si>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P(Kesejahteraan|5) = P(Kesejahteraan|5)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</si>
  <si>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P(Kesejahteraan|6) = P(Kesejahteraan|6)x(P(IM1|D)xP(IM2|B)xP(IM3|C)xP(IM4|D)xP(IM5|D)xP(IM6|D)xP(IM7|D)xP(IM8|C)xP(IM9|C)xP(IM10|C)xP(IM11|B)xP(IM12|D)xP(IM13|D)xP(IM14|C)xP(IM15|C)xP(IM16|D)xP(IM17|D)xP(IM18|D)xP(IM19|D)xP(IM20|B)xP(IM21|B)xP(IL1|C)xP(IL2|B)xP(IL3|A)xP(IL4|A)xP(IL5|A)xP(IL6|A)xP(IL7|A)xP(IL8|B)xP(IL9|B)xP(IL10|A)xP(IL11|B)xP(IL12|B)xP(IL13|A)xP(IL14|B)xP(IL15|B))</t>
  </si>
  <si>
    <t>Data 41</t>
  </si>
  <si>
    <t>P(Kesejahteraan|1) = P(Kesejahteraan|1)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</si>
  <si>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P(Kesejahteraan|2) = P(Kesejahteraan|2)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</si>
  <si>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P(Kesejahteraan|4) = P(Kesejahteraan|4)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</si>
  <si>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P(Kesejahteraan|5) = P(Kesejahteraan|5)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</si>
  <si>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P(Kesejahteraan|6) = P(Kesejahteraan|6)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</si>
  <si>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Kelas kesejahteraan 5</t>
  </si>
  <si>
    <t>Data 42</t>
  </si>
  <si>
    <t>P(Kesejahteraan|1) = P(Kesejahteraan|1)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</si>
  <si>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Data 43</t>
  </si>
  <si>
    <t>P(Kesejahteraan|2) = P(Kesejahteraan|2)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</si>
  <si>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P(Kesejahteraan|3) = P(Kesejahteraan|3)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</si>
  <si>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P(Kesejahteraan|4) = P(Kesejahteraan|4)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</si>
  <si>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P(Kesejahteraan|5) = P(Kesejahteraan|5)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</si>
  <si>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P(Kesejahteraan|6) = P(Kesejahteraan|6)x(P(IM1|C)xP(IM2|D)xP(IM3|B)xP(IM4|D)xP(IM5|D)xP(IM6|B)xP(IM7|D)xP(IM8|C)xP(IM9|C)xP(IM10|D)xP(IM11|C)xP(IM12|C)xP(IM13|A)xP(IM14|B)xP(IM15|C)x(IM16|D)xP(IM17|D)xP(IM18|D)xP(IM19|B)xP(IM20|B)xP(IM21|B)xP(IL1|A)xP(IL2|B)xP(IL3|A)xP(IL4|A)xP(IL5|A)xP(IL6|A)xP(IL7|A)xP(IL8|B)xP(IL9|A)xP(IL10|A)xP(IL11|B)xP(IL12|A)xP(IL13|A)xP(IL14|A)xP(IL15|B))</t>
  </si>
  <si>
    <t>Data 44</t>
  </si>
  <si>
    <t>Kelas kesejahteraan 6</t>
  </si>
  <si>
    <t>P(Kesejahteraan|1) = P(Kesejahteraan|1)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</si>
  <si>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P(Kesejahteraan|2) = P(Kesejahteraan|2)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</si>
  <si>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P(Kesejahteraan|3) = P(Kesejahteraan|3)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</si>
  <si>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P(Kesejahteraan|4) = P(Kesejahteraan|4)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</si>
  <si>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P(Kesejahteraan|5) = P(Kesejahteraan|5)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</si>
  <si>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P(Kesejahteraan|6) = P(Kesejahteraan|)x(P(IM1|D)xP(IM2|B)xP(IM3|B)xP(IM4|D)xP(IM5|D)xP(IM6|D)xP(IM7|D)xP(IM8|C)xP(IM9|A)xP(IM10|A)xP(IM11|A)xP(IM12|D)xP(IM13|C)xP(IM14|A)xP(IM15|D)x(IM16|D)xP(IM17|B)xP(IM18|B)xP(IM19|B)xP(IM20|A)xP(IM21|B)xP(IL1|C)xP(IL2|B)xP(IL3|A)xP(IL4|A)xP(IL5|A)xP(IL6|A)xP(IL7|A)xP(IL8|A)xP(IL9|B)xP(IL10|A)xP(IL11|B)xP(IL12|A)xP(IL13|A)xP(IL14|A)xP(IL15|B))</t>
  </si>
  <si>
    <t>Data 45</t>
  </si>
  <si>
    <t>Data 46</t>
  </si>
  <si>
    <t>P(Kesejahteraan|1) = P(Kesejahteraan|1)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</si>
  <si>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P(Kesejahteraan|1) = P(Kesejahteraan|1)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</si>
  <si>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P(Kesejahteraan|2) = P(Kesejahteraan|2)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</si>
  <si>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P(Kesejahteraan|3) = P(Kesejahteraan|3)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</si>
  <si>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P(Kesejahteraan|4) = P(Kesejahteraan|4)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</si>
  <si>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P(Kesejahteraan|5) = P(Kesejahteraan|5)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</si>
  <si>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P(Kesejahteraan|6) = P(Kesejahteraan|6)x(P(IM1|D)xP(IM2|B)xP(IM3|A)xP(IM4|D)xP(IM5|D)xP(IM6|B)xP(IM7|D)xP(IM8|C)xP(IM9|B)xP(IM10|C)xP(IM11|C)xP(IM12|D)xP(IM13|D)xP(IM14|C)xP(IM15|D)x(IM16|D)xP(IM17|B)xP(IM18|D)xP(IM19|C)xP(IM20|A)xP(IM21|A)xP(IL1|C)xP(IL2|B)xP(IL3|A)xP(IL4|A)xP(IL5|A)xP(IL6|A)xP(IL7|A)xP(IL8|A)xP(IL9|B)xP(IL10|A)xP(IL11|B)xP(IL12|A)xP(IL13|A)xP(IL14|B)xP(IL15|B))</t>
  </si>
  <si>
    <t>P(Kesejahteraan|2) = P(Kesejahteraan|2)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</si>
  <si>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P(Kesejahteraan|3) = P(Kesejahteraan|3)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</si>
  <si>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P(Kesejahteraan|4) = P(Kesejahteraan|4)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</si>
  <si>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P(Kesejahteraan|5) = P(Kesejahteraan|5)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</si>
  <si>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P(Kesejahteraan|6) = P(Kesejahteraan|6)x(P(IM1|D)xP(IM2|D)xP(IM3|B)xP(IM4|D)xP(IM5|D)xP(IM6|B)xP(IM7|D)xP(IM8|C)xP(IM9|A)xP(IM10|A)xP(IM11|A)xP(IM12|D)xP(IM13|C)xP(IM14|A)xP(IM15|D)x(IM16|D)xP(IM17|C)xP(IM18|D)xP(IM19|D)xP(IM20|B)xP(IM21|B)xP(IL1|A)xP(IL2|B)xP(IL3|A)xP(IL4|A)xP(IL5|A)xP(IL6|A)xP(IL7|A)xP(IL8|A)xP(IL9|A)xP(IL10|A)xP(IL11|B)xP(IL12|A)xP(IL13|A)xP(IL14|B)xP(IL15|B))</t>
  </si>
  <si>
    <t>Data 47</t>
  </si>
  <si>
    <t>kelas kesejahteraan 5</t>
  </si>
  <si>
    <t>P(Kesejahteraan|1) = P(Kesejahteraan|1)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</si>
  <si>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P(Kesejahteraan|2) = P(Kesejahteraan|2)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</si>
  <si>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P(Kesejahteraan|3) = P(Kesejahteraan|3)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</si>
  <si>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P(Kesejahteraan|4) = P(Kesejahteraan|4)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</si>
  <si>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P(Kesejahteraan|5) = P(Kesejahteraan|5)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</si>
  <si>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P(Kesejahteraan|6) = P(Kesejahteraan|6)x(P(IM1|D)xP(IM2|B)xP(IM3|C)xP(IM4|D)xP(IM5|D)xP(IM6|D)xP(IM7|D)xP(IM8|C)xP(IM9|C)xP(IM10|C)xP(IM11|B)xP(IM12|C)xP(IM13|D)xP(IM14|C)xP(IM15|C)x(IM16|D)xP(IM17|D)xP(IM18|D)xP(IM19|D)xP(IM20|B)xP(IM21|B)xP(IL1|C)xP(IL2|B)xP(IL3|A)xP(IL4|A)xP(IL5|A)xP(IL6|A)xP(IL7|A)xP(IL8|B)xP(IL9|B)xP(IL10|A)xP(IL11|B)xP(IL12|A)xP(IL13|A)xP(IL14|B)xP(IL15|B))</t>
  </si>
  <si>
    <t>Data 48</t>
  </si>
  <si>
    <t>kelas kesejahteraan  4</t>
  </si>
  <si>
    <t>P(Kesejahteraan|1) = P(Kesejahteraan|1)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</si>
  <si>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P(Kesejahteraan|2) = P(Kesejahteraan|2)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</si>
  <si>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P(Kesejahteraan|3) = P(Kesejahteraan|3)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</si>
  <si>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P(Kesejahteraan|4) = P(Kesejahteraan|4)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</si>
  <si>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P(Kesejahteraan|5) = P(Kesejahteraan|5)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</si>
  <si>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P(Kesejahteraan|6) = P(Kesejahteraan|6)x(P(IM1|D)xP(IM2|D)xP(IM3|C)xP(IM4|D)xP(IM5|D)xP(IM6|B)xP(IM7|D)xP(IM8|C)xP(IM9|C)xP(IM10|C)xP(IM11|C)xP(IM12|C)xP(IM13|C)xP(IM14|B)xP(IM15|B)x(IM16|D)xP(IM17|D)xP(IM18|D)xP(IM19|D)xP(IM20|B)xP(IM21|B)xP(IL1|C)xP(IL2|B)xP(IL3|A)xP(IL4|A)xP(IL5|A)xP(IL6|A)xP(IL7|A)xP(IL8|B)xP(IL9|B)xP(IL10|A)xP(IL11|B)xP(IL12|B)xP(IL13|A)xP(IL14|B)xP(IL15|B))</t>
  </si>
  <si>
    <t>Data 49</t>
  </si>
  <si>
    <t>P(Kesejahteraan|1) = P(Kesejahteraan|1)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</si>
  <si>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Data 50</t>
  </si>
  <si>
    <t>Data 51</t>
  </si>
  <si>
    <t>P(Kesejahteraan|2) = P(Kesejahteraan|2)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</si>
  <si>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P(Kesejahteraan|3) = P(Kesejahteraan|3)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</si>
  <si>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P(Kesejahteraan|4) = P(Kesejahteraan|4)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</si>
  <si>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P(Kesejahteraan|5) = P(Kesejahteraan|5)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</si>
  <si>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P(Kesejahteraan|6) = P(Kesejahteraan|6)x(P(IM1|D)xP(IM2|D)xP(IM3|C)xP(IM4|D)xP(IM5|D)xP(IM6|B)xP(IM7|D)xP(IM8|C)xP(IM9|B)xP(IM10|D)xP(IM11|C)xP(IM12|D)xP(IM13|D)xP(IM14|C)xP(IM15|C)x(IM16|D)xP(IM17|D)xP(IM18|D)xP(IM19|D)xP(IM20|B)xP(IM21|B)xP(IL1|C)xP(IL2|B)xP(IL3|A)xP(IL4|A)xP(IL5|A)xP(IL6|A)xP(IL7|A)xP(IL8|A)xP(IL9|B)xP(IL10|A)xP(IL11|B)xP(IL12|B)xP(IL13|A)xP(IL14|A)xP(IL15|B))</t>
  </si>
  <si>
    <t>P(Kesejahteraan|1) = P(Kesejahteraan|1)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</si>
  <si>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P(Kesejahteraan|2) = P(Kesejahteraan|2)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</si>
  <si>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P(Kesejahteraan|3) = P(Kesejahteraan|3)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</si>
  <si>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P(Kesejahteraan|4) = P(Kesejahteraan|4)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</si>
  <si>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P(Kesejahteraan|5) = P(Kesejahteraan|5)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</si>
  <si>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P(Kesejahteraan|6) = P(Kesejahteraan|6)x(P(IM1|D)xP(IM2|B)xP(IM3|B)xP(IM4|D)xP(IM5|D)xP(IM6|D)xP(IM7|D)xP(IM8|C)xP(IM9|C)xP(IM10|D)xP(IM11|B)xP(IM12|C)xP(IM13|D)xP(IM14|C)xP(IM15|B)x(IM16|D)xP(IM17|D)xP(IM18|D)xP(IM19|D)xP(IM20|B)xP(IM21|B)xP(IL1|C)xP(IL2|B)xP(IL3|A)xP(IL4|A)xP(IL5|A)xP(IL6|A)xP(IL7|A)xP(IL8|A)xP(IL9|B)xP(IL10|A)xP(IL11|B)xP(IL12|A)xP(IL13|A)xP(IL14|A)xP(IL15|B))</t>
  </si>
  <si>
    <t>kelas kesejahteraan 6</t>
  </si>
  <si>
    <t>tidak sesuai</t>
  </si>
  <si>
    <t>P(Kesejahteraan|1) = P(Kesejahteraan|1)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</si>
  <si>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P(Kesejahteraan|2) = P(Kesejahteraan|2)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</si>
  <si>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P(Kesejahteraan|3) = P(Kesejahteraan|3)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</si>
  <si>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P(Kesejahteraan|4) = P(Kesejahteraan|4)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</si>
  <si>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P(Kesejahteraan|5) = P(Kesejahteraan|5)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</si>
  <si>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P(Kesejahteraan|6) = P(Kesejahteraan|6)x(P(IM1|D)xP(IM2|B)xP(IM3|B)xP(IM4|D)xP(IM5|D)xP(IM6|D)xP(IM7|D)xP(IM8|D)xP(IM9|C)xP(IM10|B)xP(IM11|C)xP(IM12|B)xP(IM13|C)xP(IM14|C)xP(IM15|B)x(IM16|D)xP(IM17|C)xP(IM18|D)xP(IM19|B)xP(IM20|B)xP(IM21|B)xP(IL1|C)xP(IL2|B)xP(IL3|A)xP(IL4|A)xP(IL5|B)xP(IL6|A)xP(IL7|A)xP(IL8|B)xP(IL9|B)xP(IL10|A)xP(IL11|B)xP(IL12|A)xP(IL13|A)xP(IL14|B)xP(IL15|B))</t>
  </si>
  <si>
    <t>Data 52</t>
  </si>
  <si>
    <t>P(Kesejahteraan|1) = P(Kesejahteraan|1)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</si>
  <si>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P(Kesejahteraan|2) = P(Kesejahteraan|2)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</si>
  <si>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P(Kesejahteraan|3) = P(Kesejahteraan|3)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</si>
  <si>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P(Kesejahteraan|4) = P(Kesejahteraan|4)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</si>
  <si>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P(Kesejahteraan|5) = P(Kesejahteraan|5)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</si>
  <si>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P(Kesejahteraan|6) = P(Kesejahteraan|6)x(P(IM1|D)xP(IM2|D)xP(IM3|D)xP(IM4|D)xP(IM5|D)xP(IM6|D)xP(IM7|D)xP(IM8|C)xP(IM9|A)xP(IM10|A)xP(IM11|A)xP(IM12|D)xP(IM13|D)xP(IM14|B)xP(IM15|D)x(IM16|D)xP(IM17|C)xP(IM18|D)xP(IM19|B)xP(IM20|B)xP(IM21|B)xP(IL1|C)xP(IL2|B)xP(IL3|A)xP(IL4|A)xP(IL5|B)xP(IL6|A)xP(IL7|B)xP(IL8|B)xP(IL9|B)xP(IL10|A)xP(IL11|B)xP(IL12|B)xP(IL13|B)xP(IL14|B)xP(IL15|B))</t>
  </si>
  <si>
    <t>Data 53</t>
  </si>
  <si>
    <t>P(Kesejahteraan|1) = P(Kesejahteraan|1)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</si>
  <si>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Data 54</t>
  </si>
  <si>
    <t>P(Kesejahteraan|2) = P(Kesejahteraan|2)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</si>
  <si>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P(Kesejahteraan|3) = P(Kesejahteraan|3)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</si>
  <si>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P(Kesejahteraan|4) = P(Kesejahteraan|4)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</si>
  <si>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P(Kesejahteraan|5) = P(Kesejahteraan|5)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</si>
  <si>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P(Kesejahteraan|6) = P(Kesejahteraan|6)x(P(IM1|D)xP(IM2|B)xP(IM3|C)xP(IM4|D)xP(IM5|D)xP(IM6|D)xP(IM7|D)xP(IM8|C)xP(IM9|C)xP(IM10|A)xP(IM11|A)xP(IM12|D)xP(IM13|D)xP(IM14|A)xP(IM15|D)x(IM16|D)xP(IM17|C)xP(IM18|D)xP(IM19|D)xP(IM20|A)xP(IM21|B)xP(IL1|C)xP(IL2|B)xP(IL3|B)xP(IL4|A)xP(IL5|A)xP(IL6|A)xP(IL7|A)xP(IL8|A)xP(IL9|B)xP(IL10|A)xP(IL11|B)xP(IL12|A)xP(IL13|A)xP(IL14|A)xP(IL15|B))</t>
  </si>
  <si>
    <t>P(Kesejahteraan|1) = P(Kesejahteraan|1)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</si>
  <si>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sesuai</t>
  </si>
  <si>
    <t>Data 55</t>
  </si>
  <si>
    <t>P(Kesejahteraan|2) = P(Kesejahteraan|2)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</si>
  <si>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P(Kesejahteraan|3) = P(Kesejahteraan|3)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</si>
  <si>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P(Kesejahteraan|4) = P(Kesejahteraan|4)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</si>
  <si>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P(Kesejahteraan|5) = P(Kesejahteraan|5)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</si>
  <si>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P(Kesejahteraan|6) = P(Kesejahteraan|6)x(P(IM1|D)xP(IM2|B)xP(IM3|D)xP(IM4|D)xP(IM5|D)xP(IM6|D)xP(IM7|D)xP(IM8|C)xP(IM9|C)xP(IM10|A)xP(IM11|B)xP(IM12|D)xP(IM13|C)xP(IM14|B)xP(IM15|C)x(IM16|D)xP(IM17|D)xP(IM18|D)xP(IM19|D)xP(IM20|C)xP(IM21|C)xP(IL1|C)xP(IL2|B)xP(IL3|A)xP(IL4|A)xP(IL5|A)xP(IL6|A)xP(IL7|A)xP(IL8|B)xP(IL9|A)xP(IL10|A)xP(IL11|A)xP(IL12|A)xP(IL13|A)xP(IL14|A)xP(IL15|B))</t>
  </si>
  <si>
    <t>P(Kesejahteraan|1) = P(Kesejahteraan|1)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</si>
  <si>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P(Kesejahteraan|2) = P(Kesejahteraan|2)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</si>
  <si>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P(Kesejahteraan|6) = P(Kesejahteraan|6)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</si>
  <si>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P(Kesejahteraan|5) = P(Kesejahteraan|5)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</si>
  <si>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P(Kesejahteraan|4) = P(Kesejahteraan|4)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</si>
  <si>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P(Kesejahteraan|3) = P(Kesejahteraan|3)x(P(IM1|A)xP(IM2|D)xP(IM3|C)xP(IM4|D)xP(IM5|D)xP(IM6|D)xP(IM7|C)xP(IM8|C)xP(IM9|C)xP(IM10|A)xP(IM11|B)xP(IM12|D)xP(IM13|D)xP(IM14|A)xP(IM15|D)x(IM16|D)xP(IM17|D)xP(IM18|D)xP(IM19|D)xP(IM20|A)xP(IM21|B)xP(IL1|C)xP(IL2|B)xP(IL3|A)xP(IL4|A)xP(IL5|A)xP(IL6|B)xP(IL7|A)xP(IL8|B)xP(IL9|B)xP(IL10|B)xP(IL11|B)xP(IL12|B)xP(IL13|B)xP(IL14|B)xP(IL15|B))</t>
  </si>
  <si>
    <t>Data 56</t>
  </si>
  <si>
    <t>Data 57</t>
  </si>
  <si>
    <t>Data 58</t>
  </si>
  <si>
    <t>P(Kesejahteraan|2) = P(Kesejahteraan|2)x(P(IM1|D)xP(IM2|B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</si>
  <si>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P(Kesejahteraan|3) = P(Kesejahteraan|3)x(P(IM1|D)xP(IM2|B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</si>
  <si>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P(Kesejahteraan|4) = P(Kesejahteraan|4)x(P(IM1|D)xP(IM2|B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</si>
  <si>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P(Kesejahteraan|5) = P(Kesejahteraan|5)x(P(IM1|D)xP(IM2|B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</si>
  <si>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P(Kesejahteraan|6) = P(Kesejahteraan|6)x(P(IM1|D)xP(IM2|B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</si>
  <si>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Data 59</t>
  </si>
  <si>
    <t>P(Kesejahteraan|1) = P(Kesejahteraan|1)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</si>
  <si>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P(Kesejahteraan|2) = P(Kesejahteraan|2)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</si>
  <si>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P(Kesejahteraan|3) = P(Kesejahteraan|3)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</si>
  <si>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P(Kesejahteraan|4) = P(Kesejahteraan|4)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</si>
  <si>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P(Kesejahteraan|5) = P(Kesejahteraan|5)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</si>
  <si>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P(Kesejahteraan|6) = P(Kesejahteraan|6))x(P(IM1|D)xP(IM2|B)xP(IM3|A)xP(IM4|D)xP(IM5|D)xP(IM6|B)xP(IM7|C)xP(IM8|C)xP(IM9|B)xP(IM10|B)xP(IM11|A)xP(IM12|D)xP(IM13|D)xP(IM14|B)xP(IM15|D)x(IM16|D)xP(IM17|D)xP(IM18|D)xP(IM19|A)xP(IM20|A)xP(IM21|B)xP(IL1|A)xP(IL2|B)xP(IL3|B)xP(IL4|B)xP(IL5|A)xP(IL6|A)xP(IL7|A)xP(IL8|A)xP(IL9|A)xP(IL10|A)xP(IL11|A)xP(IL12|A)xP(IL13|A)xP(IL14|A)xP(IL15|A))</t>
  </si>
  <si>
    <t>Data 60</t>
  </si>
  <si>
    <t>P(Kesejahteraan|1) = P(Kesejahteraan|1)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</si>
  <si>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P(Kesejahteraan|2) = P(Kesejahteraan|2)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</si>
  <si>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P(Kesejahteraan|3) = P(Kesejahteraan|3)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</si>
  <si>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P(Kesejahteraan|4) = P(Kesejahteraan|4)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</si>
  <si>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P(Kesejahteraan|5) = P(Kesejahteraan|5)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</si>
  <si>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P(Kesejahteraan|6) = P(Kesejahteraan|6)x(P(IM1|D)xP(IM2|D)xP(IM3|B)xP(IM4|D)xP(IM5|D)xP(IM6|D)xP(IM7|D)xP(IM8|C)xP(IM9|C)xP(IM10|A)xP(IM11|A)xP(IM12|A)xP(IM13|D)xP(IM14|A)xP(IM15|D)x(IM16|D)xP(IM17|D)xP(IM18|D)xP(IM19|B)xP(IM20|D)xP(IM21|C)xP(IL1|A)xP(IL2|B)xP(IL3|A)xP(IL4|A)xP(IL5|A)xP(IL6|A)xP(IL7|A)xP(IL8|A)xP(IL9|B)xP(IL10|A)xP(IL11|B)xP(IL12|B)xP(IL13|A)xP(IL14|A)xP(IL15|B))</t>
  </si>
  <si>
    <t>Prediksi</t>
  </si>
  <si>
    <t>4. Tabel Hasil Klasifikasi</t>
  </si>
  <si>
    <t>P(Kesejahteraan|1) = P(Kesejahteraan|1)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</si>
  <si>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P(Kesejahteraan|6) = P(Kesejahteraan|1)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</si>
  <si>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P(Kesejahteraan|4) = P(Kesejahteraan|4)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</si>
  <si>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P(Kesejahteraan|5) = P(Kesejahteraan|5)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</si>
  <si>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P(Kesejahteraan|3) = P(Kesejahteraan|3)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</si>
  <si>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P(Kesejahteraan|2) = P(Kesejahteraan|2)x(P(IM1|D)xP(IM2|B)xP(IM3|C)xP(IM4|B)xP(IM5|D)xP(IM6|D)xP(IM7|D)xP(IM8|C)xP(IM9|B)xP(IM10|B)xP(IM11|A)xP(IM12|C)xP(IM13|D)xP(IM14|B)xP(IM15|C)xP(IM16|D)xP(IM17|C)xP(IM18|C)xP(IM19|B)xP(IM20|A)xP(IM21|B)xP(IL1|B)xP(IL2|B)xP(IL3|A)xP(IL4|A)xP(IL5|A)xP(IL6|A)xP(IL7|A)xP(IL8|A)xP(IL9|B)xP(IL10|A)xP(IL11|B)xP(IL12|A)xP(IL13|A)xP(IL14|A)xP(IL15|B))</t>
  </si>
  <si>
    <t>kelas Kesejahteraan 1</t>
  </si>
  <si>
    <t>P(Kesejahteraan|1) = P(Kesejahteraan|1)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</si>
  <si>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P(Kesejahteraan|2) = P(Kesejahteraan|2)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</si>
  <si>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P(Kesejahteraan|3) = P(Kesejahteraan|3)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</si>
  <si>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P(Kesejahteraan|4) = P(Kesejahteraan|4)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</si>
  <si>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P(Kesejahteraan|5) = P(Kesejahteraan|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</si>
  <si>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P(Kesejahteraan|6) = P(Kesejahteraan|6)x(P(IM1|B)xP(IM2|B)xP(IM3|C)xP(IM4|D)xP(IM5|D)xP(IM6|B)xP(IM7|D)xP(IM8|C)xP(IM9|C)xP(IM10|C)xP(IM11|B)xP(IM12|B)xP(IM13|D)xP(IM14|B)xP(IM15|B)xP(IM16|D)xP(IM17|D)xP(IM18|D)xP(IM19|D)xP(IM20|A)xP(IM21|B)xP(IL1|C)xP(IL2|B)xP(IL3|A)xP(IL4|A)xP(IL5|A)xP(IL6|A)xP(IL7|A)xP(IL8|A)xP(IL9|B)xP(IL10|A)xP(IL11|B)xP(IL12|A)xP(IL13|A)xP(IL14|A)xP(IL15|B))</t>
  </si>
  <si>
    <t>P(Kesejahteraan|1) = P(Kesejahteraan|1)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</si>
  <si>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P(Kesejahteraan|2) = P(Kesejahteraan|2)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</si>
  <si>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P(Kesejahteraan|3) = P(Kesejahteraan|3)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</si>
  <si>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P(Kesejahteraan|4) = P(Kesejahteraan|4)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</si>
  <si>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P(Kesejahteraan|5) = P(Kesejahteraan|5)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</si>
  <si>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P(Kesejahteraan|6) = P(Kesejahteraan|6)x(P(IM1|B)xP(IM2|D)xP(IM3|B)xP(IM4|D)xP(IM5|D)xP(IM6|D)xP(IM7|D)xP(IM8|C)xP(IM9|B)xP(IM10|B)xP(IM11|B)xP(IM12|A)xP(IM13|D)xP(IM14|B)xP(IM15|A)xP(IM16|D)xP(IM17|D)xP(IM18|D)xP(IM19|B)xP(IM20|A)xP(IM21|B)xP(IL1|C)xP(IL2|B)xP(IL3|A)xP(IL4|A)xP(IL5|A)xP(IL6|A)xP(IL7|A)xP(IL8|A)xP(IL9|B)xP(IL10|A)xP(IL11|B)xP(IL12|A)xP(IL13|A)xP(IL14|A)xP(IL15|B))</t>
  </si>
  <si>
    <t>Kelas kesejahteraan 2</t>
  </si>
  <si>
    <t>P(Kesejahteraan|1) = P(Kesejahteraan|1)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</si>
  <si>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P(Kesejahteraan|2) = P(Kesejahteraan|2)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</si>
  <si>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P(Kesejahteraan|3) = P(Kesejahteraan|3)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</si>
  <si>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P(Kesejahteraan|4) = P(Kesejahteraan|4)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</si>
  <si>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P(Kesejahteraan|5) = P(Kesejahteraan|5)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</si>
  <si>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P(Kesejahteraan|6) = P(Kesejahteraan|6)x(P(IM1|A)xP(IM2|D)xP(IM3|C)xP(IM4|D)xP(IM5|D)xP(IM6|D)xP(IM7|D)xP(IM8|C)xP(IM9|B)xP(IM10|C)xP(IM11|B)xP(IM12|D)xP(IM13|D)xP(IM14|B)xP(IM15|B)xP(IM16|D)xP(IM17|D)xP(IM18|D)xP(IM19|D)xP(IM20|A)xP(IM21|B)xP(IL1|C)xP(IL2|B)xP(IL3|A)xP(IL4|A)xP(IL5|A)xP(IL6|A)xP(IL7|A)xP(IL8|A)xP(IL9|B)xP(IL10|A)xP(IL11|B)xP(IL12|A)xP(IL13|A)xP(IL14|B)xP(IL15|B))</t>
  </si>
  <si>
    <t>P(Kesejahteraan|1) = P(Kesejahteraan|1)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</si>
  <si>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P(Kesejahteraan|1) = P(Kesejahteraan|1)x(P(IM1|A)xP(IM2|D)xP(IM3|B)xP(IM4|D)xP(IM5|D)xP(IM6|D)xP(IM7|D)xP(IM8|C)xP(IM9|B)xP(IM10|C)xP(IM11|B)xP(IM12|C)xP(IM13|D)xP(IM14|B)xP(IM15|B)xP(IM16|D)xP(IM17|D)xP(IM18|D)xP(IM19|B)xP(IM20|A)xP(IM21|A)xP(IL1|C)xP(IL2|B)xP(IL3|A)xP(IL4|A)xP(IL5|A)xP(IL6|A)xP(IL7|A)xP(IL8|A)xP(IL9|B)xP(IL10|A)xP(IL11|A)xP(IL12|A)xP(IL13|A)xP(IL14|A)xP(IL15|B))</t>
  </si>
  <si>
    <t>P(Kesejahteraan|1) = P(Kesejahteraan|1)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</si>
  <si>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P(Kesejahteraan|2) = P(Kesejahteraan|2)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</si>
  <si>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P(Kesejahteraan|3) = P(Kesejahteraan|3)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</si>
  <si>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P(Kesejahteraan|4) = P(Kesejahteraan|4)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</si>
  <si>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P(Kesejahteraan|5) = P(Kesejahteraan|5)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</si>
  <si>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P(Kesejahteraan|6) = P(Kesejahteraan|6)x(P(IM1|B)xP(IM2|B)xP(IM3|C)xP(IM4|B)xP(IM5|D)xP(IM6|D)xP(IM7|D)xP(IM8|C)xP(IM9|C)xP(IM10|C)xP(IM11|B)xP(IM12|C)xP(IM13|D)xP(IM14|B)xP(IM15|B)xP(IM16|D)xP(IM17|D)xP(IM18|D)xP(IM19|C)xP(IM20|A)xP(IM21|B)xP(IL1|A)xP(IL2|B)xP(IL3|A)xP(IL4|A)xP(IL5|A)xP(IL6|A)xP(IL7|A)xP(IL8|A)xP(IL9|B)xP(IL10|A)xP(IL11|B)xP(IL12|A)xP(IL13|A)xP(IL14|A)xP(IL15|B))</t>
  </si>
  <si>
    <t>P(Kesejahteraan|1) = P(Kesejahteraan|1)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</si>
  <si>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P(Kesejahteraan|1) = P(Kesejahteraan|1)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</si>
  <si>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P(Kesejahteraan|4) = P(Kesejahteraan|4)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</si>
  <si>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P(Kesejahteraan|5) = P(Kesejahteraan|5)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</si>
  <si>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P(Kesejahteraan|6) = P(Kesejahteraan|6)x(P(IM1|D)xP(IM2|B)xP(IM3|B)xP(IM4|C)xP(IM5|D)xP(IM6|D)xP(IM7|D)xP(IM8|C)xP(IM9|B)xP(IM10|B)xP(IM11|B)xP(IM12|C)xP(IM13|D)xP(IM14|B)xP(IM15|B)xP(IM16|D)xP(IM17|D)xP(IM18|D)xP(IM19|D)xP(IM20|A)xP(IM21|B)xP(IL1|C)xP(IL2|B)xP(IL3|A)xP(IL4|A)xP(IL5|A)xP(IL6|A)xP(IL7|A)xP(IL8|A)xP(IL9|B)xP(IL10|A)xP(IL11|B)xP(IL12|A)xP(IL13|A)xP(IL14|B)xP(IL15|B))</t>
  </si>
  <si>
    <t>P(Kesejahteraan|1) = P(Kesejahteraan|1)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</si>
  <si>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 xml:space="preserve">TIDAK sesuai </t>
  </si>
  <si>
    <t xml:space="preserve">TIDAK Sesuai </t>
  </si>
  <si>
    <t>P(Kesejahteraan|1) = P(Kesejahteraan|1)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</si>
  <si>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P(Kesejahteraan|2) = P(Kesejahteraan|2)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</si>
  <si>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P(Kesejahteraan|3) = P(Kesejahteraan|3)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</si>
  <si>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P(Kesejahteraan|4) = P(Kesejahteraan|4)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</si>
  <si>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P(Kesejahteraan|5) = P(Kesejahteraan|5)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</si>
  <si>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P(Kesejahteraan|6) = P(Kesejahteraan|5)x(P(IM1|B)xP(IM2|B)xP(IM3|A)xP(IM4|B)xP(IM5|D)xP(IM6|D)xP(IM7|C)xP(IM8|C)xP(IM9|B)xP(IM10|B)xP(IM11|A)xP(IM12|D)xP(IM13|D)xP(IM14|B)xP(IM15|C)xP(IM16|C)xP(IM17|C)xP(IM18|C)xP(IM19|D)xP(IM20|A)xP(IM21|A)xP(IL1|A)xP(IL2|B)xP(IL3|A)xP(IL4|A)xP(IL5|A)xP(IL6|A)xP(IL7|A)xP(IL8|A)xP(IL9|B)xP(IL10|A)xP(IL11|B)xP(IL12|A)xP(IL13|A)xP(IL14|B)xP(IL15|B))</t>
  </si>
  <si>
    <t>P(Kesejahteraan|2) = P(Kesejahteraan|2)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</si>
  <si>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P(Kesejahteraan|3) = P(Kesejahteraan|3)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</si>
  <si>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P(Kesejahteraan|4) = P(Kesejahteraan|4)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</si>
  <si>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P(Kesejahteraan|5) = P(Kesejahteraan|5)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</si>
  <si>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P(Kesejahteraan|6) = P(Kesejahteraan|6)x(P(IM1|A)xP(IM2|D)xP(IM3|B)xP(IM4|B)xP(IM5|D)xP(IM6|D)xP(IM7|D)xP(IM8|C)xP(IM9|C)xP(IM10|B)xP(IM11|A)xP(IM12|C)xP(IM13|D)xP(IM14|B)xP(IM15|A)xP(IM16|D)xP(IM17|D)xP(IM18|D)xP(IM19|A)xP(IM20|A)xP(IM21|A)xP(IL1|A)xP(IL2|B)xP(IL3|A)xP(IL4|A)xP(IL5|A)xP(IL6|A)xP(IL7|A)xP(IL8|A)xP(IL9|B)xP(IL10|A)xP(IL11|A)xP(IL12|A)xP(IL13|A)xP(IL14|B)xP(IL15|B))</t>
  </si>
  <si>
    <t>P(Kesejahteraan|1) = P(Kesejahteraan|1)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</si>
  <si>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P(Kesejahteraan|2) = P(Kesejahteraan|2)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</si>
  <si>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P(Kesejahteraan|3) = P(Kesejahteraan|3)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</si>
  <si>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P(Kesejahteraan|4) = P(Kesejahteraan|4)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</si>
  <si>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P(Kesejahteraan|5) = P(Kesejahteraan|5)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</si>
  <si>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P(Kesejahteraan|6) = P(Kesejahteraan|6)x(P(IM1|D)xP(IM2|B)xP(IM3|A)xP(IM4|B)xP(IM5|D)xP(IM6|D)xP(IM7|B)xP(IM8|A)xP(IM9|B)xP(IM10|B)xP(IM11|A)xP(IM12|A)xP(IM13|D)xP(IM14|B)xP(IM15|A)xP(IM16|D)xP(IM17|D)xP(IM18|D)xP(IM19|A)xP(IM20|A)xP(IM21|A)xP(IL1|A)xP(IL2|B)xP(IL3|A)xP(IL4|A)xP(IL5|A)xP(IL6|A)xP(IL7|A)xP(IL8|A)xP(IL9|B)xP(IL10|A)xP(IL11|B)xP(IL12|A)xP(IL13|A)xP(IL14|A)xP(IL15|B))</t>
  </si>
  <si>
    <t>P(Kesejahteraan|2) = P(Kesejahteraan|2)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</si>
  <si>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P(Kesejahteraan|3) = P(Kesejahteraan|3)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</si>
  <si>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P(Kesejahteraan|4) = P(Kesejahteraan|4)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</si>
  <si>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P(Kesejahteraan|5) = P(Kesejahteraan|5)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</si>
  <si>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P(Kesejahteraan|6) = P(Kesejahteraan|6)x(P(IM1|D)xP(IM2|D)xP(IM3|B)xP(IM4|D)xP(IM5|D)xP(IM6|D)xP(IM7|C)xP(IM8|C)xP(IM9|B)xP(IM10|C)xP(IM11|C)xP(IM12|B)xP(IM13|D)xP(IM14|B)xP(IM15|A)xP(IM16|D)xP(IM17|D)xP(IM18|D)xP(IM19|D)xP(IM20|A)xP(IM21|A)xP(IL1|C)xP(IL2|B)xP(IL3|A)xP(IL4|A)xP(IL5|A)xP(IL6|A)xP(IL7|A)xP(IL8|A)xP(IL9|B)xP(IL10|A)xP(IL11|A)xP(IL12|A)xP(IL13|A)xP(IL14|B)xP(IL15|A))</t>
  </si>
  <si>
    <t>P(Kesejahteraan|2) = P(Kesejahteraan|2)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</si>
  <si>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P(Kesejahteraan|3) = P(Kesejahteraan|3)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</si>
  <si>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P(Kesejahteraan|4) = P(Kesejahteraan|4)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</si>
  <si>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P(Kesejahteraan|5) = P(Kesejahteraan|5)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</si>
  <si>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P(Kesejahteraan|6) = P(Kesejahteraan|6)x(P(IM1|B)xP(IM2|D)xP(IM3|B)xP(IM4|D)xP(IM5|D)xP(IM6|D)xP(IM7|C)xP(IM8|C)xP(IM9|C)xP(IM10|C)xP(IM11|C)xP(IM12|C)xP(IM13|D)xP(IM14|B)xP(IM15|B)xP(IM16|D)xP(IM17|D)xP(IM18|D)xP(IM19|D)xP(IM20|A)xP(IM21|A)xP(IL1|A)xP(IL2|B)xP(IL3|A)xP(IL4|A)xP(IL5|A)xP(IL6|A)xP(IL7|A)xP(IL8|A)xP(IL9|B)xP(IL10|A)xP(IL11|B)xP(IL12|A)xP(IL13|A)xP(IL14|A)xP(IL15|B))</t>
  </si>
  <si>
    <t>Berdasarkan data Balai Desa</t>
  </si>
  <si>
    <t>P(Kesejahteraan|1) = P(Kesejahteraan|1)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</si>
  <si>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P(Kesejahteraan|2) = P(Kesejahteraan|2)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</si>
  <si>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P(Kesejahteraan|3) = P(Kesejahteraan|3)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</si>
  <si>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P(Kesejahteraan|4) = P(Kesejahteraan|4)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</si>
  <si>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P(Kesejahteraan|5) = P(Kesejahteraan|5)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</si>
  <si>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P(Kesejahteraan|6) = P(Kesejahteraan|6)x(P(IM1|D)xP(IM2|B)xP(IM3|C)xP(IM4|C)xP(IM5|D)xP(IM6|D)xP(IM7|D)xP(IM8|C)xP(IM9|C)xP(IM10|C)xP(IM11|B)xP(IM12|C)xP(IM13|D)xP(IM14|B)xP(IM15|C)xP(IM16|D)xP(IM17|C)xP(IM18|C)xP(IM19|C)xP(IM20|A)xP(IM21|A)xP(IL1|A)xP(IL2|B)xP(IL3|A)xP(IL4|A)xP(IL5|A)xP(IL6|A)xP(IL7|A)xP(IL8|A)xP(IL9|B)xP(IL10|A)xP(IL11|B)xP(IL12|A)xP(IL13|A)xP(IL14|B)xP(IL15|B))</t>
  </si>
  <si>
    <t>P(Kesejahteraan|2) = P(Kesejahteraan|2)x(P(IM1|A)xP(IM2|D)xP(IM3|B)xP(IM4|D)xP(IM5|D)xP(IM6|D)xP(IM7|D)xP(IM8|C)xP(IM9|B)xP(IM10|C)xP(IM11|B)xP(IM12|C)xP(IM13|D)xP(IM14|B)xP(IM15|B)xP(IM16|D)xP(IM17|D)xP(IM18|D)xP(IM19|B)xP(IM20|A)xP(IM21|A)xP(IL1|C)xP(IL2|B)xP(IL3|A)xP(IL4|A)xP(IL5|A)xP(IL6|A)xP(IL7|A)xP(IL8|A)xP(IL9|B)xP(IL10|A)xP(IL11|A)xP(IL12|A)xP(IL13|A)xP(IL14|A)xP(IL15|B))</t>
  </si>
  <si>
    <t>P(Kesejahteraan|3) = P(Kesejahteraan|3)x(P(IM1|A)xP(IM2|D)xP(IM3|B)xP(IM4|D)xP(IM5|D)xP(IM6|D)xP(IM7|D)xP(IM8|C)xP(IM9|B)xP(IM10|C)xP(IM11|B)xP(IM12|C)xP(IM13|D)xP(IM14|B)xP(IM15|B)xP(IM16|D)xP(IM17|D)xP(IM18|D)xP(IM19|B)xP(IM20|A)xP(IM21|A)xP(IL1|C)xP(IL2|B)xP(IL3|A)xP(IL4|A)xP(IL5|A)xP(IL6|A)xP(IL7|A)xP(IL8|A)xP(IL9|B)xP(IL10|A)xP(IL11|A)xP(IL12|A)xP(IL13|A)xP(IL14|A)xP(IL15|B))</t>
  </si>
  <si>
    <t>P(Kesejahteraan|4) = P(Kesejahteraan|4)x(P(IM1|A)xP(IM2|D)xP(IM3|B)xP(IM4|D)xP(IM5|D)xP(IM6|D)xP(IM7|D)xP(IM8|C)xP(IM9|B)xP(IM10|C)xP(IM11|B)xP(IM12|C)xP(IM13|D)xP(IM14|B)xP(IM15|B)xP(IM16|D)xP(IM17|D)xP(IM18|D)xP(IM19|B)xP(IM20|A)xP(IM21|A)xP(IL1|C)xP(IL2|B)xP(IL3|A)xP(IL4|A)xP(IL5|A)xP(IL6|A)xP(IL7|A)xP(IL8|A)xP(IL9|B)xP(IL10|A)xP(IL11|A)xP(IL12|A)xP(IL13|A)xP(IL14|A)xP(IL15|B))</t>
  </si>
  <si>
    <t>P(Kesejahteraan|1) = P(Kesejahteraan|1)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</si>
  <si>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P(Kesejahteraan|2) = P(Kesejahteraan|2)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</si>
  <si>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P(Kesejahteraan|3) = P(Kesejahteraan|3)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</si>
  <si>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P(Kesejahteraan|4) = P(Kesejahteraan|4)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</si>
  <si>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P(Kesejahteraan|5) = P(Kesejahteraan|5)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</si>
  <si>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P(Kesejahteraan|6) = P(Kesejahteraan|6)x(P(IM1|C)xP(IM2|D)xP(IM3|B)xP(IM4|D)xP(IM5|D)xP(IM6|D)xP(IM7|D)xP(IM8|C)xP(IM9|C)xP(IM10|B)xP(IM11|A)xP(IM12|C)xP(IM13|D)xP(IM14|B)xP(IM15|B)xP(IM16|D)xP(IM17|D)xP(IM18|D)xP(IM19|D)xP(IM20|A)xP(IM21|C)xP(IL1|C)xP(IL2|B)xP(IL3|A)xP(IL4|A)xP(IL5|A)xP(IL6|A)xP(IL7|A)xP(IL8|A)xP(IL9|B)xP(IL10|A)xP(IL11|B)xP(IL12|A)xP(IL13|A)xP(IL14|B)xP(IL15|B))</t>
  </si>
  <si>
    <t>P(Kesejahteraan|1) = P(Kesejahteraan|1)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</si>
  <si>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P(Kesejahteraan|2) = P(Kesejahteraan|2)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</si>
  <si>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P(Kesejahteraan|3) = P(Kesejahteraan|3)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</si>
  <si>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P(Kesejahteraan|4) = P(Kesejahteraan|4)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</si>
  <si>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P(Kesejahteraan|5) = P(Kesejahteraan|5)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</si>
  <si>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P(Kesejahteraan|6) = P(Kesejahteraan|6)x(P(IM1|A)xP(IM2|D)xP(IM3|B)xP(IM4|D)xP(IM5|D)xP(IM6|D)xP(IM7|D)xP(IM8|C)xP(IM9|B)xP(IM10|C)xP(IM11|C)xP(IM12|D)xP(IM13|D)xP(IM14|B)xP(IM15|C)xP(IM16|D)xP(IM17|C)xP(IM18|C)xP(IM19|D)xP(IM20|A)xP(IM21|B)xP(IL1|C)xP(IL2|B)xP(IL3|A)xP(IL4|A)xP(IL5|A)xP(IL6|A)xP(IL7|A)xP(IL8|A)xP(IL9|B)xP(IL10|A)xP(IL11|B)xP(IL12|A)xP(IL13|A)xP(IL14|B)xP(IL15|B))</t>
  </si>
  <si>
    <t>kelas kesejahteraan 2</t>
  </si>
  <si>
    <t>P(Kesejahteraan|1) = P(Kesejahteraan|1)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</si>
  <si>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P(Kesejahteraan|2) = P(Kesejahteraan|2)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</si>
  <si>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P(Kesejahteraan|3) = P(Kesejahteraan|3)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</si>
  <si>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P(Kesejahteraan|4) = P(Kesejahteraan|4)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</si>
  <si>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P(Kesejahteraan|5) = P(Kesejahteraan|5)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</si>
  <si>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P(Kesejahteraan|6) = P(Kesejahteraan|6)x(P(IM1|D)xP(IM2|B)xP(IM3|B)xP(IM4|D)xP(IM5|D)xP(IM6|D)xP(IM7|D)xP(IM8|C)xP(IM9|C)xP(IM10|B)xP(IM11|B)xP(IM12|C)xP(IM13|D)xP(IM14|B)xP(IM15|B)xP(IM16|C)xP(IM17|D)xP(IM18|D)xP(IM19|D)xP(IM20|A)xP(IM21|B)xP(IL1|C)xP(IL2|B)xP(IL3|A)xP(IL4|A)xP(IL5|A)xP(IL6|A)xP(IL7|A)xP(IL8|A)xP(IL9|B)xP(IL10|A)xP(IL11|A)xP(IL12|A)xP(IL13|A)xP(IL14|B)xP(IL15|B))</t>
  </si>
  <si>
    <t>P(Kesejahteraan|1) = P(Kesejahteraan|1)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</si>
  <si>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P(Kesejahteraan|2) = P(Kesejahteraan|2)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</si>
  <si>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P(Kesejahteraan|3) = P(Kesejahteraan|3)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</si>
  <si>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P(Kesejahteraan|4) = P(Kesejahteraan|4)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</si>
  <si>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P(Kesejahteraan|5) = P(Kesejahteraan|5)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</si>
  <si>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P(Kesejahteraan|6) = P(Kesejahteraan|6)x(P(IM1|D)xP(IM2|B)xP(IM3|B)xP(IM4|D)xP(IM5|D)xP(IM6|D)xP(IM7|C)xP(IM8|C)xP(IM9|B)xP(IM10|A)xP(IM11|A)xP(IM12|D)xP(IM13|C)xP(IM14|B)xP(IM15|C)xP(IM16|D)xP(IM17|D)xP(IM18|D)xP(IM19|D)xP(IM20|A)xP(IM21|B)xP(IL1|B)xP(IL2|B)xP(IL3|A)xP(IL4|A)xP(IL5|A)xP(IL6|A)xP(IL7|A)xP(IL8|A)xP(IL9|B)xP(IL10|A)xP(IL11|A)xP(IL12|A)xP(IL13|A)xP(IL14|A)xP(IL15|B))</t>
  </si>
  <si>
    <t>P(Kesejahteraan|1) = P(Kesejahteraan|1)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</si>
  <si>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P(Kesejahteraan|2) = P(Kesejahteraan|2)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</si>
  <si>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P(Kesejahteraan|3) = P(Kesejahteraan|3)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</si>
  <si>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P(Kesejahteraan|4) = P(Kesejahteraan|4)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</si>
  <si>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P(Kesejahteraan|5) = P(Kesejahteraan|5)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</si>
  <si>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P(Kesejahteraan|6) = P(Kesejahteraan|6)x(P(IM1|D)xP(IM2|D)xP(IM3|D)xP(IM4|D)xP(IM5|D)xP(IM6|D)xP(IM7|D)xP(IM8|C)xP(IM9|D)xP(IM10|D)xP(IM11|B)xP(IM12|D)xP(IM13|D)xP(IM14|C)xP(IM15|C)xP(IM16|D)xP(IM17|D)xP(IM18|D)xP(IM19|D)xP(IM20|A)xP(IM21|B)xP(IL1|C)xP(IL2|B)xP(IL3|A)xP(IL4|A)xP(IL5|A)xP(IL6|A)xP(IL7|A)xP(IL8|A)xP(IL9|B)xP(IL10|A)xP(IL11|B)xP(IL12|A)xP(IL13|A)xP(IL14|B)xP(IL15|B))</t>
  </si>
  <si>
    <t>P(Kesejahteraan|1) = P(Kesejahteraan|1)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</si>
  <si>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P(Kesejahteraan|2) = P(Kesejahteraan|2)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</si>
  <si>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P(Kesejahteraan|3) = P(Kesejahteraan|3)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</si>
  <si>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P(Kesejahteraan|4) = P(Kesejahteraan|4)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</si>
  <si>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P(Kesejahteraan|5) = P(Kesejahteraan|5)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</si>
  <si>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P(Kesejahteraan|6) = P(Kesejahteraan|6)x(P(IM1|B)xP(IM2|B)xP(IM3|B)xP(IM4|D)xP(IM5|D)xP(IM6|D)xP(IM7|D)xP(IM8|C)xP(IM9|C)xP(IM10|A)xP(IM11|A)xP(IM12|D)xP(IM13|D)xP(IM14|B)xP(IM15|C)xP(IM16|D)xP(IM17|D)xP(IM18|D)xP(IM19|A)xP(IM20|A)xP(IM21|B)xP(IL1|A)xP(IL2|B)xP(IL3|A)xP(IL4|A)xP(IL5|A)xP(IL6|A)xP(IL7|A)xP(IL8|B)xP(IL9|B)xP(IL10|A)xP(IL11|B)xP(IL12|A)xP(IL13|A)xP(IL14|A)xP(IL15|B))</t>
  </si>
  <si>
    <t>P(Kesejahteraan|2) = P(Kesejahteraan|2)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</si>
  <si>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>P(Kesejahteraan|3) = P(Kesejahteraan|3)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</si>
  <si>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>P(Kesejahteraan|4) = P(Kesejahteraan|4)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</si>
  <si>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>P(Kesejahteraan|5) = P(Kesejahteraan|5)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</si>
  <si>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>P(Kesejahteraan|6) = P(Kesejahteraan|6)x(P(IM1|D)xP(IM2|B)xP(IM3|B)xP(IM4|D)xP(IM5|D)xP(IM6|D)xP(IM7|D)xP(IM8|C)xP(IM9|C)xP(IM10|A)xP(IM11|A)xP(IM12|D)xP(IM13|D)xP(IM14|B)xP(IM15|C)xP(IM16|D)xP(IM17|D)xP(IM18|D)xP(IM19|A)xP(IM20|A)xP(IM21|B)xP(IL1|C)xP(IL2|B)xP(IL3|A)xP(IL4|A)xP(IL5|A)xP(IL6|B)xP(IL7|A)xP(IL8|A)xP(IL9|B)xP(IL10|A)xP(IL11|B)xP(IL12|B)xP(IL13|A)xP(IL14|A)xP(IL15|B))</t>
  </si>
  <si>
    <t>P(Kesejahteraan|3) = P(Kesejahteraan|3)x(P(IM1|D)xP(IM2|B)xP(IM3|D)xP(IM4|D)xP(IM5|D)xP(IM6|D)xP(IM7|D)xP(IM8|C)xP(IM9|C)xP(IM10|A)xP(IM11|A)xP(IM12|B)xP(IM13|D)xP(IM14|C)xP(IM15|D)x(IM16|C)xP(IM17|C)xP(IM18|D)xP(IM19|A)xP(IM20|B)xP(IM21|B)xP(IL1|A)xP(IL2|B)xP(IL3|A)xP(IL4|A)xP(IL5|A)xP(IL6|A)xP(IL7|A)xP(IL8|A)xP(IL9|B)xP(IL10|A)xP(IL11|B)xP(IL12|A)xP(IL13|A)xP(IL14|A)xP(IL15|B))</t>
  </si>
  <si>
    <t>P(Kesejahteraan|1) = P(Kesejahteraan|1)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</si>
  <si>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P(Kesejahteraan|2) = P(Kesejahteraan|2)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</si>
  <si>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P(Kesejahteraan|3) = P(Kesejahteraan|3)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</si>
  <si>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P(Kesejahteraan|4) = P(Kesejahteraan|4)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</si>
  <si>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P(Kesejahteraan|5) = P(Kesejahteraan|5)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</si>
  <si>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P(Kesejahteraan|6) = P(Kesejahteraan|6)x(P(IM1|A)xP(IM2|D)xP(IM3|C)xP(IM4|D)xP(IM5|D)xP(IM6|D)xP(IM7|C)xP(IM8|C)xP(IM9|C)xP(IM10|A)xP(IM11|A)xP(IM12|A)xP(IM13|D)xP(IM14|A)xP(IM15|D)x(IM16|D)xP(IM17|D)xP(IM18|D)xP(IM19|D)xP(IM20|A)xP(IM21|B)xP(IL1|B)xP(IL2|B)xP(IL3|A)xP(IL4|A)xP(IL5|A)xP(IL6|A)xP(IL7|A)xP(IL8|A)xP(IL9|B)xP(IL10|A)xP(IL11|B)xP(IL12|A)xP(IL13|A)xP(IL14|A)xP(IL15|B))</t>
  </si>
  <si>
    <t>P(Kesejahteraan|1) = P(Kesejahteraan|1)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</si>
  <si>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P(Kesejahteraan|2) = P(Kesejahteraan|2)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</si>
  <si>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P(Kesejahteraan|3) = P(Kesejahteraan|3)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</si>
  <si>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P(Kesejahteraan|4) = P(Kesejahteraan|4)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</si>
  <si>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P(Kesejahteraan|5) = P(Kesejahteraan|5)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</si>
  <si>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P(Kesejahteraan|6) = P(Kesejahteraan|6)x(P(IM1|D)xP(IM2|D)xP(IM3|B)xP(IM4|C)xP(IM5|D)xP(IM6|D)xP(IM7|D)xP(IM8|D)xP(IM9|C)xP(IM10|A)xP(IM11|A)xP(IM12|C)xP(IM13|D)xP(IM14|C)xP(IM15|C)x(IM16|D)xP(IM17|B)xP(IM18|D)xP(IM19|B)xP(IM20|C)xP(IM21|C)xP(IL1|D)xP(IL2|B)xP(IL3|A)xP(IL4|A)xP(IL5|A)xP(IL6|B)xP(IL7|A)xP(IL8|B)xP(IL9|B)xP(IL10|B)xP(IL11|B)xP(IL12|B)xP(IL13|B)xP(IL14|A)xP(IL15|B))</t>
  </si>
  <si>
    <t>P(Kesejahteraan|1) = P(Kesejahteraan|1)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</si>
  <si>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P(Kesejahteraan|2) = P(Kesejahteraan|2)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</si>
  <si>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P(Kesejahteraan|3) = P(Kesejahteraan|3)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</si>
  <si>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P(Kesejahteraan|4) = P(Kesejahteraan|4)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</si>
  <si>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P(Kesejahteraan|5) = P(Kesejahteraan|5)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</si>
  <si>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P(Kesejahteraan|6) = P(Kesejahteraan|6)x(P(IM1|D)xP(IM2|B)xP(IM3|B)xP(IM4|D)xP(IM5|D)xP(IM6|D)xP(IM7|D)xP(IM8|C)xP(IM9|C)xP(IM10|D)xP(IM11|B)xP(IM12|D)xP(IM13|D)xP(IM14|B)xP(IM15|C)x(IM16|D)xP(IM17|D)xP(IM18|D)xP(IM19|D)xP(IM20|A)xP(IM21|A)xP(IL1|A)xP(IL2|B)xP(IL3|A)xP(IL4|A)xP(IL5|A)xP(IL6|A)xP(IL7|A)xP(IL8|A)xP(IL9|B)xP(IL10|A)xP(IL11|B)xP(IL12|B)xP(IL13|B)xP(IL14|A)xP(IL15|B))</t>
  </si>
  <si>
    <t>P(Kesejahteraan|1) = P(Kesejahteraan|1)x(P(IM1|D)xP(IM2|D)xP(IM3|D)xP(IM4|D)xP(IM5|D)xP(IM6|D)xP(IM7|D)xP(IM8|C)xP(IM9|B)xP(IM10|D)xP(IM11|A)xP(IM12|D)xP(IM13|C)xP(IM14|C)xP(IM15|C)x(IM16|D)xP(IM17|B)xP(IM18|D)xP(IM19|D)xP(IM20|B)xP(IM21|C)xP(IL1|C)xP(IL2|B)xP(IL3|A)xP(IL4|A)xP(IL5|A)xP(IL6|A)xP(IL7|A)xP(IL8|A)xP(IL9|A)xP(IL10|A)xP(IL11|B)xP(IL12|B)xP(IL13|A)xP(IL14|A)xP(IL15|B))</t>
  </si>
  <si>
    <t>YANG TIDAK SESUAI ADA 6</t>
  </si>
  <si>
    <t>YANG SESUAI ADA 54</t>
  </si>
  <si>
    <t xml:space="preserve">5. Tabel confusion matrix hasil klasifikasi data training </t>
  </si>
  <si>
    <t>Aktual</t>
  </si>
  <si>
    <t>Jumlah</t>
  </si>
  <si>
    <t>catatan :</t>
  </si>
  <si>
    <t>Angka di luar diagonal → menunjukkan kesalahan model</t>
  </si>
  <si>
    <t>Baris menunjukkan data asli,</t>
  </si>
  <si>
    <t>kolom menunjukkan hasil prediksi.</t>
  </si>
  <si>
    <t>Nilai diagonal adalah jumlah prediksi yang benar</t>
  </si>
  <si>
    <t xml:space="preserve">cara membacanya </t>
  </si>
  <si>
    <t>“Pada Kelas 1, sebanyak 9 data terklasifikasi dengan benar sebagai Kelas 1, sedangkan 1 data lainnya salah diklasifikasikan ke Kelas 2.”</t>
  </si>
  <si>
    <t>Rumus recall TP/(TP + FN)</t>
  </si>
  <si>
    <t>Error rate = jumlah salah / total data</t>
  </si>
  <si>
    <t>Recall (Perkelas)</t>
  </si>
  <si>
    <t>kelas kesejahteraan</t>
  </si>
  <si>
    <t>KK1</t>
  </si>
  <si>
    <t>KK2</t>
  </si>
  <si>
    <t>KK3</t>
  </si>
  <si>
    <t>KK4</t>
  </si>
  <si>
    <t>KK5</t>
  </si>
  <si>
    <t>KK6</t>
  </si>
  <si>
    <t>TP (True positive)</t>
  </si>
  <si>
    <t>Recall</t>
  </si>
  <si>
    <t>Rumus Akurasi (TP+TN)/Total Data</t>
  </si>
  <si>
    <t>Akurasi jumlah benar / total data</t>
  </si>
  <si>
    <t>Rumus ER (eror rate) = (FP+FN)/Total data</t>
  </si>
  <si>
    <t>akurasi = 54/60 = 0,9=90%</t>
  </si>
  <si>
    <t>Precesion (perkelas)</t>
  </si>
  <si>
    <t>Total Kolom (TP+FP)</t>
  </si>
  <si>
    <t>Total aktual (TP+FN)</t>
  </si>
  <si>
    <r>
      <t>TP (True Positive)</t>
    </r>
    <r>
      <rPr>
        <sz val="11"/>
        <color theme="1"/>
        <rFont val="Calibri"/>
        <family val="2"/>
        <scheme val="minor"/>
      </rPr>
      <t xml:space="preserve"> → data kelas itu, diprediksi benar</t>
    </r>
  </si>
  <si>
    <r>
      <t>FN (False Negative)</t>
    </r>
    <r>
      <rPr>
        <sz val="11"/>
        <color theme="1"/>
        <rFont val="Calibri"/>
        <family val="2"/>
        <scheme val="minor"/>
      </rPr>
      <t xml:space="preserve"> → data kelas itu, tapi diprediksi ke kelas lain</t>
    </r>
  </si>
  <si>
    <r>
      <t>FP (False Positive)</t>
    </r>
    <r>
      <rPr>
        <sz val="11"/>
        <color theme="1"/>
        <rFont val="Calibri"/>
        <family val="2"/>
        <scheme val="minor"/>
      </rPr>
      <t xml:space="preserve"> → data kelas lain, tapi diprediksi ke kelas itu</t>
    </r>
  </si>
  <si>
    <r>
      <t>TN (True Negative)</t>
    </r>
    <r>
      <rPr>
        <sz val="11"/>
        <color theme="1"/>
        <rFont val="Calibri"/>
        <family val="2"/>
        <scheme val="minor"/>
      </rPr>
      <t xml:space="preserve"> → selain itu semua</t>
    </r>
  </si>
  <si>
    <t>contoh pada KK 1</t>
  </si>
  <si>
    <t>TP = 9</t>
  </si>
  <si>
    <t>FN = 1</t>
  </si>
  <si>
    <t>FP = 2</t>
  </si>
  <si>
    <t>TN = 48 (60-(9+1+2))</t>
  </si>
  <si>
    <t>TP = diagonal</t>
  </si>
  <si>
    <t>FN = baris selain diagonal</t>
  </si>
  <si>
    <t>FP= kolom selain diagonal</t>
  </si>
  <si>
    <t>Rumus Precision TP / (TP + FP)</t>
  </si>
  <si>
    <t>eror rate = 6/60 = 0,1=10%</t>
  </si>
  <si>
    <t>akurasi = Mengukur seberapa banyak prediksi yang benar dari seluruh data</t>
  </si>
  <si>
    <t>eror rate = seberapa banyak yang salah klasifikasi</t>
  </si>
  <si>
    <r>
      <t xml:space="preserve">recall = kemampuan model </t>
    </r>
    <r>
      <rPr>
        <b/>
        <sz val="11"/>
        <color theme="1"/>
        <rFont val="Calibri"/>
        <family val="2"/>
        <scheme val="minor"/>
      </rPr>
      <t>menangkap semua data dari suatu kelas</t>
    </r>
  </si>
  <si>
    <t>dari data yang masuk kelas ini, yang berhasil ditemukan ada 90%</t>
  </si>
  <si>
    <t>Dari semua yang diprediksi sebagai kelas ini, yang benar ada 81,82%</t>
  </si>
  <si>
    <t>Precession</t>
  </si>
  <si>
    <t>3. Menguji Hasil klasifikasi pada data training</t>
  </si>
  <si>
    <t>kita perlu tau, seberapa tepatnya prediksi model terhadap kelas yang ada</t>
  </si>
  <si>
    <r>
      <t xml:space="preserve">precision = </t>
    </r>
    <r>
      <rPr>
        <b/>
        <sz val="11"/>
        <color theme="1"/>
        <rFont val="Calibri"/>
        <family val="2"/>
        <scheme val="minor"/>
      </rPr>
      <t>Mengukur ketepatan prediksi model untuk suatu kelas</t>
    </r>
  </si>
  <si>
    <t xml:space="preserve">Juariyah </t>
  </si>
  <si>
    <t xml:space="preserve">Ahmad Munir </t>
  </si>
  <si>
    <t>Yudi Irawan</t>
  </si>
  <si>
    <t>Khoirun Sasmito</t>
  </si>
  <si>
    <t xml:space="preserve">Nur Sakinah </t>
  </si>
  <si>
    <t>Bambang Rudianto</t>
  </si>
  <si>
    <t>Sugeng</t>
  </si>
  <si>
    <t>Noviana putri</t>
  </si>
  <si>
    <t xml:space="preserve">Data Uji </t>
  </si>
  <si>
    <t>Galih Sujitno</t>
  </si>
  <si>
    <t>Agustian Juari</t>
  </si>
  <si>
    <t>Tri Bagusanto</t>
  </si>
  <si>
    <t>Muhammad Ali</t>
  </si>
  <si>
    <t>Muhammad Tegar</t>
  </si>
  <si>
    <t xml:space="preserve">Suhadi Jayadi </t>
  </si>
  <si>
    <t>Sarman</t>
  </si>
  <si>
    <t>Tribhuwana Tunggadewi</t>
  </si>
  <si>
    <t>Pratama Putra</t>
  </si>
  <si>
    <t>Eka Rafi Abadi</t>
  </si>
  <si>
    <t>Data Uji 1</t>
  </si>
  <si>
    <t>Data Uji 2</t>
  </si>
  <si>
    <t>Hasil</t>
  </si>
  <si>
    <t>Data Uji 5</t>
  </si>
  <si>
    <t>Data Uji 3</t>
  </si>
  <si>
    <t>Data Uji 4</t>
  </si>
  <si>
    <t>Data Uji 6</t>
  </si>
  <si>
    <t>P(Kesejahteraan|5) = P(Kesejahteraan|5)x(P(IM1|A)xP(IM2|D)xP(IM3|B)xP(IM4|D)xP(IM5|D)xP(IM6|D)xP(IM7|D)xP(IM8|C)xP(IM9|B)xP(IM10|C)xP(IM11|B)xP(IM12|C)xP(IM13|D)xP(IM14|B)xP(IM15|B)xP(IM16|D)xP(IM17|D)xP(IM18|D)xP(IM19|B)xP(IM20|A)xP(IM21|A)xP(IL1|C)xP(IL2|B)xP(IL3|A)xP(IL4|A)xP(IL5|A)xP(IL6|A)xP(IL7|A)xP(IL8|A)xP(IL9|B)xP(IL10|A)xP(IL11|A)xP(IL12|A)xP(IL13|A)xP(IL14|A)xP(IL15|B))</t>
  </si>
  <si>
    <t>Data Uji 7</t>
  </si>
  <si>
    <t>Data Uji 8</t>
  </si>
  <si>
    <t xml:space="preserve">Hasil </t>
  </si>
  <si>
    <t>Data Uji 9</t>
  </si>
  <si>
    <t>Data Uji 10</t>
  </si>
  <si>
    <t>Data Uji 11</t>
  </si>
  <si>
    <t>Data Uji 12</t>
  </si>
  <si>
    <t>Data Uji 13</t>
  </si>
  <si>
    <t>Data Uji 14</t>
  </si>
  <si>
    <t>Data Uji 15</t>
  </si>
  <si>
    <t>Data Uji 17</t>
  </si>
  <si>
    <t>Data Uji 16</t>
  </si>
  <si>
    <t>Data Uji 18</t>
  </si>
  <si>
    <t xml:space="preserve">Tidak Sesuai </t>
  </si>
  <si>
    <t>Tabel Confussion Matrix Hasil Data Uji</t>
  </si>
  <si>
    <t>YANG MASUK KE KELAS LAIN 4</t>
  </si>
  <si>
    <t>YANG SESUAI ADA 14</t>
  </si>
  <si>
    <t>TP = 14</t>
  </si>
  <si>
    <t>TN = 0</t>
  </si>
  <si>
    <t>Total data (TP + TN + FP + FN ) = 18</t>
  </si>
  <si>
    <t>Rumus erorr rate = (FP + FN) / 2xTotal data = (4+4)/2x18 = 0,22</t>
  </si>
  <si>
    <t>Rumus ER (eror rate) = jumlah salah / total data</t>
  </si>
  <si>
    <t>FN (False Negatif)</t>
  </si>
  <si>
    <t>Macro recall = Rata-Rata Recall</t>
  </si>
  <si>
    <t xml:space="preserve">Macro recall = Rata-Rata Recall = total recall / jumlah kelas </t>
  </si>
  <si>
    <t>Micro recall = Jumlah TP / (Jumlah TP + Jumlah FN) = 14 / (14 + 4)</t>
  </si>
  <si>
    <t>FP (False Positif)</t>
  </si>
  <si>
    <t>Micro recall = Jumlah TP / (Jumlah TP + Jumlah FP) = 14 / (14 + 4)</t>
  </si>
  <si>
    <t>Dari semua yang diprediksi sebagai kelas ini, yang benar ada 100%</t>
  </si>
  <si>
    <t>dari data yang masuk kelas ini, yang berhasil ditemukan ada 66,67%</t>
  </si>
  <si>
    <t>IM 22</t>
  </si>
  <si>
    <t>IM 23</t>
  </si>
  <si>
    <t>IM 24</t>
  </si>
  <si>
    <t>IM 25</t>
  </si>
  <si>
    <t>IM 26</t>
  </si>
  <si>
    <t>IM 27</t>
  </si>
  <si>
    <t>IM 28</t>
  </si>
  <si>
    <t>IM 29</t>
  </si>
  <si>
    <t>IM 30</t>
  </si>
  <si>
    <t>IM 31</t>
  </si>
  <si>
    <t>IM 32</t>
  </si>
  <si>
    <t>IM 33</t>
  </si>
  <si>
    <t>IM 34</t>
  </si>
  <si>
    <t>IM 35</t>
  </si>
  <si>
    <t>P(IM 22 | Kelas Kesejahteraan)</t>
  </si>
  <si>
    <t>P(IM 22 A | Kelas Kesejahteraan)</t>
  </si>
  <si>
    <t>P(IM 22 B | Kelas Kesejahteraan)</t>
  </si>
  <si>
    <t>P(IM 22 C | Kelas Kesejahteraan)</t>
  </si>
  <si>
    <t>P(IM 22 D | Kelas Kesejahteraan)</t>
  </si>
  <si>
    <t>P(IM 23 | Kelas Kesejahteraan)</t>
  </si>
  <si>
    <t>P(IM 23 A | Kelas Kesejahteraan)</t>
  </si>
  <si>
    <t>P(IM 23 B | Kelas Kesejahteraan)</t>
  </si>
  <si>
    <t>P(IM 24 | Kelas Kesejahteraan)</t>
  </si>
  <si>
    <t>P(IM 24 A | Kelas Kesejahteraan)</t>
  </si>
  <si>
    <t>P(IM 24 B | Kelas Kesejahteraan)</t>
  </si>
  <si>
    <t>P(IM 25 | Kelas Kesejahteraan)</t>
  </si>
  <si>
    <t>P(IM 25 B | Kelas Kesejahteraan)</t>
  </si>
  <si>
    <t>P(IM 26 | Kelas Kesejahteraan)</t>
  </si>
  <si>
    <t>P(IM 26 A | Kelas Kesejahteraan)</t>
  </si>
  <si>
    <t>P(IM 26 B | Kelas Kesejahteraan)</t>
  </si>
  <si>
    <t>P(IM 32 | Kelas Kesejahteraan)</t>
  </si>
  <si>
    <t>P(IM 27 | Kelas Kesejahteraan)</t>
  </si>
  <si>
    <t>P(IM 27 A | Kelas Kesejahteraan)</t>
  </si>
  <si>
    <t>P(IM 27 B | Kelas Kesejahteraan)</t>
  </si>
  <si>
    <t>P(IM 28 | Kelas Kesejahteraan)</t>
  </si>
  <si>
    <t>P(IM 28 A | Kelas Kesejahteraan)</t>
  </si>
  <si>
    <t>P(IM 28 B | Kelas Kesejahteraan)</t>
  </si>
  <si>
    <t>P(IM 29 | Kelas Kesejahteraan)</t>
  </si>
  <si>
    <t>P(IM 29 A | Kelas Kesejahteraan)</t>
  </si>
  <si>
    <t>P(IM 29 B | Kelas Kesejahteraan)</t>
  </si>
  <si>
    <t>P(IM 30 | Kelas Kesejahteraan)</t>
  </si>
  <si>
    <t>P(IM 30 A | Kelas Kesejahteraan)</t>
  </si>
  <si>
    <t>P(IM 30 B | Kelas Kesejahteraan)</t>
  </si>
  <si>
    <t>P(IM 31 | Kelas Kesejahteraan)</t>
  </si>
  <si>
    <t>P(IM 31 A | Kelas Kesejahteraan)</t>
  </si>
  <si>
    <t>P(IM 31 B | Kelas Kesejahteraan)</t>
  </si>
  <si>
    <t>P(IM 32 B | Kelas Kesejahteraan)</t>
  </si>
  <si>
    <t>P(IM 32 A | Kelas Kesejahteraan)</t>
  </si>
  <si>
    <t>P(IM 33 | Kelas Kesejahteraan)</t>
  </si>
  <si>
    <t>P(IM 33 A | Kelas Kesejahteraan)</t>
  </si>
  <si>
    <t>P(IM 33 B | Kelas Kesejahteraan)</t>
  </si>
  <si>
    <t>P(IM 34 | Kelas Kesejahteraan)</t>
  </si>
  <si>
    <t>P(IM 34 A | Kelas Kesejahteraan)</t>
  </si>
  <si>
    <t>P(IM 34 B | Kelas Kesejahteraan)</t>
  </si>
  <si>
    <t>P(IM 35 | Kelas Kesejahteraan)</t>
  </si>
  <si>
    <t>P(IM 35 A | Kelas Kesejahteraan)</t>
  </si>
  <si>
    <t>P(IM 35 B | Kelas Kesejahteraan)</t>
  </si>
  <si>
    <t>P(IM 36 | Kelas Kesejahteraan)</t>
  </si>
  <si>
    <t>P(IM 36 A | Kelas Kesejahteraan)</t>
  </si>
  <si>
    <t>P(IM 36 B | Kelas Kesejahteraan)</t>
  </si>
  <si>
    <t>P(Kesejahteraan|1) = P(Kesejahteraan|1)x(P(IM1 |C)xP(IM2|B)xP(IM3|A)xP(IM4|D)xP(IM5|D)xP(IM6|D)xP(IM7|C)xP(IM8|C)xP(IM9|B)xP(IM10|C)xP(IM11|A)xP(IM12|C)xP(IM13|D)xP(IM14|B)xP(IM15|B)xP(IM16|D)xP(IM17|D)xP(IM18|D)xP(IM19|C)xP(IM20|A)xP(IM21|B)xP(IM 22|A)xP(IL2|A)xP(IL3|A)xP(IL4|A)xP(IL5|A)xP(IL6|A)xP(IL7|A)xP(IL8|B)xP(IL9|A)xP(IL10|A)xP(IL11|B)xP(IL12|A)xP(IL13|A)xP(IL14|A)xP(IL15|B))</t>
  </si>
  <si>
    <t>P(Kesejahteraan|1) = P(Kesejahteraan|1)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</si>
  <si>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P(Kesejahteraan|5) = P(Kesejahteraan|5)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</si>
  <si>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P(Kesejahteraan|4) = P(Kesejahteraan|4)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</si>
  <si>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P(Kesejahteraan|3) = P(Kesejahteraan|3)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</si>
  <si>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P(Kesejahteraan|2) = P(Kesejahteraan|2)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</si>
  <si>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P(Kesejahteraan|6) = P(Kesejahteraan|6)x(P(IM1|B)xP(IM2|D)xP(IM3|B)xP(IM4|D)xP(IM5|D)xP(IM6|D)xP(IM7|C)xP(IM8|C)xP(IM9|C)xP(IM10|C)xP(IM11|B)xP(IM12|D)xP(IM13|D)xP(IM14|B)xP(IM15|B)x(IM16|D)xP(IM17|D)xP(IM18|D)xP(IM19|C)xP(IM20|A)xP(IM21|A)xP(IM22|C)xP(IM23|A)xP(IM24|A)xP(ILM25|A)xP(IM26|A)xP(IM27|A)xP(IM28|A)xP(IM29|A)xP(IM30|B)xP(IM31|A)xP(IM32|B)xP(M33|A)xP(IM34|A)xP(IM35|A)xP(IM36|B))</t>
  </si>
  <si>
    <t>P(Kesejahteraan|1) = P(Kesejahteraan|1)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</si>
  <si>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P(Kesejahteraan|6) = P(Kesejahteraan|6)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</si>
  <si>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P(Kesejahteraan|5) = P(Kesejahteraan|5)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</si>
  <si>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P(Kesejahteraan|4) = P(Kesejahteraan|4)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</si>
  <si>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P(Kesejahteraan|3) = P(Kesejahteraan|3)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</si>
  <si>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P(Kesejahteraan|2) = P(Kesejahteraan|2)x(P(IM1|C)xP(IM2|B)xP(IM3|A)xP(IM4|D)xP(IM5|D)xP(IM6|D)xP(IM7|D)xP(IM8|C)xP(IM9|B)xP(IM10|B)xP(IM11|A)xP(IM12|B)xP(IM13|D)xP(IM14|B)xP(IM15|B)x(IM16|D)xP(IM17|D)xP(IM18|D)xP(IM19|C)xP(IM20|A)xP(IM21|B)xP(IM22|C)xP(IM23|B)xP(IM24|A)xP(IM25|A)xP(IM26|A)xP(IM27|A)xP(IM28|A)xP(IM29|A)xP(IM30|A)xP(IM31|A)xP(IM32|A)xP(IM33|A)xP(IM34|A)xP(IM35|B)xP(IM36|B))</t>
  </si>
  <si>
    <t>P(Kesejahteraan|1) = P(Kesejahteraan|1)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</si>
  <si>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P(Kesejahteraan|6) = P(Kesejahteraan|6)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</si>
  <si>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P(Kesejahteraan|5) = P(Kesejahteraan|5)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</si>
  <si>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P(Kesejahteraan|4) = P(Kesejahteraan|4)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</si>
  <si>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P(Kesejahteraan|3) = P(Kesejahteraan|3)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</si>
  <si>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P(Kesejahteraan|2) = P(Kesejahteraan|2)x(P(IM1|C)xP(IM2|D)xP(IM3|B)xP(IM4|D)xP(IM5|D)xP(IM6|B)xP(IM7|C)xP(IM8|C)xP(IM9|C)xP(IM10|B)xP(IM11|A)xP(IM12|D)xP(IM13|D)xP(IM14|B)xP(IM15|B)xP(IM16|D)xP(IM17|D)xP(IM18|D)xP(IM19|D)xP(IM20|A)xP(IM21|B)xP(IM22|C)xP(IM23|B)xP(IM24|A)xP(IM25|A)xP(IM26|A)xP(IM27|A)xP(IM28|A)xP(IM29|B)xP(IM30|B)xP(IM31|A)xP(IM32|A)xP(IM33|A)xP(IM34|A)xP(IM35|A)xP(IM36|B))</t>
  </si>
  <si>
    <t>IM 36</t>
  </si>
  <si>
    <t>P(Kesejahteraan|1) = P(Kesejahteraan|1)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</si>
  <si>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P(Kesejahteraan|6) = P(Kesejahteraan|6)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</si>
  <si>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P(Kesejahteraan|5) = P(Kesejahteraan|5)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</si>
  <si>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P(Kesejahteraan|4) = P(Kesejahteraan|4)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</si>
  <si>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P(Kesejahteraan|3) = P(Kesejahteraan|3)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</si>
  <si>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P(Kesejahteraan|2) = P(Kesejahteraan|2)x(P(IM1|D)xP(IM2|B)xP(IM3|A)xP(IM4|B)xP(IM5|D)xP(IM6|D)xP(IM7|B)xP(IM8|A)xP(IM9|B)xP(IM10|B)xP(IM11|A)xP(IM12|A)xP(IM13|D)xP(IM14|B)xP(IM15|A)xP(IM16|D)xP(IM17|D)xP(IM18|D)xP(IM19|B)xP(IM20|A)xP(IM21|A)xP(IM22|A)xP(IM23|B)xP(IM24|A)xP(IM25|A)xP(IM26|A)xP(IM27|A)xP(IM28|A)xP(IM29|A)xP(IM30|B)xP(IM31|A)xP(IM32|B)xP(IM33|A)xP(IM34|A)xP(IM35|A)xP(IM36|B))</t>
  </si>
  <si>
    <t>P(Kesejahteraan|4) = P(Kesejahteraan|4)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</si>
  <si>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P(Kesejahteraan|5) = P(Kesejahteraan|5)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</si>
  <si>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P(Kesejahteraan|6) = P(Kesejahteraan|6)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</si>
  <si>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P(Kesejahteraan|1) = P(Kesejahteraan|1)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</si>
  <si>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P(Kesejahteraan|3) = P(Kesejahteraan|3)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</si>
  <si>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P(Kesejahteraan|2) = P(Kesejahteraan|2)x(P(IM1|D)xP(IM2|D)xP(IM3|B)xP(IM4|D)xP(IM5|D)xP(IM6|D)xP(IM7|C)xP(IM8|C)xP(IM9|B)xP(IM10|C)xP(IM11|C)xP(IM12|B)xP(IM13|D)xP(IM14|B)xP(IM15|A)xP(IM16|D)xP(IM17|D)xP(IM18|D)xP(IM19|D)xP(IM20|A)xP(IM21|B)xP(IM22|C)xP(IM23|B)xP(IM24|A)xP(IM25|A)xP(IM26|A)xP(IM27|A)xP(IM28|A)xP(IM29|A)xP(IM30|B)xP(IM31|A)xP(IM32|A)xP(IM33|A)xP(IM34|A)xP(IM35|B)xP(IM36|A))</t>
  </si>
  <si>
    <t>P(Kesejahteraan|5) = P(Kesejahteraan|5)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</si>
  <si>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P(Kesejahteraan|6) = P(Kesejahteraan|6)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</si>
  <si>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P(Kesejahteraan|4) = P(Kesejahteraan|4)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</si>
  <si>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P(Kesejahteraan|3) = P(Kesejahteraan|3)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</si>
  <si>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P(Kesejahteraan|2) = P(Kesejahteraan|2)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</si>
  <si>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P(Kesejahteraan|1) = P(Kesejahteraan|1)x(P(IM1|C)xP(IM2|B)xP(IM3|B)xP(IM4|C)xP(IM5|D)xP(IM6|C)xP(IM7|D)xP(IM8|C)xP(IM9|B)xP(IM10|A)xP(IM11|A)xP(IM12|D)xP(IM13|D)xP(IM14|A)xP(IM15|D)xP(IM16|D)xP(IM17|D)xP(IM18|D)xP(IM19|D)xP(IM20|A)xP(IM21|B)xP(IM22|A)xP(IM23|A)xP(IM24|A)xP(IM25|A)xP(IM26|A)xP(IM27|A)xP(IM28|A)xP(IM29|A)xP(IM30|A)xP(IM31|A)xP(IM32|B)xP(IM33|A)xP(IM34|A)xP(IM35|B)xP(IM36|A))</t>
  </si>
  <si>
    <t>P(Kesejahteraan|1) = P(Kesejahteraan|1)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</si>
  <si>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P(Kesejahteraan|2) = P(Kesejahteraan|2)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</si>
  <si>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P(Kesejahteraan|3) = P(Kesejahteraan|3)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</si>
  <si>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P(Kesejahteraan|4) = P(Kesejahteraan|4)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</si>
  <si>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P(Kesejahteraan|5) = P(Kesejahteraan|5)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</si>
  <si>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P(Kesejahteraan|6) = P(Kesejahteraan|6)x(P(IM1|B)xP(IM2|B)xP(IM3|B)xP(IM4|C)xP(IM5|D)xP(IM6|D)xP(IM7|D)xP(IM8|C)xP(IM9|B)xP(IM10|B)xP(IM11|B)xP(IM12|C)xP(IM13|D)xP(IM14|B)xP(IM15|B)xP(IM16|D)xP(IM17|D)xP(IM18|D)xP(IM19|D)xP(IM20|A)xP(IM21|B)xP(IM22|C)xP(IM23|B)xP(IM24|A)xP(IM25|A)xP(IM26|A)xP(IM27|A)xP(IM28|A)xP(IM29|A)xP(IM30|B)xP(IM31|A)xP(IM32|B)xP(IM33|A)xP(IM34|A)xP(IM35|B)xP(IM36|B))</t>
  </si>
  <si>
    <t>P(Kesejahteraan|1) = P(Kesejahteraan|1)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</si>
  <si>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P(Kesejahteraan|2) = P(Kesejahteraan|2)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</si>
  <si>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P(Kesejahteraan|3) = P(Kesejahteraan|3)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</si>
  <si>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P(Kesejahteraan|4) = P(Kesejahteraan|4)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</si>
  <si>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P(Kesejahteraan|5) = P(Kesejahteraan|5)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</si>
  <si>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P(Kesejahteraan|6) = P(Kesejahteraan|6)x(P(IM1|A)xP(IM2|D)xP(IM3|B)xP(IM4|D)xP(IM5|D)xP(IM6|D)xP(IM7|D)xP(IM8|C)xP(IM9|B)xP(IM10|C)xP(IM11|B)xP(IM12|C)xP(IM13|D)xP(IM14|B)xP(IM15|B)xP(IM16|D)xP(IM17|D)xP(IM18|D)xP(IM19|B)xP(IM20|A)xP(IM21|B)xP(IM22|C)xP(IM23|B)xP(IM24|A)xP(IM25|A)xP(IM26|A)xP(IM27|A)xP(IM28|A)xP(IM29|A)xP(IM30|B)xP(IM31|A)xP(IM32|A)xP(IM33|A)xP(IM34|A)xP(IM35|A)xP(IM36|B))</t>
  </si>
  <si>
    <t>P(Kesejahteraan|1)=P(Kesejahteraan|1)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</si>
  <si>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P(Kesejahteraan|2) = P(Kesejahteraan|2)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</si>
  <si>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P(Kesejahteraan|3) = P(Kesejahteraan|3)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</si>
  <si>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P(Kesejahteraan|4) = P(Kesejahteraan|4)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</si>
  <si>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P(Kesejahteraan|5) = P(Kesejahteraan|5)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</si>
  <si>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P(Kesejahteraan|6) = P(Kesejahteraan|6)x(P(IM1|D)xP(IM2|B)xP(IM3|B)xP(IM4|D)xP(IM5|D)xP(IM6|D)xP(IM7|C)xP(IM8|C)xP(IM9|B)xP(IM10|B)xP(IM11|A)xP(IM12|D)xP(IM13|C)xP(IM14|B)xP(IM15|C)xP(IM16|D)xP(IM17|D)xP(IM18|D)xP(IM19|D)xP(IM20|A)xP(IM21|B)xP(IM22|B)xP(IM23|B)xP(IM24|A)xP(IM25|A)xP(IM26|A)xP(IM27|A)xP(IM28|A)xP(IM29|A)xP(IM30|B)xP(IM31|A)xP(IM32|B)xP(IM33|A)xP(IM34|A)xP(IM35|B)xP(IM36|B))</t>
  </si>
  <si>
    <t>P(Kesejahteraan|1)=P(Kesejahteraan|1)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</si>
  <si>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P(Kesejahteraan|6) = P(Kesejahteraan|6)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</si>
  <si>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P(Kesejahteraan|5) = P(Kesejahteraan|5)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</si>
  <si>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P(Kesejahteraan|4) = P(Kesejahteraan|4)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</si>
  <si>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P(Kesejahteraan|3) = P(Kesejahteraan|3)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</si>
  <si>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P(Kesejahteraan|2) = P(Kesejahteraan|2)x(P(IM1|D)xP(IM2|B)xP(IM3|B)xP(IM4|D)xP(IM5|D)xP(IM6|D)xP(IM7|D)xP(IM8|C)xP(IM9|C)xP(IM10|A)xP(IM11|A)xP(IM12|D)xP(IM13|D)xP(IM14|B)xP(IM15|C)xP(IM16|D)xP(IM17|D)xP(IM18|D)xP(IM19|A)xP(IM20|A)xP(IM21|A)xP(IM22|C)xP(IM23|B)xP(IM24|A)xP(IM25|A)xP(IM26|A)xP(IM27|A)xP(IM28|A)xP(IM29|A)xP(IM30|B)xP(IM31|A)xP(IM32|B)xP(IM33|B)xP(IM34|A)xP(IM35|A)xP(IM36|B))</t>
  </si>
  <si>
    <t>P(Kesejahteraan|6) = P(Kesejahteraan|6)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</si>
  <si>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P(Kesejahteraan|5) = P(Kesejahteraan|5)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</si>
  <si>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P(Kesejahteraan|4) = P(Kesejahteraan|4)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</si>
  <si>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P(Kesejahteraan|3) = P(Kesejahteraan|3)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</si>
  <si>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P(Kesejahteraan|2) = P(Kesejahteraan|2)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</si>
  <si>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P(Kesejahteraan|1) = P(Kesejahteraan|1)x(P(IM1|D)xP(IM2|D)xP(IM3|C)xP(IM4|D)xP(IM5|D)xP(IM6|D)xP(IM7|D)xP(IM8|C)xP(IM9|C)xP(IM10|C)xP(IM11|B)xP(IM12|D)xP(IM13|D)xP(IM14|C)xP(IM15|C)xP(IM16|D)xP(IM17|D)xP(IM18|D)xP(IM19|D)xP(IM20|B)xP(IM21|B)xP(IM22|C)xP(IM23|B)xP(IM24|A)xP(IM25|A)xP(IM26|A)xP(IM27|A)xP(IM28|A)xP(IM29|B)xP(IM30|B)xP(IM31|A)xP(IM32|B)xP(IM33|B)xP(IM34|A)xP(IM35|B)xP(IM36|B))</t>
  </si>
  <si>
    <t>P(Kesejahteraan|6) = P(Kesejahteraan|6)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</si>
  <si>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P(Kesejahteraan|5) = P(Kesejahteraan|5)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</si>
  <si>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P(Kesejahteraan|4) = P(Kesejahteraan|4)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</si>
  <si>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P(Kesejahteraan|3) = P(Kesejahteraan|3)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</si>
  <si>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P(Kesejahteraan|2) = P(Kesejahteraan|2)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</si>
  <si>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P(Kesejahteraan|1) = P(Kesejahteraan|1)x(P(IM1|D)xP(IM2|B)xP(IM3|C)xP(IM4|D)xP(IM5|D)xP(IM6|D)xP(IM7|C)xP(IM8|C)xP(IM9|B)xP(IM10|B)xP(IM11|B)xP(IM12|B)xP(IM13|C)xP(IM14|C)xP(IM15|C)xP(IM16|D)xP(IM17|C)xP(IM18|C)xP(IM19|D)xP(IM20|B)xP(IM21|C)xP(IM22|C)xP(IM23|B)xP(IM24|A)xP(IM25|A)xP(IM26|A)xP(IM27|A)xP(IM28|A)xP(IM29|B)xP(IM30|B)xP(IM31|A)xP(IM32|B)xP(IM33|A)xP(IM34|A)xP(IM35|A)xP(IM36|B))</t>
  </si>
  <si>
    <t>P(Kesejahteraan|6) = P(Kesejahteraan|6)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</si>
  <si>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P(Kesejahteraan|5) = P(Kesejahteraan|5)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</si>
  <si>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P(Kesejahteraan|4) = P(Kesejahteraan|4)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</si>
  <si>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P(Kesejahteraan|3) = P(Kesejahteraan|3)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</si>
  <si>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P(Kesejahteraan|2) = P(Kesejahteraan|2)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</si>
  <si>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P(Kesejahteraan|1) = P(Kesejahteraan|1)x(P(IM1|D)xP(IM2|B)xP(IM3|B)xP(IM4|D)xP(IM5|D)xP(IM6|D)xP(IM7|D)xP(IM8|C)xP(IM9|C)xP(IM10|D)xP(IM11|B)xP(IM12|C)xP(IM13|D)xP(IM14|C)xP(IM15|B)x(IM16|D)xP(IM17|D)xP(IM18|D)xP(IM19|D)xP(IM20|B)xP(IM21|A)xP(IM22|C)xP(IM23|B)xP(IM24|A)xP(IM25|A)xP(IM26|A)xP(IM27|A)xP(IM28|A)xP(IM29|A)xP(IM30|B)xP(IM31|A)xP(IM32|B)xP(IM33|A)xP(IM34|A)xP(IM35|A)xP(IM36|B))</t>
  </si>
  <si>
    <t>P(Kesejahteraan|6) = P(Kesejahteraan|6)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</si>
  <si>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P(Kesejahteraan|5) = P(Kesejahteraan|5)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</si>
  <si>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P(Kesejahteraan|4) = P(Kesejahteraan|4)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</si>
  <si>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P(Kesejahteraan|3) = P(Kesejahteraan|3)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</si>
  <si>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P(Kesejahteraan|2) = P(Kesejahteraan|2)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</si>
  <si>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P(Kesejahteraan|1) = P(Kesejahteraan|1)x(P(IM1|D)xP(IM2|B)xP(IM3|D)xP(IM4|D)xP(IM5|D)xP(IM6|D)xP(IM7|D)xP(IM8|C)xP(IM9|C)xP(IM10|A)xP(IM11|A)xP(IM12|B)xP(IM13|D)xP(IM14|C)xP(IM15|D)x(IM16|C)xP(IM17|C)xP(IM18|D)xP(IM19|A)xP(IM20|B)xP(IM21|B)xP(IM22|A)xP(IM23|B)xP(IM24|A)xP(IM25|A)xP(IM26|A)xP(IM27|A)xP(IM28|A)xP(IM29|A)xP(IM30|B)xP(IM31|A)xP(IM32|B)xP(IM33|A)xP(IM34|A)xP(IM35|A)xP(IM36|B))</t>
  </si>
  <si>
    <t>P(Kesejahteraan|1)=P(Kesejahteraan|1)x(P(IM1|D)xP(IM2|D)xP(IM3|C)xP(IM4|D)xP(IM5|D)xP(IM6|B)xP(IM7|D)xP(IM8|C)xP(IM9|C)xP(IM10|C)xP(IM11|C)xP(IM12|C)xP(IM13|C)xP(IM14|B)xP(IM15|B)x(IM16|D)xP(IM17|D)xP(IM18|D)xP(IM19|D)xP(IM20|B)xP(IM21|B)xP(IM22|C)xP(IM23|B)xP(IM24|A)xP(IM25|A)xP(IM26|A)xP(IM27|A)xP(IM28|A)xP(IM29|B)xP(IM30|B)xP(IM31|A)xP(IM32|B)xP(IM33|B)xP(IM34|A)xP(IM35|B)xP(IM36|B))</t>
  </si>
  <si>
    <t>P(Kesejahteraan|6) = P(Kesejahteraan|6)x(P(IM1|D)xP(IM2|D)xP(IM3|C)xP(IM4|D)xP(IM5|D)xP(IM6|B)xP(IM7|D)xP(IM8|C)xP(IM9|C)xP(IM10|C)xP(IM11|C)xP(IM12|C)xP(IM13|C)xP(IM14|B)xP(IM15|B)x(IM16|D)xP(IM17|D)xP(IM18|D)xP(IM19|D)xP(IM20|B)xP(IM21|B)xP(IM22|C)xP(IM23|B)xP(IM24|A)xP(IM25|A)xP(IM26|A)xP(IM27|A)xP(IM28|A)xP(IM29|B)xP(IM30|B)xP(IM31|A)xP(IM32|B)xP(IM33|B)xP(IM34|A)xP(IM35|B)xP(IM36|B))</t>
  </si>
  <si>
    <t>P(Kesejahteraan|5) = P(Kesejahteraan|5)x(P(IM1|D)xP(IM2|D)xP(IM3|C)xP(IM4|D)xP(IM5|D)xP(IM6|B)xP(IM7|D)xP(IM8|C)xP(IM9|C)xP(IM10|C)xP(IM11|C)xP(IM12|C)xP(IM13|C)xP(IM14|B)xP(IM15|B)x(IM16|D)xP(IM17|D)xP(IM18|D)xP(IM19|D)xP(IM20|B)xP(IM21|B)xP(IM22|C)xP(IM23|B)xP(IM24|A)xP(IM25|A)xP(IM26|A)xP(IM27|A)xP(IM28|A)xP(IM29|B)xP(IM30|B)xP(IM31|A)xP(IM32|B)xP(IM33|B)xP(IM34|A)xP(IM35|B)xP(IM36|B))</t>
  </si>
  <si>
    <t>P(Kesejahteraan|4) = P(Kesejahteraan|4)x(P(IM1|D)xP(IM2|D)xP(IM3|C)xP(IM4|D)xP(IM5|D)xP(IM6|B)xP(IM7|D)xP(IM8|C)xP(IM9|C)xP(IM10|C)xP(IM11|C)xP(IM12|C)xP(IM13|C)xP(IM14|B)xP(IM15|B)x(IM16|D)xP(IM17|D)xP(IM18|D)xP(IM19|D)xP(IM20|B)xP(IM21|B)xP(IM22|C)xP(IM23|B)xP(IM24|A)xP(IM25|A)xP(IM26|A)xP(IM27|A)xP(IM28|A)xP(IM29|B)xP(IM30|B)xP(IM31|A)xP(IM32|B)xP(IM33|B)xP(IM34|A)xP(IM35|B)xP(IM36|B))</t>
  </si>
  <si>
    <t xml:space="preserve">P(Kesejahteraan|3) = P(Kesejahteraan|3)x(P(IM1|D)xP(IM2|D)xP(IM3|C)xP(IM4|D)xP(IM5|D)xP(IM6|B)xP(IM7|D)xP(IM8|C)xP(IM9|C)xP(IM10|C)xP(IM11|C)xP(IM12|C)xP(IM13|C)xP(IM14|B)xP(IM15|B)x(IM16|D)xP(IM7|D)xP(IM18|D)xP(IM19|D)xP(IM20|B)xP(IM21|B)xP(IM22|C)xP(IM23|B)xP(IM24|A)xP(IM25|A)xP(IM26|A)xP(IM27|A)xP(IM28|A)xP(IM29|B)xP(IM30|B)xP(IM31|A)xP(IM32|B)xP(IM33|B)xP(IM34|A)xP(IM35|B)xP(IM36|B)) </t>
  </si>
  <si>
    <t>P(Kesejahteraan|2) = P(Kesejahteraan|2)x(P(IM1|D)xP(IM2|D)xP(IM3|C)xP(IM4|D)xP(IM5|D)xP(IM6|B)xP(IM7|D)xP(IM8|C)xP(IM9|C)xP(IM10|C)xP(IM11|C)xP(IM12|C)xP(IM13|C)xP(IM14|B)xP(IM15|B)x(IM16|D)xP(IM17|D)xP(IM18|D)xP(IM19|D)xP(IM20|B)xP(IM21|B)xP(IM22|C)xP(IM23|B)xP(IM24|A)xP(IM25|A)xP(IM26|A)xP(IM27|A)xP(IM28|A)xP(IM29|B)xP(IM30|B)xP(IM31|A)xP(IM32|B)xP(IM33|B)xP(IM34|A)xP(IM35|B)xP(IM36|B))</t>
  </si>
  <si>
    <t>P(Kesejahteraan|1)=P(Kesejahteraan|1)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</si>
  <si>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2)=P(Kesejahteraan|2)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</si>
  <si>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3)=P(Kesejahteraan|3)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</si>
  <si>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4)=P(Kesejahteraan|4)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</si>
  <si>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5)=P(Kesejahteraan|5)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</si>
  <si>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6)=P(Kesejahteraan|6)x(P(IM1|D)xP(IM2|D)xP(IM3|B)xP(IM4|D)xP(IM5|D)xP(IM6|D)xP(IM7|D)xP(IM8|C)xP(IM9|C)xP(IM10|A)xP(IM11|A)xP(IM12|A)xP(IM13|D)xP(IM14|A)xP(IM15|D)x(IM16|D)xP(IM17|D)xP(IM18|D)xP(IM19|B)xP(IM20|D)xP(IM21|C)xP(IM22|C)xP(IM23|B)xP(IM24|A)xP(IM25|A)xP(IM26|A)xP(IM27|A)xP(IM28|A)xP(IM29|A)xP(IM30|B)xP(IM31|A)xP(IM32|B)xP(IM33|B)xP(IM34|A)xP(IM35|B)xP(IM36|B))</t>
  </si>
  <si>
    <t>P(Kesejahteraan|1)=P(Kesejahteraan|1)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</si>
  <si>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2)=P(Kesejahteraan|2)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</si>
  <si>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3)=P(Kesejahteraan|3)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</si>
  <si>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4)=P(Kesejahteraan|4)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</si>
  <si>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5)=P(Kesejahteraan|5)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</si>
  <si>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6)=P(Kesejahteraan|6)x(P(IM1|A)xP(IM2|D)xP(IM3|C)xP(IM4|D)xP(IM5|D)xP(IM6|D)xP(IM7|C)xP(IM8|C)xP(IM9|C)xP(IM10|A)xP(IM11|C)xP(IM12|D)xP(IM13|D)xP(IM14|A)xP(IM15|D)x(IM16|D)xP(IM17|D)xP(IM18|D)xP(IM19|D)xP(IM20|A)xP(IM21|B)xP(IM22|C)xP(IM23|B)xP(IM24|A)xP(IM25|A)xP(IM26|A)xP(IM27|B)xP(IM28|A)xP(IM29|B)xP(IM30|B)xP(IM31|B)xP(IM32|B)xP(IM33|B)xP(IM34|B)xP(IM35|B)xP(IM36|B))</t>
  </si>
  <si>
    <t>P(Kesejahteraan|1)=P(Kesejahteraan|1)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</si>
  <si>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P(Kesejahteraan|2)=P(Kesejahteraan|2)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</si>
  <si>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P(Kesejahteraan|3)=P(Kesejahteraan|3)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</si>
  <si>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P(Kesejahteraan|4)=P(Kesejahteraan|4)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</si>
  <si>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P(Kesejahteraan|5)=P(Kesejahteraan|5)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</si>
  <si>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P(Kesejahteraan|6)=P(Kesejahteraan|6)x(P(IM1|D)xP(IM2|D)xP(IM3|B)xP(IM4|C)xP(IM5|D)xP(IM6|D)xP(IM7|D)xP(IM8|D)xP(IM9|C)xP(IM10|A)xP(IM11|A)xP(IM12|C)xP(IM13|D)xP(IM14|C)xP(IM15|C)x(IM16|D)xP(IM17|B)xP(IM18|D)xP(IM19|B)xP(IM20|C)xP(IM21|C)xP(IM22|D)xP(IM23|B)xP(IM24|A)xP(IM25|A)xP(IM26|A)xP(IM27|B)xP(IM28|A)xP(IM29|B)xP(IM30|B)xP(IM31|B)xP(IM32|B)xP(IM33|B)xP(IM34|B)xP(IM35|B)xP(IM36|B))</t>
  </si>
  <si>
    <t>Status Kepemilikan Rumah (IM 1)</t>
  </si>
  <si>
    <t>Dinding Rumah Terluas (IM 2)</t>
  </si>
  <si>
    <t>Luas Lantai Bangunan (IM 3)</t>
  </si>
  <si>
    <t>Indikator Kemiskinan ) (IM)</t>
  </si>
  <si>
    <t>Lantai Terluas (IM 4)</t>
  </si>
  <si>
    <t>Fasilitas BAB (IM 5)</t>
  </si>
  <si>
    <t>Sumber Air Minum (IM 6)</t>
  </si>
  <si>
    <t>Sumber Penerangan (IM 7)</t>
  </si>
  <si>
    <t>Baha Bakar Utama (IM 8)</t>
  </si>
  <si>
    <t>Pendidikan Kepala RT (IM 9)</t>
  </si>
  <si>
    <t>Pekerjaan Utama Kepala RT (IM 10)</t>
  </si>
  <si>
    <t>Penghasilan Kepala RT (1 Bulan) (IM 11)</t>
  </si>
  <si>
    <t>Jumlah anggota RT (IM 12)</t>
  </si>
  <si>
    <t>Jumlah KK dalam RT (IM 13)</t>
  </si>
  <si>
    <t>Jumlah Anggota RT yang Bekerja (IM 14)</t>
  </si>
  <si>
    <t>Jumlah Anggota Keluarga Masih Sekolah (IM 15)</t>
  </si>
  <si>
    <t>Anggota Keluarga Penyandang Disabilitas (IM 16)</t>
  </si>
  <si>
    <t>Anggota Keluarga yang Masuk Kategori Lanjut Usia (IM 17)</t>
  </si>
  <si>
    <t>Anggota Keluarga yang Menderita Penyakit Kronis (IM 18)</t>
  </si>
  <si>
    <t>Akses Terhadap Pelayanan Kesehatan (IM 19)</t>
  </si>
  <si>
    <t>Nilai Aset yang Dimiliki yang Mudah di Jual (IM 20)</t>
  </si>
  <si>
    <t>Pengeluaran Untuk Pakaian Dalam Setahun (IM 21)</t>
  </si>
  <si>
    <t>Jenis Atap Terluas (IM 22)</t>
  </si>
  <si>
    <t>Pembuangan Akhir Tinja (IM 23)</t>
  </si>
  <si>
    <t>Memiliki Bangunan Ditempat Lain (IM 24)</t>
  </si>
  <si>
    <t>Memiliki Lahan Lain (Selain yang Ditempati) (IM 25)</t>
  </si>
  <si>
    <t>Jumlah tabung gas 5,5 kg / lebih (IM 26)</t>
  </si>
  <si>
    <t>Jumlah AC (IM 27)</t>
  </si>
  <si>
    <t>Jumlah telepon rumah (PSTN) (IM 28)</t>
  </si>
  <si>
    <t>Jumlah Emas/Perhiasan (IM 29)</t>
  </si>
  <si>
    <t>Jumlah Sepeda Motor (IM 30)</t>
  </si>
  <si>
    <t>Jumlah Mobil (IM 31)</t>
  </si>
  <si>
    <t>Jumlah lemari es/kulkas (IM 32)</t>
  </si>
  <si>
    <t>Jumlah televisi layar datar (IM 33)</t>
  </si>
  <si>
    <t>Jumlah Komputer (IM 34)</t>
  </si>
  <si>
    <t>Jumlah Sepeda (IM 35)</t>
  </si>
  <si>
    <t>Jumlah Handphone (IM 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</si>
</sst>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9" xfId="0" applyFont="1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5" xfId="0" applyNumberFormat="1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ill="1" applyBorder="1"/>
    <xf numFmtId="10" fontId="0" fillId="0" borderId="0" xfId="0" applyNumberFormat="1"/>
    <xf numFmtId="1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2" borderId="0" xfId="0" applyFont="1" applyFill="1"/>
    <xf numFmtId="0" fontId="0" fillId="0" borderId="10" xfId="0" applyBorder="1"/>
    <xf numFmtId="10" fontId="0" fillId="0" borderId="10" xfId="0" applyNumberFormat="1" applyBorder="1"/>
    <xf numFmtId="0" fontId="1" fillId="0" borderId="12" xfId="0" applyFont="1" applyBorder="1"/>
    <xf numFmtId="0" fontId="0" fillId="0" borderId="14" xfId="0" applyBorder="1"/>
    <xf numFmtId="2" fontId="5" fillId="2" borderId="1" xfId="0" applyNumberFormat="1" applyFont="1" applyFill="1" applyBorder="1"/>
    <xf numFmtId="2" fontId="5" fillId="0" borderId="1" xfId="0" applyNumberFormat="1" applyFont="1" applyBorder="1"/>
    <xf numFmtId="2" fontId="5" fillId="0" borderId="0" xfId="0" applyNumberFormat="1" applyFont="1"/>
    <xf numFmtId="0" fontId="5" fillId="2" borderId="1" xfId="0" applyFont="1" applyFill="1" applyBorder="1"/>
    <xf numFmtId="0" fontId="5" fillId="0" borderId="1" xfId="0" applyFont="1" applyBorder="1"/>
    <xf numFmtId="16" fontId="5" fillId="0" borderId="1" xfId="0" applyNumberFormat="1" applyFont="1" applyBorder="1"/>
    <xf numFmtId="0" fontId="5" fillId="0" borderId="0" xfId="0" applyFont="1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26737</xdr:colOff>
      <xdr:row>4</xdr:row>
      <xdr:rowOff>53475</xdr:rowOff>
    </xdr:from>
    <xdr:to>
      <xdr:col>44</xdr:col>
      <xdr:colOff>1046479</xdr:colOff>
      <xdr:row>7</xdr:row>
      <xdr:rowOff>133686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DC7E2-6E41-A18A-90F2-684B44D5A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53322" y="1205768"/>
          <a:ext cx="3255474" cy="637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2CBA-F168-49C9-A683-1C341679A7D5}">
  <dimension ref="A1:CT1345"/>
  <sheetViews>
    <sheetView tabSelected="1" topLeftCell="BD1" zoomScale="85" zoomScaleNormal="85" workbookViewId="0">
      <pane ySplit="1" topLeftCell="A2" activePane="bottomLeft" state="frozen"/>
      <selection pane="bottomLeft" activeCell="BT21" sqref="BT21"/>
    </sheetView>
  </sheetViews>
  <sheetFormatPr defaultRowHeight="14.4" x14ac:dyDescent="0.3"/>
  <cols>
    <col min="2" max="2" width="30.5546875" bestFit="1" customWidth="1"/>
    <col min="3" max="3" width="19.109375" bestFit="1" customWidth="1"/>
    <col min="26" max="26" width="8.88671875" customWidth="1"/>
    <col min="30" max="30" width="8.88671875" customWidth="1"/>
    <col min="41" max="41" width="21.5546875" bestFit="1" customWidth="1"/>
    <col min="42" max="42" width="17.88671875" bestFit="1" customWidth="1"/>
    <col min="43" max="43" width="31.44140625" bestFit="1" customWidth="1"/>
    <col min="44" max="44" width="32.5546875" bestFit="1" customWidth="1"/>
    <col min="45" max="45" width="29" bestFit="1" customWidth="1"/>
    <col min="46" max="50" width="19.5546875" bestFit="1" customWidth="1"/>
    <col min="51" max="51" width="25.109375" bestFit="1" customWidth="1"/>
    <col min="52" max="52" width="22.88671875" style="22" bestFit="1" customWidth="1"/>
    <col min="53" max="53" width="29" style="22" bestFit="1" customWidth="1"/>
    <col min="54" max="54" width="9.77734375" style="22" bestFit="1" customWidth="1"/>
    <col min="55" max="55" width="9.33203125" style="22" bestFit="1" customWidth="1"/>
    <col min="56" max="58" width="8.88671875" style="22"/>
    <col min="61" max="61" width="18" bestFit="1" customWidth="1"/>
    <col min="62" max="62" width="19.33203125" bestFit="1" customWidth="1"/>
    <col min="63" max="63" width="19.5546875" bestFit="1" customWidth="1"/>
    <col min="64" max="64" width="10.88671875" bestFit="1" customWidth="1"/>
  </cols>
  <sheetData>
    <row r="1" spans="1:98" s="1" customFormat="1" x14ac:dyDescent="0.3">
      <c r="A1" s="1" t="s">
        <v>383</v>
      </c>
      <c r="B1" s="1" t="s">
        <v>0</v>
      </c>
      <c r="C1" s="1" t="s">
        <v>71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929</v>
      </c>
      <c r="Z1" s="1" t="s">
        <v>930</v>
      </c>
      <c r="AA1" s="1" t="s">
        <v>931</v>
      </c>
      <c r="AB1" s="1" t="s">
        <v>932</v>
      </c>
      <c r="AC1" s="1" t="s">
        <v>933</v>
      </c>
      <c r="AD1" s="1" t="s">
        <v>934</v>
      </c>
      <c r="AE1" s="1" t="s">
        <v>935</v>
      </c>
      <c r="AF1" s="1" t="s">
        <v>936</v>
      </c>
      <c r="AG1" s="1" t="s">
        <v>937</v>
      </c>
      <c r="AH1" s="1" t="s">
        <v>938</v>
      </c>
      <c r="AI1" s="1" t="s">
        <v>939</v>
      </c>
      <c r="AJ1" s="1" t="s">
        <v>940</v>
      </c>
      <c r="AK1" s="1" t="s">
        <v>941</v>
      </c>
      <c r="AL1" s="1" t="s">
        <v>942</v>
      </c>
      <c r="AM1" s="1" t="s">
        <v>1008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1"/>
      <c r="BA1" s="21"/>
      <c r="BB1" s="21"/>
      <c r="BC1" s="21"/>
      <c r="BD1" s="21"/>
      <c r="BE1" s="21"/>
      <c r="BF1" s="21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98" x14ac:dyDescent="0.3">
      <c r="A2">
        <v>1</v>
      </c>
      <c r="B2" t="s">
        <v>1</v>
      </c>
      <c r="C2">
        <v>1</v>
      </c>
      <c r="D2" t="s">
        <v>2</v>
      </c>
      <c r="E2" t="s">
        <v>3</v>
      </c>
      <c r="F2" t="s">
        <v>4</v>
      </c>
      <c r="G2" t="s">
        <v>5</v>
      </c>
      <c r="H2" t="s">
        <v>5</v>
      </c>
      <c r="I2" t="s">
        <v>5</v>
      </c>
      <c r="J2" t="s">
        <v>2</v>
      </c>
      <c r="K2" t="s">
        <v>2</v>
      </c>
      <c r="L2" t="s">
        <v>3</v>
      </c>
      <c r="M2" t="s">
        <v>2</v>
      </c>
      <c r="N2" t="s">
        <v>4</v>
      </c>
      <c r="O2" t="s">
        <v>2</v>
      </c>
      <c r="P2" t="s">
        <v>5</v>
      </c>
      <c r="Q2" t="s">
        <v>3</v>
      </c>
      <c r="R2" t="s">
        <v>3</v>
      </c>
      <c r="S2" t="s">
        <v>5</v>
      </c>
      <c r="T2" t="s">
        <v>5</v>
      </c>
      <c r="U2" t="s">
        <v>5</v>
      </c>
      <c r="V2" t="s">
        <v>2</v>
      </c>
      <c r="W2" t="s">
        <v>4</v>
      </c>
      <c r="X2" t="s">
        <v>3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3</v>
      </c>
      <c r="AG2" t="s">
        <v>4</v>
      </c>
      <c r="AH2" t="s">
        <v>4</v>
      </c>
      <c r="AI2" t="s">
        <v>3</v>
      </c>
      <c r="AJ2" t="s">
        <v>4</v>
      </c>
      <c r="AK2" t="s">
        <v>4</v>
      </c>
      <c r="AL2" t="s">
        <v>4</v>
      </c>
      <c r="AM2" t="s">
        <v>3</v>
      </c>
      <c r="BI2" s="5" t="s">
        <v>869</v>
      </c>
    </row>
    <row r="3" spans="1:98" x14ac:dyDescent="0.3">
      <c r="A3">
        <v>2</v>
      </c>
      <c r="B3" t="s">
        <v>6</v>
      </c>
      <c r="C3">
        <v>1</v>
      </c>
      <c r="D3" t="s">
        <v>5</v>
      </c>
      <c r="E3" t="s">
        <v>3</v>
      </c>
      <c r="F3" t="s">
        <v>2</v>
      </c>
      <c r="G3" t="s">
        <v>3</v>
      </c>
      <c r="H3" t="s">
        <v>5</v>
      </c>
      <c r="I3" t="s">
        <v>3</v>
      </c>
      <c r="J3" t="s">
        <v>5</v>
      </c>
      <c r="K3" t="s">
        <v>2</v>
      </c>
      <c r="L3" t="s">
        <v>2</v>
      </c>
      <c r="M3" t="s">
        <v>3</v>
      </c>
      <c r="N3" t="s">
        <v>3</v>
      </c>
      <c r="O3" t="s">
        <v>4</v>
      </c>
      <c r="P3" t="s">
        <v>5</v>
      </c>
      <c r="Q3" t="s">
        <v>3</v>
      </c>
      <c r="R3" t="s">
        <v>3</v>
      </c>
      <c r="S3" t="s">
        <v>5</v>
      </c>
      <c r="T3" t="s">
        <v>5</v>
      </c>
      <c r="U3" t="s">
        <v>5</v>
      </c>
      <c r="V3" t="s">
        <v>4</v>
      </c>
      <c r="W3" t="s">
        <v>4</v>
      </c>
      <c r="X3" t="s">
        <v>4</v>
      </c>
      <c r="Y3" t="s">
        <v>5</v>
      </c>
      <c r="Z3" t="s">
        <v>3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3</v>
      </c>
      <c r="AH3" t="s">
        <v>4</v>
      </c>
      <c r="AI3" t="s">
        <v>3</v>
      </c>
      <c r="AJ3" t="s">
        <v>4</v>
      </c>
      <c r="AK3" t="s">
        <v>4</v>
      </c>
      <c r="AL3" t="s">
        <v>4</v>
      </c>
      <c r="AM3" t="s">
        <v>3</v>
      </c>
      <c r="AZ3"/>
      <c r="BG3" s="22"/>
      <c r="BI3" s="53" t="s">
        <v>357</v>
      </c>
      <c r="BJ3" s="24" t="s">
        <v>71</v>
      </c>
      <c r="BK3" s="1" t="s">
        <v>50</v>
      </c>
      <c r="BL3" s="1" t="s">
        <v>51</v>
      </c>
      <c r="BM3" s="1" t="s">
        <v>52</v>
      </c>
      <c r="BN3" s="1" t="s">
        <v>53</v>
      </c>
      <c r="BO3" s="1" t="s">
        <v>54</v>
      </c>
      <c r="BP3" s="1" t="s">
        <v>55</v>
      </c>
      <c r="BQ3" s="1" t="s">
        <v>56</v>
      </c>
      <c r="BR3" s="1" t="s">
        <v>57</v>
      </c>
      <c r="BS3" s="1" t="s">
        <v>58</v>
      </c>
      <c r="BT3" s="1" t="s">
        <v>59</v>
      </c>
      <c r="BU3" s="1" t="s">
        <v>60</v>
      </c>
      <c r="BV3" s="1" t="s">
        <v>61</v>
      </c>
      <c r="BW3" s="1" t="s">
        <v>62</v>
      </c>
      <c r="BX3" s="1" t="s">
        <v>63</v>
      </c>
      <c r="BY3" s="1" t="s">
        <v>64</v>
      </c>
      <c r="BZ3" s="1" t="s">
        <v>65</v>
      </c>
      <c r="CA3" s="1" t="s">
        <v>66</v>
      </c>
      <c r="CB3" s="1" t="s">
        <v>67</v>
      </c>
      <c r="CC3" s="1" t="s">
        <v>68</v>
      </c>
      <c r="CD3" s="1" t="s">
        <v>69</v>
      </c>
      <c r="CE3" s="1" t="s">
        <v>70</v>
      </c>
      <c r="CF3" s="1" t="s">
        <v>929</v>
      </c>
      <c r="CG3" s="1" t="s">
        <v>930</v>
      </c>
      <c r="CH3" s="1" t="s">
        <v>931</v>
      </c>
      <c r="CI3" s="1" t="s">
        <v>932</v>
      </c>
      <c r="CJ3" s="1" t="s">
        <v>933</v>
      </c>
      <c r="CK3" s="1" t="s">
        <v>934</v>
      </c>
      <c r="CL3" s="1" t="s">
        <v>935</v>
      </c>
      <c r="CM3" s="1" t="s">
        <v>936</v>
      </c>
      <c r="CN3" s="1" t="s">
        <v>937</v>
      </c>
      <c r="CO3" s="1" t="s">
        <v>938</v>
      </c>
      <c r="CP3" s="1" t="s">
        <v>939</v>
      </c>
      <c r="CQ3" s="1" t="s">
        <v>940</v>
      </c>
      <c r="CR3" s="1" t="s">
        <v>941</v>
      </c>
      <c r="CS3" s="1" t="s">
        <v>942</v>
      </c>
      <c r="CT3" s="1" t="s">
        <v>1008</v>
      </c>
    </row>
    <row r="4" spans="1:98" ht="18" x14ac:dyDescent="0.35">
      <c r="A4">
        <v>3</v>
      </c>
      <c r="B4" t="s">
        <v>7</v>
      </c>
      <c r="C4">
        <v>1</v>
      </c>
      <c r="D4" t="s">
        <v>2</v>
      </c>
      <c r="E4" t="s">
        <v>3</v>
      </c>
      <c r="F4" t="s">
        <v>4</v>
      </c>
      <c r="G4" t="s">
        <v>5</v>
      </c>
      <c r="H4" t="s">
        <v>5</v>
      </c>
      <c r="I4" t="s">
        <v>5</v>
      </c>
      <c r="J4" t="s">
        <v>5</v>
      </c>
      <c r="K4" t="s">
        <v>2</v>
      </c>
      <c r="L4" t="s">
        <v>3</v>
      </c>
      <c r="M4" t="s">
        <v>3</v>
      </c>
      <c r="N4" t="s">
        <v>4</v>
      </c>
      <c r="O4" t="s">
        <v>3</v>
      </c>
      <c r="P4" t="s">
        <v>5</v>
      </c>
      <c r="Q4" t="s">
        <v>3</v>
      </c>
      <c r="R4" t="s">
        <v>3</v>
      </c>
      <c r="S4" t="s">
        <v>5</v>
      </c>
      <c r="T4" t="s">
        <v>5</v>
      </c>
      <c r="U4" t="s">
        <v>5</v>
      </c>
      <c r="V4" t="s">
        <v>2</v>
      </c>
      <c r="W4" t="s">
        <v>4</v>
      </c>
      <c r="X4" t="s">
        <v>3</v>
      </c>
      <c r="Y4" t="s">
        <v>2</v>
      </c>
      <c r="Z4" t="s">
        <v>3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3</v>
      </c>
      <c r="AM4" t="s">
        <v>3</v>
      </c>
      <c r="AR4" s="4" t="s">
        <v>39</v>
      </c>
      <c r="AS4" s="4"/>
      <c r="BG4" s="22"/>
      <c r="BI4" s="53"/>
      <c r="BJ4" s="24">
        <v>1</v>
      </c>
      <c r="BK4" t="s">
        <v>2</v>
      </c>
      <c r="BL4" t="s">
        <v>3</v>
      </c>
      <c r="BM4" t="s">
        <v>4</v>
      </c>
      <c r="BN4" t="s">
        <v>5</v>
      </c>
      <c r="BO4" t="s">
        <v>5</v>
      </c>
      <c r="BP4" t="s">
        <v>5</v>
      </c>
      <c r="BQ4" t="s">
        <v>2</v>
      </c>
      <c r="BR4" t="s">
        <v>2</v>
      </c>
      <c r="BS4" t="s">
        <v>3</v>
      </c>
      <c r="BT4" t="s">
        <v>2</v>
      </c>
      <c r="BU4" t="s">
        <v>4</v>
      </c>
      <c r="BV4" t="s">
        <v>2</v>
      </c>
      <c r="BW4" t="s">
        <v>5</v>
      </c>
      <c r="BX4" t="s">
        <v>3</v>
      </c>
      <c r="BY4" t="s">
        <v>3</v>
      </c>
      <c r="BZ4" t="s">
        <v>5</v>
      </c>
      <c r="CA4" t="s">
        <v>5</v>
      </c>
      <c r="CB4" t="s">
        <v>5</v>
      </c>
      <c r="CC4" t="s">
        <v>2</v>
      </c>
      <c r="CD4" t="s">
        <v>4</v>
      </c>
      <c r="CE4" t="s">
        <v>3</v>
      </c>
      <c r="CF4" t="s">
        <v>4</v>
      </c>
      <c r="CG4" t="s">
        <v>4</v>
      </c>
      <c r="CH4" t="s">
        <v>4</v>
      </c>
      <c r="CI4" t="s">
        <v>4</v>
      </c>
      <c r="CJ4" t="s">
        <v>4</v>
      </c>
      <c r="CK4" t="s">
        <v>4</v>
      </c>
      <c r="CL4" t="s">
        <v>4</v>
      </c>
      <c r="CM4" t="s">
        <v>3</v>
      </c>
      <c r="CN4" t="s">
        <v>4</v>
      </c>
      <c r="CO4" t="s">
        <v>4</v>
      </c>
      <c r="CP4" t="s">
        <v>3</v>
      </c>
      <c r="CQ4" t="s">
        <v>4</v>
      </c>
      <c r="CR4" t="s">
        <v>4</v>
      </c>
      <c r="CS4" t="s">
        <v>4</v>
      </c>
      <c r="CT4" t="s">
        <v>3</v>
      </c>
    </row>
    <row r="5" spans="1:98" x14ac:dyDescent="0.3">
      <c r="A5">
        <v>4</v>
      </c>
      <c r="B5" t="s">
        <v>8</v>
      </c>
      <c r="C5">
        <v>1</v>
      </c>
      <c r="D5" t="s">
        <v>5</v>
      </c>
      <c r="E5" t="s">
        <v>3</v>
      </c>
      <c r="F5" t="s">
        <v>2</v>
      </c>
      <c r="G5" t="s">
        <v>3</v>
      </c>
      <c r="H5" t="s">
        <v>5</v>
      </c>
      <c r="I5" t="s">
        <v>5</v>
      </c>
      <c r="J5" t="s">
        <v>5</v>
      </c>
      <c r="K5" t="s">
        <v>2</v>
      </c>
      <c r="L5" t="s">
        <v>3</v>
      </c>
      <c r="M5" t="s">
        <v>3</v>
      </c>
      <c r="N5" t="s">
        <v>4</v>
      </c>
      <c r="O5" t="s">
        <v>2</v>
      </c>
      <c r="P5" t="s">
        <v>5</v>
      </c>
      <c r="Q5" t="s">
        <v>3</v>
      </c>
      <c r="R5" t="s">
        <v>2</v>
      </c>
      <c r="S5" t="s">
        <v>5</v>
      </c>
      <c r="T5" t="s">
        <v>2</v>
      </c>
      <c r="U5" t="s">
        <v>2</v>
      </c>
      <c r="V5" t="s">
        <v>3</v>
      </c>
      <c r="W5" t="s">
        <v>4</v>
      </c>
      <c r="X5" t="s">
        <v>3</v>
      </c>
      <c r="Y5" t="s">
        <v>3</v>
      </c>
      <c r="Z5" t="s">
        <v>3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3</v>
      </c>
      <c r="AH5" t="s">
        <v>4</v>
      </c>
      <c r="AI5" t="s">
        <v>3</v>
      </c>
      <c r="AJ5" t="s">
        <v>4</v>
      </c>
      <c r="AK5" t="s">
        <v>4</v>
      </c>
      <c r="AL5" t="s">
        <v>4</v>
      </c>
      <c r="AM5" t="s">
        <v>3</v>
      </c>
      <c r="AT5" t="s">
        <v>47</v>
      </c>
      <c r="AV5" s="22"/>
      <c r="AW5" s="22"/>
      <c r="AX5" s="22"/>
      <c r="AY5" s="22"/>
      <c r="BG5" s="22"/>
      <c r="BI5" t="s">
        <v>989</v>
      </c>
    </row>
    <row r="6" spans="1:98" x14ac:dyDescent="0.3">
      <c r="A6">
        <v>5</v>
      </c>
      <c r="B6" t="s">
        <v>9</v>
      </c>
      <c r="C6">
        <v>1</v>
      </c>
      <c r="D6" t="s">
        <v>2</v>
      </c>
      <c r="E6" t="s">
        <v>3</v>
      </c>
      <c r="F6" t="s">
        <v>3</v>
      </c>
      <c r="G6" t="s">
        <v>5</v>
      </c>
      <c r="H6" t="s">
        <v>5</v>
      </c>
      <c r="I6" t="s">
        <v>3</v>
      </c>
      <c r="J6" t="s">
        <v>2</v>
      </c>
      <c r="K6" t="s">
        <v>2</v>
      </c>
      <c r="L6" t="s">
        <v>2</v>
      </c>
      <c r="M6" t="s">
        <v>3</v>
      </c>
      <c r="N6" t="s">
        <v>4</v>
      </c>
      <c r="O6" t="s">
        <v>5</v>
      </c>
      <c r="P6" t="s">
        <v>5</v>
      </c>
      <c r="Q6" t="s">
        <v>3</v>
      </c>
      <c r="R6" t="s">
        <v>3</v>
      </c>
      <c r="S6" t="s">
        <v>5</v>
      </c>
      <c r="T6" t="s">
        <v>5</v>
      </c>
      <c r="U6" t="s">
        <v>5</v>
      </c>
      <c r="V6" t="s">
        <v>5</v>
      </c>
      <c r="W6" t="s">
        <v>4</v>
      </c>
      <c r="X6" t="s">
        <v>3</v>
      </c>
      <c r="Y6" t="s">
        <v>2</v>
      </c>
      <c r="Z6" t="s">
        <v>3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3</v>
      </c>
      <c r="AG6" t="s">
        <v>3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3</v>
      </c>
      <c r="AT6">
        <v>60</v>
      </c>
      <c r="AV6" s="22"/>
      <c r="AW6" s="22"/>
      <c r="AX6" s="22"/>
      <c r="AY6" s="22"/>
      <c r="BG6" s="22"/>
      <c r="BI6" s="23" t="s">
        <v>355</v>
      </c>
      <c r="BJ6">
        <f>AV18*AT29*AT34*AT39*AT48*AT54*AT60*AT65*AT71*AT76*AT83*AT87*AT95*AT102*AT106*AT112*AT120*AT126*AT132*AT137*AT141*AT148*AT153*AT159*AT163*AT167*AT171*AT175*AT179*AT184*AT187*AT191*AT196*AT199*AT203*AT207*AT212</f>
        <v>1.3937211703295993E-9</v>
      </c>
    </row>
    <row r="7" spans="1:98" x14ac:dyDescent="0.3">
      <c r="A7">
        <v>6</v>
      </c>
      <c r="B7" t="s">
        <v>10</v>
      </c>
      <c r="C7">
        <v>1</v>
      </c>
      <c r="D7" t="s">
        <v>3</v>
      </c>
      <c r="E7" t="s">
        <v>3</v>
      </c>
      <c r="F7" t="s">
        <v>2</v>
      </c>
      <c r="G7" t="s">
        <v>5</v>
      </c>
      <c r="H7" t="s">
        <v>5</v>
      </c>
      <c r="I7" t="s">
        <v>3</v>
      </c>
      <c r="J7" t="s">
        <v>5</v>
      </c>
      <c r="K7" t="s">
        <v>2</v>
      </c>
      <c r="L7" t="s">
        <v>2</v>
      </c>
      <c r="M7" t="s">
        <v>2</v>
      </c>
      <c r="N7" t="s">
        <v>3</v>
      </c>
      <c r="O7" t="s">
        <v>3</v>
      </c>
      <c r="P7" t="s">
        <v>5</v>
      </c>
      <c r="Q7" t="s">
        <v>3</v>
      </c>
      <c r="R7" t="s">
        <v>3</v>
      </c>
      <c r="S7" t="s">
        <v>5</v>
      </c>
      <c r="T7" t="s">
        <v>5</v>
      </c>
      <c r="U7" t="s">
        <v>5</v>
      </c>
      <c r="V7" t="s">
        <v>5</v>
      </c>
      <c r="W7" t="s">
        <v>4</v>
      </c>
      <c r="X7" t="s">
        <v>3</v>
      </c>
      <c r="Y7" t="s">
        <v>2</v>
      </c>
      <c r="Z7" t="s">
        <v>3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3</v>
      </c>
      <c r="AH7" t="s">
        <v>4</v>
      </c>
      <c r="AI7" t="s">
        <v>3</v>
      </c>
      <c r="AJ7" t="s">
        <v>4</v>
      </c>
      <c r="AK7" t="s">
        <v>4</v>
      </c>
      <c r="AL7" t="s">
        <v>4</v>
      </c>
      <c r="AM7" t="s">
        <v>3</v>
      </c>
      <c r="AV7" s="22"/>
      <c r="AW7" s="22"/>
      <c r="AX7" s="22"/>
      <c r="AY7" s="22"/>
      <c r="BG7" s="22"/>
      <c r="BI7" t="s">
        <v>358</v>
      </c>
    </row>
    <row r="8" spans="1:98" x14ac:dyDescent="0.3">
      <c r="A8">
        <v>7</v>
      </c>
      <c r="B8" t="s">
        <v>316</v>
      </c>
      <c r="C8">
        <v>1</v>
      </c>
      <c r="D8" t="s">
        <v>3</v>
      </c>
      <c r="E8" t="s">
        <v>3</v>
      </c>
      <c r="F8" t="s">
        <v>4</v>
      </c>
      <c r="G8" t="s">
        <v>3</v>
      </c>
      <c r="H8" t="s">
        <v>5</v>
      </c>
      <c r="I8" t="s">
        <v>5</v>
      </c>
      <c r="J8" t="s">
        <v>2</v>
      </c>
      <c r="K8" t="s">
        <v>2</v>
      </c>
      <c r="L8" t="s">
        <v>3</v>
      </c>
      <c r="M8" t="s">
        <v>3</v>
      </c>
      <c r="N8" t="s">
        <v>4</v>
      </c>
      <c r="O8" t="s">
        <v>5</v>
      </c>
      <c r="P8" t="s">
        <v>5</v>
      </c>
      <c r="Q8" t="s">
        <v>3</v>
      </c>
      <c r="R8" t="s">
        <v>2</v>
      </c>
      <c r="S8" t="s">
        <v>2</v>
      </c>
      <c r="T8" t="s">
        <v>2</v>
      </c>
      <c r="U8" t="s">
        <v>2</v>
      </c>
      <c r="V8" t="s">
        <v>5</v>
      </c>
      <c r="W8" t="s">
        <v>4</v>
      </c>
      <c r="X8" t="s">
        <v>4</v>
      </c>
      <c r="Y8" t="s">
        <v>4</v>
      </c>
      <c r="Z8" t="s">
        <v>3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3</v>
      </c>
      <c r="AH8" t="s">
        <v>4</v>
      </c>
      <c r="AI8" t="s">
        <v>3</v>
      </c>
      <c r="AJ8" t="s">
        <v>4</v>
      </c>
      <c r="AK8" t="s">
        <v>4</v>
      </c>
      <c r="AL8" t="s">
        <v>3</v>
      </c>
      <c r="AM8" t="s">
        <v>3</v>
      </c>
      <c r="AT8" t="s">
        <v>71</v>
      </c>
      <c r="AU8">
        <v>1</v>
      </c>
      <c r="AV8">
        <v>2</v>
      </c>
      <c r="AW8">
        <v>3</v>
      </c>
      <c r="AX8">
        <v>4</v>
      </c>
      <c r="AY8">
        <v>5</v>
      </c>
      <c r="AZ8">
        <v>6</v>
      </c>
      <c r="BG8" s="22"/>
      <c r="BI8" s="3" t="s">
        <v>355</v>
      </c>
      <c r="BJ8">
        <f>AV19*AU29*AU34*AU39*AU48*AU54*AU60*AU65*AU71*AU76*AU83*AU87*AU95*AU102*AU106*AU112*AU120*AU126*AU132*AU137*AU141*AU148*AU153*AU159*AU163*AU167*AU171*AU175*AU179*AU184*AU187*AU191*AU196*AU199*AU203*AU207*AU212</f>
        <v>0</v>
      </c>
    </row>
    <row r="9" spans="1:98" x14ac:dyDescent="0.3">
      <c r="A9">
        <v>8</v>
      </c>
      <c r="B9" t="s">
        <v>317</v>
      </c>
      <c r="C9">
        <v>1</v>
      </c>
      <c r="D9" t="s">
        <v>3</v>
      </c>
      <c r="E9" t="s">
        <v>5</v>
      </c>
      <c r="F9" t="s">
        <v>3</v>
      </c>
      <c r="G9" t="s">
        <v>5</v>
      </c>
      <c r="H9" t="s">
        <v>5</v>
      </c>
      <c r="I9" t="s">
        <v>5</v>
      </c>
      <c r="J9" t="s">
        <v>5</v>
      </c>
      <c r="K9" t="s">
        <v>2</v>
      </c>
      <c r="L9" t="s">
        <v>3</v>
      </c>
      <c r="M9" t="s">
        <v>3</v>
      </c>
      <c r="N9" t="s">
        <v>3</v>
      </c>
      <c r="O9" t="s">
        <v>4</v>
      </c>
      <c r="P9" t="s">
        <v>5</v>
      </c>
      <c r="Q9" t="s">
        <v>3</v>
      </c>
      <c r="R9" t="s">
        <v>4</v>
      </c>
      <c r="S9" t="s">
        <v>5</v>
      </c>
      <c r="T9" t="s">
        <v>5</v>
      </c>
      <c r="U9" t="s">
        <v>5</v>
      </c>
      <c r="V9" t="s">
        <v>3</v>
      </c>
      <c r="W9" t="s">
        <v>4</v>
      </c>
      <c r="X9" t="s">
        <v>3</v>
      </c>
      <c r="Y9" t="s">
        <v>2</v>
      </c>
      <c r="Z9" t="s">
        <v>3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3</v>
      </c>
      <c r="AH9" t="s">
        <v>4</v>
      </c>
      <c r="AI9" t="s">
        <v>3</v>
      </c>
      <c r="AJ9" t="s">
        <v>4</v>
      </c>
      <c r="AK9" t="s">
        <v>4</v>
      </c>
      <c r="AL9" t="s">
        <v>4</v>
      </c>
      <c r="AM9" t="s">
        <v>3</v>
      </c>
      <c r="AR9" t="s">
        <v>40</v>
      </c>
      <c r="AU9" s="22">
        <v>10</v>
      </c>
      <c r="AV9" s="22">
        <v>10</v>
      </c>
      <c r="AW9" s="22">
        <v>10</v>
      </c>
      <c r="AX9" s="22">
        <v>10</v>
      </c>
      <c r="AY9" s="22">
        <v>10</v>
      </c>
      <c r="AZ9" s="22">
        <v>10</v>
      </c>
      <c r="BG9" s="22"/>
      <c r="BI9" t="s">
        <v>359</v>
      </c>
    </row>
    <row r="10" spans="1:98" x14ac:dyDescent="0.3">
      <c r="A10">
        <v>9</v>
      </c>
      <c r="B10" t="s">
        <v>318</v>
      </c>
      <c r="C10">
        <v>1</v>
      </c>
      <c r="D10" t="s">
        <v>3</v>
      </c>
      <c r="E10" t="s">
        <v>3</v>
      </c>
      <c r="F10" t="s">
        <v>2</v>
      </c>
      <c r="G10" t="s">
        <v>3</v>
      </c>
      <c r="H10" t="s">
        <v>5</v>
      </c>
      <c r="I10" t="s">
        <v>5</v>
      </c>
      <c r="J10" t="s">
        <v>5</v>
      </c>
      <c r="K10" t="s">
        <v>2</v>
      </c>
      <c r="L10" t="s">
        <v>2</v>
      </c>
      <c r="M10" t="s">
        <v>2</v>
      </c>
      <c r="N10" t="s">
        <v>3</v>
      </c>
      <c r="O10" t="s">
        <v>2</v>
      </c>
      <c r="P10" t="s">
        <v>5</v>
      </c>
      <c r="Q10" t="s">
        <v>3</v>
      </c>
      <c r="R10" t="s">
        <v>3</v>
      </c>
      <c r="S10" t="s">
        <v>5</v>
      </c>
      <c r="T10" t="s">
        <v>5</v>
      </c>
      <c r="U10" t="s">
        <v>5</v>
      </c>
      <c r="V10" t="s">
        <v>2</v>
      </c>
      <c r="W10" t="s">
        <v>4</v>
      </c>
      <c r="X10" t="s">
        <v>3</v>
      </c>
      <c r="Y10" t="s">
        <v>4</v>
      </c>
      <c r="Z10" t="s">
        <v>3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3</v>
      </c>
      <c r="AH10" t="s">
        <v>4</v>
      </c>
      <c r="AI10" t="s">
        <v>3</v>
      </c>
      <c r="AJ10" t="s">
        <v>4</v>
      </c>
      <c r="AK10" t="s">
        <v>4</v>
      </c>
      <c r="AL10" t="s">
        <v>4</v>
      </c>
      <c r="AM10" t="s">
        <v>3</v>
      </c>
      <c r="AR10" t="s">
        <v>41</v>
      </c>
      <c r="AZ10"/>
      <c r="BG10" s="22"/>
      <c r="BI10" s="3" t="s">
        <v>355</v>
      </c>
      <c r="BJ10">
        <f>AV20*AV29*AV34*AV39*AV48*AV54*AV60*AV65*AV71*AV76*AV83*AV87*AV95*AV102*AV106*AV112*AV120*AV126*AV132*AV137*AV141*AV148*AV153*AV159*AV163*AV167*AV171*AV175*AV179*AV184*AV187*AV191*AV196*AV199*AV203*AV207*AV212</f>
        <v>0</v>
      </c>
    </row>
    <row r="11" spans="1:98" x14ac:dyDescent="0.3">
      <c r="A11">
        <v>10</v>
      </c>
      <c r="B11" t="s">
        <v>319</v>
      </c>
      <c r="C11">
        <v>1</v>
      </c>
      <c r="D11" t="s">
        <v>3</v>
      </c>
      <c r="E11" t="s">
        <v>5</v>
      </c>
      <c r="F11" t="s">
        <v>2</v>
      </c>
      <c r="G11" t="s">
        <v>5</v>
      </c>
      <c r="H11" t="s">
        <v>5</v>
      </c>
      <c r="I11" t="s">
        <v>5</v>
      </c>
      <c r="J11" t="s">
        <v>5</v>
      </c>
      <c r="K11" t="s">
        <v>2</v>
      </c>
      <c r="L11" t="s">
        <v>3</v>
      </c>
      <c r="M11" t="s">
        <v>3</v>
      </c>
      <c r="N11" t="s">
        <v>2</v>
      </c>
      <c r="O11" t="s">
        <v>4</v>
      </c>
      <c r="P11" t="s">
        <v>4</v>
      </c>
      <c r="Q11" t="s">
        <v>3</v>
      </c>
      <c r="R11" t="s">
        <v>4</v>
      </c>
      <c r="S11" t="s">
        <v>2</v>
      </c>
      <c r="T11" t="s">
        <v>2</v>
      </c>
      <c r="U11" t="s">
        <v>2</v>
      </c>
      <c r="V11" t="s">
        <v>5</v>
      </c>
      <c r="W11" t="s">
        <v>4</v>
      </c>
      <c r="X11" t="s">
        <v>4</v>
      </c>
      <c r="Y11" t="s">
        <v>2</v>
      </c>
      <c r="Z11" t="s">
        <v>3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3</v>
      </c>
      <c r="AH11" t="s">
        <v>4</v>
      </c>
      <c r="AI11" t="s">
        <v>3</v>
      </c>
      <c r="AJ11" t="s">
        <v>4</v>
      </c>
      <c r="AK11" t="s">
        <v>4</v>
      </c>
      <c r="AL11" t="s">
        <v>4</v>
      </c>
      <c r="AM11" t="s">
        <v>3</v>
      </c>
      <c r="AR11" t="s">
        <v>42</v>
      </c>
      <c r="AZ11"/>
      <c r="BG11" s="22"/>
      <c r="BI11" t="s">
        <v>360</v>
      </c>
    </row>
    <row r="12" spans="1:98" x14ac:dyDescent="0.3">
      <c r="A12">
        <v>11</v>
      </c>
      <c r="B12" t="s">
        <v>11</v>
      </c>
      <c r="C12">
        <v>2</v>
      </c>
      <c r="D12" t="s">
        <v>4</v>
      </c>
      <c r="E12" s="5" t="s">
        <v>5</v>
      </c>
      <c r="F12" t="s">
        <v>3</v>
      </c>
      <c r="G12" t="s">
        <v>3</v>
      </c>
      <c r="H12" t="s">
        <v>5</v>
      </c>
      <c r="I12" t="s">
        <v>5</v>
      </c>
      <c r="J12" t="s">
        <v>5</v>
      </c>
      <c r="K12" t="s">
        <v>2</v>
      </c>
      <c r="L12" t="s">
        <v>2</v>
      </c>
      <c r="M12" t="s">
        <v>3</v>
      </c>
      <c r="N12" t="s">
        <v>4</v>
      </c>
      <c r="O12" t="s">
        <v>2</v>
      </c>
      <c r="P12" t="s">
        <v>5</v>
      </c>
      <c r="Q12" t="s">
        <v>3</v>
      </c>
      <c r="R12" t="s">
        <v>4</v>
      </c>
      <c r="S12" t="s">
        <v>5</v>
      </c>
      <c r="T12" t="s">
        <v>5</v>
      </c>
      <c r="U12" t="s">
        <v>5</v>
      </c>
      <c r="V12" t="s">
        <v>4</v>
      </c>
      <c r="W12" t="s">
        <v>4</v>
      </c>
      <c r="X12" t="s">
        <v>4</v>
      </c>
      <c r="Y12" t="s">
        <v>4</v>
      </c>
      <c r="Z12" t="s">
        <v>3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3</v>
      </c>
      <c r="AH12" t="s">
        <v>4</v>
      </c>
      <c r="AI12" t="s">
        <v>4</v>
      </c>
      <c r="AJ12" t="s">
        <v>4</v>
      </c>
      <c r="AK12" t="s">
        <v>4</v>
      </c>
      <c r="AL12" t="s">
        <v>3</v>
      </c>
      <c r="AM12" t="s">
        <v>3</v>
      </c>
      <c r="AR12" t="s">
        <v>43</v>
      </c>
      <c r="AZ12"/>
      <c r="BG12" s="22"/>
      <c r="BI12" s="3" t="s">
        <v>355</v>
      </c>
      <c r="BJ12">
        <f>AV21*AW29*AW34*AW39*AW48*AW54*AW60*AW65*AW71*AW76*AW83*AW87*AW95*AW102*AW106*AW112*AW120*AW126*AW132*AW137*AW141*AW148*AW153*AW159*AW163*AW167*AW171*AW175*AW179*AW184*AW187*AW191*AW196*AW199*AW203*AW207*AW212</f>
        <v>0</v>
      </c>
    </row>
    <row r="13" spans="1:98" x14ac:dyDescent="0.3">
      <c r="A13">
        <v>12</v>
      </c>
      <c r="B13" t="s">
        <v>12</v>
      </c>
      <c r="C13">
        <v>2</v>
      </c>
      <c r="D13" t="s">
        <v>5</v>
      </c>
      <c r="E13" t="s">
        <v>3</v>
      </c>
      <c r="F13" t="s">
        <v>4</v>
      </c>
      <c r="G13" t="s">
        <v>3</v>
      </c>
      <c r="H13" t="s">
        <v>5</v>
      </c>
      <c r="I13" t="s">
        <v>5</v>
      </c>
      <c r="J13" t="s">
        <v>3</v>
      </c>
      <c r="K13" t="s">
        <v>4</v>
      </c>
      <c r="L13" t="s">
        <v>3</v>
      </c>
      <c r="M13" t="s">
        <v>3</v>
      </c>
      <c r="N13" t="s">
        <v>4</v>
      </c>
      <c r="O13" t="s">
        <v>4</v>
      </c>
      <c r="P13" t="s">
        <v>5</v>
      </c>
      <c r="Q13" t="s">
        <v>3</v>
      </c>
      <c r="R13" t="s">
        <v>4</v>
      </c>
      <c r="S13" t="s">
        <v>5</v>
      </c>
      <c r="T13" t="s">
        <v>5</v>
      </c>
      <c r="U13" t="s">
        <v>5</v>
      </c>
      <c r="V13" t="s">
        <v>4</v>
      </c>
      <c r="W13" t="s">
        <v>4</v>
      </c>
      <c r="X13" t="s">
        <v>4</v>
      </c>
      <c r="Y13" t="s">
        <v>4</v>
      </c>
      <c r="Z13" t="s">
        <v>3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3</v>
      </c>
      <c r="AH13" t="s">
        <v>4</v>
      </c>
      <c r="AI13" t="s">
        <v>3</v>
      </c>
      <c r="AJ13" t="s">
        <v>4</v>
      </c>
      <c r="AK13" t="s">
        <v>4</v>
      </c>
      <c r="AL13" t="s">
        <v>4</v>
      </c>
      <c r="AM13" t="s">
        <v>3</v>
      </c>
      <c r="AR13" t="s">
        <v>44</v>
      </c>
      <c r="AZ13"/>
      <c r="BG13" s="22"/>
      <c r="BI13" t="s">
        <v>361</v>
      </c>
    </row>
    <row r="14" spans="1:98" x14ac:dyDescent="0.3">
      <c r="A14">
        <v>13</v>
      </c>
      <c r="B14" t="s">
        <v>13</v>
      </c>
      <c r="C14">
        <v>2</v>
      </c>
      <c r="D14" t="s">
        <v>5</v>
      </c>
      <c r="E14" t="s">
        <v>5</v>
      </c>
      <c r="F14" t="s">
        <v>2</v>
      </c>
      <c r="G14" t="s">
        <v>2</v>
      </c>
      <c r="H14" t="s">
        <v>5</v>
      </c>
      <c r="I14" t="s">
        <v>5</v>
      </c>
      <c r="J14" t="s">
        <v>2</v>
      </c>
      <c r="K14" t="s">
        <v>2</v>
      </c>
      <c r="L14" t="s">
        <v>2</v>
      </c>
      <c r="M14" t="s">
        <v>4</v>
      </c>
      <c r="N14" t="s">
        <v>4</v>
      </c>
      <c r="O14" t="s">
        <v>4</v>
      </c>
      <c r="P14" t="s">
        <v>5</v>
      </c>
      <c r="Q14" t="s">
        <v>4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4</v>
      </c>
      <c r="X14" t="s">
        <v>3</v>
      </c>
      <c r="Y14" t="s">
        <v>2</v>
      </c>
      <c r="Z14" t="s">
        <v>3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3</v>
      </c>
      <c r="AJ14" t="s">
        <v>4</v>
      </c>
      <c r="AK14" t="s">
        <v>4</v>
      </c>
      <c r="AL14" t="s">
        <v>4</v>
      </c>
      <c r="AM14" t="s">
        <v>4</v>
      </c>
      <c r="AR14" t="s">
        <v>46</v>
      </c>
      <c r="AZ14"/>
      <c r="BG14" s="22"/>
      <c r="BI14" s="3" t="s">
        <v>355</v>
      </c>
      <c r="BJ14">
        <f>AV22*AX29*AX34*AX39*AX48*AX54*AX60*AX65*AX71*AX76*AX83*AX87*AX95*AX102*AX106*AX112*AX120*AX126*AX132*AX137*AX141*AX148*AX153*AX159*AX163*AX167*AX171*AX175*AX179*AX184*AX187*AX191*AX196*AX199*AX203*AX207*AX212</f>
        <v>0</v>
      </c>
    </row>
    <row r="15" spans="1:98" x14ac:dyDescent="0.3">
      <c r="A15">
        <v>14</v>
      </c>
      <c r="B15" t="s">
        <v>14</v>
      </c>
      <c r="C15">
        <v>2</v>
      </c>
      <c r="D15" t="s">
        <v>5</v>
      </c>
      <c r="E15" t="s">
        <v>5</v>
      </c>
      <c r="F15" t="s">
        <v>3</v>
      </c>
      <c r="G15" t="s">
        <v>5</v>
      </c>
      <c r="H15" t="s">
        <v>5</v>
      </c>
      <c r="I15" t="s">
        <v>5</v>
      </c>
      <c r="J15" t="s">
        <v>5</v>
      </c>
      <c r="K15" t="s">
        <v>2</v>
      </c>
      <c r="L15" t="s">
        <v>2</v>
      </c>
      <c r="M15" t="s">
        <v>4</v>
      </c>
      <c r="N15" t="s">
        <v>4</v>
      </c>
      <c r="O15" t="s">
        <v>2</v>
      </c>
      <c r="P15" t="s">
        <v>5</v>
      </c>
      <c r="Q15" t="s">
        <v>4</v>
      </c>
      <c r="R15" t="s">
        <v>2</v>
      </c>
      <c r="S15" t="s">
        <v>5</v>
      </c>
      <c r="T15" t="s">
        <v>3</v>
      </c>
      <c r="U15" t="s">
        <v>4</v>
      </c>
      <c r="V15" t="s">
        <v>5</v>
      </c>
      <c r="W15" t="s">
        <v>2</v>
      </c>
      <c r="X15" t="s">
        <v>4</v>
      </c>
      <c r="Y15" t="s">
        <v>4</v>
      </c>
      <c r="Z15" t="s">
        <v>3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3</v>
      </c>
      <c r="AH15" t="s">
        <v>4</v>
      </c>
      <c r="AI15" t="s">
        <v>3</v>
      </c>
      <c r="AJ15" t="s">
        <v>4</v>
      </c>
      <c r="AK15" t="s">
        <v>4</v>
      </c>
      <c r="AL15" t="s">
        <v>4</v>
      </c>
      <c r="AM15" t="s">
        <v>3</v>
      </c>
      <c r="AR15" t="s">
        <v>45</v>
      </c>
      <c r="AZ15"/>
      <c r="BG15" s="22"/>
      <c r="BI15" t="s">
        <v>362</v>
      </c>
    </row>
    <row r="16" spans="1:98" x14ac:dyDescent="0.3">
      <c r="A16">
        <v>15</v>
      </c>
      <c r="B16" t="s">
        <v>15</v>
      </c>
      <c r="C16">
        <v>2</v>
      </c>
      <c r="D16" t="s">
        <v>2</v>
      </c>
      <c r="E16" t="s">
        <v>5</v>
      </c>
      <c r="F16" t="s">
        <v>4</v>
      </c>
      <c r="G16" t="s">
        <v>5</v>
      </c>
      <c r="H16" t="s">
        <v>5</v>
      </c>
      <c r="I16" t="s">
        <v>5</v>
      </c>
      <c r="J16" t="s">
        <v>2</v>
      </c>
      <c r="K16" t="s">
        <v>2</v>
      </c>
      <c r="L16" t="s">
        <v>3</v>
      </c>
      <c r="M16" t="s">
        <v>4</v>
      </c>
      <c r="N16" t="s">
        <v>4</v>
      </c>
      <c r="O16" t="s">
        <v>5</v>
      </c>
      <c r="P16" t="s">
        <v>5</v>
      </c>
      <c r="Q16" t="s">
        <v>4</v>
      </c>
      <c r="R16" t="s">
        <v>5</v>
      </c>
      <c r="S16" t="s">
        <v>5</v>
      </c>
      <c r="T16" t="s">
        <v>2</v>
      </c>
      <c r="U16" t="s">
        <v>5</v>
      </c>
      <c r="V16" t="s">
        <v>5</v>
      </c>
      <c r="W16" t="s">
        <v>4</v>
      </c>
      <c r="X16" t="s">
        <v>4</v>
      </c>
      <c r="Y16" t="s">
        <v>4</v>
      </c>
      <c r="Z16" t="s">
        <v>3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3</v>
      </c>
      <c r="AH16" t="s">
        <v>4</v>
      </c>
      <c r="AI16" t="s">
        <v>3</v>
      </c>
      <c r="AJ16" t="s">
        <v>4</v>
      </c>
      <c r="AK16" t="s">
        <v>4</v>
      </c>
      <c r="AL16" t="s">
        <v>4</v>
      </c>
      <c r="AM16" t="s">
        <v>3</v>
      </c>
      <c r="AZ16"/>
      <c r="BG16" s="22"/>
      <c r="BI16" s="3" t="s">
        <v>355</v>
      </c>
      <c r="BJ16">
        <f>AV23*AY29*AY34*AY39*AY48*AY54*AY60*AY65*AY71*AY76*AY83*AY87*AY95*AY102*AY106*AY112*AY120*AY126*AY132*AY137*AY141*AY148*AY153*AY159*AY163*AY167*AY171*AY175*AY179*AY184*AY187*AY191*AY196*AY199*AY203*AY207*AY212</f>
        <v>0</v>
      </c>
    </row>
    <row r="17" spans="1:98" x14ac:dyDescent="0.3">
      <c r="A17">
        <v>16</v>
      </c>
      <c r="B17" t="s">
        <v>16</v>
      </c>
      <c r="C17">
        <v>2</v>
      </c>
      <c r="D17" t="s">
        <v>5</v>
      </c>
      <c r="E17" t="s">
        <v>5</v>
      </c>
      <c r="F17" t="s">
        <v>3</v>
      </c>
      <c r="G17" t="s">
        <v>5</v>
      </c>
      <c r="H17" t="s">
        <v>5</v>
      </c>
      <c r="I17" t="s">
        <v>5</v>
      </c>
      <c r="J17" t="s">
        <v>2</v>
      </c>
      <c r="K17" t="s">
        <v>2</v>
      </c>
      <c r="L17" t="s">
        <v>3</v>
      </c>
      <c r="M17" t="s">
        <v>2</v>
      </c>
      <c r="N17" t="s">
        <v>2</v>
      </c>
      <c r="O17" t="s">
        <v>3</v>
      </c>
      <c r="P17" t="s">
        <v>5</v>
      </c>
      <c r="Q17" t="s">
        <v>3</v>
      </c>
      <c r="R17" t="s">
        <v>4</v>
      </c>
      <c r="S17" t="s">
        <v>5</v>
      </c>
      <c r="T17" t="s">
        <v>5</v>
      </c>
      <c r="U17" t="s">
        <v>5</v>
      </c>
      <c r="V17" t="s">
        <v>5</v>
      </c>
      <c r="W17" t="s">
        <v>4</v>
      </c>
      <c r="X17" t="s">
        <v>4</v>
      </c>
      <c r="Y17" t="s">
        <v>2</v>
      </c>
      <c r="Z17" t="s">
        <v>3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3</v>
      </c>
      <c r="AH17" t="s">
        <v>4</v>
      </c>
      <c r="AI17" t="s">
        <v>4</v>
      </c>
      <c r="AJ17" t="s">
        <v>4</v>
      </c>
      <c r="AK17" t="s">
        <v>4</v>
      </c>
      <c r="AL17" t="s">
        <v>3</v>
      </c>
      <c r="AM17" t="s">
        <v>4</v>
      </c>
      <c r="AR17" s="5" t="s">
        <v>48</v>
      </c>
      <c r="AS17" s="5"/>
      <c r="AZ17"/>
      <c r="BG17" s="22"/>
      <c r="BI17" s="24" t="s">
        <v>380</v>
      </c>
      <c r="BJ17" t="s">
        <v>378</v>
      </c>
      <c r="BK17" s="25" t="s">
        <v>379</v>
      </c>
    </row>
    <row r="18" spans="1:98" x14ac:dyDescent="0.3">
      <c r="A18">
        <v>17</v>
      </c>
      <c r="B18" t="s">
        <v>320</v>
      </c>
      <c r="C18">
        <v>2</v>
      </c>
      <c r="D18" t="s">
        <v>4</v>
      </c>
      <c r="E18" t="s">
        <v>5</v>
      </c>
      <c r="F18" t="s">
        <v>2</v>
      </c>
      <c r="G18" t="s">
        <v>5</v>
      </c>
      <c r="H18" t="s">
        <v>5</v>
      </c>
      <c r="I18" t="s">
        <v>5</v>
      </c>
      <c r="J18" t="s">
        <v>5</v>
      </c>
      <c r="K18" t="s">
        <v>2</v>
      </c>
      <c r="L18" t="s">
        <v>3</v>
      </c>
      <c r="M18" t="s">
        <v>2</v>
      </c>
      <c r="N18" t="s">
        <v>3</v>
      </c>
      <c r="O18" t="s">
        <v>5</v>
      </c>
      <c r="P18" t="s">
        <v>5</v>
      </c>
      <c r="Q18" t="s">
        <v>3</v>
      </c>
      <c r="R18" t="s">
        <v>3</v>
      </c>
      <c r="S18" t="s">
        <v>5</v>
      </c>
      <c r="T18" t="s">
        <v>5</v>
      </c>
      <c r="U18" t="s">
        <v>5</v>
      </c>
      <c r="V18" t="s">
        <v>5</v>
      </c>
      <c r="W18" t="s">
        <v>4</v>
      </c>
      <c r="X18" t="s">
        <v>3</v>
      </c>
      <c r="Y18" t="s">
        <v>2</v>
      </c>
      <c r="Z18" t="s">
        <v>3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3</v>
      </c>
      <c r="AH18" t="s">
        <v>4</v>
      </c>
      <c r="AI18" t="s">
        <v>3</v>
      </c>
      <c r="AJ18" t="s">
        <v>4</v>
      </c>
      <c r="AK18" t="s">
        <v>4</v>
      </c>
      <c r="AL18" t="s">
        <v>3</v>
      </c>
      <c r="AM18" t="s">
        <v>3</v>
      </c>
      <c r="AS18" t="s">
        <v>372</v>
      </c>
      <c r="AT18">
        <v>10</v>
      </c>
      <c r="AU18" t="s">
        <v>340</v>
      </c>
      <c r="AV18">
        <f>AU9/AT6</f>
        <v>0.16666666666666666</v>
      </c>
      <c r="AX18" t="s">
        <v>429</v>
      </c>
      <c r="AZ18"/>
      <c r="BG18" s="22"/>
    </row>
    <row r="19" spans="1:98" x14ac:dyDescent="0.3">
      <c r="A19">
        <v>18</v>
      </c>
      <c r="B19" t="s">
        <v>321</v>
      </c>
      <c r="C19">
        <v>2</v>
      </c>
      <c r="D19" t="s">
        <v>3</v>
      </c>
      <c r="E19" t="s">
        <v>5</v>
      </c>
      <c r="F19" t="s">
        <v>3</v>
      </c>
      <c r="G19" t="s">
        <v>5</v>
      </c>
      <c r="H19" t="s">
        <v>5</v>
      </c>
      <c r="I19" t="s">
        <v>5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5</v>
      </c>
      <c r="Q19" t="s">
        <v>3</v>
      </c>
      <c r="R19" t="s">
        <v>3</v>
      </c>
      <c r="S19" t="s">
        <v>5</v>
      </c>
      <c r="T19" t="s">
        <v>5</v>
      </c>
      <c r="U19" t="s">
        <v>5</v>
      </c>
      <c r="V19" t="s">
        <v>5</v>
      </c>
      <c r="W19" t="s">
        <v>4</v>
      </c>
      <c r="X19" t="s">
        <v>4</v>
      </c>
      <c r="Y19" t="s">
        <v>4</v>
      </c>
      <c r="Z19" t="s">
        <v>3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t="s">
        <v>4</v>
      </c>
      <c r="AG19" t="s">
        <v>3</v>
      </c>
      <c r="AH19" t="s">
        <v>4</v>
      </c>
      <c r="AI19" t="s">
        <v>3</v>
      </c>
      <c r="AJ19" t="s">
        <v>4</v>
      </c>
      <c r="AK19" t="s">
        <v>4</v>
      </c>
      <c r="AL19" t="s">
        <v>4</v>
      </c>
      <c r="AM19" t="s">
        <v>3</v>
      </c>
      <c r="AS19" t="s">
        <v>373</v>
      </c>
      <c r="AT19">
        <v>10</v>
      </c>
      <c r="AU19" t="s">
        <v>340</v>
      </c>
      <c r="AV19">
        <f>AV9/AT6</f>
        <v>0.16666666666666666</v>
      </c>
      <c r="AX19" t="s">
        <v>430</v>
      </c>
      <c r="AZ19"/>
      <c r="BG19" s="22"/>
      <c r="BI19" s="53" t="s">
        <v>363</v>
      </c>
      <c r="BJ19" s="24" t="s">
        <v>71</v>
      </c>
      <c r="BK19" s="1" t="s">
        <v>50</v>
      </c>
      <c r="BL19" s="1" t="s">
        <v>51</v>
      </c>
      <c r="BM19" s="1" t="s">
        <v>52</v>
      </c>
      <c r="BN19" s="1" t="s">
        <v>53</v>
      </c>
      <c r="BO19" s="1" t="s">
        <v>54</v>
      </c>
      <c r="BP19" s="1" t="s">
        <v>55</v>
      </c>
      <c r="BQ19" s="1" t="s">
        <v>56</v>
      </c>
      <c r="BR19" s="1" t="s">
        <v>57</v>
      </c>
      <c r="BS19" s="1" t="s">
        <v>58</v>
      </c>
      <c r="BT19" s="1" t="s">
        <v>59</v>
      </c>
      <c r="BU19" s="1" t="s">
        <v>60</v>
      </c>
      <c r="BV19" s="1" t="s">
        <v>61</v>
      </c>
      <c r="BW19" s="1" t="s">
        <v>62</v>
      </c>
      <c r="BX19" s="1" t="s">
        <v>63</v>
      </c>
      <c r="BY19" s="1" t="s">
        <v>64</v>
      </c>
      <c r="BZ19" s="1" t="s">
        <v>65</v>
      </c>
      <c r="CA19" s="1" t="s">
        <v>66</v>
      </c>
      <c r="CB19" s="1" t="s">
        <v>67</v>
      </c>
      <c r="CC19" s="1" t="s">
        <v>68</v>
      </c>
      <c r="CD19" s="1" t="s">
        <v>69</v>
      </c>
      <c r="CE19" s="1" t="s">
        <v>70</v>
      </c>
      <c r="CF19" s="1" t="s">
        <v>929</v>
      </c>
      <c r="CG19" s="1" t="s">
        <v>930</v>
      </c>
      <c r="CH19" s="1" t="s">
        <v>931</v>
      </c>
      <c r="CI19" s="1" t="s">
        <v>932</v>
      </c>
      <c r="CJ19" s="1" t="s">
        <v>933</v>
      </c>
      <c r="CK19" s="1" t="s">
        <v>934</v>
      </c>
      <c r="CL19" s="1" t="s">
        <v>935</v>
      </c>
      <c r="CM19" s="1" t="s">
        <v>936</v>
      </c>
      <c r="CN19" s="1" t="s">
        <v>937</v>
      </c>
      <c r="CO19" s="1" t="s">
        <v>938</v>
      </c>
      <c r="CP19" s="1" t="s">
        <v>939</v>
      </c>
      <c r="CQ19" s="1" t="s">
        <v>940</v>
      </c>
      <c r="CR19" s="1" t="s">
        <v>941</v>
      </c>
      <c r="CS19" s="1" t="s">
        <v>942</v>
      </c>
      <c r="CT19" s="1" t="s">
        <v>1008</v>
      </c>
    </row>
    <row r="20" spans="1:98" x14ac:dyDescent="0.3">
      <c r="A20">
        <v>19</v>
      </c>
      <c r="B20" t="s">
        <v>322</v>
      </c>
      <c r="C20">
        <v>2</v>
      </c>
      <c r="D20" t="s">
        <v>5</v>
      </c>
      <c r="E20" t="s">
        <v>3</v>
      </c>
      <c r="F20" t="s">
        <v>2</v>
      </c>
      <c r="G20" t="s">
        <v>2</v>
      </c>
      <c r="H20" t="s">
        <v>5</v>
      </c>
      <c r="I20" t="s">
        <v>5</v>
      </c>
      <c r="J20" t="s">
        <v>5</v>
      </c>
      <c r="K20" t="s">
        <v>2</v>
      </c>
      <c r="L20" t="s">
        <v>2</v>
      </c>
      <c r="M20" t="s">
        <v>2</v>
      </c>
      <c r="N20" t="s">
        <v>3</v>
      </c>
      <c r="O20" t="s">
        <v>2</v>
      </c>
      <c r="P20" t="s">
        <v>5</v>
      </c>
      <c r="Q20" t="s">
        <v>3</v>
      </c>
      <c r="R20" t="s">
        <v>2</v>
      </c>
      <c r="S20" t="s">
        <v>5</v>
      </c>
      <c r="T20" t="s">
        <v>2</v>
      </c>
      <c r="U20" t="s">
        <v>2</v>
      </c>
      <c r="V20" t="s">
        <v>2</v>
      </c>
      <c r="W20" t="s">
        <v>4</v>
      </c>
      <c r="X20" t="s">
        <v>4</v>
      </c>
      <c r="Y20" t="s">
        <v>4</v>
      </c>
      <c r="Z20" t="s">
        <v>3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  <c r="AF20" t="s">
        <v>4</v>
      </c>
      <c r="AG20" t="s">
        <v>3</v>
      </c>
      <c r="AH20" t="s">
        <v>4</v>
      </c>
      <c r="AI20" t="s">
        <v>3</v>
      </c>
      <c r="AJ20" t="s">
        <v>4</v>
      </c>
      <c r="AK20" t="s">
        <v>4</v>
      </c>
      <c r="AL20" t="s">
        <v>3</v>
      </c>
      <c r="AM20" t="s">
        <v>3</v>
      </c>
      <c r="AS20" t="s">
        <v>374</v>
      </c>
      <c r="AT20">
        <v>10</v>
      </c>
      <c r="AU20" t="s">
        <v>340</v>
      </c>
      <c r="AV20">
        <f>AW9/AT6</f>
        <v>0.16666666666666666</v>
      </c>
      <c r="AX20" t="s">
        <v>431</v>
      </c>
      <c r="AZ20"/>
      <c r="BG20" s="22"/>
      <c r="BI20" s="53"/>
      <c r="BJ20" s="24">
        <v>1</v>
      </c>
      <c r="BK20" t="s">
        <v>5</v>
      </c>
      <c r="BL20" t="s">
        <v>3</v>
      </c>
      <c r="BM20" t="s">
        <v>2</v>
      </c>
      <c r="BN20" t="s">
        <v>3</v>
      </c>
      <c r="BO20" t="s">
        <v>5</v>
      </c>
      <c r="BP20" t="s">
        <v>3</v>
      </c>
      <c r="BQ20" t="s">
        <v>5</v>
      </c>
      <c r="BR20" t="s">
        <v>2</v>
      </c>
      <c r="BS20" t="s">
        <v>2</v>
      </c>
      <c r="BT20" t="s">
        <v>3</v>
      </c>
      <c r="BU20" t="s">
        <v>3</v>
      </c>
      <c r="BV20" t="s">
        <v>4</v>
      </c>
      <c r="BW20" t="s">
        <v>5</v>
      </c>
      <c r="BX20" t="s">
        <v>3</v>
      </c>
      <c r="BY20" t="s">
        <v>3</v>
      </c>
      <c r="BZ20" t="s">
        <v>5</v>
      </c>
      <c r="CA20" t="s">
        <v>5</v>
      </c>
      <c r="CB20" t="s">
        <v>5</v>
      </c>
      <c r="CC20" t="s">
        <v>4</v>
      </c>
      <c r="CD20" t="s">
        <v>4</v>
      </c>
      <c r="CE20" t="s">
        <v>4</v>
      </c>
      <c r="CF20" t="s">
        <v>5</v>
      </c>
      <c r="CG20" t="s">
        <v>3</v>
      </c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t="s">
        <v>4</v>
      </c>
      <c r="CN20" t="s">
        <v>3</v>
      </c>
      <c r="CO20" t="s">
        <v>4</v>
      </c>
      <c r="CP20" t="s">
        <v>3</v>
      </c>
      <c r="CQ20" t="s">
        <v>4</v>
      </c>
      <c r="CR20" t="s">
        <v>4</v>
      </c>
      <c r="CS20" t="s">
        <v>4</v>
      </c>
      <c r="CT20" t="s">
        <v>3</v>
      </c>
    </row>
    <row r="21" spans="1:98" x14ac:dyDescent="0.3">
      <c r="A21">
        <v>20</v>
      </c>
      <c r="B21" t="s">
        <v>323</v>
      </c>
      <c r="C21">
        <v>2</v>
      </c>
      <c r="D21" t="s">
        <v>4</v>
      </c>
      <c r="E21" t="s">
        <v>5</v>
      </c>
      <c r="F21" t="s">
        <v>3</v>
      </c>
      <c r="G21" t="s">
        <v>5</v>
      </c>
      <c r="H21" t="s">
        <v>5</v>
      </c>
      <c r="I21" t="s">
        <v>5</v>
      </c>
      <c r="J21" t="s">
        <v>5</v>
      </c>
      <c r="K21" t="s">
        <v>2</v>
      </c>
      <c r="L21" t="s">
        <v>3</v>
      </c>
      <c r="M21" t="s">
        <v>2</v>
      </c>
      <c r="N21" t="s">
        <v>3</v>
      </c>
      <c r="O21" t="s">
        <v>2</v>
      </c>
      <c r="P21" t="s">
        <v>5</v>
      </c>
      <c r="Q21" t="s">
        <v>3</v>
      </c>
      <c r="R21" t="s">
        <v>3</v>
      </c>
      <c r="S21" t="s">
        <v>5</v>
      </c>
      <c r="T21" t="s">
        <v>5</v>
      </c>
      <c r="U21" t="s">
        <v>5</v>
      </c>
      <c r="V21" t="s">
        <v>3</v>
      </c>
      <c r="W21" t="s">
        <v>4</v>
      </c>
      <c r="X21" t="s">
        <v>4</v>
      </c>
      <c r="Y21" t="s">
        <v>2</v>
      </c>
      <c r="Z21" t="s">
        <v>3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 t="s">
        <v>3</v>
      </c>
      <c r="AH21" t="s">
        <v>4</v>
      </c>
      <c r="AI21" t="s">
        <v>4</v>
      </c>
      <c r="AJ21" t="s">
        <v>4</v>
      </c>
      <c r="AK21" t="s">
        <v>4</v>
      </c>
      <c r="AL21" t="s">
        <v>4</v>
      </c>
      <c r="AM21" t="s">
        <v>3</v>
      </c>
      <c r="AS21" t="s">
        <v>375</v>
      </c>
      <c r="AT21">
        <v>10</v>
      </c>
      <c r="AU21" t="s">
        <v>340</v>
      </c>
      <c r="AV21">
        <f>AX9/AT6</f>
        <v>0.16666666666666666</v>
      </c>
      <c r="AX21" t="s">
        <v>432</v>
      </c>
      <c r="AZ21"/>
      <c r="BG21" s="22"/>
      <c r="BI21" t="s">
        <v>364</v>
      </c>
    </row>
    <row r="22" spans="1:98" x14ac:dyDescent="0.3">
      <c r="A22">
        <v>21</v>
      </c>
      <c r="B22" t="s">
        <v>17</v>
      </c>
      <c r="C22">
        <v>3</v>
      </c>
      <c r="D22" t="s">
        <v>5</v>
      </c>
      <c r="E22" t="s">
        <v>3</v>
      </c>
      <c r="F22" t="s">
        <v>3</v>
      </c>
      <c r="G22" t="s">
        <v>5</v>
      </c>
      <c r="H22" t="s">
        <v>5</v>
      </c>
      <c r="I22" t="s">
        <v>5</v>
      </c>
      <c r="J22" t="s">
        <v>2</v>
      </c>
      <c r="K22" t="s">
        <v>2</v>
      </c>
      <c r="L22" t="s">
        <v>3</v>
      </c>
      <c r="M22" t="s">
        <v>3</v>
      </c>
      <c r="N22" t="s">
        <v>4</v>
      </c>
      <c r="O22" t="s">
        <v>5</v>
      </c>
      <c r="P22" t="s">
        <v>2</v>
      </c>
      <c r="Q22" t="s">
        <v>3</v>
      </c>
      <c r="R22" t="s">
        <v>2</v>
      </c>
      <c r="S22" t="s">
        <v>5</v>
      </c>
      <c r="T22" t="s">
        <v>5</v>
      </c>
      <c r="U22" t="s">
        <v>5</v>
      </c>
      <c r="V22" t="s">
        <v>5</v>
      </c>
      <c r="W22" t="s">
        <v>4</v>
      </c>
      <c r="X22" t="s">
        <v>3</v>
      </c>
      <c r="Y22" t="s">
        <v>3</v>
      </c>
      <c r="Z22" t="s">
        <v>3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3</v>
      </c>
      <c r="AH22" t="s">
        <v>4</v>
      </c>
      <c r="AI22" t="s">
        <v>3</v>
      </c>
      <c r="AJ22" t="s">
        <v>4</v>
      </c>
      <c r="AK22" t="s">
        <v>4</v>
      </c>
      <c r="AL22" t="s">
        <v>4</v>
      </c>
      <c r="AM22" t="s">
        <v>3</v>
      </c>
      <c r="AS22" t="s">
        <v>376</v>
      </c>
      <c r="AT22">
        <v>10</v>
      </c>
      <c r="AU22" t="s">
        <v>340</v>
      </c>
      <c r="AV22">
        <f>AY9/AT6</f>
        <v>0.16666666666666666</v>
      </c>
      <c r="AX22" t="s">
        <v>433</v>
      </c>
      <c r="AZ22"/>
      <c r="BG22" s="22"/>
      <c r="BI22" s="3" t="s">
        <v>355</v>
      </c>
      <c r="BJ22">
        <f>AV18*AT30*AT34*AT41*AT46*AT54*AT58*AT66*AT71*AT77*AT82*AT88*AT93*AT102*AT106*AT112*AT120*AT126*AT132*AT135*AT141*AT147*AT156*AT160*AT163*AT167*AT171*AT175*AT179*AT183*AT188*AT191*AT196*AT199*AT203*AT207*AT212</f>
        <v>8.8096943112191988E-9</v>
      </c>
    </row>
    <row r="23" spans="1:98" x14ac:dyDescent="0.3">
      <c r="A23">
        <v>22</v>
      </c>
      <c r="B23" t="s">
        <v>18</v>
      </c>
      <c r="C23">
        <v>3</v>
      </c>
      <c r="D23" t="s">
        <v>5</v>
      </c>
      <c r="E23" t="s">
        <v>4</v>
      </c>
      <c r="F23" t="s">
        <v>4</v>
      </c>
      <c r="G23" t="s">
        <v>3</v>
      </c>
      <c r="H23" t="s">
        <v>2</v>
      </c>
      <c r="I23" t="s">
        <v>5</v>
      </c>
      <c r="J23" t="s">
        <v>5</v>
      </c>
      <c r="K23" t="s">
        <v>2</v>
      </c>
      <c r="L23" t="s">
        <v>2</v>
      </c>
      <c r="M23" t="s">
        <v>3</v>
      </c>
      <c r="N23" t="s">
        <v>4</v>
      </c>
      <c r="O23" t="s">
        <v>2</v>
      </c>
      <c r="P23" t="s">
        <v>2</v>
      </c>
      <c r="Q23" t="s">
        <v>2</v>
      </c>
      <c r="R23" t="s">
        <v>5</v>
      </c>
      <c r="S23" t="s">
        <v>5</v>
      </c>
      <c r="T23" t="s">
        <v>3</v>
      </c>
      <c r="U23" t="s">
        <v>3</v>
      </c>
      <c r="V23" t="s">
        <v>2</v>
      </c>
      <c r="W23" t="s">
        <v>4</v>
      </c>
      <c r="X23" t="s">
        <v>5</v>
      </c>
      <c r="Y23" t="s">
        <v>3</v>
      </c>
      <c r="Z23" t="s">
        <v>3</v>
      </c>
      <c r="AA23" t="s">
        <v>3</v>
      </c>
      <c r="AB23" t="s">
        <v>3</v>
      </c>
      <c r="AC23" t="s">
        <v>4</v>
      </c>
      <c r="AD23" t="s">
        <v>4</v>
      </c>
      <c r="AE23" t="s">
        <v>4</v>
      </c>
      <c r="AF23" t="s">
        <v>4</v>
      </c>
      <c r="AG23" t="s">
        <v>3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3</v>
      </c>
      <c r="AS23" t="s">
        <v>377</v>
      </c>
      <c r="AT23">
        <v>10</v>
      </c>
      <c r="AU23" t="s">
        <v>340</v>
      </c>
      <c r="AV23">
        <f>AZ9/AT6</f>
        <v>0.16666666666666666</v>
      </c>
      <c r="AX23" t="s">
        <v>434</v>
      </c>
      <c r="AZ23"/>
      <c r="BG23" s="22"/>
      <c r="BI23" t="s">
        <v>365</v>
      </c>
    </row>
    <row r="24" spans="1:98" x14ac:dyDescent="0.3">
      <c r="A24">
        <v>23</v>
      </c>
      <c r="B24" t="s">
        <v>19</v>
      </c>
      <c r="C24">
        <v>3</v>
      </c>
      <c r="D24" t="s">
        <v>5</v>
      </c>
      <c r="E24" t="s">
        <v>5</v>
      </c>
      <c r="F24" t="s">
        <v>4</v>
      </c>
      <c r="G24" t="s">
        <v>5</v>
      </c>
      <c r="H24" t="s">
        <v>5</v>
      </c>
      <c r="I24" t="s">
        <v>2</v>
      </c>
      <c r="J24" t="s">
        <v>5</v>
      </c>
      <c r="K24" t="s">
        <v>2</v>
      </c>
      <c r="L24" t="s">
        <v>3</v>
      </c>
      <c r="M24" t="s">
        <v>4</v>
      </c>
      <c r="N24" t="s">
        <v>4</v>
      </c>
      <c r="O24" t="s">
        <v>2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4</v>
      </c>
      <c r="W24" t="s">
        <v>4</v>
      </c>
      <c r="X24" t="s">
        <v>4</v>
      </c>
      <c r="Y24" t="s">
        <v>5</v>
      </c>
      <c r="Z24" t="s">
        <v>3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4</v>
      </c>
      <c r="AG24" t="s">
        <v>3</v>
      </c>
      <c r="AH24" t="s">
        <v>4</v>
      </c>
      <c r="AI24" t="s">
        <v>3</v>
      </c>
      <c r="AJ24" t="s">
        <v>4</v>
      </c>
      <c r="AK24" t="s">
        <v>4</v>
      </c>
      <c r="AL24" t="s">
        <v>4</v>
      </c>
      <c r="AM24" t="s">
        <v>3</v>
      </c>
      <c r="AZ24"/>
      <c r="BG24" s="22"/>
      <c r="BI24" s="3" t="s">
        <v>355</v>
      </c>
      <c r="BJ24">
        <f>AV19*AU30*AU34*AU41*AU46*AU54*AU58*AU66*AU71*AU77*AU82*AU88*AU93*AU102*AU106*AU112*AU120*AU126*AU132*AU135*AU141*AU147*AU156*AU160*AU163*AU167*AU171*AU175*AU179*AU183*AU188*AU191*AU196*AU199*AU203*AU207*AU212</f>
        <v>0</v>
      </c>
    </row>
    <row r="25" spans="1:98" x14ac:dyDescent="0.3">
      <c r="A25">
        <v>24</v>
      </c>
      <c r="B25" t="s">
        <v>20</v>
      </c>
      <c r="C25">
        <v>3</v>
      </c>
      <c r="D25" t="s">
        <v>2</v>
      </c>
      <c r="E25" t="s">
        <v>3</v>
      </c>
      <c r="F25" t="s">
        <v>3</v>
      </c>
      <c r="G25" t="s">
        <v>2</v>
      </c>
      <c r="H25" t="s">
        <v>5</v>
      </c>
      <c r="I25" t="s">
        <v>2</v>
      </c>
      <c r="J25" t="s">
        <v>5</v>
      </c>
      <c r="K25" t="s">
        <v>2</v>
      </c>
      <c r="L25" t="s">
        <v>3</v>
      </c>
      <c r="M25" t="s">
        <v>4</v>
      </c>
      <c r="N25" t="s">
        <v>4</v>
      </c>
      <c r="O25" t="s">
        <v>5</v>
      </c>
      <c r="P25" t="s">
        <v>5</v>
      </c>
      <c r="Q25" t="s">
        <v>4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  <c r="AF25" t="s">
        <v>4</v>
      </c>
      <c r="AG25" t="s">
        <v>4</v>
      </c>
      <c r="AH25" t="s">
        <v>4</v>
      </c>
      <c r="AI25" t="s">
        <v>3</v>
      </c>
      <c r="AJ25" t="s">
        <v>4</v>
      </c>
      <c r="AK25" t="s">
        <v>4</v>
      </c>
      <c r="AL25" t="s">
        <v>3</v>
      </c>
      <c r="AM25" t="s">
        <v>4</v>
      </c>
      <c r="AR25" s="5" t="s">
        <v>49</v>
      </c>
      <c r="AZ25"/>
      <c r="BG25" s="22"/>
      <c r="BI25" t="s">
        <v>366</v>
      </c>
    </row>
    <row r="26" spans="1:98" x14ac:dyDescent="0.3">
      <c r="A26">
        <v>25</v>
      </c>
      <c r="B26" t="s">
        <v>21</v>
      </c>
      <c r="C26">
        <v>3</v>
      </c>
      <c r="D26" t="s">
        <v>2</v>
      </c>
      <c r="E26" t="s">
        <v>5</v>
      </c>
      <c r="F26" t="s">
        <v>3</v>
      </c>
      <c r="G26" t="s">
        <v>5</v>
      </c>
      <c r="H26" t="s">
        <v>5</v>
      </c>
      <c r="I26" t="s">
        <v>5</v>
      </c>
      <c r="J26" t="s">
        <v>5</v>
      </c>
      <c r="K26" t="s">
        <v>2</v>
      </c>
      <c r="L26" t="s">
        <v>2</v>
      </c>
      <c r="M26" t="s">
        <v>3</v>
      </c>
      <c r="N26" t="s">
        <v>4</v>
      </c>
      <c r="O26" t="s">
        <v>2</v>
      </c>
      <c r="P26" t="s">
        <v>5</v>
      </c>
      <c r="Q26" t="s">
        <v>3</v>
      </c>
      <c r="R26" t="s">
        <v>3</v>
      </c>
      <c r="S26" t="s">
        <v>5</v>
      </c>
      <c r="T26" t="s">
        <v>5</v>
      </c>
      <c r="U26" t="s">
        <v>5</v>
      </c>
      <c r="V26" t="s">
        <v>5</v>
      </c>
      <c r="W26" t="s">
        <v>4</v>
      </c>
      <c r="X26" t="s">
        <v>2</v>
      </c>
      <c r="Y26" t="s">
        <v>2</v>
      </c>
      <c r="Z26" t="s">
        <v>3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3</v>
      </c>
      <c r="AH26" t="s">
        <v>4</v>
      </c>
      <c r="AI26" t="s">
        <v>3</v>
      </c>
      <c r="AJ26" t="s">
        <v>4</v>
      </c>
      <c r="AK26" t="s">
        <v>4</v>
      </c>
      <c r="AL26" t="s">
        <v>4</v>
      </c>
      <c r="AM26" t="s">
        <v>3</v>
      </c>
      <c r="AS26" s="7" t="s">
        <v>264</v>
      </c>
      <c r="AT26" s="7">
        <v>1</v>
      </c>
      <c r="AU26" s="7">
        <v>2</v>
      </c>
      <c r="AV26" s="7">
        <v>3</v>
      </c>
      <c r="AW26" s="7">
        <v>4</v>
      </c>
      <c r="AX26" s="7">
        <v>5</v>
      </c>
      <c r="AY26" s="7">
        <v>6</v>
      </c>
      <c r="AZ26"/>
      <c r="BA26" s="41" t="s">
        <v>72</v>
      </c>
      <c r="BB26" s="41">
        <v>1</v>
      </c>
      <c r="BC26" s="41">
        <v>2</v>
      </c>
      <c r="BD26" s="41">
        <v>3</v>
      </c>
      <c r="BE26" s="41">
        <v>4</v>
      </c>
      <c r="BF26" s="41">
        <v>5</v>
      </c>
      <c r="BG26" s="41">
        <v>6</v>
      </c>
      <c r="BI26" s="3" t="s">
        <v>355</v>
      </c>
      <c r="BJ26">
        <f>AV20*AV30*AV34*AV41*AV46*AV54*AV58*AV66*AV71*AV77*AV82*AV88*AV93*AV102*AV106*AV112*AV120*AV126*AV132*AV135*AV141*AV147*AV156*AV160*AV163*AV167*AV171*AV175*AV179*AV183*AV188*AV191*AV196*AV199*AV203*AV207*AV212</f>
        <v>0</v>
      </c>
    </row>
    <row r="27" spans="1:98" x14ac:dyDescent="0.3">
      <c r="A27">
        <v>26</v>
      </c>
      <c r="B27" t="s">
        <v>22</v>
      </c>
      <c r="C27">
        <v>3</v>
      </c>
      <c r="D27" t="s">
        <v>4</v>
      </c>
      <c r="E27" t="s">
        <v>5</v>
      </c>
      <c r="F27" t="s">
        <v>3</v>
      </c>
      <c r="G27" t="s">
        <v>5</v>
      </c>
      <c r="H27" t="s">
        <v>5</v>
      </c>
      <c r="I27" t="s">
        <v>5</v>
      </c>
      <c r="J27" t="s">
        <v>5</v>
      </c>
      <c r="K27" t="s">
        <v>2</v>
      </c>
      <c r="L27" t="s">
        <v>3</v>
      </c>
      <c r="M27" t="s">
        <v>2</v>
      </c>
      <c r="N27" t="s">
        <v>2</v>
      </c>
      <c r="O27" t="s">
        <v>5</v>
      </c>
      <c r="P27" t="s">
        <v>5</v>
      </c>
      <c r="Q27" t="s">
        <v>3</v>
      </c>
      <c r="R27" t="s">
        <v>2</v>
      </c>
      <c r="S27" t="s">
        <v>5</v>
      </c>
      <c r="T27" t="s">
        <v>2</v>
      </c>
      <c r="U27" t="s">
        <v>2</v>
      </c>
      <c r="V27" t="s">
        <v>5</v>
      </c>
      <c r="W27" t="s">
        <v>4</v>
      </c>
      <c r="X27" t="s">
        <v>3</v>
      </c>
      <c r="Y27" t="s">
        <v>2</v>
      </c>
      <c r="Z27" t="s">
        <v>3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t="s">
        <v>4</v>
      </c>
      <c r="AG27" t="s">
        <v>3</v>
      </c>
      <c r="AH27" t="s">
        <v>4</v>
      </c>
      <c r="AI27" t="s">
        <v>3</v>
      </c>
      <c r="AJ27" t="s">
        <v>4</v>
      </c>
      <c r="AK27" t="s">
        <v>4</v>
      </c>
      <c r="AL27" t="s">
        <v>3</v>
      </c>
      <c r="AM27" t="s">
        <v>3</v>
      </c>
      <c r="AS27" s="6" t="s">
        <v>73</v>
      </c>
      <c r="AT27" s="6">
        <f>COUNTIFS(D:D,"A",C:C,1)/COUNTIF(C:C,1)</f>
        <v>0</v>
      </c>
      <c r="AU27" s="6">
        <f>COUNTIFS(D:D,"A",C:C,2)/COUNTIF(C:C,2)</f>
        <v>0.3</v>
      </c>
      <c r="AV27" s="6">
        <f>COUNTIFS(D:D,"A",C:C,3)/COUNTIF(C:C,3)</f>
        <v>0.1</v>
      </c>
      <c r="AW27" s="6">
        <f>COUNTIFS(D:D,"A",C:C,4)/COUNTIF(C:C,4)</f>
        <v>0</v>
      </c>
      <c r="AX27" s="6">
        <f>COUNTIFS(D:D,"A",C:C,5)/COUNTIF(C:C,5)</f>
        <v>0.1</v>
      </c>
      <c r="AY27" s="6">
        <f>COUNTIFS(D:D,"A",C:C,6)/COUNTIF(C:C,6)</f>
        <v>0.1</v>
      </c>
      <c r="AZ27"/>
      <c r="BA27" s="42" t="s">
        <v>73</v>
      </c>
      <c r="BB27" s="42" t="s">
        <v>351</v>
      </c>
      <c r="BC27" s="42" t="s">
        <v>342</v>
      </c>
      <c r="BD27" s="42" t="s">
        <v>350</v>
      </c>
      <c r="BE27" s="42" t="s">
        <v>350</v>
      </c>
      <c r="BF27" s="42" t="s">
        <v>348</v>
      </c>
      <c r="BG27" s="42" t="s">
        <v>348</v>
      </c>
      <c r="BI27" t="s">
        <v>367</v>
      </c>
    </row>
    <row r="28" spans="1:98" x14ac:dyDescent="0.3">
      <c r="A28">
        <v>27</v>
      </c>
      <c r="B28" t="s">
        <v>324</v>
      </c>
      <c r="C28">
        <v>3</v>
      </c>
      <c r="D28" t="s">
        <v>2</v>
      </c>
      <c r="E28" t="s">
        <v>5</v>
      </c>
      <c r="F28" t="s">
        <v>3</v>
      </c>
      <c r="G28" t="s">
        <v>5</v>
      </c>
      <c r="H28" t="s">
        <v>5</v>
      </c>
      <c r="I28" t="s">
        <v>5</v>
      </c>
      <c r="J28" t="s">
        <v>5</v>
      </c>
      <c r="K28" t="s">
        <v>2</v>
      </c>
      <c r="L28" t="s">
        <v>2</v>
      </c>
      <c r="M28" t="s">
        <v>2</v>
      </c>
      <c r="N28" t="s">
        <v>3</v>
      </c>
      <c r="O28" t="s">
        <v>5</v>
      </c>
      <c r="P28" t="s">
        <v>5</v>
      </c>
      <c r="Q28" t="s">
        <v>3</v>
      </c>
      <c r="R28" t="s">
        <v>2</v>
      </c>
      <c r="S28" t="s">
        <v>2</v>
      </c>
      <c r="T28" t="s">
        <v>5</v>
      </c>
      <c r="U28" t="s">
        <v>5</v>
      </c>
      <c r="V28" t="s">
        <v>2</v>
      </c>
      <c r="W28" t="s">
        <v>4</v>
      </c>
      <c r="X28" t="s">
        <v>2</v>
      </c>
      <c r="Y28" t="s">
        <v>2</v>
      </c>
      <c r="Z28" t="s">
        <v>3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 t="s">
        <v>3</v>
      </c>
      <c r="AH28" t="s">
        <v>4</v>
      </c>
      <c r="AI28" t="s">
        <v>3</v>
      </c>
      <c r="AJ28" t="s">
        <v>4</v>
      </c>
      <c r="AK28" t="s">
        <v>4</v>
      </c>
      <c r="AL28" t="s">
        <v>4</v>
      </c>
      <c r="AM28" t="s">
        <v>3</v>
      </c>
      <c r="AS28" s="6" t="s">
        <v>74</v>
      </c>
      <c r="AT28" s="6">
        <f>COUNTIFS(D:D,"B",C:C,1)/COUNTIF(C:C,1)</f>
        <v>0.5</v>
      </c>
      <c r="AU28" s="6">
        <f>COUNTIFS(D:D,"B",C:C,2)/COUNTIF(C:C,2)</f>
        <v>0.1</v>
      </c>
      <c r="AV28" s="6">
        <f>COUNTIFS(D:D,"B",C:C,3)/COUNTIF(C:C,3)</f>
        <v>0</v>
      </c>
      <c r="AW28" s="6">
        <f>COUNTIFS(D:D,"B",C:C,4)/COUNTIF(C:C,4)</f>
        <v>0.3</v>
      </c>
      <c r="AX28" s="6">
        <f>COUNTIFS(D:D,"B",C:C,5)/COUNTIF(C:C,5)</f>
        <v>0</v>
      </c>
      <c r="AY28" s="6">
        <f>COUNTIFS(D:D,"B",C:C,6)/COUNTIF(C:C,6)</f>
        <v>0</v>
      </c>
      <c r="AZ28"/>
      <c r="BA28" s="42" t="s">
        <v>74</v>
      </c>
      <c r="BB28" s="42" t="s">
        <v>351</v>
      </c>
      <c r="BC28" s="42" t="s">
        <v>350</v>
      </c>
      <c r="BD28" s="42" t="s">
        <v>350</v>
      </c>
      <c r="BE28" s="42" t="s">
        <v>346</v>
      </c>
      <c r="BF28" s="42" t="s">
        <v>350</v>
      </c>
      <c r="BG28" s="42" t="s">
        <v>350</v>
      </c>
      <c r="BI28" s="3" t="s">
        <v>355</v>
      </c>
      <c r="BJ28">
        <f>AV21*AW30*AW34*AW41*AW46*AW54*AW58*AW66*AW71*AW77*AW82*AW88*AW93*AW102*AW106*AW112*AW120*AW126*AW132*AW135*AW141*AW147*AW156*AW160*AW163*AW167*AW171*AW175*AW179*AW183*AW188*AW191*AW196*AW199*AW203*AW207*AW212</f>
        <v>0</v>
      </c>
    </row>
    <row r="29" spans="1:98" x14ac:dyDescent="0.3">
      <c r="A29">
        <v>28</v>
      </c>
      <c r="B29" t="s">
        <v>325</v>
      </c>
      <c r="C29">
        <v>3</v>
      </c>
      <c r="D29" t="s">
        <v>5</v>
      </c>
      <c r="E29" t="s">
        <v>3</v>
      </c>
      <c r="F29" t="s">
        <v>3</v>
      </c>
      <c r="G29" t="s">
        <v>5</v>
      </c>
      <c r="H29" t="s">
        <v>5</v>
      </c>
      <c r="I29" t="s">
        <v>5</v>
      </c>
      <c r="J29" t="s">
        <v>5</v>
      </c>
      <c r="K29" t="s">
        <v>2</v>
      </c>
      <c r="L29" t="s">
        <v>2</v>
      </c>
      <c r="M29" t="s">
        <v>3</v>
      </c>
      <c r="N29" t="s">
        <v>3</v>
      </c>
      <c r="O29" t="s">
        <v>2</v>
      </c>
      <c r="P29" t="s">
        <v>5</v>
      </c>
      <c r="Q29" t="s">
        <v>3</v>
      </c>
      <c r="R29" t="s">
        <v>3</v>
      </c>
      <c r="S29" t="s">
        <v>2</v>
      </c>
      <c r="T29" t="s">
        <v>5</v>
      </c>
      <c r="U29" t="s">
        <v>5</v>
      </c>
      <c r="V29" t="s">
        <v>5</v>
      </c>
      <c r="W29" t="s">
        <v>4</v>
      </c>
      <c r="X29" t="s">
        <v>3</v>
      </c>
      <c r="Y29" t="s">
        <v>2</v>
      </c>
      <c r="Z29" t="s">
        <v>3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3</v>
      </c>
      <c r="AH29" t="s">
        <v>4</v>
      </c>
      <c r="AI29" t="s">
        <v>4</v>
      </c>
      <c r="AJ29" t="s">
        <v>4</v>
      </c>
      <c r="AK29" t="s">
        <v>4</v>
      </c>
      <c r="AL29" t="s">
        <v>3</v>
      </c>
      <c r="AM29" t="s">
        <v>3</v>
      </c>
      <c r="AS29" s="6" t="s">
        <v>75</v>
      </c>
      <c r="AT29" s="6">
        <f>COUNTIFS(D:D,"C",C:C,1)/COUNTIF(C:C,1)</f>
        <v>0.3</v>
      </c>
      <c r="AU29" s="6">
        <f>COUNTIFS(D:D,"C",C:C,2)/COUNTIF(C:C,2)</f>
        <v>0.1</v>
      </c>
      <c r="AV29" s="6">
        <f>COUNTIFS(D:D,"C",C:C,3)/COUNTIF(C:C,3)</f>
        <v>0.3</v>
      </c>
      <c r="AW29" s="6">
        <f>COUNTIFS(D:D,"C",C:C,4)/COUNTIF(C:C,4)</f>
        <v>0</v>
      </c>
      <c r="AX29" s="6">
        <f>COUNTIFS(D:D,"C",C:C,5)/COUNTIF(C:C,5)</f>
        <v>0.1</v>
      </c>
      <c r="AY29" s="6">
        <f>COUNTIFS(D:D,"C",C:C,6)/COUNTIF(C:C,6)</f>
        <v>0</v>
      </c>
      <c r="AZ29"/>
      <c r="BA29" s="42" t="s">
        <v>75</v>
      </c>
      <c r="BB29" s="42" t="s">
        <v>341</v>
      </c>
      <c r="BC29" s="42" t="s">
        <v>341</v>
      </c>
      <c r="BD29" s="42" t="s">
        <v>344</v>
      </c>
      <c r="BE29" s="42" t="s">
        <v>350</v>
      </c>
      <c r="BF29" s="42" t="s">
        <v>348</v>
      </c>
      <c r="BG29" s="42" t="s">
        <v>350</v>
      </c>
      <c r="BI29" t="s">
        <v>368</v>
      </c>
    </row>
    <row r="30" spans="1:98" x14ac:dyDescent="0.3">
      <c r="A30">
        <v>29</v>
      </c>
      <c r="B30" t="s">
        <v>326</v>
      </c>
      <c r="C30">
        <v>3</v>
      </c>
      <c r="D30" t="s">
        <v>5</v>
      </c>
      <c r="E30" t="s">
        <v>3</v>
      </c>
      <c r="F30" t="s">
        <v>3</v>
      </c>
      <c r="G30" t="s">
        <v>2</v>
      </c>
      <c r="H30" t="s">
        <v>5</v>
      </c>
      <c r="I30" t="s">
        <v>5</v>
      </c>
      <c r="J30" t="s">
        <v>5</v>
      </c>
      <c r="K30" t="s">
        <v>2</v>
      </c>
      <c r="L30" t="s">
        <v>3</v>
      </c>
      <c r="M30" t="s">
        <v>3</v>
      </c>
      <c r="N30" t="s">
        <v>3</v>
      </c>
      <c r="O30" t="s">
        <v>2</v>
      </c>
      <c r="P30" t="s">
        <v>5</v>
      </c>
      <c r="Q30" t="s">
        <v>3</v>
      </c>
      <c r="R30" t="s">
        <v>3</v>
      </c>
      <c r="S30" t="s">
        <v>5</v>
      </c>
      <c r="T30" t="s">
        <v>5</v>
      </c>
      <c r="U30" t="s">
        <v>5</v>
      </c>
      <c r="V30" t="s">
        <v>5</v>
      </c>
      <c r="W30" t="s">
        <v>4</v>
      </c>
      <c r="X30" t="s">
        <v>3</v>
      </c>
      <c r="Y30" t="s">
        <v>2</v>
      </c>
      <c r="Z30" t="s">
        <v>3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3</v>
      </c>
      <c r="AH30" t="s">
        <v>4</v>
      </c>
      <c r="AI30" t="s">
        <v>3</v>
      </c>
      <c r="AJ30" t="s">
        <v>4</v>
      </c>
      <c r="AK30" t="s">
        <v>4</v>
      </c>
      <c r="AL30" t="s">
        <v>3</v>
      </c>
      <c r="AM30" t="s">
        <v>3</v>
      </c>
      <c r="AS30" s="6" t="s">
        <v>76</v>
      </c>
      <c r="AT30" s="6">
        <f>COUNTIFS(D:D,"D",C:C,1)/COUNTIF(C:C,1)</f>
        <v>0.2</v>
      </c>
      <c r="AU30" s="6">
        <f>COUNTIFS(D:D,"D",C:C,2)/COUNTIF(C:C,2)</f>
        <v>0.5</v>
      </c>
      <c r="AV30" s="6">
        <f>COUNTIFS(D:D,"D",C:C,3)/COUNTIF(C:C,3)</f>
        <v>0.6</v>
      </c>
      <c r="AW30" s="6">
        <f>COUNTIFS(D:D,"D",C:C,4)/COUNTIF(C:C,4)</f>
        <v>0.7</v>
      </c>
      <c r="AX30" s="6">
        <f>COUNTIFS(D:D,"D",C:C,5)/COUNTIF(C:C,5)</f>
        <v>0.8</v>
      </c>
      <c r="AY30" s="6">
        <f>COUNTIFS(D:D,"D",C:C,6)/COUNTIF(C:C,6)</f>
        <v>0.9</v>
      </c>
      <c r="AZ30"/>
      <c r="BA30" s="42" t="s">
        <v>76</v>
      </c>
      <c r="BB30" s="42" t="s">
        <v>352</v>
      </c>
      <c r="BC30" s="42" t="s">
        <v>343</v>
      </c>
      <c r="BD30" s="42" t="s">
        <v>345</v>
      </c>
      <c r="BE30" s="42" t="s">
        <v>347</v>
      </c>
      <c r="BF30" s="42" t="s">
        <v>347</v>
      </c>
      <c r="BG30" s="42" t="s">
        <v>349</v>
      </c>
      <c r="BI30" s="3" t="s">
        <v>355</v>
      </c>
      <c r="BJ30">
        <f>AV22*AX30*AX34*AX41*AX46*AX54*AX58*AX66*AX71*AX77*AX82*AX88*AX93*AX102*AX106*AX112*AX120*AX126*AX132*AX135*AX141*AX147*AX156*AX160*AX163*AX167*AX171*AX175*AX179*AX183*AX188*AX191*AX196*AX199*AX203*AX207*AX212</f>
        <v>0</v>
      </c>
    </row>
    <row r="31" spans="1:98" x14ac:dyDescent="0.3">
      <c r="A31">
        <v>30</v>
      </c>
      <c r="B31" t="s">
        <v>327</v>
      </c>
      <c r="C31">
        <v>3</v>
      </c>
      <c r="D31" t="s">
        <v>5</v>
      </c>
      <c r="E31" t="s">
        <v>3</v>
      </c>
      <c r="F31" t="s">
        <v>3</v>
      </c>
      <c r="G31" t="s">
        <v>5</v>
      </c>
      <c r="H31" t="s">
        <v>5</v>
      </c>
      <c r="I31" t="s">
        <v>5</v>
      </c>
      <c r="J31" t="s">
        <v>2</v>
      </c>
      <c r="K31" t="s">
        <v>2</v>
      </c>
      <c r="L31" t="s">
        <v>3</v>
      </c>
      <c r="M31" t="s">
        <v>4</v>
      </c>
      <c r="N31" t="s">
        <v>4</v>
      </c>
      <c r="O31" t="s">
        <v>5</v>
      </c>
      <c r="P31" t="s">
        <v>2</v>
      </c>
      <c r="Q31" t="s">
        <v>3</v>
      </c>
      <c r="R31" t="s">
        <v>2</v>
      </c>
      <c r="S31" t="s">
        <v>5</v>
      </c>
      <c r="T31" t="s">
        <v>5</v>
      </c>
      <c r="U31" t="s">
        <v>5</v>
      </c>
      <c r="V31" t="s">
        <v>5</v>
      </c>
      <c r="W31" t="s">
        <v>4</v>
      </c>
      <c r="X31" t="s">
        <v>3</v>
      </c>
      <c r="Y31" t="s">
        <v>3</v>
      </c>
      <c r="Z31" t="s">
        <v>3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  <c r="AF31" t="s">
        <v>4</v>
      </c>
      <c r="AG31" t="s">
        <v>3</v>
      </c>
      <c r="AH31" t="s">
        <v>4</v>
      </c>
      <c r="AI31" t="s">
        <v>4</v>
      </c>
      <c r="AJ31" t="s">
        <v>4</v>
      </c>
      <c r="AK31" t="s">
        <v>4</v>
      </c>
      <c r="AL31" t="s">
        <v>4</v>
      </c>
      <c r="AM31" t="s">
        <v>3</v>
      </c>
      <c r="AZ31"/>
      <c r="BA31" s="43"/>
      <c r="BB31" s="43"/>
      <c r="BC31" s="43"/>
      <c r="BD31" s="43"/>
      <c r="BE31" s="43"/>
      <c r="BF31" s="43"/>
      <c r="BG31" s="43"/>
      <c r="BI31" t="s">
        <v>369</v>
      </c>
    </row>
    <row r="32" spans="1:98" x14ac:dyDescent="0.3">
      <c r="A32">
        <v>31</v>
      </c>
      <c r="B32" t="s">
        <v>23</v>
      </c>
      <c r="C32">
        <v>4</v>
      </c>
      <c r="D32" t="s">
        <v>3</v>
      </c>
      <c r="E32" t="s">
        <v>3</v>
      </c>
      <c r="F32" t="s">
        <v>4</v>
      </c>
      <c r="G32" t="s">
        <v>2</v>
      </c>
      <c r="H32" t="s">
        <v>5</v>
      </c>
      <c r="I32" t="s">
        <v>5</v>
      </c>
      <c r="J32" t="s">
        <v>5</v>
      </c>
      <c r="K32" t="s">
        <v>2</v>
      </c>
      <c r="L32" t="s">
        <v>2</v>
      </c>
      <c r="M32" t="s">
        <v>2</v>
      </c>
      <c r="N32" t="s">
        <v>5</v>
      </c>
      <c r="O32" t="s">
        <v>2</v>
      </c>
      <c r="P32" t="s">
        <v>5</v>
      </c>
      <c r="Q32" t="s">
        <v>3</v>
      </c>
      <c r="R32" t="s">
        <v>3</v>
      </c>
      <c r="S32" t="s">
        <v>5</v>
      </c>
      <c r="T32" t="s">
        <v>5</v>
      </c>
      <c r="U32" t="s">
        <v>5</v>
      </c>
      <c r="V32" t="s">
        <v>5</v>
      </c>
      <c r="W32" t="s">
        <v>4</v>
      </c>
      <c r="X32" t="s">
        <v>4</v>
      </c>
      <c r="Y32" t="s">
        <v>2</v>
      </c>
      <c r="Z32" t="s">
        <v>3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  <c r="AG32" t="s">
        <v>3</v>
      </c>
      <c r="AH32" t="s">
        <v>4</v>
      </c>
      <c r="AI32" t="s">
        <v>3</v>
      </c>
      <c r="AJ32" t="s">
        <v>3</v>
      </c>
      <c r="AK32" t="s">
        <v>4</v>
      </c>
      <c r="AL32" t="s">
        <v>3</v>
      </c>
      <c r="AM32" t="s">
        <v>3</v>
      </c>
      <c r="AS32" s="7" t="s">
        <v>265</v>
      </c>
      <c r="AT32" s="7">
        <v>1</v>
      </c>
      <c r="AU32" s="7">
        <v>2</v>
      </c>
      <c r="AV32" s="7">
        <v>3</v>
      </c>
      <c r="AW32" s="7">
        <v>4</v>
      </c>
      <c r="AX32" s="7">
        <v>5</v>
      </c>
      <c r="AY32" s="7">
        <v>6</v>
      </c>
      <c r="AZ32"/>
      <c r="BA32" s="44" t="s">
        <v>265</v>
      </c>
      <c r="BB32" s="44">
        <v>1</v>
      </c>
      <c r="BC32" s="44">
        <v>2</v>
      </c>
      <c r="BD32" s="44">
        <v>3</v>
      </c>
      <c r="BE32" s="44">
        <v>4</v>
      </c>
      <c r="BF32" s="44">
        <v>5</v>
      </c>
      <c r="BG32" s="44">
        <v>6</v>
      </c>
      <c r="BJ32">
        <f>AV23*AY30*AY34*AY41*AY46*AY54*AY58*AY66*AY71*AY77*AY82*AY88*AY93*AY102*AY106*AY112*AY120*AY126*AY132*AY135*AY141*AY147*AY156*AY160*AY163*AY167*AY171*AY175*AY179*AY183*AY188*AY191*AY196*AY199*AY203*AY207*AY212</f>
        <v>0</v>
      </c>
    </row>
    <row r="33" spans="1:98" x14ac:dyDescent="0.3">
      <c r="A33">
        <v>32</v>
      </c>
      <c r="B33" t="s">
        <v>24</v>
      </c>
      <c r="C33">
        <v>4</v>
      </c>
      <c r="D33" t="s">
        <v>5</v>
      </c>
      <c r="E33" t="s">
        <v>3</v>
      </c>
      <c r="F33" t="s">
        <v>3</v>
      </c>
      <c r="G33" t="s">
        <v>5</v>
      </c>
      <c r="H33" t="s">
        <v>5</v>
      </c>
      <c r="I33" t="s">
        <v>5</v>
      </c>
      <c r="J33" t="s">
        <v>5</v>
      </c>
      <c r="K33" t="s">
        <v>2</v>
      </c>
      <c r="L33" t="s">
        <v>2</v>
      </c>
      <c r="M33" t="s">
        <v>5</v>
      </c>
      <c r="N33" t="s">
        <v>3</v>
      </c>
      <c r="O33" t="s">
        <v>4</v>
      </c>
      <c r="P33" t="s">
        <v>5</v>
      </c>
      <c r="Q33" t="s">
        <v>3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4</v>
      </c>
      <c r="X33" t="s">
        <v>4</v>
      </c>
      <c r="Y33" t="s">
        <v>4</v>
      </c>
      <c r="Z33" t="s">
        <v>3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t="s">
        <v>4</v>
      </c>
      <c r="AG33" t="s">
        <v>3</v>
      </c>
      <c r="AH33" t="s">
        <v>4</v>
      </c>
      <c r="AI33" t="s">
        <v>3</v>
      </c>
      <c r="AJ33" t="s">
        <v>4</v>
      </c>
      <c r="AK33" t="s">
        <v>4</v>
      </c>
      <c r="AL33" t="s">
        <v>4</v>
      </c>
      <c r="AM33" t="s">
        <v>3</v>
      </c>
      <c r="AS33" s="6" t="s">
        <v>77</v>
      </c>
      <c r="AT33" s="6">
        <f>COUNTIFS(E:E,"A",C:C,1)/COUNTIF(C:C,1)</f>
        <v>0</v>
      </c>
      <c r="AU33" s="6">
        <f>COUNTIFS(E:E,"A",C:C,2)/COUNTIF(C:C,2)</f>
        <v>0</v>
      </c>
      <c r="AV33" s="6">
        <f>COUNTIFS(E:E,"A",C:C,3)/COUNTIF(C:C,3)</f>
        <v>0.1</v>
      </c>
      <c r="AW33" s="6">
        <f>COUNTIFS(E:E,"A",C:C,4)/COUNTIF(C:C,4)</f>
        <v>0</v>
      </c>
      <c r="AX33" s="6">
        <f>COUNTIFS(E:E,"A",C:C,5)/COUNTIF(C:C,5)</f>
        <v>0</v>
      </c>
      <c r="AY33" s="6">
        <f>COUNTIFS(E:E,"A",C:C,6)/COUNTIF(C:C,6)</f>
        <v>0</v>
      </c>
      <c r="AZ33"/>
      <c r="BA33" s="45" t="s">
        <v>77</v>
      </c>
      <c r="BB33" s="45" t="s">
        <v>350</v>
      </c>
      <c r="BC33" s="45" t="s">
        <v>350</v>
      </c>
      <c r="BD33" s="45" t="s">
        <v>348</v>
      </c>
      <c r="BE33" s="45" t="s">
        <v>350</v>
      </c>
      <c r="BF33" s="45" t="s">
        <v>350</v>
      </c>
      <c r="BG33" s="45" t="s">
        <v>350</v>
      </c>
      <c r="BI33" s="24" t="s">
        <v>371</v>
      </c>
      <c r="BJ33" t="s">
        <v>378</v>
      </c>
      <c r="BK33" s="25" t="s">
        <v>379</v>
      </c>
    </row>
    <row r="34" spans="1:98" x14ac:dyDescent="0.3">
      <c r="A34">
        <v>33</v>
      </c>
      <c r="B34" t="s">
        <v>25</v>
      </c>
      <c r="C34">
        <v>4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2</v>
      </c>
      <c r="L34" t="s">
        <v>5</v>
      </c>
      <c r="M34" t="s">
        <v>5</v>
      </c>
      <c r="N34" t="s">
        <v>3</v>
      </c>
      <c r="O34" t="s">
        <v>5</v>
      </c>
      <c r="P34" t="s">
        <v>5</v>
      </c>
      <c r="Q34" t="s">
        <v>2</v>
      </c>
      <c r="R34" t="s">
        <v>2</v>
      </c>
      <c r="S34" t="s">
        <v>5</v>
      </c>
      <c r="T34" t="s">
        <v>5</v>
      </c>
      <c r="U34" t="s">
        <v>5</v>
      </c>
      <c r="V34" t="s">
        <v>5</v>
      </c>
      <c r="W34" t="s">
        <v>4</v>
      </c>
      <c r="X34" t="s">
        <v>3</v>
      </c>
      <c r="Y34" t="s">
        <v>2</v>
      </c>
      <c r="Z34" t="s">
        <v>3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3</v>
      </c>
      <c r="AH34" t="s">
        <v>4</v>
      </c>
      <c r="AI34" t="s">
        <v>3</v>
      </c>
      <c r="AJ34" t="s">
        <v>4</v>
      </c>
      <c r="AK34" t="s">
        <v>4</v>
      </c>
      <c r="AL34" t="s">
        <v>3</v>
      </c>
      <c r="AM34" t="s">
        <v>3</v>
      </c>
      <c r="AS34" s="6" t="s">
        <v>78</v>
      </c>
      <c r="AT34" s="6">
        <f>COUNTIFS(E:E,"B",C:C,1)/COUNTIF(C:C,1)</f>
        <v>0.8</v>
      </c>
      <c r="AU34" s="6">
        <f>COUNTIFS(E:E,"B",C:C,2)/COUNTIF(C:C,2)</f>
        <v>0.2</v>
      </c>
      <c r="AV34" s="6">
        <f>COUNTIFS(E:E,"B",C:C,3)/COUNTIF(C:C,3)</f>
        <v>0.5</v>
      </c>
      <c r="AW34" s="6">
        <f>COUNTIFS(E:E,"B",C:C,4)/COUNTIF(C:C,4)</f>
        <v>0.9</v>
      </c>
      <c r="AX34" s="6">
        <f>COUNTIFS(E:E,"B",C:C,5)/COUNTIF(C:C,5)</f>
        <v>0.5</v>
      </c>
      <c r="AY34" s="6">
        <f>COUNTIFS(E:E,"B",C:C,6)/COUNTIF(C:C,6)</f>
        <v>0.5</v>
      </c>
      <c r="AZ34"/>
      <c r="BA34" s="45" t="s">
        <v>78</v>
      </c>
      <c r="BB34" s="45" t="s">
        <v>347</v>
      </c>
      <c r="BC34" s="45" t="s">
        <v>344</v>
      </c>
      <c r="BD34" s="45" t="s">
        <v>343</v>
      </c>
      <c r="BE34" s="45" t="s">
        <v>349</v>
      </c>
      <c r="BF34" s="45" t="s">
        <v>343</v>
      </c>
      <c r="BG34" s="45" t="s">
        <v>343</v>
      </c>
    </row>
    <row r="35" spans="1:98" x14ac:dyDescent="0.3">
      <c r="A35">
        <v>34</v>
      </c>
      <c r="B35" t="s">
        <v>26</v>
      </c>
      <c r="C35">
        <v>4</v>
      </c>
      <c r="D35" s="5" t="s">
        <v>3</v>
      </c>
      <c r="E35" t="s">
        <v>3</v>
      </c>
      <c r="F35" t="s">
        <v>3</v>
      </c>
      <c r="G35" t="s">
        <v>5</v>
      </c>
      <c r="H35" t="s">
        <v>5</v>
      </c>
      <c r="I35" t="s">
        <v>5</v>
      </c>
      <c r="J35" t="s">
        <v>5</v>
      </c>
      <c r="K35" t="s">
        <v>2</v>
      </c>
      <c r="L35" t="s">
        <v>2</v>
      </c>
      <c r="M35" t="s">
        <v>4</v>
      </c>
      <c r="N35" t="s">
        <v>4</v>
      </c>
      <c r="O35" t="s">
        <v>5</v>
      </c>
      <c r="P35" t="s">
        <v>5</v>
      </c>
      <c r="Q35" t="s">
        <v>3</v>
      </c>
      <c r="R35" t="s">
        <v>2</v>
      </c>
      <c r="S35" t="s">
        <v>5</v>
      </c>
      <c r="T35" t="s">
        <v>5</v>
      </c>
      <c r="U35" t="s">
        <v>5</v>
      </c>
      <c r="V35" t="s">
        <v>4</v>
      </c>
      <c r="W35" t="s">
        <v>4</v>
      </c>
      <c r="X35" t="s">
        <v>3</v>
      </c>
      <c r="Y35" t="s">
        <v>4</v>
      </c>
      <c r="Z35" t="s">
        <v>3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3</v>
      </c>
      <c r="AG35" t="s">
        <v>3</v>
      </c>
      <c r="AH35" t="s">
        <v>4</v>
      </c>
      <c r="AI35" t="s">
        <v>3</v>
      </c>
      <c r="AJ35" t="s">
        <v>4</v>
      </c>
      <c r="AK35" t="s">
        <v>4</v>
      </c>
      <c r="AL35" t="s">
        <v>4</v>
      </c>
      <c r="AM35" t="s">
        <v>3</v>
      </c>
      <c r="AS35" s="6" t="s">
        <v>79</v>
      </c>
      <c r="AT35" s="6">
        <f>COUNTIFS(E:E,"C",C:C,1)/COUNTIF(C:C,1)</f>
        <v>0</v>
      </c>
      <c r="AU35" s="6">
        <f>COUNTIFS(E:E,"C",C:C,2)/COUNTIF(C:C,2)</f>
        <v>0</v>
      </c>
      <c r="AV35" s="6">
        <f>COUNTIFS(E:E,"C",C:C,3)/COUNTIF(C:C,3)</f>
        <v>0</v>
      </c>
      <c r="AW35" s="6">
        <f>COUNTIFS(E:E,"C",C:C,4)/COUNTIF(C:C,4)</f>
        <v>0</v>
      </c>
      <c r="AX35" s="6">
        <f>COUNTIFS(E:E,"C",C:C,5)/COUNTIF(C:C,5)</f>
        <v>0</v>
      </c>
      <c r="AY35" s="6">
        <f>COUNTIFS(E:E,"C",C:C,6)/COUNTIF(C:C,6)</f>
        <v>0</v>
      </c>
      <c r="AZ35"/>
      <c r="BA35" s="45" t="s">
        <v>79</v>
      </c>
      <c r="BB35" s="45" t="s">
        <v>350</v>
      </c>
      <c r="BC35" s="45" t="s">
        <v>350</v>
      </c>
      <c r="BD35" s="45" t="s">
        <v>350</v>
      </c>
      <c r="BE35" s="45" t="s">
        <v>350</v>
      </c>
      <c r="BF35" s="45" t="s">
        <v>350</v>
      </c>
      <c r="BG35" s="45" t="s">
        <v>350</v>
      </c>
      <c r="BI35" s="53" t="s">
        <v>370</v>
      </c>
      <c r="BJ35" s="24" t="s">
        <v>71</v>
      </c>
      <c r="BK35" s="1" t="s">
        <v>50</v>
      </c>
      <c r="BL35" s="1" t="s">
        <v>51</v>
      </c>
      <c r="BM35" s="1" t="s">
        <v>52</v>
      </c>
      <c r="BN35" s="1" t="s">
        <v>53</v>
      </c>
      <c r="BO35" s="1" t="s">
        <v>54</v>
      </c>
      <c r="BP35" s="1" t="s">
        <v>55</v>
      </c>
      <c r="BQ35" s="1" t="s">
        <v>56</v>
      </c>
      <c r="BR35" s="1" t="s">
        <v>57</v>
      </c>
      <c r="BS35" s="1" t="s">
        <v>58</v>
      </c>
      <c r="BT35" s="1" t="s">
        <v>59</v>
      </c>
      <c r="BU35" s="1" t="s">
        <v>60</v>
      </c>
      <c r="BV35" s="1" t="s">
        <v>61</v>
      </c>
      <c r="BW35" s="1" t="s">
        <v>62</v>
      </c>
      <c r="BX35" s="1" t="s">
        <v>63</v>
      </c>
      <c r="BY35" s="1" t="s">
        <v>64</v>
      </c>
      <c r="BZ35" s="1" t="s">
        <v>65</v>
      </c>
      <c r="CA35" s="1" t="s">
        <v>66</v>
      </c>
      <c r="CB35" s="1" t="s">
        <v>67</v>
      </c>
      <c r="CC35" s="1" t="s">
        <v>68</v>
      </c>
      <c r="CD35" s="1" t="s">
        <v>69</v>
      </c>
      <c r="CE35" s="1" t="s">
        <v>70</v>
      </c>
      <c r="CF35" s="1" t="s">
        <v>929</v>
      </c>
      <c r="CG35" s="1" t="s">
        <v>930</v>
      </c>
      <c r="CH35" s="1" t="s">
        <v>931</v>
      </c>
      <c r="CI35" s="1" t="s">
        <v>932</v>
      </c>
      <c r="CJ35" s="1" t="s">
        <v>933</v>
      </c>
      <c r="CK35" s="1" t="s">
        <v>934</v>
      </c>
      <c r="CL35" s="1" t="s">
        <v>935</v>
      </c>
      <c r="CM35" s="1" t="s">
        <v>936</v>
      </c>
      <c r="CN35" s="1" t="s">
        <v>937</v>
      </c>
      <c r="CO35" s="1" t="s">
        <v>938</v>
      </c>
      <c r="CP35" s="1" t="s">
        <v>939</v>
      </c>
      <c r="CQ35" s="1" t="s">
        <v>940</v>
      </c>
      <c r="CR35" s="1" t="s">
        <v>941</v>
      </c>
      <c r="CS35" s="1" t="s">
        <v>942</v>
      </c>
      <c r="CT35" s="1" t="s">
        <v>1008</v>
      </c>
    </row>
    <row r="36" spans="1:98" x14ac:dyDescent="0.3">
      <c r="A36">
        <v>35</v>
      </c>
      <c r="B36" t="s">
        <v>27</v>
      </c>
      <c r="C36">
        <v>4</v>
      </c>
      <c r="D36" t="s">
        <v>5</v>
      </c>
      <c r="E36" t="s">
        <v>3</v>
      </c>
      <c r="F36" t="s">
        <v>4</v>
      </c>
      <c r="G36" t="s">
        <v>3</v>
      </c>
      <c r="H36" t="s">
        <v>5</v>
      </c>
      <c r="I36" t="s">
        <v>5</v>
      </c>
      <c r="J36" t="s">
        <v>5</v>
      </c>
      <c r="K36" t="s">
        <v>2</v>
      </c>
      <c r="L36" t="s">
        <v>3</v>
      </c>
      <c r="M36" t="s">
        <v>3</v>
      </c>
      <c r="N36" t="s">
        <v>4</v>
      </c>
      <c r="O36" t="s">
        <v>5</v>
      </c>
      <c r="P36" t="s">
        <v>4</v>
      </c>
      <c r="Q36" t="s">
        <v>2</v>
      </c>
      <c r="R36" t="s">
        <v>5</v>
      </c>
      <c r="S36" t="s">
        <v>5</v>
      </c>
      <c r="T36" t="s">
        <v>5</v>
      </c>
      <c r="U36" t="s">
        <v>5</v>
      </c>
      <c r="V36" t="s">
        <v>4</v>
      </c>
      <c r="W36" t="s">
        <v>4</v>
      </c>
      <c r="X36" t="s">
        <v>4</v>
      </c>
      <c r="Y36" t="s">
        <v>2</v>
      </c>
      <c r="Z36" t="s">
        <v>3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3</v>
      </c>
      <c r="AJ36" t="s">
        <v>4</v>
      </c>
      <c r="AK36" t="s">
        <v>4</v>
      </c>
      <c r="AL36" t="s">
        <v>4</v>
      </c>
      <c r="AM36" t="s">
        <v>3</v>
      </c>
      <c r="AS36" s="6" t="s">
        <v>80</v>
      </c>
      <c r="AT36" s="6">
        <f>COUNTIFS(E:E,"D",C:C,1)/COUNTIF(C:C,1)</f>
        <v>0.2</v>
      </c>
      <c r="AU36" s="6">
        <f>COUNTIFS(E:E,"D",C:C,2)/COUNTIF(C:C,2)</f>
        <v>0.8</v>
      </c>
      <c r="AV36" s="6">
        <f>COUNTIFS(E:E,"D",C:C,3)/COUNTIF(C:C,3)</f>
        <v>0.4</v>
      </c>
      <c r="AW36" s="6">
        <f>COUNTIFS(E:E,"D",C:C,4)/COUNTIF(C:C,4)</f>
        <v>0.1</v>
      </c>
      <c r="AX36" s="6">
        <f>COUNTIFS(E:E,"D",C:C,5)/COUNTIF(C:C,5)</f>
        <v>0.5</v>
      </c>
      <c r="AY36" s="6">
        <f>COUNTIFS(E:E,"D",C:C,6)/COUNTIF(C:C,6)</f>
        <v>0.5</v>
      </c>
      <c r="AZ36"/>
      <c r="BA36" s="45" t="s">
        <v>80</v>
      </c>
      <c r="BB36" s="45" t="s">
        <v>346</v>
      </c>
      <c r="BC36" s="45" t="s">
        <v>345</v>
      </c>
      <c r="BD36" s="45" t="s">
        <v>341</v>
      </c>
      <c r="BE36" s="45" t="s">
        <v>348</v>
      </c>
      <c r="BF36" s="45" t="s">
        <v>343</v>
      </c>
      <c r="BG36" s="45" t="s">
        <v>343</v>
      </c>
      <c r="BI36" s="53"/>
      <c r="BJ36" s="24">
        <v>1</v>
      </c>
      <c r="BK36" t="s">
        <v>2</v>
      </c>
      <c r="BL36" t="s">
        <v>3</v>
      </c>
      <c r="BM36" t="s">
        <v>4</v>
      </c>
      <c r="BN36" t="s">
        <v>5</v>
      </c>
      <c r="BO36" t="s">
        <v>5</v>
      </c>
      <c r="BP36" t="s">
        <v>5</v>
      </c>
      <c r="BQ36" t="s">
        <v>5</v>
      </c>
      <c r="BR36" t="s">
        <v>2</v>
      </c>
      <c r="BS36" t="s">
        <v>3</v>
      </c>
      <c r="BT36" t="s">
        <v>3</v>
      </c>
      <c r="BU36" t="s">
        <v>4</v>
      </c>
      <c r="BV36" t="s">
        <v>3</v>
      </c>
      <c r="BW36" t="s">
        <v>5</v>
      </c>
      <c r="BX36" t="s">
        <v>3</v>
      </c>
      <c r="BY36" t="s">
        <v>3</v>
      </c>
      <c r="BZ36" t="s">
        <v>5</v>
      </c>
      <c r="CA36" t="s">
        <v>5</v>
      </c>
      <c r="CB36" t="s">
        <v>5</v>
      </c>
      <c r="CC36" t="s">
        <v>2</v>
      </c>
      <c r="CD36" t="s">
        <v>4</v>
      </c>
      <c r="CE36" t="s">
        <v>3</v>
      </c>
      <c r="CF36" t="s">
        <v>2</v>
      </c>
      <c r="CG36" t="s">
        <v>3</v>
      </c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t="s">
        <v>4</v>
      </c>
      <c r="CN36" t="s">
        <v>4</v>
      </c>
      <c r="CO36" t="s">
        <v>4</v>
      </c>
      <c r="CP36" t="s">
        <v>4</v>
      </c>
      <c r="CQ36" t="s">
        <v>4</v>
      </c>
      <c r="CR36" t="s">
        <v>4</v>
      </c>
      <c r="CS36" t="s">
        <v>3</v>
      </c>
      <c r="CT36" t="s">
        <v>3</v>
      </c>
    </row>
    <row r="37" spans="1:98" x14ac:dyDescent="0.3">
      <c r="A37">
        <v>36</v>
      </c>
      <c r="B37" t="s">
        <v>28</v>
      </c>
      <c r="C37">
        <v>4</v>
      </c>
      <c r="D37" t="s">
        <v>5</v>
      </c>
      <c r="E37" t="s">
        <v>3</v>
      </c>
      <c r="F37" t="s">
        <v>2</v>
      </c>
      <c r="G37" t="s">
        <v>5</v>
      </c>
      <c r="H37" t="s">
        <v>5</v>
      </c>
      <c r="I37" t="s">
        <v>5</v>
      </c>
      <c r="J37" t="s">
        <v>2</v>
      </c>
      <c r="K37" t="s">
        <v>2</v>
      </c>
      <c r="L37" t="s">
        <v>3</v>
      </c>
      <c r="M37" t="s">
        <v>3</v>
      </c>
      <c r="N37" t="s">
        <v>3</v>
      </c>
      <c r="O37" t="s">
        <v>3</v>
      </c>
      <c r="P37" t="s">
        <v>2</v>
      </c>
      <c r="Q37" t="s">
        <v>2</v>
      </c>
      <c r="R37" t="s">
        <v>2</v>
      </c>
      <c r="S37" t="s">
        <v>5</v>
      </c>
      <c r="T37" t="s">
        <v>2</v>
      </c>
      <c r="U37" t="s">
        <v>2</v>
      </c>
      <c r="V37" t="s">
        <v>5</v>
      </c>
      <c r="W37" t="s">
        <v>3</v>
      </c>
      <c r="X37" t="s">
        <v>2</v>
      </c>
      <c r="Y37" t="s">
        <v>2</v>
      </c>
      <c r="Z37" t="s">
        <v>3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3</v>
      </c>
      <c r="AH37" t="s">
        <v>4</v>
      </c>
      <c r="AI37" t="s">
        <v>3</v>
      </c>
      <c r="AJ37" t="s">
        <v>4</v>
      </c>
      <c r="AK37" t="s">
        <v>4</v>
      </c>
      <c r="AL37" t="s">
        <v>4</v>
      </c>
      <c r="AM37" t="s">
        <v>3</v>
      </c>
      <c r="AZ37"/>
      <c r="BA37" s="43"/>
      <c r="BB37" s="43"/>
      <c r="BC37" s="43"/>
      <c r="BD37" s="43"/>
      <c r="BE37" s="43"/>
      <c r="BF37" s="43"/>
      <c r="BG37" s="43"/>
      <c r="BI37" t="s">
        <v>465</v>
      </c>
    </row>
    <row r="38" spans="1:98" x14ac:dyDescent="0.3">
      <c r="A38">
        <v>37</v>
      </c>
      <c r="B38" t="s">
        <v>328</v>
      </c>
      <c r="C38">
        <v>4</v>
      </c>
      <c r="D38" t="s">
        <v>5</v>
      </c>
      <c r="E38" t="s">
        <v>3</v>
      </c>
      <c r="F38" t="s">
        <v>3</v>
      </c>
      <c r="G38" t="s">
        <v>2</v>
      </c>
      <c r="H38" t="s">
        <v>5</v>
      </c>
      <c r="I38" t="s">
        <v>5</v>
      </c>
      <c r="J38" t="s">
        <v>5</v>
      </c>
      <c r="K38" t="s">
        <v>2</v>
      </c>
      <c r="L38" t="s">
        <v>2</v>
      </c>
      <c r="M38" t="s">
        <v>2</v>
      </c>
      <c r="N38" t="s">
        <v>3</v>
      </c>
      <c r="O38" t="s">
        <v>5</v>
      </c>
      <c r="P38" t="s">
        <v>5</v>
      </c>
      <c r="Q38" t="s">
        <v>2</v>
      </c>
      <c r="R38" t="s">
        <v>2</v>
      </c>
      <c r="S38" t="s">
        <v>5</v>
      </c>
      <c r="T38" t="s">
        <v>5</v>
      </c>
      <c r="U38" t="s">
        <v>5</v>
      </c>
      <c r="V38" t="s">
        <v>5</v>
      </c>
      <c r="W38" t="s">
        <v>3</v>
      </c>
      <c r="X38" t="s">
        <v>3</v>
      </c>
      <c r="Y38" t="s">
        <v>2</v>
      </c>
      <c r="Z38" t="s">
        <v>3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3</v>
      </c>
      <c r="AG38" t="s">
        <v>3</v>
      </c>
      <c r="AH38" t="s">
        <v>4</v>
      </c>
      <c r="AI38" t="s">
        <v>3</v>
      </c>
      <c r="AJ38" t="s">
        <v>4</v>
      </c>
      <c r="AK38" t="s">
        <v>4</v>
      </c>
      <c r="AL38" t="s">
        <v>3</v>
      </c>
      <c r="AM38" t="s">
        <v>3</v>
      </c>
      <c r="AS38" s="7" t="s">
        <v>266</v>
      </c>
      <c r="AT38" s="7">
        <v>1</v>
      </c>
      <c r="AU38" s="7">
        <v>2</v>
      </c>
      <c r="AV38" s="7">
        <v>3</v>
      </c>
      <c r="AW38" s="7">
        <v>4</v>
      </c>
      <c r="AX38" s="7">
        <v>5</v>
      </c>
      <c r="AY38" s="7">
        <v>6</v>
      </c>
      <c r="AZ38"/>
      <c r="BA38" s="44" t="s">
        <v>266</v>
      </c>
      <c r="BB38" s="44">
        <v>1</v>
      </c>
      <c r="BC38" s="44">
        <v>2</v>
      </c>
      <c r="BD38" s="44">
        <v>3</v>
      </c>
      <c r="BE38" s="44">
        <v>4</v>
      </c>
      <c r="BF38" s="44">
        <v>5</v>
      </c>
      <c r="BG38" s="44">
        <v>6</v>
      </c>
      <c r="BI38" s="3" t="s">
        <v>355</v>
      </c>
      <c r="BJ38">
        <f>AV18*AT29*AT34*AT39*AT48*AT54*AT60*AT66*AT71*AT76*AT82*AT87*AT94*AT102*AT106*AT112*AT120*AT126*AT132*AT137*AT141*AT148*AT155*AT160*AT163*AT167*AT171*AT175*AT179*AT183*AT187*AT191*AT195*AT199*AT203*AT208*AT212</f>
        <v>1.8970093707264001E-8</v>
      </c>
    </row>
    <row r="39" spans="1:98" x14ac:dyDescent="0.3">
      <c r="A39">
        <v>38</v>
      </c>
      <c r="B39" t="s">
        <v>329</v>
      </c>
      <c r="C39">
        <v>4</v>
      </c>
      <c r="D39" t="s">
        <v>5</v>
      </c>
      <c r="E39" t="s">
        <v>3</v>
      </c>
      <c r="F39" t="s">
        <v>3</v>
      </c>
      <c r="G39" t="s">
        <v>5</v>
      </c>
      <c r="H39" t="s">
        <v>5</v>
      </c>
      <c r="I39" t="s">
        <v>5</v>
      </c>
      <c r="J39" t="s">
        <v>5</v>
      </c>
      <c r="K39" t="s">
        <v>2</v>
      </c>
      <c r="L39" t="s">
        <v>2</v>
      </c>
      <c r="M39" t="s">
        <v>4</v>
      </c>
      <c r="N39" t="s">
        <v>4</v>
      </c>
      <c r="O39" t="s">
        <v>5</v>
      </c>
      <c r="P39" t="s">
        <v>5</v>
      </c>
      <c r="Q39" t="s">
        <v>3</v>
      </c>
      <c r="R39" t="s">
        <v>2</v>
      </c>
      <c r="S39" t="s">
        <v>5</v>
      </c>
      <c r="T39" t="s">
        <v>5</v>
      </c>
      <c r="U39" t="s">
        <v>5</v>
      </c>
      <c r="V39" t="s">
        <v>4</v>
      </c>
      <c r="W39" t="s">
        <v>4</v>
      </c>
      <c r="X39" t="s">
        <v>3</v>
      </c>
      <c r="Y39" t="s">
        <v>2</v>
      </c>
      <c r="Z39" t="s">
        <v>3</v>
      </c>
      <c r="AA39" t="s">
        <v>4</v>
      </c>
      <c r="AB39" t="s">
        <v>4</v>
      </c>
      <c r="AC39" t="s">
        <v>4</v>
      </c>
      <c r="AD39" t="s">
        <v>3</v>
      </c>
      <c r="AE39" t="s">
        <v>4</v>
      </c>
      <c r="AF39" t="s">
        <v>4</v>
      </c>
      <c r="AG39" t="s">
        <v>3</v>
      </c>
      <c r="AH39" t="s">
        <v>4</v>
      </c>
      <c r="AI39" t="s">
        <v>3</v>
      </c>
      <c r="AJ39" t="s">
        <v>3</v>
      </c>
      <c r="AK39" t="s">
        <v>4</v>
      </c>
      <c r="AL39" t="s">
        <v>4</v>
      </c>
      <c r="AM39" t="s">
        <v>3</v>
      </c>
      <c r="AS39" s="6" t="s">
        <v>81</v>
      </c>
      <c r="AT39" s="6">
        <f>COUNTIFS(F:F,"A",C:C,1)/COUNTIF(C:C,1)</f>
        <v>0.3</v>
      </c>
      <c r="AU39" s="6">
        <f>COUNTIFS(F:F,"A",C:C,2)/COUNTIF(C:C,2)</f>
        <v>0.2</v>
      </c>
      <c r="AV39" s="6">
        <f>COUNTIFS(F:F,"A",C:C,3)/COUNTIF(C:C,3)</f>
        <v>0.2</v>
      </c>
      <c r="AW39" s="6">
        <f>COUNTIFS(F:F,"A",C:C,4)/COUNTIF(C:C,4)</f>
        <v>0.3</v>
      </c>
      <c r="AX39" s="6">
        <f>COUNTIFS(F:F,"A",C:C,5)/COUNTIF(C:C,5)</f>
        <v>0.1</v>
      </c>
      <c r="AY39" s="6">
        <f>COUNTIFS(F:F,"A",C:C,6)/COUNTIF(C:C,6)</f>
        <v>0.1</v>
      </c>
      <c r="AZ39"/>
      <c r="BA39" s="45" t="s">
        <v>81</v>
      </c>
      <c r="BB39" s="45" t="s">
        <v>344</v>
      </c>
      <c r="BC39" s="45" t="s">
        <v>346</v>
      </c>
      <c r="BD39" s="45" t="s">
        <v>346</v>
      </c>
      <c r="BE39" s="45" t="s">
        <v>344</v>
      </c>
      <c r="BF39" s="45" t="s">
        <v>348</v>
      </c>
      <c r="BG39" s="45" t="s">
        <v>348</v>
      </c>
      <c r="BI39" t="s">
        <v>466</v>
      </c>
    </row>
    <row r="40" spans="1:98" x14ac:dyDescent="0.3">
      <c r="A40">
        <v>39</v>
      </c>
      <c r="B40" t="s">
        <v>330</v>
      </c>
      <c r="C40">
        <v>4</v>
      </c>
      <c r="D40" t="s">
        <v>3</v>
      </c>
      <c r="E40" t="s">
        <v>3</v>
      </c>
      <c r="F40" t="s">
        <v>4</v>
      </c>
      <c r="G40" t="s">
        <v>2</v>
      </c>
      <c r="H40" t="s">
        <v>5</v>
      </c>
      <c r="I40" t="s">
        <v>5</v>
      </c>
      <c r="J40" t="s">
        <v>5</v>
      </c>
      <c r="K40" t="s">
        <v>2</v>
      </c>
      <c r="L40" t="s">
        <v>2</v>
      </c>
      <c r="M40" t="s">
        <v>2</v>
      </c>
      <c r="N40" t="s">
        <v>5</v>
      </c>
      <c r="O40" t="s">
        <v>2</v>
      </c>
      <c r="P40" t="s">
        <v>5</v>
      </c>
      <c r="Q40" t="s">
        <v>3</v>
      </c>
      <c r="R40" t="s">
        <v>3</v>
      </c>
      <c r="S40" t="s">
        <v>5</v>
      </c>
      <c r="T40" t="s">
        <v>5</v>
      </c>
      <c r="U40" t="s">
        <v>5</v>
      </c>
      <c r="V40" t="s">
        <v>5</v>
      </c>
      <c r="W40" t="s">
        <v>4</v>
      </c>
      <c r="X40" t="s">
        <v>4</v>
      </c>
      <c r="Y40" t="s">
        <v>2</v>
      </c>
      <c r="Z40" t="s">
        <v>3</v>
      </c>
      <c r="AA40" t="s">
        <v>4</v>
      </c>
      <c r="AB40" t="s">
        <v>4</v>
      </c>
      <c r="AC40" t="s">
        <v>4</v>
      </c>
      <c r="AD40" t="s">
        <v>3</v>
      </c>
      <c r="AE40" t="s">
        <v>4</v>
      </c>
      <c r="AF40" t="s">
        <v>4</v>
      </c>
      <c r="AG40" t="s">
        <v>3</v>
      </c>
      <c r="AH40" t="s">
        <v>4</v>
      </c>
      <c r="AI40" t="s">
        <v>3</v>
      </c>
      <c r="AJ40" t="s">
        <v>3</v>
      </c>
      <c r="AK40" t="s">
        <v>4</v>
      </c>
      <c r="AL40" t="s">
        <v>3</v>
      </c>
      <c r="AM40" t="s">
        <v>3</v>
      </c>
      <c r="AS40" s="6" t="s">
        <v>82</v>
      </c>
      <c r="AT40" s="6">
        <f>COUNTIFS(F:F,"B",C:C,1)/COUNTIF(C:C,1)</f>
        <v>0.2</v>
      </c>
      <c r="AU40" s="6">
        <f>COUNTIFS(F:F,"B",C:C,2)/COUNTIF(C:C,2)</f>
        <v>0.5</v>
      </c>
      <c r="AV40" s="6">
        <f>COUNTIFS(F:F,"B",C:C,3)/COUNTIF(C:C,3)</f>
        <v>0.8</v>
      </c>
      <c r="AW40" s="6">
        <f>COUNTIFS(F:F,"B",C:C,4)/COUNTIF(C:C,4)</f>
        <v>0.4</v>
      </c>
      <c r="AX40" s="6">
        <f>COUNTIFS(F:F,"B",C:C,5)/COUNTIF(C:C,5)</f>
        <v>0.4</v>
      </c>
      <c r="AY40" s="6">
        <f>COUNTIFS(F:F,"B",C:C,6)/COUNTIF(C:C,6)</f>
        <v>0.4</v>
      </c>
      <c r="AZ40"/>
      <c r="BA40" s="45" t="s">
        <v>82</v>
      </c>
      <c r="BB40" s="45" t="s">
        <v>346</v>
      </c>
      <c r="BC40" s="45" t="s">
        <v>341</v>
      </c>
      <c r="BD40" s="45" t="s">
        <v>347</v>
      </c>
      <c r="BE40" s="45" t="s">
        <v>341</v>
      </c>
      <c r="BF40" s="45" t="s">
        <v>341</v>
      </c>
      <c r="BG40" s="45" t="s">
        <v>341</v>
      </c>
      <c r="BI40" s="3" t="s">
        <v>355</v>
      </c>
      <c r="BJ40">
        <f>AV19*AU29*AU34*AU39*AU48*AU54*AU60*AU66*AU71*AU76*AU82*AU87*AU94*AU102*AU106*AU112*AU120*AU126*AU132*AU137*AU141*AU148*AU155*AU160*AU163*AU167*AU171*AU175*AU179*AU183*AU187*AU191*AU195*AU199*AU203*AU208*AU212</f>
        <v>7.3156608000000012E-12</v>
      </c>
    </row>
    <row r="41" spans="1:98" x14ac:dyDescent="0.3">
      <c r="A41">
        <v>40</v>
      </c>
      <c r="B41" t="s">
        <v>331</v>
      </c>
      <c r="C41">
        <v>4</v>
      </c>
      <c r="D41" t="s">
        <v>5</v>
      </c>
      <c r="E41" t="s">
        <v>3</v>
      </c>
      <c r="F41" t="s">
        <v>2</v>
      </c>
      <c r="G41" t="s">
        <v>5</v>
      </c>
      <c r="H41" t="s">
        <v>5</v>
      </c>
      <c r="I41" t="s">
        <v>5</v>
      </c>
      <c r="J41" t="s">
        <v>5</v>
      </c>
      <c r="K41" t="s">
        <v>2</v>
      </c>
      <c r="L41" t="s">
        <v>2</v>
      </c>
      <c r="M41" t="s">
        <v>2</v>
      </c>
      <c r="N41" t="s">
        <v>3</v>
      </c>
      <c r="O41" t="s">
        <v>5</v>
      </c>
      <c r="P41" t="s">
        <v>5</v>
      </c>
      <c r="Q41" t="s">
        <v>2</v>
      </c>
      <c r="R41" t="s">
        <v>2</v>
      </c>
      <c r="S41" t="s">
        <v>5</v>
      </c>
      <c r="T41" t="s">
        <v>5</v>
      </c>
      <c r="U41" t="s">
        <v>5</v>
      </c>
      <c r="V41" t="s">
        <v>5</v>
      </c>
      <c r="W41" t="s">
        <v>3</v>
      </c>
      <c r="X41" t="s">
        <v>3</v>
      </c>
      <c r="Y41" t="s">
        <v>2</v>
      </c>
      <c r="Z41" t="s">
        <v>3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3</v>
      </c>
      <c r="AG41" t="s">
        <v>3</v>
      </c>
      <c r="AH41" t="s">
        <v>4</v>
      </c>
      <c r="AI41" t="s">
        <v>3</v>
      </c>
      <c r="AJ41" t="s">
        <v>3</v>
      </c>
      <c r="AK41" t="s">
        <v>4</v>
      </c>
      <c r="AL41" t="s">
        <v>3</v>
      </c>
      <c r="AM41" t="s">
        <v>3</v>
      </c>
      <c r="AS41" s="6" t="s">
        <v>83</v>
      </c>
      <c r="AT41" s="6">
        <f>COUNTIFS(F:F,"C",C:C,1)/COUNTIF(C:C,1)</f>
        <v>0.5</v>
      </c>
      <c r="AU41" s="6">
        <f>COUNTIFS(F:F,"C",C:C,2)/COUNTIF(C:C,2)</f>
        <v>0.3</v>
      </c>
      <c r="AV41" s="6">
        <f>COUNTIFS(F:F,"C",C:C,3)/COUNTIF(C:C,3)</f>
        <v>0</v>
      </c>
      <c r="AW41" s="6">
        <f>COUNTIFS(F:F,"C",C:C,4)/COUNTIF(C:C,4)</f>
        <v>0.2</v>
      </c>
      <c r="AX41" s="6">
        <f>COUNTIFS(F:F,"C",C:C,5)/COUNTIF(C:C,5)</f>
        <v>0.4</v>
      </c>
      <c r="AY41" s="6">
        <f>COUNTIFS(F:F,"C",C:C,6)/COUNTIF(C:C,6)</f>
        <v>0.2</v>
      </c>
      <c r="AZ41"/>
      <c r="BA41" s="45" t="s">
        <v>83</v>
      </c>
      <c r="BB41" s="45" t="s">
        <v>343</v>
      </c>
      <c r="BC41" s="45" t="s">
        <v>341</v>
      </c>
      <c r="BD41" s="45" t="s">
        <v>350</v>
      </c>
      <c r="BE41" s="45" t="s">
        <v>346</v>
      </c>
      <c r="BF41" s="45" t="s">
        <v>341</v>
      </c>
      <c r="BG41" s="45" t="s">
        <v>346</v>
      </c>
      <c r="BI41" t="s">
        <v>467</v>
      </c>
    </row>
    <row r="42" spans="1:98" x14ac:dyDescent="0.3">
      <c r="A42">
        <v>41</v>
      </c>
      <c r="B42" t="s">
        <v>29</v>
      </c>
      <c r="C42">
        <v>5</v>
      </c>
      <c r="D42" t="s">
        <v>5</v>
      </c>
      <c r="E42" t="s">
        <v>3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2</v>
      </c>
      <c r="L42" t="s">
        <v>2</v>
      </c>
      <c r="M42" t="s">
        <v>4</v>
      </c>
      <c r="N42" t="s">
        <v>4</v>
      </c>
      <c r="O42" t="s">
        <v>3</v>
      </c>
      <c r="P42" t="s">
        <v>5</v>
      </c>
      <c r="Q42" t="s">
        <v>2</v>
      </c>
      <c r="R42" t="s">
        <v>5</v>
      </c>
      <c r="S42" t="s">
        <v>2</v>
      </c>
      <c r="T42" t="s">
        <v>2</v>
      </c>
      <c r="U42" t="s">
        <v>5</v>
      </c>
      <c r="V42" t="s">
        <v>4</v>
      </c>
      <c r="W42" t="s">
        <v>3</v>
      </c>
      <c r="X42" t="s">
        <v>3</v>
      </c>
      <c r="Y42" t="s">
        <v>4</v>
      </c>
      <c r="Z42" t="s">
        <v>3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3</v>
      </c>
      <c r="AH42" t="s">
        <v>4</v>
      </c>
      <c r="AI42" t="s">
        <v>3</v>
      </c>
      <c r="AJ42" t="s">
        <v>4</v>
      </c>
      <c r="AK42" t="s">
        <v>4</v>
      </c>
      <c r="AL42" t="s">
        <v>4</v>
      </c>
      <c r="AM42" t="s">
        <v>3</v>
      </c>
      <c r="AS42" s="6" t="s">
        <v>84</v>
      </c>
      <c r="AT42" s="6">
        <f>COUNTIFS(F:F,"D",C:C,1)/COUNTIF(C:C,1)</f>
        <v>0</v>
      </c>
      <c r="AU42" s="6">
        <f>COUNTIFS(F:F,"D",C:C,2)/COUNTIF(C:C,2)</f>
        <v>0</v>
      </c>
      <c r="AV42" s="6">
        <f>COUNTIFS(F:F,"D",C:C,3)/COUNTIF(C:C,3)</f>
        <v>0</v>
      </c>
      <c r="AW42" s="6">
        <f>COUNTIFS(F:F,"D",C:C,4)/COUNTIF(C:C,4)</f>
        <v>0.1</v>
      </c>
      <c r="AX42" s="6">
        <f>COUNTIFS(F:F,"D",C:C,5)/COUNTIF(C:C,5)</f>
        <v>0.1</v>
      </c>
      <c r="AY42" s="6">
        <f>COUNTIFS(F:F,"D",C:C,6)/COUNTIF(C:C,6)</f>
        <v>0.3</v>
      </c>
      <c r="AZ42"/>
      <c r="BA42" s="45" t="s">
        <v>84</v>
      </c>
      <c r="BB42" s="45" t="s">
        <v>350</v>
      </c>
      <c r="BC42" s="45" t="s">
        <v>350</v>
      </c>
      <c r="BD42" s="45" t="s">
        <v>350</v>
      </c>
      <c r="BE42" s="45" t="s">
        <v>348</v>
      </c>
      <c r="BF42" s="45" t="s">
        <v>348</v>
      </c>
      <c r="BG42" s="45" t="s">
        <v>344</v>
      </c>
      <c r="BI42" s="3" t="s">
        <v>355</v>
      </c>
      <c r="BJ42">
        <f>AV20*AV29*AV34*AV39*AV48*AV54*AV60*AV66*AV71*AV76*AV82*AV87*AV94*AV102*AV106*AV112*AV120*AV126*AV132*AV137*AV141*AV148*AV155*AV160*AV163*AV167*AV171*AV175*AV179*AV183*AV187*AV191*AV195*AV199*AV203*AV208*AV212</f>
        <v>0</v>
      </c>
    </row>
    <row r="43" spans="1:98" x14ac:dyDescent="0.3">
      <c r="A43">
        <v>42</v>
      </c>
      <c r="B43" t="s">
        <v>30</v>
      </c>
      <c r="C43">
        <v>5</v>
      </c>
      <c r="D43" t="s">
        <v>2</v>
      </c>
      <c r="E43" t="s">
        <v>5</v>
      </c>
      <c r="F43" t="s">
        <v>3</v>
      </c>
      <c r="G43" t="s">
        <v>5</v>
      </c>
      <c r="H43" t="s">
        <v>5</v>
      </c>
      <c r="I43" t="s">
        <v>3</v>
      </c>
      <c r="J43" t="s">
        <v>5</v>
      </c>
      <c r="K43" t="s">
        <v>2</v>
      </c>
      <c r="L43" t="s">
        <v>2</v>
      </c>
      <c r="M43" t="s">
        <v>5</v>
      </c>
      <c r="N43" t="s">
        <v>2</v>
      </c>
      <c r="O43" t="s">
        <v>2</v>
      </c>
      <c r="P43" t="s">
        <v>4</v>
      </c>
      <c r="Q43" t="s">
        <v>3</v>
      </c>
      <c r="R43" t="s">
        <v>2</v>
      </c>
      <c r="S43" t="s">
        <v>5</v>
      </c>
      <c r="T43" t="s">
        <v>5</v>
      </c>
      <c r="U43" t="s">
        <v>5</v>
      </c>
      <c r="V43" t="s">
        <v>3</v>
      </c>
      <c r="W43" t="s">
        <v>3</v>
      </c>
      <c r="X43" t="s">
        <v>3</v>
      </c>
      <c r="Y43" t="s">
        <v>4</v>
      </c>
      <c r="Z43" t="s">
        <v>3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3</v>
      </c>
      <c r="AG43" t="s">
        <v>4</v>
      </c>
      <c r="AH43" t="s">
        <v>4</v>
      </c>
      <c r="AI43" t="s">
        <v>3</v>
      </c>
      <c r="AJ43" t="s">
        <v>4</v>
      </c>
      <c r="AK43" t="s">
        <v>4</v>
      </c>
      <c r="AL43" t="s">
        <v>4</v>
      </c>
      <c r="AM43" t="s">
        <v>3</v>
      </c>
      <c r="AZ43"/>
      <c r="BA43" s="43"/>
      <c r="BB43" s="43"/>
      <c r="BC43" s="43"/>
      <c r="BD43" s="43"/>
      <c r="BE43" s="43"/>
      <c r="BF43" s="43"/>
      <c r="BG43" s="43"/>
      <c r="BI43" t="s">
        <v>468</v>
      </c>
    </row>
    <row r="44" spans="1:98" x14ac:dyDescent="0.3">
      <c r="A44">
        <v>43</v>
      </c>
      <c r="B44" t="s">
        <v>31</v>
      </c>
      <c r="C44">
        <v>5</v>
      </c>
      <c r="D44" t="s">
        <v>4</v>
      </c>
      <c r="E44" t="s">
        <v>5</v>
      </c>
      <c r="F44" t="s">
        <v>2</v>
      </c>
      <c r="G44" t="s">
        <v>5</v>
      </c>
      <c r="H44" t="s">
        <v>5</v>
      </c>
      <c r="I44" t="s">
        <v>5</v>
      </c>
      <c r="J44" t="s">
        <v>2</v>
      </c>
      <c r="K44" t="s">
        <v>2</v>
      </c>
      <c r="L44" t="s">
        <v>2</v>
      </c>
      <c r="M44" t="s">
        <v>4</v>
      </c>
      <c r="N44" t="s">
        <v>4</v>
      </c>
      <c r="O44" t="s">
        <v>4</v>
      </c>
      <c r="P44" t="s">
        <v>5</v>
      </c>
      <c r="Q44" t="s">
        <v>4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4</v>
      </c>
      <c r="X44" t="s">
        <v>3</v>
      </c>
      <c r="Y44" t="s">
        <v>3</v>
      </c>
      <c r="Z44" t="s">
        <v>3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4</v>
      </c>
      <c r="AG44" t="s">
        <v>3</v>
      </c>
      <c r="AH44" t="s">
        <v>4</v>
      </c>
      <c r="AI44" t="s">
        <v>3</v>
      </c>
      <c r="AJ44" t="s">
        <v>4</v>
      </c>
      <c r="AK44" t="s">
        <v>4</v>
      </c>
      <c r="AL44" t="s">
        <v>4</v>
      </c>
      <c r="AM44" t="s">
        <v>3</v>
      </c>
      <c r="AS44" s="7" t="s">
        <v>267</v>
      </c>
      <c r="AT44" s="7">
        <v>1</v>
      </c>
      <c r="AU44" s="7">
        <v>2</v>
      </c>
      <c r="AV44" s="7">
        <v>3</v>
      </c>
      <c r="AW44" s="7">
        <v>4</v>
      </c>
      <c r="AX44" s="7">
        <v>5</v>
      </c>
      <c r="AY44" s="7">
        <v>6</v>
      </c>
      <c r="AZ44"/>
      <c r="BA44" s="44" t="s">
        <v>267</v>
      </c>
      <c r="BB44" s="44">
        <v>1</v>
      </c>
      <c r="BC44" s="44">
        <v>2</v>
      </c>
      <c r="BD44" s="44">
        <v>3</v>
      </c>
      <c r="BE44" s="44">
        <v>4</v>
      </c>
      <c r="BF44" s="44">
        <v>5</v>
      </c>
      <c r="BG44" s="44">
        <v>6</v>
      </c>
      <c r="BI44" s="3" t="s">
        <v>355</v>
      </c>
      <c r="BJ44">
        <f>AV21*AW29*AW34*AW39*AW48*AW54*AW60*AW66*AW71*AW76*AW82*AW87*AW94*AW102*AW106*AW112*AW120*AW126*AW132*AW137*AW141*AW148*AW155*AW160*AW163*AW167*AW171*AW175*AW179*AW183*AW187*AW191*AW195*AW199*AW203*AW208*AW212</f>
        <v>0</v>
      </c>
    </row>
    <row r="45" spans="1:98" x14ac:dyDescent="0.3">
      <c r="A45">
        <v>44</v>
      </c>
      <c r="B45" t="s">
        <v>32</v>
      </c>
      <c r="C45">
        <v>5</v>
      </c>
      <c r="D45" t="s">
        <v>5</v>
      </c>
      <c r="E45" t="s">
        <v>3</v>
      </c>
      <c r="F45" t="s">
        <v>3</v>
      </c>
      <c r="G45" t="s">
        <v>5</v>
      </c>
      <c r="H45" t="s">
        <v>5</v>
      </c>
      <c r="I45" t="s">
        <v>5</v>
      </c>
      <c r="J45" t="s">
        <v>5</v>
      </c>
      <c r="K45" t="s">
        <v>2</v>
      </c>
      <c r="L45" t="s">
        <v>4</v>
      </c>
      <c r="M45" t="s">
        <v>4</v>
      </c>
      <c r="N45" t="s">
        <v>4</v>
      </c>
      <c r="O45" t="s">
        <v>5</v>
      </c>
      <c r="P45" t="s">
        <v>2</v>
      </c>
      <c r="Q45" t="s">
        <v>4</v>
      </c>
      <c r="R45" t="s">
        <v>5</v>
      </c>
      <c r="S45" t="s">
        <v>5</v>
      </c>
      <c r="T45" t="s">
        <v>3</v>
      </c>
      <c r="U45" t="s">
        <v>3</v>
      </c>
      <c r="V45" t="s">
        <v>3</v>
      </c>
      <c r="W45" t="s">
        <v>4</v>
      </c>
      <c r="X45" t="s">
        <v>3</v>
      </c>
      <c r="Y45" t="s">
        <v>2</v>
      </c>
      <c r="Z45" t="s">
        <v>3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4</v>
      </c>
      <c r="AG45" t="s">
        <v>3</v>
      </c>
      <c r="AH45" t="s">
        <v>4</v>
      </c>
      <c r="AI45" t="s">
        <v>3</v>
      </c>
      <c r="AJ45" t="s">
        <v>4</v>
      </c>
      <c r="AK45" t="s">
        <v>4</v>
      </c>
      <c r="AL45" t="s">
        <v>4</v>
      </c>
      <c r="AM45" t="s">
        <v>3</v>
      </c>
      <c r="AS45" s="6" t="s">
        <v>85</v>
      </c>
      <c r="AT45" s="6">
        <f>COUNTIFS(G:G,"A",C:C,1)/COUNTIF(C:C,1)</f>
        <v>0</v>
      </c>
      <c r="AU45" s="6">
        <f>COUNTIFS(G:G,"A",C:C,2)/COUNTIF(C:C,2)</f>
        <v>0</v>
      </c>
      <c r="AV45" s="6">
        <f>COUNTIFS(G:G,"A",C:C,3)/COUNTIF(C:C,3)</f>
        <v>0</v>
      </c>
      <c r="AW45" s="6">
        <f>COUNTIFS(G:G,"A",C:C,4)/COUNTIF(C:C,4)</f>
        <v>0</v>
      </c>
      <c r="AX45" s="6">
        <f>COUNTIFS(G:G,"A",C:C,5)/COUNTIF(C:C,5)</f>
        <v>0</v>
      </c>
      <c r="AY45" s="6">
        <f>COUNTIFS(G:G,"A",C:C,6)/COUNTIF(C:C,6)</f>
        <v>0</v>
      </c>
      <c r="AZ45"/>
      <c r="BA45" s="45" t="s">
        <v>85</v>
      </c>
      <c r="BB45" s="45" t="s">
        <v>350</v>
      </c>
      <c r="BC45" s="45" t="s">
        <v>350</v>
      </c>
      <c r="BD45" s="45" t="s">
        <v>350</v>
      </c>
      <c r="BE45" s="45" t="s">
        <v>350</v>
      </c>
      <c r="BF45" s="45" t="s">
        <v>350</v>
      </c>
      <c r="BG45" s="45" t="s">
        <v>350</v>
      </c>
      <c r="BI45" t="s">
        <v>469</v>
      </c>
    </row>
    <row r="46" spans="1:98" x14ac:dyDescent="0.3">
      <c r="A46">
        <v>45</v>
      </c>
      <c r="B46" t="s">
        <v>33</v>
      </c>
      <c r="C46">
        <v>5</v>
      </c>
      <c r="D46" t="s">
        <v>5</v>
      </c>
      <c r="E46" t="s">
        <v>3</v>
      </c>
      <c r="F46" t="s">
        <v>4</v>
      </c>
      <c r="G46" t="s">
        <v>5</v>
      </c>
      <c r="H46" t="s">
        <v>5</v>
      </c>
      <c r="I46" t="s">
        <v>3</v>
      </c>
      <c r="J46" t="s">
        <v>5</v>
      </c>
      <c r="K46" t="s">
        <v>2</v>
      </c>
      <c r="L46" t="s">
        <v>3</v>
      </c>
      <c r="M46" t="s">
        <v>2</v>
      </c>
      <c r="N46" t="s">
        <v>2</v>
      </c>
      <c r="O46" t="s">
        <v>5</v>
      </c>
      <c r="P46" t="s">
        <v>5</v>
      </c>
      <c r="Q46" t="s">
        <v>2</v>
      </c>
      <c r="R46" t="s">
        <v>5</v>
      </c>
      <c r="S46" t="s">
        <v>5</v>
      </c>
      <c r="T46" t="s">
        <v>3</v>
      </c>
      <c r="U46" t="s">
        <v>5</v>
      </c>
      <c r="V46" t="s">
        <v>2</v>
      </c>
      <c r="W46" t="s">
        <v>4</v>
      </c>
      <c r="X46" t="s">
        <v>4</v>
      </c>
      <c r="Y46" t="s">
        <v>2</v>
      </c>
      <c r="Z46" t="s">
        <v>3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3</v>
      </c>
      <c r="AH46" t="s">
        <v>4</v>
      </c>
      <c r="AI46" t="s">
        <v>3</v>
      </c>
      <c r="AJ46" t="s">
        <v>4</v>
      </c>
      <c r="AK46" t="s">
        <v>4</v>
      </c>
      <c r="AL46" t="s">
        <v>3</v>
      </c>
      <c r="AM46" t="s">
        <v>3</v>
      </c>
      <c r="AS46" s="6" t="s">
        <v>86</v>
      </c>
      <c r="AT46" s="6">
        <f>COUNTIFS(G:G,"B",C:C,1)/COUNTIF(C:C,1)</f>
        <v>0.4</v>
      </c>
      <c r="AU46" s="6">
        <f>COUNTIFS(G:G,"B",C:C,2)/COUNTIF(C:C,2)</f>
        <v>0.2</v>
      </c>
      <c r="AV46" s="6">
        <f>COUNTIFS(G:G,"B",C:C,3)/COUNTIF(C:C,3)</f>
        <v>0.1</v>
      </c>
      <c r="AW46" s="6">
        <f>COUNTIFS(G:G,"B",C:C,4)/COUNTIF(C:C,4)</f>
        <v>0.1</v>
      </c>
      <c r="AX46" s="6">
        <f>COUNTIFS(G:G,"B",C:C,5)/COUNTIF(C:C,5)</f>
        <v>0</v>
      </c>
      <c r="AY46" s="6">
        <f>COUNTIFS(G:G,"B",C:C,6)/COUNTIF(C:C,6)</f>
        <v>0</v>
      </c>
      <c r="AZ46"/>
      <c r="BA46" s="45" t="s">
        <v>86</v>
      </c>
      <c r="BB46" s="45" t="s">
        <v>343</v>
      </c>
      <c r="BC46" s="45" t="s">
        <v>346</v>
      </c>
      <c r="BD46" s="45" t="s">
        <v>348</v>
      </c>
      <c r="BE46" s="45" t="s">
        <v>348</v>
      </c>
      <c r="BF46" s="45" t="s">
        <v>350</v>
      </c>
      <c r="BG46" s="45" t="s">
        <v>350</v>
      </c>
      <c r="BI46" s="3" t="s">
        <v>355</v>
      </c>
      <c r="BJ46">
        <f>AV22*AX29*AX34*AX39*AX48*AX54*AX60*AX66*AX71*AX76*AX82*AX87*AX94*AX102*AX106*AX112*AX120*AX126*AX132*AX137*AX141*AX148*AX155*AX160*AX163*AX167*AX171*AX175*AX179*AX183*AX187*AX191*AX195*AX199*AX203*AX208*AX212</f>
        <v>0</v>
      </c>
    </row>
    <row r="47" spans="1:98" x14ac:dyDescent="0.3">
      <c r="A47">
        <v>46</v>
      </c>
      <c r="B47" t="s">
        <v>34</v>
      </c>
      <c r="C47">
        <v>5</v>
      </c>
      <c r="D47" t="s">
        <v>5</v>
      </c>
      <c r="E47" t="s">
        <v>5</v>
      </c>
      <c r="F47" t="s">
        <v>3</v>
      </c>
      <c r="G47" t="s">
        <v>5</v>
      </c>
      <c r="H47" t="s">
        <v>5</v>
      </c>
      <c r="I47" t="s">
        <v>3</v>
      </c>
      <c r="J47" t="s">
        <v>5</v>
      </c>
      <c r="K47" t="s">
        <v>2</v>
      </c>
      <c r="L47" t="s">
        <v>4</v>
      </c>
      <c r="M47" t="s">
        <v>4</v>
      </c>
      <c r="N47" t="s">
        <v>4</v>
      </c>
      <c r="O47" t="s">
        <v>5</v>
      </c>
      <c r="P47" t="s">
        <v>2</v>
      </c>
      <c r="Q47" t="s">
        <v>4</v>
      </c>
      <c r="R47" t="s">
        <v>5</v>
      </c>
      <c r="S47" t="s">
        <v>5</v>
      </c>
      <c r="T47" t="s">
        <v>2</v>
      </c>
      <c r="U47" t="s">
        <v>5</v>
      </c>
      <c r="V47" t="s">
        <v>5</v>
      </c>
      <c r="W47" t="s">
        <v>3</v>
      </c>
      <c r="X47" t="s">
        <v>3</v>
      </c>
      <c r="Y47" t="s">
        <v>4</v>
      </c>
      <c r="Z47" t="s">
        <v>3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3</v>
      </c>
      <c r="AJ47" t="s">
        <v>4</v>
      </c>
      <c r="AK47" t="s">
        <v>4</v>
      </c>
      <c r="AL47" t="s">
        <v>3</v>
      </c>
      <c r="AM47" t="s">
        <v>3</v>
      </c>
      <c r="AS47" s="6" t="s">
        <v>87</v>
      </c>
      <c r="AT47" s="6">
        <f>COUNTIFS(G:G,"C",C:C,1)/COUNTIF(C:C,1)</f>
        <v>0</v>
      </c>
      <c r="AU47" s="6">
        <f>COUNTIFS(G:G,"C",C:C,2)/COUNTIF(C:C,2)</f>
        <v>0.2</v>
      </c>
      <c r="AV47" s="6">
        <f>COUNTIFS(G:G,"C",C:C,3)/COUNTIF(C:C,3)</f>
        <v>0.2</v>
      </c>
      <c r="AW47" s="6">
        <f>COUNTIFS(G:G,"C",C:C,4)/COUNTIF(C:C,4)</f>
        <v>0.3</v>
      </c>
      <c r="AX47" s="6">
        <f>COUNTIFS(G:G,"C",C:C,5)/COUNTIF(C:C,5)</f>
        <v>0</v>
      </c>
      <c r="AY47" s="6">
        <f>COUNTIFS(G:G,"C",C:C,6)/COUNTIF(C:C,6)</f>
        <v>0.1</v>
      </c>
      <c r="AZ47"/>
      <c r="BA47" s="45" t="s">
        <v>87</v>
      </c>
      <c r="BB47" s="45" t="s">
        <v>350</v>
      </c>
      <c r="BC47" s="45" t="s">
        <v>346</v>
      </c>
      <c r="BD47" s="45" t="s">
        <v>346</v>
      </c>
      <c r="BE47" s="45" t="s">
        <v>344</v>
      </c>
      <c r="BF47" s="45" t="s">
        <v>350</v>
      </c>
      <c r="BG47" s="45" t="s">
        <v>348</v>
      </c>
      <c r="BI47" t="s">
        <v>470</v>
      </c>
    </row>
    <row r="48" spans="1:98" x14ac:dyDescent="0.3">
      <c r="A48">
        <v>47</v>
      </c>
      <c r="B48" t="s">
        <v>332</v>
      </c>
      <c r="C48">
        <v>5</v>
      </c>
      <c r="D48" t="s">
        <v>5</v>
      </c>
      <c r="E48" t="s">
        <v>3</v>
      </c>
      <c r="F48" t="s">
        <v>2</v>
      </c>
      <c r="G48" t="s">
        <v>5</v>
      </c>
      <c r="H48" t="s">
        <v>5</v>
      </c>
      <c r="I48" t="s">
        <v>5</v>
      </c>
      <c r="J48" t="s">
        <v>5</v>
      </c>
      <c r="K48" t="s">
        <v>2</v>
      </c>
      <c r="L48" t="s">
        <v>2</v>
      </c>
      <c r="M48" t="s">
        <v>2</v>
      </c>
      <c r="N48" t="s">
        <v>3</v>
      </c>
      <c r="O48" t="s">
        <v>2</v>
      </c>
      <c r="P48" t="s">
        <v>5</v>
      </c>
      <c r="Q48" t="s">
        <v>2</v>
      </c>
      <c r="R48" t="s">
        <v>2</v>
      </c>
      <c r="S48" t="s">
        <v>5</v>
      </c>
      <c r="T48" t="s">
        <v>5</v>
      </c>
      <c r="U48" t="s">
        <v>5</v>
      </c>
      <c r="V48" t="s">
        <v>5</v>
      </c>
      <c r="W48" t="s">
        <v>3</v>
      </c>
      <c r="X48" t="s">
        <v>3</v>
      </c>
      <c r="Y48" t="s">
        <v>2</v>
      </c>
      <c r="Z48" t="s">
        <v>3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3</v>
      </c>
      <c r="AG48" t="s">
        <v>3</v>
      </c>
      <c r="AH48" t="s">
        <v>4</v>
      </c>
      <c r="AI48" t="s">
        <v>3</v>
      </c>
      <c r="AJ48" t="s">
        <v>4</v>
      </c>
      <c r="AK48" t="s">
        <v>4</v>
      </c>
      <c r="AL48" t="s">
        <v>3</v>
      </c>
      <c r="AM48" t="s">
        <v>3</v>
      </c>
      <c r="AS48" s="6" t="s">
        <v>88</v>
      </c>
      <c r="AT48" s="6">
        <f>COUNTIFS(G:G,"D",C:C,1)/COUNTIF(C:C,1)</f>
        <v>0.6</v>
      </c>
      <c r="AU48" s="6">
        <f>COUNTIFS(G:G,"D",C:C,2)/COUNTIF(C:C,2)</f>
        <v>0.6</v>
      </c>
      <c r="AV48" s="6">
        <f>COUNTIFS(G:G,"D",C:C,3)/COUNTIF(C:C,3)</f>
        <v>0.7</v>
      </c>
      <c r="AW48" s="6">
        <f>COUNTIFS(G:G,"D",C:C,4)/COUNTIF(C:C,4)</f>
        <v>0.6</v>
      </c>
      <c r="AX48" s="6">
        <f>COUNTIFS(G:G,"D",C:C,5)/COUNTIF(C:C,5)</f>
        <v>1</v>
      </c>
      <c r="AY48" s="6">
        <f>COUNTIFS(G:G,"D",C:C,6)/COUNTIF(C:C,6)</f>
        <v>0.9</v>
      </c>
      <c r="AZ48"/>
      <c r="BA48" s="45" t="s">
        <v>88</v>
      </c>
      <c r="BB48" s="45" t="s">
        <v>343</v>
      </c>
      <c r="BC48" s="45" t="s">
        <v>353</v>
      </c>
      <c r="BD48" s="45" t="s">
        <v>345</v>
      </c>
      <c r="BE48" s="45" t="s">
        <v>353</v>
      </c>
      <c r="BF48" s="46" t="s">
        <v>354</v>
      </c>
      <c r="BG48" s="45" t="s">
        <v>349</v>
      </c>
      <c r="BI48" s="3" t="s">
        <v>355</v>
      </c>
      <c r="BJ48">
        <f>AV23*AY29*AY34*AY39*AY48*AY54*AY60*AY66*AY71*AY76*AY82*AY87*AY94*AY102*AY106*AY112*AY120*AY126*AY132*AY137*AY141*AY148*AY155*AY160*AY163*AY167*AY171*AY175*AY179*AY183*AY187*AY191*AY195*AY199*AY203*AY208*AY212</f>
        <v>0</v>
      </c>
    </row>
    <row r="49" spans="1:98" x14ac:dyDescent="0.3">
      <c r="A49">
        <v>48</v>
      </c>
      <c r="B49" t="s">
        <v>333</v>
      </c>
      <c r="C49">
        <v>5</v>
      </c>
      <c r="D49" t="s">
        <v>5</v>
      </c>
      <c r="E49" t="s">
        <v>5</v>
      </c>
      <c r="F49" t="s">
        <v>2</v>
      </c>
      <c r="G49" t="s">
        <v>5</v>
      </c>
      <c r="H49" t="s">
        <v>5</v>
      </c>
      <c r="I49" t="s">
        <v>3</v>
      </c>
      <c r="J49" t="s">
        <v>5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3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3</v>
      </c>
      <c r="X49" t="s">
        <v>3</v>
      </c>
      <c r="Y49" t="s">
        <v>2</v>
      </c>
      <c r="Z49" t="s">
        <v>3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  <c r="AF49" t="s">
        <v>3</v>
      </c>
      <c r="AG49" t="s">
        <v>3</v>
      </c>
      <c r="AH49" t="s">
        <v>4</v>
      </c>
      <c r="AI49" t="s">
        <v>3</v>
      </c>
      <c r="AJ49" t="s">
        <v>3</v>
      </c>
      <c r="AK49" t="s">
        <v>4</v>
      </c>
      <c r="AL49" t="s">
        <v>3</v>
      </c>
      <c r="AM49" t="s">
        <v>3</v>
      </c>
      <c r="AZ49"/>
      <c r="BA49" s="43"/>
      <c r="BB49" s="43"/>
      <c r="BC49" s="43"/>
      <c r="BD49" s="43"/>
      <c r="BE49" s="43"/>
      <c r="BF49" s="43"/>
      <c r="BG49" s="43"/>
      <c r="BI49" s="24" t="s">
        <v>380</v>
      </c>
      <c r="BJ49" t="s">
        <v>696</v>
      </c>
      <c r="BK49" s="26" t="s">
        <v>381</v>
      </c>
    </row>
    <row r="50" spans="1:98" x14ac:dyDescent="0.3">
      <c r="A50">
        <v>49</v>
      </c>
      <c r="B50" t="s">
        <v>334</v>
      </c>
      <c r="C50">
        <v>5</v>
      </c>
      <c r="D50" t="s">
        <v>5</v>
      </c>
      <c r="E50" t="s">
        <v>5</v>
      </c>
      <c r="F50" t="s">
        <v>2</v>
      </c>
      <c r="G50" t="s">
        <v>5</v>
      </c>
      <c r="H50" t="s">
        <v>5</v>
      </c>
      <c r="I50" t="s">
        <v>3</v>
      </c>
      <c r="J50" t="s">
        <v>5</v>
      </c>
      <c r="K50" t="s">
        <v>2</v>
      </c>
      <c r="L50" t="s">
        <v>3</v>
      </c>
      <c r="M50" t="s">
        <v>5</v>
      </c>
      <c r="N50" t="s">
        <v>2</v>
      </c>
      <c r="O50" t="s">
        <v>5</v>
      </c>
      <c r="P50" t="s">
        <v>5</v>
      </c>
      <c r="Q50" t="s">
        <v>2</v>
      </c>
      <c r="R50" t="s">
        <v>2</v>
      </c>
      <c r="S50" t="s">
        <v>5</v>
      </c>
      <c r="T50" t="s">
        <v>5</v>
      </c>
      <c r="U50" t="s">
        <v>5</v>
      </c>
      <c r="V50" t="s">
        <v>5</v>
      </c>
      <c r="W50" t="s">
        <v>3</v>
      </c>
      <c r="X50" t="s">
        <v>3</v>
      </c>
      <c r="Y50" t="s">
        <v>2</v>
      </c>
      <c r="Z50" t="s">
        <v>3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  <c r="AF50" t="s">
        <v>4</v>
      </c>
      <c r="AG50" t="s">
        <v>3</v>
      </c>
      <c r="AH50" t="s">
        <v>4</v>
      </c>
      <c r="AI50" t="s">
        <v>3</v>
      </c>
      <c r="AJ50" t="s">
        <v>3</v>
      </c>
      <c r="AK50" t="s">
        <v>4</v>
      </c>
      <c r="AL50" t="s">
        <v>4</v>
      </c>
      <c r="AM50" t="s">
        <v>3</v>
      </c>
      <c r="AS50" s="7" t="s">
        <v>268</v>
      </c>
      <c r="AT50" s="7">
        <v>1</v>
      </c>
      <c r="AU50" s="7">
        <v>2</v>
      </c>
      <c r="AV50" s="7">
        <v>3</v>
      </c>
      <c r="AW50" s="7">
        <v>4</v>
      </c>
      <c r="AX50" s="7">
        <v>5</v>
      </c>
      <c r="AY50" s="7">
        <v>6</v>
      </c>
      <c r="AZ50"/>
      <c r="BA50" s="44" t="s">
        <v>268</v>
      </c>
      <c r="BB50" s="44">
        <v>1</v>
      </c>
      <c r="BC50" s="44">
        <v>2</v>
      </c>
      <c r="BD50" s="44">
        <v>3</v>
      </c>
      <c r="BE50" s="44">
        <v>4</v>
      </c>
      <c r="BF50" s="44">
        <v>5</v>
      </c>
      <c r="BG50" s="44">
        <v>6</v>
      </c>
    </row>
    <row r="51" spans="1:98" x14ac:dyDescent="0.3">
      <c r="A51">
        <v>50</v>
      </c>
      <c r="B51" t="s">
        <v>335</v>
      </c>
      <c r="C51">
        <v>5</v>
      </c>
      <c r="D51" t="s">
        <v>5</v>
      </c>
      <c r="E51" t="s">
        <v>3</v>
      </c>
      <c r="F51" t="s">
        <v>3</v>
      </c>
      <c r="G51" t="s">
        <v>5</v>
      </c>
      <c r="H51" t="s">
        <v>5</v>
      </c>
      <c r="I51" t="s">
        <v>5</v>
      </c>
      <c r="J51" t="s">
        <v>5</v>
      </c>
      <c r="K51" t="s">
        <v>2</v>
      </c>
      <c r="L51" t="s">
        <v>2</v>
      </c>
      <c r="M51" t="s">
        <v>5</v>
      </c>
      <c r="N51" t="s">
        <v>3</v>
      </c>
      <c r="O51" t="s">
        <v>2</v>
      </c>
      <c r="P51" t="s">
        <v>5</v>
      </c>
      <c r="Q51" t="s">
        <v>2</v>
      </c>
      <c r="R51" t="s">
        <v>3</v>
      </c>
      <c r="S51" t="s">
        <v>5</v>
      </c>
      <c r="T51" t="s">
        <v>5</v>
      </c>
      <c r="U51" t="s">
        <v>5</v>
      </c>
      <c r="V51" t="s">
        <v>5</v>
      </c>
      <c r="W51" t="s">
        <v>3</v>
      </c>
      <c r="X51" t="s">
        <v>3</v>
      </c>
      <c r="Y51" t="s">
        <v>2</v>
      </c>
      <c r="Z51" t="s">
        <v>3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  <c r="AF51" t="s">
        <v>4</v>
      </c>
      <c r="AG51" t="s">
        <v>3</v>
      </c>
      <c r="AH51" t="s">
        <v>4</v>
      </c>
      <c r="AI51" t="s">
        <v>3</v>
      </c>
      <c r="AJ51" t="s">
        <v>4</v>
      </c>
      <c r="AK51" t="s">
        <v>4</v>
      </c>
      <c r="AL51" t="s">
        <v>4</v>
      </c>
      <c r="AM51" t="s">
        <v>3</v>
      </c>
      <c r="AS51" s="6" t="s">
        <v>89</v>
      </c>
      <c r="AT51" s="6">
        <f>COUNTIFS(H:H,"A",C:C,1)/COUNTIF(C:C,1)</f>
        <v>0</v>
      </c>
      <c r="AU51" s="6">
        <f>COUNTIFS(H:H,"A",C:C,2)/COUNTIF(C:C,2)</f>
        <v>0</v>
      </c>
      <c r="AV51" s="6">
        <f>COUNTIFS(H:H,"A",C:C,3)/COUNTIF(C:C,3)</f>
        <v>0</v>
      </c>
      <c r="AW51" s="6">
        <f>COUNTIFS(H:H,"A",C:C,4)/COUNTIF(C:C,4)</f>
        <v>0</v>
      </c>
      <c r="AX51" s="6">
        <f>COUNTIFS(H:H,"A",C:C,5)/COUNTIF(C:C,5)</f>
        <v>0</v>
      </c>
      <c r="AY51" s="6">
        <f>COUNTIFS(H:H,"A",C:C,6)/COUNTIF(C:C,6)</f>
        <v>0</v>
      </c>
      <c r="AZ51"/>
      <c r="BA51" s="45" t="s">
        <v>89</v>
      </c>
      <c r="BB51" s="45" t="s">
        <v>350</v>
      </c>
      <c r="BC51" s="45" t="s">
        <v>350</v>
      </c>
      <c r="BD51" s="45" t="s">
        <v>350</v>
      </c>
      <c r="BE51" s="45" t="s">
        <v>350</v>
      </c>
      <c r="BF51" s="45" t="s">
        <v>350</v>
      </c>
      <c r="BG51" s="45" t="s">
        <v>350</v>
      </c>
      <c r="BI51" s="53" t="s">
        <v>382</v>
      </c>
      <c r="BJ51" s="24" t="s">
        <v>71</v>
      </c>
      <c r="BK51" s="1" t="s">
        <v>50</v>
      </c>
      <c r="BL51" s="1" t="s">
        <v>51</v>
      </c>
      <c r="BM51" s="1" t="s">
        <v>52</v>
      </c>
      <c r="BN51" s="1" t="s">
        <v>53</v>
      </c>
      <c r="BO51" s="1" t="s">
        <v>54</v>
      </c>
      <c r="BP51" s="1" t="s">
        <v>55</v>
      </c>
      <c r="BQ51" s="1" t="s">
        <v>56</v>
      </c>
      <c r="BR51" s="1" t="s">
        <v>57</v>
      </c>
      <c r="BS51" s="1" t="s">
        <v>58</v>
      </c>
      <c r="BT51" s="1" t="s">
        <v>59</v>
      </c>
      <c r="BU51" s="1" t="s">
        <v>60</v>
      </c>
      <c r="BV51" s="1" t="s">
        <v>61</v>
      </c>
      <c r="BW51" s="1" t="s">
        <v>62</v>
      </c>
      <c r="BX51" s="1" t="s">
        <v>63</v>
      </c>
      <c r="BY51" s="1" t="s">
        <v>64</v>
      </c>
      <c r="BZ51" s="1" t="s">
        <v>65</v>
      </c>
      <c r="CA51" s="1" t="s">
        <v>66</v>
      </c>
      <c r="CB51" s="1" t="s">
        <v>67</v>
      </c>
      <c r="CC51" s="1" t="s">
        <v>68</v>
      </c>
      <c r="CD51" s="1" t="s">
        <v>69</v>
      </c>
      <c r="CE51" s="1" t="s">
        <v>70</v>
      </c>
      <c r="CF51" s="1" t="s">
        <v>929</v>
      </c>
      <c r="CG51" s="1" t="s">
        <v>930</v>
      </c>
      <c r="CH51" s="1" t="s">
        <v>931</v>
      </c>
      <c r="CI51" s="1" t="s">
        <v>932</v>
      </c>
      <c r="CJ51" s="1" t="s">
        <v>933</v>
      </c>
      <c r="CK51" s="1" t="s">
        <v>934</v>
      </c>
      <c r="CL51" s="1" t="s">
        <v>935</v>
      </c>
      <c r="CM51" s="1" t="s">
        <v>936</v>
      </c>
      <c r="CN51" s="1" t="s">
        <v>937</v>
      </c>
      <c r="CO51" s="1" t="s">
        <v>938</v>
      </c>
      <c r="CP51" s="1" t="s">
        <v>939</v>
      </c>
      <c r="CQ51" s="1" t="s">
        <v>940</v>
      </c>
      <c r="CR51" s="1" t="s">
        <v>941</v>
      </c>
      <c r="CS51" s="1" t="s">
        <v>942</v>
      </c>
      <c r="CT51" s="1" t="s">
        <v>1008</v>
      </c>
    </row>
    <row r="52" spans="1:98" x14ac:dyDescent="0.3">
      <c r="A52">
        <v>51</v>
      </c>
      <c r="B52" t="s">
        <v>35</v>
      </c>
      <c r="C52" s="3">
        <v>6</v>
      </c>
      <c r="D52" t="s">
        <v>5</v>
      </c>
      <c r="E52" t="s">
        <v>3</v>
      </c>
      <c r="F52" t="s">
        <v>3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2</v>
      </c>
      <c r="M52" t="s">
        <v>3</v>
      </c>
      <c r="N52" t="s">
        <v>2</v>
      </c>
      <c r="O52" t="s">
        <v>3</v>
      </c>
      <c r="P52" t="s">
        <v>2</v>
      </c>
      <c r="Q52" t="s">
        <v>2</v>
      </c>
      <c r="R52" t="s">
        <v>3</v>
      </c>
      <c r="S52" t="s">
        <v>5</v>
      </c>
      <c r="T52" t="s">
        <v>2</v>
      </c>
      <c r="U52" t="s">
        <v>5</v>
      </c>
      <c r="V52" t="s">
        <v>3</v>
      </c>
      <c r="W52" t="s">
        <v>3</v>
      </c>
      <c r="X52" t="s">
        <v>3</v>
      </c>
      <c r="Y52" t="s">
        <v>2</v>
      </c>
      <c r="Z52" t="s">
        <v>3</v>
      </c>
      <c r="AA52" t="s">
        <v>4</v>
      </c>
      <c r="AB52" t="s">
        <v>4</v>
      </c>
      <c r="AC52" t="s">
        <v>3</v>
      </c>
      <c r="AD52" t="s">
        <v>4</v>
      </c>
      <c r="AE52" t="s">
        <v>4</v>
      </c>
      <c r="AF52" t="s">
        <v>3</v>
      </c>
      <c r="AG52" t="s">
        <v>3</v>
      </c>
      <c r="AH52" t="s">
        <v>4</v>
      </c>
      <c r="AI52" t="s">
        <v>3</v>
      </c>
      <c r="AJ52" t="s">
        <v>4</v>
      </c>
      <c r="AK52" t="s">
        <v>4</v>
      </c>
      <c r="AL52" t="s">
        <v>3</v>
      </c>
      <c r="AM52" t="s">
        <v>3</v>
      </c>
      <c r="AS52" s="6" t="s">
        <v>90</v>
      </c>
      <c r="AT52" s="6">
        <f>COUNTIFS(H:H,"B",C:C,1)/COUNTIF(C:C,1)</f>
        <v>0</v>
      </c>
      <c r="AU52" s="6">
        <f>COUNTIFS(H:H,"B",C:C,2)/COUNTIF(C:C,2)</f>
        <v>0</v>
      </c>
      <c r="AV52" s="6">
        <f>COUNTIFS(H:H,"B",C:C,3)/COUNTIF(C:C,3)</f>
        <v>0</v>
      </c>
      <c r="AW52" s="6">
        <f>COUNTIFS(H:H,"B",C:C,4)/COUNTIF(C:C,4)</f>
        <v>0</v>
      </c>
      <c r="AX52" s="6">
        <f>COUNTIFS(H:H,"B",C:C,5)/COUNTIF(C:C,5)</f>
        <v>0</v>
      </c>
      <c r="AY52" s="6">
        <f>COUNTIFS(H:H,"B",C:C,6)/COUNTIF(C:C,6)</f>
        <v>0</v>
      </c>
      <c r="AZ52"/>
      <c r="BA52" s="45" t="s">
        <v>90</v>
      </c>
      <c r="BB52" s="45" t="s">
        <v>350</v>
      </c>
      <c r="BC52" s="45" t="s">
        <v>350</v>
      </c>
      <c r="BD52" s="45" t="s">
        <v>350</v>
      </c>
      <c r="BE52" s="45" t="s">
        <v>350</v>
      </c>
      <c r="BF52" s="45" t="s">
        <v>350</v>
      </c>
      <c r="BG52" s="45" t="s">
        <v>350</v>
      </c>
      <c r="BI52" s="53"/>
      <c r="BJ52" s="24">
        <v>1</v>
      </c>
      <c r="BK52" t="s">
        <v>5</v>
      </c>
      <c r="BL52" t="s">
        <v>3</v>
      </c>
      <c r="BM52" t="s">
        <v>2</v>
      </c>
      <c r="BN52" t="s">
        <v>3</v>
      </c>
      <c r="BO52" t="s">
        <v>5</v>
      </c>
      <c r="BP52" t="s">
        <v>5</v>
      </c>
      <c r="BQ52" t="s">
        <v>5</v>
      </c>
      <c r="BR52" t="s">
        <v>2</v>
      </c>
      <c r="BS52" t="s">
        <v>3</v>
      </c>
      <c r="BT52" t="s">
        <v>3</v>
      </c>
      <c r="BU52" t="s">
        <v>4</v>
      </c>
      <c r="BV52" t="s">
        <v>2</v>
      </c>
      <c r="BW52" t="s">
        <v>5</v>
      </c>
      <c r="BX52" t="s">
        <v>3</v>
      </c>
      <c r="BY52" t="s">
        <v>2</v>
      </c>
      <c r="BZ52" t="s">
        <v>5</v>
      </c>
      <c r="CA52" t="s">
        <v>2</v>
      </c>
      <c r="CB52" t="s">
        <v>2</v>
      </c>
      <c r="CC52" t="s">
        <v>3</v>
      </c>
      <c r="CD52" t="s">
        <v>4</v>
      </c>
      <c r="CE52" t="s">
        <v>3</v>
      </c>
      <c r="CF52" t="s">
        <v>3</v>
      </c>
      <c r="CG52" t="s">
        <v>3</v>
      </c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t="s">
        <v>4</v>
      </c>
      <c r="CN52" t="s">
        <v>3</v>
      </c>
      <c r="CO52" t="s">
        <v>4</v>
      </c>
      <c r="CP52" t="s">
        <v>3</v>
      </c>
      <c r="CQ52" t="s">
        <v>4</v>
      </c>
      <c r="CR52" t="s">
        <v>4</v>
      </c>
      <c r="CS52" t="s">
        <v>4</v>
      </c>
      <c r="CT52" t="s">
        <v>3</v>
      </c>
    </row>
    <row r="53" spans="1:98" x14ac:dyDescent="0.3">
      <c r="A53">
        <v>52</v>
      </c>
      <c r="B53" t="s">
        <v>36</v>
      </c>
      <c r="C53" s="3">
        <v>6</v>
      </c>
      <c r="D53" t="s">
        <v>5</v>
      </c>
      <c r="E53" t="s">
        <v>5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2</v>
      </c>
      <c r="L53" t="s">
        <v>4</v>
      </c>
      <c r="M53" t="s">
        <v>4</v>
      </c>
      <c r="N53" t="s">
        <v>4</v>
      </c>
      <c r="O53" t="s">
        <v>5</v>
      </c>
      <c r="P53" t="s">
        <v>5</v>
      </c>
      <c r="Q53" t="s">
        <v>3</v>
      </c>
      <c r="R53" t="s">
        <v>5</v>
      </c>
      <c r="S53" t="s">
        <v>5</v>
      </c>
      <c r="T53" t="s">
        <v>2</v>
      </c>
      <c r="U53" t="s">
        <v>5</v>
      </c>
      <c r="V53" t="s">
        <v>3</v>
      </c>
      <c r="W53" t="s">
        <v>3</v>
      </c>
      <c r="X53" t="s">
        <v>3</v>
      </c>
      <c r="Y53" t="s">
        <v>2</v>
      </c>
      <c r="Z53" t="s">
        <v>3</v>
      </c>
      <c r="AA53" t="s">
        <v>4</v>
      </c>
      <c r="AB53" t="s">
        <v>4</v>
      </c>
      <c r="AC53" t="s">
        <v>4</v>
      </c>
      <c r="AD53" t="s">
        <v>4</v>
      </c>
      <c r="AE53" t="s">
        <v>3</v>
      </c>
      <c r="AF53" t="s">
        <v>3</v>
      </c>
      <c r="AG53" t="s">
        <v>3</v>
      </c>
      <c r="AH53" t="s">
        <v>4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S53" s="6" t="s">
        <v>91</v>
      </c>
      <c r="AT53" s="6">
        <f>COUNTIFS(H:H,"C",C:C,1)/COUNTIF(C:C,1)</f>
        <v>0</v>
      </c>
      <c r="AU53" s="6">
        <f>COUNTIFS(H:H,"C",C:C,2)/COUNTIF(C:C,2)</f>
        <v>0</v>
      </c>
      <c r="AV53" s="6">
        <f>COUNTIFS(H:H,"C",C:C,3)/COUNTIF(C:C,3)</f>
        <v>0.1</v>
      </c>
      <c r="AW53" s="6">
        <f>COUNTIFS(H:H,"C",C:C,4)/COUNTIF(C:C,4)</f>
        <v>0</v>
      </c>
      <c r="AX53" s="6">
        <f>COUNTIFS(H:H,"C",C:C,5)/COUNTIF(C:C,5)</f>
        <v>0</v>
      </c>
      <c r="AY53" s="6">
        <f>COUNTIFS(H:H,"C",C:C,6)/COUNTIF(C:C,6)</f>
        <v>0</v>
      </c>
      <c r="AZ53"/>
      <c r="BA53" s="45" t="s">
        <v>91</v>
      </c>
      <c r="BB53" s="45" t="s">
        <v>350</v>
      </c>
      <c r="BC53" s="45" t="s">
        <v>350</v>
      </c>
      <c r="BD53" s="45" t="s">
        <v>348</v>
      </c>
      <c r="BE53" s="45" t="s">
        <v>350</v>
      </c>
      <c r="BF53" s="45" t="s">
        <v>350</v>
      </c>
      <c r="BG53" s="45" t="s">
        <v>350</v>
      </c>
      <c r="BI53" t="s">
        <v>677</v>
      </c>
    </row>
    <row r="54" spans="1:98" x14ac:dyDescent="0.3">
      <c r="A54">
        <v>53</v>
      </c>
      <c r="B54" t="s">
        <v>37</v>
      </c>
      <c r="C54" s="3">
        <v>6</v>
      </c>
      <c r="D54" t="s">
        <v>5</v>
      </c>
      <c r="E54" t="s">
        <v>3</v>
      </c>
      <c r="F54" t="s">
        <v>2</v>
      </c>
      <c r="G54" t="s">
        <v>5</v>
      </c>
      <c r="H54" t="s">
        <v>5</v>
      </c>
      <c r="I54" t="s">
        <v>5</v>
      </c>
      <c r="J54" t="s">
        <v>5</v>
      </c>
      <c r="K54" t="s">
        <v>2</v>
      </c>
      <c r="L54" t="s">
        <v>2</v>
      </c>
      <c r="M54" t="s">
        <v>4</v>
      </c>
      <c r="N54" t="s">
        <v>4</v>
      </c>
      <c r="O54" t="s">
        <v>5</v>
      </c>
      <c r="P54" t="s">
        <v>5</v>
      </c>
      <c r="Q54" t="s">
        <v>4</v>
      </c>
      <c r="R54" t="s">
        <v>5</v>
      </c>
      <c r="S54" t="s">
        <v>5</v>
      </c>
      <c r="T54" t="s">
        <v>2</v>
      </c>
      <c r="U54" t="s">
        <v>5</v>
      </c>
      <c r="V54" t="s">
        <v>5</v>
      </c>
      <c r="W54" t="s">
        <v>4</v>
      </c>
      <c r="X54" t="s">
        <v>3</v>
      </c>
      <c r="Y54" t="s">
        <v>2</v>
      </c>
      <c r="Z54" t="s">
        <v>3</v>
      </c>
      <c r="AA54" t="s">
        <v>3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3</v>
      </c>
      <c r="AH54" t="s">
        <v>4</v>
      </c>
      <c r="AI54" t="s">
        <v>3</v>
      </c>
      <c r="AJ54" t="s">
        <v>4</v>
      </c>
      <c r="AK54" t="s">
        <v>4</v>
      </c>
      <c r="AL54" t="s">
        <v>4</v>
      </c>
      <c r="AM54" t="s">
        <v>3</v>
      </c>
      <c r="AS54" s="6" t="s">
        <v>92</v>
      </c>
      <c r="AT54" s="6">
        <f>COUNTIFS(H:H,"D",C:C,1)/COUNTIF(C:C,1)</f>
        <v>1</v>
      </c>
      <c r="AU54" s="6">
        <f>COUNTIFS(H:H,"D",C:C,2)/COUNTIF(C:C,2)</f>
        <v>1</v>
      </c>
      <c r="AV54" s="6">
        <f>COUNTIFS(H:H,"D",C:C,3)/COUNTIF(C:C,3)</f>
        <v>0.9</v>
      </c>
      <c r="AW54" s="6">
        <f>COUNTIFS(H:H,"D",C:C,4)/COUNTIF(C:C,4)</f>
        <v>1</v>
      </c>
      <c r="AX54" s="6">
        <f>COUNTIFS(H:H,"D",C:C,5)/COUNTIF(C:C,5)</f>
        <v>1</v>
      </c>
      <c r="AY54" s="6">
        <f>COUNTIFS(H:H,"D",C:C,6)/COUNTIF(C:C,6)</f>
        <v>1</v>
      </c>
      <c r="AZ54"/>
      <c r="BA54" s="45" t="s">
        <v>92</v>
      </c>
      <c r="BB54" s="45" t="s">
        <v>354</v>
      </c>
      <c r="BC54" s="45" t="s">
        <v>354</v>
      </c>
      <c r="BD54" s="45" t="s">
        <v>349</v>
      </c>
      <c r="BE54" s="45" t="s">
        <v>354</v>
      </c>
      <c r="BF54" s="45" t="s">
        <v>354</v>
      </c>
      <c r="BG54" s="45" t="s">
        <v>354</v>
      </c>
      <c r="BI54" s="3" t="s">
        <v>355</v>
      </c>
      <c r="BJ54">
        <f>AV18*AT30*AT34*AT41*AT46*AT54*AT60*AT66*AT71*AT76*AT82*AT87*AT95*AT102*AT106*AT113*AT120*AT125*AT131*AT136*AT141*AT148*AT154*AT160*AT163*AT167*AT171*AT175*AT179*AT183*AT188*AT191*AT196*AT199*AT203*AT207*AT212</f>
        <v>1.1012117889023999E-8</v>
      </c>
    </row>
    <row r="55" spans="1:98" x14ac:dyDescent="0.3">
      <c r="A55">
        <v>54</v>
      </c>
      <c r="B55" t="s">
        <v>38</v>
      </c>
      <c r="C55" s="3">
        <v>6</v>
      </c>
      <c r="D55" t="s">
        <v>5</v>
      </c>
      <c r="E55" t="s">
        <v>3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2</v>
      </c>
      <c r="L55" t="s">
        <v>2</v>
      </c>
      <c r="M55" t="s">
        <v>4</v>
      </c>
      <c r="N55" t="s">
        <v>3</v>
      </c>
      <c r="O55" t="s">
        <v>5</v>
      </c>
      <c r="P55" t="s">
        <v>2</v>
      </c>
      <c r="Q55" t="s">
        <v>3</v>
      </c>
      <c r="R55" t="s">
        <v>2</v>
      </c>
      <c r="S55" t="s">
        <v>5</v>
      </c>
      <c r="T55" t="s">
        <v>5</v>
      </c>
      <c r="U55" t="s">
        <v>5</v>
      </c>
      <c r="V55" t="s">
        <v>5</v>
      </c>
      <c r="W55" t="s">
        <v>2</v>
      </c>
      <c r="X55" t="s">
        <v>2</v>
      </c>
      <c r="Y55" t="s">
        <v>2</v>
      </c>
      <c r="Z55" t="s">
        <v>3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t="s">
        <v>3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4</v>
      </c>
      <c r="AM55" t="s">
        <v>3</v>
      </c>
      <c r="AZ55"/>
      <c r="BA55" s="43"/>
      <c r="BB55" s="43"/>
      <c r="BC55" s="43"/>
      <c r="BD55" s="43"/>
      <c r="BE55" s="43"/>
      <c r="BF55" s="43"/>
      <c r="BG55" s="43"/>
      <c r="BI55" t="s">
        <v>682</v>
      </c>
    </row>
    <row r="56" spans="1:98" x14ac:dyDescent="0.3">
      <c r="A56">
        <v>55</v>
      </c>
      <c r="B56" t="s">
        <v>300</v>
      </c>
      <c r="C56" s="3">
        <v>6</v>
      </c>
      <c r="D56" t="s">
        <v>4</v>
      </c>
      <c r="E56" t="s">
        <v>5</v>
      </c>
      <c r="F56" t="s">
        <v>2</v>
      </c>
      <c r="G56" t="s">
        <v>5</v>
      </c>
      <c r="H56" t="s">
        <v>5</v>
      </c>
      <c r="I56" t="s">
        <v>5</v>
      </c>
      <c r="J56" t="s">
        <v>2</v>
      </c>
      <c r="K56" t="s">
        <v>2</v>
      </c>
      <c r="L56" t="s">
        <v>2</v>
      </c>
      <c r="M56" t="s">
        <v>4</v>
      </c>
      <c r="N56" t="s">
        <v>3</v>
      </c>
      <c r="O56" t="s">
        <v>5</v>
      </c>
      <c r="P56" t="s">
        <v>5</v>
      </c>
      <c r="Q56" t="s">
        <v>4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4</v>
      </c>
      <c r="X56" t="s">
        <v>3</v>
      </c>
      <c r="Y56" t="s">
        <v>2</v>
      </c>
      <c r="Z56" t="s">
        <v>3</v>
      </c>
      <c r="AA56" t="s">
        <v>4</v>
      </c>
      <c r="AB56" t="s">
        <v>4</v>
      </c>
      <c r="AC56" t="s">
        <v>4</v>
      </c>
      <c r="AD56" t="s">
        <v>3</v>
      </c>
      <c r="AE56" t="s">
        <v>4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S56" s="7" t="s">
        <v>269</v>
      </c>
      <c r="AT56" s="7">
        <v>1</v>
      </c>
      <c r="AU56" s="7">
        <v>2</v>
      </c>
      <c r="AV56" s="7">
        <v>3</v>
      </c>
      <c r="AW56" s="7">
        <v>4</v>
      </c>
      <c r="AX56" s="7">
        <v>5</v>
      </c>
      <c r="AY56" s="7">
        <v>6</v>
      </c>
      <c r="AZ56"/>
      <c r="BA56" s="44" t="s">
        <v>269</v>
      </c>
      <c r="BB56" s="44">
        <v>1</v>
      </c>
      <c r="BC56" s="44">
        <v>2</v>
      </c>
      <c r="BD56" s="44">
        <v>3</v>
      </c>
      <c r="BE56" s="44">
        <v>4</v>
      </c>
      <c r="BF56" s="44">
        <v>5</v>
      </c>
      <c r="BG56" s="44">
        <v>6</v>
      </c>
      <c r="BI56" s="3" t="s">
        <v>355</v>
      </c>
      <c r="BJ56">
        <f>AV19*AU30*AU34*AU41*AU46*AU54*AU60*AU66*AU71*AU76*AU82*AU87*AU95*AU102*AU106*AU113*AU120*AU125*AU131*AU136*AU141*AU148*AU154*AU160*AU163*AU167*AU171*AU175*AU179*AU183*AU188*AU191*AU196*AU199*AU203*AU207*AU212</f>
        <v>0</v>
      </c>
    </row>
    <row r="57" spans="1:98" x14ac:dyDescent="0.3">
      <c r="A57">
        <v>56</v>
      </c>
      <c r="B57" t="s">
        <v>299</v>
      </c>
      <c r="C57" s="3">
        <v>6</v>
      </c>
      <c r="D57" t="s">
        <v>5</v>
      </c>
      <c r="E57" t="s">
        <v>5</v>
      </c>
      <c r="F57" t="s">
        <v>3</v>
      </c>
      <c r="G57" t="s">
        <v>2</v>
      </c>
      <c r="H57" t="s">
        <v>5</v>
      </c>
      <c r="I57" t="s">
        <v>5</v>
      </c>
      <c r="J57" t="s">
        <v>5</v>
      </c>
      <c r="K57" t="s">
        <v>5</v>
      </c>
      <c r="L57" t="s">
        <v>2</v>
      </c>
      <c r="M57" t="s">
        <v>4</v>
      </c>
      <c r="N57" t="s">
        <v>4</v>
      </c>
      <c r="O57" t="s">
        <v>2</v>
      </c>
      <c r="P57" t="s">
        <v>5</v>
      </c>
      <c r="Q57" t="s">
        <v>2</v>
      </c>
      <c r="R57" t="s">
        <v>2</v>
      </c>
      <c r="S57" t="s">
        <v>5</v>
      </c>
      <c r="T57" t="s">
        <v>3</v>
      </c>
      <c r="U57" t="s">
        <v>5</v>
      </c>
      <c r="V57" t="s">
        <v>3</v>
      </c>
      <c r="W57" t="s">
        <v>2</v>
      </c>
      <c r="X57" t="s">
        <v>2</v>
      </c>
      <c r="Y57" t="s">
        <v>5</v>
      </c>
      <c r="Z57" t="s">
        <v>3</v>
      </c>
      <c r="AA57" t="s">
        <v>4</v>
      </c>
      <c r="AB57" t="s">
        <v>4</v>
      </c>
      <c r="AC57" t="s">
        <v>4</v>
      </c>
      <c r="AD57" t="s">
        <v>3</v>
      </c>
      <c r="AE57" t="s">
        <v>4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4</v>
      </c>
      <c r="AM57" t="s">
        <v>3</v>
      </c>
      <c r="AS57" s="6" t="s">
        <v>172</v>
      </c>
      <c r="AT57" s="6">
        <f>COUNTIFS(I:I,"A",C:C,1)/COUNTIF(C:C,1)</f>
        <v>0</v>
      </c>
      <c r="AU57" s="6">
        <f>COUNTIFS(I:I,"A",C:C,2)/COUNTIF(C:C,2)</f>
        <v>0</v>
      </c>
      <c r="AV57" s="6">
        <f>COUNTIFS(I:I,"A",C:C,3)/COUNTIF(C:C,3)</f>
        <v>0</v>
      </c>
      <c r="AW57" s="6">
        <f>COUNTIFS(I:I,"A",C:C,4)/COUNTIF(C:C,4)</f>
        <v>0</v>
      </c>
      <c r="AX57" s="6">
        <f>COUNTIFS(I:I,"A",C:C,5)/COUNTIF(C:C,5)</f>
        <v>0</v>
      </c>
      <c r="AY57" s="6">
        <f>COUNTIFS(I:I,"A",C:C,6)/COUNTIF(C:C,6)</f>
        <v>0</v>
      </c>
      <c r="AZ57"/>
      <c r="BA57" s="45" t="s">
        <v>172</v>
      </c>
      <c r="BB57" s="45" t="s">
        <v>350</v>
      </c>
      <c r="BC57" s="45" t="s">
        <v>350</v>
      </c>
      <c r="BD57" s="45" t="s">
        <v>350</v>
      </c>
      <c r="BE57" s="45" t="s">
        <v>350</v>
      </c>
      <c r="BF57" s="45" t="s">
        <v>350</v>
      </c>
      <c r="BG57" s="45" t="s">
        <v>350</v>
      </c>
      <c r="BI57" t="s">
        <v>681</v>
      </c>
    </row>
    <row r="58" spans="1:98" x14ac:dyDescent="0.3">
      <c r="A58">
        <v>57</v>
      </c>
      <c r="B58" t="s">
        <v>336</v>
      </c>
      <c r="C58" s="3">
        <v>6</v>
      </c>
      <c r="D58" t="s">
        <v>5</v>
      </c>
      <c r="E58" t="s">
        <v>3</v>
      </c>
      <c r="F58" t="s">
        <v>3</v>
      </c>
      <c r="G58" t="s">
        <v>5</v>
      </c>
      <c r="H58" t="s">
        <v>5</v>
      </c>
      <c r="I58" t="s">
        <v>5</v>
      </c>
      <c r="J58" t="s">
        <v>5</v>
      </c>
      <c r="K58" t="s">
        <v>2</v>
      </c>
      <c r="L58" t="s">
        <v>2</v>
      </c>
      <c r="M58" t="s">
        <v>5</v>
      </c>
      <c r="N58" t="s">
        <v>3</v>
      </c>
      <c r="O58" t="s">
        <v>5</v>
      </c>
      <c r="P58" t="s">
        <v>5</v>
      </c>
      <c r="Q58" t="s">
        <v>3</v>
      </c>
      <c r="R58" t="s">
        <v>2</v>
      </c>
      <c r="S58" t="s">
        <v>5</v>
      </c>
      <c r="T58" t="s">
        <v>5</v>
      </c>
      <c r="U58" t="s">
        <v>5</v>
      </c>
      <c r="V58" t="s">
        <v>5</v>
      </c>
      <c r="W58" t="s">
        <v>4</v>
      </c>
      <c r="X58" t="s">
        <v>4</v>
      </c>
      <c r="Y58" t="s">
        <v>4</v>
      </c>
      <c r="Z58" t="s">
        <v>3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3</v>
      </c>
      <c r="AH58" t="s">
        <v>4</v>
      </c>
      <c r="AI58" t="s">
        <v>3</v>
      </c>
      <c r="AJ58" t="s">
        <v>3</v>
      </c>
      <c r="AK58" t="s">
        <v>3</v>
      </c>
      <c r="AL58" t="s">
        <v>4</v>
      </c>
      <c r="AM58" t="s">
        <v>3</v>
      </c>
      <c r="AS58" s="6" t="s">
        <v>173</v>
      </c>
      <c r="AT58" s="6">
        <f>COUNTIFS(I:I,"B",C:C,1)/COUNTIF(C:C,1)</f>
        <v>0.3</v>
      </c>
      <c r="AU58" s="6">
        <f>COUNTIFS(I:I,"B",C:C,2)/COUNTIF(C:C,2)</f>
        <v>0</v>
      </c>
      <c r="AV58" s="6">
        <f>COUNTIFS(I:I,"B",C:C,3)/COUNTIF(C:C,3)</f>
        <v>0</v>
      </c>
      <c r="AW58" s="6">
        <f>COUNTIFS(I:I,"B",C:C,4)/COUNTIF(C:C,4)</f>
        <v>0</v>
      </c>
      <c r="AX58" s="6">
        <f>COUNTIFS(I:I,"B",C:C,5)/COUNTIF(C:C,5)</f>
        <v>0.5</v>
      </c>
      <c r="AY58" s="6">
        <f>COUNTIFS(I:I,"B",C:C,6)/COUNTIF(C:C,6)</f>
        <v>0.1</v>
      </c>
      <c r="AZ58"/>
      <c r="BA58" s="45" t="s">
        <v>173</v>
      </c>
      <c r="BB58" s="45" t="s">
        <v>344</v>
      </c>
      <c r="BC58" s="45" t="s">
        <v>350</v>
      </c>
      <c r="BD58" s="45" t="s">
        <v>350</v>
      </c>
      <c r="BE58" s="45" t="s">
        <v>350</v>
      </c>
      <c r="BF58" s="45" t="s">
        <v>343</v>
      </c>
      <c r="BG58" s="45" t="s">
        <v>348</v>
      </c>
      <c r="BI58" s="3" t="s">
        <v>355</v>
      </c>
      <c r="BJ58">
        <f>AV20*AV30*AV34*AV41*AV46*AV54*AV60*AV66*AV71*AV76*AV82*AV87*AV95*AV102*AV106*AV113*AV120*AV125*AV131*AV136*AV141*AV148*AV154*AV160*AV163*AV167*AV171*AV175*AV179*AV183*AV188*AV191*AV196*AV199*AV203*AV207*AV212</f>
        <v>0</v>
      </c>
    </row>
    <row r="59" spans="1:98" x14ac:dyDescent="0.3">
      <c r="A59">
        <v>58</v>
      </c>
      <c r="B59" t="s">
        <v>337</v>
      </c>
      <c r="C59" s="3">
        <v>6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2</v>
      </c>
      <c r="L59" t="s">
        <v>3</v>
      </c>
      <c r="M59" t="s">
        <v>5</v>
      </c>
      <c r="N59" t="s">
        <v>4</v>
      </c>
      <c r="O59" t="s">
        <v>5</v>
      </c>
      <c r="P59" t="s">
        <v>2</v>
      </c>
      <c r="Q59" t="s">
        <v>2</v>
      </c>
      <c r="R59" t="s">
        <v>2</v>
      </c>
      <c r="S59" t="s">
        <v>5</v>
      </c>
      <c r="T59" t="s">
        <v>3</v>
      </c>
      <c r="U59" t="s">
        <v>5</v>
      </c>
      <c r="V59" t="s">
        <v>5</v>
      </c>
      <c r="W59" t="s">
        <v>3</v>
      </c>
      <c r="X59" t="s">
        <v>2</v>
      </c>
      <c r="Y59" t="s">
        <v>2</v>
      </c>
      <c r="Z59" t="s">
        <v>3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3</v>
      </c>
      <c r="AJ59" t="s">
        <v>3</v>
      </c>
      <c r="AK59" t="s">
        <v>4</v>
      </c>
      <c r="AL59" t="s">
        <v>4</v>
      </c>
      <c r="AM59" t="s">
        <v>3</v>
      </c>
      <c r="AS59" s="6" t="s">
        <v>174</v>
      </c>
      <c r="AT59" s="6">
        <f>COUNTIFS(I:I,"C",C:C,1)/COUNTIF(C:C,1)</f>
        <v>0</v>
      </c>
      <c r="AU59" s="6">
        <f>COUNTIFS(I:I,"C",C:C,2)/COUNTIF(C:C,2)</f>
        <v>0</v>
      </c>
      <c r="AV59" s="6">
        <f>COUNTIFS(I:I,"C",C:C,3)/COUNTIF(C:C,3)</f>
        <v>0.2</v>
      </c>
      <c r="AW59" s="6">
        <f>COUNTIFS(I:I,"C",C:C,4)/COUNTIF(C:C,4)</f>
        <v>0</v>
      </c>
      <c r="AX59" s="6">
        <f>COUNTIFS(I:I,"C",C:C,5)/COUNTIF(C:C,5)</f>
        <v>0</v>
      </c>
      <c r="AY59" s="6">
        <f>COUNTIFS(I:I,"C",C:C,6)/COUNTIF(C:C,6)</f>
        <v>0</v>
      </c>
      <c r="AZ59"/>
      <c r="BA59" s="45" t="s">
        <v>174</v>
      </c>
      <c r="BB59" s="45" t="s">
        <v>350</v>
      </c>
      <c r="BC59" s="45" t="s">
        <v>350</v>
      </c>
      <c r="BD59" s="45" t="s">
        <v>346</v>
      </c>
      <c r="BE59" s="45" t="s">
        <v>350</v>
      </c>
      <c r="BF59" s="45" t="s">
        <v>350</v>
      </c>
      <c r="BG59" s="45" t="s">
        <v>350</v>
      </c>
      <c r="BI59" t="s">
        <v>679</v>
      </c>
    </row>
    <row r="60" spans="1:98" x14ac:dyDescent="0.3">
      <c r="A60">
        <v>59</v>
      </c>
      <c r="B60" t="s">
        <v>338</v>
      </c>
      <c r="C60" s="3">
        <v>6</v>
      </c>
      <c r="D60" t="s">
        <v>5</v>
      </c>
      <c r="E60" t="s">
        <v>3</v>
      </c>
      <c r="F60" t="s">
        <v>4</v>
      </c>
      <c r="G60" t="s">
        <v>5</v>
      </c>
      <c r="H60" t="s">
        <v>5</v>
      </c>
      <c r="I60" t="s">
        <v>3</v>
      </c>
      <c r="J60" t="s">
        <v>2</v>
      </c>
      <c r="K60" t="s">
        <v>2</v>
      </c>
      <c r="L60" t="s">
        <v>3</v>
      </c>
      <c r="M60" t="s">
        <v>3</v>
      </c>
      <c r="N60" t="s">
        <v>4</v>
      </c>
      <c r="O60" t="s">
        <v>5</v>
      </c>
      <c r="P60" t="s">
        <v>5</v>
      </c>
      <c r="Q60" t="s">
        <v>3</v>
      </c>
      <c r="R60" t="s">
        <v>5</v>
      </c>
      <c r="S60" t="s">
        <v>5</v>
      </c>
      <c r="T60" t="s">
        <v>5</v>
      </c>
      <c r="U60" t="s">
        <v>5</v>
      </c>
      <c r="V60" t="s">
        <v>4</v>
      </c>
      <c r="W60" t="s">
        <v>4</v>
      </c>
      <c r="X60" t="s">
        <v>3</v>
      </c>
      <c r="Y60" t="s">
        <v>4</v>
      </c>
      <c r="Z60" t="s">
        <v>3</v>
      </c>
      <c r="AA60" t="s">
        <v>3</v>
      </c>
      <c r="AB60" t="s">
        <v>3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S60" s="6" t="s">
        <v>175</v>
      </c>
      <c r="AT60" s="6">
        <f>COUNTIFS(I:I,"D",C:C,1)/COUNTIF(C:C,1)</f>
        <v>0.7</v>
      </c>
      <c r="AU60" s="6">
        <f>COUNTIFS(I:I,"D",C:C,2)/COUNTIF(C:C,2)</f>
        <v>1</v>
      </c>
      <c r="AV60" s="6">
        <f>COUNTIFS(I:I,"D",C:C,3)/COUNTIF(C:C,3)</f>
        <v>0.8</v>
      </c>
      <c r="AW60" s="6">
        <f>COUNTIFS(I:I,"D",C:C,4)/COUNTIF(C:C,4)</f>
        <v>1</v>
      </c>
      <c r="AX60" s="6">
        <f>COUNTIFS(I:I,"D",C:C,5)/COUNTIF(C:C,5)</f>
        <v>0.5</v>
      </c>
      <c r="AY60" s="6">
        <f>COUNTIFS(I:I,"D",C:C,6)/COUNTIF(C:C,6)</f>
        <v>0.9</v>
      </c>
      <c r="AZ60"/>
      <c r="BA60" s="45" t="s">
        <v>175</v>
      </c>
      <c r="BB60" s="45" t="s">
        <v>345</v>
      </c>
      <c r="BC60" s="45" t="s">
        <v>354</v>
      </c>
      <c r="BD60" s="45" t="s">
        <v>347</v>
      </c>
      <c r="BE60" s="45" t="s">
        <v>354</v>
      </c>
      <c r="BF60" s="45" t="s">
        <v>343</v>
      </c>
      <c r="BG60" s="45" t="s">
        <v>349</v>
      </c>
      <c r="BI60" s="3" t="s">
        <v>355</v>
      </c>
      <c r="BJ60">
        <f>AV21*AW30*AW34*AW41*AW46*AW54*AW60*AW66*AW71*AW76*AW82*AW87*AW95*AW102*AW106*AW113*AW120*AW125*AW131*AW136*AW141*AW148*AW154*AW160*AW163*AW167*AW171*AW175*AW179*AW183*AW188*AW191*AW196*AW199*AW203*AW207*AW212</f>
        <v>0</v>
      </c>
    </row>
    <row r="61" spans="1:98" x14ac:dyDescent="0.3">
      <c r="A61">
        <v>60</v>
      </c>
      <c r="B61" t="s">
        <v>339</v>
      </c>
      <c r="C61" s="3">
        <v>6</v>
      </c>
      <c r="D61" t="s">
        <v>5</v>
      </c>
      <c r="E61" t="s">
        <v>5</v>
      </c>
      <c r="F61" t="s">
        <v>3</v>
      </c>
      <c r="G61" t="s">
        <v>5</v>
      </c>
      <c r="H61" t="s">
        <v>5</v>
      </c>
      <c r="I61" t="s">
        <v>5</v>
      </c>
      <c r="J61" t="s">
        <v>5</v>
      </c>
      <c r="K61" t="s">
        <v>2</v>
      </c>
      <c r="L61" t="s">
        <v>2</v>
      </c>
      <c r="M61" t="s">
        <v>4</v>
      </c>
      <c r="N61" t="s">
        <v>4</v>
      </c>
      <c r="O61" t="s">
        <v>4</v>
      </c>
      <c r="P61" t="s">
        <v>5</v>
      </c>
      <c r="Q61" t="s">
        <v>4</v>
      </c>
      <c r="R61" t="s">
        <v>5</v>
      </c>
      <c r="S61" t="s">
        <v>5</v>
      </c>
      <c r="T61" t="s">
        <v>5</v>
      </c>
      <c r="U61" t="s">
        <v>5</v>
      </c>
      <c r="V61" t="s">
        <v>3</v>
      </c>
      <c r="W61" t="s">
        <v>5</v>
      </c>
      <c r="X61" t="s">
        <v>2</v>
      </c>
      <c r="Y61" t="s">
        <v>4</v>
      </c>
      <c r="Z61" t="s">
        <v>3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  <c r="AF61" t="s">
        <v>4</v>
      </c>
      <c r="AG61" t="s">
        <v>3</v>
      </c>
      <c r="AH61" t="s">
        <v>4</v>
      </c>
      <c r="AI61" t="s">
        <v>3</v>
      </c>
      <c r="AJ61" t="s">
        <v>3</v>
      </c>
      <c r="AK61" t="s">
        <v>4</v>
      </c>
      <c r="AL61" t="s">
        <v>4</v>
      </c>
      <c r="AM61" t="s">
        <v>3</v>
      </c>
      <c r="AZ61"/>
      <c r="BA61" s="43"/>
      <c r="BB61" s="43"/>
      <c r="BC61" s="43"/>
      <c r="BD61" s="43"/>
      <c r="BE61" s="43"/>
      <c r="BF61" s="43"/>
      <c r="BG61" s="43"/>
      <c r="BI61" t="s">
        <v>680</v>
      </c>
    </row>
    <row r="62" spans="1:98" x14ac:dyDescent="0.3">
      <c r="C62" s="3"/>
      <c r="AS62" s="7" t="s">
        <v>270</v>
      </c>
      <c r="AT62" s="7">
        <v>1</v>
      </c>
      <c r="AU62" s="7">
        <v>2</v>
      </c>
      <c r="AV62" s="7">
        <v>3</v>
      </c>
      <c r="AW62" s="7">
        <v>4</v>
      </c>
      <c r="AX62" s="7">
        <v>5</v>
      </c>
      <c r="AY62" s="7">
        <v>6</v>
      </c>
      <c r="AZ62"/>
      <c r="BA62" s="44" t="s">
        <v>270</v>
      </c>
      <c r="BB62" s="44">
        <v>1</v>
      </c>
      <c r="BC62" s="44">
        <v>2</v>
      </c>
      <c r="BD62" s="44">
        <v>3</v>
      </c>
      <c r="BE62" s="44">
        <v>4</v>
      </c>
      <c r="BF62" s="44">
        <v>5</v>
      </c>
      <c r="BG62" s="44">
        <v>6</v>
      </c>
      <c r="BI62" s="3" t="s">
        <v>355</v>
      </c>
      <c r="BJ62">
        <f>AV22*AX30*AX34*AX41*AX46*AX54*AX60*AX66*AX71*AX76*AX82*AX87*AX95*AX102*AX106*AX113*AX120*AX125*AX131*AX136*AX141*AX148*AX154*AX160*AX163*AX167*AX171*AX175*AX179*AX183*AX188*AX191*AX196*AX199*AX203*AX207*AX212</f>
        <v>0</v>
      </c>
    </row>
    <row r="63" spans="1:98" x14ac:dyDescent="0.3">
      <c r="A63" s="5"/>
      <c r="AS63" s="6" t="s">
        <v>176</v>
      </c>
      <c r="AT63" s="6">
        <f>COUNTIFS(J:J,"A",C:C,1)/COUNTIF(C:C,1)</f>
        <v>0</v>
      </c>
      <c r="AU63" s="6">
        <f>COUNTIFS(J:J,"A",C:C,2)/COUNTIF(C:C,2)</f>
        <v>0</v>
      </c>
      <c r="AV63" s="6">
        <f>COUNTIFS(J:J,"A",C:C,3)/COUNTIF(C:C,3)</f>
        <v>0</v>
      </c>
      <c r="AW63" s="6">
        <f>COUNTIFS(J:J,"A",C:C,4)/COUNTIF(C:C,4)</f>
        <v>0</v>
      </c>
      <c r="AX63" s="6">
        <f>COUNTIFS(J:J,"A",C:C,5)/COUNTIF(C:C,5)</f>
        <v>0</v>
      </c>
      <c r="AY63" s="6">
        <f>COUNTIFS(J:J,"A",C:C,6)/COUNTIF(C:C,6)</f>
        <v>0</v>
      </c>
      <c r="AZ63"/>
      <c r="BA63" s="45" t="s">
        <v>176</v>
      </c>
      <c r="BB63" s="45" t="s">
        <v>350</v>
      </c>
      <c r="BC63" s="45" t="s">
        <v>350</v>
      </c>
      <c r="BD63" s="45" t="s">
        <v>350</v>
      </c>
      <c r="BE63" s="45" t="s">
        <v>350</v>
      </c>
      <c r="BF63" s="45" t="s">
        <v>350</v>
      </c>
      <c r="BG63" s="45" t="s">
        <v>350</v>
      </c>
      <c r="BI63" t="s">
        <v>678</v>
      </c>
      <c r="BK63" t="s">
        <v>482</v>
      </c>
    </row>
    <row r="64" spans="1:98" x14ac:dyDescent="0.3">
      <c r="AS64" s="6" t="s">
        <v>177</v>
      </c>
      <c r="AT64" s="6">
        <f>COUNTIFS(J:J,"B",C:C,1)/COUNTIF(C:C,1)</f>
        <v>0</v>
      </c>
      <c r="AU64" s="6">
        <f>COUNTIFS(J:J,"B",C:C,2)/COUNTIF(C:C,2)</f>
        <v>0.1</v>
      </c>
      <c r="AV64" s="6">
        <f>COUNTIFS(J:J,"B",C:C,3)/COUNTIF(C:C,3)</f>
        <v>0</v>
      </c>
      <c r="AW64" s="6">
        <f>COUNTIFS(J:J,"B",C:C,4)/COUNTIF(C:C,4)</f>
        <v>0</v>
      </c>
      <c r="AX64" s="6">
        <f>COUNTIFS(J:J,"B",C:C,5)/COUNTIF(C:C,5)</f>
        <v>0</v>
      </c>
      <c r="AY64" s="6">
        <f>COUNTIFS(J:J,"B",C:C,6)/COUNTIF(C:C,6)</f>
        <v>0</v>
      </c>
      <c r="AZ64"/>
      <c r="BA64" s="45" t="s">
        <v>177</v>
      </c>
      <c r="BB64" s="45" t="s">
        <v>350</v>
      </c>
      <c r="BC64" s="45" t="s">
        <v>348</v>
      </c>
      <c r="BD64" s="45" t="s">
        <v>350</v>
      </c>
      <c r="BE64" s="45" t="s">
        <v>350</v>
      </c>
      <c r="BF64" s="45" t="s">
        <v>350</v>
      </c>
      <c r="BG64" s="45" t="s">
        <v>350</v>
      </c>
      <c r="BI64" s="3" t="s">
        <v>355</v>
      </c>
      <c r="BJ64">
        <f>AV23*AY30*AY34*AY41*AY46*AY54*AY60*AY66*AY71*AY76*AY82*AY87*AY95*AY102*AY106*AY113*AY120*AY125*AY131*AY136*AY141*AY148*AY154*AY160*AY163*AY167*AY171*AY175*AY179*AY183*AY188*AY191*AY196*AY199*AY203*AY207*AY212</f>
        <v>0</v>
      </c>
    </row>
    <row r="65" spans="45:98" x14ac:dyDescent="0.3">
      <c r="AS65" s="6" t="s">
        <v>178</v>
      </c>
      <c r="AT65" s="6">
        <f>COUNTIFS(J:J,"C",C:C,1)/COUNTIF(C:C,1)</f>
        <v>0.3</v>
      </c>
      <c r="AU65" s="6">
        <f>COUNTIFS(J:J,"C",C:C,2)/COUNTIF(C:C,2)</f>
        <v>0.4</v>
      </c>
      <c r="AV65" s="6">
        <f>COUNTIFS(J:J,"C",C:C,3)/COUNTIF(C:C,3)</f>
        <v>0.2</v>
      </c>
      <c r="AW65" s="6">
        <f>COUNTIFS(J:J,"C",C:C,4)/COUNTIF(C:C,4)</f>
        <v>0.1</v>
      </c>
      <c r="AX65" s="6">
        <f>COUNTIFS(J:J,"C",C:C,5)/COUNTIF(C:C,5)</f>
        <v>0.1</v>
      </c>
      <c r="AY65" s="6">
        <f>COUNTIFS(J:J,"C",C:C,6)/COUNTIF(C:C,6)</f>
        <v>0.2</v>
      </c>
      <c r="AZ65"/>
      <c r="BA65" s="45" t="s">
        <v>178</v>
      </c>
      <c r="BB65" s="45" t="s">
        <v>344</v>
      </c>
      <c r="BC65" s="45" t="s">
        <v>344</v>
      </c>
      <c r="BD65" s="45" t="s">
        <v>346</v>
      </c>
      <c r="BE65" s="45" t="s">
        <v>348</v>
      </c>
      <c r="BF65" s="45" t="s">
        <v>348</v>
      </c>
      <c r="BG65" s="45" t="s">
        <v>346</v>
      </c>
      <c r="BI65" s="24" t="s">
        <v>371</v>
      </c>
      <c r="BJ65" t="s">
        <v>683</v>
      </c>
      <c r="BK65" s="25" t="s">
        <v>640</v>
      </c>
    </row>
    <row r="66" spans="45:98" x14ac:dyDescent="0.3">
      <c r="AS66" s="6" t="s">
        <v>179</v>
      </c>
      <c r="AT66" s="6">
        <f>COUNTIFS(J:J,"D",C:C,1)/COUNTIF(C:C,1)</f>
        <v>0.7</v>
      </c>
      <c r="AU66" s="6">
        <f>COUNTIFS(J:J,"D",C:C,2)/COUNTIF(C:C,2)</f>
        <v>0.5</v>
      </c>
      <c r="AV66" s="6">
        <f>COUNTIFS(J:J,"D",C:C,3)/COUNTIF(C:C,3)</f>
        <v>0.8</v>
      </c>
      <c r="AW66" s="6">
        <f>COUNTIFS(J:J,"D",C:C,4)/COUNTIF(C:C,4)</f>
        <v>0.9</v>
      </c>
      <c r="AX66" s="6">
        <f>COUNTIFS(J:J,"D",C:C,5)/COUNTIF(C:C,5)</f>
        <v>0.9</v>
      </c>
      <c r="AY66" s="6">
        <f>COUNTIFS(J:J,"D",C:C,6)/COUNTIF(C:C,6)</f>
        <v>0.8</v>
      </c>
      <c r="AZ66"/>
      <c r="BA66" s="45" t="s">
        <v>179</v>
      </c>
      <c r="BB66" s="45" t="s">
        <v>345</v>
      </c>
      <c r="BC66" s="45" t="s">
        <v>353</v>
      </c>
      <c r="BD66" s="45" t="s">
        <v>347</v>
      </c>
      <c r="BE66" s="45" t="s">
        <v>349</v>
      </c>
      <c r="BF66" s="45" t="s">
        <v>349</v>
      </c>
      <c r="BG66" s="45" t="s">
        <v>347</v>
      </c>
    </row>
    <row r="67" spans="45:98" x14ac:dyDescent="0.3">
      <c r="AZ67"/>
      <c r="BA67" s="43"/>
      <c r="BB67" s="43"/>
      <c r="BC67" s="43"/>
      <c r="BD67" s="43"/>
      <c r="BE67" s="43"/>
      <c r="BF67" s="43"/>
      <c r="BG67" s="43"/>
      <c r="BI67" s="53" t="s">
        <v>384</v>
      </c>
      <c r="BJ67" s="24" t="s">
        <v>71</v>
      </c>
      <c r="BK67" s="1" t="s">
        <v>50</v>
      </c>
      <c r="BL67" s="1" t="s">
        <v>51</v>
      </c>
      <c r="BM67" s="1" t="s">
        <v>52</v>
      </c>
      <c r="BN67" s="1" t="s">
        <v>53</v>
      </c>
      <c r="BO67" s="1" t="s">
        <v>54</v>
      </c>
      <c r="BP67" s="1" t="s">
        <v>55</v>
      </c>
      <c r="BQ67" s="1" t="s">
        <v>56</v>
      </c>
      <c r="BR67" s="1" t="s">
        <v>57</v>
      </c>
      <c r="BS67" s="1" t="s">
        <v>58</v>
      </c>
      <c r="BT67" s="1" t="s">
        <v>59</v>
      </c>
      <c r="BU67" s="1" t="s">
        <v>60</v>
      </c>
      <c r="BV67" s="1" t="s">
        <v>61</v>
      </c>
      <c r="BW67" s="1" t="s">
        <v>62</v>
      </c>
      <c r="BX67" s="1" t="s">
        <v>63</v>
      </c>
      <c r="BY67" s="1" t="s">
        <v>64</v>
      </c>
      <c r="BZ67" s="1" t="s">
        <v>65</v>
      </c>
      <c r="CA67" s="1" t="s">
        <v>66</v>
      </c>
      <c r="CB67" s="1" t="s">
        <v>67</v>
      </c>
      <c r="CC67" s="1" t="s">
        <v>68</v>
      </c>
      <c r="CD67" s="1" t="s">
        <v>69</v>
      </c>
      <c r="CE67" s="1" t="s">
        <v>70</v>
      </c>
      <c r="CF67" s="1" t="s">
        <v>929</v>
      </c>
      <c r="CG67" s="1" t="s">
        <v>930</v>
      </c>
      <c r="CH67" s="1" t="s">
        <v>931</v>
      </c>
      <c r="CI67" s="1" t="s">
        <v>932</v>
      </c>
      <c r="CJ67" s="1" t="s">
        <v>933</v>
      </c>
      <c r="CK67" s="1" t="s">
        <v>934</v>
      </c>
      <c r="CL67" s="1" t="s">
        <v>935</v>
      </c>
      <c r="CM67" s="1" t="s">
        <v>936</v>
      </c>
      <c r="CN67" s="1" t="s">
        <v>937</v>
      </c>
      <c r="CO67" s="1" t="s">
        <v>938</v>
      </c>
      <c r="CP67" s="1" t="s">
        <v>939</v>
      </c>
      <c r="CQ67" s="1" t="s">
        <v>940</v>
      </c>
      <c r="CR67" s="1" t="s">
        <v>941</v>
      </c>
      <c r="CS67" s="1" t="s">
        <v>942</v>
      </c>
      <c r="CT67" s="1" t="s">
        <v>1008</v>
      </c>
    </row>
    <row r="68" spans="45:98" x14ac:dyDescent="0.3">
      <c r="AS68" s="7" t="s">
        <v>271</v>
      </c>
      <c r="AT68" s="7">
        <v>1</v>
      </c>
      <c r="AU68" s="7">
        <v>2</v>
      </c>
      <c r="AV68" s="7">
        <v>3</v>
      </c>
      <c r="AW68" s="7">
        <v>4</v>
      </c>
      <c r="AX68" s="7">
        <v>5</v>
      </c>
      <c r="AY68" s="7">
        <v>6</v>
      </c>
      <c r="AZ68"/>
      <c r="BA68" s="44" t="s">
        <v>271</v>
      </c>
      <c r="BB68" s="44">
        <v>1</v>
      </c>
      <c r="BC68" s="44">
        <v>2</v>
      </c>
      <c r="BD68" s="44">
        <v>3</v>
      </c>
      <c r="BE68" s="44">
        <v>4</v>
      </c>
      <c r="BF68" s="44">
        <v>5</v>
      </c>
      <c r="BG68" s="44">
        <v>6</v>
      </c>
      <c r="BI68" s="53"/>
      <c r="BJ68" s="24">
        <v>1</v>
      </c>
      <c r="BK68" t="s">
        <v>2</v>
      </c>
      <c r="BL68" t="s">
        <v>3</v>
      </c>
      <c r="BM68" t="s">
        <v>3</v>
      </c>
      <c r="BN68" t="s">
        <v>5</v>
      </c>
      <c r="BO68" t="s">
        <v>5</v>
      </c>
      <c r="BP68" t="s">
        <v>3</v>
      </c>
      <c r="BQ68" t="s">
        <v>2</v>
      </c>
      <c r="BR68" t="s">
        <v>2</v>
      </c>
      <c r="BS68" t="s">
        <v>2</v>
      </c>
      <c r="BT68" t="s">
        <v>3</v>
      </c>
      <c r="BU68" t="s">
        <v>4</v>
      </c>
      <c r="BV68" t="s">
        <v>5</v>
      </c>
      <c r="BW68" t="s">
        <v>5</v>
      </c>
      <c r="BX68" t="s">
        <v>3</v>
      </c>
      <c r="BY68" t="s">
        <v>3</v>
      </c>
      <c r="BZ68" t="s">
        <v>5</v>
      </c>
      <c r="CA68" t="s">
        <v>5</v>
      </c>
      <c r="CB68" t="s">
        <v>5</v>
      </c>
      <c r="CC68" t="s">
        <v>5</v>
      </c>
      <c r="CD68" t="s">
        <v>4</v>
      </c>
      <c r="CE68" t="s">
        <v>3</v>
      </c>
      <c r="CF68" t="s">
        <v>2</v>
      </c>
      <c r="CG68" t="s">
        <v>3</v>
      </c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t="s">
        <v>3</v>
      </c>
      <c r="CN68" t="s">
        <v>3</v>
      </c>
      <c r="CO68" t="s">
        <v>4</v>
      </c>
      <c r="CP68" t="s">
        <v>4</v>
      </c>
      <c r="CQ68" t="s">
        <v>4</v>
      </c>
      <c r="CR68" t="s">
        <v>4</v>
      </c>
      <c r="CS68" t="s">
        <v>4</v>
      </c>
      <c r="CT68" t="s">
        <v>3</v>
      </c>
    </row>
    <row r="69" spans="45:98" x14ac:dyDescent="0.3">
      <c r="AS69" s="6" t="s">
        <v>180</v>
      </c>
      <c r="AT69" s="6">
        <f>COUNTIFS(K:K,"A",C:C,1)/COUNTIF(C:C,1)</f>
        <v>0</v>
      </c>
      <c r="AU69" s="6">
        <f>COUNTIFS(K:K,"A",C:C,2)/COUNTIF(C:C,2)</f>
        <v>0.1</v>
      </c>
      <c r="AV69" s="6">
        <f>COUNTIFS(K:K,"A",C:C,3)/COUNTIF(C:C,3)</f>
        <v>0</v>
      </c>
      <c r="AW69" s="6">
        <f>COUNTIFS(K:K,"A",C:C,4)/COUNTIF(C:C,4)</f>
        <v>0</v>
      </c>
      <c r="AX69" s="6">
        <f>COUNTIFS(K:K,"A",C:C,5)/COUNTIF(C:C,5)</f>
        <v>0</v>
      </c>
      <c r="AY69" s="6">
        <f>COUNTIFS(K:K,"A",C:C,6)/COUNTIF(C:C,6)</f>
        <v>0</v>
      </c>
      <c r="AZ69"/>
      <c r="BA69" s="45" t="s">
        <v>180</v>
      </c>
      <c r="BB69" s="45" t="s">
        <v>350</v>
      </c>
      <c r="BC69" s="45" t="s">
        <v>348</v>
      </c>
      <c r="BD69" s="45" t="s">
        <v>350</v>
      </c>
      <c r="BE69" s="45" t="s">
        <v>350</v>
      </c>
      <c r="BF69" s="45" t="s">
        <v>350</v>
      </c>
      <c r="BG69" s="45" t="s">
        <v>350</v>
      </c>
      <c r="BI69" t="s">
        <v>385</v>
      </c>
    </row>
    <row r="70" spans="45:98" x14ac:dyDescent="0.3">
      <c r="AS70" s="6" t="s">
        <v>181</v>
      </c>
      <c r="AT70" s="6">
        <f>COUNTIFS(K:K,"B",C:C,1)/COUNTIF(C:C,1)</f>
        <v>0</v>
      </c>
      <c r="AU70" s="6">
        <f>COUNTIFS(K:K,"B",C:C,2)/COUNTIF(C:C,2)</f>
        <v>0</v>
      </c>
      <c r="AV70" s="6">
        <f>COUNTIFS(K:K,"B",C:C,3)/COUNTIF(C:C,3)</f>
        <v>0</v>
      </c>
      <c r="AW70" s="6">
        <f>COUNTIFS(K:K,"B",C:C,4)/COUNTIF(C:C,4)</f>
        <v>0</v>
      </c>
      <c r="AX70" s="6">
        <f>COUNTIFS(K:K,"B",C:C,5)/COUNTIF(C:C,5)</f>
        <v>0</v>
      </c>
      <c r="AY70" s="6">
        <f>COUNTIFS(K:K,"B",C:C,6)/COUNTIF(C:C,6)</f>
        <v>0</v>
      </c>
      <c r="AZ70"/>
      <c r="BA70" s="45" t="s">
        <v>181</v>
      </c>
      <c r="BB70" s="45" t="s">
        <v>350</v>
      </c>
      <c r="BC70" s="45" t="s">
        <v>350</v>
      </c>
      <c r="BD70" s="45" t="s">
        <v>350</v>
      </c>
      <c r="BE70" s="45" t="s">
        <v>350</v>
      </c>
      <c r="BF70" s="45" t="s">
        <v>350</v>
      </c>
      <c r="BG70" s="45" t="s">
        <v>350</v>
      </c>
      <c r="BI70" s="3" t="s">
        <v>355</v>
      </c>
      <c r="BJ70">
        <f>AV18*AT29*AT34*AT40*AT48*AT54*AT58*AT65*AT71*AT77*AT82*AT87*AT96*AT102*AT106*AT112*AT120*AT126*AT132*AT138*AT141*AT148*AT155*AT160*AT163*AT167*AT171*AT175*AT179*AT184*AT188*AT191*AT195*AT199*AT203*AT207*AT212</f>
        <v>8.2590884167679996E-9</v>
      </c>
    </row>
    <row r="71" spans="45:98" x14ac:dyDescent="0.3">
      <c r="AS71" s="6" t="s">
        <v>182</v>
      </c>
      <c r="AT71" s="6">
        <f>COUNTIFS(K:K,"C",C:C,1)/COUNTIF(C:C,1)</f>
        <v>1</v>
      </c>
      <c r="AU71" s="6">
        <f>COUNTIFS(K:K,"C",C:C,2)/COUNTIF(C:C,2)</f>
        <v>0.9</v>
      </c>
      <c r="AV71" s="6">
        <f>COUNTIFS(K:K,"C",C:C,3)/COUNTIF(C:C,3)</f>
        <v>1</v>
      </c>
      <c r="AW71" s="6">
        <f>COUNTIFS(K:K,"C",C:C,4)/COUNTIF(C:C,4)</f>
        <v>1</v>
      </c>
      <c r="AX71" s="6">
        <f>COUNTIFS(K:K,"C",C:C,5)/COUNTIF(C:C,5)</f>
        <v>1</v>
      </c>
      <c r="AY71" s="6">
        <f>COUNTIFS(K:K,"C",C:C,6)/COUNTIF(C:C,6)</f>
        <v>0.8</v>
      </c>
      <c r="AZ71"/>
      <c r="BA71" s="45" t="s">
        <v>182</v>
      </c>
      <c r="BB71" s="45" t="s">
        <v>354</v>
      </c>
      <c r="BC71" s="45" t="s">
        <v>349</v>
      </c>
      <c r="BD71" s="45" t="s">
        <v>354</v>
      </c>
      <c r="BE71" s="45" t="s">
        <v>354</v>
      </c>
      <c r="BF71" s="45" t="s">
        <v>354</v>
      </c>
      <c r="BG71" s="45" t="s">
        <v>347</v>
      </c>
      <c r="BI71" t="s">
        <v>386</v>
      </c>
    </row>
    <row r="72" spans="45:98" x14ac:dyDescent="0.3">
      <c r="AS72" s="6" t="s">
        <v>183</v>
      </c>
      <c r="AT72" s="6">
        <f>COUNTIFS(K:K,"D",C:C,1)/COUNTIF(C:C,1)</f>
        <v>0</v>
      </c>
      <c r="AU72" s="6">
        <f>COUNTIFS(K:K,"D",C:C,2)/COUNTIF(C:C,2)</f>
        <v>0</v>
      </c>
      <c r="AV72" s="6">
        <f>COUNTIFS(K:K,"D",C:C,3)/COUNTIF(C:C,3)</f>
        <v>0</v>
      </c>
      <c r="AW72" s="6">
        <f>COUNTIFS(K:K,"D",C:C,4)/COUNTIF(C:C,4)</f>
        <v>0</v>
      </c>
      <c r="AX72" s="6">
        <f>COUNTIFS(K:K,"D",C:C,5)/COUNTIF(C:C,5)</f>
        <v>0</v>
      </c>
      <c r="AY72" s="6">
        <f>COUNTIFS(K:K,"D",C:C,6)/COUNTIF(C:C,6)</f>
        <v>0.2</v>
      </c>
      <c r="AZ72"/>
      <c r="BA72" s="45" t="s">
        <v>183</v>
      </c>
      <c r="BB72" s="45" t="s">
        <v>350</v>
      </c>
      <c r="BC72" s="45" t="s">
        <v>350</v>
      </c>
      <c r="BD72" s="45" t="s">
        <v>350</v>
      </c>
      <c r="BE72" s="45" t="s">
        <v>350</v>
      </c>
      <c r="BF72" s="45" t="s">
        <v>350</v>
      </c>
      <c r="BG72" s="45" t="s">
        <v>346</v>
      </c>
      <c r="BI72" s="3" t="s">
        <v>355</v>
      </c>
      <c r="BJ72">
        <f>AV19*AU29*AU34*AU40*AU48*AU54*AU58*AU65*AU71*AU77*AU82*AU87*AU96*AU102*AU106*AU112*AU120*AU126*AU132*AU138*AU141*AU148*AU155*AU160*AU163*AU167*AU171*AU175*AU179*AU184*AU188*AU191*AU195*AU199*AU203*AU207*AU212</f>
        <v>0</v>
      </c>
    </row>
    <row r="73" spans="45:98" x14ac:dyDescent="0.3">
      <c r="AZ73"/>
      <c r="BA73" s="43"/>
      <c r="BB73" s="43"/>
      <c r="BC73" s="43"/>
      <c r="BD73" s="43"/>
      <c r="BE73" s="43"/>
      <c r="BF73" s="43"/>
      <c r="BG73" s="43"/>
      <c r="BI73" t="s">
        <v>387</v>
      </c>
    </row>
    <row r="74" spans="45:98" x14ac:dyDescent="0.3">
      <c r="AS74" s="7" t="s">
        <v>272</v>
      </c>
      <c r="AT74" s="7">
        <v>1</v>
      </c>
      <c r="AU74" s="7">
        <v>2</v>
      </c>
      <c r="AV74" s="7">
        <v>3</v>
      </c>
      <c r="AW74" s="7">
        <v>4</v>
      </c>
      <c r="AX74" s="7">
        <v>5</v>
      </c>
      <c r="AY74" s="7">
        <v>6</v>
      </c>
      <c r="AZ74"/>
      <c r="BA74" s="44" t="s">
        <v>272</v>
      </c>
      <c r="BB74" s="44">
        <v>1</v>
      </c>
      <c r="BC74" s="44">
        <v>2</v>
      </c>
      <c r="BD74" s="44">
        <v>3</v>
      </c>
      <c r="BE74" s="44">
        <v>4</v>
      </c>
      <c r="BF74" s="44">
        <v>5</v>
      </c>
      <c r="BG74" s="44">
        <v>6</v>
      </c>
      <c r="BI74" s="3" t="s">
        <v>355</v>
      </c>
      <c r="BJ74">
        <f>AV20*AV29*AV34*AV40*AV48*AV54*AV58*AV65*AV71*AV77*AV82*AV87*AV96*AV102*AV106*AV112*AV120*AV126*AV132*AV138*AV141*AV148*AV155*AV160*AV163*AV167*AV171*AV175*AV179*AV184*AV188*AV191*AV195*AV199*AV203*AV207*AV212</f>
        <v>0</v>
      </c>
    </row>
    <row r="75" spans="45:98" x14ac:dyDescent="0.3">
      <c r="AS75" s="6" t="s">
        <v>184</v>
      </c>
      <c r="AT75" s="6">
        <f>COUNTIFS(L:L,"A",C:C,1)/COUNTIF(C:C,1)</f>
        <v>0</v>
      </c>
      <c r="AU75" s="6">
        <f>COUNTIFS(L:L,"A",C:C,2)/COUNTIF(C:C,2)</f>
        <v>0</v>
      </c>
      <c r="AV75" s="6">
        <f>COUNTIFS(L:L,"A",C:C,3)/COUNTIF(C:C,3)</f>
        <v>0</v>
      </c>
      <c r="AW75" s="6">
        <f>COUNTIFS(L:L,"A",C:C,4)/COUNTIF(C:C,4)</f>
        <v>0</v>
      </c>
      <c r="AX75" s="6">
        <f>COUNTIFS(L:L,"A",C:C,5)/COUNTIF(C:C,5)</f>
        <v>0.2</v>
      </c>
      <c r="AY75" s="6">
        <f>COUNTIFS(L:L,"A",C:C,6)/COUNTIF(C:C,6)</f>
        <v>0.1</v>
      </c>
      <c r="AZ75"/>
      <c r="BA75" s="45" t="s">
        <v>184</v>
      </c>
      <c r="BB75" s="45" t="s">
        <v>350</v>
      </c>
      <c r="BC75" s="45" t="s">
        <v>350</v>
      </c>
      <c r="BD75" s="45" t="s">
        <v>350</v>
      </c>
      <c r="BE75" s="45" t="s">
        <v>350</v>
      </c>
      <c r="BF75" s="45" t="s">
        <v>346</v>
      </c>
      <c r="BG75" s="45" t="s">
        <v>348</v>
      </c>
      <c r="BI75" t="s">
        <v>388</v>
      </c>
    </row>
    <row r="76" spans="45:98" x14ac:dyDescent="0.3">
      <c r="AS76" s="6" t="s">
        <v>185</v>
      </c>
      <c r="AT76" s="6">
        <f>COUNTIFS(L:L,"B",C:C,1)/COUNTIF(C:C,1)</f>
        <v>0.6</v>
      </c>
      <c r="AU76" s="6">
        <f>COUNTIFS(L:L,"B",C:C,2)/COUNTIF(C:C,2)</f>
        <v>0.5</v>
      </c>
      <c r="AV76" s="6">
        <f>COUNTIFS(L:L,"B",C:C,3)/COUNTIF(C:C,3)</f>
        <v>0.6</v>
      </c>
      <c r="AW76" s="6">
        <f>COUNTIFS(L:L,"B",C:C,4)/COUNTIF(C:C,4)</f>
        <v>0.2</v>
      </c>
      <c r="AX76" s="6">
        <f>COUNTIFS(L:L,"B",C:C,5)/COUNTIF(C:C,5)</f>
        <v>0.2</v>
      </c>
      <c r="AY76" s="6">
        <f>COUNTIFS(L:L,"B",C:C,6)/COUNTIF(C:C,6)</f>
        <v>0.2</v>
      </c>
      <c r="AZ76"/>
      <c r="BA76" s="45" t="s">
        <v>185</v>
      </c>
      <c r="BB76" s="45" t="s">
        <v>353</v>
      </c>
      <c r="BC76" s="45" t="s">
        <v>343</v>
      </c>
      <c r="BD76" s="45" t="s">
        <v>343</v>
      </c>
      <c r="BE76" s="45" t="s">
        <v>346</v>
      </c>
      <c r="BF76" s="45" t="s">
        <v>346</v>
      </c>
      <c r="BG76" s="45" t="s">
        <v>346</v>
      </c>
      <c r="BI76" s="3" t="s">
        <v>355</v>
      </c>
      <c r="BJ76">
        <f>AV21*AW29*AW34*AW40*AW48*AW54*AW58*AW65*AW71*AW77*AW82*AW87*AW96*AW102*AW106*AW112*AW120*AW126*AW132*AW138*AW141*AW148*AW155*AW160*AW163*AW167*AW171*AW175*AW179*AW184*AW188*AW191*AW195*AW199*AW203*AW207*AW212</f>
        <v>0</v>
      </c>
    </row>
    <row r="77" spans="45:98" x14ac:dyDescent="0.3">
      <c r="AS77" s="6" t="s">
        <v>186</v>
      </c>
      <c r="AT77" s="6">
        <f>COUNTIFS(L:L,"C",C:C,1)/COUNTIF(C:C,1)</f>
        <v>0.4</v>
      </c>
      <c r="AU77" s="6">
        <f>COUNTIFS(L:L,"C",C:C,2)/COUNTIF(C:C,2)</f>
        <v>0.5</v>
      </c>
      <c r="AV77" s="6">
        <f>COUNTIFS(L:L,"C",C:C,3)/COUNTIF(C:C,3)</f>
        <v>0.4</v>
      </c>
      <c r="AW77" s="6">
        <f>COUNTIFS(L:L,"C",C:C,4)/COUNTIF(C:C,4)</f>
        <v>0.7</v>
      </c>
      <c r="AX77" s="6">
        <f>COUNTIFS(L:L,"C",C:C,5)/COUNTIF(C:C,5)</f>
        <v>0.6</v>
      </c>
      <c r="AY77" s="6">
        <f>COUNTIFS(L:L,"C",C:C,6)/COUNTIF(C:C,6)</f>
        <v>0.7</v>
      </c>
      <c r="AZ77"/>
      <c r="BA77" s="45" t="s">
        <v>186</v>
      </c>
      <c r="BB77" s="45" t="s">
        <v>341</v>
      </c>
      <c r="BC77" s="45" t="s">
        <v>343</v>
      </c>
      <c r="BD77" s="45" t="s">
        <v>343</v>
      </c>
      <c r="BE77" s="45" t="s">
        <v>345</v>
      </c>
      <c r="BF77" s="45" t="s">
        <v>353</v>
      </c>
      <c r="BG77" s="45" t="s">
        <v>345</v>
      </c>
      <c r="BI77" t="s">
        <v>389</v>
      </c>
    </row>
    <row r="78" spans="45:98" x14ac:dyDescent="0.3">
      <c r="AS78" s="6" t="s">
        <v>187</v>
      </c>
      <c r="AT78" s="6">
        <f>COUNTIFS(L:L,"D",C:C,1)/COUNTIF(C:C,1)</f>
        <v>0</v>
      </c>
      <c r="AU78" s="6">
        <f>COUNTIFS(L:L,"D",C:C,2)/COUNTIF(C:C,2)</f>
        <v>0</v>
      </c>
      <c r="AV78" s="6">
        <f>COUNTIFS(L:L,"D",C:C,3)/COUNTIF(C:C,3)</f>
        <v>0</v>
      </c>
      <c r="AW78" s="6">
        <f>COUNTIFS(L:L,"D",C:C,4)/COUNTIF(C:C,4)</f>
        <v>0.1</v>
      </c>
      <c r="AX78" s="6">
        <f>COUNTIFS(L:L,"D",C:C,5)/COUNTIF(C:C,5)</f>
        <v>0</v>
      </c>
      <c r="AY78" s="6">
        <f>COUNTIFS(L:L,"D",C:C,6)/COUNTIF(C:C,6)</f>
        <v>0</v>
      </c>
      <c r="AZ78"/>
      <c r="BA78" s="45" t="s">
        <v>187</v>
      </c>
      <c r="BB78" s="45" t="s">
        <v>350</v>
      </c>
      <c r="BC78" s="45" t="s">
        <v>350</v>
      </c>
      <c r="BD78" s="45" t="s">
        <v>350</v>
      </c>
      <c r="BE78" s="45" t="s">
        <v>348</v>
      </c>
      <c r="BF78" s="45" t="s">
        <v>350</v>
      </c>
      <c r="BG78" s="45" t="s">
        <v>350</v>
      </c>
      <c r="BI78" s="3" t="s">
        <v>355</v>
      </c>
      <c r="BJ78">
        <f>AV22*AX29*AX34*AX40*AX48*AX54*AX58*AX65*AX71*AX77*AX82*AX87*AX96*AX102*AX106*AX112*AX120*AX126*AX132*AX138*AX141*AX148*AX155*AX160*AX163*AX167*AX171*AX175*AX179*AX184*AX188*AX191*AX195*AX199*AX203*AX207*AX212</f>
        <v>0</v>
      </c>
    </row>
    <row r="79" spans="45:98" x14ac:dyDescent="0.3">
      <c r="AZ79"/>
      <c r="BA79" s="43"/>
      <c r="BB79" s="43"/>
      <c r="BC79" s="43"/>
      <c r="BD79" s="43"/>
      <c r="BE79" s="43"/>
      <c r="BF79" s="43"/>
      <c r="BG79" s="43"/>
      <c r="BI79" t="s">
        <v>390</v>
      </c>
    </row>
    <row r="80" spans="45:98" x14ac:dyDescent="0.3">
      <c r="AS80" s="7" t="s">
        <v>273</v>
      </c>
      <c r="AT80" s="7">
        <v>1</v>
      </c>
      <c r="AU80" s="7">
        <v>2</v>
      </c>
      <c r="AV80" s="7">
        <v>3</v>
      </c>
      <c r="AW80" s="7">
        <v>4</v>
      </c>
      <c r="AX80" s="7">
        <v>5</v>
      </c>
      <c r="AY80" s="7">
        <v>6</v>
      </c>
      <c r="AZ80"/>
      <c r="BA80" s="44" t="s">
        <v>273</v>
      </c>
      <c r="BB80" s="44">
        <v>1</v>
      </c>
      <c r="BC80" s="44">
        <v>2</v>
      </c>
      <c r="BD80" s="44">
        <v>3</v>
      </c>
      <c r="BE80" s="44">
        <v>4</v>
      </c>
      <c r="BF80" s="44">
        <v>5</v>
      </c>
      <c r="BG80" s="44">
        <v>6</v>
      </c>
      <c r="BI80" s="3" t="s">
        <v>355</v>
      </c>
      <c r="BJ80">
        <f>AV23*AY29*AY34*AY40*AY48*AY54*AY58*AY65*AY71*AY77*AY82*AY87*AY96*AY102*AY106*AY112*AY120*AY126*AY132*AY138*AY141*AY148*AY155*AY160*AY163*AY167*AY171*AY175*AY179*AY184*AY188*AY191*AY195*AY199*AY203*AY207*AY212</f>
        <v>0</v>
      </c>
    </row>
    <row r="81" spans="45:98" x14ac:dyDescent="0.3">
      <c r="AS81" s="6" t="s">
        <v>188</v>
      </c>
      <c r="AT81" s="6">
        <f>COUNTIFS(M:M,"A",C:C,1)/COUNTIF(C:C,1)</f>
        <v>0</v>
      </c>
      <c r="AU81" s="6">
        <f>COUNTIFS(M:M,"A",C:C,2)/COUNTIF(C:C,2)</f>
        <v>0.3</v>
      </c>
      <c r="AV81" s="6">
        <f>COUNTIFS(M:M,"A",C:C,3)/COUNTIF(C:C,3)</f>
        <v>0.3</v>
      </c>
      <c r="AW81" s="6">
        <f>COUNTIFS(M:M,"A",C:C,4)/COUNTIF(C:C,4)</f>
        <v>0.2</v>
      </c>
      <c r="AX81" s="6">
        <f>COUNTIFS(M:M,"A",C:C,5)/COUNTIF(C:C,5)</f>
        <v>0.4</v>
      </c>
      <c r="AY81" s="6">
        <f>COUNTIFS(M:M,"A",C:C,6)/COUNTIF(C:C,6)</f>
        <v>0.6</v>
      </c>
      <c r="AZ81"/>
      <c r="BA81" s="45" t="s">
        <v>188</v>
      </c>
      <c r="BB81" s="45" t="s">
        <v>350</v>
      </c>
      <c r="BC81" s="45" t="s">
        <v>344</v>
      </c>
      <c r="BD81" s="45" t="s">
        <v>341</v>
      </c>
      <c r="BE81" s="45" t="s">
        <v>346</v>
      </c>
      <c r="BF81" s="45" t="s">
        <v>341</v>
      </c>
      <c r="BG81" s="45" t="s">
        <v>353</v>
      </c>
      <c r="BI81" s="24" t="s">
        <v>391</v>
      </c>
      <c r="BJ81" t="s">
        <v>372</v>
      </c>
      <c r="BK81" s="25" t="s">
        <v>379</v>
      </c>
    </row>
    <row r="82" spans="45:98" x14ac:dyDescent="0.3">
      <c r="AS82" s="6" t="s">
        <v>189</v>
      </c>
      <c r="AT82" s="6">
        <f>COUNTIFS(M:M,"B",C:C,1)/COUNTIF(C:C,1)</f>
        <v>0.7</v>
      </c>
      <c r="AU82" s="6">
        <f>COUNTIFS(M:M,"B",C:C,2)/COUNTIF(C:C,2)</f>
        <v>0.2</v>
      </c>
      <c r="AV82" s="6">
        <f>COUNTIFS(M:M,"B",C:C,3)/COUNTIF(C:C,3)</f>
        <v>0.5</v>
      </c>
      <c r="AW82" s="6">
        <f>COUNTIFS(M:M,"B",C:C,4)/COUNTIF(C:C,4)</f>
        <v>0.2</v>
      </c>
      <c r="AX82" s="6">
        <f>COUNTIFS(M:M,"B",C:C,5)/COUNTIF(C:C,5)</f>
        <v>0</v>
      </c>
      <c r="AY82" s="6">
        <f>COUNTIFS(M:M,"B",C:C,6)/COUNTIF(C:C,6)</f>
        <v>0.2</v>
      </c>
      <c r="AZ82"/>
      <c r="BA82" s="45" t="s">
        <v>189</v>
      </c>
      <c r="BB82" s="45" t="s">
        <v>345</v>
      </c>
      <c r="BC82" s="45" t="s">
        <v>344</v>
      </c>
      <c r="BD82" s="45" t="s">
        <v>341</v>
      </c>
      <c r="BE82" s="45" t="s">
        <v>346</v>
      </c>
      <c r="BF82" s="45" t="s">
        <v>350</v>
      </c>
      <c r="BG82" s="45" t="s">
        <v>346</v>
      </c>
    </row>
    <row r="83" spans="45:98" x14ac:dyDescent="0.3">
      <c r="AS83" s="6" t="s">
        <v>190</v>
      </c>
      <c r="AT83" s="6">
        <f>COUNTIFS(M:M,"C",C:C,1)/COUNTIF(C:C,1)</f>
        <v>0.3</v>
      </c>
      <c r="AU83" s="6">
        <f>COUNTIFS(M:M,"C",C:C,2)/COUNTIF(C:C,2)</f>
        <v>0.5</v>
      </c>
      <c r="AV83" s="6">
        <f>COUNTIFS(M:M,"C",C:C,3)/COUNTIF(C:C,3)</f>
        <v>0.2</v>
      </c>
      <c r="AW83" s="6">
        <f>COUNTIFS(M:M,"C",C:C,4)/COUNTIF(C:C,4)</f>
        <v>0.4</v>
      </c>
      <c r="AX83" s="6">
        <f>COUNTIFS(M:M,"C",C:C,5)/COUNTIF(C:C,5)</f>
        <v>0.3</v>
      </c>
      <c r="AY83" s="6">
        <f>COUNTIFS(M:M,"C",C:C,6)/COUNTIF(C:C,6)</f>
        <v>0</v>
      </c>
      <c r="AZ83"/>
      <c r="BA83" s="45" t="s">
        <v>190</v>
      </c>
      <c r="BB83" s="45" t="s">
        <v>344</v>
      </c>
      <c r="BC83" s="45" t="s">
        <v>341</v>
      </c>
      <c r="BD83" s="45" t="s">
        <v>346</v>
      </c>
      <c r="BE83" s="45" t="s">
        <v>341</v>
      </c>
      <c r="BF83" s="45" t="s">
        <v>344</v>
      </c>
      <c r="BG83" s="45" t="s">
        <v>350</v>
      </c>
      <c r="BI83" s="53" t="s">
        <v>392</v>
      </c>
      <c r="BJ83" s="24" t="s">
        <v>71</v>
      </c>
      <c r="BK83" s="1" t="s">
        <v>50</v>
      </c>
      <c r="BL83" s="1" t="s">
        <v>51</v>
      </c>
      <c r="BM83" s="1" t="s">
        <v>52</v>
      </c>
      <c r="BN83" s="1" t="s">
        <v>53</v>
      </c>
      <c r="BO83" s="1" t="s">
        <v>54</v>
      </c>
      <c r="BP83" s="1" t="s">
        <v>55</v>
      </c>
      <c r="BQ83" s="1" t="s">
        <v>56</v>
      </c>
      <c r="BR83" s="1" t="s">
        <v>57</v>
      </c>
      <c r="BS83" s="1" t="s">
        <v>58</v>
      </c>
      <c r="BT83" s="1" t="s">
        <v>59</v>
      </c>
      <c r="BU83" s="1" t="s">
        <v>60</v>
      </c>
      <c r="BV83" s="1" t="s">
        <v>61</v>
      </c>
      <c r="BW83" s="1" t="s">
        <v>62</v>
      </c>
      <c r="BX83" s="1" t="s">
        <v>63</v>
      </c>
      <c r="BY83" s="1" t="s">
        <v>64</v>
      </c>
      <c r="BZ83" s="1" t="s">
        <v>65</v>
      </c>
      <c r="CA83" s="1" t="s">
        <v>66</v>
      </c>
      <c r="CB83" s="1" t="s">
        <v>67</v>
      </c>
      <c r="CC83" s="1" t="s">
        <v>68</v>
      </c>
      <c r="CD83" s="1" t="s">
        <v>69</v>
      </c>
      <c r="CE83" s="1" t="s">
        <v>70</v>
      </c>
      <c r="CF83" s="1" t="s">
        <v>929</v>
      </c>
      <c r="CG83" s="1" t="s">
        <v>930</v>
      </c>
      <c r="CH83" s="1" t="s">
        <v>931</v>
      </c>
      <c r="CI83" s="1" t="s">
        <v>932</v>
      </c>
      <c r="CJ83" s="1" t="s">
        <v>933</v>
      </c>
      <c r="CK83" s="1" t="s">
        <v>934</v>
      </c>
      <c r="CL83" s="1" t="s">
        <v>935</v>
      </c>
      <c r="CM83" s="1" t="s">
        <v>936</v>
      </c>
      <c r="CN83" s="1" t="s">
        <v>937</v>
      </c>
      <c r="CO83" s="1" t="s">
        <v>938</v>
      </c>
      <c r="CP83" s="1" t="s">
        <v>939</v>
      </c>
      <c r="CQ83" s="1" t="s">
        <v>940</v>
      </c>
      <c r="CR83" s="1" t="s">
        <v>941</v>
      </c>
      <c r="CS83" s="1" t="s">
        <v>942</v>
      </c>
      <c r="CT83" s="1" t="s">
        <v>1008</v>
      </c>
    </row>
    <row r="84" spans="45:98" x14ac:dyDescent="0.3">
      <c r="AS84" s="6" t="s">
        <v>191</v>
      </c>
      <c r="AT84" s="6">
        <f>COUNTIFS(M:M,"D",C:C,1)/COUNTIF(C:C,1)</f>
        <v>0</v>
      </c>
      <c r="AU84" s="6">
        <f>COUNTIFS(M:M,"D",C:C,2)/COUNTIF(C:C,2)</f>
        <v>0</v>
      </c>
      <c r="AV84" s="6">
        <f>COUNTIFS(M:M,"D",C:C,3)/COUNTIF(C:C,3)</f>
        <v>0</v>
      </c>
      <c r="AW84" s="6">
        <f>COUNTIFS(M:M,"D",C:C,4)/COUNTIF(C:C,4)</f>
        <v>0.2</v>
      </c>
      <c r="AX84" s="6">
        <f>COUNTIFS(M:M,"D",C:C,5)/COUNTIF(C:C,5)</f>
        <v>0.3</v>
      </c>
      <c r="AY84" s="6">
        <f>COUNTIFS(M:M,"D",C:C,6)/COUNTIF(C:C,6)</f>
        <v>0.2</v>
      </c>
      <c r="AZ84"/>
      <c r="BA84" s="45" t="s">
        <v>191</v>
      </c>
      <c r="BB84" s="45" t="s">
        <v>350</v>
      </c>
      <c r="BC84" s="45" t="s">
        <v>350</v>
      </c>
      <c r="BD84" s="45" t="s">
        <v>350</v>
      </c>
      <c r="BE84" s="45" t="s">
        <v>346</v>
      </c>
      <c r="BF84" s="45" t="s">
        <v>344</v>
      </c>
      <c r="BG84" s="45" t="s">
        <v>346</v>
      </c>
      <c r="BI84" s="53"/>
      <c r="BJ84" s="24">
        <v>1</v>
      </c>
      <c r="BK84" t="s">
        <v>3</v>
      </c>
      <c r="BL84" t="s">
        <v>3</v>
      </c>
      <c r="BM84" t="s">
        <v>2</v>
      </c>
      <c r="BN84" t="s">
        <v>5</v>
      </c>
      <c r="BO84" t="s">
        <v>5</v>
      </c>
      <c r="BP84" t="s">
        <v>3</v>
      </c>
      <c r="BQ84" t="s">
        <v>5</v>
      </c>
      <c r="BR84" t="s">
        <v>2</v>
      </c>
      <c r="BS84" t="s">
        <v>2</v>
      </c>
      <c r="BT84" t="s">
        <v>2</v>
      </c>
      <c r="BU84" t="s">
        <v>3</v>
      </c>
      <c r="BV84" t="s">
        <v>3</v>
      </c>
      <c r="BW84" t="s">
        <v>5</v>
      </c>
      <c r="BX84" t="s">
        <v>3</v>
      </c>
      <c r="BY84" t="s">
        <v>3</v>
      </c>
      <c r="BZ84" t="s">
        <v>5</v>
      </c>
      <c r="CA84" t="s">
        <v>5</v>
      </c>
      <c r="CB84" t="s">
        <v>5</v>
      </c>
      <c r="CC84" t="s">
        <v>5</v>
      </c>
      <c r="CD84" t="s">
        <v>4</v>
      </c>
      <c r="CE84" t="s">
        <v>3</v>
      </c>
      <c r="CF84" t="s">
        <v>2</v>
      </c>
      <c r="CG84" t="s">
        <v>3</v>
      </c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t="s">
        <v>4</v>
      </c>
      <c r="CN84" t="s">
        <v>3</v>
      </c>
      <c r="CO84" t="s">
        <v>4</v>
      </c>
      <c r="CP84" t="s">
        <v>3</v>
      </c>
      <c r="CQ84" t="s">
        <v>4</v>
      </c>
      <c r="CR84" t="s">
        <v>4</v>
      </c>
      <c r="CS84" t="s">
        <v>4</v>
      </c>
      <c r="CT84" t="s">
        <v>3</v>
      </c>
    </row>
    <row r="85" spans="45:98" x14ac:dyDescent="0.3">
      <c r="AZ85"/>
      <c r="BA85" s="43"/>
      <c r="BB85" s="43"/>
      <c r="BC85" s="43"/>
      <c r="BD85" s="43"/>
      <c r="BE85" s="43"/>
      <c r="BF85" s="43"/>
      <c r="BG85" s="43"/>
      <c r="BI85" t="s">
        <v>684</v>
      </c>
    </row>
    <row r="86" spans="45:98" x14ac:dyDescent="0.3">
      <c r="AS86" s="7" t="s">
        <v>274</v>
      </c>
      <c r="AT86" s="7">
        <v>1</v>
      </c>
      <c r="AU86" s="7">
        <v>2</v>
      </c>
      <c r="AV86" s="7">
        <v>3</v>
      </c>
      <c r="AW86" s="7">
        <v>4</v>
      </c>
      <c r="AX86" s="7">
        <v>5</v>
      </c>
      <c r="AY86" s="7">
        <v>6</v>
      </c>
      <c r="AZ86"/>
      <c r="BA86" s="44" t="s">
        <v>274</v>
      </c>
      <c r="BB86" s="44">
        <v>1</v>
      </c>
      <c r="BC86" s="44">
        <v>2</v>
      </c>
      <c r="BD86" s="44">
        <v>3</v>
      </c>
      <c r="BE86" s="44">
        <v>4</v>
      </c>
      <c r="BF86" s="44">
        <v>5</v>
      </c>
      <c r="BG86" s="44">
        <v>6</v>
      </c>
      <c r="BI86" s="3" t="s">
        <v>355</v>
      </c>
      <c r="BJ86">
        <f>AV18*AT28*AT34*AT41*AT48*AT54*AT58*AT66*AT71*AT77*AT83*AT88*AT94*AT102*AT106*AT112*AT120*AT126*AT132*AT138*AT141*AT148*AT155*AT160*AT163*AT167*AT171*AT175*AT179*AT183*AT188*AT191*AT196*AT199*AT203*AT207*AT212</f>
        <v>4.4048471556096021E-7</v>
      </c>
    </row>
    <row r="87" spans="45:98" x14ac:dyDescent="0.3">
      <c r="AS87" s="6" t="s">
        <v>192</v>
      </c>
      <c r="AT87" s="6">
        <f>COUNTIFS(N:N,"A",C:C,1)/COUNTIF(C:C,1)</f>
        <v>0.5</v>
      </c>
      <c r="AU87" s="6">
        <f>COUNTIFS(N:N,"A",C:C,2)/COUNTIF(C:C,2)</f>
        <v>0.5</v>
      </c>
      <c r="AV87" s="6">
        <f>COUNTIFS(N:N,"A",C:C,3)/COUNTIF(C:C,3)</f>
        <v>0.6</v>
      </c>
      <c r="AW87" s="6">
        <f>COUNTIFS(N:N,"A",C:C,4)/COUNTIF(C:C,4)</f>
        <v>0.3</v>
      </c>
      <c r="AX87" s="6">
        <f>COUNTIFS(N:N,"A",C:C,5)/COUNTIF(C:C,5)</f>
        <v>0.4</v>
      </c>
      <c r="AY87" s="6">
        <f>COUNTIFS(N:N,"A",C:C,6)/COUNTIF(C:C,6)</f>
        <v>0.6</v>
      </c>
      <c r="AZ87"/>
      <c r="BA87" s="45" t="s">
        <v>192</v>
      </c>
      <c r="BB87" s="45" t="s">
        <v>343</v>
      </c>
      <c r="BC87" s="45" t="s">
        <v>353</v>
      </c>
      <c r="BD87" s="45" t="s">
        <v>353</v>
      </c>
      <c r="BE87" s="45" t="s">
        <v>344</v>
      </c>
      <c r="BF87" s="45" t="s">
        <v>341</v>
      </c>
      <c r="BG87" s="45" t="s">
        <v>353</v>
      </c>
      <c r="BI87" t="s">
        <v>685</v>
      </c>
    </row>
    <row r="88" spans="45:98" x14ac:dyDescent="0.3">
      <c r="AS88" s="6" t="s">
        <v>193</v>
      </c>
      <c r="AT88" s="6">
        <f>COUNTIFS(N:N,"B",C:C,1)/COUNTIF(C:C,1)</f>
        <v>0.4</v>
      </c>
      <c r="AU88" s="6">
        <f>COUNTIFS(N:N,"B",C:C,2)/COUNTIF(C:C,2)</f>
        <v>0.3</v>
      </c>
      <c r="AV88" s="6">
        <f>COUNTIFS(N:N,"B",C:C,3)/COUNTIF(C:C,3)</f>
        <v>0.3</v>
      </c>
      <c r="AW88" s="6">
        <f>COUNTIFS(N:N,"B",C:C,4)/COUNTIF(C:C,4)</f>
        <v>0.5</v>
      </c>
      <c r="AX88" s="6">
        <f>COUNTIFS(N:N,"B",C:C,5)/COUNTIF(C:C,5)</f>
        <v>0.2</v>
      </c>
      <c r="AY88" s="6">
        <f>COUNTIFS(N:N,"B",C:C,6)/COUNTIF(C:C,6)</f>
        <v>0.3</v>
      </c>
      <c r="AZ88"/>
      <c r="BA88" s="45" t="s">
        <v>193</v>
      </c>
      <c r="BB88" s="45" t="s">
        <v>341</v>
      </c>
      <c r="BC88" s="45" t="s">
        <v>341</v>
      </c>
      <c r="BD88" s="45" t="s">
        <v>341</v>
      </c>
      <c r="BE88" s="45" t="s">
        <v>343</v>
      </c>
      <c r="BF88" s="45" t="s">
        <v>346</v>
      </c>
      <c r="BG88" s="45" t="s">
        <v>344</v>
      </c>
      <c r="BI88" s="3" t="s">
        <v>355</v>
      </c>
      <c r="BJ88">
        <f>AV19*AU28*AU34*AU41*AU48*AU54*AU58*AU66*AU71*AU77*AU83*AU88*AU94*AU102*AU106*AU112*AU120*AU126*AU132*AU138*AU141*AU148*AU155*AU160*AU163*AU167*AU171*AU175*AU179*AU183*AU188*AU191*AU196*AU199*AU203*AU207*AU212</f>
        <v>0</v>
      </c>
    </row>
    <row r="89" spans="45:98" x14ac:dyDescent="0.3">
      <c r="AS89" s="6" t="s">
        <v>194</v>
      </c>
      <c r="AT89" s="6">
        <f>COUNTIFS(N:N,"C",C:C,1)/COUNTIF(C:C,1)</f>
        <v>0.1</v>
      </c>
      <c r="AU89" s="6">
        <f>COUNTIFS(N:N,"C",C:C,2)/COUNTIF(C:C,2)</f>
        <v>0.2</v>
      </c>
      <c r="AV89" s="6">
        <f>COUNTIFS(N:N,"C",C:C,3)/COUNTIF(C:C,3)</f>
        <v>0.1</v>
      </c>
      <c r="AW89" s="6">
        <f>COUNTIFS(N:N,"C",C:C,4)/COUNTIF(C:C,4)</f>
        <v>0</v>
      </c>
      <c r="AX89" s="6">
        <f>COUNTIFS(N:N,"C",C:C,5)/COUNTIF(C:C,5)</f>
        <v>0.4</v>
      </c>
      <c r="AY89" s="6">
        <f>COUNTIFS(N:N,"C",C:C,6)/COUNTIF(C:C,6)</f>
        <v>0.1</v>
      </c>
      <c r="AZ89"/>
      <c r="BA89" s="45" t="s">
        <v>194</v>
      </c>
      <c r="BB89" s="45" t="s">
        <v>348</v>
      </c>
      <c r="BC89" s="45" t="s">
        <v>350</v>
      </c>
      <c r="BD89" s="45" t="s">
        <v>350</v>
      </c>
      <c r="BE89" s="45" t="s">
        <v>350</v>
      </c>
      <c r="BF89" s="45" t="s">
        <v>341</v>
      </c>
      <c r="BG89" s="45" t="s">
        <v>348</v>
      </c>
      <c r="BI89" t="s">
        <v>686</v>
      </c>
    </row>
    <row r="90" spans="45:98" x14ac:dyDescent="0.3">
      <c r="AS90" s="6" t="s">
        <v>195</v>
      </c>
      <c r="AT90" s="6">
        <f>COUNTIFS(N:N,"D",C:C,1)/COUNTIF(C:C,1)</f>
        <v>0</v>
      </c>
      <c r="AU90" s="6">
        <f>COUNTIFS(N:N,"D",C:C,2)/COUNTIF(C:C,2)</f>
        <v>0</v>
      </c>
      <c r="AV90" s="6">
        <f>COUNTIFS(N:N,"D",C:C,3)/COUNTIF(C:C,3)</f>
        <v>0</v>
      </c>
      <c r="AW90" s="6">
        <f>COUNTIFS(N:N,"D",C:C,4)/COUNTIF(C:C,4)</f>
        <v>0.2</v>
      </c>
      <c r="AX90" s="6">
        <f>COUNTIFS(N:N,"D",C:C,5)/COUNTIF(C:C,5)</f>
        <v>0</v>
      </c>
      <c r="AY90" s="6">
        <f>COUNTIFS(N:N,"D",C:C,6)/COUNTIF(C:C,6)</f>
        <v>0</v>
      </c>
      <c r="AZ90"/>
      <c r="BA90" s="45" t="s">
        <v>195</v>
      </c>
      <c r="BB90" s="45" t="s">
        <v>350</v>
      </c>
      <c r="BC90" s="45" t="s">
        <v>350</v>
      </c>
      <c r="BD90" s="45" t="s">
        <v>350</v>
      </c>
      <c r="BE90" s="45" t="s">
        <v>346</v>
      </c>
      <c r="BF90" s="45" t="s">
        <v>350</v>
      </c>
      <c r="BG90" s="45" t="s">
        <v>350</v>
      </c>
      <c r="BI90" s="3" t="s">
        <v>355</v>
      </c>
      <c r="BJ90">
        <f>AV20*AV28*AV34*AV41*AV48*AV54*AV58*AV66*AV71*AV77*AV83*AV88*AV94*AV102*AV106*AV112*AV120*AV126*AV132*AV138*AV141*AV148*AV155*AV160*AV163*AV167*AV171*AV175*AV179*AV183*AV188*AV191*AV196*AV199*AV203*AV207*AV212</f>
        <v>0</v>
      </c>
    </row>
    <row r="91" spans="45:98" x14ac:dyDescent="0.3">
      <c r="AZ91"/>
      <c r="BA91" s="43"/>
      <c r="BB91" s="43"/>
      <c r="BC91" s="43"/>
      <c r="BD91" s="43"/>
      <c r="BE91" s="43"/>
      <c r="BF91" s="43"/>
      <c r="BG91" s="43"/>
      <c r="BI91" t="s">
        <v>687</v>
      </c>
    </row>
    <row r="92" spans="45:98" x14ac:dyDescent="0.3">
      <c r="AS92" s="7" t="s">
        <v>275</v>
      </c>
      <c r="AT92" s="7">
        <v>1</v>
      </c>
      <c r="AU92" s="7">
        <v>2</v>
      </c>
      <c r="AV92" s="7">
        <v>3</v>
      </c>
      <c r="AW92" s="7">
        <v>4</v>
      </c>
      <c r="AX92" s="7">
        <v>5</v>
      </c>
      <c r="AY92" s="7">
        <v>6</v>
      </c>
      <c r="AZ92"/>
      <c r="BA92" s="44" t="s">
        <v>275</v>
      </c>
      <c r="BB92" s="44">
        <v>1</v>
      </c>
      <c r="BC92" s="44">
        <v>2</v>
      </c>
      <c r="BD92" s="44">
        <v>3</v>
      </c>
      <c r="BE92" s="44">
        <v>4</v>
      </c>
      <c r="BF92" s="44">
        <v>5</v>
      </c>
      <c r="BG92" s="44">
        <v>6</v>
      </c>
      <c r="BI92" s="3" t="s">
        <v>355</v>
      </c>
      <c r="BJ92">
        <f>AV21*AW28*AW34*AW41*AW48*AW54*AW58*AW66*AW71*AW77*AW83*AW88*AW94*AW102*AW106*AW112*AW120*AW126*AW132*AW138*AW141*AW148*AW155*AW160*AW163*AW167*AW171*AW175*AW179*AW183*AW188*AW191*AW196*AW199*AW203*AW207*AW212</f>
        <v>0</v>
      </c>
    </row>
    <row r="93" spans="45:98" x14ac:dyDescent="0.3">
      <c r="AS93" s="6" t="s">
        <v>196</v>
      </c>
      <c r="AT93" s="6">
        <f>COUNTIFS(O:O,"A",C:C,1)/COUNTIF(C:C,1)</f>
        <v>0.3</v>
      </c>
      <c r="AU93" s="6">
        <f>COUNTIFS(O:O,"A",C:C,2)/COUNTIF(C:C,2)</f>
        <v>0.2</v>
      </c>
      <c r="AV93" s="6">
        <f>COUNTIFS(O:O,"A",C:C,3)/COUNTIF(C:C,3)</f>
        <v>0</v>
      </c>
      <c r="AW93" s="6">
        <f>COUNTIFS(O:O,"A",C:C,4)/COUNTIF(C:C,4)</f>
        <v>0.1</v>
      </c>
      <c r="AX93" s="6">
        <f>COUNTIFS(O:O,"A",C:C,5)/COUNTIF(C:C,5)</f>
        <v>0.1</v>
      </c>
      <c r="AY93" s="6">
        <f>COUNTIFS(O:O,"A",C:C,6)/COUNTIF(C:C,6)</f>
        <v>0.1</v>
      </c>
      <c r="AZ93"/>
      <c r="BA93" s="45" t="s">
        <v>196</v>
      </c>
      <c r="BB93" s="45" t="s">
        <v>344</v>
      </c>
      <c r="BC93" s="45" t="s">
        <v>346</v>
      </c>
      <c r="BD93" s="45" t="s">
        <v>350</v>
      </c>
      <c r="BE93" s="45" t="s">
        <v>348</v>
      </c>
      <c r="BF93" s="45" t="s">
        <v>348</v>
      </c>
      <c r="BG93" s="45" t="s">
        <v>348</v>
      </c>
      <c r="BI93" t="s">
        <v>688</v>
      </c>
    </row>
    <row r="94" spans="45:98" x14ac:dyDescent="0.3">
      <c r="AS94" s="6" t="s">
        <v>198</v>
      </c>
      <c r="AT94" s="6">
        <f>COUNTIFS(O:O,"B",C:C,1)/COUNTIF(C:C,1)</f>
        <v>0.2</v>
      </c>
      <c r="AU94" s="6">
        <f>COUNTIFS(O:O,"B",C:C,2)/COUNTIF(C:C,2)</f>
        <v>0.1</v>
      </c>
      <c r="AV94" s="6">
        <f>COUNTIFS(O:O,"B",C:C,3)/COUNTIF(C:C,3)</f>
        <v>0</v>
      </c>
      <c r="AW94" s="6">
        <f>COUNTIFS(O:O,"B",C:C,4)/COUNTIF(C:C,4)</f>
        <v>0.1</v>
      </c>
      <c r="AX94" s="6">
        <f>COUNTIFS(O:O,"B",C:C,5)/COUNTIF(C:C,5)</f>
        <v>0.1</v>
      </c>
      <c r="AY94" s="6">
        <f>COUNTIFS(O:O,"B",C:C,6)/COUNTIF(C:C,6)</f>
        <v>0.1</v>
      </c>
      <c r="AZ94"/>
      <c r="BA94" s="45" t="s">
        <v>198</v>
      </c>
      <c r="BB94" s="45" t="s">
        <v>346</v>
      </c>
      <c r="BC94" s="45" t="s">
        <v>346</v>
      </c>
      <c r="BD94" s="45" t="s">
        <v>350</v>
      </c>
      <c r="BE94" s="45" t="s">
        <v>348</v>
      </c>
      <c r="BF94" s="45" t="s">
        <v>348</v>
      </c>
      <c r="BG94" s="45" t="s">
        <v>348</v>
      </c>
      <c r="BI94" s="3" t="s">
        <v>355</v>
      </c>
      <c r="BJ94">
        <f>AV22*AX28*AX34*AX41*AX48*AX54*AX58*AX66*AX71*AX77*AX83*AX88*AX94*AX102*AX106*AX112*AX120*AX126*AX132*AX138*AX141*AX148*AX155*AX160*AX163*AX167*AX171*AX175*AX179*AX183*AX188*AX191*AX196*AX199*AX203*AX207*AX212</f>
        <v>0</v>
      </c>
    </row>
    <row r="95" spans="45:98" x14ac:dyDescent="0.3">
      <c r="AS95" s="6" t="s">
        <v>199</v>
      </c>
      <c r="AT95" s="6">
        <f>COUNTIFS(O:O,"C",C:C,1)/COUNTIF(C:C,1)</f>
        <v>0.3</v>
      </c>
      <c r="AU95" s="6">
        <f>COUNTIFS(O:O,"C",C:C,2)/COUNTIF(C:C,2)</f>
        <v>0.5</v>
      </c>
      <c r="AV95" s="6">
        <f>COUNTIFS(O:O,"C",C:C,3)/COUNTIF(C:C,3)</f>
        <v>0.5</v>
      </c>
      <c r="AW95" s="6">
        <f>COUNTIFS(O:O,"C",C:C,4)/COUNTIF(C:C,4)</f>
        <v>0.2</v>
      </c>
      <c r="AX95" s="6">
        <f>COUNTIFS(O:O,"C",C:C,5)/COUNTIF(C:C,5)</f>
        <v>0.4</v>
      </c>
      <c r="AY95" s="6">
        <f>COUNTIFS(O:O,"C",C:C,6)/COUNTIF(C:C,6)</f>
        <v>0.1</v>
      </c>
      <c r="AZ95"/>
      <c r="BA95" s="45" t="s">
        <v>199</v>
      </c>
      <c r="BB95" s="45" t="s">
        <v>344</v>
      </c>
      <c r="BC95" s="45" t="s">
        <v>341</v>
      </c>
      <c r="BD95" s="45" t="s">
        <v>343</v>
      </c>
      <c r="BE95" s="45" t="s">
        <v>346</v>
      </c>
      <c r="BF95" s="45" t="s">
        <v>341</v>
      </c>
      <c r="BG95" s="45" t="s">
        <v>348</v>
      </c>
      <c r="BI95" t="s">
        <v>689</v>
      </c>
    </row>
    <row r="96" spans="45:98" x14ac:dyDescent="0.3">
      <c r="AS96" s="6" t="s">
        <v>200</v>
      </c>
      <c r="AT96" s="6">
        <f>COUNTIFS(O:O,"D",C:C,1)/COUNTIF(C:C,1)</f>
        <v>0.2</v>
      </c>
      <c r="AU96" s="6">
        <f>COUNTIFS(O:O,"D",C:C,2)/COUNTIF(C:C,2)</f>
        <v>0.2</v>
      </c>
      <c r="AV96" s="6">
        <f>COUNTIFS(O:O,"D",C:C,3)/COUNTIF(C:C,3)</f>
        <v>0.5</v>
      </c>
      <c r="AW96" s="6">
        <f>COUNTIFS(O:O,"D",C:C,4)/COUNTIF(C:C,4)</f>
        <v>0.6</v>
      </c>
      <c r="AX96" s="6">
        <f>COUNTIFS(O:O,"D",C:C,5)/COUNTIF(C:C,5)</f>
        <v>0.4</v>
      </c>
      <c r="AY96" s="6">
        <f>COUNTIFS(O:O,"D",C:C,6)/COUNTIF(C:C,6)</f>
        <v>0.7</v>
      </c>
      <c r="AZ96"/>
      <c r="BA96" s="45" t="s">
        <v>200</v>
      </c>
      <c r="BB96" s="45" t="s">
        <v>346</v>
      </c>
      <c r="BC96" s="45" t="s">
        <v>346</v>
      </c>
      <c r="BD96" s="45" t="s">
        <v>343</v>
      </c>
      <c r="BE96" s="45" t="s">
        <v>353</v>
      </c>
      <c r="BF96" s="45" t="s">
        <v>341</v>
      </c>
      <c r="BG96" s="45" t="s">
        <v>345</v>
      </c>
      <c r="BI96" s="3" t="s">
        <v>355</v>
      </c>
      <c r="BJ96">
        <f>AV23*AY28*AY34*AY41*AY48*AY54*AY58*AY66*AY71*AY77*AY83*AY88*AY94*AY102*AY106*AY112*AY120*AY126*AY132*AY138*AY141*AY148*AY155*AY160*AY163*AY167*AY171*AY175*AY179*AY183*AY188*AY191*AY196*AY199*AY203*AY207*AY212</f>
        <v>0</v>
      </c>
    </row>
    <row r="97" spans="45:98" x14ac:dyDescent="0.3">
      <c r="AZ97"/>
      <c r="BA97" s="43"/>
      <c r="BB97" s="43"/>
      <c r="BC97" s="43"/>
      <c r="BD97" s="43"/>
      <c r="BE97" s="43"/>
      <c r="BF97" s="43"/>
      <c r="BG97" s="43"/>
      <c r="BI97" s="24" t="s">
        <v>380</v>
      </c>
      <c r="BJ97" t="s">
        <v>372</v>
      </c>
      <c r="BK97" s="25" t="s">
        <v>379</v>
      </c>
    </row>
    <row r="98" spans="45:98" x14ac:dyDescent="0.3">
      <c r="AS98" s="7" t="s">
        <v>276</v>
      </c>
      <c r="AT98" s="7">
        <v>1</v>
      </c>
      <c r="AU98" s="7">
        <v>2</v>
      </c>
      <c r="AV98" s="7">
        <v>3</v>
      </c>
      <c r="AW98" s="7">
        <v>4</v>
      </c>
      <c r="AX98" s="7">
        <v>5</v>
      </c>
      <c r="AY98" s="7">
        <v>6</v>
      </c>
      <c r="AZ98"/>
      <c r="BA98" s="44" t="s">
        <v>276</v>
      </c>
      <c r="BB98" s="44">
        <v>1</v>
      </c>
      <c r="BC98" s="44">
        <v>2</v>
      </c>
      <c r="BD98" s="44">
        <v>3</v>
      </c>
      <c r="BE98" s="44">
        <v>4</v>
      </c>
      <c r="BF98" s="44">
        <v>5</v>
      </c>
      <c r="BG98" s="44">
        <v>6</v>
      </c>
    </row>
    <row r="99" spans="45:98" x14ac:dyDescent="0.3">
      <c r="AS99" s="6" t="s">
        <v>201</v>
      </c>
      <c r="AT99" s="6">
        <f>COUNTIFS(P:P,"A",C:C,1)/COUNTIF(C:C,1)</f>
        <v>0.1</v>
      </c>
      <c r="AU99" s="6">
        <f>COUNTIFS(P:P,"A",C:C,2)/COUNTIF(C:C,2)</f>
        <v>0</v>
      </c>
      <c r="AV99" s="6">
        <f>COUNTIFS(P:P,"A",C:C,3)/COUNTIF(C:C,3)</f>
        <v>0</v>
      </c>
      <c r="AW99" s="6">
        <f>COUNTIFS(P:P,"A",C:C,4)/COUNTIF(C:C,4)</f>
        <v>0.1</v>
      </c>
      <c r="AX99" s="6">
        <f>COUNTIFS(P:P,"A",C:C,5)/COUNTIF(C:C,5)</f>
        <v>0.1</v>
      </c>
      <c r="AY99" s="6">
        <f>COUNTIFS(P:P,"A",C:C,6)/COUNTIF(C:C,6)</f>
        <v>0</v>
      </c>
      <c r="AZ99"/>
      <c r="BA99" s="45" t="s">
        <v>201</v>
      </c>
      <c r="BB99" s="45" t="s">
        <v>348</v>
      </c>
      <c r="BC99" s="45" t="s">
        <v>350</v>
      </c>
      <c r="BD99" s="45" t="s">
        <v>350</v>
      </c>
      <c r="BE99" s="45" t="s">
        <v>348</v>
      </c>
      <c r="BF99" s="45" t="s">
        <v>348</v>
      </c>
      <c r="BG99" s="45" t="s">
        <v>350</v>
      </c>
      <c r="BI99" s="53" t="s">
        <v>393</v>
      </c>
      <c r="BJ99" s="24" t="s">
        <v>71</v>
      </c>
      <c r="BK99" s="1" t="s">
        <v>50</v>
      </c>
      <c r="BL99" s="1" t="s">
        <v>51</v>
      </c>
      <c r="BM99" s="1" t="s">
        <v>52</v>
      </c>
      <c r="BN99" s="1" t="s">
        <v>53</v>
      </c>
      <c r="BO99" s="1" t="s">
        <v>54</v>
      </c>
      <c r="BP99" s="1" t="s">
        <v>55</v>
      </c>
      <c r="BQ99" s="1" t="s">
        <v>56</v>
      </c>
      <c r="BR99" s="1" t="s">
        <v>57</v>
      </c>
      <c r="BS99" s="1" t="s">
        <v>58</v>
      </c>
      <c r="BT99" s="1" t="s">
        <v>59</v>
      </c>
      <c r="BU99" s="1" t="s">
        <v>60</v>
      </c>
      <c r="BV99" s="1" t="s">
        <v>61</v>
      </c>
      <c r="BW99" s="1" t="s">
        <v>62</v>
      </c>
      <c r="BX99" s="1" t="s">
        <v>63</v>
      </c>
      <c r="BY99" s="1" t="s">
        <v>64</v>
      </c>
      <c r="BZ99" s="1" t="s">
        <v>65</v>
      </c>
      <c r="CA99" s="1" t="s">
        <v>66</v>
      </c>
      <c r="CB99" s="1" t="s">
        <v>67</v>
      </c>
      <c r="CC99" s="1" t="s">
        <v>68</v>
      </c>
      <c r="CD99" s="1" t="s">
        <v>69</v>
      </c>
      <c r="CE99" s="1" t="s">
        <v>70</v>
      </c>
      <c r="CF99" s="1" t="s">
        <v>929</v>
      </c>
      <c r="CG99" s="1" t="s">
        <v>930</v>
      </c>
      <c r="CH99" s="1" t="s">
        <v>931</v>
      </c>
      <c r="CI99" s="1" t="s">
        <v>932</v>
      </c>
      <c r="CJ99" s="1" t="s">
        <v>933</v>
      </c>
      <c r="CK99" s="1" t="s">
        <v>934</v>
      </c>
      <c r="CL99" s="1" t="s">
        <v>935</v>
      </c>
      <c r="CM99" s="1" t="s">
        <v>936</v>
      </c>
      <c r="CN99" s="1" t="s">
        <v>937</v>
      </c>
      <c r="CO99" s="1" t="s">
        <v>938</v>
      </c>
      <c r="CP99" s="1" t="s">
        <v>939</v>
      </c>
      <c r="CQ99" s="1" t="s">
        <v>940</v>
      </c>
      <c r="CR99" s="1" t="s">
        <v>941</v>
      </c>
      <c r="CS99" s="1" t="s">
        <v>942</v>
      </c>
      <c r="CT99" s="1" t="s">
        <v>1008</v>
      </c>
    </row>
    <row r="100" spans="45:98" x14ac:dyDescent="0.3">
      <c r="AS100" s="6" t="s">
        <v>197</v>
      </c>
      <c r="AT100" s="6">
        <f>COUNTIFS(P:P,"B",C:C,1)/COUNTIF(C:C,1)</f>
        <v>0</v>
      </c>
      <c r="AU100" s="6">
        <f>COUNTIFS(P:P,"B",C:C,2)/COUNTIF(C:C,2)</f>
        <v>0</v>
      </c>
      <c r="AV100" s="6">
        <f>COUNTIFS(P:P,"B",C:C,3)/COUNTIF(C:C,3)</f>
        <v>0</v>
      </c>
      <c r="AW100" s="6">
        <f>COUNTIFS(P:P,"B",C:C,4)/COUNTIF(C:C,4)</f>
        <v>0</v>
      </c>
      <c r="AX100" s="6">
        <f>COUNTIFS(P:P,"B",C:C,5)/COUNTIF(C:C,5)</f>
        <v>0</v>
      </c>
      <c r="AY100" s="6">
        <f>COUNTIFS(P:P,"B",C:C,6)/COUNTIF(C:C,6)</f>
        <v>0</v>
      </c>
      <c r="AZ100"/>
      <c r="BA100" s="45" t="s">
        <v>197</v>
      </c>
      <c r="BB100" s="45" t="s">
        <v>350</v>
      </c>
      <c r="BC100" s="45" t="s">
        <v>350</v>
      </c>
      <c r="BD100" s="45" t="s">
        <v>350</v>
      </c>
      <c r="BE100" s="45" t="s">
        <v>350</v>
      </c>
      <c r="BF100" s="45" t="s">
        <v>350</v>
      </c>
      <c r="BG100" s="45" t="s">
        <v>350</v>
      </c>
      <c r="BI100" s="53"/>
      <c r="BJ100" s="24">
        <v>1</v>
      </c>
      <c r="BK100" t="s">
        <v>3</v>
      </c>
      <c r="BL100" t="s">
        <v>3</v>
      </c>
      <c r="BM100" t="s">
        <v>4</v>
      </c>
      <c r="BN100" t="s">
        <v>3</v>
      </c>
      <c r="BO100" t="s">
        <v>5</v>
      </c>
      <c r="BP100" t="s">
        <v>5</v>
      </c>
      <c r="BQ100" t="s">
        <v>2</v>
      </c>
      <c r="BR100" t="s">
        <v>2</v>
      </c>
      <c r="BS100" t="s">
        <v>3</v>
      </c>
      <c r="BT100" t="s">
        <v>3</v>
      </c>
      <c r="BU100" t="s">
        <v>4</v>
      </c>
      <c r="BV100" t="s">
        <v>5</v>
      </c>
      <c r="BW100" t="s">
        <v>5</v>
      </c>
      <c r="BX100" t="s">
        <v>3</v>
      </c>
      <c r="BY100" t="s">
        <v>2</v>
      </c>
      <c r="BZ100" t="s">
        <v>2</v>
      </c>
      <c r="CA100" t="s">
        <v>2</v>
      </c>
      <c r="CB100" t="s">
        <v>2</v>
      </c>
      <c r="CC100" t="s">
        <v>5</v>
      </c>
      <c r="CD100" t="s">
        <v>4</v>
      </c>
      <c r="CE100" t="s">
        <v>4</v>
      </c>
      <c r="CF100" t="s">
        <v>4</v>
      </c>
      <c r="CG100" t="s">
        <v>3</v>
      </c>
      <c r="CH100" t="s">
        <v>4</v>
      </c>
      <c r="CI100" t="s">
        <v>4</v>
      </c>
      <c r="CJ100" t="s">
        <v>4</v>
      </c>
      <c r="CK100" t="s">
        <v>4</v>
      </c>
      <c r="CL100" t="s">
        <v>4</v>
      </c>
      <c r="CM100" t="s">
        <v>4</v>
      </c>
      <c r="CN100" t="s">
        <v>3</v>
      </c>
      <c r="CO100" t="s">
        <v>4</v>
      </c>
      <c r="CP100" t="s">
        <v>3</v>
      </c>
      <c r="CQ100" t="s">
        <v>4</v>
      </c>
      <c r="CR100" t="s">
        <v>4</v>
      </c>
      <c r="CS100" t="s">
        <v>3</v>
      </c>
      <c r="CT100" t="s">
        <v>3</v>
      </c>
    </row>
    <row r="101" spans="45:98" x14ac:dyDescent="0.3">
      <c r="AS101" s="6" t="s">
        <v>202</v>
      </c>
      <c r="AT101" s="6">
        <f>COUNTIFS(P:P,"C",C:C,1)/COUNTIF(C:C,1)</f>
        <v>0</v>
      </c>
      <c r="AU101" s="6">
        <f>COUNTIFS(P:P,"C",C:C,2)/COUNTIF(C:C,2)</f>
        <v>0</v>
      </c>
      <c r="AV101" s="6">
        <f>COUNTIFS(P:P,"C",C:C,3)/COUNTIF(C:C,3)</f>
        <v>0.3</v>
      </c>
      <c r="AW101" s="6">
        <f>COUNTIFS(P:P,"C",C:C,4)/COUNTIF(C:C,4)</f>
        <v>0.1</v>
      </c>
      <c r="AX101" s="6">
        <f>COUNTIFS(P:P,"C",C:C,5)/COUNTIF(C:C,5)</f>
        <v>0.3</v>
      </c>
      <c r="AY101" s="6">
        <f>COUNTIFS(P:P,"C",C:C,6)/COUNTIF(C:C,6)</f>
        <v>0.3</v>
      </c>
      <c r="AZ101"/>
      <c r="BA101" s="45" t="s">
        <v>202</v>
      </c>
      <c r="BB101" s="45" t="s">
        <v>350</v>
      </c>
      <c r="BC101" s="45" t="s">
        <v>350</v>
      </c>
      <c r="BD101" s="45" t="s">
        <v>344</v>
      </c>
      <c r="BE101" s="45" t="s">
        <v>348</v>
      </c>
      <c r="BF101" s="45" t="s">
        <v>344</v>
      </c>
      <c r="BG101" s="45" t="s">
        <v>344</v>
      </c>
      <c r="BI101" t="s">
        <v>719</v>
      </c>
    </row>
    <row r="102" spans="45:98" x14ac:dyDescent="0.3">
      <c r="AS102" s="6" t="s">
        <v>203</v>
      </c>
      <c r="AT102" s="6">
        <f>COUNTIFS(P:P,"D",C:C,1)/COUNTIF(C:C,1)</f>
        <v>0.9</v>
      </c>
      <c r="AU102" s="6">
        <f>COUNTIFS(P:P,"D",C:C,2)/COUNTIF(C:C,2)</f>
        <v>1</v>
      </c>
      <c r="AV102" s="6">
        <f>COUNTIFS(P:P,"D",C:C,3)/COUNTIF(C:C,3)</f>
        <v>0.7</v>
      </c>
      <c r="AW102" s="6">
        <f>COUNTIFS(P:P,"D",C:C,4)/COUNTIF(C:C,4)</f>
        <v>0.8</v>
      </c>
      <c r="AX102" s="6">
        <f>COUNTIFS(P:P,"D",C:C,5)/COUNTIF(C:C,5)</f>
        <v>0.6</v>
      </c>
      <c r="AY102" s="6">
        <f>COUNTIFS(P:P,"D",C:C,6)/COUNTIF(C:C,6)</f>
        <v>0.7</v>
      </c>
      <c r="AZ102"/>
      <c r="BA102" s="45" t="s">
        <v>203</v>
      </c>
      <c r="BB102" s="45" t="s">
        <v>349</v>
      </c>
      <c r="BC102" s="45" t="s">
        <v>354</v>
      </c>
      <c r="BD102" s="45" t="s">
        <v>345</v>
      </c>
      <c r="BE102" s="45" t="s">
        <v>347</v>
      </c>
      <c r="BF102" s="45" t="s">
        <v>353</v>
      </c>
      <c r="BG102" s="45" t="s">
        <v>345</v>
      </c>
      <c r="BI102" s="3" t="s">
        <v>355</v>
      </c>
      <c r="BJ102">
        <f>AV18*AT28*AT34*AT39*AT46*AT54*AT60*AT65*AT71*AT76*AT82*AT87*AT96*AT102*AT106*AT113*AT119*AT125*AT131*AT138*AT141*AT147*AT153*AT160*AT163*AT167*AT171*AT175*AT179*AT183*AT188*AT191*AT196*AT199*AT203*AT208*AT212</f>
        <v>7.5848771174400007E-10</v>
      </c>
    </row>
    <row r="103" spans="45:98" x14ac:dyDescent="0.3">
      <c r="AZ103"/>
      <c r="BA103" s="43"/>
      <c r="BB103" s="43"/>
      <c r="BC103" s="43"/>
      <c r="BD103" s="43"/>
      <c r="BE103" s="43"/>
      <c r="BF103" s="43"/>
      <c r="BG103" s="43"/>
      <c r="BI103" t="s">
        <v>720</v>
      </c>
    </row>
    <row r="104" spans="45:98" x14ac:dyDescent="0.3">
      <c r="AS104" s="7" t="s">
        <v>277</v>
      </c>
      <c r="AT104" s="7">
        <v>1</v>
      </c>
      <c r="AU104" s="7">
        <v>2</v>
      </c>
      <c r="AV104" s="7">
        <v>3</v>
      </c>
      <c r="AW104" s="7">
        <v>4</v>
      </c>
      <c r="AX104" s="7">
        <v>5</v>
      </c>
      <c r="AY104" s="7">
        <v>6</v>
      </c>
      <c r="AZ104"/>
      <c r="BA104" s="44" t="s">
        <v>277</v>
      </c>
      <c r="BB104" s="44">
        <v>1</v>
      </c>
      <c r="BC104" s="44">
        <v>2</v>
      </c>
      <c r="BD104" s="44">
        <v>3</v>
      </c>
      <c r="BE104" s="44">
        <v>4</v>
      </c>
      <c r="BF104" s="44">
        <v>5</v>
      </c>
      <c r="BG104" s="44">
        <v>6</v>
      </c>
      <c r="BI104" s="3" t="s">
        <v>355</v>
      </c>
      <c r="BJ104">
        <f>AV19*AU28*AU34*AU39*AU46*AU54*AU60*AU65*AU71*AU76*AU82*AU87*AU96*AU102*AU106*AU113*AU119*AU125*AU131*AU138*AU141*AU147*AU153*AU160*AU163*AU167*AU171*AU175*AU179*AU183*AU188*AU191*AU196*AU199*AU203*AU208*AU212</f>
        <v>0</v>
      </c>
    </row>
    <row r="105" spans="45:98" x14ac:dyDescent="0.3">
      <c r="AS105" s="6" t="s">
        <v>204</v>
      </c>
      <c r="AT105" s="6">
        <f>COUNTIFS(Q:Q,"A",C:C,1)/COUNTIF(C:C,1)</f>
        <v>0</v>
      </c>
      <c r="AU105" s="6">
        <f>COUNTIFS(Q:Q,"A",C:C,2)/COUNTIF(C:C,2)</f>
        <v>0.3</v>
      </c>
      <c r="AV105" s="6">
        <f>COUNTIFS(Q:Q,"A",C:C,3)/COUNTIF(C:C,3)</f>
        <v>0.1</v>
      </c>
      <c r="AW105" s="6">
        <f>COUNTIFS(Q:Q,"A",C:C,4)/COUNTIF(C:C,4)</f>
        <v>0</v>
      </c>
      <c r="AX105" s="6">
        <f>COUNTIFS(Q:Q,"A",C:C,5)/COUNTIF(C:C,5)</f>
        <v>0.3</v>
      </c>
      <c r="AY105" s="6">
        <f>COUNTIFS(Q:Q,"A",C:C,6)/COUNTIF(C:C,6)</f>
        <v>0.3</v>
      </c>
      <c r="AZ105"/>
      <c r="BA105" s="45" t="s">
        <v>204</v>
      </c>
      <c r="BB105" s="45" t="s">
        <v>350</v>
      </c>
      <c r="BC105" s="45" t="s">
        <v>344</v>
      </c>
      <c r="BD105" s="45" t="s">
        <v>348</v>
      </c>
      <c r="BE105" s="45" t="s">
        <v>350</v>
      </c>
      <c r="BF105" s="45" t="s">
        <v>344</v>
      </c>
      <c r="BG105" s="45" t="s">
        <v>344</v>
      </c>
      <c r="BI105" t="s">
        <v>721</v>
      </c>
    </row>
    <row r="106" spans="45:98" x14ac:dyDescent="0.3">
      <c r="AS106" s="6" t="s">
        <v>205</v>
      </c>
      <c r="AT106" s="6">
        <f>COUNTIFS(Q:Q,"B",C:C,1)/COUNTIF(C:C,1)</f>
        <v>1</v>
      </c>
      <c r="AU106" s="6">
        <f>COUNTIFS(Q:Q,"B",C:C,2)/COUNTIF(C:C,2)</f>
        <v>0.7</v>
      </c>
      <c r="AV106" s="6">
        <f>COUNTIFS(Q:Q,"B",C:C,3)/COUNTIF(C:C,3)</f>
        <v>0.7</v>
      </c>
      <c r="AW106" s="6">
        <f>COUNTIFS(Q:Q,"B",C:C,4)/COUNTIF(C:C,4)</f>
        <v>0.5</v>
      </c>
      <c r="AX106" s="6">
        <f>COUNTIFS(Q:Q,"B",C:C,5)/COUNTIF(C:C,5)</f>
        <v>0.2</v>
      </c>
      <c r="AY106" s="6">
        <f>COUNTIFS(Q:Q,"B",C:C,6)/COUNTIF(C:C,6)</f>
        <v>0.4</v>
      </c>
      <c r="AZ106"/>
      <c r="BA106" s="45" t="s">
        <v>205</v>
      </c>
      <c r="BB106" s="45" t="s">
        <v>354</v>
      </c>
      <c r="BC106" s="45" t="s">
        <v>345</v>
      </c>
      <c r="BD106" s="45" t="s">
        <v>345</v>
      </c>
      <c r="BE106" s="45" t="s">
        <v>343</v>
      </c>
      <c r="BF106" s="45" t="s">
        <v>346</v>
      </c>
      <c r="BG106" s="45" t="s">
        <v>341</v>
      </c>
      <c r="BI106" s="3" t="s">
        <v>355</v>
      </c>
      <c r="BJ106">
        <f>AV20*AV28*AV34*AV39*AV46*AV54*AV60*AV65*AV71*AV76*AV82*AV87*AV96*AV102*AV106*AV113*AV119*AV125*AV131*AV138*AV141*AV147*AV153*AV160*AV163*AV167*AV171*AV175*AV179*AV183*AV188*AV191*AV196*AV199*AV203*AV208*AV212</f>
        <v>0</v>
      </c>
    </row>
    <row r="107" spans="45:98" x14ac:dyDescent="0.3">
      <c r="AS107" s="6" t="s">
        <v>206</v>
      </c>
      <c r="AT107" s="6">
        <f>COUNTIFS(Q:Q,"C",C:C,1)/COUNTIF(C:C,1)</f>
        <v>0</v>
      </c>
      <c r="AU107" s="6">
        <f>COUNTIFS(Q:Q,"C",C:C,2)/COUNTIF(C:C,2)</f>
        <v>0</v>
      </c>
      <c r="AV107" s="6">
        <f>COUNTIFS(Q:Q,"C",C:C,3)/COUNTIF(C:C,3)</f>
        <v>0.1</v>
      </c>
      <c r="AW107" s="6">
        <f>COUNTIFS(Q:Q,"C",C:C,4)/COUNTIF(C:C,4)</f>
        <v>0.5</v>
      </c>
      <c r="AX107" s="6">
        <f>COUNTIFS(Q:Q,"C",C:C,5)/COUNTIF(C:C,5)</f>
        <v>0.5</v>
      </c>
      <c r="AY107" s="6">
        <f>COUNTIFS(Q:Q,"C",C:C,6)/COUNTIF(C:C,6)</f>
        <v>0.3</v>
      </c>
      <c r="AZ107"/>
      <c r="BA107" s="45" t="s">
        <v>206</v>
      </c>
      <c r="BB107" s="45" t="s">
        <v>350</v>
      </c>
      <c r="BC107" s="45" t="s">
        <v>350</v>
      </c>
      <c r="BD107" s="45" t="s">
        <v>348</v>
      </c>
      <c r="BE107" s="45" t="s">
        <v>343</v>
      </c>
      <c r="BF107" s="45" t="s">
        <v>343</v>
      </c>
      <c r="BG107" s="45" t="s">
        <v>344</v>
      </c>
      <c r="BI107" t="s">
        <v>722</v>
      </c>
    </row>
    <row r="108" spans="45:98" x14ac:dyDescent="0.3">
      <c r="AS108" s="6" t="s">
        <v>207</v>
      </c>
      <c r="AT108" s="6">
        <f>COUNTIFS(Q:Q,"D",C:C,1)/COUNTIF(C:C,1)</f>
        <v>0</v>
      </c>
      <c r="AU108" s="6">
        <f>COUNTIFS(Q:Q,"D",C:C,2)/COUNTIF(C:C,2)</f>
        <v>0</v>
      </c>
      <c r="AV108" s="6">
        <f>COUNTIFS(Q:Q,"D",C:C,3)/COUNTIF(C:C,3)</f>
        <v>0.1</v>
      </c>
      <c r="AW108" s="6">
        <f>COUNTIFS(Q:Q,"D",C:C,4)/COUNTIF(C:C,4)</f>
        <v>0</v>
      </c>
      <c r="AX108" s="6">
        <f>COUNTIFS(Q:Q,"D",C:C,5)/COUNTIF(C:C,5)</f>
        <v>0</v>
      </c>
      <c r="AY108" s="6">
        <f>COUNTIFS(Q:Q,"D",C:C,6)/COUNTIF(C:C,6)</f>
        <v>0</v>
      </c>
      <c r="AZ108"/>
      <c r="BA108" s="45" t="s">
        <v>207</v>
      </c>
      <c r="BB108" s="45" t="s">
        <v>350</v>
      </c>
      <c r="BC108" s="45" t="s">
        <v>350</v>
      </c>
      <c r="BD108" s="45" t="s">
        <v>348</v>
      </c>
      <c r="BE108" s="45" t="s">
        <v>350</v>
      </c>
      <c r="BF108" s="45" t="s">
        <v>350</v>
      </c>
      <c r="BG108" s="45" t="s">
        <v>350</v>
      </c>
      <c r="BI108" s="3" t="s">
        <v>355</v>
      </c>
      <c r="BJ108">
        <f>AV21*AW28*AW34*AW39*AW46*AW54*AW60*AW65*AW71*AW76*AW82*AW87*AW96*AW102*AW106*AW113*AW119*AW125*AW131*AW138*AW141*AW147*AW153*AW160*AW163*AW167*AW171*AW175*AW179*AW183*AW188*AW191*AW196*AW199*AW203*AW208*AW212</f>
        <v>0</v>
      </c>
    </row>
    <row r="109" spans="45:98" x14ac:dyDescent="0.3">
      <c r="AZ109"/>
      <c r="BA109" s="43"/>
      <c r="BB109" s="43"/>
      <c r="BC109" s="43"/>
      <c r="BD109" s="43"/>
      <c r="BE109" s="43"/>
      <c r="BF109" s="43"/>
      <c r="BG109" s="43"/>
      <c r="BI109" t="s">
        <v>723</v>
      </c>
    </row>
    <row r="110" spans="45:98" x14ac:dyDescent="0.3">
      <c r="AS110" s="7" t="s">
        <v>278</v>
      </c>
      <c r="AT110" s="7">
        <v>1</v>
      </c>
      <c r="AU110" s="7">
        <v>2</v>
      </c>
      <c r="AV110" s="7">
        <v>3</v>
      </c>
      <c r="AW110" s="7">
        <v>4</v>
      </c>
      <c r="AX110" s="7">
        <v>5</v>
      </c>
      <c r="AY110" s="7">
        <v>6</v>
      </c>
      <c r="AZ110"/>
      <c r="BA110" s="44" t="s">
        <v>278</v>
      </c>
      <c r="BB110" s="44">
        <v>1</v>
      </c>
      <c r="BC110" s="44">
        <v>2</v>
      </c>
      <c r="BD110" s="44">
        <v>3</v>
      </c>
      <c r="BE110" s="44">
        <v>4</v>
      </c>
      <c r="BF110" s="44">
        <v>5</v>
      </c>
      <c r="BG110" s="44">
        <v>6</v>
      </c>
      <c r="BI110" s="3" t="s">
        <v>355</v>
      </c>
      <c r="BJ110">
        <f>AV22*AX28*AX34*AX39*AX46*AX54*AX60*AX65*AX71*AX76*AX82*AX87*AX96*AX102*AX106*AX113*AX119*AX125*AX131*AX138*AX141*AX147*AX153*AX160*AX163*AX167*AX171*AX175*AX179*AX183*AX188*AX191*AX196*AX199*AX203*AX208*AX212</f>
        <v>0</v>
      </c>
    </row>
    <row r="111" spans="45:98" x14ac:dyDescent="0.3">
      <c r="AS111" s="6" t="s">
        <v>208</v>
      </c>
      <c r="AT111" s="6">
        <f>COUNTIFS(R:R,"A",C:C,1)/COUNTIF(C:C,1)</f>
        <v>0.2</v>
      </c>
      <c r="AU111" s="6">
        <f>COUNTIFS(R:R,"A",C:C,2)/COUNTIF(C:C,2)</f>
        <v>0.3</v>
      </c>
      <c r="AV111" s="6">
        <f>COUNTIFS(R:R,"A",C:C,3)/COUNTIF(C:C,3)</f>
        <v>0</v>
      </c>
      <c r="AW111" s="6">
        <f>COUNTIFS(R:R,"A",C:C,4)/COUNTIF(C:C,4)</f>
        <v>0</v>
      </c>
      <c r="AX111" s="6">
        <f>COUNTIFS(R:R,"A",C:C,5)/COUNTIF(C:C,5)</f>
        <v>0</v>
      </c>
      <c r="AY111" s="6">
        <f>COUNTIFS(R:R,"A",C:C,6)/COUNTIF(C:C,6)</f>
        <v>0</v>
      </c>
      <c r="AZ111"/>
      <c r="BA111" s="45" t="s">
        <v>208</v>
      </c>
      <c r="BB111" s="45" t="s">
        <v>348</v>
      </c>
      <c r="BC111" s="45" t="s">
        <v>344</v>
      </c>
      <c r="BD111" s="45" t="s">
        <v>350</v>
      </c>
      <c r="BE111" s="45" t="s">
        <v>350</v>
      </c>
      <c r="BF111" s="45" t="s">
        <v>350</v>
      </c>
      <c r="BG111" s="45" t="s">
        <v>350</v>
      </c>
      <c r="BI111" t="s">
        <v>724</v>
      </c>
    </row>
    <row r="112" spans="45:98" x14ac:dyDescent="0.3">
      <c r="AS112" s="6" t="s">
        <v>209</v>
      </c>
      <c r="AT112" s="6">
        <f>COUNTIFS(R:R,"B",C:C,1)/COUNTIF(C:C,1)</f>
        <v>0.6</v>
      </c>
      <c r="AU112" s="6">
        <f>COUNTIFS(R:R,"B",C:C,2)/COUNTIF(C:C,2)</f>
        <v>0.3</v>
      </c>
      <c r="AV112" s="6">
        <f>COUNTIFS(R:R,"B",C:C,3)/COUNTIF(C:C,3)</f>
        <v>0.3</v>
      </c>
      <c r="AW112" s="6">
        <f>COUNTIFS(R:R,"B",C:C,4)/COUNTIF(C:C,4)</f>
        <v>0.2</v>
      </c>
      <c r="AX112" s="6">
        <f>COUNTIFS(R:R,"B",C:C,5)/COUNTIF(C:C,5)</f>
        <v>0.2</v>
      </c>
      <c r="AY112" s="6">
        <f>COUNTIFS(R:R,"B",C:C,6)/COUNTIF(C:C,6)</f>
        <v>0.1</v>
      </c>
      <c r="AZ112"/>
      <c r="BA112" s="45" t="s">
        <v>209</v>
      </c>
      <c r="BB112" s="45" t="s">
        <v>345</v>
      </c>
      <c r="BC112" s="45" t="s">
        <v>344</v>
      </c>
      <c r="BD112" s="45" t="s">
        <v>344</v>
      </c>
      <c r="BE112" s="45" t="s">
        <v>346</v>
      </c>
      <c r="BF112" s="45" t="s">
        <v>346</v>
      </c>
      <c r="BG112" s="45" t="s">
        <v>348</v>
      </c>
      <c r="BI112" s="3" t="s">
        <v>355</v>
      </c>
      <c r="BJ112">
        <f>AV23*AY28*AY34*AY39*AY46*AY54*AY60*AY65*AY71*AY76*AY82*AY87*AY96*AY102*AY106*AY113*AY119*AY125*AY131*AY138*AY141*AY147*AY153*AY160*AY163*AY167*AY171*AY175*AY179*AY183*AY188*AY191*AY196*AY199*AY203*AY208*AY212</f>
        <v>0</v>
      </c>
    </row>
    <row r="113" spans="45:98" x14ac:dyDescent="0.3">
      <c r="AS113" s="6" t="s">
        <v>210</v>
      </c>
      <c r="AT113" s="6">
        <f>COUNTIFS(R:R,"C",C:C,1)/COUNTIF(C:C,1)</f>
        <v>0.2</v>
      </c>
      <c r="AU113" s="6">
        <f>COUNTIFS(R:R,"C",C:C,2)/COUNTIF(C:C,2)</f>
        <v>0.2</v>
      </c>
      <c r="AV113" s="6">
        <f>COUNTIFS(R:R,"C",C:C,3)/COUNTIF(C:C,3)</f>
        <v>0.4</v>
      </c>
      <c r="AW113" s="6">
        <f>COUNTIFS(R:R,"C",C:C,4)/COUNTIF(C:C,4)</f>
        <v>0.6</v>
      </c>
      <c r="AX113" s="6">
        <f>COUNTIFS(R:R,"C",C:C,5)/COUNTIF(C:C,5)</f>
        <v>0.3</v>
      </c>
      <c r="AY113" s="6">
        <f>COUNTIFS(R:R,"C",C:C,6)/COUNTIF(C:C,6)</f>
        <v>0.4</v>
      </c>
      <c r="AZ113"/>
      <c r="BA113" s="45" t="s">
        <v>210</v>
      </c>
      <c r="BB113" s="45" t="s">
        <v>346</v>
      </c>
      <c r="BC113" s="45" t="s">
        <v>346</v>
      </c>
      <c r="BD113" s="45" t="s">
        <v>341</v>
      </c>
      <c r="BE113" s="45" t="s">
        <v>353</v>
      </c>
      <c r="BF113" s="45" t="s">
        <v>344</v>
      </c>
      <c r="BG113" s="45" t="s">
        <v>341</v>
      </c>
      <c r="BI113" s="24" t="s">
        <v>380</v>
      </c>
      <c r="BJ113" t="s">
        <v>372</v>
      </c>
      <c r="BK113" s="25" t="s">
        <v>379</v>
      </c>
    </row>
    <row r="114" spans="45:98" x14ac:dyDescent="0.3">
      <c r="AS114" s="6" t="s">
        <v>211</v>
      </c>
      <c r="AT114" s="6">
        <f>COUNTIFS(R:R,"D",C:C,1)/COUNTIF(C:C,1)</f>
        <v>0</v>
      </c>
      <c r="AU114" s="6">
        <f>COUNTIFS(R:R,"D",C:C,2)/COUNTIF(C:C,2)</f>
        <v>0.2</v>
      </c>
      <c r="AV114" s="6">
        <f>COUNTIFS(R:R,"D",C:C,3)/COUNTIF(C:C,3)</f>
        <v>0.3</v>
      </c>
      <c r="AW114" s="6">
        <f>COUNTIFS(R:R,"D",C:C,4)/COUNTIF(C:C,4)</f>
        <v>0.2</v>
      </c>
      <c r="AX114" s="6">
        <f>COUNTIFS(R:R,"D",C:C,5)/COUNTIF(C:C,5)</f>
        <v>0.5</v>
      </c>
      <c r="AY114" s="6">
        <f>COUNTIFS(R:R,"D",C:C,6)/COUNTIF(C:C,6)</f>
        <v>0.5</v>
      </c>
      <c r="AZ114"/>
      <c r="BA114" s="45" t="s">
        <v>211</v>
      </c>
      <c r="BB114" s="45" t="s">
        <v>350</v>
      </c>
      <c r="BC114" s="45" t="s">
        <v>346</v>
      </c>
      <c r="BD114" s="45" t="s">
        <v>344</v>
      </c>
      <c r="BE114" s="45" t="s">
        <v>346</v>
      </c>
      <c r="BF114" s="45" t="s">
        <v>343</v>
      </c>
      <c r="BG114" s="45" t="s">
        <v>343</v>
      </c>
    </row>
    <row r="115" spans="45:98" x14ac:dyDescent="0.3">
      <c r="AZ115"/>
      <c r="BA115" s="43"/>
      <c r="BB115" s="43"/>
      <c r="BC115" s="43"/>
      <c r="BD115" s="43"/>
      <c r="BE115" s="43"/>
      <c r="BF115" s="43"/>
      <c r="BG115" s="43"/>
      <c r="BI115" s="53" t="s">
        <v>394</v>
      </c>
      <c r="BJ115" s="24" t="s">
        <v>71</v>
      </c>
      <c r="BK115" s="1" t="s">
        <v>50</v>
      </c>
      <c r="BL115" s="1" t="s">
        <v>51</v>
      </c>
      <c r="BM115" s="1" t="s">
        <v>52</v>
      </c>
      <c r="BN115" s="1" t="s">
        <v>53</v>
      </c>
      <c r="BO115" s="1" t="s">
        <v>54</v>
      </c>
      <c r="BP115" s="1" t="s">
        <v>55</v>
      </c>
      <c r="BQ115" s="1" t="s">
        <v>56</v>
      </c>
      <c r="BR115" s="1" t="s">
        <v>57</v>
      </c>
      <c r="BS115" s="1" t="s">
        <v>58</v>
      </c>
      <c r="BT115" s="1" t="s">
        <v>59</v>
      </c>
      <c r="BU115" s="1" t="s">
        <v>60</v>
      </c>
      <c r="BV115" s="1" t="s">
        <v>61</v>
      </c>
      <c r="BW115" s="1" t="s">
        <v>62</v>
      </c>
      <c r="BX115" s="1" t="s">
        <v>63</v>
      </c>
      <c r="BY115" s="1" t="s">
        <v>64</v>
      </c>
      <c r="BZ115" s="1" t="s">
        <v>65</v>
      </c>
      <c r="CA115" s="1" t="s">
        <v>66</v>
      </c>
      <c r="CB115" s="1" t="s">
        <v>67</v>
      </c>
      <c r="CC115" s="1" t="s">
        <v>68</v>
      </c>
      <c r="CD115" s="1" t="s">
        <v>69</v>
      </c>
      <c r="CE115" s="1" t="s">
        <v>70</v>
      </c>
      <c r="CF115" s="1" t="s">
        <v>929</v>
      </c>
      <c r="CG115" s="1" t="s">
        <v>930</v>
      </c>
      <c r="CH115" s="1" t="s">
        <v>931</v>
      </c>
      <c r="CI115" s="1" t="s">
        <v>932</v>
      </c>
      <c r="CJ115" s="1" t="s">
        <v>933</v>
      </c>
      <c r="CK115" s="1" t="s">
        <v>934</v>
      </c>
      <c r="CL115" s="1" t="s">
        <v>935</v>
      </c>
      <c r="CM115" s="1" t="s">
        <v>936</v>
      </c>
      <c r="CN115" s="1" t="s">
        <v>937</v>
      </c>
      <c r="CO115" s="1" t="s">
        <v>938</v>
      </c>
      <c r="CP115" s="1" t="s">
        <v>939</v>
      </c>
      <c r="CQ115" s="1" t="s">
        <v>940</v>
      </c>
      <c r="CR115" s="1" t="s">
        <v>941</v>
      </c>
      <c r="CS115" s="1" t="s">
        <v>942</v>
      </c>
      <c r="CT115" s="1" t="s">
        <v>1008</v>
      </c>
    </row>
    <row r="116" spans="45:98" x14ac:dyDescent="0.3">
      <c r="AS116" s="7" t="s">
        <v>279</v>
      </c>
      <c r="AT116" s="7">
        <v>1</v>
      </c>
      <c r="AU116" s="7">
        <v>2</v>
      </c>
      <c r="AV116" s="7">
        <v>3</v>
      </c>
      <c r="AW116" s="7">
        <v>4</v>
      </c>
      <c r="AX116" s="7">
        <v>5</v>
      </c>
      <c r="AY116" s="7">
        <v>6</v>
      </c>
      <c r="AZ116"/>
      <c r="BA116" s="44" t="s">
        <v>279</v>
      </c>
      <c r="BB116" s="44">
        <v>1</v>
      </c>
      <c r="BC116" s="44">
        <v>2</v>
      </c>
      <c r="BD116" s="44">
        <v>3</v>
      </c>
      <c r="BE116" s="44">
        <v>4</v>
      </c>
      <c r="BF116" s="44">
        <v>5</v>
      </c>
      <c r="BG116" s="44">
        <v>6</v>
      </c>
      <c r="BI116" s="53"/>
      <c r="BJ116" s="24">
        <v>1</v>
      </c>
      <c r="BK116" t="s">
        <v>3</v>
      </c>
      <c r="BL116" t="s">
        <v>5</v>
      </c>
      <c r="BM116" t="s">
        <v>3</v>
      </c>
      <c r="BN116" t="s">
        <v>5</v>
      </c>
      <c r="BO116" t="s">
        <v>5</v>
      </c>
      <c r="BP116" t="s">
        <v>5</v>
      </c>
      <c r="BQ116" t="s">
        <v>5</v>
      </c>
      <c r="BR116" t="s">
        <v>2</v>
      </c>
      <c r="BS116" t="s">
        <v>3</v>
      </c>
      <c r="BT116" t="s">
        <v>3</v>
      </c>
      <c r="BU116" t="s">
        <v>3</v>
      </c>
      <c r="BV116" t="s">
        <v>4</v>
      </c>
      <c r="BW116" t="s">
        <v>5</v>
      </c>
      <c r="BX116" t="s">
        <v>3</v>
      </c>
      <c r="BY116" t="s">
        <v>4</v>
      </c>
      <c r="BZ116" t="s">
        <v>5</v>
      </c>
      <c r="CA116" t="s">
        <v>5</v>
      </c>
      <c r="CB116" t="s">
        <v>5</v>
      </c>
      <c r="CC116" t="s">
        <v>3</v>
      </c>
      <c r="CD116" t="s">
        <v>4</v>
      </c>
      <c r="CE116" t="s">
        <v>3</v>
      </c>
      <c r="CF116" t="s">
        <v>2</v>
      </c>
      <c r="CG116" t="s">
        <v>3</v>
      </c>
      <c r="CH116" t="s">
        <v>4</v>
      </c>
      <c r="CI116" t="s">
        <v>4</v>
      </c>
      <c r="CJ116" t="s">
        <v>4</v>
      </c>
      <c r="CK116" t="s">
        <v>4</v>
      </c>
      <c r="CL116" t="s">
        <v>4</v>
      </c>
      <c r="CM116" t="s">
        <v>4</v>
      </c>
      <c r="CN116" t="s">
        <v>3</v>
      </c>
      <c r="CO116" t="s">
        <v>4</v>
      </c>
      <c r="CP116" t="s">
        <v>3</v>
      </c>
      <c r="CQ116" t="s">
        <v>4</v>
      </c>
      <c r="CR116" t="s">
        <v>4</v>
      </c>
      <c r="CS116" t="s">
        <v>4</v>
      </c>
      <c r="CT116" t="s">
        <v>3</v>
      </c>
    </row>
    <row r="117" spans="45:98" x14ac:dyDescent="0.3">
      <c r="AS117" s="6" t="s">
        <v>212</v>
      </c>
      <c r="AT117" s="6">
        <f>COUNTIFS(S:S,"A",C:C,1)/COUNTIF(C:C,1)</f>
        <v>0</v>
      </c>
      <c r="AU117" s="6">
        <f>COUNTIFS(S:S,"A",C:C,2)/COUNTIF(C:C,2)</f>
        <v>0</v>
      </c>
      <c r="AV117" s="6">
        <f>COUNTIFS(S:S,"A",C:C,3)/COUNTIF(C:C,3)</f>
        <v>0</v>
      </c>
      <c r="AW117" s="6">
        <f>COUNTIFS(S:S,"A",C:C,4)/COUNTIF(C:C,4)</f>
        <v>0</v>
      </c>
      <c r="AX117" s="6">
        <f>COUNTIFS(S:S,"A",C:C,5)/COUNTIF(C:C,5)</f>
        <v>0</v>
      </c>
      <c r="AY117" s="6">
        <f>COUNTIFS(S:S,"A",C:C,6)/COUNTIF(C:C,6)</f>
        <v>0</v>
      </c>
      <c r="AZ117"/>
      <c r="BA117" s="45" t="s">
        <v>212</v>
      </c>
      <c r="BB117" s="45" t="s">
        <v>350</v>
      </c>
      <c r="BC117" s="45" t="s">
        <v>350</v>
      </c>
      <c r="BD117" s="45" t="s">
        <v>350</v>
      </c>
      <c r="BE117" s="45" t="s">
        <v>350</v>
      </c>
      <c r="BF117" s="45" t="s">
        <v>350</v>
      </c>
      <c r="BG117" s="45" t="s">
        <v>350</v>
      </c>
      <c r="BI117" t="s">
        <v>690</v>
      </c>
    </row>
    <row r="118" spans="45:98" x14ac:dyDescent="0.3">
      <c r="AS118" s="6" t="s">
        <v>213</v>
      </c>
      <c r="AT118" s="6">
        <f>COUNTIFS(S:S,"B",C:C,1)/COUNTIF(C:C,1)</f>
        <v>0</v>
      </c>
      <c r="AU118" s="6">
        <f>COUNTIFS(S:S,"B",C:C,2)/COUNTIF(C:C,2)</f>
        <v>0</v>
      </c>
      <c r="AV118" s="6">
        <f>COUNTIFS(S:S,"B",C:C,3)/COUNTIF(C:C,3)</f>
        <v>0</v>
      </c>
      <c r="AW118" s="6">
        <f>COUNTIFS(S:S,"B",C:C,4)/COUNTIF(C:C,4)</f>
        <v>0</v>
      </c>
      <c r="AX118" s="6">
        <f>COUNTIFS(S:S,"B",C:C,5)/COUNTIF(C:C,5)</f>
        <v>0</v>
      </c>
      <c r="AY118" s="6">
        <f>COUNTIFS(S:S,"B",C:C,6)/COUNTIF(C:C,6)</f>
        <v>0</v>
      </c>
      <c r="AZ118"/>
      <c r="BA118" s="45" t="s">
        <v>213</v>
      </c>
      <c r="BB118" s="45" t="s">
        <v>350</v>
      </c>
      <c r="BC118" s="45" t="s">
        <v>350</v>
      </c>
      <c r="BD118" s="45" t="s">
        <v>350</v>
      </c>
      <c r="BE118" s="45" t="s">
        <v>350</v>
      </c>
      <c r="BF118" s="45" t="s">
        <v>350</v>
      </c>
      <c r="BG118" s="45" t="s">
        <v>350</v>
      </c>
      <c r="BI118" s="3" t="s">
        <v>355</v>
      </c>
      <c r="BJ118">
        <f>AV18*AT28*AT36*AT40*AT48*AT54*AT60*AT66*AT71*AT76*AT82*AT88*AT93*AT102*AT106*AT111*AT120*AT126*AT132*AT136*AT141*AT148*AT155*AT160*AT163*AT167*AT171*AT175*AT179*AT183*AT188*AT191*AT196*AT199*AT203*AT207*AT212</f>
        <v>8.9932296093695995E-8</v>
      </c>
    </row>
    <row r="119" spans="45:98" x14ac:dyDescent="0.3">
      <c r="AS119" s="6" t="s">
        <v>214</v>
      </c>
      <c r="AT119" s="6">
        <f>COUNTIFS(S:S,"C",C:C,1)/COUNTIF(C:C,1)</f>
        <v>0.2</v>
      </c>
      <c r="AU119" s="6">
        <f>COUNTIFS(S:S,"C",C:C,2)/COUNTIF(C:C,2)</f>
        <v>0</v>
      </c>
      <c r="AV119" s="6">
        <f>COUNTIFS(S:S,"C",C:C,3)/COUNTIF(C:C,3)</f>
        <v>0.2</v>
      </c>
      <c r="AW119" s="6">
        <f>COUNTIFS(S:S,"C",C:C,4)/COUNTIF(C:C,4)</f>
        <v>0</v>
      </c>
      <c r="AX119" s="6">
        <f>COUNTIFS(S:S,"C",C:C,5)/COUNTIF(C:C,5)</f>
        <v>0.1</v>
      </c>
      <c r="AY119" s="6">
        <f>COUNTIFS(S:S,"C",C:C,6)/COUNTIF(C:C,6)</f>
        <v>0</v>
      </c>
      <c r="AZ119"/>
      <c r="BA119" s="45" t="s">
        <v>214</v>
      </c>
      <c r="BB119" s="45" t="s">
        <v>348</v>
      </c>
      <c r="BC119" s="45" t="s">
        <v>350</v>
      </c>
      <c r="BD119" s="45" t="s">
        <v>348</v>
      </c>
      <c r="BE119" s="45" t="s">
        <v>350</v>
      </c>
      <c r="BF119" s="45" t="s">
        <v>348</v>
      </c>
      <c r="BG119" s="45" t="s">
        <v>350</v>
      </c>
      <c r="BI119" t="s">
        <v>691</v>
      </c>
    </row>
    <row r="120" spans="45:98" x14ac:dyDescent="0.3">
      <c r="AS120" s="6" t="s">
        <v>215</v>
      </c>
      <c r="AT120" s="6">
        <f>COUNTIFS(S:S,"D",C:C,1)/COUNTIF(C:C,1)</f>
        <v>0.8</v>
      </c>
      <c r="AU120" s="6">
        <f>COUNTIFS(S:S,"D",C:C,2)/COUNTIF(C:C,2)</f>
        <v>1</v>
      </c>
      <c r="AV120" s="6">
        <f>COUNTIFS(S:S,"D",C:C,3)/COUNTIF(C:C,3)</f>
        <v>0.8</v>
      </c>
      <c r="AW120" s="6">
        <f>COUNTIFS(S:S,"D",C:C,4)/COUNTIF(C:C,4)</f>
        <v>1</v>
      </c>
      <c r="AX120" s="6">
        <f>COUNTIFS(S:S,"D",C:C,5)/COUNTIF(C:C,5)</f>
        <v>0.9</v>
      </c>
      <c r="AY120" s="6">
        <f>COUNTIFS(S:S,"D",C:C,6)/COUNTIF(C:C,6)</f>
        <v>1</v>
      </c>
      <c r="AZ120"/>
      <c r="BA120" s="45" t="s">
        <v>215</v>
      </c>
      <c r="BB120" s="45" t="s">
        <v>349</v>
      </c>
      <c r="BC120" s="45" t="s">
        <v>354</v>
      </c>
      <c r="BD120" s="45" t="s">
        <v>349</v>
      </c>
      <c r="BE120" s="45" t="s">
        <v>354</v>
      </c>
      <c r="BF120" s="45" t="s">
        <v>349</v>
      </c>
      <c r="BG120" s="45" t="s">
        <v>354</v>
      </c>
      <c r="BI120" s="3" t="s">
        <v>355</v>
      </c>
      <c r="BJ120">
        <f>AV19*AU28*AU36*AU40*AU48*AU54*AU60*AU66*AU71*AU76*AU82*AU88*AU93*AU102*AU106*AU111*AU120*AU126*AU132*AU136*AU141*AU148*AU155*AU160*AU163*AU167*AU171*AU175*AU179*AU183*AU188*AU191*AU196*AU199*AU203*AU207*AU212</f>
        <v>2.7653197824000008E-9</v>
      </c>
    </row>
    <row r="121" spans="45:98" x14ac:dyDescent="0.3">
      <c r="AZ121"/>
      <c r="BA121" s="43"/>
      <c r="BB121" s="43"/>
      <c r="BC121" s="43"/>
      <c r="BD121" s="43"/>
      <c r="BE121" s="43"/>
      <c r="BF121" s="43"/>
      <c r="BG121" s="43"/>
      <c r="BI121" t="s">
        <v>692</v>
      </c>
    </row>
    <row r="122" spans="45:98" x14ac:dyDescent="0.3">
      <c r="AS122" s="7" t="s">
        <v>280</v>
      </c>
      <c r="AT122" s="7">
        <v>1</v>
      </c>
      <c r="AU122" s="7">
        <v>2</v>
      </c>
      <c r="AV122" s="7">
        <v>3</v>
      </c>
      <c r="AW122" s="7">
        <v>4</v>
      </c>
      <c r="AX122" s="7">
        <v>5</v>
      </c>
      <c r="AY122" s="7">
        <v>6</v>
      </c>
      <c r="AZ122"/>
      <c r="BA122" s="44" t="s">
        <v>280</v>
      </c>
      <c r="BB122" s="44">
        <v>1</v>
      </c>
      <c r="BC122" s="44">
        <v>2</v>
      </c>
      <c r="BD122" s="44">
        <v>3</v>
      </c>
      <c r="BE122" s="44">
        <v>4</v>
      </c>
      <c r="BF122" s="44">
        <v>5</v>
      </c>
      <c r="BG122" s="44">
        <v>6</v>
      </c>
      <c r="BI122" s="3" t="s">
        <v>355</v>
      </c>
      <c r="BJ122">
        <f>AV20*AV28*AV36*AV40*AV48*AV54*AV60*AV66*AV71*AV76*AV82*AV88*AV93*AV102*AV106*AV111*AV120*AV126*AV132*AV136*AV141*AV148*AV155*AV160*AV163*AV167*AV171*AV175*AV179*AV183*AV188*AV191*AV196*AV199*AV203*AV207*AV212</f>
        <v>0</v>
      </c>
    </row>
    <row r="123" spans="45:98" x14ac:dyDescent="0.3">
      <c r="AS123" s="6" t="s">
        <v>216</v>
      </c>
      <c r="AT123" s="6">
        <f>COUNTIFS(T:T,"A",C:C,1)/COUNTIF(C:C,1)</f>
        <v>0</v>
      </c>
      <c r="AU123" s="6">
        <f>COUNTIFS(T:T,"A",C:C,2)/COUNTIF(C:C,2)</f>
        <v>0</v>
      </c>
      <c r="AV123" s="6">
        <f>COUNTIFS(T:T,"A",C:C,3)/COUNTIF(C:C,3)</f>
        <v>0</v>
      </c>
      <c r="AW123" s="6">
        <f>COUNTIFS(T:T,"A",C:C,4)/COUNTIF(C:C,4)</f>
        <v>0</v>
      </c>
      <c r="AX123" s="6">
        <f>COUNTIFS(T:T,"A",C:C,5)/COUNTIF(C:C,5)</f>
        <v>0</v>
      </c>
      <c r="AY123" s="6">
        <f>COUNTIFS(T:T,"A",C:C,6)/COUNTIF(C:C,6)</f>
        <v>0</v>
      </c>
      <c r="AZ123"/>
      <c r="BA123" s="45" t="s">
        <v>216</v>
      </c>
      <c r="BB123" s="45" t="s">
        <v>350</v>
      </c>
      <c r="BC123" s="45" t="s">
        <v>350</v>
      </c>
      <c r="BD123" s="45" t="s">
        <v>350</v>
      </c>
      <c r="BE123" s="45" t="s">
        <v>350</v>
      </c>
      <c r="BF123" s="45" t="s">
        <v>350</v>
      </c>
      <c r="BG123" s="45" t="s">
        <v>350</v>
      </c>
      <c r="BI123" t="s">
        <v>693</v>
      </c>
    </row>
    <row r="124" spans="45:98" x14ac:dyDescent="0.3">
      <c r="AS124" s="6" t="s">
        <v>217</v>
      </c>
      <c r="AT124" s="6">
        <f>COUNTIFS(T:T,"B",C:C,1)/COUNTIF(C:C,1)</f>
        <v>0</v>
      </c>
      <c r="AU124" s="6">
        <f>COUNTIFS(T:T,"B",C:C,2)/COUNTIF(C:C,2)</f>
        <v>0.1</v>
      </c>
      <c r="AV124" s="6">
        <f>COUNTIFS(T:T,"B",C:C,3)/COUNTIF(C:C,3)</f>
        <v>0.1</v>
      </c>
      <c r="AW124" s="6">
        <f>COUNTIFS(T:T,"B",C:C,4)/COUNTIF(C:C,4)</f>
        <v>0</v>
      </c>
      <c r="AX124" s="6">
        <f>COUNTIFS(T:T,"B",C:C,5)/COUNTIF(C:C,5)</f>
        <v>0.2</v>
      </c>
      <c r="AY124" s="6">
        <f>COUNTIFS(T:T,"B",C:C,6)/COUNTIF(C:C,6)</f>
        <v>0.2</v>
      </c>
      <c r="AZ124"/>
      <c r="BA124" s="45" t="s">
        <v>217</v>
      </c>
      <c r="BB124" s="45" t="s">
        <v>350</v>
      </c>
      <c r="BC124" s="45" t="s">
        <v>348</v>
      </c>
      <c r="BD124" s="45" t="s">
        <v>348</v>
      </c>
      <c r="BE124" s="45" t="s">
        <v>350</v>
      </c>
      <c r="BF124" s="45" t="s">
        <v>346</v>
      </c>
      <c r="BG124" s="45" t="s">
        <v>346</v>
      </c>
      <c r="BI124" s="3" t="s">
        <v>355</v>
      </c>
      <c r="BJ124">
        <f>AV21*AW28*AW36*AW40*AW48*AW54*AW60*AW66*AW71*AW76*AW82*AW88*AW93*AW102*AW106*AW111*AW120*AW126*AW132*AW136*AW141*AW148*AW155*AW160*AW163*AW167*AW171*AW175*AW179*AW183*AW188*AW191*AW196*AW199*AW203*AW207*AW212</f>
        <v>0</v>
      </c>
    </row>
    <row r="125" spans="45:98" x14ac:dyDescent="0.3">
      <c r="AS125" s="6" t="s">
        <v>218</v>
      </c>
      <c r="AT125" s="6">
        <f>COUNTIFS(T:T,"C",C:C,1)/COUNTIF(C:C,1)</f>
        <v>0.3</v>
      </c>
      <c r="AU125" s="6">
        <f>COUNTIFS(T:T,"C",C:C,2)/COUNTIF(C:C,2)</f>
        <v>0.2</v>
      </c>
      <c r="AV125" s="6">
        <f>COUNTIFS(T:T,"C",C:C,3)/COUNTIF(C:C,3)</f>
        <v>0.1</v>
      </c>
      <c r="AW125" s="6">
        <f>COUNTIFS(T:T,"C",C:C,4)/COUNTIF(C:C,4)</f>
        <v>0.1</v>
      </c>
      <c r="AX125" s="6">
        <f>COUNTIFS(T:T,"C",C:C,5)/COUNTIF(C:C,5)</f>
        <v>0.2</v>
      </c>
      <c r="AY125" s="6">
        <f>COUNTIFS(T:T,"C",C:C,6)/COUNTIF(C:C,6)</f>
        <v>0.3</v>
      </c>
      <c r="AZ125"/>
      <c r="BA125" s="45" t="s">
        <v>218</v>
      </c>
      <c r="BB125" s="45" t="s">
        <v>341</v>
      </c>
      <c r="BC125" s="45" t="s">
        <v>346</v>
      </c>
      <c r="BD125" s="45" t="s">
        <v>348</v>
      </c>
      <c r="BE125" s="45" t="s">
        <v>348</v>
      </c>
      <c r="BF125" s="45" t="s">
        <v>346</v>
      </c>
      <c r="BG125" s="45" t="s">
        <v>344</v>
      </c>
      <c r="BI125" t="s">
        <v>694</v>
      </c>
    </row>
    <row r="126" spans="45:98" x14ac:dyDescent="0.3">
      <c r="AS126" s="6" t="s">
        <v>219</v>
      </c>
      <c r="AT126" s="6">
        <f>COUNTIFS(T:T,"D",C:C,1)/COUNTIF(C:C,1)</f>
        <v>0.7</v>
      </c>
      <c r="AU126" s="6">
        <f>COUNTIFS(T:T,"D",C:C,2)/COUNTIF(C:C,2)</f>
        <v>0.7</v>
      </c>
      <c r="AV126" s="6">
        <f>COUNTIFS(T:T,"D",C:C,3)/COUNTIF(C:C,3)</f>
        <v>0.8</v>
      </c>
      <c r="AW126" s="6">
        <f>COUNTIFS(T:T,"D",C:C,4)/COUNTIF(C:C,4)</f>
        <v>0.9</v>
      </c>
      <c r="AX126" s="6">
        <f>COUNTIFS(T:T,"D",C:C,5)/COUNTIF(C:C,5)</f>
        <v>0.6</v>
      </c>
      <c r="AY126" s="6">
        <f>COUNTIFS(T:T,"D",C:C,6)/COUNTIF(C:C,6)</f>
        <v>0.5</v>
      </c>
      <c r="AZ126"/>
      <c r="BA126" s="45" t="s">
        <v>219</v>
      </c>
      <c r="BB126" s="45" t="s">
        <v>353</v>
      </c>
      <c r="BC126" s="45" t="s">
        <v>345</v>
      </c>
      <c r="BD126" s="45" t="s">
        <v>347</v>
      </c>
      <c r="BE126" s="45" t="s">
        <v>349</v>
      </c>
      <c r="BF126" s="45" t="s">
        <v>353</v>
      </c>
      <c r="BG126" s="45" t="s">
        <v>343</v>
      </c>
      <c r="BI126" s="3" t="s">
        <v>355</v>
      </c>
      <c r="BJ126">
        <f>AV22*AX28*AX36*AX40*AX48*AX54*AX60*AX66*AX71*AX76*AX82*AX88*AX93*AX102*AX106*AX111*AX120*AX126*AX132*AX136*AX141*AX148*AX155*AX160*AX163*AX167*AX171*AX175*AX179*AX183*AX188*AX191*AX196*AX199*AX203*AX207*AX212</f>
        <v>0</v>
      </c>
    </row>
    <row r="127" spans="45:98" x14ac:dyDescent="0.3">
      <c r="AZ127"/>
      <c r="BA127" s="43"/>
      <c r="BB127" s="43"/>
      <c r="BC127" s="43"/>
      <c r="BD127" s="43"/>
      <c r="BE127" s="43"/>
      <c r="BF127" s="43"/>
      <c r="BG127" s="43"/>
      <c r="BI127" t="s">
        <v>695</v>
      </c>
    </row>
    <row r="128" spans="45:98" x14ac:dyDescent="0.3">
      <c r="AS128" s="7" t="s">
        <v>281</v>
      </c>
      <c r="AT128" s="7">
        <v>1</v>
      </c>
      <c r="AU128" s="7">
        <v>2</v>
      </c>
      <c r="AV128" s="7">
        <v>3</v>
      </c>
      <c r="AW128" s="7">
        <v>4</v>
      </c>
      <c r="AX128" s="7">
        <v>5</v>
      </c>
      <c r="AY128" s="7">
        <v>6</v>
      </c>
      <c r="AZ128"/>
      <c r="BA128" s="44" t="s">
        <v>281</v>
      </c>
      <c r="BB128" s="44">
        <v>1</v>
      </c>
      <c r="BC128" s="44">
        <v>2</v>
      </c>
      <c r="BD128" s="44">
        <v>3</v>
      </c>
      <c r="BE128" s="44">
        <v>4</v>
      </c>
      <c r="BF128" s="44">
        <v>5</v>
      </c>
      <c r="BG128" s="44">
        <v>6</v>
      </c>
      <c r="BI128" s="3" t="s">
        <v>355</v>
      </c>
      <c r="BJ128">
        <f>AV23*AY28*AY36*AY40*AY48*AY54*AY60*AY66*AY71*AY76*AY82*AY88*AY93*AY102*AY106*AY111*AY120*AY126*AY132*AY136*AY141*AY148*AY155*AY160*AY163*AY167*AY171*AY175*AY179*AY183*AY188*AY191*AY196*AY199*AY203*AY207*AY212</f>
        <v>0</v>
      </c>
    </row>
    <row r="129" spans="45:98" x14ac:dyDescent="0.3">
      <c r="AS129" s="6" t="s">
        <v>220</v>
      </c>
      <c r="AT129" s="6">
        <f>COUNTIFS(U:U,"A",C:C,1)/COUNTIF(C:C,1)</f>
        <v>0</v>
      </c>
      <c r="AU129" s="6">
        <f>COUNTIFS(U:U,"A",C:C,2)/COUNTIF(C:C,2)</f>
        <v>0.1</v>
      </c>
      <c r="AV129" s="6">
        <f>COUNTIFS(U:U,"A",C:C,3)/COUNTIF(C:C,3)</f>
        <v>0</v>
      </c>
      <c r="AW129" s="6">
        <f>COUNTIFS(U:U,"A",C:C,4)/COUNTIF(C:C,4)</f>
        <v>0</v>
      </c>
      <c r="AX129" s="6">
        <f>COUNTIFS(U:U,"A",C:C,5)/COUNTIF(C:C,5)</f>
        <v>0</v>
      </c>
      <c r="AY129" s="6">
        <f>COUNTIFS(U:U,"A",C:C,6)/COUNTIF(C:C,6)</f>
        <v>0</v>
      </c>
      <c r="AZ129"/>
      <c r="BA129" s="45" t="s">
        <v>220</v>
      </c>
      <c r="BB129" s="45" t="s">
        <v>350</v>
      </c>
      <c r="BC129" s="45" t="s">
        <v>348</v>
      </c>
      <c r="BD129" s="45" t="s">
        <v>350</v>
      </c>
      <c r="BE129" s="45" t="s">
        <v>350</v>
      </c>
      <c r="BF129" s="45" t="s">
        <v>350</v>
      </c>
      <c r="BG129" s="45" t="s">
        <v>350</v>
      </c>
      <c r="BI129" s="24" t="s">
        <v>380</v>
      </c>
      <c r="BJ129" t="s">
        <v>372</v>
      </c>
      <c r="BK129" s="25" t="s">
        <v>640</v>
      </c>
    </row>
    <row r="130" spans="45:98" x14ac:dyDescent="0.3">
      <c r="AS130" s="6" t="s">
        <v>221</v>
      </c>
      <c r="AT130" s="6">
        <f>COUNTIFS(U:U,"B",C:C,1)/COUNTIF(C:C,1)</f>
        <v>0</v>
      </c>
      <c r="AU130" s="6">
        <f>COUNTIFS(U:U,"B",C:C,2)/COUNTIF(C:C,2)</f>
        <v>0</v>
      </c>
      <c r="AV130" s="6">
        <f>COUNTIFS(U:U,"B",C:C,3)/COUNTIF(C:C,3)</f>
        <v>0.1</v>
      </c>
      <c r="AW130" s="6">
        <f>COUNTIFS(U:U,"B",C:C,4)/COUNTIF(C:C,4)</f>
        <v>0</v>
      </c>
      <c r="AX130" s="6">
        <f>COUNTIFS(U:U,"B",C:C,5)/COUNTIF(C:C,5)</f>
        <v>0.1</v>
      </c>
      <c r="AY130" s="6">
        <f>COUNTIFS(U:U,"B",C:C,6)/COUNTIF(C:C,6)</f>
        <v>0</v>
      </c>
      <c r="AZ130"/>
      <c r="BA130" s="45" t="s">
        <v>221</v>
      </c>
      <c r="BB130" s="45" t="s">
        <v>350</v>
      </c>
      <c r="BC130" s="45" t="s">
        <v>350</v>
      </c>
      <c r="BD130" s="45" t="s">
        <v>348</v>
      </c>
      <c r="BE130" s="45" t="s">
        <v>350</v>
      </c>
      <c r="BF130" s="45" t="s">
        <v>348</v>
      </c>
      <c r="BG130" s="45" t="s">
        <v>350</v>
      </c>
    </row>
    <row r="131" spans="45:98" x14ac:dyDescent="0.3">
      <c r="AS131" s="6" t="s">
        <v>222</v>
      </c>
      <c r="AT131" s="6">
        <f>COUNTIFS(U:U,"C",C:C,1)/COUNTIF(C:C,1)</f>
        <v>0.3</v>
      </c>
      <c r="AU131" s="6">
        <f>COUNTIFS(U:U,"C",C:C,2)/COUNTIF(C:C,2)</f>
        <v>0.1</v>
      </c>
      <c r="AV131" s="6">
        <f>COUNTIFS(U:U,"C",C:C,3)/COUNTIF(C:C,3)</f>
        <v>0.1</v>
      </c>
      <c r="AW131" s="6">
        <f>COUNTIFS(U:U,"C",C:C,4)/COUNTIF(C:C,4)</f>
        <v>0.1</v>
      </c>
      <c r="AX131" s="6">
        <f>COUNTIFS(U:U,"C",C:C,5)/COUNTIF(C:C,5)</f>
        <v>0</v>
      </c>
      <c r="AY131" s="6">
        <f>COUNTIFS(U:U,"C",C:C,6)/COUNTIF(C:C,6)</f>
        <v>0</v>
      </c>
      <c r="AZ131"/>
      <c r="BA131" s="45" t="s">
        <v>222</v>
      </c>
      <c r="BB131" s="45" t="s">
        <v>341</v>
      </c>
      <c r="BC131" s="45" t="s">
        <v>348</v>
      </c>
      <c r="BD131" s="45" t="s">
        <v>348</v>
      </c>
      <c r="BE131" s="45" t="s">
        <v>348</v>
      </c>
      <c r="BF131" s="45" t="s">
        <v>350</v>
      </c>
      <c r="BG131" s="45" t="s">
        <v>350</v>
      </c>
      <c r="BI131" s="53" t="s">
        <v>395</v>
      </c>
      <c r="BJ131" s="24" t="s">
        <v>71</v>
      </c>
      <c r="BK131" s="1" t="s">
        <v>50</v>
      </c>
      <c r="BL131" s="1" t="s">
        <v>51</v>
      </c>
      <c r="BM131" s="1" t="s">
        <v>52</v>
      </c>
      <c r="BN131" s="1" t="s">
        <v>53</v>
      </c>
      <c r="BO131" s="1" t="s">
        <v>54</v>
      </c>
      <c r="BP131" s="1" t="s">
        <v>55</v>
      </c>
      <c r="BQ131" s="1" t="s">
        <v>56</v>
      </c>
      <c r="BR131" s="1" t="s">
        <v>57</v>
      </c>
      <c r="BS131" s="1" t="s">
        <v>58</v>
      </c>
      <c r="BT131" s="1" t="s">
        <v>59</v>
      </c>
      <c r="BU131" s="1" t="s">
        <v>60</v>
      </c>
      <c r="BV131" s="1" t="s">
        <v>61</v>
      </c>
      <c r="BW131" s="1" t="s">
        <v>62</v>
      </c>
      <c r="BX131" s="1" t="s">
        <v>63</v>
      </c>
      <c r="BY131" s="1" t="s">
        <v>64</v>
      </c>
      <c r="BZ131" s="1" t="s">
        <v>65</v>
      </c>
      <c r="CA131" s="1" t="s">
        <v>66</v>
      </c>
      <c r="CB131" s="1" t="s">
        <v>67</v>
      </c>
      <c r="CC131" s="1" t="s">
        <v>68</v>
      </c>
      <c r="CD131" s="1" t="s">
        <v>69</v>
      </c>
      <c r="CE131" s="1" t="s">
        <v>70</v>
      </c>
      <c r="CF131" s="1" t="s">
        <v>929</v>
      </c>
      <c r="CG131" s="1" t="s">
        <v>930</v>
      </c>
      <c r="CH131" s="1" t="s">
        <v>931</v>
      </c>
      <c r="CI131" s="1" t="s">
        <v>932</v>
      </c>
      <c r="CJ131" s="1" t="s">
        <v>933</v>
      </c>
      <c r="CK131" s="1" t="s">
        <v>934</v>
      </c>
      <c r="CL131" s="1" t="s">
        <v>935</v>
      </c>
      <c r="CM131" s="1" t="s">
        <v>936</v>
      </c>
      <c r="CN131" s="1" t="s">
        <v>937</v>
      </c>
      <c r="CO131" s="1" t="s">
        <v>938</v>
      </c>
      <c r="CP131" s="1" t="s">
        <v>939</v>
      </c>
      <c r="CQ131" s="1" t="s">
        <v>940</v>
      </c>
      <c r="CR131" s="1" t="s">
        <v>941</v>
      </c>
      <c r="CS131" s="1" t="s">
        <v>942</v>
      </c>
      <c r="CT131" s="1" t="s">
        <v>1008</v>
      </c>
    </row>
    <row r="132" spans="45:98" x14ac:dyDescent="0.3">
      <c r="AS132" s="6" t="s">
        <v>223</v>
      </c>
      <c r="AT132" s="6">
        <f>COUNTIFS(U:U,"D",C:C,1)/COUNTIF(C:C,1)</f>
        <v>0.7</v>
      </c>
      <c r="AU132" s="6">
        <f>COUNTIFS(U:U,"D",C:C,2)/COUNTIF(C:C,2)</f>
        <v>0.8</v>
      </c>
      <c r="AV132" s="6">
        <f>COUNTIFS(U:U,"D",C:C,3)/COUNTIF(C:C,3)</f>
        <v>0.8</v>
      </c>
      <c r="AW132" s="6">
        <f>COUNTIFS(U:U,"D",C:C,4)/COUNTIF(C:C,4)</f>
        <v>0.9</v>
      </c>
      <c r="AX132" s="6">
        <f>COUNTIFS(U:U,"D",C:C,5)/COUNTIF(C:C,5)</f>
        <v>0.9</v>
      </c>
      <c r="AY132" s="6">
        <f>COUNTIFS(U:U,"D",C:C,6)/COUNTIF(C:C,6)</f>
        <v>1</v>
      </c>
      <c r="AZ132"/>
      <c r="BA132" s="45" t="s">
        <v>223</v>
      </c>
      <c r="BB132" s="45" t="s">
        <v>353</v>
      </c>
      <c r="BC132" s="45" t="s">
        <v>347</v>
      </c>
      <c r="BD132" s="45" t="s">
        <v>347</v>
      </c>
      <c r="BE132" s="45" t="s">
        <v>349</v>
      </c>
      <c r="BF132" s="45" t="s">
        <v>349</v>
      </c>
      <c r="BG132" s="45" t="s">
        <v>354</v>
      </c>
      <c r="BI132" s="53"/>
      <c r="BJ132" s="24">
        <v>1</v>
      </c>
      <c r="BK132" t="s">
        <v>3</v>
      </c>
      <c r="BL132" t="s">
        <v>3</v>
      </c>
      <c r="BM132" t="s">
        <v>2</v>
      </c>
      <c r="BN132" t="s">
        <v>3</v>
      </c>
      <c r="BO132" t="s">
        <v>5</v>
      </c>
      <c r="BP132" t="s">
        <v>5</v>
      </c>
      <c r="BQ132" t="s">
        <v>5</v>
      </c>
      <c r="BR132" t="s">
        <v>2</v>
      </c>
      <c r="BS132" t="s">
        <v>2</v>
      </c>
      <c r="BT132" t="s">
        <v>2</v>
      </c>
      <c r="BU132" t="s">
        <v>3</v>
      </c>
      <c r="BV132" t="s">
        <v>2</v>
      </c>
      <c r="BW132" t="s">
        <v>5</v>
      </c>
      <c r="BX132" t="s">
        <v>3</v>
      </c>
      <c r="BY132" t="s">
        <v>3</v>
      </c>
      <c r="BZ132" t="s">
        <v>5</v>
      </c>
      <c r="CA132" t="s">
        <v>5</v>
      </c>
      <c r="CB132" t="s">
        <v>5</v>
      </c>
      <c r="CC132" t="s">
        <v>2</v>
      </c>
      <c r="CD132" t="s">
        <v>4</v>
      </c>
      <c r="CE132" t="s">
        <v>3</v>
      </c>
      <c r="CF132" t="s">
        <v>4</v>
      </c>
      <c r="CG132" t="s">
        <v>3</v>
      </c>
      <c r="CH132" t="s">
        <v>4</v>
      </c>
      <c r="CI132" t="s">
        <v>4</v>
      </c>
      <c r="CJ132" t="s">
        <v>4</v>
      </c>
      <c r="CK132" t="s">
        <v>4</v>
      </c>
      <c r="CL132" t="s">
        <v>4</v>
      </c>
      <c r="CM132" t="s">
        <v>4</v>
      </c>
      <c r="CN132" t="s">
        <v>3</v>
      </c>
      <c r="CO132" t="s">
        <v>4</v>
      </c>
      <c r="CP132" t="s">
        <v>3</v>
      </c>
      <c r="CQ132" t="s">
        <v>4</v>
      </c>
      <c r="CR132" t="s">
        <v>4</v>
      </c>
      <c r="CS132" t="s">
        <v>4</v>
      </c>
      <c r="CT132" t="s">
        <v>3</v>
      </c>
    </row>
    <row r="133" spans="45:98" x14ac:dyDescent="0.3">
      <c r="AZ133"/>
      <c r="BA133" s="43"/>
      <c r="BB133" s="43"/>
      <c r="BC133" s="43"/>
      <c r="BD133" s="43"/>
      <c r="BE133" s="43"/>
      <c r="BF133" s="43"/>
      <c r="BG133" s="43"/>
      <c r="BI133" t="s">
        <v>705</v>
      </c>
    </row>
    <row r="134" spans="45:98" x14ac:dyDescent="0.3">
      <c r="AS134" s="7" t="s">
        <v>282</v>
      </c>
      <c r="AT134" s="7">
        <v>1</v>
      </c>
      <c r="AU134" s="7">
        <v>2</v>
      </c>
      <c r="AV134" s="7">
        <v>3</v>
      </c>
      <c r="AW134" s="7">
        <v>4</v>
      </c>
      <c r="AX134" s="7">
        <v>5</v>
      </c>
      <c r="AY134" s="7">
        <v>6</v>
      </c>
      <c r="AZ134"/>
      <c r="BA134" s="44" t="s">
        <v>282</v>
      </c>
      <c r="BB134" s="44">
        <v>1</v>
      </c>
      <c r="BC134" s="44">
        <v>2</v>
      </c>
      <c r="BD134" s="44">
        <v>3</v>
      </c>
      <c r="BE134" s="44">
        <v>4</v>
      </c>
      <c r="BF134" s="44">
        <v>5</v>
      </c>
      <c r="BG134" s="44">
        <v>6</v>
      </c>
      <c r="BI134" s="3" t="s">
        <v>355</v>
      </c>
      <c r="BJ134">
        <f>AV18*AT28*AT34*AT41*AT46*AT54*AT60*AT66*AT71*AT77*AT83*AT88*AT95*AT102*AT106*AT112*AT120*AT126*AT132*AT137*AT141*AT148*AT153*AT160*AT163*AT167*AT171*AT175*AT179*AT183*AT188*AT191*AT196*AT199*AT203*AT207*AT212</f>
        <v>4.6250895133900803E-7</v>
      </c>
    </row>
    <row r="135" spans="45:98" x14ac:dyDescent="0.3">
      <c r="AS135" s="6" t="s">
        <v>224</v>
      </c>
      <c r="AT135" s="6">
        <f>COUNTIFS(V:V,"A",C:C,1)/COUNTIF(C:C,1)</f>
        <v>0.1</v>
      </c>
      <c r="AU135" s="6">
        <f>COUNTIFS(V:V,"A",C:C,2)/COUNTIF(C:C,2)</f>
        <v>0.2</v>
      </c>
      <c r="AV135" s="6">
        <f>COUNTIFS(V:V,"A",C:C,3)/COUNTIF(C:C,3)</f>
        <v>0.1</v>
      </c>
      <c r="AW135" s="6">
        <f>COUNTIFS(V:V,"A",C:C,4)/COUNTIF(C:C,4)</f>
        <v>0.3</v>
      </c>
      <c r="AX135" s="6">
        <f>COUNTIFS(V:V,"A",C:C,5)/COUNTIF(C:C,5)</f>
        <v>0.1</v>
      </c>
      <c r="AY135" s="6">
        <f>COUNTIFS(V:V,"A",C:C,6)/COUNTIF(C:C,6)</f>
        <v>0.1</v>
      </c>
      <c r="AZ135"/>
      <c r="BA135" s="45" t="s">
        <v>224</v>
      </c>
      <c r="BB135" s="45" t="s">
        <v>348</v>
      </c>
      <c r="BC135" s="45" t="s">
        <v>346</v>
      </c>
      <c r="BD135" s="45" t="s">
        <v>348</v>
      </c>
      <c r="BE135" s="45" t="s">
        <v>344</v>
      </c>
      <c r="BF135" s="45" t="s">
        <v>348</v>
      </c>
      <c r="BG135" s="45" t="s">
        <v>348</v>
      </c>
      <c r="BI135" t="s">
        <v>706</v>
      </c>
    </row>
    <row r="136" spans="45:98" x14ac:dyDescent="0.3">
      <c r="AS136" s="6" t="s">
        <v>225</v>
      </c>
      <c r="AT136" s="6">
        <f>COUNTIFS(V:V,"B",C:C,1)/COUNTIF(C:C,1)</f>
        <v>0.2</v>
      </c>
      <c r="AU136" s="6">
        <f>COUNTIFS(V:V,"B",C:C,2)/COUNTIF(C:C,2)</f>
        <v>0.1</v>
      </c>
      <c r="AV136" s="6">
        <f>COUNTIFS(V:V,"B",C:C,3)/COUNTIF(C:C,3)</f>
        <v>0</v>
      </c>
      <c r="AW136" s="6">
        <f>COUNTIFS(V:V,"B",C:C,4)/COUNTIF(C:C,4)</f>
        <v>0</v>
      </c>
      <c r="AX136" s="6">
        <f>COUNTIFS(V:V,"B",C:C,5)/COUNTIF(C:C,5)</f>
        <v>0.2</v>
      </c>
      <c r="AY136" s="6">
        <f>COUNTIFS(V:V,"B",C:C,6)/COUNTIF(C:C,6)</f>
        <v>0.4</v>
      </c>
      <c r="AZ136"/>
      <c r="BA136" s="45" t="s">
        <v>225</v>
      </c>
      <c r="BB136" s="45" t="s">
        <v>350</v>
      </c>
      <c r="BC136" s="45" t="s">
        <v>350</v>
      </c>
      <c r="BD136" s="45" t="s">
        <v>350</v>
      </c>
      <c r="BE136" s="45" t="s">
        <v>350</v>
      </c>
      <c r="BF136" s="45" t="s">
        <v>346</v>
      </c>
      <c r="BG136" s="45" t="s">
        <v>341</v>
      </c>
      <c r="BI136" s="3" t="s">
        <v>355</v>
      </c>
      <c r="BJ136">
        <f>AV19*AU28*AU34*AU41*AU46*AU54*AU60*AU66*AU71*AU77*AU83*AU88*AU95*AU102*AU106*AU112*AU120*AU126*AU132*AU137*AU141*AU148*AU153*AU160*AU163*AU167*AU171*AU175*AU179*AU183*AU188*AU191*AU196*AU199*AU203*AU207*AU212</f>
        <v>1.2962436480000001E-9</v>
      </c>
    </row>
    <row r="137" spans="45:98" x14ac:dyDescent="0.3">
      <c r="AS137" s="6" t="s">
        <v>226</v>
      </c>
      <c r="AT137" s="6">
        <f>COUNTIFS(V:V,"C",C:C,1)/COUNTIF(C:C,1)</f>
        <v>0.3</v>
      </c>
      <c r="AU137" s="6">
        <f>COUNTIFS(V:V,"C",C:C,2)/COUNTIF(C:C,2)</f>
        <v>0.1</v>
      </c>
      <c r="AV137" s="6">
        <f>COUNTIFS(V:V,"C",C:C,3)/COUNTIF(C:C,3)</f>
        <v>0.2</v>
      </c>
      <c r="AW137" s="6">
        <f>COUNTIFS(V:V,"C",C:C,4)/COUNTIF(C:C,4)</f>
        <v>0</v>
      </c>
      <c r="AX137" s="6">
        <f>COUNTIFS(V:V,"C",C:C,5)/COUNTIF(C:C,5)</f>
        <v>0.1</v>
      </c>
      <c r="AY137" s="6">
        <f>COUNTIFS(V:V,"C",C:C,6)/COUNTIF(C:C,6)</f>
        <v>0</v>
      </c>
      <c r="AZ137"/>
      <c r="BA137" s="45" t="s">
        <v>226</v>
      </c>
      <c r="BB137" s="45" t="s">
        <v>344</v>
      </c>
      <c r="BC137" s="45" t="s">
        <v>346</v>
      </c>
      <c r="BD137" s="45" t="s">
        <v>346</v>
      </c>
      <c r="BE137" s="45" t="s">
        <v>350</v>
      </c>
      <c r="BF137" s="45" t="s">
        <v>348</v>
      </c>
      <c r="BG137" s="45" t="s">
        <v>350</v>
      </c>
      <c r="BI137" t="s">
        <v>707</v>
      </c>
    </row>
    <row r="138" spans="45:98" x14ac:dyDescent="0.3">
      <c r="AS138" s="6" t="s">
        <v>227</v>
      </c>
      <c r="AT138" s="6">
        <f>COUNTIFS(V:V,"D",C:C,1)/COUNTIF(C:C,1)</f>
        <v>0.4</v>
      </c>
      <c r="AU138" s="6">
        <f>COUNTIFS(V:V,"D",C:C,2)/COUNTIF(C:C,2)</f>
        <v>0.6</v>
      </c>
      <c r="AV138" s="6">
        <f>COUNTIFS(V:V,"D",C:C,3)/COUNTIF(C:C,3)</f>
        <v>0.7</v>
      </c>
      <c r="AW138" s="6">
        <f>COUNTIFS(V:V,"D",C:C,4)/COUNTIF(C:C,4)</f>
        <v>0.7</v>
      </c>
      <c r="AX138" s="6">
        <f>COUNTIFS(V:V,"D",C:C,5)/COUNTIF(C:C,5)</f>
        <v>0.6</v>
      </c>
      <c r="AY138" s="6">
        <f>COUNTIFS(V:V,"D",C:C,6)/COUNTIF(C:C,6)</f>
        <v>0.5</v>
      </c>
      <c r="AZ138"/>
      <c r="BA138" s="45" t="s">
        <v>227</v>
      </c>
      <c r="BB138" s="45" t="s">
        <v>353</v>
      </c>
      <c r="BC138" s="45" t="s">
        <v>353</v>
      </c>
      <c r="BD138" s="45" t="s">
        <v>345</v>
      </c>
      <c r="BE138" s="45" t="s">
        <v>345</v>
      </c>
      <c r="BF138" s="45" t="s">
        <v>353</v>
      </c>
      <c r="BG138" s="45" t="s">
        <v>343</v>
      </c>
      <c r="BI138" s="3" t="s">
        <v>355</v>
      </c>
      <c r="BJ138">
        <f>AV20*AV28*AV34*AV41*AV46*AV54*AV60*AV66*AV71*AV77*AV83*AV88*AV95*AV102*AV106*AV112*AV120*AV126*AV132*AV137*AV141*AV148*AV153*AV160*AV163*AV167*AV171*AV175*AV179*AV183*AV188*AV191*AV196*AV199*AV203*AV207*AV212</f>
        <v>0</v>
      </c>
    </row>
    <row r="139" spans="45:98" x14ac:dyDescent="0.3">
      <c r="AZ139"/>
      <c r="BA139" s="43"/>
      <c r="BB139" s="43"/>
      <c r="BC139" s="43"/>
      <c r="BD139" s="43"/>
      <c r="BE139" s="43"/>
      <c r="BF139" s="43"/>
      <c r="BG139" s="43"/>
      <c r="BI139" t="s">
        <v>708</v>
      </c>
    </row>
    <row r="140" spans="45:98" x14ac:dyDescent="0.3">
      <c r="AS140" s="7" t="s">
        <v>283</v>
      </c>
      <c r="AT140" s="7">
        <v>1</v>
      </c>
      <c r="AU140" s="7">
        <v>2</v>
      </c>
      <c r="AV140" s="7">
        <v>3</v>
      </c>
      <c r="AW140" s="7">
        <v>4</v>
      </c>
      <c r="AX140" s="7">
        <v>5</v>
      </c>
      <c r="AY140" s="7">
        <v>6</v>
      </c>
      <c r="AZ140"/>
      <c r="BA140" s="44" t="s">
        <v>283</v>
      </c>
      <c r="BB140" s="44">
        <v>1</v>
      </c>
      <c r="BC140" s="44">
        <v>2</v>
      </c>
      <c r="BD140" s="44">
        <v>3</v>
      </c>
      <c r="BE140" s="44">
        <v>4</v>
      </c>
      <c r="BF140" s="44">
        <v>5</v>
      </c>
      <c r="BG140" s="44">
        <v>6</v>
      </c>
      <c r="BI140" s="3" t="s">
        <v>355</v>
      </c>
      <c r="BJ140">
        <f>AV21*AW28*AW34*AW41*AW46*AW54*AW60*AW66*AW71*AW77*AW83*AW88*AW95*AW102*AW106*AW112*AW120*AW126*AW132*AW137*AW141*AW148*AW153*AW160*AW163*AW167*AW171*AW175*AW179*AW183*AW188*AW191*AW196*AW199*AW203*AW207*AW212</f>
        <v>0</v>
      </c>
    </row>
    <row r="141" spans="45:98" x14ac:dyDescent="0.3">
      <c r="AS141" s="6" t="s">
        <v>228</v>
      </c>
      <c r="AT141" s="6">
        <f>COUNTIFS(W:W,"A",C:C,1)/COUNTIF(C:C,1)</f>
        <v>1</v>
      </c>
      <c r="AU141" s="6">
        <f>COUNTIFS(W:W,"A",C:C,2)/COUNTIF(C:C,2)</f>
        <v>0.9</v>
      </c>
      <c r="AV141" s="6">
        <f>COUNTIFS(W:W,"A",C:C,3)/COUNTIF(C:C,3)</f>
        <v>1</v>
      </c>
      <c r="AW141" s="6">
        <f>COUNTIFS(W:W,"A",C:C,4)/COUNTIF(C:C,4)</f>
        <v>0.7</v>
      </c>
      <c r="AX141" s="6">
        <f>COUNTIFS(W:W,"A",C:C,5)/COUNTIF(C:C,5)</f>
        <v>0.3</v>
      </c>
      <c r="AY141" s="6">
        <f>COUNTIFS(W:W,"A",C:C,6)/COUNTIF(C:C,6)</f>
        <v>0.4</v>
      </c>
      <c r="AZ141"/>
      <c r="BA141" s="45" t="s">
        <v>228</v>
      </c>
      <c r="BB141" s="45" t="s">
        <v>354</v>
      </c>
      <c r="BC141" s="45" t="s">
        <v>349</v>
      </c>
      <c r="BD141" s="45" t="s">
        <v>354</v>
      </c>
      <c r="BE141" s="45" t="s">
        <v>345</v>
      </c>
      <c r="BF141" s="45" t="s">
        <v>344</v>
      </c>
      <c r="BG141" s="45" t="s">
        <v>341</v>
      </c>
      <c r="BI141" t="s">
        <v>709</v>
      </c>
    </row>
    <row r="142" spans="45:98" x14ac:dyDescent="0.3">
      <c r="AS142" s="6" t="s">
        <v>229</v>
      </c>
      <c r="AT142" s="6">
        <f>COUNTIFS(W:W,"B",C:C,1)/COUNTIF(C:C,1)</f>
        <v>0</v>
      </c>
      <c r="AU142" s="6">
        <f>COUNTIFS(W:W,"B",C:C,2)/COUNTIF(C:C,2)</f>
        <v>0</v>
      </c>
      <c r="AV142" s="6">
        <f>COUNTIFS(W:W,"B",C:C,3)/COUNTIF(C:C,3)</f>
        <v>0</v>
      </c>
      <c r="AW142" s="6">
        <f>COUNTIFS(W:W,"B",C:C,4)/COUNTIF(C:C,4)</f>
        <v>0.3</v>
      </c>
      <c r="AX142" s="6">
        <f>COUNTIFS(W:W,"B",C:C,5)/COUNTIF(C:C,5)</f>
        <v>0.7</v>
      </c>
      <c r="AY142" s="6">
        <f>COUNTIFS(W:W,"B",C:C,6)/COUNTIF(C:C,6)</f>
        <v>0.3</v>
      </c>
      <c r="AZ142"/>
      <c r="BA142" s="45" t="s">
        <v>229</v>
      </c>
      <c r="BB142" s="45" t="s">
        <v>350</v>
      </c>
      <c r="BC142" s="45" t="s">
        <v>350</v>
      </c>
      <c r="BD142" s="45" t="s">
        <v>350</v>
      </c>
      <c r="BE142" s="45" t="s">
        <v>344</v>
      </c>
      <c r="BF142" s="45" t="s">
        <v>345</v>
      </c>
      <c r="BG142" s="45" t="s">
        <v>344</v>
      </c>
      <c r="BI142" s="3" t="s">
        <v>355</v>
      </c>
      <c r="BJ142">
        <f>AV22*AX28*AX34*AX41*AX46*AX54*AX60*AX66*AX71*AX77*AX83*AX88*AX95*AX102*AX106*AX112*AX120*AX126*AX132*AX137*AX141*AX148*AX153*AX160*AX163*AX167*AX171*AX175*AX179*AX183*AX188*AX191*AX196*AX199*AX203*AX207*AX212</f>
        <v>0</v>
      </c>
    </row>
    <row r="143" spans="45:98" x14ac:dyDescent="0.3">
      <c r="AS143" s="6" t="s">
        <v>230</v>
      </c>
      <c r="AT143" s="6">
        <f>COUNTIFS(W:W,"C",C:C,1)/COUNTIF(C:C,1)</f>
        <v>0</v>
      </c>
      <c r="AU143" s="6">
        <f>COUNTIFS(W:W,"C",C:C,2)/COUNTIF(C:C,2)</f>
        <v>0.1</v>
      </c>
      <c r="AV143" s="6">
        <f>COUNTIFS(W:W,"C",C:C,3)/COUNTIF(C:C,3)</f>
        <v>0</v>
      </c>
      <c r="AW143" s="6">
        <f>COUNTIFS(W:W,"C",C:C,4)/COUNTIF(C:C,4)</f>
        <v>0</v>
      </c>
      <c r="AX143" s="6">
        <f>COUNTIFS(W:W,"C",C:C,5)/COUNTIF(C:C,5)</f>
        <v>0</v>
      </c>
      <c r="AY143" s="6">
        <f>COUNTIFS(W:W,"C",C:C,6)/COUNTIF(C:C,6)</f>
        <v>0.2</v>
      </c>
      <c r="AZ143"/>
      <c r="BA143" s="45" t="s">
        <v>230</v>
      </c>
      <c r="BB143" s="45" t="s">
        <v>350</v>
      </c>
      <c r="BC143" s="45" t="s">
        <v>348</v>
      </c>
      <c r="BD143" s="45" t="s">
        <v>350</v>
      </c>
      <c r="BE143" s="45" t="s">
        <v>350</v>
      </c>
      <c r="BF143" s="45" t="s">
        <v>350</v>
      </c>
      <c r="BG143" s="45" t="s">
        <v>346</v>
      </c>
      <c r="BI143" t="s">
        <v>710</v>
      </c>
    </row>
    <row r="144" spans="45:98" x14ac:dyDescent="0.3">
      <c r="AS144" s="6" t="s">
        <v>231</v>
      </c>
      <c r="AT144" s="6">
        <f>COUNTIFS(W:W,"D",C:C,1)/COUNTIF(C:C,1)</f>
        <v>0</v>
      </c>
      <c r="AU144" s="6">
        <f>COUNTIFS(W:W,"D",C:C,2)/COUNTIF(C:C,2)</f>
        <v>0</v>
      </c>
      <c r="AV144" s="6">
        <f>COUNTIFS(W:W,"D",C:C,3)/COUNTIF(C:C,3)</f>
        <v>0</v>
      </c>
      <c r="AW144" s="6">
        <f>COUNTIFS(W:W,"D",C:C,4)/COUNTIF(C:C,4)</f>
        <v>0</v>
      </c>
      <c r="AX144" s="6">
        <f>COUNTIFS(W:W,"D",C:C,5)/COUNTIF(C:C,5)</f>
        <v>0</v>
      </c>
      <c r="AY144" s="6">
        <f>COUNTIFS(W:W,"D",C:C,6)/COUNTIF(C:C,6)</f>
        <v>0.1</v>
      </c>
      <c r="AZ144"/>
      <c r="BA144" s="45" t="s">
        <v>231</v>
      </c>
      <c r="BB144" s="45" t="s">
        <v>350</v>
      </c>
      <c r="BC144" s="45" t="s">
        <v>350</v>
      </c>
      <c r="BD144" s="45" t="s">
        <v>350</v>
      </c>
      <c r="BE144" s="45" t="s">
        <v>350</v>
      </c>
      <c r="BF144" s="45" t="s">
        <v>350</v>
      </c>
      <c r="BG144" s="45" t="s">
        <v>348</v>
      </c>
      <c r="BI144" s="3" t="s">
        <v>355</v>
      </c>
      <c r="BJ144">
        <f>AV23*AY28*AY34*AY41*AY46*AY54*AY60*AY66*AY71*AY77*AY83*AY88*AY95*AY102*AY106*AY112*AY120*AY126*AY132*AY137*AY141*AY148*AY153*AY160*AY163*AY167*AY171*AY175*AY179*AY183*AY188*AY191*AY196*AY199*AY203*AY207*AY212</f>
        <v>0</v>
      </c>
    </row>
    <row r="145" spans="45:98" x14ac:dyDescent="0.3">
      <c r="AZ145"/>
      <c r="BA145" s="43"/>
      <c r="BB145" s="43"/>
      <c r="BC145" s="43"/>
      <c r="BD145" s="43"/>
      <c r="BE145" s="43"/>
      <c r="BF145" s="43"/>
      <c r="BG145" s="43"/>
      <c r="BI145" s="24" t="s">
        <v>396</v>
      </c>
      <c r="BJ145" t="s">
        <v>372</v>
      </c>
      <c r="BK145" s="25" t="s">
        <v>379</v>
      </c>
    </row>
    <row r="146" spans="45:98" x14ac:dyDescent="0.3">
      <c r="AS146" s="7" t="s">
        <v>284</v>
      </c>
      <c r="AT146" s="7">
        <v>1</v>
      </c>
      <c r="AU146" s="7">
        <v>2</v>
      </c>
      <c r="AV146" s="7">
        <v>3</v>
      </c>
      <c r="AW146" s="7">
        <v>4</v>
      </c>
      <c r="AX146" s="7">
        <v>5</v>
      </c>
      <c r="AY146" s="7">
        <v>6</v>
      </c>
      <c r="AZ146"/>
      <c r="BA146" s="44" t="s">
        <v>284</v>
      </c>
      <c r="BB146" s="44">
        <v>1</v>
      </c>
      <c r="BC146" s="44">
        <v>2</v>
      </c>
      <c r="BD146" s="44">
        <v>3</v>
      </c>
      <c r="BE146" s="44">
        <v>4</v>
      </c>
      <c r="BF146" s="44">
        <v>5</v>
      </c>
      <c r="BG146" s="44">
        <v>6</v>
      </c>
    </row>
    <row r="147" spans="45:98" x14ac:dyDescent="0.3">
      <c r="AS147" s="6" t="s">
        <v>232</v>
      </c>
      <c r="AT147" s="6">
        <f>COUNTIFS(X:X,"A",C:C,1)/COUNTIF(C:C,1)</f>
        <v>0.3</v>
      </c>
      <c r="AU147" s="6">
        <f>COUNTIFS(X:X,"A",C:C,2)/COUNTIF(C:C,2)</f>
        <v>0.8</v>
      </c>
      <c r="AV147" s="6">
        <f>COUNTIFS(X:X,"A",C:C,3)/COUNTIF(C:C,3)</f>
        <v>0.2</v>
      </c>
      <c r="AW147" s="6">
        <f>COUNTIFS(X:X,"A",C:C,4)/COUNTIF(C:C,4)</f>
        <v>0.4</v>
      </c>
      <c r="AX147" s="6">
        <f>COUNTIFS(X:X,"A",C:C,5)/COUNTIF(C:C,5)</f>
        <v>0.1</v>
      </c>
      <c r="AY147" s="6">
        <f>COUNTIFS(X:X,"A",C:C,6)/COUNTIF(C:C,6)</f>
        <v>0.1</v>
      </c>
      <c r="AZ147"/>
      <c r="BA147" s="45" t="s">
        <v>232</v>
      </c>
      <c r="BB147" s="45" t="s">
        <v>341</v>
      </c>
      <c r="BC147" s="45" t="s">
        <v>345</v>
      </c>
      <c r="BD147" s="45" t="s">
        <v>346</v>
      </c>
      <c r="BE147" s="45" t="s">
        <v>341</v>
      </c>
      <c r="BF147" s="45" t="s">
        <v>348</v>
      </c>
      <c r="BG147" s="45" t="s">
        <v>348</v>
      </c>
      <c r="BI147" s="53" t="s">
        <v>397</v>
      </c>
      <c r="BJ147" s="24" t="s">
        <v>71</v>
      </c>
      <c r="BK147" s="1" t="s">
        <v>50</v>
      </c>
      <c r="BL147" s="1" t="s">
        <v>51</v>
      </c>
      <c r="BM147" s="1" t="s">
        <v>52</v>
      </c>
      <c r="BN147" s="1" t="s">
        <v>53</v>
      </c>
      <c r="BO147" s="1" t="s">
        <v>54</v>
      </c>
      <c r="BP147" s="1" t="s">
        <v>55</v>
      </c>
      <c r="BQ147" s="1" t="s">
        <v>56</v>
      </c>
      <c r="BR147" s="1" t="s">
        <v>57</v>
      </c>
      <c r="BS147" s="1" t="s">
        <v>58</v>
      </c>
      <c r="BT147" s="1" t="s">
        <v>59</v>
      </c>
      <c r="BU147" s="1" t="s">
        <v>60</v>
      </c>
      <c r="BV147" s="1" t="s">
        <v>61</v>
      </c>
      <c r="BW147" s="1" t="s">
        <v>62</v>
      </c>
      <c r="BX147" s="1" t="s">
        <v>63</v>
      </c>
      <c r="BY147" s="1" t="s">
        <v>64</v>
      </c>
      <c r="BZ147" s="1" t="s">
        <v>65</v>
      </c>
      <c r="CA147" s="1" t="s">
        <v>66</v>
      </c>
      <c r="CB147" s="1" t="s">
        <v>67</v>
      </c>
      <c r="CC147" s="1" t="s">
        <v>68</v>
      </c>
      <c r="CD147" s="1" t="s">
        <v>69</v>
      </c>
      <c r="CE147" s="1" t="s">
        <v>70</v>
      </c>
      <c r="CF147" s="1" t="s">
        <v>929</v>
      </c>
      <c r="CG147" s="1" t="s">
        <v>930</v>
      </c>
      <c r="CH147" s="1" t="s">
        <v>931</v>
      </c>
      <c r="CI147" s="1" t="s">
        <v>932</v>
      </c>
      <c r="CJ147" s="1" t="s">
        <v>933</v>
      </c>
      <c r="CK147" s="1" t="s">
        <v>934</v>
      </c>
      <c r="CL147" s="1" t="s">
        <v>935</v>
      </c>
      <c r="CM147" s="1" t="s">
        <v>936</v>
      </c>
      <c r="CN147" s="1" t="s">
        <v>937</v>
      </c>
      <c r="CO147" s="1" t="s">
        <v>938</v>
      </c>
      <c r="CP147" s="1" t="s">
        <v>939</v>
      </c>
      <c r="CQ147" s="1" t="s">
        <v>940</v>
      </c>
      <c r="CR147" s="1" t="s">
        <v>941</v>
      </c>
      <c r="CS147" s="1" t="s">
        <v>942</v>
      </c>
      <c r="CT147" s="1" t="s">
        <v>1008</v>
      </c>
    </row>
    <row r="148" spans="45:98" x14ac:dyDescent="0.3">
      <c r="AS148" s="6" t="s">
        <v>233</v>
      </c>
      <c r="AT148" s="6">
        <f>COUNTIFS(X:X,"B",C:C,1)/COUNTIF(C:C,1)</f>
        <v>0.7</v>
      </c>
      <c r="AU148" s="6">
        <f>COUNTIFS(X:X,"B",C:C,2)/COUNTIF(C:C,2)</f>
        <v>0.2</v>
      </c>
      <c r="AV148" s="6">
        <f>COUNTIFS(X:X,"B",C:C,3)/COUNTIF(C:C,3)</f>
        <v>0.5</v>
      </c>
      <c r="AW148" s="6">
        <f>COUNTIFS(X:X,"B",C:C,4)/COUNTIF(C:C,4)</f>
        <v>0.5</v>
      </c>
      <c r="AX148" s="6">
        <f>COUNTIFS(X:X,"B",C:C,5)/COUNTIF(C:C,5)</f>
        <v>0.9</v>
      </c>
      <c r="AY148" s="6">
        <f>COUNTIFS(X:X,"B",C:C,6)/COUNTIF(C:C,6)</f>
        <v>0.5</v>
      </c>
      <c r="AZ148"/>
      <c r="BA148" s="45" t="s">
        <v>233</v>
      </c>
      <c r="BB148" s="45" t="s">
        <v>353</v>
      </c>
      <c r="BC148" s="45" t="s">
        <v>344</v>
      </c>
      <c r="BD148" s="45" t="s">
        <v>353</v>
      </c>
      <c r="BE148" s="45" t="s">
        <v>343</v>
      </c>
      <c r="BF148" s="45" t="s">
        <v>349</v>
      </c>
      <c r="BG148" s="45" t="s">
        <v>343</v>
      </c>
      <c r="BI148" s="53"/>
      <c r="BJ148" s="24">
        <v>1</v>
      </c>
      <c r="BK148" t="s">
        <v>3</v>
      </c>
      <c r="BL148" t="s">
        <v>5</v>
      </c>
      <c r="BM148" t="s">
        <v>2</v>
      </c>
      <c r="BN148" t="s">
        <v>5</v>
      </c>
      <c r="BO148" t="s">
        <v>5</v>
      </c>
      <c r="BP148" t="s">
        <v>5</v>
      </c>
      <c r="BQ148" t="s">
        <v>5</v>
      </c>
      <c r="BR148" t="s">
        <v>2</v>
      </c>
      <c r="BS148" t="s">
        <v>3</v>
      </c>
      <c r="BT148" t="s">
        <v>3</v>
      </c>
      <c r="BU148" t="s">
        <v>2</v>
      </c>
      <c r="BV148" t="s">
        <v>4</v>
      </c>
      <c r="BW148" t="s">
        <v>4</v>
      </c>
      <c r="BX148" t="s">
        <v>3</v>
      </c>
      <c r="BY148" t="s">
        <v>4</v>
      </c>
      <c r="BZ148" t="s">
        <v>2</v>
      </c>
      <c r="CA148" t="s">
        <v>2</v>
      </c>
      <c r="CB148" t="s">
        <v>2</v>
      </c>
      <c r="CC148" t="s">
        <v>5</v>
      </c>
      <c r="CD148" t="s">
        <v>4</v>
      </c>
      <c r="CE148" t="s">
        <v>4</v>
      </c>
      <c r="CF148" t="s">
        <v>2</v>
      </c>
      <c r="CG148" t="s">
        <v>3</v>
      </c>
      <c r="CH148" t="s">
        <v>4</v>
      </c>
      <c r="CI148" t="s">
        <v>4</v>
      </c>
      <c r="CJ148" t="s">
        <v>4</v>
      </c>
      <c r="CK148" t="s">
        <v>4</v>
      </c>
      <c r="CL148" t="s">
        <v>4</v>
      </c>
      <c r="CM148" t="s">
        <v>4</v>
      </c>
      <c r="CN148" t="s">
        <v>3</v>
      </c>
      <c r="CO148" t="s">
        <v>4</v>
      </c>
      <c r="CP148" t="s">
        <v>3</v>
      </c>
      <c r="CQ148" t="s">
        <v>4</v>
      </c>
      <c r="CR148" t="s">
        <v>4</v>
      </c>
      <c r="CS148" t="s">
        <v>4</v>
      </c>
      <c r="CT148" t="s">
        <v>3</v>
      </c>
    </row>
    <row r="149" spans="45:98" x14ac:dyDescent="0.3">
      <c r="AS149" s="6" t="s">
        <v>234</v>
      </c>
      <c r="AT149" s="6">
        <f>COUNTIFS(X:X,"C",C:C,1)/COUNTIF(C:C,1)</f>
        <v>0</v>
      </c>
      <c r="AU149" s="6">
        <f>COUNTIFS(X:X,"C",C:C,2)/COUNTIF(C:C,2)</f>
        <v>0</v>
      </c>
      <c r="AV149" s="6">
        <f>COUNTIFS(X:X,"C",C:C,3)/COUNTIF(C:C,3)</f>
        <v>0.2</v>
      </c>
      <c r="AW149" s="6">
        <f>COUNTIFS(X:X,"C",C:C,4)/COUNTIF(C:C,4)</f>
        <v>0.1</v>
      </c>
      <c r="AX149" s="6">
        <f>COUNTIFS(X:X,"C",C:C,5)/COUNTIF(C:C,5)</f>
        <v>0</v>
      </c>
      <c r="AY149" s="6">
        <f>COUNTIFS(X:X,"C",C:C,6)/COUNTIF(C:C,6)</f>
        <v>0.4</v>
      </c>
      <c r="AZ149"/>
      <c r="BA149" s="45" t="s">
        <v>234</v>
      </c>
      <c r="BB149" s="45" t="s">
        <v>350</v>
      </c>
      <c r="BC149" s="45" t="s">
        <v>350</v>
      </c>
      <c r="BD149" s="45" t="s">
        <v>348</v>
      </c>
      <c r="BE149" s="45" t="s">
        <v>348</v>
      </c>
      <c r="BF149" s="45" t="s">
        <v>350</v>
      </c>
      <c r="BG149" s="45" t="s">
        <v>341</v>
      </c>
      <c r="BI149" t="s">
        <v>398</v>
      </c>
    </row>
    <row r="150" spans="45:98" x14ac:dyDescent="0.3">
      <c r="AS150" s="6" t="s">
        <v>235</v>
      </c>
      <c r="AT150" s="6">
        <f>COUNTIFS(X:X,"D",C:C,1)/COUNTIF(C:C,1)</f>
        <v>0</v>
      </c>
      <c r="AU150" s="6">
        <f>COUNTIFS(X:X,"D",C:C,2)/COUNTIF(C:C,2)</f>
        <v>0</v>
      </c>
      <c r="AV150" s="6">
        <f>COUNTIFS(X:X,"D",C:C,3)/COUNTIF(C:C,3)</f>
        <v>0.1</v>
      </c>
      <c r="AW150" s="6">
        <f>COUNTIFS(X:X,"D",C:C,4)/COUNTIF(C:C,4)</f>
        <v>0</v>
      </c>
      <c r="AX150" s="6">
        <f>COUNTIFS(X:X,"D",C:C,5)/COUNTIF(C:C,5)</f>
        <v>0</v>
      </c>
      <c r="AY150" s="6">
        <f>COUNTIFS(X:X,"D",C:C,6)/COUNTIF(C:C,6)</f>
        <v>0</v>
      </c>
      <c r="AZ150"/>
      <c r="BA150" s="45" t="s">
        <v>235</v>
      </c>
      <c r="BB150" s="45" t="s">
        <v>350</v>
      </c>
      <c r="BC150" s="45" t="s">
        <v>350</v>
      </c>
      <c r="BD150" s="45" t="s">
        <v>348</v>
      </c>
      <c r="BE150" s="45" t="s">
        <v>350</v>
      </c>
      <c r="BF150" s="45" t="s">
        <v>350</v>
      </c>
      <c r="BG150" s="45" t="s">
        <v>350</v>
      </c>
      <c r="BI150" s="3" t="s">
        <v>355</v>
      </c>
      <c r="BJ150">
        <f>AV18*AT28*AT36*AT41*AT48*AT54*AT60*AT66*AT71*AT76*AT82*AT89*AT93*AT99*AT106*AT111*AT119*AT125*AT131*AT138*AT141*AT147*AT155*AT160*AT163*AT167*AT171*AT175*AT179*AT183*AT188*AT191*AT196*AT199*AT203*AT207*AT212</f>
        <v>2.458062028800001E-10</v>
      </c>
    </row>
    <row r="151" spans="45:98" x14ac:dyDescent="0.3">
      <c r="AZ151"/>
      <c r="BA151" s="43"/>
      <c r="BB151" s="43"/>
      <c r="BC151" s="43"/>
      <c r="BD151" s="43"/>
      <c r="BE151" s="43"/>
      <c r="BF151" s="43"/>
      <c r="BG151" s="43"/>
      <c r="BI151" t="s">
        <v>399</v>
      </c>
    </row>
    <row r="152" spans="45:98" x14ac:dyDescent="0.3">
      <c r="AS152" s="7" t="s">
        <v>943</v>
      </c>
      <c r="AT152" s="7">
        <v>1</v>
      </c>
      <c r="AU152" s="7">
        <v>2</v>
      </c>
      <c r="AV152" s="7">
        <v>3</v>
      </c>
      <c r="AW152" s="7">
        <v>4</v>
      </c>
      <c r="AX152" s="7">
        <v>5</v>
      </c>
      <c r="AY152" s="7">
        <v>6</v>
      </c>
      <c r="AZ152"/>
      <c r="BA152" s="44" t="s">
        <v>285</v>
      </c>
      <c r="BB152" s="44">
        <v>1</v>
      </c>
      <c r="BC152" s="44">
        <v>2</v>
      </c>
      <c r="BD152" s="44">
        <v>3</v>
      </c>
      <c r="BE152" s="44">
        <v>4</v>
      </c>
      <c r="BF152" s="44">
        <v>5</v>
      </c>
      <c r="BG152" s="44">
        <v>6</v>
      </c>
      <c r="BI152" s="3" t="s">
        <v>355</v>
      </c>
      <c r="BJ152">
        <f>AV19*AU28*AU36*AU41*AU48*AU54*AU60*AU66*AU71*AU76*AU82*AU89*AU93*AU99*AU106*AU111*AU119*AU125*AU131*AU138*AU141*AU147*AU155*AU160*AU163*AU167*AU171*AU175*AU179*AU183*AU188*AU191*AU196*AU199*AU203*AU207*AU212</f>
        <v>0</v>
      </c>
    </row>
    <row r="153" spans="45:98" x14ac:dyDescent="0.3">
      <c r="AS153" s="6" t="s">
        <v>944</v>
      </c>
      <c r="AT153" s="6">
        <f>COUNTIFS(Y:Y,"A",C:C,1)/COUNTIF(C:C,1)</f>
        <v>0.3</v>
      </c>
      <c r="AU153" s="6">
        <f>COUNTIFS(Y:Y,"A",C:C,2)/COUNTIF(C:C,2)</f>
        <v>0.6</v>
      </c>
      <c r="AV153" s="6">
        <f>COUNTIFS(Y:Y,"A",C:C,3)/COUNTIF(C:C,3)</f>
        <v>0.1</v>
      </c>
      <c r="AW153" s="6">
        <f>COUNTIFS(Y:Y,"A",C:C,4)/COUNTIF(C:C,4)</f>
        <v>0.2</v>
      </c>
      <c r="AX153" s="6">
        <f>COUNTIFS(Y:Y,"A",C:C,5)/COUNTIF(C:C,5)</f>
        <v>0.3</v>
      </c>
      <c r="AY153" s="6">
        <f>COUNTIFS(Y:Y,"A",C:C,6)/COUNTIF(C:C,6)</f>
        <v>0.3</v>
      </c>
      <c r="AZ153"/>
      <c r="BA153" s="45" t="s">
        <v>236</v>
      </c>
      <c r="BB153" s="45" t="s">
        <v>341</v>
      </c>
      <c r="BC153" s="45" t="s">
        <v>343</v>
      </c>
      <c r="BD153" s="45" t="s">
        <v>346</v>
      </c>
      <c r="BE153" s="45" t="s">
        <v>346</v>
      </c>
      <c r="BF153" s="45" t="s">
        <v>344</v>
      </c>
      <c r="BG153" s="45" t="s">
        <v>344</v>
      </c>
      <c r="BI153" t="s">
        <v>400</v>
      </c>
    </row>
    <row r="154" spans="45:98" x14ac:dyDescent="0.3">
      <c r="AS154" s="6" t="s">
        <v>945</v>
      </c>
      <c r="AT154" s="6">
        <f>COUNTIFS(Y:Y,"B",C:C,1)/COUNTIF(C:C,1)</f>
        <v>0.1</v>
      </c>
      <c r="AU154" s="6">
        <f>COUNTIFS(Y:Y,"B",C:C,2)/COUNTIF(C:C,2)</f>
        <v>0</v>
      </c>
      <c r="AV154" s="6">
        <f>COUNTIFS(Y:Y,"B",C:C,3)/COUNTIF(C:C,3)</f>
        <v>0.3</v>
      </c>
      <c r="AW154" s="6">
        <f>COUNTIFS(Y:Y,"B",C:C,4)/COUNTIF(C:C,4)</f>
        <v>0</v>
      </c>
      <c r="AX154" s="6">
        <f>COUNTIFS(Y:Y,"B",C:C,5)/COUNTIF(C:C,5)</f>
        <v>0.1</v>
      </c>
      <c r="AY154" s="6">
        <f>COUNTIFS(Y:Y,"B",C:C,6)/COUNTIF(C:C,6)</f>
        <v>0</v>
      </c>
      <c r="AZ154"/>
      <c r="BA154" s="45" t="s">
        <v>237</v>
      </c>
      <c r="BB154" s="45" t="s">
        <v>350</v>
      </c>
      <c r="BC154" s="45" t="s">
        <v>350</v>
      </c>
      <c r="BD154" s="45" t="s">
        <v>346</v>
      </c>
      <c r="BE154" s="45" t="s">
        <v>350</v>
      </c>
      <c r="BF154" s="45" t="s">
        <v>350</v>
      </c>
      <c r="BG154" s="45" t="s">
        <v>350</v>
      </c>
      <c r="BI154" s="3" t="s">
        <v>355</v>
      </c>
      <c r="BJ154">
        <f>AV20*AV28*AV36*AV41*AV48*AV54*AV60*AV66*AV71*AV76*AV82*AV89*AV93*AV99*AV106*AV111*AV119*AV125*AV131*AV138*AV141*AV147*AV155*AV160*AV163*AV167*AV171*AV175*AV179*AV183*AV188*AV191*AV196*AV199*AV203*AV207*AV212</f>
        <v>0</v>
      </c>
    </row>
    <row r="155" spans="45:98" x14ac:dyDescent="0.3">
      <c r="AS155" s="6" t="s">
        <v>946</v>
      </c>
      <c r="AT155" s="6">
        <f>COUNTIFS(Y:Y,"C",C:C,1)/COUNTIF(C:C,1)</f>
        <v>0.5</v>
      </c>
      <c r="AU155" s="6">
        <f>COUNTIFS(Y:Y,"C",C:C,2)/COUNTIF(C:C,2)</f>
        <v>0.4</v>
      </c>
      <c r="AV155" s="6">
        <f>COUNTIFS(Y:Y,"C",C:C,3)/COUNTIF(C:C,3)</f>
        <v>0.5</v>
      </c>
      <c r="AW155" s="6">
        <f>COUNTIFS(Y:Y,"C",C:C,4)/COUNTIF(C:C,4)</f>
        <v>0.8</v>
      </c>
      <c r="AX155" s="6">
        <f>COUNTIFS(Y:Y,"C",C:C,5)/COUNTIF(C:C,5)</f>
        <v>0.6</v>
      </c>
      <c r="AY155" s="6">
        <f>COUNTIFS(Y:Y,"C",C:C,6)/COUNTIF(C:C,6)</f>
        <v>0.6</v>
      </c>
      <c r="AZ155"/>
      <c r="BA155" s="45" t="s">
        <v>238</v>
      </c>
      <c r="BB155" s="45" t="s">
        <v>343</v>
      </c>
      <c r="BC155" s="45" t="s">
        <v>343</v>
      </c>
      <c r="BD155" s="45" t="s">
        <v>343</v>
      </c>
      <c r="BE155" s="45" t="s">
        <v>347</v>
      </c>
      <c r="BF155" s="45" t="s">
        <v>345</v>
      </c>
      <c r="BG155" s="45" t="s">
        <v>353</v>
      </c>
      <c r="BI155" t="s">
        <v>401</v>
      </c>
    </row>
    <row r="156" spans="45:98" x14ac:dyDescent="0.3">
      <c r="AS156" s="6" t="s">
        <v>947</v>
      </c>
      <c r="AT156" s="6">
        <f>COUNTIFS(Y:Y,"D",C:C,1)/COUNTIF(C:C,1)</f>
        <v>0.1</v>
      </c>
      <c r="AU156" s="6">
        <f>COUNTIFS(Y:Y,"D",C:C,2)/COUNTIF(C:C,2)</f>
        <v>0</v>
      </c>
      <c r="AV156" s="6">
        <f>COUNTIFS(Y:Y,"D",C:C,3)/COUNTIF(C:C,3)</f>
        <v>0.1</v>
      </c>
      <c r="AW156" s="6">
        <f>COUNTIFS(Y:Y,"D",C:C,4)/COUNTIF(C:C,4)</f>
        <v>0</v>
      </c>
      <c r="AX156" s="6">
        <f>COUNTIFS(Y:Y,"D",C:C,5)/COUNTIF(C:C,5)</f>
        <v>0</v>
      </c>
      <c r="AY156" s="6">
        <f>COUNTIFS(Y:Y,"D",C:C,6)/COUNTIF(C:C,6)</f>
        <v>0.1</v>
      </c>
      <c r="AZ156"/>
      <c r="BA156" s="45" t="s">
        <v>239</v>
      </c>
      <c r="BB156" s="45" t="s">
        <v>348</v>
      </c>
      <c r="BC156" s="45" t="s">
        <v>350</v>
      </c>
      <c r="BD156" s="45" t="s">
        <v>348</v>
      </c>
      <c r="BE156" s="45" t="s">
        <v>350</v>
      </c>
      <c r="BF156" s="45" t="s">
        <v>350</v>
      </c>
      <c r="BG156" s="45" t="s">
        <v>348</v>
      </c>
      <c r="BI156" s="3" t="s">
        <v>355</v>
      </c>
      <c r="BJ156">
        <f>AV21*AW28*AW36*AW41*AW48*AW54*AW60*AW66*AW71*AW76*AW82*AW89*AW93*AW99*AW106*AW111*AW119*AW125*AW131*AW138*AW141*AW147*AW155*AW160*AW163*AW167*AW171*AW175*AW179*AW183*AW188*AW191*AW196*AW199*AW203*AW207*AW212</f>
        <v>0</v>
      </c>
    </row>
    <row r="157" spans="45:98" x14ac:dyDescent="0.3">
      <c r="AZ157"/>
      <c r="BA157" s="43"/>
      <c r="BB157" s="43"/>
      <c r="BC157" s="43"/>
      <c r="BD157" s="43"/>
      <c r="BE157" s="43"/>
      <c r="BF157" s="43"/>
      <c r="BG157" s="43"/>
      <c r="BI157" t="s">
        <v>402</v>
      </c>
    </row>
    <row r="158" spans="45:98" x14ac:dyDescent="0.3">
      <c r="AS158" s="7" t="s">
        <v>948</v>
      </c>
      <c r="AT158" s="7">
        <v>1</v>
      </c>
      <c r="AU158" s="7">
        <v>2</v>
      </c>
      <c r="AV158" s="7">
        <v>3</v>
      </c>
      <c r="AW158" s="7">
        <v>4</v>
      </c>
      <c r="AX158" s="7">
        <v>5</v>
      </c>
      <c r="AY158" s="7">
        <v>6</v>
      </c>
      <c r="AZ158"/>
      <c r="BA158" s="44" t="s">
        <v>286</v>
      </c>
      <c r="BB158" s="44">
        <v>1</v>
      </c>
      <c r="BC158" s="44">
        <v>2</v>
      </c>
      <c r="BD158" s="44">
        <v>3</v>
      </c>
      <c r="BE158" s="44">
        <v>4</v>
      </c>
      <c r="BF158" s="44">
        <v>5</v>
      </c>
      <c r="BG158" s="44">
        <v>6</v>
      </c>
      <c r="BI158" s="3" t="s">
        <v>355</v>
      </c>
      <c r="BJ158">
        <f>AV22*AX28*AX36*AX41*AX48*AX54*AX60*AX66*AX71*AX76*AX82*AX89*AX93*AX99*AX106*AX111*AX119*AX125*AX131*AX138*AX141*AX147*AX155*AX160*AX163*AX167*AX171*AX175*AX179*AX183*AX188*AX191*AX196*AX199*AX203*AX207*AX212</f>
        <v>0</v>
      </c>
    </row>
    <row r="159" spans="45:98" x14ac:dyDescent="0.3">
      <c r="AS159" s="6" t="s">
        <v>949</v>
      </c>
      <c r="AT159" s="6">
        <f>COUNTIFS(Z:Z,"A",C:C,1)/COUNTIF(C:C,1)</f>
        <v>0.1</v>
      </c>
      <c r="AU159" s="6">
        <f>COUNTIFS(Z:Z,"A",C:C,2)/COUNTIF(C:C,2)</f>
        <v>0</v>
      </c>
      <c r="AV159" s="6">
        <f>COUNTIFS(Z:Z,"A",C:C,3)/COUNTIF(C:C,3)</f>
        <v>0.1</v>
      </c>
      <c r="AW159" s="6">
        <f>COUNTIFS(Z:Z,"A",C:C,4)/COUNTIF(C:C,4)</f>
        <v>0</v>
      </c>
      <c r="AX159" s="6">
        <f>COUNTIFS(Z:Z,"A",C:C,5)/COUNTIF(C:C,5)</f>
        <v>0</v>
      </c>
      <c r="AY159" s="6">
        <f>COUNTIFS(Z:Z,"A",C:C,6)/COUNTIF(C:C,6)</f>
        <v>0</v>
      </c>
      <c r="AZ159"/>
      <c r="BA159" s="45" t="s">
        <v>240</v>
      </c>
      <c r="BB159" s="45" t="s">
        <v>348</v>
      </c>
      <c r="BC159" s="45" t="s">
        <v>350</v>
      </c>
      <c r="BD159" s="45" t="s">
        <v>348</v>
      </c>
      <c r="BE159" s="45" t="s">
        <v>350</v>
      </c>
      <c r="BF159" s="45" t="s">
        <v>350</v>
      </c>
      <c r="BG159" s="45" t="s">
        <v>350</v>
      </c>
      <c r="BI159" t="s">
        <v>403</v>
      </c>
    </row>
    <row r="160" spans="45:98" x14ac:dyDescent="0.3">
      <c r="AS160" s="6" t="s">
        <v>950</v>
      </c>
      <c r="AT160" s="6">
        <f>COUNTIFS(Z:Z,"B",C:C,1)/COUNTIF(C:C,1)</f>
        <v>0.9</v>
      </c>
      <c r="AU160" s="6">
        <f>COUNTIFS(Z:Z,"B",C:C,2)/COUNTIF(C:C,2)</f>
        <v>1</v>
      </c>
      <c r="AV160" s="6">
        <f>COUNTIFS(Z:Z,"B",C:C,3)/COUNTIF(C:C,3)</f>
        <v>0.9</v>
      </c>
      <c r="AW160" s="6">
        <f>COUNTIFS(Z:Z,"B",C:C,4)/COUNTIF(C:C,4)</f>
        <v>1</v>
      </c>
      <c r="AX160" s="6">
        <f>COUNTIFS(Z:Z,"B",C:C,5)/COUNTIF(C:C,5)</f>
        <v>1</v>
      </c>
      <c r="AY160" s="6">
        <f>COUNTIFS(Z:Z,"B",C:C,6)/COUNTIF(C:C,6)</f>
        <v>1</v>
      </c>
      <c r="AZ160"/>
      <c r="BA160" s="45" t="s">
        <v>241</v>
      </c>
      <c r="BB160" s="45" t="s">
        <v>349</v>
      </c>
      <c r="BC160" s="45" t="s">
        <v>354</v>
      </c>
      <c r="BD160" s="45" t="s">
        <v>349</v>
      </c>
      <c r="BE160" s="45" t="s">
        <v>354</v>
      </c>
      <c r="BF160" s="45" t="s">
        <v>354</v>
      </c>
      <c r="BG160" s="45" t="s">
        <v>354</v>
      </c>
      <c r="BI160" s="3" t="s">
        <v>355</v>
      </c>
      <c r="BJ160">
        <f>AV23*AY28*AY36*AY41*AY48*AY54*AY60*AY66*AY71*AY76*AY82*AY89*AY93*AY99*AY106*AY111*AY119*AY125*AY131*AY138*AY141*AY147*AY155*AY160*AY163*AY167*AY171*AY175*AY179*AY183*AY188*AY191*AY196*AY199*AY203*AY207*AY212</f>
        <v>0</v>
      </c>
    </row>
    <row r="161" spans="45:98" x14ac:dyDescent="0.3">
      <c r="AZ161"/>
      <c r="BA161" s="43"/>
      <c r="BB161" s="43"/>
      <c r="BC161" s="43"/>
      <c r="BD161" s="43"/>
      <c r="BE161" s="43"/>
      <c r="BF161" s="43"/>
      <c r="BG161" s="43"/>
      <c r="BI161" s="24" t="s">
        <v>380</v>
      </c>
      <c r="BJ161" t="s">
        <v>372</v>
      </c>
      <c r="BK161" s="25" t="s">
        <v>379</v>
      </c>
    </row>
    <row r="162" spans="45:98" x14ac:dyDescent="0.3">
      <c r="AS162" s="7" t="s">
        <v>951</v>
      </c>
      <c r="AT162" s="7">
        <v>1</v>
      </c>
      <c r="AU162" s="7">
        <v>2</v>
      </c>
      <c r="AV162" s="7">
        <v>3</v>
      </c>
      <c r="AW162" s="7">
        <v>4</v>
      </c>
      <c r="AX162" s="7">
        <v>5</v>
      </c>
      <c r="AY162" s="7">
        <v>6</v>
      </c>
      <c r="AZ162"/>
      <c r="BA162" s="44" t="s">
        <v>287</v>
      </c>
      <c r="BB162" s="44">
        <v>1</v>
      </c>
      <c r="BC162" s="44">
        <v>2</v>
      </c>
      <c r="BD162" s="44">
        <v>3</v>
      </c>
      <c r="BE162" s="44">
        <v>4</v>
      </c>
      <c r="BF162" s="44">
        <v>5</v>
      </c>
      <c r="BG162" s="44">
        <v>6</v>
      </c>
    </row>
    <row r="163" spans="45:98" x14ac:dyDescent="0.3">
      <c r="AS163" s="6" t="s">
        <v>952</v>
      </c>
      <c r="AT163" s="6">
        <f>COUNTIFS(AA:AA,"A",C:C,1)/COUNTIF(C:C,1)</f>
        <v>1</v>
      </c>
      <c r="AU163" s="6">
        <f>COUNTIFS(AA:AA,"A",C:C,2)/COUNTIF(C:C,2)</f>
        <v>1</v>
      </c>
      <c r="AV163" s="6">
        <f>COUNTIFS(AA:AA,"A",C:C,3)/COUNTIF(C:C,3)</f>
        <v>0.9</v>
      </c>
      <c r="AW163" s="6">
        <f>COUNTIFS(AA:AA,"A",C:C,4)/COUNTIF(C:C,4)</f>
        <v>1</v>
      </c>
      <c r="AX163" s="6">
        <f>COUNTIFS(AA:AA,"A",C:C,5)/COUNTIF(C:C,5)</f>
        <v>1</v>
      </c>
      <c r="AY163" s="6">
        <f>COUNTIFS(AA:AA,"A",C:C,6)/COUNTIF(C:C,6)</f>
        <v>0.8</v>
      </c>
      <c r="AZ163"/>
      <c r="BA163" s="45" t="s">
        <v>252</v>
      </c>
      <c r="BB163" s="45" t="s">
        <v>354</v>
      </c>
      <c r="BC163" s="45" t="s">
        <v>354</v>
      </c>
      <c r="BD163" s="45" t="s">
        <v>349</v>
      </c>
      <c r="BE163" s="45" t="s">
        <v>354</v>
      </c>
      <c r="BF163" s="45" t="s">
        <v>354</v>
      </c>
      <c r="BG163" s="45" t="s">
        <v>347</v>
      </c>
      <c r="BI163" s="53" t="s">
        <v>404</v>
      </c>
      <c r="BJ163" s="24" t="s">
        <v>71</v>
      </c>
      <c r="BK163" s="1" t="s">
        <v>50</v>
      </c>
      <c r="BL163" s="1" t="s">
        <v>51</v>
      </c>
      <c r="BM163" s="1" t="s">
        <v>52</v>
      </c>
      <c r="BN163" s="1" t="s">
        <v>53</v>
      </c>
      <c r="BO163" s="1" t="s">
        <v>54</v>
      </c>
      <c r="BP163" s="1" t="s">
        <v>55</v>
      </c>
      <c r="BQ163" s="1" t="s">
        <v>56</v>
      </c>
      <c r="BR163" s="1" t="s">
        <v>57</v>
      </c>
      <c r="BS163" s="1" t="s">
        <v>58</v>
      </c>
      <c r="BT163" s="1" t="s">
        <v>59</v>
      </c>
      <c r="BU163" s="1" t="s">
        <v>60</v>
      </c>
      <c r="BV163" s="1" t="s">
        <v>61</v>
      </c>
      <c r="BW163" s="1" t="s">
        <v>62</v>
      </c>
      <c r="BX163" s="1" t="s">
        <v>63</v>
      </c>
      <c r="BY163" s="1" t="s">
        <v>64</v>
      </c>
      <c r="BZ163" s="1" t="s">
        <v>65</v>
      </c>
      <c r="CA163" s="1" t="s">
        <v>66</v>
      </c>
      <c r="CB163" s="1" t="s">
        <v>67</v>
      </c>
      <c r="CC163" s="1" t="s">
        <v>68</v>
      </c>
      <c r="CD163" s="1" t="s">
        <v>69</v>
      </c>
      <c r="CE163" s="1" t="s">
        <v>70</v>
      </c>
      <c r="CF163" s="1" t="s">
        <v>929</v>
      </c>
      <c r="CG163" s="1" t="s">
        <v>930</v>
      </c>
      <c r="CH163" s="1" t="s">
        <v>931</v>
      </c>
      <c r="CI163" s="1" t="s">
        <v>932</v>
      </c>
      <c r="CJ163" s="1" t="s">
        <v>933</v>
      </c>
      <c r="CK163" s="1" t="s">
        <v>934</v>
      </c>
      <c r="CL163" s="1" t="s">
        <v>935</v>
      </c>
      <c r="CM163" s="1" t="s">
        <v>936</v>
      </c>
      <c r="CN163" s="1" t="s">
        <v>937</v>
      </c>
      <c r="CO163" s="1" t="s">
        <v>938</v>
      </c>
      <c r="CP163" s="1" t="s">
        <v>939</v>
      </c>
      <c r="CQ163" s="1" t="s">
        <v>940</v>
      </c>
      <c r="CR163" s="1" t="s">
        <v>941</v>
      </c>
      <c r="CS163" s="1" t="s">
        <v>942</v>
      </c>
      <c r="CT163" s="1" t="s">
        <v>1008</v>
      </c>
    </row>
    <row r="164" spans="45:98" x14ac:dyDescent="0.3">
      <c r="AS164" s="6" t="s">
        <v>953</v>
      </c>
      <c r="AT164" s="6">
        <f>COUNTIFS(AA:AA,"B",C:C,1)/COUNTIF(C:C,1)</f>
        <v>0</v>
      </c>
      <c r="AU164" s="6">
        <f>COUNTIFS(AA:AA,"B",C:C,2)/COUNTIF(C:C,2)</f>
        <v>0</v>
      </c>
      <c r="AV164" s="6">
        <f>COUNTIFS(AA:AA,"B",C:C,3)/COUNTIF(C:C,3)</f>
        <v>0.1</v>
      </c>
      <c r="AW164" s="6">
        <f>COUNTIFS(AA:AA,"B",C:C,4)/COUNTIF(C:C,4)</f>
        <v>0</v>
      </c>
      <c r="AX164" s="6">
        <f>COUNTIFS(AA:AA,"B",C:C,5)/COUNTIF(C:C,5)</f>
        <v>0</v>
      </c>
      <c r="AY164" s="6">
        <f>COUNTIFS(AA:AA,"B",C:C,6)/COUNTIF(C:C,6)</f>
        <v>0.2</v>
      </c>
      <c r="AZ164"/>
      <c r="BA164" s="45" t="s">
        <v>253</v>
      </c>
      <c r="BB164" s="45" t="s">
        <v>350</v>
      </c>
      <c r="BC164" s="45" t="s">
        <v>350</v>
      </c>
      <c r="BD164" s="45" t="s">
        <v>348</v>
      </c>
      <c r="BE164" s="45" t="s">
        <v>350</v>
      </c>
      <c r="BF164" s="45" t="s">
        <v>350</v>
      </c>
      <c r="BG164" s="45" t="s">
        <v>346</v>
      </c>
      <c r="BI164" s="53"/>
      <c r="BJ164" s="24">
        <v>2</v>
      </c>
      <c r="BK164" t="s">
        <v>4</v>
      </c>
      <c r="BL164" t="s">
        <v>5</v>
      </c>
      <c r="BM164" t="s">
        <v>3</v>
      </c>
      <c r="BN164" t="s">
        <v>3</v>
      </c>
      <c r="BO164" t="s">
        <v>5</v>
      </c>
      <c r="BP164" t="s">
        <v>5</v>
      </c>
      <c r="BQ164" t="s">
        <v>5</v>
      </c>
      <c r="BR164" t="s">
        <v>2</v>
      </c>
      <c r="BS164" t="s">
        <v>2</v>
      </c>
      <c r="BT164" t="s">
        <v>3</v>
      </c>
      <c r="BU164" t="s">
        <v>4</v>
      </c>
      <c r="BV164" t="s">
        <v>2</v>
      </c>
      <c r="BW164" t="s">
        <v>5</v>
      </c>
      <c r="BX164" t="s">
        <v>3</v>
      </c>
      <c r="BY164" t="s">
        <v>4</v>
      </c>
      <c r="BZ164" t="s">
        <v>5</v>
      </c>
      <c r="CA164" t="s">
        <v>5</v>
      </c>
      <c r="CB164" t="s">
        <v>5</v>
      </c>
      <c r="CC164" t="s">
        <v>4</v>
      </c>
      <c r="CD164" t="s">
        <v>4</v>
      </c>
      <c r="CE164" t="s">
        <v>4</v>
      </c>
      <c r="CF164" t="s">
        <v>4</v>
      </c>
      <c r="CG164" t="s">
        <v>3</v>
      </c>
      <c r="CH164" t="s">
        <v>4</v>
      </c>
      <c r="CI164" t="s">
        <v>4</v>
      </c>
      <c r="CJ164" t="s">
        <v>4</v>
      </c>
      <c r="CK164" t="s">
        <v>4</v>
      </c>
      <c r="CL164" t="s">
        <v>4</v>
      </c>
      <c r="CM164" t="s">
        <v>4</v>
      </c>
      <c r="CN164" t="s">
        <v>3</v>
      </c>
      <c r="CO164" t="s">
        <v>4</v>
      </c>
      <c r="CP164" t="s">
        <v>4</v>
      </c>
      <c r="CQ164" t="s">
        <v>4</v>
      </c>
      <c r="CR164" t="s">
        <v>4</v>
      </c>
      <c r="CS164" t="s">
        <v>3</v>
      </c>
      <c r="CT164" t="s">
        <v>3</v>
      </c>
    </row>
    <row r="165" spans="45:98" x14ac:dyDescent="0.3">
      <c r="AZ165"/>
      <c r="BA165" s="43"/>
      <c r="BB165" s="43"/>
      <c r="BC165" s="43"/>
      <c r="BD165" s="43"/>
      <c r="BE165" s="43"/>
      <c r="BF165" s="43"/>
      <c r="BG165" s="43"/>
      <c r="BI165" t="s">
        <v>711</v>
      </c>
    </row>
    <row r="166" spans="45:98" x14ac:dyDescent="0.3">
      <c r="AS166" s="7" t="s">
        <v>954</v>
      </c>
      <c r="AT166" s="7">
        <v>1</v>
      </c>
      <c r="AU166" s="7">
        <v>2</v>
      </c>
      <c r="AV166" s="7">
        <v>3</v>
      </c>
      <c r="AW166" s="7">
        <v>4</v>
      </c>
      <c r="AX166" s="7">
        <v>5</v>
      </c>
      <c r="AY166" s="7">
        <v>6</v>
      </c>
      <c r="AZ166"/>
      <c r="BA166" s="44" t="s">
        <v>288</v>
      </c>
      <c r="BB166" s="44">
        <v>1</v>
      </c>
      <c r="BC166" s="44">
        <v>2</v>
      </c>
      <c r="BD166" s="44">
        <v>3</v>
      </c>
      <c r="BE166" s="44">
        <v>4</v>
      </c>
      <c r="BF166" s="44">
        <v>5</v>
      </c>
      <c r="BG166" s="44">
        <v>6</v>
      </c>
      <c r="BI166" s="3" t="s">
        <v>355</v>
      </c>
      <c r="BJ166">
        <f>AV18*AT27*AT36*AT40*AT46*AT54*AT60*AT66*AT71*AT77*AT82*AT87*AT95*AT102*AT106*AT111*AT120*AT126*AT132*AT135*AT141*AT147*AT153*AT160*AT163*AT167*AT171*AT175*AT179*AT183*AT188*AT191*AT195*AT199*AT203*AT208*AT212</f>
        <v>0</v>
      </c>
    </row>
    <row r="167" spans="45:98" x14ac:dyDescent="0.3">
      <c r="AS167" s="6" t="s">
        <v>952</v>
      </c>
      <c r="AT167" s="6">
        <f>COUNTIFS(AB:AB,"A",C:C,1)/COUNTIF(C:C,1)</f>
        <v>1</v>
      </c>
      <c r="AU167" s="6">
        <f>COUNTIFS(AB:AB,"A",C:C,2)/COUNTIF(C:C,2)</f>
        <v>1</v>
      </c>
      <c r="AV167" s="6">
        <f>COUNTIFS(AB:AB,"A",C:C,3)/COUNTIF(C:C,3)</f>
        <v>0.9</v>
      </c>
      <c r="AW167" s="6">
        <f>COUNTIFS(AB:AB,"A",C:C,4)/COUNTIF(C:C,4)</f>
        <v>1</v>
      </c>
      <c r="AX167" s="6">
        <f>COUNTIFS(AB:AB,"A",C:C,5)/COUNTIF(C:C,5)</f>
        <v>1</v>
      </c>
      <c r="AY167" s="6">
        <f>COUNTIFS(AB:AB,"A",C:C,6)/COUNTIF(C:C,6)</f>
        <v>0.9</v>
      </c>
      <c r="AZ167"/>
      <c r="BA167" s="45" t="s">
        <v>254</v>
      </c>
      <c r="BB167" s="45" t="s">
        <v>354</v>
      </c>
      <c r="BC167" s="45" t="s">
        <v>354</v>
      </c>
      <c r="BD167" s="45" t="s">
        <v>349</v>
      </c>
      <c r="BE167" s="45" t="s">
        <v>354</v>
      </c>
      <c r="BF167" s="45" t="s">
        <v>354</v>
      </c>
      <c r="BG167" s="45" t="s">
        <v>349</v>
      </c>
      <c r="BI167" t="s">
        <v>725</v>
      </c>
    </row>
    <row r="168" spans="45:98" x14ac:dyDescent="0.3">
      <c r="AS168" s="6" t="s">
        <v>955</v>
      </c>
      <c r="AT168" s="6">
        <f>COUNTIFS(AB:AB,"B",C:C,1)/COUNTIF(C:C,1)</f>
        <v>0</v>
      </c>
      <c r="AU168" s="6">
        <f>COUNTIFS(AB:AB,"B",C:C,2)/COUNTIF(C:C,2)</f>
        <v>0</v>
      </c>
      <c r="AV168" s="6">
        <f>COUNTIFS(AB:AB,"B",C:C,3)/COUNTIF(C:C,3)</f>
        <v>0.1</v>
      </c>
      <c r="AW168" s="6">
        <f>COUNTIFS(AB:AB,"B",C:C,4)/COUNTIF(C:C,4)</f>
        <v>0</v>
      </c>
      <c r="AX168" s="6">
        <f>COUNTIFS(AB:AB,"B",C:C,5)/COUNTIF(C:C,5)</f>
        <v>0</v>
      </c>
      <c r="AY168" s="6">
        <f>COUNTIFS(AB:AB,"B",C:C,6)/COUNTIF(C:C,6)</f>
        <v>0.1</v>
      </c>
      <c r="AZ168"/>
      <c r="BA168" s="45" t="s">
        <v>255</v>
      </c>
      <c r="BB168" s="45" t="s">
        <v>350</v>
      </c>
      <c r="BC168" s="45" t="s">
        <v>350</v>
      </c>
      <c r="BD168" s="45" t="s">
        <v>348</v>
      </c>
      <c r="BE168" s="45" t="s">
        <v>350</v>
      </c>
      <c r="BF168" s="45" t="s">
        <v>350</v>
      </c>
      <c r="BG168" s="45" t="s">
        <v>348</v>
      </c>
      <c r="BI168" s="3" t="s">
        <v>355</v>
      </c>
      <c r="BJ168">
        <f>AV19*AU27*AU36*AU40*AU46*AU54*AU60*AU66*AU71*AU77*AU82*AU87*AU95*AU102*AU106*AU111*AU120*AU126*AU132*AU135*AU141*AU147*AU153*AU160*AU163*AU167*AU171*AU175*AU179*AU183*AU188*AU191*AU195*AU199*AU203*AU208*AU212</f>
        <v>3.9504568320000011E-8</v>
      </c>
    </row>
    <row r="169" spans="45:98" x14ac:dyDescent="0.3">
      <c r="AZ169"/>
      <c r="BA169" s="43"/>
      <c r="BB169" s="43"/>
      <c r="BC169" s="43"/>
      <c r="BD169" s="43"/>
      <c r="BE169" s="43"/>
      <c r="BF169" s="43"/>
      <c r="BG169" s="43"/>
      <c r="BI169" t="s">
        <v>726</v>
      </c>
    </row>
    <row r="170" spans="45:98" x14ac:dyDescent="0.3">
      <c r="AS170" s="7" t="s">
        <v>956</v>
      </c>
      <c r="AT170" s="7">
        <v>1</v>
      </c>
      <c r="AU170" s="7">
        <v>2</v>
      </c>
      <c r="AV170" s="7">
        <v>3</v>
      </c>
      <c r="AW170" s="7">
        <v>4</v>
      </c>
      <c r="AX170" s="7">
        <v>5</v>
      </c>
      <c r="AY170" s="7">
        <v>6</v>
      </c>
      <c r="AZ170"/>
      <c r="BA170" s="44" t="s">
        <v>289</v>
      </c>
      <c r="BB170" s="44">
        <v>1</v>
      </c>
      <c r="BC170" s="44">
        <v>2</v>
      </c>
      <c r="BD170" s="44">
        <v>3</v>
      </c>
      <c r="BE170" s="44">
        <v>4</v>
      </c>
      <c r="BF170" s="44">
        <v>5</v>
      </c>
      <c r="BG170" s="44">
        <v>6</v>
      </c>
      <c r="BI170" s="3" t="s">
        <v>355</v>
      </c>
      <c r="BJ170">
        <f>AV20*AV27*AV36*AV40*AV46*AV54*AV60*AV66*AV71*AV77*AV82*AV87*AV95*AV102*AV106*AV111*AV120*AV126*AV132*AV135*AV141*AV147*AV153*AV160*AV163*AV167*AV171*AV175*AV179*AV183*AV188*AV191*AV195*AV199*AV203*AV208*AV212</f>
        <v>0</v>
      </c>
    </row>
    <row r="171" spans="45:98" x14ac:dyDescent="0.3">
      <c r="AS171" s="6" t="s">
        <v>957</v>
      </c>
      <c r="AT171" s="6">
        <f>COUNTIFS(AC:AC,"A",C:C,1)/COUNTIF(C:C,1)</f>
        <v>1</v>
      </c>
      <c r="AU171" s="6">
        <f>COUNTIFS(AC:AC,"A",C:C,2)/COUNTIF(C:C,2)</f>
        <v>1</v>
      </c>
      <c r="AV171" s="6">
        <f>COUNTIFS(AC:AC,"A",C:C,3)/COUNTIF(C:C,3)</f>
        <v>1</v>
      </c>
      <c r="AW171" s="6">
        <f>COUNTIFS(AC:AC,"A",C:C,4)/COUNTIF(C:C,4)</f>
        <v>1</v>
      </c>
      <c r="AX171" s="6">
        <f>COUNTIFS(AC:AC,"A",C:C,5)/COUNTIF(C:C,5)</f>
        <v>1</v>
      </c>
      <c r="AY171" s="6">
        <f>COUNTIFS(AC:AC,"A",C:C,6)/COUNTIF(C:C,6)</f>
        <v>0.9</v>
      </c>
      <c r="AZ171"/>
      <c r="BA171" s="45" t="s">
        <v>256</v>
      </c>
      <c r="BB171" s="45" t="s">
        <v>354</v>
      </c>
      <c r="BC171" s="45" t="s">
        <v>354</v>
      </c>
      <c r="BD171" s="45" t="s">
        <v>354</v>
      </c>
      <c r="BE171" s="45" t="s">
        <v>354</v>
      </c>
      <c r="BF171" s="45" t="s">
        <v>354</v>
      </c>
      <c r="BG171" s="45" t="s">
        <v>349</v>
      </c>
      <c r="BI171" t="s">
        <v>727</v>
      </c>
    </row>
    <row r="172" spans="45:98" x14ac:dyDescent="0.3">
      <c r="AS172" s="6" t="s">
        <v>958</v>
      </c>
      <c r="AT172" s="6">
        <f>COUNTIFS(AC:AC,"B",C:C,1)/COUNTIF(C:C,1)</f>
        <v>0</v>
      </c>
      <c r="AU172" s="6">
        <f>COUNTIFS(AC:AC,"B",C:C,2)/COUNTIF(C:C,2)</f>
        <v>0</v>
      </c>
      <c r="AV172" s="6">
        <f>COUNTIFS(AC:AC,"B",C:C,3)/COUNTIF(C:C,3)</f>
        <v>0</v>
      </c>
      <c r="AW172" s="6">
        <f>COUNTIFS(AC:AC,"B",C:C,4)/COUNTIF(C:C,4)</f>
        <v>0</v>
      </c>
      <c r="AX172" s="6">
        <f>COUNTIFS(AC:AC,"B",C:C,5)/COUNTIF(C:C,5)</f>
        <v>0</v>
      </c>
      <c r="AY172" s="6">
        <f>COUNTIFS(AC:AC,"B",C:C,6)/COUNTIF(C:C,6)</f>
        <v>0.1</v>
      </c>
      <c r="AZ172"/>
      <c r="BA172" s="45" t="s">
        <v>257</v>
      </c>
      <c r="BB172" s="45" t="s">
        <v>350</v>
      </c>
      <c r="BC172" s="45" t="s">
        <v>350</v>
      </c>
      <c r="BD172" s="45" t="s">
        <v>350</v>
      </c>
      <c r="BE172" s="45" t="s">
        <v>350</v>
      </c>
      <c r="BF172" s="45" t="s">
        <v>350</v>
      </c>
      <c r="BG172" s="45" t="s">
        <v>348</v>
      </c>
      <c r="BI172" s="3" t="s">
        <v>355</v>
      </c>
      <c r="BJ172">
        <f>AV21*AW27*AW36*AW40*AW46*AW54*AW60*AW66*AW71*AW77*AW82*AW87*AW95*AW102*AW106*AW111*AW120*AW126*AW132*AW135*AW141*AW147*AW153*AW160*AW163*AW167*AW171*AW175*AW179*AW183*AW188*AW191*AW195*AW199*AW203*AW208*AW212</f>
        <v>0</v>
      </c>
    </row>
    <row r="173" spans="45:98" x14ac:dyDescent="0.3">
      <c r="AZ173"/>
      <c r="BA173" s="43"/>
      <c r="BB173" s="43"/>
      <c r="BC173" s="43"/>
      <c r="BD173" s="43"/>
      <c r="BE173" s="43"/>
      <c r="BF173" s="43"/>
      <c r="BG173" s="43"/>
      <c r="BI173" t="s">
        <v>728</v>
      </c>
    </row>
    <row r="174" spans="45:98" x14ac:dyDescent="0.3">
      <c r="AS174" s="7" t="s">
        <v>960</v>
      </c>
      <c r="AT174" s="7">
        <v>1</v>
      </c>
      <c r="AU174" s="7">
        <v>2</v>
      </c>
      <c r="AV174" s="7">
        <v>3</v>
      </c>
      <c r="AW174" s="7">
        <v>4</v>
      </c>
      <c r="AX174" s="7">
        <v>5</v>
      </c>
      <c r="AY174" s="7">
        <v>6</v>
      </c>
      <c r="AZ174"/>
      <c r="BA174" s="44" t="s">
        <v>290</v>
      </c>
      <c r="BB174" s="44">
        <v>1</v>
      </c>
      <c r="BC174" s="44">
        <v>2</v>
      </c>
      <c r="BD174" s="44">
        <v>3</v>
      </c>
      <c r="BE174" s="44">
        <v>4</v>
      </c>
      <c r="BF174" s="44">
        <v>5</v>
      </c>
      <c r="BG174" s="44">
        <v>6</v>
      </c>
      <c r="BI174" s="3" t="s">
        <v>355</v>
      </c>
      <c r="BJ174">
        <f>AV22*AX27*AX36*AX40*AX46*AX54*AX60*AX66*AX71*AX77*AX82*AX87*AX95*AX102*AX106*AX111*AX120*AX126*AX132*AX135*AX141*AX147*AX153*AX160*AX163*AX167*AX171*AX175*AX179*AX183*AX188*AX191*AX195*AX199*AX203*AX208*AX212</f>
        <v>0</v>
      </c>
    </row>
    <row r="175" spans="45:98" x14ac:dyDescent="0.3">
      <c r="AS175" s="6" t="s">
        <v>961</v>
      </c>
      <c r="AT175" s="6">
        <f>COUNTIFS(AD:AD,"A",C:C,1)/COUNTIF(C:C,1)</f>
        <v>1</v>
      </c>
      <c r="AU175" s="6">
        <f>COUNTIFS(AD:AD,"A",C:C,2)/COUNTIF(C:C,2)</f>
        <v>1</v>
      </c>
      <c r="AV175" s="6">
        <f>COUNTIFS(AD:AD,"A",C:C,3)/COUNTIF(C:C,3)</f>
        <v>1</v>
      </c>
      <c r="AW175" s="6">
        <f>COUNTIFS(AD:AD,"A",C:C,4)/COUNTIF(C:C,4)</f>
        <v>0.8</v>
      </c>
      <c r="AX175" s="6">
        <f>COUNTIFS(AD:AD,"A",C:C,5)/COUNTIF(C:C,5)</f>
        <v>1</v>
      </c>
      <c r="AY175" s="6">
        <f>COUNTIFS(AD:AD,"A",C:C,6)/COUNTIF(C:C,6)</f>
        <v>0.8</v>
      </c>
      <c r="AZ175"/>
      <c r="BA175" s="45" t="s">
        <v>258</v>
      </c>
      <c r="BB175" s="45" t="s">
        <v>354</v>
      </c>
      <c r="BC175" s="45" t="s">
        <v>354</v>
      </c>
      <c r="BD175" s="45" t="s">
        <v>354</v>
      </c>
      <c r="BE175" s="45" t="s">
        <v>345</v>
      </c>
      <c r="BF175" s="45" t="s">
        <v>354</v>
      </c>
      <c r="BG175" s="45" t="s">
        <v>347</v>
      </c>
      <c r="BI175" t="s">
        <v>729</v>
      </c>
    </row>
    <row r="176" spans="45:98" x14ac:dyDescent="0.3">
      <c r="AS176" s="6" t="s">
        <v>962</v>
      </c>
      <c r="AT176" s="6">
        <f>COUNTIFS(AD:AD,"B",C:C,1)/COUNTIF(C:C,1)</f>
        <v>0</v>
      </c>
      <c r="AU176" s="6">
        <f>COUNTIFS(AD:AD,"B",C:C,2)/COUNTIF(C:C,2)</f>
        <v>0</v>
      </c>
      <c r="AV176" s="6">
        <f>COUNTIFS(AD:AD,"B",C:C,3)/COUNTIF(C:C,3)</f>
        <v>0</v>
      </c>
      <c r="AW176" s="6">
        <f>COUNTIFS(AD:AD,"B",C:C,4)/COUNTIF(C:C,4)</f>
        <v>0.2</v>
      </c>
      <c r="AX176" s="6">
        <f>COUNTIFS(AD:AD,"B",C:C,5)/COUNTIF(C:C,5)</f>
        <v>0</v>
      </c>
      <c r="AY176" s="6">
        <f>COUNTIFS(AD:AD,"B",C:C,6)/COUNTIF(C:C,6)</f>
        <v>0.2</v>
      </c>
      <c r="AZ176"/>
      <c r="BA176" s="45" t="s">
        <v>259</v>
      </c>
      <c r="BB176" s="45" t="s">
        <v>350</v>
      </c>
      <c r="BC176" s="45" t="s">
        <v>350</v>
      </c>
      <c r="BD176" s="45" t="s">
        <v>350</v>
      </c>
      <c r="BE176" s="45" t="s">
        <v>344</v>
      </c>
      <c r="BF176" s="45" t="s">
        <v>350</v>
      </c>
      <c r="BG176" s="45" t="s">
        <v>346</v>
      </c>
      <c r="BI176" s="3" t="s">
        <v>355</v>
      </c>
      <c r="BJ176">
        <f>AV23*AY27*AY36*AY40*AY46*AY54*AY60*AY66*AY71*AY77*AY82*AY87*AY95*AY102*AY106*AY111*AY120*AY126*AY132*AY135*AY141*AY147*AY153*AY160*AY163*AY167*AY171*AY175*AY179*AY183*AY188*AY191*AY195*AY199*AY203*AY208*AY212</f>
        <v>0</v>
      </c>
    </row>
    <row r="177" spans="45:98" x14ac:dyDescent="0.3">
      <c r="AZ177"/>
      <c r="BA177" s="43"/>
      <c r="BB177" s="43"/>
      <c r="BC177" s="43"/>
      <c r="BD177" s="43"/>
      <c r="BE177" s="43"/>
      <c r="BF177" s="43"/>
      <c r="BG177" s="43"/>
      <c r="BI177" s="24" t="s">
        <v>380</v>
      </c>
      <c r="BJ177" t="s">
        <v>373</v>
      </c>
      <c r="BK177" s="25" t="s">
        <v>405</v>
      </c>
    </row>
    <row r="178" spans="45:98" x14ac:dyDescent="0.3">
      <c r="AS178" s="7" t="s">
        <v>963</v>
      </c>
      <c r="AT178" s="7">
        <v>1</v>
      </c>
      <c r="AU178" s="7">
        <v>2</v>
      </c>
      <c r="AV178" s="7">
        <v>3</v>
      </c>
      <c r="AW178" s="7">
        <v>4</v>
      </c>
      <c r="AX178" s="7">
        <v>5</v>
      </c>
      <c r="AY178" s="7">
        <v>6</v>
      </c>
      <c r="AZ178"/>
      <c r="BA178" s="44" t="s">
        <v>291</v>
      </c>
      <c r="BB178" s="44">
        <v>1</v>
      </c>
      <c r="BC178" s="44">
        <v>2</v>
      </c>
      <c r="BD178" s="44">
        <v>3</v>
      </c>
      <c r="BE178" s="44">
        <v>4</v>
      </c>
      <c r="BF178" s="44">
        <v>5</v>
      </c>
      <c r="BG178" s="44">
        <v>6</v>
      </c>
    </row>
    <row r="179" spans="45:98" x14ac:dyDescent="0.3">
      <c r="AS179" s="6" t="s">
        <v>964</v>
      </c>
      <c r="AT179" s="6">
        <f>COUNTIFS(AE:AE,"A",C:C,1)/COUNTIF(C:C,1)</f>
        <v>1</v>
      </c>
      <c r="AU179" s="6">
        <f>COUNTIFS(AE:AE,"A",C:C,2)/COUNTIF(C:C,2)</f>
        <v>1</v>
      </c>
      <c r="AV179" s="6">
        <f>COUNTIFS(AE:AE,"A",C:C,3)/COUNTIF(C:C,3)</f>
        <v>1</v>
      </c>
      <c r="AW179" s="6">
        <f>COUNTIFS(AE:AE,"A",C:C,4)/COUNTIF(C:C,4)</f>
        <v>1</v>
      </c>
      <c r="AX179" s="6">
        <f>COUNTIFS(AE:AE,"A",C:C,5)/COUNTIF(C:C,5)</f>
        <v>1</v>
      </c>
      <c r="AY179" s="6">
        <f>COUNTIFS(AE:AE,"A",C:C,6)/COUNTIF(C:C,6)</f>
        <v>0.9</v>
      </c>
      <c r="AZ179"/>
      <c r="BA179" s="45" t="s">
        <v>260</v>
      </c>
      <c r="BB179" s="45" t="s">
        <v>354</v>
      </c>
      <c r="BC179" s="45" t="s">
        <v>354</v>
      </c>
      <c r="BD179" s="45" t="s">
        <v>354</v>
      </c>
      <c r="BE179" s="45" t="s">
        <v>354</v>
      </c>
      <c r="BF179" s="45" t="s">
        <v>354</v>
      </c>
      <c r="BG179" s="45" t="s">
        <v>349</v>
      </c>
      <c r="BI179" s="53" t="s">
        <v>406</v>
      </c>
      <c r="BJ179" s="24" t="s">
        <v>71</v>
      </c>
      <c r="BK179" s="1" t="s">
        <v>50</v>
      </c>
      <c r="BL179" s="1" t="s">
        <v>51</v>
      </c>
      <c r="BM179" s="1" t="s">
        <v>52</v>
      </c>
      <c r="BN179" s="1" t="s">
        <v>53</v>
      </c>
      <c r="BO179" s="1" t="s">
        <v>54</v>
      </c>
      <c r="BP179" s="1" t="s">
        <v>55</v>
      </c>
      <c r="BQ179" s="1" t="s">
        <v>56</v>
      </c>
      <c r="BR179" s="1" t="s">
        <v>57</v>
      </c>
      <c r="BS179" s="1" t="s">
        <v>58</v>
      </c>
      <c r="BT179" s="1" t="s">
        <v>59</v>
      </c>
      <c r="BU179" s="1" t="s">
        <v>60</v>
      </c>
      <c r="BV179" s="1" t="s">
        <v>61</v>
      </c>
      <c r="BW179" s="1" t="s">
        <v>62</v>
      </c>
      <c r="BX179" s="1" t="s">
        <v>63</v>
      </c>
      <c r="BY179" s="1" t="s">
        <v>64</v>
      </c>
      <c r="BZ179" s="1" t="s">
        <v>65</v>
      </c>
      <c r="CA179" s="1" t="s">
        <v>66</v>
      </c>
      <c r="CB179" s="1" t="s">
        <v>67</v>
      </c>
      <c r="CC179" s="1" t="s">
        <v>68</v>
      </c>
      <c r="CD179" s="1" t="s">
        <v>69</v>
      </c>
      <c r="CE179" s="1" t="s">
        <v>70</v>
      </c>
      <c r="CF179" s="1" t="s">
        <v>929</v>
      </c>
      <c r="CG179" s="1" t="s">
        <v>930</v>
      </c>
      <c r="CH179" s="1" t="s">
        <v>931</v>
      </c>
      <c r="CI179" s="1" t="s">
        <v>932</v>
      </c>
      <c r="CJ179" s="1" t="s">
        <v>933</v>
      </c>
      <c r="CK179" s="1" t="s">
        <v>934</v>
      </c>
      <c r="CL179" s="1" t="s">
        <v>935</v>
      </c>
      <c r="CM179" s="1" t="s">
        <v>936</v>
      </c>
      <c r="CN179" s="1" t="s">
        <v>937</v>
      </c>
      <c r="CO179" s="1" t="s">
        <v>938</v>
      </c>
      <c r="CP179" s="1" t="s">
        <v>939</v>
      </c>
      <c r="CQ179" s="1" t="s">
        <v>940</v>
      </c>
      <c r="CR179" s="1" t="s">
        <v>941</v>
      </c>
      <c r="CS179" s="1" t="s">
        <v>942</v>
      </c>
      <c r="CT179" s="1" t="s">
        <v>1008</v>
      </c>
    </row>
    <row r="180" spans="45:98" x14ac:dyDescent="0.3">
      <c r="AS180" s="6" t="s">
        <v>965</v>
      </c>
      <c r="AT180" s="6">
        <f>COUNTIFS(AE:AE,"B",C:C,1)/COUNTIF(C:C,1)</f>
        <v>0</v>
      </c>
      <c r="AU180" s="6">
        <f>COUNTIFS(AE:AE,"B",C:C,2)/COUNTIF(C:C,2)</f>
        <v>0</v>
      </c>
      <c r="AV180" s="6">
        <f>COUNTIFS(AE:AE,"B",C:C,3)/COUNTIF(C:C,3)</f>
        <v>0</v>
      </c>
      <c r="AW180" s="6">
        <f>COUNTIFS(AE:AE,"B",C:C,4)/COUNTIF(C:C,4)</f>
        <v>0</v>
      </c>
      <c r="AX180" s="6">
        <f>COUNTIFS(AE:AE,"B",C:C,5)/COUNTIF(C:C,5)</f>
        <v>0</v>
      </c>
      <c r="AY180" s="6">
        <f>COUNTIFS(AE:AE,"B",C:C,6)/COUNTIF(C:C,6)</f>
        <v>0.1</v>
      </c>
      <c r="AZ180"/>
      <c r="BA180" s="45" t="s">
        <v>261</v>
      </c>
      <c r="BB180" s="45" t="s">
        <v>350</v>
      </c>
      <c r="BC180" s="45" t="s">
        <v>350</v>
      </c>
      <c r="BD180" s="45" t="s">
        <v>350</v>
      </c>
      <c r="BE180" s="45" t="s">
        <v>350</v>
      </c>
      <c r="BF180" s="45" t="s">
        <v>350</v>
      </c>
      <c r="BG180" s="45" t="s">
        <v>348</v>
      </c>
      <c r="BI180" s="53"/>
      <c r="BJ180" s="24">
        <v>2</v>
      </c>
      <c r="BK180" t="s">
        <v>5</v>
      </c>
      <c r="BL180" t="s">
        <v>3</v>
      </c>
      <c r="BM180" t="s">
        <v>4</v>
      </c>
      <c r="BN180" t="s">
        <v>3</v>
      </c>
      <c r="BO180" t="s">
        <v>5</v>
      </c>
      <c r="BP180" t="s">
        <v>5</v>
      </c>
      <c r="BQ180" t="s">
        <v>3</v>
      </c>
      <c r="BR180" t="s">
        <v>4</v>
      </c>
      <c r="BS180" t="s">
        <v>3</v>
      </c>
      <c r="BT180" t="s">
        <v>3</v>
      </c>
      <c r="BU180" t="s">
        <v>4</v>
      </c>
      <c r="BV180" t="s">
        <v>4</v>
      </c>
      <c r="BW180" t="s">
        <v>5</v>
      </c>
      <c r="BX180" t="s">
        <v>3</v>
      </c>
      <c r="BY180" t="s">
        <v>4</v>
      </c>
      <c r="BZ180" t="s">
        <v>5</v>
      </c>
      <c r="CA180" t="s">
        <v>5</v>
      </c>
      <c r="CB180" t="s">
        <v>5</v>
      </c>
      <c r="CC180" t="s">
        <v>4</v>
      </c>
      <c r="CD180" t="s">
        <v>4</v>
      </c>
      <c r="CE180" t="s">
        <v>4</v>
      </c>
      <c r="CF180" t="s">
        <v>4</v>
      </c>
      <c r="CG180" t="s">
        <v>3</v>
      </c>
      <c r="CH180" t="s">
        <v>4</v>
      </c>
      <c r="CI180" t="s">
        <v>4</v>
      </c>
      <c r="CJ180" t="s">
        <v>4</v>
      </c>
      <c r="CK180" t="s">
        <v>4</v>
      </c>
      <c r="CL180" t="s">
        <v>4</v>
      </c>
      <c r="CM180" t="s">
        <v>4</v>
      </c>
      <c r="CN180" t="s">
        <v>3</v>
      </c>
      <c r="CO180" t="s">
        <v>4</v>
      </c>
      <c r="CP180" t="s">
        <v>3</v>
      </c>
      <c r="CQ180" t="s">
        <v>4</v>
      </c>
      <c r="CR180" t="s">
        <v>4</v>
      </c>
      <c r="CS180" t="s">
        <v>4</v>
      </c>
      <c r="CT180" t="s">
        <v>3</v>
      </c>
    </row>
    <row r="181" spans="45:98" x14ac:dyDescent="0.3">
      <c r="AZ181"/>
      <c r="BA181" s="43"/>
      <c r="BB181" s="43"/>
      <c r="BC181" s="43"/>
      <c r="BD181" s="43"/>
      <c r="BE181" s="43"/>
      <c r="BF181" s="43"/>
      <c r="BG181" s="43"/>
      <c r="BI181" t="s">
        <v>730</v>
      </c>
    </row>
    <row r="182" spans="45:98" x14ac:dyDescent="0.3">
      <c r="AS182" s="7" t="s">
        <v>966</v>
      </c>
      <c r="AT182" s="7">
        <v>1</v>
      </c>
      <c r="AU182" s="7">
        <v>2</v>
      </c>
      <c r="AV182" s="7">
        <v>3</v>
      </c>
      <c r="AW182" s="7">
        <v>4</v>
      </c>
      <c r="AX182" s="7">
        <v>5</v>
      </c>
      <c r="AY182" s="7">
        <v>6</v>
      </c>
      <c r="AZ182"/>
      <c r="BA182" s="44" t="s">
        <v>292</v>
      </c>
      <c r="BB182" s="44">
        <v>1</v>
      </c>
      <c r="BC182" s="44">
        <v>2</v>
      </c>
      <c r="BD182" s="44">
        <v>3</v>
      </c>
      <c r="BE182" s="44">
        <v>4</v>
      </c>
      <c r="BF182" s="44">
        <v>5</v>
      </c>
      <c r="BG182" s="44">
        <v>6</v>
      </c>
      <c r="BI182" s="3" t="s">
        <v>355</v>
      </c>
      <c r="BJ182">
        <f>AV18*AT30*AT34*AT39*AT46*AT54*AT60*AT64*AT69*AT76*AT82*AT87*AT93*AT102*AT106*AT111*AT120*AT126*AT132*AT135*AT141*AT147*AT153*AT160*AT163*AT167*AT171*AT175*AT179*AT183*AT188*AT191*AT196*AT199*AT203*AT207*AT212</f>
        <v>0</v>
      </c>
    </row>
    <row r="183" spans="45:98" x14ac:dyDescent="0.3">
      <c r="AS183" s="6" t="s">
        <v>967</v>
      </c>
      <c r="AT183" s="6">
        <f>COUNTIFS(AF:AF,"A",C:C,1)/COUNTIF(C:C,1)</f>
        <v>0.8</v>
      </c>
      <c r="AU183" s="6">
        <f>COUNTIFS(AF:AF,"A",C:C,2)/COUNTIF(C:C,2)</f>
        <v>1</v>
      </c>
      <c r="AV183" s="6">
        <f>COUNTIFS(AF:AF,"A",C:C,3)/COUNTIF(C:C,3)</f>
        <v>1</v>
      </c>
      <c r="AW183" s="6">
        <f>COUNTIFS(AF:AF,"A",C:C,4)/COUNTIF(C:C,4)</f>
        <v>0.7</v>
      </c>
      <c r="AX183" s="6">
        <f>COUNTIFS(AF:AF,"A",C:C,5)/COUNTIF(C:C,5)</f>
        <v>0.7</v>
      </c>
      <c r="AY183" s="6">
        <f>COUNTIFS(AF:AF,"A",C:C,6)/COUNTIF(C:C,6)</f>
        <v>0.5</v>
      </c>
      <c r="AZ183"/>
      <c r="BA183" s="45" t="s">
        <v>262</v>
      </c>
      <c r="BB183" s="45" t="s">
        <v>347</v>
      </c>
      <c r="BC183" s="45" t="s">
        <v>354</v>
      </c>
      <c r="BD183" s="45" t="s">
        <v>354</v>
      </c>
      <c r="BE183" s="45" t="s">
        <v>347</v>
      </c>
      <c r="BF183" s="45" t="s">
        <v>345</v>
      </c>
      <c r="BG183" s="45" t="s">
        <v>343</v>
      </c>
      <c r="BI183" t="s">
        <v>731</v>
      </c>
    </row>
    <row r="184" spans="45:98" x14ac:dyDescent="0.3">
      <c r="AS184" s="6" t="s">
        <v>968</v>
      </c>
      <c r="AT184" s="6">
        <f>COUNTIFS(AF:AF,"B",C:C,1)/COUNTIF(C:C,1)</f>
        <v>0.2</v>
      </c>
      <c r="AU184" s="6">
        <f>COUNTIFS(AF:AF,"B",C:C,2)/COUNTIF(C:C,2)</f>
        <v>0</v>
      </c>
      <c r="AV184" s="6">
        <f>COUNTIFS(AF:AF,"B",C:C,3)/COUNTIF(C:C,3)</f>
        <v>0</v>
      </c>
      <c r="AW184" s="6">
        <f>COUNTIFS(AF:AF,"B",C:C,4)/COUNTIF(C:C,4)</f>
        <v>0.3</v>
      </c>
      <c r="AX184" s="6">
        <f>COUNTIFS(AF:AF,"B",C:C,5)/COUNTIF(C:C,5)</f>
        <v>0.3</v>
      </c>
      <c r="AY184" s="6">
        <f>COUNTIFS(AF:AF,"B",C:C,6)/COUNTIF(C:C,6)</f>
        <v>0.5</v>
      </c>
      <c r="AZ184"/>
      <c r="BA184" s="45" t="s">
        <v>293</v>
      </c>
      <c r="BB184" s="45" t="s">
        <v>346</v>
      </c>
      <c r="BC184" s="45" t="s">
        <v>350</v>
      </c>
      <c r="BD184" s="45" t="s">
        <v>350</v>
      </c>
      <c r="BE184" s="45" t="s">
        <v>346</v>
      </c>
      <c r="BF184" s="45" t="s">
        <v>344</v>
      </c>
      <c r="BG184" s="45" t="s">
        <v>343</v>
      </c>
      <c r="BI184" s="3" t="s">
        <v>355</v>
      </c>
      <c r="BJ184">
        <f>AV19*AU30*AU34*AU39*AU46*AU54*AU60*AU64*AU69*AU76*AU82*AU87*AU93*AU102*AU106*AU111*AU120*AU126*AU132*AU135*AU141*AU147*AU153*AU160*AU163*AU167*AU171*AU175*AU179*AU183*AU188*AU191*AU196*AU199*AU203*AU207*AU212</f>
        <v>2.0483850240000005E-10</v>
      </c>
    </row>
    <row r="185" spans="45:98" x14ac:dyDescent="0.3">
      <c r="AZ185"/>
      <c r="BA185" s="43"/>
      <c r="BB185" s="43"/>
      <c r="BC185" s="43"/>
      <c r="BD185" s="43"/>
      <c r="BE185" s="43"/>
      <c r="BF185" s="43"/>
      <c r="BG185" s="43"/>
      <c r="BI185" t="s">
        <v>732</v>
      </c>
    </row>
    <row r="186" spans="45:98" x14ac:dyDescent="0.3">
      <c r="AS186" s="7" t="s">
        <v>969</v>
      </c>
      <c r="AT186" s="7">
        <v>1</v>
      </c>
      <c r="AU186" s="7">
        <v>2</v>
      </c>
      <c r="AV186" s="7">
        <v>3</v>
      </c>
      <c r="AW186" s="7">
        <v>4</v>
      </c>
      <c r="AX186" s="7">
        <v>5</v>
      </c>
      <c r="AY186" s="7">
        <v>6</v>
      </c>
      <c r="AZ186"/>
      <c r="BA186" s="44" t="s">
        <v>298</v>
      </c>
      <c r="BB186" s="44">
        <v>1</v>
      </c>
      <c r="BC186" s="44">
        <v>2</v>
      </c>
      <c r="BD186" s="44">
        <v>3</v>
      </c>
      <c r="BE186" s="44">
        <v>4</v>
      </c>
      <c r="BF186" s="44">
        <v>5</v>
      </c>
      <c r="BG186" s="44">
        <v>6</v>
      </c>
      <c r="BI186" s="3" t="s">
        <v>355</v>
      </c>
      <c r="BJ186">
        <f>AV20*AV30*AV34*AV39*AV46*AV54*AV60*AV64*AV69*AV76*AV82*AV87*AV93*AV102*AV106*AV111*AV120*AV126*AV132*AV135*AV141*AV147*AV153*AV160*AV163*AV167*AV171*AV175*AV179*AV183*AV188*AV191*AV196*AV199*AV203*AV207*AV212</f>
        <v>0</v>
      </c>
    </row>
    <row r="187" spans="45:98" x14ac:dyDescent="0.3">
      <c r="AS187" s="6" t="s">
        <v>970</v>
      </c>
      <c r="AT187" s="6">
        <f>COUNTIFS(AG:AG,"A",C:C,1)/COUNTIF(C:C,1)</f>
        <v>0.2</v>
      </c>
      <c r="AU187" s="6">
        <f>COUNTIFS(AG:AG,"A",C:C,2)/COUNTIF(C:C,2)</f>
        <v>0.1</v>
      </c>
      <c r="AV187" s="6">
        <f>COUNTIFS(AG:AG,"A",C:C,3)/COUNTIF(C:C,3)</f>
        <v>0.1</v>
      </c>
      <c r="AW187" s="6">
        <f>COUNTIFS(AG:AG,"A",C:C,4)/COUNTIF(C:C,4)</f>
        <v>0.1</v>
      </c>
      <c r="AX187" s="6">
        <f>COUNTIFS(AG:AG,"A",C:C,5)/COUNTIF(C:C,5)</f>
        <v>0.2</v>
      </c>
      <c r="AY187" s="6">
        <f>COUNTIFS(AG:AG,"A",C:C,6)/COUNTIF(C:C,6)</f>
        <v>0.3</v>
      </c>
      <c r="AZ187"/>
      <c r="BA187" s="45" t="s">
        <v>294</v>
      </c>
      <c r="BB187" s="45" t="s">
        <v>346</v>
      </c>
      <c r="BC187" s="45" t="s">
        <v>348</v>
      </c>
      <c r="BD187" s="45" t="s">
        <v>348</v>
      </c>
      <c r="BE187" s="45" t="s">
        <v>348</v>
      </c>
      <c r="BF187" s="45" t="s">
        <v>346</v>
      </c>
      <c r="BG187" s="45" t="s">
        <v>344</v>
      </c>
      <c r="BI187" t="s">
        <v>733</v>
      </c>
    </row>
    <row r="188" spans="45:98" x14ac:dyDescent="0.3">
      <c r="AS188" s="6" t="s">
        <v>971</v>
      </c>
      <c r="AT188" s="6">
        <f>COUNTIFS(AG:AG,"B",C:C,1)/COUNTIF(C:C,1)</f>
        <v>0.8</v>
      </c>
      <c r="AU188" s="6">
        <f>COUNTIFS(AG:AG,"B",C:C,2)/COUNTIF(C:C,2)</f>
        <v>0.9</v>
      </c>
      <c r="AV188" s="6">
        <f>COUNTIFS(AG:AG,"B",C:C,3)/COUNTIF(C:C,3)</f>
        <v>0.9</v>
      </c>
      <c r="AW188" s="6">
        <f>COUNTIFS(AG:AG,"B",C:C,4)/COUNTIF(C:C,4)</f>
        <v>0.9</v>
      </c>
      <c r="AX188" s="6">
        <f>COUNTIFS(AG:AG,"B",C:C,5)/COUNTIF(C:C,5)</f>
        <v>0.8</v>
      </c>
      <c r="AY188" s="6">
        <f>COUNTIFS(AG:AG,"B",C:C,6)/COUNTIF(C:C,6)</f>
        <v>0.7</v>
      </c>
      <c r="AZ188"/>
      <c r="BA188" s="45" t="s">
        <v>263</v>
      </c>
      <c r="BB188" s="45" t="s">
        <v>347</v>
      </c>
      <c r="BC188" s="45" t="s">
        <v>349</v>
      </c>
      <c r="BD188" s="45" t="s">
        <v>349</v>
      </c>
      <c r="BE188" s="45" t="s">
        <v>349</v>
      </c>
      <c r="BF188" s="45" t="s">
        <v>347</v>
      </c>
      <c r="BG188" s="45" t="s">
        <v>345</v>
      </c>
      <c r="BI188" s="3" t="s">
        <v>355</v>
      </c>
      <c r="BJ188">
        <f>AV21*AW30*AW34*AW39*AW46*AW54*AW60*AW64*AW69*AW76*AW82*AW87*AW93*AW102*AW106*AW111*AW120*AW126*AW132*AW135*AW141*AW147*AW153*AW160*AW163*AW167*AW171*AW175*AW179*AW183*AW188*AW191*AW196*AW199*AW203*AW207*AW212</f>
        <v>0</v>
      </c>
    </row>
    <row r="189" spans="45:98" x14ac:dyDescent="0.3">
      <c r="AZ189"/>
      <c r="BA189" s="43"/>
      <c r="BB189" s="43"/>
      <c r="BC189" s="43"/>
      <c r="BD189" s="43"/>
      <c r="BE189" s="43"/>
      <c r="BF189" s="43"/>
      <c r="BG189" s="43"/>
      <c r="BI189" t="s">
        <v>734</v>
      </c>
    </row>
    <row r="190" spans="45:98" x14ac:dyDescent="0.3">
      <c r="AS190" s="7" t="s">
        <v>972</v>
      </c>
      <c r="AT190" s="7">
        <v>1</v>
      </c>
      <c r="AU190" s="7">
        <v>2</v>
      </c>
      <c r="AV190" s="7">
        <v>3</v>
      </c>
      <c r="AW190" s="7">
        <v>4</v>
      </c>
      <c r="AX190" s="7">
        <v>5</v>
      </c>
      <c r="AY190" s="7">
        <v>6</v>
      </c>
      <c r="AZ190"/>
      <c r="BA190" s="44" t="s">
        <v>297</v>
      </c>
      <c r="BB190" s="44">
        <v>1</v>
      </c>
      <c r="BC190" s="44">
        <v>2</v>
      </c>
      <c r="BD190" s="44">
        <v>3</v>
      </c>
      <c r="BE190" s="44">
        <v>4</v>
      </c>
      <c r="BF190" s="44">
        <v>5</v>
      </c>
      <c r="BG190" s="44">
        <v>6</v>
      </c>
      <c r="BI190" s="3" t="s">
        <v>355</v>
      </c>
      <c r="BJ190">
        <f>AV22*AX30*AX34*AX39*AX46*AX54*AX60*AX64*AX69*AX76*AX82*AX87*AX93*AX102*AX106*AX111*AX120*AX126*AX132*AX135*AX141*AX147*AX153*AX160*AX163*AX167*AX171*AX175*AX179*AX183*AX188*AX191*AX196*AX199*AX203*AX207*AX212</f>
        <v>0</v>
      </c>
    </row>
    <row r="191" spans="45:98" x14ac:dyDescent="0.3">
      <c r="AS191" s="6" t="s">
        <v>973</v>
      </c>
      <c r="AT191" s="6">
        <f>COUNTIFS(AH:AH,"A",C:C,1)/COUNTIF(C:C,1)</f>
        <v>1</v>
      </c>
      <c r="AU191" s="6">
        <f>COUNTIFS(AH:AH,"A",C:C,2)/COUNTIF(C:C,2)</f>
        <v>1</v>
      </c>
      <c r="AV191" s="6">
        <f>COUNTIFS(AH:AH,"A",C:C,3)/COUNTIF(C:C,3)</f>
        <v>1</v>
      </c>
      <c r="AW191" s="6">
        <f>COUNTIFS(AH:AH,"A",C:C,4)/COUNTIF(C:C,4)</f>
        <v>1</v>
      </c>
      <c r="AX191" s="6">
        <f>COUNTIFS(AH:AH,"A",C:C,5)/COUNTIF(C:C,5)</f>
        <v>1</v>
      </c>
      <c r="AY191" s="6">
        <f>COUNTIFS(AH:AH,"A",C:C,6)/COUNTIF(C:C,6)</f>
        <v>0.8</v>
      </c>
      <c r="AZ191"/>
      <c r="BA191" s="45" t="s">
        <v>295</v>
      </c>
      <c r="BB191" s="45" t="s">
        <v>354</v>
      </c>
      <c r="BC191" s="45" t="s">
        <v>354</v>
      </c>
      <c r="BD191" s="45" t="s">
        <v>354</v>
      </c>
      <c r="BE191" s="45" t="s">
        <v>354</v>
      </c>
      <c r="BF191" s="45" t="s">
        <v>354</v>
      </c>
      <c r="BG191" s="45" t="s">
        <v>347</v>
      </c>
      <c r="BI191" t="s">
        <v>735</v>
      </c>
    </row>
    <row r="192" spans="45:98" x14ac:dyDescent="0.3">
      <c r="AS192" s="6" t="s">
        <v>974</v>
      </c>
      <c r="AT192" s="6">
        <f>COUNTIFS(AH:AH,"B",C:C,1)/COUNTIF(C:C,1)</f>
        <v>0</v>
      </c>
      <c r="AU192" s="6">
        <f>COUNTIFS(AH:AH,"B",C:C,2)/COUNTIF(C:C,2)</f>
        <v>0</v>
      </c>
      <c r="AV192" s="6">
        <f>COUNTIFS(AH:AH,"B",C:C,3)/COUNTIF(C:C,3)</f>
        <v>0</v>
      </c>
      <c r="AW192" s="6">
        <f>COUNTIFS(AH:AH,"B",C:C,4)/COUNTIF(C:C,4)</f>
        <v>0</v>
      </c>
      <c r="AX192" s="6">
        <f>COUNTIFS(AH:AH,"B",C:C,5)/COUNTIF(C:C,5)</f>
        <v>0</v>
      </c>
      <c r="AY192" s="6">
        <f>COUNTIFS(AH:AH,"B",C:C,6)/COUNTIF(C:C,6)</f>
        <v>0.2</v>
      </c>
      <c r="AZ192"/>
      <c r="BA192" s="45" t="s">
        <v>296</v>
      </c>
      <c r="BB192" s="45" t="s">
        <v>350</v>
      </c>
      <c r="BC192" s="45" t="s">
        <v>350</v>
      </c>
      <c r="BD192" s="45" t="s">
        <v>350</v>
      </c>
      <c r="BE192" s="45" t="s">
        <v>350</v>
      </c>
      <c r="BF192" s="45" t="s">
        <v>350</v>
      </c>
      <c r="BG192" s="45" t="s">
        <v>346</v>
      </c>
      <c r="BI192" s="3" t="s">
        <v>355</v>
      </c>
      <c r="BJ192">
        <f>AV23*AY30*AY34*AY39*AY46*AY54*AY60*AY64*AY69*AY76*AY82*AY87*AY93*AY102*AY106*AY111*AY120*AY126*AY132*AY135*AY141*AY147*AY153*AY160*AY163*AY167*AY171*AY175*AY179*AY183*AY188*AY191*AY196*AY199*AY203*AY207*AY212</f>
        <v>0</v>
      </c>
    </row>
    <row r="193" spans="45:98" x14ac:dyDescent="0.3">
      <c r="AZ193"/>
      <c r="BA193" s="43"/>
      <c r="BB193" s="43"/>
      <c r="BC193" s="43"/>
      <c r="BD193" s="43"/>
      <c r="BE193" s="43"/>
      <c r="BF193" s="43"/>
      <c r="BG193" s="43"/>
      <c r="BI193" s="24" t="s">
        <v>391</v>
      </c>
      <c r="BJ193" t="s">
        <v>373</v>
      </c>
      <c r="BK193" s="25" t="s">
        <v>379</v>
      </c>
    </row>
    <row r="194" spans="45:98" x14ac:dyDescent="0.3">
      <c r="AS194" s="7" t="s">
        <v>959</v>
      </c>
      <c r="AT194" s="7">
        <v>1</v>
      </c>
      <c r="AU194" s="7">
        <v>2</v>
      </c>
      <c r="AV194" s="7">
        <v>3</v>
      </c>
      <c r="AW194" s="7">
        <v>4</v>
      </c>
      <c r="AX194" s="7">
        <v>5</v>
      </c>
      <c r="AY194" s="7">
        <v>6</v>
      </c>
      <c r="AZ194"/>
      <c r="BA194" s="44" t="s">
        <v>302</v>
      </c>
      <c r="BB194" s="44">
        <v>1</v>
      </c>
      <c r="BC194" s="44">
        <v>2</v>
      </c>
      <c r="BD194" s="44">
        <v>3</v>
      </c>
      <c r="BE194" s="44">
        <v>4</v>
      </c>
      <c r="BF194" s="44">
        <v>5</v>
      </c>
      <c r="BG194" s="44">
        <v>6</v>
      </c>
    </row>
    <row r="195" spans="45:98" x14ac:dyDescent="0.3">
      <c r="AS195" s="6" t="s">
        <v>976</v>
      </c>
      <c r="AT195" s="6">
        <f>COUNTIFS(AI:AI,"A",C:C,1)/COUNTIF(C:C,1)</f>
        <v>0.2</v>
      </c>
      <c r="AU195" s="6">
        <f>COUNTIFS(AI:AI,"A",C:C,2)/COUNTIF(C:C,2)</f>
        <v>0.3</v>
      </c>
      <c r="AV195" s="6">
        <f>COUNTIFS(AI:AI,"A",C:C,3)/COUNTIF(C:C,3)</f>
        <v>0.3</v>
      </c>
      <c r="AW195" s="6">
        <f>COUNTIFS(AI:AI,"A",C:C,4)/COUNTIF(C:C,4)</f>
        <v>0</v>
      </c>
      <c r="AX195" s="6">
        <f>COUNTIFS(AI:AI,"A",C:C,5)/COUNTIF(C:C,5)</f>
        <v>0</v>
      </c>
      <c r="AY195" s="6">
        <f>COUNTIFS(AI:AI,"A",C:C,6)/COUNTIF(C:C,6)</f>
        <v>0.2</v>
      </c>
      <c r="AZ195"/>
      <c r="BA195" s="45" t="s">
        <v>301</v>
      </c>
      <c r="BB195" s="45" t="s">
        <v>344</v>
      </c>
      <c r="BC195" s="45" t="s">
        <v>346</v>
      </c>
      <c r="BD195" s="45" t="s">
        <v>348</v>
      </c>
      <c r="BE195" s="45" t="s">
        <v>350</v>
      </c>
      <c r="BF195" s="45" t="s">
        <v>350</v>
      </c>
      <c r="BG195" s="45" t="s">
        <v>346</v>
      </c>
      <c r="BI195" s="53" t="s">
        <v>407</v>
      </c>
      <c r="BJ195" s="24" t="s">
        <v>71</v>
      </c>
      <c r="BK195" s="1" t="s">
        <v>50</v>
      </c>
      <c r="BL195" s="1" t="s">
        <v>51</v>
      </c>
      <c r="BM195" s="1" t="s">
        <v>52</v>
      </c>
      <c r="BN195" s="1" t="s">
        <v>53</v>
      </c>
      <c r="BO195" s="1" t="s">
        <v>54</v>
      </c>
      <c r="BP195" s="1" t="s">
        <v>55</v>
      </c>
      <c r="BQ195" s="1" t="s">
        <v>56</v>
      </c>
      <c r="BR195" s="1" t="s">
        <v>57</v>
      </c>
      <c r="BS195" s="1" t="s">
        <v>58</v>
      </c>
      <c r="BT195" s="1" t="s">
        <v>59</v>
      </c>
      <c r="BU195" s="1" t="s">
        <v>60</v>
      </c>
      <c r="BV195" s="1" t="s">
        <v>61</v>
      </c>
      <c r="BW195" s="1" t="s">
        <v>62</v>
      </c>
      <c r="BX195" s="1" t="s">
        <v>63</v>
      </c>
      <c r="BY195" s="1" t="s">
        <v>64</v>
      </c>
      <c r="BZ195" s="1" t="s">
        <v>65</v>
      </c>
      <c r="CA195" s="1" t="s">
        <v>66</v>
      </c>
      <c r="CB195" s="1" t="s">
        <v>67</v>
      </c>
      <c r="CC195" s="1" t="s">
        <v>68</v>
      </c>
      <c r="CD195" s="1" t="s">
        <v>69</v>
      </c>
      <c r="CE195" s="1" t="s">
        <v>70</v>
      </c>
      <c r="CF195" s="1" t="s">
        <v>929</v>
      </c>
      <c r="CG195" s="1" t="s">
        <v>930</v>
      </c>
      <c r="CH195" s="1" t="s">
        <v>931</v>
      </c>
      <c r="CI195" s="1" t="s">
        <v>932</v>
      </c>
      <c r="CJ195" s="1" t="s">
        <v>933</v>
      </c>
      <c r="CK195" s="1" t="s">
        <v>934</v>
      </c>
      <c r="CL195" s="1" t="s">
        <v>935</v>
      </c>
      <c r="CM195" s="1" t="s">
        <v>936</v>
      </c>
      <c r="CN195" s="1" t="s">
        <v>937</v>
      </c>
      <c r="CO195" s="1" t="s">
        <v>938</v>
      </c>
      <c r="CP195" s="1" t="s">
        <v>939</v>
      </c>
      <c r="CQ195" s="1" t="s">
        <v>940</v>
      </c>
      <c r="CR195" s="1" t="s">
        <v>941</v>
      </c>
      <c r="CS195" s="1" t="s">
        <v>942</v>
      </c>
      <c r="CT195" s="1" t="s">
        <v>1008</v>
      </c>
    </row>
    <row r="196" spans="45:98" x14ac:dyDescent="0.3">
      <c r="AS196" s="6" t="s">
        <v>975</v>
      </c>
      <c r="AT196" s="6">
        <f>COUNTIFS(AI:AI,"B",C:C,1)/COUNTIF(C:C,1)</f>
        <v>0.8</v>
      </c>
      <c r="AU196" s="6">
        <f>COUNTIFS(AI:AI,"B",C:C,2)/COUNTIF(C:C,2)</f>
        <v>0.7</v>
      </c>
      <c r="AV196" s="6">
        <f>COUNTIFS(AI:AI,"B",C:C,3)/COUNTIF(C:C,3)</f>
        <v>0.7</v>
      </c>
      <c r="AW196" s="6">
        <f>COUNTIFS(AI:AI,"B",C:C,4)/COUNTIF(C:C,4)</f>
        <v>1</v>
      </c>
      <c r="AX196" s="6">
        <f>COUNTIFS(AI:AI,"B",C:C,5)/COUNTIF(C:C,5)</f>
        <v>1</v>
      </c>
      <c r="AY196" s="6">
        <f>COUNTIFS(AI:AI,"B",C:C,6)/COUNTIF(C:C,6)</f>
        <v>0.8</v>
      </c>
      <c r="AZ196"/>
      <c r="BA196" s="45" t="s">
        <v>303</v>
      </c>
      <c r="BB196" s="45" t="s">
        <v>345</v>
      </c>
      <c r="BC196" s="45" t="s">
        <v>347</v>
      </c>
      <c r="BD196" s="45" t="s">
        <v>349</v>
      </c>
      <c r="BE196" s="45" t="s">
        <v>354</v>
      </c>
      <c r="BF196" s="45" t="s">
        <v>354</v>
      </c>
      <c r="BG196" s="45" t="s">
        <v>347</v>
      </c>
      <c r="BI196" s="53"/>
      <c r="BJ196" s="24">
        <v>2</v>
      </c>
      <c r="BK196" t="s">
        <v>5</v>
      </c>
      <c r="BL196" t="s">
        <v>5</v>
      </c>
      <c r="BM196" t="s">
        <v>2</v>
      </c>
      <c r="BN196" t="s">
        <v>2</v>
      </c>
      <c r="BO196" t="s">
        <v>5</v>
      </c>
      <c r="BP196" t="s">
        <v>5</v>
      </c>
      <c r="BQ196" t="s">
        <v>2</v>
      </c>
      <c r="BR196" t="s">
        <v>2</v>
      </c>
      <c r="BS196" t="s">
        <v>2</v>
      </c>
      <c r="BT196" t="s">
        <v>4</v>
      </c>
      <c r="BU196" t="s">
        <v>4</v>
      </c>
      <c r="BV196" t="s">
        <v>4</v>
      </c>
      <c r="BW196" t="s">
        <v>5</v>
      </c>
      <c r="BX196" t="s">
        <v>4</v>
      </c>
      <c r="BY196" t="s">
        <v>5</v>
      </c>
      <c r="BZ196" t="s">
        <v>5</v>
      </c>
      <c r="CA196" t="s">
        <v>5</v>
      </c>
      <c r="CB196" t="s">
        <v>5</v>
      </c>
      <c r="CC196" t="s">
        <v>5</v>
      </c>
      <c r="CD196" t="s">
        <v>4</v>
      </c>
      <c r="CE196" t="s">
        <v>3</v>
      </c>
      <c r="CF196" t="s">
        <v>2</v>
      </c>
      <c r="CG196" t="s">
        <v>3</v>
      </c>
      <c r="CH196" t="s">
        <v>4</v>
      </c>
      <c r="CI196" t="s">
        <v>4</v>
      </c>
      <c r="CJ196" t="s">
        <v>4</v>
      </c>
      <c r="CK196" t="s">
        <v>4</v>
      </c>
      <c r="CL196" t="s">
        <v>4</v>
      </c>
      <c r="CM196" t="s">
        <v>4</v>
      </c>
      <c r="CN196" t="s">
        <v>4</v>
      </c>
      <c r="CO196" t="s">
        <v>4</v>
      </c>
      <c r="CP196" t="s">
        <v>3</v>
      </c>
      <c r="CQ196" t="s">
        <v>4</v>
      </c>
      <c r="CR196" t="s">
        <v>4</v>
      </c>
      <c r="CS196" t="s">
        <v>4</v>
      </c>
      <c r="CT196" t="s">
        <v>4</v>
      </c>
    </row>
    <row r="197" spans="45:98" x14ac:dyDescent="0.3">
      <c r="AZ197"/>
      <c r="BA197" s="43"/>
      <c r="BB197" s="43"/>
      <c r="BC197" s="43"/>
      <c r="BD197" s="43"/>
      <c r="BE197" s="43"/>
      <c r="BF197" s="43"/>
      <c r="BG197" s="43"/>
      <c r="BI197" t="s">
        <v>408</v>
      </c>
    </row>
    <row r="198" spans="45:98" x14ac:dyDescent="0.3">
      <c r="AS198" s="7" t="s">
        <v>977</v>
      </c>
      <c r="AT198" s="7">
        <v>1</v>
      </c>
      <c r="AU198" s="7">
        <v>2</v>
      </c>
      <c r="AV198" s="7">
        <v>3</v>
      </c>
      <c r="AW198" s="7">
        <v>4</v>
      </c>
      <c r="AX198" s="7">
        <v>5</v>
      </c>
      <c r="AY198" s="7">
        <v>6</v>
      </c>
      <c r="AZ198"/>
      <c r="BA198" s="44" t="s">
        <v>305</v>
      </c>
      <c r="BB198" s="44">
        <v>1</v>
      </c>
      <c r="BC198" s="44">
        <v>2</v>
      </c>
      <c r="BD198" s="44">
        <v>3</v>
      </c>
      <c r="BE198" s="44">
        <v>4</v>
      </c>
      <c r="BF198" s="44">
        <v>5</v>
      </c>
      <c r="BG198" s="44">
        <v>6</v>
      </c>
      <c r="BI198" s="3" t="s">
        <v>355</v>
      </c>
      <c r="BJ198">
        <f>AV18*AT30*AT36*AT41*AT47*AT54*AT60*AT65*AT71*AT77*AT81*AT87*AT93*AT102*AT105*AT114*AT120*AT126*AT132*AT138*AT141*AT148*AT155*AT160*AT163*AT167*AT171*AT175*AT179*AT183*AT187*AT191*AT196*AT199*AT203*AT207*AT211</f>
        <v>0</v>
      </c>
    </row>
    <row r="199" spans="45:98" x14ac:dyDescent="0.3">
      <c r="AS199" s="6" t="s">
        <v>978</v>
      </c>
      <c r="AT199" s="6">
        <f>COUNTIFS(AJ:AJ,"A",C:C,1)/COUNTIF(C:C,1)</f>
        <v>1</v>
      </c>
      <c r="AU199" s="6">
        <f>COUNTIFS(AJ:AJ,"A",C:C,2)/COUNTIF(C:C,2)</f>
        <v>1</v>
      </c>
      <c r="AV199" s="6">
        <f>COUNTIFS(AJ:AJ,"A",C:C,3)/COUNTIF(C:C,3)</f>
        <v>1</v>
      </c>
      <c r="AW199" s="6">
        <f>COUNTIFS(AJ:AJ,"A",C:C,4)/COUNTIF(C:C,4)</f>
        <v>0.6</v>
      </c>
      <c r="AX199" s="6">
        <f>COUNTIFS(AJ:AJ,"A",C:C,5)/COUNTIF(C:C,5)</f>
        <v>0.8</v>
      </c>
      <c r="AY199" s="6">
        <f>COUNTIFS(AJ:AJ,"A",C:C,6)/COUNTIF(C:C,6)</f>
        <v>0.4</v>
      </c>
      <c r="AZ199"/>
      <c r="BA199" s="45" t="s">
        <v>304</v>
      </c>
      <c r="BB199" s="45" t="s">
        <v>354</v>
      </c>
      <c r="BC199" s="45" t="s">
        <v>354</v>
      </c>
      <c r="BD199" s="45" t="s">
        <v>354</v>
      </c>
      <c r="BE199" s="45" t="s">
        <v>353</v>
      </c>
      <c r="BF199" s="45" t="s">
        <v>347</v>
      </c>
      <c r="BG199" s="45" t="s">
        <v>341</v>
      </c>
      <c r="BI199" t="s">
        <v>410</v>
      </c>
    </row>
    <row r="200" spans="45:98" x14ac:dyDescent="0.3">
      <c r="AS200" s="6" t="s">
        <v>979</v>
      </c>
      <c r="AT200" s="6">
        <f>COUNTIFS(AJ:AJ,"B",C:C,1)/COUNTIF(C:C,1)</f>
        <v>0</v>
      </c>
      <c r="AU200" s="6">
        <f>COUNTIFS(AJ:AJ,"B",C:C,2)/COUNTIF(C:C,2)</f>
        <v>0</v>
      </c>
      <c r="AV200" s="6">
        <f>COUNTIFS(AJ:AJ,"B",C:C,3)/COUNTIF(C:C,3)</f>
        <v>0</v>
      </c>
      <c r="AW200" s="6">
        <f>COUNTIFS(AJ:AJ,"B",C:C,4)/COUNTIF(C:C,4)</f>
        <v>0.4</v>
      </c>
      <c r="AX200" s="6">
        <f>COUNTIFS(AJ:AJ,"B",C:C,5)/COUNTIF(C:C,5)</f>
        <v>0.2</v>
      </c>
      <c r="AY200" s="6">
        <f>COUNTIFS(AJ:AJ,"B",C:C,6)/COUNTIF(C:C,6)</f>
        <v>0.6</v>
      </c>
      <c r="AZ200"/>
      <c r="BA200" s="45" t="s">
        <v>306</v>
      </c>
      <c r="BB200" s="45" t="s">
        <v>350</v>
      </c>
      <c r="BC200" s="45" t="s">
        <v>350</v>
      </c>
      <c r="BD200" s="45" t="s">
        <v>350</v>
      </c>
      <c r="BE200" s="45" t="s">
        <v>341</v>
      </c>
      <c r="BF200" s="45" t="s">
        <v>346</v>
      </c>
      <c r="BG200" s="45" t="s">
        <v>353</v>
      </c>
      <c r="BI200" s="3" t="s">
        <v>355</v>
      </c>
      <c r="BJ200">
        <f>AV19*AU30*AU36*AU41*AU47*AU54*AU60*AU65*AU71*AU77*AU81*AU87*AU93*AU102*AU105*AU114*AU120*AU126*AU132*AU138*AU141*AU148*AU155*AU160*AU163*AU167*AU171*AU175*AU179*AU183*AU187*AU191*AU196*AU199*AU203*AU207*AU211</f>
        <v>2.6336378880000008E-10</v>
      </c>
    </row>
    <row r="201" spans="45:98" x14ac:dyDescent="0.3">
      <c r="AZ201"/>
      <c r="BA201" s="47"/>
      <c r="BB201" s="47"/>
      <c r="BC201" s="47"/>
      <c r="BD201" s="47"/>
      <c r="BE201" s="47"/>
      <c r="BF201" s="47"/>
      <c r="BG201" s="47"/>
      <c r="BI201" t="s">
        <v>409</v>
      </c>
    </row>
    <row r="202" spans="45:98" x14ac:dyDescent="0.3">
      <c r="AS202" s="7" t="s">
        <v>980</v>
      </c>
      <c r="AT202" s="7">
        <v>1</v>
      </c>
      <c r="AU202" s="7">
        <v>2</v>
      </c>
      <c r="AV202" s="7">
        <v>3</v>
      </c>
      <c r="AW202" s="7">
        <v>4</v>
      </c>
      <c r="AX202" s="7">
        <v>5</v>
      </c>
      <c r="AY202" s="7">
        <v>6</v>
      </c>
      <c r="AZ202"/>
      <c r="BA202" s="44" t="s">
        <v>307</v>
      </c>
      <c r="BB202" s="44">
        <v>1</v>
      </c>
      <c r="BC202" s="44">
        <v>2</v>
      </c>
      <c r="BD202" s="44">
        <v>3</v>
      </c>
      <c r="BE202" s="44">
        <v>4</v>
      </c>
      <c r="BF202" s="44">
        <v>5</v>
      </c>
      <c r="BG202" s="44">
        <v>6</v>
      </c>
      <c r="BI202" s="3" t="s">
        <v>355</v>
      </c>
      <c r="BJ202">
        <f>AV20*AV30*AV36*AV41*AV47*AV54*AV60*AV65*AV71*AV77*AV81*AV87*AV93*AV102*AV105*AV114*AV120*AV126*AV132*AV138*AV141*AV148*AV155*AV160*AV163*AV167*AV171*AV175*AV179*AV183*AV187*AV191*AV196*AV199*AV203*AV207*AV211</f>
        <v>0</v>
      </c>
    </row>
    <row r="203" spans="45:98" x14ac:dyDescent="0.3">
      <c r="AS203" s="6" t="s">
        <v>981</v>
      </c>
      <c r="AT203" s="6">
        <f>COUNTIFS(AK:AK,"A",C:C,1)/COUNTIF(C:C,1)</f>
        <v>1</v>
      </c>
      <c r="AU203" s="6">
        <f>COUNTIFS(AK:AK,"A",C:C,2)/COUNTIF(C:C,2)</f>
        <v>1</v>
      </c>
      <c r="AV203" s="6">
        <f>COUNTIFS(AK:AK,"A",C:C,3)/COUNTIF(C:C,3)</f>
        <v>1</v>
      </c>
      <c r="AW203" s="6">
        <f>COUNTIFS(AK:AK,"A",C:C,4)/COUNTIF(C:C,4)</f>
        <v>1</v>
      </c>
      <c r="AX203" s="6">
        <f>COUNTIFS(AK:AK,"A",C:C,5)/COUNTIF(C:C,5)</f>
        <v>1</v>
      </c>
      <c r="AY203" s="6">
        <f>COUNTIFS(AK:AK,"A",C:C,6)/COUNTIF(C:C,6)</f>
        <v>0.6</v>
      </c>
      <c r="AZ203"/>
      <c r="BA203" s="45" t="s">
        <v>308</v>
      </c>
      <c r="BB203" s="45" t="s">
        <v>354</v>
      </c>
      <c r="BC203" s="45" t="s">
        <v>354</v>
      </c>
      <c r="BD203" s="45" t="s">
        <v>354</v>
      </c>
      <c r="BE203" s="45" t="s">
        <v>354</v>
      </c>
      <c r="BF203" s="45" t="s">
        <v>354</v>
      </c>
      <c r="BG203" s="45" t="s">
        <v>353</v>
      </c>
      <c r="BI203" t="s">
        <v>411</v>
      </c>
    </row>
    <row r="204" spans="45:98" x14ac:dyDescent="0.3">
      <c r="AS204" s="6" t="s">
        <v>982</v>
      </c>
      <c r="AT204" s="6">
        <f>COUNTIFS(AK:AK,"B",C:C,1)/COUNTIF(C:C,1)</f>
        <v>0</v>
      </c>
      <c r="AU204" s="6">
        <f>COUNTIFS(AK:AK,"B",C:C,2)/COUNTIF(C:C,2)</f>
        <v>0</v>
      </c>
      <c r="AV204" s="6">
        <f>COUNTIFS(AK:AK,"B",C:C,3)/COUNTIF(C:C,3)</f>
        <v>0</v>
      </c>
      <c r="AW204" s="6">
        <f>COUNTIFS(AK:AK,"B",C:C,4)/COUNTIF(C:C,4)</f>
        <v>0</v>
      </c>
      <c r="AX204" s="6">
        <f>COUNTIFS(AK:AK,"B",C:C,5)/COUNTIF(C:C,5)</f>
        <v>0</v>
      </c>
      <c r="AY204" s="6">
        <f>COUNTIFS(AK:AK,"B",C:C,6)/COUNTIF(C:C,6)</f>
        <v>0.4</v>
      </c>
      <c r="AZ204"/>
      <c r="BA204" s="45" t="s">
        <v>309</v>
      </c>
      <c r="BB204" s="45" t="s">
        <v>356</v>
      </c>
      <c r="BC204" s="45" t="s">
        <v>350</v>
      </c>
      <c r="BD204" s="45" t="s">
        <v>350</v>
      </c>
      <c r="BE204" s="45" t="s">
        <v>350</v>
      </c>
      <c r="BF204" s="45" t="s">
        <v>350</v>
      </c>
      <c r="BG204" s="45" t="s">
        <v>341</v>
      </c>
      <c r="BI204" s="3" t="s">
        <v>355</v>
      </c>
      <c r="BJ204">
        <f>AV21*AW30*AW36*AW41*AW47*AW54*AW60*AW65*AW71*AW77*AW81*AW87*AW93*AW102*AW105*AW114*AW120*AW126*AW132*AW138*AW141*AW148*AW155*AW160*AW163*AW167*AW171*AW175*AW179*AW183*AW187*AW191*AW196*AW199*AW203*AW207*AW211</f>
        <v>0</v>
      </c>
    </row>
    <row r="205" spans="45:98" x14ac:dyDescent="0.3">
      <c r="AZ205"/>
      <c r="BA205" s="47"/>
      <c r="BB205" s="47"/>
      <c r="BC205" s="47"/>
      <c r="BD205" s="47"/>
      <c r="BE205" s="47"/>
      <c r="BF205" s="47"/>
      <c r="BG205" s="47"/>
      <c r="BI205" t="s">
        <v>412</v>
      </c>
    </row>
    <row r="206" spans="45:98" x14ac:dyDescent="0.3">
      <c r="AS206" s="7" t="s">
        <v>983</v>
      </c>
      <c r="AT206" s="7">
        <v>1</v>
      </c>
      <c r="AU206" s="7">
        <v>2</v>
      </c>
      <c r="AV206" s="7">
        <v>3</v>
      </c>
      <c r="AW206" s="7">
        <v>4</v>
      </c>
      <c r="AX206" s="7">
        <v>5</v>
      </c>
      <c r="AY206" s="7">
        <v>6</v>
      </c>
      <c r="AZ206"/>
      <c r="BA206" s="44" t="s">
        <v>310</v>
      </c>
      <c r="BB206" s="44">
        <v>1</v>
      </c>
      <c r="BC206" s="44">
        <v>2</v>
      </c>
      <c r="BD206" s="44">
        <v>3</v>
      </c>
      <c r="BE206" s="44">
        <v>4</v>
      </c>
      <c r="BF206" s="44">
        <v>5</v>
      </c>
      <c r="BG206" s="44">
        <v>6</v>
      </c>
      <c r="BI206" s="3" t="s">
        <v>355</v>
      </c>
      <c r="BJ206">
        <f>AV22*AX30*AX36*AX41*AX47*AX54*AX60*AX65*AX71*AX77*AX81*AX87*AX93*AX102*AX105*AX114*AX120*AX126*AX132*AX138*AX141*AX148*AX155*AX160*AX163*AX167*AX171*AX175*AX179*AX183*AX187*AX191*AX196*AX199*AX203*AX207*AX211</f>
        <v>0</v>
      </c>
    </row>
    <row r="207" spans="45:98" x14ac:dyDescent="0.3">
      <c r="AS207" s="6" t="s">
        <v>984</v>
      </c>
      <c r="AT207" s="6">
        <f>COUNTIFS(AL:AL,"A",C:C,1)/COUNTIF(C:C,1)</f>
        <v>0.8</v>
      </c>
      <c r="AU207" s="6">
        <f>COUNTIFS(AL:AL,"A",C:C,2)/COUNTIF(C:C,2)</f>
        <v>0.6</v>
      </c>
      <c r="AV207" s="6">
        <f>COUNTIFS(AL:AL,"A",C:C,3)/COUNTIF(C:C,3)</f>
        <v>0.6</v>
      </c>
      <c r="AW207" s="6">
        <f>COUNTIFS(AL:AL,"A",C:C,4)/COUNTIF(C:C,4)</f>
        <v>0.5</v>
      </c>
      <c r="AX207" s="6">
        <f>COUNTIFS(AL:AL,"A",C:C,5)/COUNTIF(C:C,5)</f>
        <v>0.6</v>
      </c>
      <c r="AY207" s="6">
        <f>COUNTIFS(AL:AL,"A",C:C,6)/COUNTIF(C:C,6)</f>
        <v>0.7</v>
      </c>
      <c r="AZ207"/>
      <c r="BA207" s="45" t="s">
        <v>311</v>
      </c>
      <c r="BB207" s="45" t="s">
        <v>349</v>
      </c>
      <c r="BC207" s="45" t="s">
        <v>353</v>
      </c>
      <c r="BD207" s="45" t="s">
        <v>345</v>
      </c>
      <c r="BE207" s="45" t="s">
        <v>341</v>
      </c>
      <c r="BF207" s="45" t="s">
        <v>353</v>
      </c>
      <c r="BG207" s="45" t="s">
        <v>345</v>
      </c>
      <c r="BI207" t="s">
        <v>413</v>
      </c>
    </row>
    <row r="208" spans="45:98" x14ac:dyDescent="0.3">
      <c r="AS208" s="6" t="s">
        <v>985</v>
      </c>
      <c r="AT208" s="6">
        <f>COUNTIFS(AL:AL,"B",C:C,1)/COUNTIF(C:C,1)</f>
        <v>0.2</v>
      </c>
      <c r="AU208" s="6">
        <f>COUNTIFS(AL:AL,"B",C:C,2)/COUNTIF(C:C,2)</f>
        <v>0.4</v>
      </c>
      <c r="AV208" s="6">
        <f>COUNTIFS(AL:AL,"B",C:C,3)/COUNTIF(C:C,3)</f>
        <v>0.4</v>
      </c>
      <c r="AW208" s="6">
        <f>COUNTIFS(AL:AL,"B",C:C,4)/COUNTIF(C:C,4)</f>
        <v>0.5</v>
      </c>
      <c r="AX208" s="6">
        <f>COUNTIFS(AL:AL,"B",C:C,5)/COUNTIF(C:C,5)</f>
        <v>0.4</v>
      </c>
      <c r="AY208" s="6">
        <f>COUNTIFS(AL:AL,"B",C:C,6)/COUNTIF(C:C,6)</f>
        <v>0.3</v>
      </c>
      <c r="AZ208"/>
      <c r="BA208" s="45" t="s">
        <v>312</v>
      </c>
      <c r="BB208" s="45" t="s">
        <v>348</v>
      </c>
      <c r="BC208" s="45" t="s">
        <v>341</v>
      </c>
      <c r="BD208" s="45" t="s">
        <v>344</v>
      </c>
      <c r="BE208" s="45" t="s">
        <v>353</v>
      </c>
      <c r="BF208" s="45" t="s">
        <v>341</v>
      </c>
      <c r="BG208" s="45" t="s">
        <v>344</v>
      </c>
      <c r="BI208" s="3" t="s">
        <v>355</v>
      </c>
      <c r="BJ208">
        <f>AV23*AY30*AY36*AY41*AY47*AY54*AY60*AY65*AY71*AY77*AY81*AY87*AY93*AY102*AY105*AY114*AY120*AY126*AY132*AY138*AY141*AY148*AY155*AY160*AY163*AY167*AY171*AY175*AY179*AY183*AY187*AY191*AY196*AY199*AY203*AY207*AY211</f>
        <v>1.2901875976765443E-11</v>
      </c>
    </row>
    <row r="209" spans="44:98" x14ac:dyDescent="0.3">
      <c r="AZ209"/>
      <c r="BA209" s="47"/>
      <c r="BB209" s="47"/>
      <c r="BC209" s="47"/>
      <c r="BD209" s="47"/>
      <c r="BE209" s="47"/>
      <c r="BF209" s="47"/>
      <c r="BG209" s="47"/>
      <c r="BI209" s="24" t="s">
        <v>380</v>
      </c>
      <c r="BJ209" t="s">
        <v>373</v>
      </c>
      <c r="BK209" s="25" t="s">
        <v>379</v>
      </c>
    </row>
    <row r="210" spans="44:98" x14ac:dyDescent="0.3">
      <c r="AS210" s="7" t="s">
        <v>986</v>
      </c>
      <c r="AT210" s="7">
        <v>1</v>
      </c>
      <c r="AU210" s="7">
        <v>2</v>
      </c>
      <c r="AV210" s="7">
        <v>3</v>
      </c>
      <c r="AW210" s="7">
        <v>4</v>
      </c>
      <c r="AX210" s="7">
        <v>5</v>
      </c>
      <c r="AY210" s="7">
        <v>6</v>
      </c>
      <c r="AZ210"/>
      <c r="BA210" s="44" t="s">
        <v>313</v>
      </c>
      <c r="BB210" s="44">
        <v>1</v>
      </c>
      <c r="BC210" s="44">
        <v>2</v>
      </c>
      <c r="BD210" s="44">
        <v>3</v>
      </c>
      <c r="BE210" s="44">
        <v>4</v>
      </c>
      <c r="BF210" s="44">
        <v>5</v>
      </c>
      <c r="BG210" s="44">
        <v>6</v>
      </c>
    </row>
    <row r="211" spans="44:98" x14ac:dyDescent="0.3">
      <c r="AS211" s="6" t="s">
        <v>987</v>
      </c>
      <c r="AT211" s="6">
        <f>COUNTIFS(AM:AM,"A",C:C,1)/COUNTIF(C:C,1)</f>
        <v>0</v>
      </c>
      <c r="AU211" s="6">
        <f>COUNTIFS(AM:AM,"A",C:C,2)/COUNTIF(C:C,2)</f>
        <v>0.2</v>
      </c>
      <c r="AV211" s="6">
        <f>COUNTIFS(AM:AM,"A",C:C,3)/COUNTIF(C:C,3)</f>
        <v>0.1</v>
      </c>
      <c r="AW211" s="6">
        <f>COUNTIFS(AM:AM,"A",C:C,4)/COUNTIF(C:C,4)</f>
        <v>0</v>
      </c>
      <c r="AX211" s="6">
        <f>COUNTIFS(AM:AM,"A",C:C,5)/COUNTIF(C:C,5)</f>
        <v>0</v>
      </c>
      <c r="AY211" s="6">
        <f>COUNTIFS(AM:AM,"A",C:C,6)/COUNTIF(C:C,6)</f>
        <v>0.1</v>
      </c>
      <c r="AZ211"/>
      <c r="BA211" s="45" t="s">
        <v>314</v>
      </c>
      <c r="BB211" s="45" t="s">
        <v>350</v>
      </c>
      <c r="BC211" s="45" t="s">
        <v>348</v>
      </c>
      <c r="BD211" s="45" t="s">
        <v>348</v>
      </c>
      <c r="BE211" s="45" t="s">
        <v>350</v>
      </c>
      <c r="BF211" s="45" t="s">
        <v>350</v>
      </c>
      <c r="BG211" s="45" t="s">
        <v>348</v>
      </c>
      <c r="BI211" s="53" t="s">
        <v>414</v>
      </c>
      <c r="BJ211" s="24" t="s">
        <v>71</v>
      </c>
      <c r="BK211" s="1" t="s">
        <v>50</v>
      </c>
      <c r="BL211" s="1" t="s">
        <v>51</v>
      </c>
      <c r="BM211" s="1" t="s">
        <v>52</v>
      </c>
      <c r="BN211" s="1" t="s">
        <v>53</v>
      </c>
      <c r="BO211" s="1" t="s">
        <v>54</v>
      </c>
      <c r="BP211" s="1" t="s">
        <v>55</v>
      </c>
      <c r="BQ211" s="1" t="s">
        <v>56</v>
      </c>
      <c r="BR211" s="1" t="s">
        <v>57</v>
      </c>
      <c r="BS211" s="1" t="s">
        <v>58</v>
      </c>
      <c r="BT211" s="1" t="s">
        <v>59</v>
      </c>
      <c r="BU211" s="1" t="s">
        <v>60</v>
      </c>
      <c r="BV211" s="1" t="s">
        <v>61</v>
      </c>
      <c r="BW211" s="1" t="s">
        <v>62</v>
      </c>
      <c r="BX211" s="1" t="s">
        <v>63</v>
      </c>
      <c r="BY211" s="1" t="s">
        <v>64</v>
      </c>
      <c r="BZ211" s="1" t="s">
        <v>65</v>
      </c>
      <c r="CA211" s="1" t="s">
        <v>66</v>
      </c>
      <c r="CB211" s="1" t="s">
        <v>67</v>
      </c>
      <c r="CC211" s="1" t="s">
        <v>68</v>
      </c>
      <c r="CD211" s="1" t="s">
        <v>69</v>
      </c>
      <c r="CE211" s="1" t="s">
        <v>70</v>
      </c>
      <c r="CF211" s="1" t="s">
        <v>929</v>
      </c>
      <c r="CG211" s="1" t="s">
        <v>930</v>
      </c>
      <c r="CH211" s="1" t="s">
        <v>931</v>
      </c>
      <c r="CI211" s="1" t="s">
        <v>932</v>
      </c>
      <c r="CJ211" s="1" t="s">
        <v>933</v>
      </c>
      <c r="CK211" s="1" t="s">
        <v>934</v>
      </c>
      <c r="CL211" s="1" t="s">
        <v>935</v>
      </c>
      <c r="CM211" s="1" t="s">
        <v>936</v>
      </c>
      <c r="CN211" s="1" t="s">
        <v>937</v>
      </c>
      <c r="CO211" s="1" t="s">
        <v>938</v>
      </c>
      <c r="CP211" s="1" t="s">
        <v>939</v>
      </c>
      <c r="CQ211" s="1" t="s">
        <v>940</v>
      </c>
      <c r="CR211" s="1" t="s">
        <v>941</v>
      </c>
      <c r="CS211" s="1" t="s">
        <v>942</v>
      </c>
      <c r="CT211" s="1" t="s">
        <v>1008</v>
      </c>
    </row>
    <row r="212" spans="44:98" x14ac:dyDescent="0.3">
      <c r="AS212" s="6" t="s">
        <v>988</v>
      </c>
      <c r="AT212" s="6">
        <f>COUNTIFS(AM:AM,"B",C:C,1)/COUNTIF(C:C,1)</f>
        <v>1</v>
      </c>
      <c r="AU212" s="6">
        <f>COUNTIFS(AM:AM,"B",C:C,2)/COUNTIF(C:C,2)</f>
        <v>0.8</v>
      </c>
      <c r="AV212" s="6">
        <f>COUNTIFS(AM:AM,"B",C:C,3)/COUNTIF(C:C,3)</f>
        <v>0.9</v>
      </c>
      <c r="AW212" s="6">
        <f>COUNTIFS(AM:AM,"B",C:C,4)/COUNTIF(C:C,4)</f>
        <v>1</v>
      </c>
      <c r="AX212" s="6">
        <f>COUNTIFS(AM:AM,"B",C:C,5)/COUNTIF(C:C,5)</f>
        <v>1</v>
      </c>
      <c r="AY212" s="6">
        <f>COUNTIFS(AM:AM,"B",C:C,6)/COUNTIF(C:C,6)</f>
        <v>0.9</v>
      </c>
      <c r="AZ212"/>
      <c r="BA212" s="45" t="s">
        <v>315</v>
      </c>
      <c r="BB212" s="45" t="s">
        <v>354</v>
      </c>
      <c r="BC212" s="45" t="s">
        <v>349</v>
      </c>
      <c r="BD212" s="45" t="s">
        <v>349</v>
      </c>
      <c r="BE212" s="45" t="s">
        <v>354</v>
      </c>
      <c r="BF212" s="45" t="s">
        <v>354</v>
      </c>
      <c r="BG212" s="45" t="s">
        <v>349</v>
      </c>
      <c r="BI212" s="53"/>
      <c r="BJ212" s="24">
        <v>2</v>
      </c>
      <c r="BK212" t="s">
        <v>5</v>
      </c>
      <c r="BL212" t="s">
        <v>5</v>
      </c>
      <c r="BM212" t="s">
        <v>3</v>
      </c>
      <c r="BN212" t="s">
        <v>5</v>
      </c>
      <c r="BO212" t="s">
        <v>5</v>
      </c>
      <c r="BP212" t="s">
        <v>5</v>
      </c>
      <c r="BQ212" t="s">
        <v>5</v>
      </c>
      <c r="BR212" t="s">
        <v>2</v>
      </c>
      <c r="BS212" t="s">
        <v>2</v>
      </c>
      <c r="BT212" t="s">
        <v>4</v>
      </c>
      <c r="BU212" t="s">
        <v>4</v>
      </c>
      <c r="BV212" t="s">
        <v>2</v>
      </c>
      <c r="BW212" t="s">
        <v>5</v>
      </c>
      <c r="BX212" t="s">
        <v>4</v>
      </c>
      <c r="BY212" t="s">
        <v>2</v>
      </c>
      <c r="BZ212" t="s">
        <v>5</v>
      </c>
      <c r="CA212" t="s">
        <v>3</v>
      </c>
      <c r="CB212" t="s">
        <v>4</v>
      </c>
      <c r="CC212" t="s">
        <v>5</v>
      </c>
      <c r="CD212" t="s">
        <v>2</v>
      </c>
      <c r="CE212" t="s">
        <v>4</v>
      </c>
      <c r="CF212" t="s">
        <v>4</v>
      </c>
      <c r="CG212" t="s">
        <v>3</v>
      </c>
      <c r="CH212" t="s">
        <v>4</v>
      </c>
      <c r="CI212" t="s">
        <v>4</v>
      </c>
      <c r="CJ212" t="s">
        <v>4</v>
      </c>
      <c r="CK212" t="s">
        <v>4</v>
      </c>
      <c r="CL212" t="s">
        <v>4</v>
      </c>
      <c r="CM212" t="s">
        <v>4</v>
      </c>
      <c r="CN212" t="s">
        <v>3</v>
      </c>
      <c r="CO212" t="s">
        <v>4</v>
      </c>
      <c r="CP212" t="s">
        <v>3</v>
      </c>
      <c r="CQ212" t="s">
        <v>4</v>
      </c>
      <c r="CR212" t="s">
        <v>4</v>
      </c>
      <c r="CS212" t="s">
        <v>4</v>
      </c>
      <c r="CT212" t="s">
        <v>3</v>
      </c>
    </row>
    <row r="213" spans="44:98" x14ac:dyDescent="0.3">
      <c r="AZ213"/>
      <c r="BI213" t="s">
        <v>415</v>
      </c>
    </row>
    <row r="214" spans="44:98" x14ac:dyDescent="0.3">
      <c r="AR214" t="s">
        <v>676</v>
      </c>
      <c r="BG214" s="22"/>
      <c r="BI214" s="3" t="s">
        <v>355</v>
      </c>
      <c r="BJ214">
        <f>AV18*AT30*AT36*AT40*AT48*AT54*AT60*AT66*AT71*AT77*AT81*AT87*AT95*AT102*AT105*AT113*AT120*AT124*AT129*AT138*AT143*AT147*AT153*AT160*AT163*AT167*AT171*AT175*AT179*AT183*AT188*AT191*AT196*AT199*AT203*AT207*AT212</f>
        <v>0</v>
      </c>
    </row>
    <row r="215" spans="44:98" x14ac:dyDescent="0.3">
      <c r="AR215" s="28" t="s">
        <v>383</v>
      </c>
      <c r="AS215" s="28" t="s">
        <v>372</v>
      </c>
      <c r="AT215" s="28" t="s">
        <v>373</v>
      </c>
      <c r="AU215" s="28" t="s">
        <v>374</v>
      </c>
      <c r="AV215" s="28" t="s">
        <v>375</v>
      </c>
      <c r="AW215" s="28" t="s">
        <v>376</v>
      </c>
      <c r="AX215" s="28" t="s">
        <v>377</v>
      </c>
      <c r="AY215" s="29" t="s">
        <v>746</v>
      </c>
      <c r="AZ215" s="29" t="s">
        <v>380</v>
      </c>
      <c r="BA215" s="29" t="s">
        <v>675</v>
      </c>
      <c r="BC215" s="30"/>
      <c r="BG215" s="22"/>
      <c r="BI215" t="s">
        <v>416</v>
      </c>
    </row>
    <row r="216" spans="44:98" x14ac:dyDescent="0.3">
      <c r="AR216">
        <v>1</v>
      </c>
      <c r="AS216" s="25">
        <f>AV18*AT29*AT34*AT39*AT48*AT54*AT60*AT65*AT71*AT76*AT83*AT87*AT95*AT102*AT106*AT112*AT120*AT126*AT132*AT137*AT141*AT148*AT153*AT159*AT163*AT167*AT171*AT175*AT179*AT184*AT187*AT191*AT196*AT199*AT203*AT207*AT212</f>
        <v>1.3937211703295993E-9</v>
      </c>
      <c r="AT216">
        <f>AV19*AU29*AU34*AU39*AU48*AU54*AU60*AU65*AU71*AU76*AU83*AU87*AU95*AU102*AU106*AU112*AU120*AU126*AU132*AU137*AU141*AU148*AU153*AU159*AU163*AU167*AU171*AU175*AU179*AU184*AU187*AU191*AU196*AU199*AU203*AU207*AU212</f>
        <v>0</v>
      </c>
      <c r="AU216">
        <f>AV20*AV29*AV34*AV39*AV48*AV54*AV60*AV65*AV71*AV76*AV83*AV87*AV95*AV102*AV106*AV112*AV120*AV126*AV132*AV137*AV141*AV148*AV153*AV159*AV163*AV167*AV171*AV175*AV179*AV184*AV187*AV191*AV196*AV199*AV203*AV207*AV212</f>
        <v>0</v>
      </c>
      <c r="AV216">
        <f>AV21*AW29*AW34*AW39*AW48*AW54*AW60*AW65*AW71*AW76*AW83*AW87*AW95*AW102*AW106*AW112*AW120*AW126*AW132*AW137*AW141*AW148*AW153*AW159*AW163*AW167*AW171*AW175*AW179*AW184*AW187*AW191*AW196*AW199*AW203*AW207*AW212</f>
        <v>0</v>
      </c>
      <c r="AW216">
        <f>AV22*AX29*AX34*AX39*AX48*AX54*AX60*AX65*AX71*AX76*AX83*AX87*AX95*AX102*AX106*AX112*AX120*AX126*AX132*AX137*AX141*AX148*AX153*AX159*AX163*AX167*AX171*AX175*AX179*AX184*AX187*AX191*AX196*AX199*AX203*AX207*AX212</f>
        <v>0</v>
      </c>
      <c r="AX216">
        <f>AV23*AY29*AY34*AY39*AY48*AY54*AY60*AY65*AY71*AY76*AY83*AY87*AY95*AY102*AY106*AY112*AY120*AY126*AY132*AY137*AY141*AY148*AY153*AY159*AY163*AY167*AY171*AY175*AY179*AY184*AY187*AY191*AY196*AY199*AY203*AY207*AY212</f>
        <v>0</v>
      </c>
      <c r="AY216" t="s">
        <v>378</v>
      </c>
      <c r="AZ216" t="s">
        <v>378</v>
      </c>
      <c r="BA216" s="25" t="s">
        <v>379</v>
      </c>
      <c r="BG216" s="22"/>
      <c r="BI216" s="3" t="s">
        <v>355</v>
      </c>
      <c r="BJ216">
        <f>AV19*AU30*AU36*AU40*AU48*AU54*AU60*AU66*AU71*AU77*AU81*AU87*AU95*AU102*AU105*AU114*AU120*AU124*AU129*AU138*AU143*AU147*AU153*AU160*AU163*AU167*AU171*AU175*AU179*AU183*AU188*AU191*AU196*AU199*AU203*AU207*AU212</f>
        <v>1.7635968000000006E-9</v>
      </c>
    </row>
    <row r="217" spans="44:98" x14ac:dyDescent="0.3">
      <c r="AR217">
        <v>2</v>
      </c>
      <c r="AS217" s="25">
        <f>AV18*AT30*AT34*AT41*AT46*AT54*AT58*AT66*AT71*AT77*AT82*AT88*AT93*AT102*AT106*AT112*AT120*AT126*AT132*AT135*AT141*AT147*AT156*AT160*AT163*AT167*AT171*AT175*AT179*AT183*AT188*AT191*AT196*AT199*AT203*AT207*AT212</f>
        <v>8.8096943112191988E-9</v>
      </c>
      <c r="AT217">
        <f>AV19*AU30*AU34*AU41*AU46*AU54*AU58*AU66*AU71*AU77*AU82*AU88*AU93*AU102*AU106*AU112*AU120*AU126*AU132*AU135*AU141*AU147*AU156*AU160*AU163*AU167*AU171*AU175*AU179*AU183*AU188*AU191*AU196*AU199*AU203*AU207*AU212</f>
        <v>0</v>
      </c>
      <c r="AU217">
        <f>AV20*AV30*AV34*AV41*AV46*AV54*AV58*AV66*AV71*AV77*AV82*AV88*AV93*AV102*AV106*AV112*AV120*AV126*AV132*AV135*AV141*AV147*AV156*AV160*AV163*AV167*AV171*AV175*AV179*AV183*AV188*AV191*AV196*AV199*AV203*AV207*AV212</f>
        <v>0</v>
      </c>
      <c r="AV217">
        <v>0</v>
      </c>
      <c r="AW217">
        <v>0</v>
      </c>
      <c r="AX217">
        <v>0</v>
      </c>
      <c r="AY217" t="s">
        <v>378</v>
      </c>
      <c r="AZ217" t="s">
        <v>378</v>
      </c>
      <c r="BA217" s="25" t="s">
        <v>379</v>
      </c>
      <c r="BG217" s="22"/>
      <c r="BI217" t="s">
        <v>417</v>
      </c>
    </row>
    <row r="218" spans="44:98" x14ac:dyDescent="0.3">
      <c r="AR218">
        <v>3</v>
      </c>
      <c r="AS218">
        <f>AV18*AT29*AT34*AT39*AT48*AT54*AT60*AT66*AT71*AT76*AT82*AT87*AT94*AT102*AT106*AT112*AT120*AT126*AT132*AT137*AT141*AT148*AT155*AT160*AT163*AT167*AT171*AT175*AT179*AT183*AT187*AT191*AT195*AT199*AT203*AT208*AT212</f>
        <v>1.8970093707264001E-8</v>
      </c>
      <c r="AT218" s="26">
        <f>AV19*AU29*AU34*AU39*AU48*AU54*AU60*AU66*AU71*AU76*AU82*AU87*AU94*AU102*AU106*AU112*AU120*AU126*AU132*AU137*AU141*AU148*AU155*AU160*AU163*AU167*AU171*AU175*AU179*AU183*AU187*AU191*AU195*AU199*AU203*AU208*AU212</f>
        <v>7.3156608000000012E-12</v>
      </c>
      <c r="AU218">
        <v>0</v>
      </c>
      <c r="AV218">
        <v>0</v>
      </c>
      <c r="AW218">
        <v>0</v>
      </c>
      <c r="AX218">
        <v>0</v>
      </c>
      <c r="AY218" s="26" t="s">
        <v>378</v>
      </c>
      <c r="AZ218" s="26" t="s">
        <v>696</v>
      </c>
      <c r="BA218" s="26" t="s">
        <v>381</v>
      </c>
      <c r="BG218" s="22"/>
      <c r="BI218" s="3" t="s">
        <v>355</v>
      </c>
      <c r="BJ218">
        <f>AV20*AV30*AV36*AV40*AV48*AV54*AV60*AV66*AV71*AV77*AV81*AV87*AV95*AV102*AV105*AV114*AV120*AV124*AV129*AV138*AV143*AV147*AV153*AV160*AV163*AV167*AV171*AV175*AV179*AV183*AV188*AV191*AV196*AV199*AV203*AV207*AV212</f>
        <v>0</v>
      </c>
    </row>
    <row r="219" spans="44:98" x14ac:dyDescent="0.3">
      <c r="AR219">
        <v>4</v>
      </c>
      <c r="AS219" s="25">
        <f>AV18*AT30*AT34*AT41*AT46*AT54*AT60*AT66*AT71*AT76*AT82*AT87*AT95*AT102*AT106*AT113*AT120*AT125*AT131*AT136*AT141*AT148*AT154*AT160*AT163*AT167*AT171*AT175*AT179*AT183*AT188*AT191*AT196*AT199*AT203*AT207*AT212</f>
        <v>1.1012117889023999E-8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378</v>
      </c>
      <c r="AZ219" t="s">
        <v>378</v>
      </c>
      <c r="BA219" s="25" t="s">
        <v>379</v>
      </c>
      <c r="BG219" s="22"/>
      <c r="BI219" t="s">
        <v>418</v>
      </c>
    </row>
    <row r="220" spans="44:98" x14ac:dyDescent="0.3">
      <c r="AR220">
        <v>5</v>
      </c>
      <c r="AS220" s="25">
        <f>AV18*AT29*AT34*AT40*AT48*AT54*AT58*AT65*AT71*AT77*AT82*AT87*AT96*AT102*AT106*AT112*AT120*AT126*AT132*AT138*AT141*AT148*AT155*AT160*AT163*AT167*AT171*AT175*AT179*AT184*AT188*AT191*AT195*AT199*AT203*AT207*AT212</f>
        <v>8.2590884167679996E-9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378</v>
      </c>
      <c r="AZ220" t="s">
        <v>378</v>
      </c>
      <c r="BA220" s="25" t="s">
        <v>379</v>
      </c>
      <c r="BG220" s="22"/>
      <c r="BI220" s="3" t="s">
        <v>355</v>
      </c>
      <c r="BJ220">
        <f>AV21*AW30*AW36*AW40*AW48*AW54*AW60*AW66*AW71*AW77*AW81*AW87*AW95*AW102*AW105*AW114*AW120*AW124*AW129*AW138*AW143*AW147*AW153*AW160*AW163*AW167*AW171*AW175*AW179*AW183*AW188*AW191*AW196*AW199*AW203*AW207*AW212</f>
        <v>0</v>
      </c>
    </row>
    <row r="221" spans="44:98" x14ac:dyDescent="0.3">
      <c r="AR221">
        <v>6</v>
      </c>
      <c r="AS221" s="25">
        <f>AV18*AT28*AT34*AT41*AT48*AT54*AT58*AT66*AT71*AT77*AT83*AT88*AT94*AT102*AT106*AT112*AT120*AT126*AT132*AT138*AT141*AT148*AT155*AT160*AT163*AT167*AT171*AT175*AT179*AT183*AT188*AT191*AT196*AT199*AT203*AT207*AT212</f>
        <v>4.4048471556096021E-7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378</v>
      </c>
      <c r="AZ221" t="s">
        <v>378</v>
      </c>
      <c r="BA221" s="25" t="s">
        <v>379</v>
      </c>
      <c r="BG221" s="22"/>
      <c r="BI221" t="s">
        <v>419</v>
      </c>
    </row>
    <row r="222" spans="44:98" x14ac:dyDescent="0.3">
      <c r="AR222">
        <v>7</v>
      </c>
      <c r="AS222" s="25">
        <f>AV18*AT28*AT34*AT39*AT46*AT54*AT60*AT65*AT71*AT76*AT82*AT87*AT96*AT102*AT106*AT113*AT119*AT125*AT131*AT138*AT141*AT147*AT153*AT160*AT163*AT167*AT171*AT175*AT179*AT183*AT188*AT191*AT196*AT199*AT203*AT208*AT212</f>
        <v>7.5848771174400007E-10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378</v>
      </c>
      <c r="AZ222" t="s">
        <v>378</v>
      </c>
      <c r="BA222" s="25" t="s">
        <v>379</v>
      </c>
      <c r="BG222" s="22"/>
      <c r="BI222" s="3" t="s">
        <v>355</v>
      </c>
      <c r="BJ222">
        <f>AV22*AX30*AX36*AX40*AX48*AX54*AX60*AX66*AX71*AX77*AX81*AX87*AX95*AX102*AX105*AX114*AX120*AX124*AX129*AX138*AX143*AX147*AX153*AX160*AX163*AX167*AX171*AX175*AX179*AX183*AX188*AX191*AX196*AX199*AX203*AX207*AX212</f>
        <v>0</v>
      </c>
    </row>
    <row r="223" spans="44:98" x14ac:dyDescent="0.3">
      <c r="AR223">
        <v>8</v>
      </c>
      <c r="AS223" s="25">
        <f>AV18*AT28*AT36*AT40*AT48*AT54*AT60*AT66*AT71*AT76*AT82*AT88*AT93*AT102*AT106*AT111*AT120*AT126*AT132*AT136*AT141*AT148*AT155*AT160*AT163*AT167*AT171*AT175*AT179*AT183*AT188*AT191*AT196*AT199*AT203*AT207*AT212</f>
        <v>8.9932296093695995E-8</v>
      </c>
      <c r="AT223">
        <f>AV19*AU28*AU36*AU40*AU48*AU54*AU60*AU66*AU71*AU76*AU82*AU88*AU93*AU102*AU106*AU111*AU120*AU126*AU132*AU136*AU141*AU148*AU155*AU160*AU163*AU167*AU171*AU175*AU179*AU183*AU188*AU191*AU196*AU199*AU203*AU207*AU212</f>
        <v>2.7653197824000008E-9</v>
      </c>
      <c r="AU223">
        <v>0</v>
      </c>
      <c r="AV223">
        <v>0</v>
      </c>
      <c r="AW223">
        <v>0</v>
      </c>
      <c r="AX223">
        <v>0</v>
      </c>
      <c r="AY223" t="s">
        <v>378</v>
      </c>
      <c r="AZ223" t="s">
        <v>378</v>
      </c>
      <c r="BA223" s="25" t="s">
        <v>379</v>
      </c>
      <c r="BG223" s="22"/>
      <c r="BI223" t="s">
        <v>420</v>
      </c>
    </row>
    <row r="224" spans="44:98" x14ac:dyDescent="0.3">
      <c r="AR224">
        <v>9</v>
      </c>
      <c r="AS224" s="25">
        <f>AV18*AT28*AT34*AT41*AT46*AT54*AT60*AT66*AT71*AT77*AT83*AT88*AT95*AT102*AT106*AT112*AT120*AT126*AT132*AT137*AT141*AT148*AT153*AT160*AT163*AT167*AT171*AT175*AT179*AT183*AT188*AT191*AT196*AT199*AT203*AT207*AT212</f>
        <v>4.6250895133900803E-7</v>
      </c>
      <c r="AT224">
        <f>AV19*AU28*AU34*AU41*AU46*AU54*AU60*AU66*AU71*AU77*AU83*AU88*AU95*AU102*AU106*AU112*AU120*AU126*AU132*AU137*AU141*AU148*AU153*AU160*AU163*AU167*AU171*AU175*AU179*AU183*AU188*AU191*AU196*AU199*AU203*AU207*AU212</f>
        <v>1.2962436480000001E-9</v>
      </c>
      <c r="AU224">
        <v>0</v>
      </c>
      <c r="AV224">
        <v>0</v>
      </c>
      <c r="AW224">
        <v>0</v>
      </c>
      <c r="AX224">
        <v>0</v>
      </c>
      <c r="AY224" t="s">
        <v>378</v>
      </c>
      <c r="AZ224" t="s">
        <v>378</v>
      </c>
      <c r="BA224" s="25" t="s">
        <v>379</v>
      </c>
      <c r="BG224" s="22"/>
      <c r="BI224" s="3" t="s">
        <v>355</v>
      </c>
      <c r="BJ224">
        <f>AV23*AY30*AY36*AY40*AY48*AY54*AY60*AY66*AY71*AY77*AY81*AY87*AY95*AY102*AY105*AY114*AY120*AY124*AY129*AY138*AY143*AY147*AY153*AY160*AY163*AY167*AY171*AY175*AY179*AY183*AY188*AY191*AY196*AY199*AY203*AY207*AY212</f>
        <v>0</v>
      </c>
    </row>
    <row r="225" spans="44:98" x14ac:dyDescent="0.3">
      <c r="AR225">
        <v>10</v>
      </c>
      <c r="AS225" s="25">
        <f>AV18*AT28*AT36*AT41*AT48*AT54*AT60*AT66*AT71*AT76*AT82*AT89*AT93*AT99*AT106*AT111*AT119*AT125*AT131*AT138*AT141*AT147*AT155*AT160*AT163*AT167*AT171*AT175*AT179*AT183*AT188*AT191*AT196*AT199*AT203*AT207*AT212</f>
        <v>2.458062028800001E-10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378</v>
      </c>
      <c r="AZ225" t="s">
        <v>378</v>
      </c>
      <c r="BA225" s="25" t="s">
        <v>379</v>
      </c>
      <c r="BG225" s="22"/>
      <c r="BI225" t="s">
        <v>380</v>
      </c>
      <c r="BJ225" t="s">
        <v>373</v>
      </c>
      <c r="BK225" s="25" t="s">
        <v>379</v>
      </c>
    </row>
    <row r="226" spans="44:98" x14ac:dyDescent="0.3">
      <c r="AR226">
        <v>11</v>
      </c>
      <c r="AS226">
        <f>AV18*AT27*AT36*AT40*AT46*AT54*AT60*AT66*AT71*AT77*AT82*AT87*AT95*AT102*AT106*AT111*AT120*AT126*AT132*AT135*AT141*AT147*AT153*AT160*AT163*AT167*AT171*AT175*AT179*AT183*AT188*AT191*AT195*AT199*AT203*AT208*AT212</f>
        <v>0</v>
      </c>
      <c r="AT226" s="25">
        <f>AV19*AU27*AU36*AU40*AU46*AU54*AU60*AU66*AU71*AU77*AU82*AU87*AU95*AU102*AU106*AU111*AU120*AU126*AU132*AU135*AU141*AU147*AU153*AU160*AU163*AU167*AU171*AU175*AU179*AU183*AU188*AU191*AU195*AU199*AU203*AU208*AU212</f>
        <v>3.9504568320000011E-8</v>
      </c>
      <c r="AU226">
        <v>0</v>
      </c>
      <c r="AV226">
        <v>0</v>
      </c>
      <c r="AW226">
        <v>0</v>
      </c>
      <c r="AX226">
        <v>0</v>
      </c>
      <c r="AY226" t="s">
        <v>696</v>
      </c>
      <c r="AZ226" t="s">
        <v>696</v>
      </c>
      <c r="BA226" s="25" t="s">
        <v>379</v>
      </c>
      <c r="BG226" s="22"/>
    </row>
    <row r="227" spans="44:98" x14ac:dyDescent="0.3">
      <c r="AR227">
        <v>12</v>
      </c>
      <c r="AS227">
        <v>0</v>
      </c>
      <c r="AT227" s="25">
        <f>AV19*AU30*AU34*AU39*AU46*AU54*AU60*AU64*AU69*AU76*AU82*AU87*AU93*AU102*AU106*AU111*AU120*AU126*AU132*AU135*AU141*AU147*AU153*AU160*AU163*AU167*AU171*AU175*AU179*AU183*AU188*AU191*AU196*AU199*AU203*AU207*AU212</f>
        <v>2.0483850240000005E-10</v>
      </c>
      <c r="AU227">
        <v>0</v>
      </c>
      <c r="AV227">
        <v>0</v>
      </c>
      <c r="AW227">
        <v>0</v>
      </c>
      <c r="AX227">
        <v>0</v>
      </c>
      <c r="AY227" t="s">
        <v>696</v>
      </c>
      <c r="AZ227" t="s">
        <v>696</v>
      </c>
      <c r="BA227" s="25" t="s">
        <v>379</v>
      </c>
      <c r="BG227" s="22"/>
      <c r="BI227" s="53" t="s">
        <v>421</v>
      </c>
      <c r="BJ227" s="24" t="s">
        <v>71</v>
      </c>
      <c r="BK227" s="1" t="s">
        <v>50</v>
      </c>
      <c r="BL227" s="1" t="s">
        <v>51</v>
      </c>
      <c r="BM227" s="1" t="s">
        <v>52</v>
      </c>
      <c r="BN227" s="1" t="s">
        <v>53</v>
      </c>
      <c r="BO227" s="1" t="s">
        <v>54</v>
      </c>
      <c r="BP227" s="1" t="s">
        <v>55</v>
      </c>
      <c r="BQ227" s="1" t="s">
        <v>56</v>
      </c>
      <c r="BR227" s="1" t="s">
        <v>57</v>
      </c>
      <c r="BS227" s="1" t="s">
        <v>58</v>
      </c>
      <c r="BT227" s="1" t="s">
        <v>59</v>
      </c>
      <c r="BU227" s="1" t="s">
        <v>60</v>
      </c>
      <c r="BV227" s="1" t="s">
        <v>61</v>
      </c>
      <c r="BW227" s="1" t="s">
        <v>62</v>
      </c>
      <c r="BX227" s="1" t="s">
        <v>63</v>
      </c>
      <c r="BY227" s="1" t="s">
        <v>64</v>
      </c>
      <c r="BZ227" s="1" t="s">
        <v>65</v>
      </c>
      <c r="CA227" s="1" t="s">
        <v>66</v>
      </c>
      <c r="CB227" s="1" t="s">
        <v>67</v>
      </c>
      <c r="CC227" s="1" t="s">
        <v>68</v>
      </c>
      <c r="CD227" s="1" t="s">
        <v>69</v>
      </c>
      <c r="CE227" s="1" t="s">
        <v>70</v>
      </c>
      <c r="CF227" s="1" t="s">
        <v>929</v>
      </c>
      <c r="CG227" s="1" t="s">
        <v>930</v>
      </c>
      <c r="CH227" s="1" t="s">
        <v>931</v>
      </c>
      <c r="CI227" s="1" t="s">
        <v>932</v>
      </c>
      <c r="CJ227" s="1" t="s">
        <v>933</v>
      </c>
      <c r="CK227" s="1" t="s">
        <v>934</v>
      </c>
      <c r="CL227" s="1" t="s">
        <v>935</v>
      </c>
      <c r="CM227" s="1" t="s">
        <v>936</v>
      </c>
      <c r="CN227" s="1" t="s">
        <v>937</v>
      </c>
      <c r="CO227" s="1" t="s">
        <v>938</v>
      </c>
      <c r="CP227" s="1" t="s">
        <v>939</v>
      </c>
      <c r="CQ227" s="1" t="s">
        <v>940</v>
      </c>
      <c r="CR227" s="1" t="s">
        <v>941</v>
      </c>
      <c r="CS227" s="1" t="s">
        <v>942</v>
      </c>
      <c r="CT227" s="1" t="s">
        <v>1008</v>
      </c>
    </row>
    <row r="228" spans="44:98" x14ac:dyDescent="0.3">
      <c r="AR228">
        <v>13</v>
      </c>
      <c r="AS228">
        <v>0</v>
      </c>
      <c r="AT228" s="25">
        <f>AV19*AU30*AU36*AU41*AU47*AU54*AU60*AU65*AU71*AU77*AU81*AU87*AU93*AU102*AU105*AU114*AU120*AU126*AU132*AU138*AU141*AU148*AU155*AU160*AU163*AU167*AU171*AU175*AU179*AU183*AU187*AU191*AU196*AU199*AU203*AU207*AU211</f>
        <v>2.6336378880000008E-10</v>
      </c>
      <c r="AU228">
        <v>0</v>
      </c>
      <c r="AV228">
        <v>0</v>
      </c>
      <c r="AW228">
        <v>0</v>
      </c>
      <c r="AX228">
        <f>AV23*AY30*AY36*AY41*AY47*AY54*AY60*AY65*AY71*AY77*AY81*AY87*AY93*AY102*AY105*AY114*AY120*AY126*AY132*AY138*AY141*AY148*AY155*AY160*AY163*AY167*AY171*AY175*AY179*AY183*AY187*AY191*AY196*AY199*AY203*AY207*AY211</f>
        <v>1.2901875976765443E-11</v>
      </c>
      <c r="AY228" t="s">
        <v>696</v>
      </c>
      <c r="AZ228" t="s">
        <v>696</v>
      </c>
      <c r="BA228" s="25" t="s">
        <v>379</v>
      </c>
      <c r="BG228" s="22"/>
      <c r="BI228" s="53"/>
      <c r="BJ228" s="24">
        <v>2</v>
      </c>
      <c r="BK228" t="s">
        <v>2</v>
      </c>
      <c r="BL228" t="s">
        <v>5</v>
      </c>
      <c r="BM228" t="s">
        <v>4</v>
      </c>
      <c r="BN228" t="s">
        <v>5</v>
      </c>
      <c r="BO228" t="s">
        <v>5</v>
      </c>
      <c r="BP228" t="s">
        <v>5</v>
      </c>
      <c r="BQ228" t="s">
        <v>2</v>
      </c>
      <c r="BR228" t="s">
        <v>2</v>
      </c>
      <c r="BS228" t="s">
        <v>3</v>
      </c>
      <c r="BT228" t="s">
        <v>4</v>
      </c>
      <c r="BU228" t="s">
        <v>4</v>
      </c>
      <c r="BV228" t="s">
        <v>5</v>
      </c>
      <c r="BW228" t="s">
        <v>5</v>
      </c>
      <c r="BX228" t="s">
        <v>4</v>
      </c>
      <c r="BY228" t="s">
        <v>5</v>
      </c>
      <c r="BZ228" t="s">
        <v>5</v>
      </c>
      <c r="CA228" t="s">
        <v>2</v>
      </c>
      <c r="CB228" t="s">
        <v>5</v>
      </c>
      <c r="CC228" t="s">
        <v>5</v>
      </c>
      <c r="CD228" t="s">
        <v>4</v>
      </c>
      <c r="CE228" t="s">
        <v>4</v>
      </c>
      <c r="CF228" t="s">
        <v>4</v>
      </c>
      <c r="CG228" t="s">
        <v>3</v>
      </c>
      <c r="CH228" t="s">
        <v>4</v>
      </c>
      <c r="CI228" t="s">
        <v>4</v>
      </c>
      <c r="CJ228" t="s">
        <v>4</v>
      </c>
      <c r="CK228" t="s">
        <v>4</v>
      </c>
      <c r="CL228" t="s">
        <v>4</v>
      </c>
      <c r="CM228" t="s">
        <v>4</v>
      </c>
      <c r="CN228" t="s">
        <v>3</v>
      </c>
      <c r="CO228" t="s">
        <v>4</v>
      </c>
      <c r="CP228" t="s">
        <v>3</v>
      </c>
      <c r="CQ228" t="s">
        <v>4</v>
      </c>
      <c r="CR228" t="s">
        <v>4</v>
      </c>
      <c r="CS228" t="s">
        <v>4</v>
      </c>
      <c r="CT228" t="s">
        <v>3</v>
      </c>
    </row>
    <row r="229" spans="44:98" x14ac:dyDescent="0.3">
      <c r="AR229">
        <v>14</v>
      </c>
      <c r="AS229">
        <v>0</v>
      </c>
      <c r="AT229" s="25">
        <f>AV19*AU30*AU36*AU40*AU48*AU54*AU60*AU66*AU71*AU77*AU81*AU87*AU95*AU102*AU105*AU114*AU120*AU124*AU129*AU138*AU143*AU147*AU153*AU160*AU163*AU167*AU171*AU175*AU179*AU183*AU188*AU191*AU196*AU199*AU203*AU207*AU212</f>
        <v>1.7635968000000006E-9</v>
      </c>
      <c r="AU229">
        <v>0</v>
      </c>
      <c r="AV229">
        <v>0</v>
      </c>
      <c r="AW229">
        <v>0</v>
      </c>
      <c r="AX229">
        <v>0</v>
      </c>
      <c r="AY229" t="s">
        <v>696</v>
      </c>
      <c r="AZ229" t="s">
        <v>696</v>
      </c>
      <c r="BA229" s="25" t="s">
        <v>379</v>
      </c>
      <c r="BG229" s="22"/>
      <c r="BI229" t="s">
        <v>422</v>
      </c>
    </row>
    <row r="230" spans="44:98" x14ac:dyDescent="0.3">
      <c r="AR230">
        <v>15</v>
      </c>
      <c r="AT230" s="25">
        <f>AV19*AU29*AU36*AU39*AU48*AU54*AU60*AU65*AU71*AU76*AU81*AU87*AU96*AU102*AU105*AU114*AU120*AU125*AU132*AU138*AU141*AU147*AU153*AU160*AU163*AU167*AU171*AU175*AU179*AU183*AU188*AU191*AU196*AU199*AU203*AU207*AU212</f>
        <v>6.5013232435200005E-9</v>
      </c>
      <c r="AU230">
        <f>AV20*AV29*AV36*AV39*AV48*AV54*AV60*AV65*AV71*AV76*AV81*AV87*AV96*AV102*AV105*AV114*AV120*AV125*AV132*AV138*AV141*AV147*AV153*AV160*AV163*AV167*AV171*AV175*AV179*AV183*AV188*AV191*AV196*AV199*AV203*AV207*AV212</f>
        <v>1.0160227331702787E-10</v>
      </c>
      <c r="AV230">
        <v>0</v>
      </c>
      <c r="AW230">
        <f>AV22*AX29*AX36*AX39*AX48*AX54*AX60*AX65*AX71*AX76*AX81*AX87*AX96*AX102*AX105*AX114*AX120*AX125*AX132*AX138*AX141*AX147*AX153*AX160*AX163*AX167*AX171*AX175*AX179*AX183*AX188*AX191*AX196*AX199*AX203*AX207*AX212</f>
        <v>1.1287019520000005E-11</v>
      </c>
      <c r="AX230">
        <v>0</v>
      </c>
      <c r="AY230" t="s">
        <v>696</v>
      </c>
      <c r="AZ230" t="s">
        <v>696</v>
      </c>
      <c r="BA230" s="25" t="s">
        <v>379</v>
      </c>
      <c r="BG230" s="22"/>
      <c r="BI230" s="3" t="s">
        <v>355</v>
      </c>
      <c r="BJ230">
        <f>AV18*AT29*AT36*AT39*AT48*AT54*AT60*AT65*AT71*AT76*AT81*AT87*AT96*AT102*AT105*AT114*AT120*AT125*AT132*AT138*AT141*AT147*AT153*AT160*AT163*AT167*AT171*AT175*AT179*AT183*AT188*AT191*AT196*AT199*AT203*AT207*AT212</f>
        <v>0</v>
      </c>
    </row>
    <row r="231" spans="44:98" x14ac:dyDescent="0.3">
      <c r="AR231">
        <v>16</v>
      </c>
      <c r="AS231">
        <v>0</v>
      </c>
      <c r="AT231" s="25">
        <f>AV19*AU30*AU36*AU40*AU48*AU54*AU60*AU65*AU71*AU76*AU83*AU89*AU94*AU102*AU106*AU111*AU120*AU126*AU132*AU138*AU141*AU147*AU155*AU160*AU163*AU167*AU171*AU175*AU179*AU183*AU188*AU191*AU195*AU199*AU203*AU208*AU211</f>
        <v>1.5801827328000002E-8</v>
      </c>
      <c r="AU231">
        <v>0</v>
      </c>
      <c r="AV231">
        <v>0</v>
      </c>
      <c r="AW231">
        <v>0</v>
      </c>
      <c r="AX231">
        <v>0</v>
      </c>
      <c r="AY231" t="s">
        <v>696</v>
      </c>
      <c r="AZ231" t="s">
        <v>696</v>
      </c>
      <c r="BA231" s="25" t="s">
        <v>379</v>
      </c>
      <c r="BG231" s="22"/>
      <c r="BI231" t="s">
        <v>423</v>
      </c>
    </row>
    <row r="232" spans="44:98" x14ac:dyDescent="0.3">
      <c r="AR232">
        <v>17</v>
      </c>
      <c r="AS232">
        <f>AV18*AT27*AT36*AT41*AT48*AT54*AT60*AT66*AT71*AT76*AT83*AT88*AT96*AT102*AT106*AT112*AT120*AT126*AT132*AT138*AT141*AT148*AT155*AT160*AT163*AT167*AT171*AT175*AT179*AT183*AT188*AT191*AT196*AT199*AT203*AT208*AT212</f>
        <v>0</v>
      </c>
      <c r="AT232" s="25">
        <f>AV19*AU27*AU36*AU41*AU48*AU54*AU60*AU66*AU71*AU76*AU83*AU88*AU96*AU102*AU106*AU112*AU120*AU126*AU132*AU138*AU141*AU148*AU155*AU160*AU163*AU167*AU171*AU175*AU179*AU183*AU188*AU191*AU196*AU199*AU203*AU208*AU212</f>
        <v>4.9775756083200007E-8</v>
      </c>
      <c r="AU232">
        <v>0</v>
      </c>
      <c r="AV232">
        <v>0</v>
      </c>
      <c r="AW232">
        <f>AV22*AX27*AX36*AX41*AX48*AX54*AX60*AX66*AX71*AX76*AX83*AX88*AX96*AX102*AX106*AX112*AX120*AX126*AX132*AX138*AX141*AX148*AX155*AX160*AX163*AX167*AX171*AX175*AX179*AX183*AX188*AX191*AX196*AX199*AX203*AX208*AX212</f>
        <v>1.4627977297920004E-9</v>
      </c>
      <c r="AX232">
        <v>0</v>
      </c>
      <c r="AY232" t="s">
        <v>696</v>
      </c>
      <c r="AZ232" t="s">
        <v>696</v>
      </c>
      <c r="BA232" s="25" t="s">
        <v>379</v>
      </c>
      <c r="BG232" s="22"/>
      <c r="BI232" s="3" t="s">
        <v>355</v>
      </c>
      <c r="BJ232">
        <f>AV19*AU29*AU36*AU39*AU48*AU54*AU60*AU65*AU71*AU76*AU81*AU87*AU96*AU102*AU105*AU114*AU120*AU125*AU132*AU138*AU141*AU147*AU153*AU160*AU163*AU167*AU171*AU175*AU179*AU183*AU188*AU191*AU196*AU199*AU203*AU207*AU212</f>
        <v>6.5013232435200005E-9</v>
      </c>
    </row>
    <row r="233" spans="44:98" x14ac:dyDescent="0.3">
      <c r="AR233">
        <v>18</v>
      </c>
      <c r="AS233" s="26">
        <f>AV18*AT28*AT36*AT40*AT48*AT54*AT60*AT65*AT71*AT77*AT83*AT89*AT95*AT102*AT106*AT112*AT120*AT126*AT132*AT138*AT141*AT147*AT153*AT160*AT163*AT167*AT171*AT175*AT179*AT183*AT188*AT191*AT196*AT199*AT203*AT207*AT212</f>
        <v>4.2475311857664001E-9</v>
      </c>
      <c r="AT233">
        <f>AV19*AU28*AU36*AU40*AU48*AU54*AU60*AU65*AU71*AU77*AU83*AU89*AU95*AU102*AU106*AU112*AU120*AU126*AU132*AU138*AU141*AU147*AU153*AU160*AU163*AU167*AU171*AU175*AU179*AU183*AU188*AU191*AU196*AU199*AU203*AU207*AU212</f>
        <v>3.3183837388799987E-7</v>
      </c>
      <c r="AU233">
        <v>0</v>
      </c>
      <c r="AV233">
        <v>0</v>
      </c>
      <c r="AW233">
        <v>0</v>
      </c>
      <c r="AX233">
        <v>0</v>
      </c>
      <c r="AY233" s="26" t="s">
        <v>696</v>
      </c>
      <c r="AZ233" s="26" t="s">
        <v>378</v>
      </c>
      <c r="BA233" s="26" t="s">
        <v>381</v>
      </c>
      <c r="BG233" s="22"/>
      <c r="BI233" t="s">
        <v>424</v>
      </c>
    </row>
    <row r="234" spans="44:98" x14ac:dyDescent="0.3">
      <c r="AR234">
        <v>19</v>
      </c>
      <c r="AS234">
        <v>0</v>
      </c>
      <c r="AT234" s="25">
        <f>AV19*AU30*AU34*AU41*AU47*AU54*AU60*AU66*AU71*AU77*AU83*AU88*AU95*AU102*AU106*AU113*AU120*AU125*AU131*AU137*AU141*AU147*AU153*AU160*AU163*AU167*AU171*AU175*AU179*AU183*AU188*AU191*AU196*AU199*AU203*AU208*AU212</f>
        <v>4.1150592000000019E-10</v>
      </c>
      <c r="AU234">
        <v>0</v>
      </c>
      <c r="AV234">
        <v>0</v>
      </c>
      <c r="AW234">
        <v>0</v>
      </c>
      <c r="AX234">
        <v>0</v>
      </c>
      <c r="AY234" t="s">
        <v>696</v>
      </c>
      <c r="AZ234" t="s">
        <v>696</v>
      </c>
      <c r="BA234" s="25" t="s">
        <v>379</v>
      </c>
      <c r="BG234" s="22"/>
      <c r="BI234" s="3" t="s">
        <v>355</v>
      </c>
      <c r="BJ234">
        <f>AV20*AV29*AV36*AV39*AV48*AV54*AV60*AV65*AV71*AV76*AV81*AV87*AV96*AV102*AV105*AV114*AV120*AV125*AV132*AV138*AV141*AV147*AV153*AV160*AV163*AV167*AV171*AV175*AV179*AV183*AV188*AV191*AV196*AV199*AV203*AV207*AV212</f>
        <v>1.0160227331702787E-10</v>
      </c>
    </row>
    <row r="235" spans="44:98" x14ac:dyDescent="0.3">
      <c r="AR235">
        <v>20</v>
      </c>
      <c r="AS235">
        <f>AV18*AT27*AT36*AT40*AT48*AT54*AT60*AT66*AT71*AT76*AT83*AT88*AT95*AT102*AT106*AT112*AT120*AT126*AT132*AT136*AT141*AT147*AT155*AT160*AT163*AT167*AT171*AT175*AT179*AT183*AT188*AT191*AT195*AT199*AT203*AT207*AT212</f>
        <v>0</v>
      </c>
      <c r="AT235" s="25">
        <f>AV19*AU27*AU36*AU40*AU48*AU54*AU60*AU66*AU71*AU76*AU83*AU88*AU95*AU102*AU106*AU112*AU120*AU126*AU132*AU136*AU141*AU147*AU155*AU160*AU163*AU167*AU171*AU175*AU179*AU183*AU188*AU191*AU195*AU199*AU203*AU207*AU212</f>
        <v>8.8885278720000022E-8</v>
      </c>
      <c r="AU235">
        <v>0</v>
      </c>
      <c r="AV235">
        <v>0</v>
      </c>
      <c r="AW235">
        <v>0</v>
      </c>
      <c r="AX235">
        <v>0</v>
      </c>
      <c r="AY235" t="s">
        <v>696</v>
      </c>
      <c r="AZ235" t="s">
        <v>696</v>
      </c>
      <c r="BA235" s="25" t="s">
        <v>379</v>
      </c>
      <c r="BG235" s="22"/>
      <c r="BI235" t="s">
        <v>425</v>
      </c>
    </row>
    <row r="236" spans="44:98" x14ac:dyDescent="0.3">
      <c r="AR236">
        <v>21</v>
      </c>
      <c r="AS236">
        <v>0</v>
      </c>
      <c r="AT236">
        <v>0</v>
      </c>
      <c r="AU236" s="25">
        <f>AV20*AV30*AV34*AV40*AV48*AV54*AV60*AV65*AV71*AV76*AV82*AV87*AV96*AV101*AV106*AV113*AV120*AV126*AV132*AV138*AV141*AV148*AV154*AV160*AV163*AV167*AV171*AV175*AV179*AV183*AV188*AV191*AV196*AV199*AV203*AV207*AV212</f>
        <v>4.0640909326811133E-7</v>
      </c>
      <c r="AV236">
        <v>0</v>
      </c>
      <c r="AW236">
        <v>0</v>
      </c>
      <c r="AX236">
        <v>0</v>
      </c>
      <c r="AY236" t="s">
        <v>478</v>
      </c>
      <c r="AZ236" t="s">
        <v>478</v>
      </c>
      <c r="BA236" s="25" t="s">
        <v>379</v>
      </c>
      <c r="BG236" s="22"/>
      <c r="BI236" s="3" t="s">
        <v>355</v>
      </c>
      <c r="BJ236">
        <f>AV21*AW29*AW36*AW39*AW48*AW54*AW60*AW65*AW71*AW76*AW81*AW87*AW96*AW102*AW105*AW114*AW120*AW125*AW132*AW138*AW141*AW147*AW153*AW160*AW163*AW167*AW171*AW175*AW179*AW183*AW188*AW191*AW196*AW199*AW203*AW207*AW212</f>
        <v>0</v>
      </c>
    </row>
    <row r="237" spans="44:98" x14ac:dyDescent="0.3">
      <c r="AR237">
        <v>22</v>
      </c>
      <c r="AS237">
        <v>0</v>
      </c>
      <c r="AT237">
        <v>0</v>
      </c>
      <c r="AU237" s="25">
        <f>AV20*AV30*AV33*AV39*AV46*AV53*AV60*AV66*AV71*AV77*AV82*AV87*AV95*AV101*AV107*AV114*AV120*AV124*AV130*AV137*AV141*AV150*AV154*AV160*AV164*AV168*AV171*AV175*AV179*AV183*AV188*AV191*AV195*AV199*AV203*AV207*AV212</f>
        <v>4.3535646720000032E-16</v>
      </c>
      <c r="AV237">
        <v>0</v>
      </c>
      <c r="AW237">
        <v>0</v>
      </c>
      <c r="AX237">
        <v>0</v>
      </c>
      <c r="AY237" t="s">
        <v>478</v>
      </c>
      <c r="AZ237" t="s">
        <v>478</v>
      </c>
      <c r="BA237" s="25" t="s">
        <v>379</v>
      </c>
      <c r="BG237" s="22"/>
      <c r="BI237" t="s">
        <v>426</v>
      </c>
    </row>
    <row r="238" spans="44:98" x14ac:dyDescent="0.3">
      <c r="AR238">
        <v>23</v>
      </c>
      <c r="AS238">
        <v>0</v>
      </c>
      <c r="AT238">
        <v>0</v>
      </c>
      <c r="AU238" s="25">
        <f>AV20*AV30*AV36*AV39*AV48*AV54*AV59*AV66*AV71*AV76*AV81*AV87*AV95*AV102*AV108*AV114*AV120*AV126*AV132*AV135*AV141*AV147*AV156*AV160*AV163*AV167*AV171*AV175*AV179*AV183*AV188*AV191*AV196*AV199*AV203*AV207*AV212</f>
        <v>2.3223376758177801E-10</v>
      </c>
      <c r="AV238">
        <v>0</v>
      </c>
      <c r="AW238">
        <v>0</v>
      </c>
      <c r="AX238">
        <v>0</v>
      </c>
      <c r="AY238" t="s">
        <v>478</v>
      </c>
      <c r="AZ238" t="s">
        <v>478</v>
      </c>
      <c r="BA238" s="25" t="s">
        <v>379</v>
      </c>
      <c r="BG238" s="22"/>
      <c r="BI238" s="3" t="s">
        <v>355</v>
      </c>
      <c r="BJ238">
        <f>AV22*AX29*AX36*AX39*AX48*AX54*AX60*AX65*AX71*AX76*AX81*AX87*AX96*AX102*AX105*AX114*AX120*AX125*AX132*AX138*AX141*AX147*AX153*AX160*AX163*AX167*AX171*AX175*AX179*AX183*AX188*AX191*AX196*AX199*AX203*AX207*AX212</f>
        <v>1.1287019520000005E-11</v>
      </c>
    </row>
    <row r="239" spans="44:98" x14ac:dyDescent="0.3">
      <c r="AR239">
        <v>24</v>
      </c>
      <c r="AS239">
        <v>0</v>
      </c>
      <c r="AT239">
        <v>0</v>
      </c>
      <c r="AU239" s="25">
        <f>AV20*AV29*AV34*AV40*AV47*AV54*AV59*AV66*AV71*AV76*AV81*AV87*AV96*AV102*AV105*AV114*AV120*AV126*AV132*AV138*AV141*AV147*AV153*AV159*AV163*AV167*AV171*AV175*AV179*AV183*AV187*AV191*AV196*AV199*AV203*AV208*AV211</f>
        <v>1.0618827964416002E-12</v>
      </c>
      <c r="AV239">
        <v>0</v>
      </c>
      <c r="AW239">
        <v>0</v>
      </c>
      <c r="AX239">
        <v>0</v>
      </c>
      <c r="AY239" t="s">
        <v>478</v>
      </c>
      <c r="AZ239" t="s">
        <v>478</v>
      </c>
      <c r="BA239" s="25" t="s">
        <v>379</v>
      </c>
      <c r="BI239" t="s">
        <v>427</v>
      </c>
    </row>
    <row r="240" spans="44:98" x14ac:dyDescent="0.3">
      <c r="AR240">
        <v>25</v>
      </c>
      <c r="AS240">
        <v>0</v>
      </c>
      <c r="AT240">
        <v>0</v>
      </c>
      <c r="AU240" s="25">
        <f>AV20*AV29*AV36*AV40*AV48*AV54*AV60*AV66*AV71*AV77*AV82*AV87*AV95*AV102*AV106*AV112*AV120*AV126*AV132*AV138*AV141*AV149*AV155*AV160*AV163*AV167*AV171*AV175*AV179*AV183*AV188*AV191*AV196*AV199*AV203*AV207*AV212</f>
        <v>5.0575353828920533E-7</v>
      </c>
      <c r="AV240">
        <v>0</v>
      </c>
      <c r="AW240">
        <v>0</v>
      </c>
      <c r="AX240">
        <v>0</v>
      </c>
      <c r="AY240" t="s">
        <v>478</v>
      </c>
      <c r="AZ240" t="s">
        <v>478</v>
      </c>
      <c r="BA240" s="25" t="s">
        <v>379</v>
      </c>
      <c r="BI240" s="3" t="s">
        <v>355</v>
      </c>
      <c r="BJ240">
        <f>AV23*AY29*AY36*AY39*AY48*AY54*AY60*AY65*AY71*AY76*AY81*AY87*AY96*AY102*AY105*AY114*AY120*AY125*AY132*AY138*AY141*AY147*AY153*AY160*AY163*AY167*AY171*AY175*AY179*AY183*AY188*AY191*AY196*AY199*AY203*AY207*AY212</f>
        <v>0</v>
      </c>
    </row>
    <row r="241" spans="44:98" x14ac:dyDescent="0.3">
      <c r="AR241">
        <v>26</v>
      </c>
      <c r="AS241">
        <f>AV18*AT27*AT36*AT40*AT48*AT54*AT60*AT66*AT71*AT77*AT83*AT89*AT96*AT102*AT106*AT113*AT120*AT125*AT131*AT138*AT141*AT148*AT155*AT160*AT163*AT167*AT171*AT175*AT179*AT184*AT188*AT191*AT196*AT199*AT203*AT208*AT212</f>
        <v>0</v>
      </c>
      <c r="AT241">
        <f>AV19*AU27*AU36*AU40*AU48*AU54*AU60*AU66*AU71*AU76*AU83*AU89*AU96*AU102*AU106*AU113*AU120*AU125*AU131*AU138*AU141*AU148*AU155*AU160*AU163*AU167*AU171*AU175*AU179*AU183*AU188*AU191*AU196*AU199*AU203*AU208*AU212</f>
        <v>1.3168189440000004E-9</v>
      </c>
      <c r="AU241" s="25">
        <f>AV20*AV27*AV36*AV40*AV48*AV54*AV60*AV66*AV71*AV76*AV83*AV89*AV96*AV102*AV106*AV113*AV120*AV125*AV131*AV138*AV141*AV148*AV155*AV160*AV163*AV167*AV171*AV175*AV179*AV183*AV188*AV191*AV196*AV199*AV203*AV208*AV212</f>
        <v>5.8536289153843247E-10</v>
      </c>
      <c r="AV241">
        <v>0</v>
      </c>
      <c r="AW241">
        <v>0</v>
      </c>
      <c r="AX241">
        <v>0</v>
      </c>
      <c r="AY241" t="s">
        <v>478</v>
      </c>
      <c r="AZ241" t="s">
        <v>478</v>
      </c>
      <c r="BA241" s="25" t="s">
        <v>379</v>
      </c>
      <c r="BI241" t="s">
        <v>396</v>
      </c>
      <c r="BJ241" t="s">
        <v>768</v>
      </c>
      <c r="BK241" s="25" t="s">
        <v>405</v>
      </c>
    </row>
    <row r="242" spans="44:98" x14ac:dyDescent="0.3">
      <c r="AR242">
        <v>27</v>
      </c>
      <c r="AS242">
        <v>0</v>
      </c>
      <c r="AT242">
        <v>0</v>
      </c>
      <c r="AU242" s="25">
        <f>AV20*AV29*AV36*AV40*AV48*AV54*AV60*AV66*AV71*AV77*AV83*AV88*AV96*AV102*AV106*AV113*AV119*AV126*AV132*AV137*AV141*AV149*AV155*AV160*AV163*AV167*AV171*AV175*AV179*AV183*AV188*AV191*AV196*AV199*AV203*AV207*AV212</f>
        <v>9.6334007293181972E-9</v>
      </c>
      <c r="AV242">
        <v>0</v>
      </c>
      <c r="AW242">
        <v>0</v>
      </c>
      <c r="AX242">
        <v>0</v>
      </c>
      <c r="AY242" t="s">
        <v>478</v>
      </c>
      <c r="AZ242" t="s">
        <v>478</v>
      </c>
      <c r="BA242" s="25" t="s">
        <v>379</v>
      </c>
    </row>
    <row r="243" spans="44:98" x14ac:dyDescent="0.3">
      <c r="AR243">
        <v>28</v>
      </c>
      <c r="AS243" s="26">
        <f>AV18*AT30*AT34*AT40*AT48*AT54*AT60*AT66*AT71*AT77*AT82*AT88*AT95*AT102*AT106*AT112*AT119*AT126*AT132*AT138*AT141*AT148*AT155*AT160*AT163*AT167*AT171*AT175*AT179*AT183*AT188*AT191*AT195*AT199*AT203*AT208*AT212</f>
        <v>8.9932296093695991E-9</v>
      </c>
      <c r="AT243">
        <v>0</v>
      </c>
      <c r="AU243">
        <f>AV20*AV30*AV34*AV40*AV48*AV54*AV60*AV66*AV71*AV77*AV82*AV88*AV95*AV102*AV106*AV112*AV119*AV126*AV132*AV138*AV141*AV148*AV155*AV160*AV163*AV167*AV171*AV175*AV179*AV183*AV188*AV191*AV195*AV199*AV203*AV208*AV212</f>
        <v>1.1289141479669761E-7</v>
      </c>
      <c r="AV243">
        <v>0</v>
      </c>
      <c r="AW243">
        <v>0</v>
      </c>
      <c r="AX243">
        <v>0</v>
      </c>
      <c r="AY243" s="26" t="s">
        <v>478</v>
      </c>
      <c r="AZ243" s="26" t="s">
        <v>378</v>
      </c>
      <c r="BA243" s="26" t="s">
        <v>381</v>
      </c>
      <c r="BI243" s="53" t="s">
        <v>428</v>
      </c>
      <c r="BJ243" s="24" t="s">
        <v>71</v>
      </c>
      <c r="BK243" s="1" t="s">
        <v>50</v>
      </c>
      <c r="BL243" s="1" t="s">
        <v>51</v>
      </c>
      <c r="BM243" s="1" t="s">
        <v>52</v>
      </c>
      <c r="BN243" s="1" t="s">
        <v>53</v>
      </c>
      <c r="BO243" s="1" t="s">
        <v>54</v>
      </c>
      <c r="BP243" s="1" t="s">
        <v>55</v>
      </c>
      <c r="BQ243" s="1" t="s">
        <v>56</v>
      </c>
      <c r="BR243" s="1" t="s">
        <v>57</v>
      </c>
      <c r="BS243" s="1" t="s">
        <v>58</v>
      </c>
      <c r="BT243" s="1" t="s">
        <v>59</v>
      </c>
      <c r="BU243" s="1" t="s">
        <v>60</v>
      </c>
      <c r="BV243" s="1" t="s">
        <v>61</v>
      </c>
      <c r="BW243" s="1" t="s">
        <v>62</v>
      </c>
      <c r="BX243" s="1" t="s">
        <v>63</v>
      </c>
      <c r="BY243" s="1" t="s">
        <v>64</v>
      </c>
      <c r="BZ243" s="1" t="s">
        <v>65</v>
      </c>
      <c r="CA243" s="1" t="s">
        <v>66</v>
      </c>
      <c r="CB243" s="1" t="s">
        <v>67</v>
      </c>
      <c r="CC243" s="1" t="s">
        <v>68</v>
      </c>
      <c r="CD243" s="1" t="s">
        <v>69</v>
      </c>
      <c r="CE243" s="1" t="s">
        <v>70</v>
      </c>
      <c r="CF243" s="1" t="s">
        <v>929</v>
      </c>
      <c r="CG243" s="1" t="s">
        <v>930</v>
      </c>
      <c r="CH243" s="1" t="s">
        <v>931</v>
      </c>
      <c r="CI243" s="1" t="s">
        <v>932</v>
      </c>
      <c r="CJ243" s="1" t="s">
        <v>933</v>
      </c>
      <c r="CK243" s="1" t="s">
        <v>934</v>
      </c>
      <c r="CL243" s="1" t="s">
        <v>935</v>
      </c>
      <c r="CM243" s="1" t="s">
        <v>936</v>
      </c>
      <c r="CN243" s="1" t="s">
        <v>937</v>
      </c>
      <c r="CO243" s="1" t="s">
        <v>938</v>
      </c>
      <c r="CP243" s="1" t="s">
        <v>939</v>
      </c>
      <c r="CQ243" s="1" t="s">
        <v>940</v>
      </c>
      <c r="CR243" s="1" t="s">
        <v>941</v>
      </c>
      <c r="CS243" s="1" t="s">
        <v>942</v>
      </c>
      <c r="CT243" s="1" t="s">
        <v>1008</v>
      </c>
    </row>
    <row r="244" spans="44:98" x14ac:dyDescent="0.3">
      <c r="AR244">
        <v>29</v>
      </c>
      <c r="AS244">
        <v>0</v>
      </c>
      <c r="AT244">
        <f>AV19*AU30*AU34*AU40*AU47*AU54*AU60*AU66*AU71*AU76*AU82*AU88*AU95*AU102*AU106*AU112*AU120*AU126*AU132*AU138*AU141*AU148*AU155*AU160*AU163*AU167*AU171*AU175*AU179*AU183*AU188*AU191*AU196*AU199*AU203*AU208*AU212</f>
        <v>1.1522165759999999E-8</v>
      </c>
      <c r="AU244">
        <f>AV20*AV30*AV34*AV40*AV47*AV54*AV60*AV66*AV71*AV76*AV82*AV88*AV95*AV102*AV106*AV112*AV120*AV126*AV132*AV138*AV141*AV148*AV155*AV160*AV163*AV167*AV171*AV175*AV179*AV183*AV188*AV191*AV196*AV199*AV203*AV208*AV212</f>
        <v>4.5156565918679045E-7</v>
      </c>
      <c r="AV244" s="26">
        <f>AV21*AW30*AW34*AW40*AW47*AW54*AW60*AW66*AW71*AW76*AW82*AW88*AW95*AW102*AW106*AW112*AW120*AW126*AW132*AW138*AW141*AW148*AW155*AW160*AW163*AW167*AW171*AW175*AW179*AW183*AW188*AW191*AW196*AW199*AW203*AW208*AW212</f>
        <v>8.7107573145600028E-8</v>
      </c>
      <c r="AW244">
        <v>0</v>
      </c>
      <c r="AX244">
        <f>AV23*AY30*AY34*AY40*AY47*AY54*AY60*AY66*AY71*AY76*AY82*AY88*AY95*AY102*AY106*AY112*AY120*AY126*AY132*AY138*AY141*AY148*AY155*AY160*AY163*AY167*AY171*AY175*AY179*AY183*AY188*AY191*AY196*AY199*AY203*AY208*AY212</f>
        <v>1.1796000893042693E-11</v>
      </c>
      <c r="AY244" s="26" t="s">
        <v>478</v>
      </c>
      <c r="AZ244" s="26" t="s">
        <v>509</v>
      </c>
      <c r="BA244" s="26" t="s">
        <v>381</v>
      </c>
      <c r="BI244" s="53"/>
      <c r="BJ244" s="24">
        <v>2</v>
      </c>
      <c r="BK244" t="s">
        <v>5</v>
      </c>
      <c r="BL244" t="s">
        <v>5</v>
      </c>
      <c r="BM244" t="s">
        <v>3</v>
      </c>
      <c r="BN244" t="s">
        <v>5</v>
      </c>
      <c r="BO244" t="s">
        <v>5</v>
      </c>
      <c r="BP244" t="s">
        <v>5</v>
      </c>
      <c r="BQ244" t="s">
        <v>2</v>
      </c>
      <c r="BR244" t="s">
        <v>2</v>
      </c>
      <c r="BS244" t="s">
        <v>3</v>
      </c>
      <c r="BT244" t="s">
        <v>2</v>
      </c>
      <c r="BU244" t="s">
        <v>2</v>
      </c>
      <c r="BV244" t="s">
        <v>3</v>
      </c>
      <c r="BW244" t="s">
        <v>5</v>
      </c>
      <c r="BX244" t="s">
        <v>3</v>
      </c>
      <c r="BY244" t="s">
        <v>4</v>
      </c>
      <c r="BZ244" t="s">
        <v>5</v>
      </c>
      <c r="CA244" t="s">
        <v>5</v>
      </c>
      <c r="CB244" t="s">
        <v>5</v>
      </c>
      <c r="CC244" t="s">
        <v>5</v>
      </c>
      <c r="CD244" t="s">
        <v>4</v>
      </c>
      <c r="CE244" t="s">
        <v>4</v>
      </c>
      <c r="CF244" t="s">
        <v>2</v>
      </c>
      <c r="CG244" t="s">
        <v>3</v>
      </c>
      <c r="CH244" t="s">
        <v>4</v>
      </c>
      <c r="CI244" t="s">
        <v>4</v>
      </c>
      <c r="CJ244" t="s">
        <v>4</v>
      </c>
      <c r="CK244" t="s">
        <v>4</v>
      </c>
      <c r="CL244" t="s">
        <v>4</v>
      </c>
      <c r="CM244" t="s">
        <v>4</v>
      </c>
      <c r="CN244" t="s">
        <v>3</v>
      </c>
      <c r="CO244" t="s">
        <v>4</v>
      </c>
      <c r="CP244" t="s">
        <v>4</v>
      </c>
      <c r="CQ244" t="s">
        <v>4</v>
      </c>
      <c r="CR244" t="s">
        <v>4</v>
      </c>
      <c r="CS244" t="s">
        <v>3</v>
      </c>
      <c r="CT244" t="s">
        <v>4</v>
      </c>
    </row>
    <row r="245" spans="44:98" x14ac:dyDescent="0.3">
      <c r="AR245">
        <v>30</v>
      </c>
      <c r="AS245">
        <v>0</v>
      </c>
      <c r="AT245">
        <v>0</v>
      </c>
      <c r="AU245" s="25">
        <f>AV20*AV30*AV34*AV40*AV48*AV54*AV60*AV65*AV71*AV76*AV81*AV87*AV96*AV101*AV106*AV113*AV120*AV126*AV132*AV138*AV141*AV148*AV154*AV160*AV163*AV167*AV171*AV175*AV179*AV183*AV188*AV191*AV195*AV199*AV203*AV207*AV212</f>
        <v>1.0450519541180005E-7</v>
      </c>
      <c r="AV245">
        <v>0</v>
      </c>
      <c r="AW245">
        <v>0</v>
      </c>
      <c r="AX245">
        <v>0</v>
      </c>
      <c r="AY245" t="s">
        <v>478</v>
      </c>
      <c r="AZ245" t="s">
        <v>478</v>
      </c>
      <c r="BA245" s="25" t="s">
        <v>379</v>
      </c>
      <c r="BI245" t="s">
        <v>712</v>
      </c>
    </row>
    <row r="246" spans="44:98" x14ac:dyDescent="0.3">
      <c r="AR246">
        <v>31</v>
      </c>
      <c r="AS246">
        <v>0</v>
      </c>
      <c r="AT246">
        <v>0</v>
      </c>
      <c r="AU246">
        <v>0</v>
      </c>
      <c r="AV246" s="25">
        <f>AV21*AW28*AW34*AW39*AW47*AW54*AW60*AW66*AW71*AW77*AW83*AW90*AW95*AW102*AW106*AW112*AW120*AW126*AW132*AW138*AW141*AW147*AW155*AW160*AW163*AW167*AW171*AW175*AW179*AW183*AW188*AW191*AW196*AW200*AW203*AW208*AW212</f>
        <v>4.1811635109888003E-8</v>
      </c>
      <c r="AW246">
        <v>0</v>
      </c>
      <c r="AX246">
        <v>0</v>
      </c>
      <c r="AY246" t="s">
        <v>509</v>
      </c>
      <c r="AZ246" t="s">
        <v>509</v>
      </c>
      <c r="BA246" s="25" t="s">
        <v>379</v>
      </c>
      <c r="BI246" s="3" t="s">
        <v>355</v>
      </c>
      <c r="BJ246">
        <f>AV18*AT30*AT36*AT40*AT48*AT54*AT60*AT65*AT71*AT76*AT83*AT89*AT94*AT102*AT106*AT111*AT120*AT126*AT132*AT138*AT141*AT147*AT155*AT160*AT163*AT167*AT171*AT175*AT179*AT183*AT188*AT191*AT195*AT199*AT203*AT208*AT211</f>
        <v>0</v>
      </c>
    </row>
    <row r="247" spans="44:98" x14ac:dyDescent="0.3">
      <c r="AR247">
        <v>32</v>
      </c>
      <c r="AS247">
        <v>0</v>
      </c>
      <c r="AT247">
        <v>0</v>
      </c>
      <c r="AU247">
        <v>0</v>
      </c>
      <c r="AV247" s="25">
        <f>AV21*AW30*AW34*AW40*AW48*AW54*AW60*AW66*AW71*AW77*AW84*AW88*AW93*AW102*AW106*AW114*AW120*AW126*AW132*AW138*AW141*AW147*AW153*AW160*AW163*AW167*AW171*AW175*AW179*AW183*AW188*AW191*AW196*AW199*AW203*AW207*AW212</f>
        <v>6.0975301201920037E-8</v>
      </c>
      <c r="AW247">
        <f>AV22*AX30*AX34*AX40*AX48*AX54*AX60*AX66*AX71*AX77*AX84*AX88*AX93*AX102*AX106*AX114*AX120*AX126*AX132*AX138*AX141*AX147*AX153*AX160*AX163*AX167*AX171*AX175*AX179*AX183*AX188*AX191*AX196*AX199*AX203*AX207*AX212</f>
        <v>1.8284971622400001E-9</v>
      </c>
      <c r="AX247">
        <f>AV23*AY30*AY34*AY40*AY48*AY54*AY60*AY66*AY71*AY77*AY84*AY88*AY93*AY102*AY106*AY114*AY120*AY126*AY132*AY138*AY141*AY147*AY153*AY160*AY163*AY167*AY171*AY175*AY179*AY183*AY188*AY191*AY196*AY199*AY203*AY207*AY212</f>
        <v>4.3350303281931877E-10</v>
      </c>
      <c r="AY247" t="s">
        <v>509</v>
      </c>
      <c r="AZ247" t="s">
        <v>509</v>
      </c>
      <c r="BA247" s="25" t="s">
        <v>379</v>
      </c>
      <c r="BI247" t="s">
        <v>736</v>
      </c>
    </row>
    <row r="248" spans="44:98" x14ac:dyDescent="0.3">
      <c r="AR248">
        <v>33</v>
      </c>
      <c r="AS248">
        <v>0</v>
      </c>
      <c r="AT248">
        <v>0</v>
      </c>
      <c r="AU248">
        <v>0</v>
      </c>
      <c r="AV248" s="25">
        <f>AV21*AW30*AW36*AW42*AW48*AW54*AW60*AW66*AW71*AW78*AW84*AW88*AW94*AW102*AW107*AW113*AW120*AW126*AW132*AW138*AW141*AW148*AW155*AW160*AW163*AW167*AW171*AW175*AW179*AW183*AW188*AW191*AW196*AW199*AW203*AW208*AW212</f>
        <v>3.6294822143999998E-9</v>
      </c>
      <c r="AW248">
        <v>0</v>
      </c>
      <c r="AX248">
        <v>0</v>
      </c>
      <c r="AY248" t="s">
        <v>509</v>
      </c>
      <c r="AZ248" t="s">
        <v>509</v>
      </c>
      <c r="BA248" s="25" t="s">
        <v>379</v>
      </c>
      <c r="BI248" s="3" t="s">
        <v>355</v>
      </c>
      <c r="BJ248">
        <f>AV19*AU30*AU36*AU40*AU48*AU54*AU60*AU65*AU71*AU76*AU83*AU89*AU94*AU102*AU106*AU111*AU120*AU126*AU132*AU138*AU141*AU147*AU155*AU160*AU163*AU167*AU171*AU175*AU179*AU183*AU188*AU191*AU195*AU199*AU203*AU208*AU211</f>
        <v>1.5801827328000002E-8</v>
      </c>
    </row>
    <row r="249" spans="44:98" x14ac:dyDescent="0.3">
      <c r="AR249">
        <v>34</v>
      </c>
      <c r="AS249">
        <v>0</v>
      </c>
      <c r="AT249">
        <v>0</v>
      </c>
      <c r="AU249">
        <v>0</v>
      </c>
      <c r="AV249" s="25">
        <f>AV21*AW28*AW34*AW40*AW48*AW54*AW60*AW66*AW71*AW77*AW81*AW87*AW96*AW102*AW106*AW113*AW120*AW126*AW132*AW135*AW141*AW148*AW153*AW160*AW163*AW167*AW171*AW175*AW179*AW184*AW188*AW191*AW196*AW199*AW203*AW207*AW212</f>
        <v>6.4797368186879985E-8</v>
      </c>
      <c r="AW249">
        <v>0</v>
      </c>
      <c r="AX249">
        <v>0</v>
      </c>
      <c r="AY249" t="s">
        <v>509</v>
      </c>
      <c r="AZ249" t="s">
        <v>509</v>
      </c>
      <c r="BA249" s="25" t="s">
        <v>379</v>
      </c>
      <c r="BI249" t="s">
        <v>737</v>
      </c>
    </row>
    <row r="250" spans="44:98" x14ac:dyDescent="0.3">
      <c r="AR250">
        <v>35</v>
      </c>
      <c r="AS250">
        <v>0</v>
      </c>
      <c r="AT250">
        <v>0</v>
      </c>
      <c r="AU250">
        <v>0</v>
      </c>
      <c r="AV250" s="25">
        <f>AV20*AW30*AW34*AW39*AW46*AW54*AW60*AW66*AW71*AW76*AW82*AW87*AW96*AW99*AW107*AW114*AW120*AW126*AW132*AW135*AW141*AW147*AW155*AW160*AW163*AW167*AW171*AW175*AW179*AW183*AW187*AW191*AW196*AW199*AW203*AW207*AW212</f>
        <v>1.8665908531200008E-10</v>
      </c>
      <c r="AW250">
        <v>0</v>
      </c>
      <c r="AX250">
        <v>0</v>
      </c>
      <c r="AY250" t="s">
        <v>509</v>
      </c>
      <c r="AZ250" t="s">
        <v>509</v>
      </c>
      <c r="BA250" s="25" t="s">
        <v>379</v>
      </c>
      <c r="BI250" s="3" t="s">
        <v>355</v>
      </c>
      <c r="BJ250">
        <f>AV20*AV30*AV36*AV40*AV48*AV54*AV60*AV65*AV71*AV76*AV83*AV89*AV94*AV102*AV106*AV111*AV120*AV126*AV132*AV138*AV141*AV147*AV155*AV160*AV163*AV167*AV171*AV175*AV179*AV183*AV188*AV191*AV195*AV199*AV203*AV208*AV211</f>
        <v>0</v>
      </c>
    </row>
    <row r="251" spans="44:98" x14ac:dyDescent="0.3">
      <c r="AR251">
        <v>36</v>
      </c>
      <c r="AS251">
        <v>0</v>
      </c>
      <c r="AT251">
        <v>0</v>
      </c>
      <c r="AU251">
        <v>0</v>
      </c>
      <c r="AV251" s="25">
        <f>AV21*AW30*AW34*AW41*AW48*AW54*AW60*AW65*AW71*AW76*AW82*AW88*AW94*AW101*AW107*AW113*AW120*AW125*AW131*AW138*AW142*AW149*AW155*AW160*AW163*AW167*AW171*AW175*AW179*AW183*AW188*AW191*AW196*AW199*AW203*AW207*AW212</f>
        <v>1.9203609600000003E-12</v>
      </c>
      <c r="AW251">
        <v>0</v>
      </c>
      <c r="AX251">
        <v>0</v>
      </c>
      <c r="AY251" t="s">
        <v>509</v>
      </c>
      <c r="AZ251" t="s">
        <v>509</v>
      </c>
      <c r="BA251" s="25" t="s">
        <v>379</v>
      </c>
      <c r="BI251" t="s">
        <v>738</v>
      </c>
    </row>
    <row r="252" spans="44:98" x14ac:dyDescent="0.3">
      <c r="AR252">
        <v>37</v>
      </c>
      <c r="AS252">
        <v>0</v>
      </c>
      <c r="AT252">
        <v>0</v>
      </c>
      <c r="AU252">
        <v>0</v>
      </c>
      <c r="AV252" s="25">
        <f>AV21*AW30*AW34*AW40*AW47*AW54*AW60*AW66*AW71*AW77*AW83*AW88*AW96*AW102*AW107*AW113*AW120*AW126*AW132*AW138*AW142*AW148*AW155*AW160*AW163*AW167*AW171*AW175*AW179*AW184*AW188*AW191*AW196*AW199*AW203*AW208*AW212</f>
        <v>1.0079590606848002E-6</v>
      </c>
      <c r="AW252">
        <v>0</v>
      </c>
      <c r="AX252">
        <v>0</v>
      </c>
      <c r="AY252" t="s">
        <v>509</v>
      </c>
      <c r="AZ252" t="s">
        <v>509</v>
      </c>
      <c r="BA252" s="25" t="s">
        <v>379</v>
      </c>
      <c r="BI252" s="3" t="s">
        <v>355</v>
      </c>
      <c r="BJ252">
        <f>AV21*AW30*AW36*AW40*AW48*AW54*AW60*AW65*AW71*AW76*AW83*AW89*AW94*AW102*AW106*AW111*AW120*AW126*AW132*AW138*AW141*AW147*AW155*AW160*AW163*AW167*AW171*AW175*AW179*AW183*AW188*AW191*AW195*AW199*AW203*AW208*AW211</f>
        <v>0</v>
      </c>
    </row>
    <row r="253" spans="44:98" x14ac:dyDescent="0.3">
      <c r="AR253">
        <v>38</v>
      </c>
      <c r="AS253">
        <v>0</v>
      </c>
      <c r="AT253">
        <v>0</v>
      </c>
      <c r="AU253">
        <v>0</v>
      </c>
      <c r="AV253" s="25">
        <f>AV21*AW30*AW34*AW40*AW48*AW54*AW60*AW66*AW71*AW77*AW81*AW87*AW96*AW102*AW106*AW113*AW120*AW126*AW132*AW135*AW141*AW148*AW155*AW160*AW163*AW167*AW171*AW176*AW179*AW183*AW188*AW191*AW196*AW200*AW203*AW207*AW212</f>
        <v>2.3519044749312004E-7</v>
      </c>
      <c r="AW253">
        <v>0</v>
      </c>
      <c r="AX253">
        <f>AV23*AY30*AY34*AY40*AY48*AY54*AY60*AY66*AY71*AY77*AY81*AY87*AY96*AY102*AY106*AY113*AY120*AY126*AY132*AY135*AY141*AY148*AY155*AY160*AY163*AY167*AY171*AY176*AY179*AY183*AY188*AY191*AY196*AY200*AY203*AY207*AY212</f>
        <v>1.092427642704683E-8</v>
      </c>
      <c r="AY253" t="s">
        <v>509</v>
      </c>
      <c r="AZ253" t="s">
        <v>509</v>
      </c>
      <c r="BA253" s="25" t="s">
        <v>379</v>
      </c>
      <c r="BI253" t="s">
        <v>739</v>
      </c>
    </row>
    <row r="254" spans="44:98" x14ac:dyDescent="0.3">
      <c r="AR254">
        <v>39</v>
      </c>
      <c r="AS254">
        <v>0</v>
      </c>
      <c r="AT254">
        <v>0</v>
      </c>
      <c r="AU254">
        <v>0</v>
      </c>
      <c r="AV254" s="25">
        <f>AV21*AW28*AW34*AW39*AW47*AW54*AW60*AW66*AW71*AW77*AW83*AW90*AW95*AW102*AW106*AW112*AW120*AW126*AW132*AW138*AW141*AW147*AW155*AW160*AW163*AW167*AW171*AW176*AW179*AW183*AW188*AW191*AW196*AW200*AW203*AW208*AW212</f>
        <v>1.0452908777472001E-8</v>
      </c>
      <c r="AW254">
        <v>0</v>
      </c>
      <c r="AX254">
        <v>0</v>
      </c>
      <c r="AY254" t="s">
        <v>509</v>
      </c>
      <c r="AZ254" t="s">
        <v>509</v>
      </c>
      <c r="BA254" s="25" t="s">
        <v>379</v>
      </c>
      <c r="BI254" s="3" t="s">
        <v>355</v>
      </c>
      <c r="BJ254">
        <f>AV22*AX30*AX36*AX40*AX48*AX54*AX60*AX65*AX71*AX76*AX83*AX89*AX94*AX102*AX106*AX111*AX120*AX126*AX132*AX138*AX141*AX147*AX155*AX160*AX163*AX167*AX171*AX175*AX179*AX183*AX188*AX191*AX195*AX199*AX203*AX208*AX211</f>
        <v>0</v>
      </c>
    </row>
    <row r="255" spans="44:98" x14ac:dyDescent="0.3">
      <c r="AR255">
        <v>40</v>
      </c>
      <c r="AS255">
        <v>0</v>
      </c>
      <c r="AT255">
        <v>0</v>
      </c>
      <c r="AU255">
        <v>0</v>
      </c>
      <c r="AV255" s="25">
        <f>AV21*AW30*AW34*AW41*AW48*AW54*AW60*AW66*AW71*AW77*AW83*AW88*AW96*AW102*AW107*AW113*AW120*AW126*AW132*AW138*AW142*AW148*AW155*AW160*AW163*AW167*AW171*AW175*AW179*AW184*AW188*AW191*AW196*AW200*AW203*AW208*AW212</f>
        <v>6.7197270712320018E-7</v>
      </c>
      <c r="AW255">
        <f>AV22*AX30*AX34*AX41*AX48*AX54*AX60*AX66*AX71*AX77*AX83*AX88*AX96*AX102*AX107*AX113*AX120*AX126*AX132*AX138*AX142*AX148*AX155*AX160*AX163*AX167*AX171*AX175*AX179*AX184*AX188*AX191*AX196*AX200*AX203*AX208*AX212</f>
        <v>3.291294892032E-8</v>
      </c>
      <c r="AX255">
        <v>0</v>
      </c>
      <c r="AY255" t="s">
        <v>509</v>
      </c>
      <c r="AZ255" t="s">
        <v>509</v>
      </c>
      <c r="BA255" s="25" t="s">
        <v>379</v>
      </c>
      <c r="BI255" t="s">
        <v>740</v>
      </c>
    </row>
    <row r="256" spans="44:98" x14ac:dyDescent="0.3">
      <c r="AR256">
        <v>41</v>
      </c>
      <c r="AS256">
        <v>0</v>
      </c>
      <c r="AT256">
        <v>0</v>
      </c>
      <c r="AU256">
        <v>0</v>
      </c>
      <c r="AV256">
        <v>0</v>
      </c>
      <c r="AW256" s="25">
        <f>AV22*AX30*AX34*AX42*AX48*AX54*AX60*AX66*AX71*AX77*AX81*AX87*AX94*AX102*AX107*AX114*AX119*AX125*AX132*AX135*AX142*AX148*AX153*AX160*AX163*AX167*AX171*AX175*AX179*AX183*AX188*AX191*AX196*AX199*AX203*AX207*AX212</f>
        <v>3.9504568319999999E-10</v>
      </c>
      <c r="AX256">
        <v>0</v>
      </c>
      <c r="AY256" t="s">
        <v>554</v>
      </c>
      <c r="AZ256" t="s">
        <v>554</v>
      </c>
      <c r="BA256" s="25" t="s">
        <v>379</v>
      </c>
      <c r="BI256" s="3" t="s">
        <v>355</v>
      </c>
      <c r="BJ256">
        <f>AV23*AY30*AY36*AY40*AY48*AY54*AY60*AY65*AY71*AY76*AY83*AY89*AY94*AY102*AY106*AY111*AY120*AY126*AY132*AY138*AY141*AY147*AY155*AY160*AY163*AY167*AY171*AY175*AY179*AY183*AY188*AY191*AY195*AY199*AY203*AY208*AY211</f>
        <v>0</v>
      </c>
    </row>
    <row r="257" spans="44:98" x14ac:dyDescent="0.3">
      <c r="AR257">
        <v>42</v>
      </c>
      <c r="AS257">
        <v>0</v>
      </c>
      <c r="AT257">
        <v>0</v>
      </c>
      <c r="AU257">
        <v>0</v>
      </c>
      <c r="AV257">
        <v>0</v>
      </c>
      <c r="AW257" s="25">
        <f>AV22*AX29*AX36*AX40*AX48*AX54*AX58*AX66*AX71*AX77*AX84*AX89*AX95*AX99*AX106*AX113*AX120*AX126*AX132*AX136*AX142*AX148*AX153*AX160*AX163*AX167*AX171*AX175*AX179*AX184*AX187*AX191*AX196*AX199*AX203*AX207*AX212</f>
        <v>1.3713728716800002E-10</v>
      </c>
      <c r="AX257">
        <v>0</v>
      </c>
      <c r="AY257" t="s">
        <v>554</v>
      </c>
      <c r="AZ257" t="s">
        <v>554</v>
      </c>
      <c r="BA257" s="25" t="s">
        <v>379</v>
      </c>
      <c r="BI257" s="24" t="s">
        <v>371</v>
      </c>
      <c r="BJ257" t="s">
        <v>373</v>
      </c>
      <c r="BK257" s="25" t="s">
        <v>379</v>
      </c>
    </row>
    <row r="258" spans="44:98" x14ac:dyDescent="0.3">
      <c r="AR258">
        <v>43</v>
      </c>
      <c r="AS258">
        <v>0</v>
      </c>
      <c r="AT258">
        <v>0</v>
      </c>
      <c r="AU258">
        <v>0</v>
      </c>
      <c r="AV258">
        <v>0</v>
      </c>
      <c r="AW258" s="25">
        <f>AV22*AX27*AX36*AX41*AX48*AX54*AX60*AX65*AX71*AX77*AX81*AX87*AX93*AX102*AX105*AX114*AX120*AX126*AX132*AX138*AX141*AX148*AX154*AX160*AX163*AX167*AX171*AX175*AX179*AX183*AX188*AX191*AX196*AX199*AX203*AX207*AX212</f>
        <v>3.0474952704000008E-10</v>
      </c>
      <c r="AX258">
        <v>0</v>
      </c>
      <c r="AY258" t="s">
        <v>554</v>
      </c>
      <c r="AZ258" t="s">
        <v>554</v>
      </c>
      <c r="BA258" s="25" t="s">
        <v>379</v>
      </c>
    </row>
    <row r="259" spans="44:98" x14ac:dyDescent="0.3">
      <c r="AR259">
        <v>44</v>
      </c>
      <c r="AS259">
        <v>0</v>
      </c>
      <c r="AT259">
        <v>0</v>
      </c>
      <c r="AU259">
        <v>0</v>
      </c>
      <c r="AV259">
        <v>0</v>
      </c>
      <c r="AW259" s="25">
        <f>AV22*AX30*AX34*AX40*AX48*AX54*AX60*AX66*AX71*AX75*AX81*AX87*AX96*AX101*AX105*AX114*AX120*AX124*AX130*AX136*AX141*AX148*AX155*AX160*AX163*AX167*AX171*AX175*AX179*AX183*AX188*AX191*AX196*AX199*AX203*AX207*AX212</f>
        <v>1.0835538739200006E-9</v>
      </c>
      <c r="AX259">
        <v>0</v>
      </c>
      <c r="AY259" t="s">
        <v>554</v>
      </c>
      <c r="AZ259" t="s">
        <v>554</v>
      </c>
      <c r="BA259" s="25" t="s">
        <v>379</v>
      </c>
      <c r="BI259" s="53" t="s">
        <v>435</v>
      </c>
      <c r="BJ259" s="24" t="s">
        <v>71</v>
      </c>
      <c r="BK259" s="1" t="s">
        <v>50</v>
      </c>
      <c r="BL259" s="1" t="s">
        <v>51</v>
      </c>
      <c r="BM259" s="1" t="s">
        <v>52</v>
      </c>
      <c r="BN259" s="1" t="s">
        <v>53</v>
      </c>
      <c r="BO259" s="1" t="s">
        <v>54</v>
      </c>
      <c r="BP259" s="1" t="s">
        <v>55</v>
      </c>
      <c r="BQ259" s="1" t="s">
        <v>56</v>
      </c>
      <c r="BR259" s="1" t="s">
        <v>57</v>
      </c>
      <c r="BS259" s="1" t="s">
        <v>58</v>
      </c>
      <c r="BT259" s="1" t="s">
        <v>59</v>
      </c>
      <c r="BU259" s="1" t="s">
        <v>60</v>
      </c>
      <c r="BV259" s="1" t="s">
        <v>61</v>
      </c>
      <c r="BW259" s="1" t="s">
        <v>62</v>
      </c>
      <c r="BX259" s="1" t="s">
        <v>63</v>
      </c>
      <c r="BY259" s="1" t="s">
        <v>64</v>
      </c>
      <c r="BZ259" s="1" t="s">
        <v>65</v>
      </c>
      <c r="CA259" s="1" t="s">
        <v>66</v>
      </c>
      <c r="CB259" s="1" t="s">
        <v>67</v>
      </c>
      <c r="CC259" s="1" t="s">
        <v>68</v>
      </c>
      <c r="CD259" s="1" t="s">
        <v>69</v>
      </c>
      <c r="CE259" s="1" t="s">
        <v>70</v>
      </c>
      <c r="CF259" s="1" t="s">
        <v>929</v>
      </c>
      <c r="CG259" s="1" t="s">
        <v>930</v>
      </c>
      <c r="CH259" s="1" t="s">
        <v>931</v>
      </c>
      <c r="CI259" s="1" t="s">
        <v>932</v>
      </c>
      <c r="CJ259" s="1" t="s">
        <v>933</v>
      </c>
      <c r="CK259" s="1" t="s">
        <v>934</v>
      </c>
      <c r="CL259" s="1" t="s">
        <v>935</v>
      </c>
      <c r="CM259" s="1" t="s">
        <v>936</v>
      </c>
      <c r="CN259" s="1" t="s">
        <v>937</v>
      </c>
      <c r="CO259" s="1" t="s">
        <v>938</v>
      </c>
      <c r="CP259" s="1" t="s">
        <v>939</v>
      </c>
      <c r="CQ259" s="1" t="s">
        <v>940</v>
      </c>
      <c r="CR259" s="1" t="s">
        <v>941</v>
      </c>
      <c r="CS259" s="1" t="s">
        <v>942</v>
      </c>
      <c r="CT259" s="1" t="s">
        <v>1008</v>
      </c>
    </row>
    <row r="260" spans="44:98" x14ac:dyDescent="0.3">
      <c r="AR260">
        <v>45</v>
      </c>
      <c r="AS260">
        <v>0</v>
      </c>
      <c r="AT260">
        <v>0</v>
      </c>
      <c r="AU260">
        <v>0</v>
      </c>
      <c r="AV260">
        <v>0</v>
      </c>
      <c r="AW260" s="25">
        <f>AV22*AX30*AX34*AX39*AX48*AX54*AX58*AX66*AX71*AX76*AX83*AX89*AX96*AX102*AX107*AX114*AX120*AX124*AX132*AX137*AX141*AX147*AX155*AX160*AX163*AX167*AX171*AX175*AX179*AX183*AX188*AX191*AX196*AX199*AX203*AX208*AX212</f>
        <v>2.2574039040000001E-10</v>
      </c>
      <c r="AX260">
        <v>0</v>
      </c>
      <c r="AY260" t="s">
        <v>554</v>
      </c>
      <c r="AZ260" t="s">
        <v>554</v>
      </c>
      <c r="BA260" s="25" t="s">
        <v>379</v>
      </c>
      <c r="BI260" s="53"/>
      <c r="BJ260" s="24">
        <v>2</v>
      </c>
      <c r="BK260" t="s">
        <v>4</v>
      </c>
      <c r="BL260" t="s">
        <v>5</v>
      </c>
      <c r="BM260" t="s">
        <v>2</v>
      </c>
      <c r="BN260" t="s">
        <v>5</v>
      </c>
      <c r="BO260" t="s">
        <v>5</v>
      </c>
      <c r="BP260" t="s">
        <v>5</v>
      </c>
      <c r="BQ260" t="s">
        <v>5</v>
      </c>
      <c r="BR260" t="s">
        <v>2</v>
      </c>
      <c r="BS260" t="s">
        <v>3</v>
      </c>
      <c r="BT260" t="s">
        <v>2</v>
      </c>
      <c r="BU260" t="s">
        <v>3</v>
      </c>
      <c r="BV260" t="s">
        <v>5</v>
      </c>
      <c r="BW260" t="s">
        <v>5</v>
      </c>
      <c r="BX260" t="s">
        <v>3</v>
      </c>
      <c r="BY260" t="s">
        <v>3</v>
      </c>
      <c r="BZ260" t="s">
        <v>5</v>
      </c>
      <c r="CA260" t="s">
        <v>5</v>
      </c>
      <c r="CB260" t="s">
        <v>5</v>
      </c>
      <c r="CC260" t="s">
        <v>5</v>
      </c>
      <c r="CD260" t="s">
        <v>4</v>
      </c>
      <c r="CE260" t="s">
        <v>3</v>
      </c>
      <c r="CF260" t="s">
        <v>2</v>
      </c>
      <c r="CG260" t="s">
        <v>3</v>
      </c>
      <c r="CH260" t="s">
        <v>4</v>
      </c>
      <c r="CI260" t="s">
        <v>4</v>
      </c>
      <c r="CJ260" t="s">
        <v>4</v>
      </c>
      <c r="CK260" t="s">
        <v>4</v>
      </c>
      <c r="CL260" t="s">
        <v>4</v>
      </c>
      <c r="CM260" t="s">
        <v>4</v>
      </c>
      <c r="CN260" t="s">
        <v>3</v>
      </c>
      <c r="CO260" t="s">
        <v>4</v>
      </c>
      <c r="CP260" t="s">
        <v>3</v>
      </c>
      <c r="CQ260" t="s">
        <v>4</v>
      </c>
      <c r="CR260" t="s">
        <v>4</v>
      </c>
      <c r="CS260" t="s">
        <v>3</v>
      </c>
      <c r="CT260" t="s">
        <v>3</v>
      </c>
    </row>
    <row r="261" spans="44:98" x14ac:dyDescent="0.3">
      <c r="AR261">
        <v>46</v>
      </c>
      <c r="AS261">
        <v>0</v>
      </c>
      <c r="AT261">
        <v>0</v>
      </c>
      <c r="AU261">
        <v>0</v>
      </c>
      <c r="AV261">
        <v>0</v>
      </c>
      <c r="AW261" s="25">
        <f>AV22*AX30*AX36*AX40*AX48*AX54*AX58*AX66*AX71*AX75*AX81*AX87*AX96*AX101*AX105*AX114*AX120*AX125*AX132*AX138*AX142*AX148*AX153*AX160*AX163*AX167*AX171*AX175*AX179*AX183*AX187*AX191*AX196*AX199*AX203*AX208*AX212</f>
        <v>5.6886578380800029E-9</v>
      </c>
      <c r="AX261">
        <f>AV23*AY30*AY36*AY40*AY48*AY54*AY58*AY66*AY71*AY75*AY81*AY87*AY96*AY101*AY105*AY114*AY120*AY125*AY132*AY138*AY142*AY148*AY153*AY160*AY163*AY167*AY171*AY175*AY179*AY183*AY187*AY191*AY196*AY199*AY203*AY208*AY212</f>
        <v>3.8389663620661255E-11</v>
      </c>
      <c r="AY261" t="s">
        <v>554</v>
      </c>
      <c r="AZ261" t="s">
        <v>554</v>
      </c>
      <c r="BA261" s="25" t="s">
        <v>379</v>
      </c>
      <c r="BI261" t="s">
        <v>697</v>
      </c>
    </row>
    <row r="262" spans="44:98" x14ac:dyDescent="0.3">
      <c r="AR262">
        <v>47</v>
      </c>
      <c r="AS262">
        <v>0</v>
      </c>
      <c r="AT262">
        <v>0</v>
      </c>
      <c r="AU262">
        <v>0</v>
      </c>
      <c r="AV262" s="26">
        <f>AV21*AW30*AW34*AW41*AW48*AW54*AW60*AW66*AW71*AW77*AW83*AW88*AW95*AW102*AW107*AW113*AW120*AW126*AW132*AW138*AW142*AW148*AW155*AW160*AW163*AW167*AW171*AW175*AW179*AW184*AW188*AW191*AW196*AW199*AW203*AW208*AW212</f>
        <v>3.3598635356160014E-7</v>
      </c>
      <c r="AW262">
        <f>AV22*AX30*AX34*AX41*AX48*AX54*AX60*AX66*AX71*AX77*AX83*AX88*AX95*AX102*AX107*AX113*AX120*AX126*AX132*AX138*AX142*AX148*AX155*AX160*AX163*AX167*AX171*AX175*AX179*AX184*AX188*AX191*AX196*AX199*AX203*AX208*AX212</f>
        <v>1.3165179568128E-7</v>
      </c>
      <c r="AX262">
        <v>0</v>
      </c>
      <c r="AY262" s="26" t="s">
        <v>554</v>
      </c>
      <c r="AZ262" s="26" t="s">
        <v>509</v>
      </c>
      <c r="BA262" s="26" t="s">
        <v>381</v>
      </c>
      <c r="BI262" s="3" t="s">
        <v>355</v>
      </c>
      <c r="BJ262">
        <f>AV18*AT27*AT36*AT41*AT48*AT54*AT60*AT66*AT71*AT76*AT83*AT88*AT96*AT102*AT106*AT112*AT120*AT126*AT132*AT138*AT141*AT148*AT155*AT160*AT163*AT167*AT171*AT175*AT179*AT183*AT188*AT191*AT196*AT199*AT203*AT208*AT212</f>
        <v>0</v>
      </c>
    </row>
    <row r="263" spans="44:98" x14ac:dyDescent="0.3">
      <c r="AR263">
        <v>48</v>
      </c>
      <c r="AS263">
        <v>0</v>
      </c>
      <c r="AT263">
        <v>0</v>
      </c>
      <c r="AU263">
        <v>0</v>
      </c>
      <c r="AV263">
        <v>0</v>
      </c>
      <c r="AW263" s="25">
        <f>AV22*AX30*AX36*AX41*AX48*AX54*AX58*AX66*AX71*AX77*AX83*AX89*AX95*AX101*AX106*AX112*AX120*AX126*AX132*AX138*AX142*AX148*AX155*AX160*AX163*AX167*AX171*AX175*AX179*AX184*AX188*AX191*AX196*AX200*AX203*AX208*AX212</f>
        <v>8.776786378752001E-9</v>
      </c>
      <c r="AX263">
        <v>0</v>
      </c>
      <c r="AY263" t="s">
        <v>554</v>
      </c>
      <c r="AZ263" t="s">
        <v>554</v>
      </c>
      <c r="BA263" s="25" t="s">
        <v>379</v>
      </c>
      <c r="BI263" t="s">
        <v>698</v>
      </c>
    </row>
    <row r="264" spans="44:98" x14ac:dyDescent="0.3">
      <c r="AR264">
        <v>49</v>
      </c>
      <c r="AS264">
        <v>0</v>
      </c>
      <c r="AT264">
        <v>0</v>
      </c>
      <c r="AU264">
        <v>0</v>
      </c>
      <c r="AV264">
        <v>0</v>
      </c>
      <c r="AW264" s="25">
        <f>AV22*AX30*AX36*AX41*AX48*AX54*AX58*AX66*AX71*AX76*AX84*AX89*AX96*AX102*AX107*AX113*AX120*AX126*AX132*AX138*AX142*AX148*AX155*AX160*AX163*AX167*AX171*AX175*AX179*AX183*AX188*AX191*AX196*AX200*AX203*AX207*AX212</f>
        <v>7.6796880814079975E-8</v>
      </c>
      <c r="AX264">
        <f>AV23*AY30*AY36*AY41*AY48*AY54*AY58*AY66*AY71*AY76*AY84*AY89*AY96*AY102*AY107*AY113*AY120*AY126*AY132*AY138*AY142*AY148*AY155*AY160*AY163*AY167*AY171*AY175*AY179*AY183*AY188*AY191*AY196*AY200*AY203*AY207*AY212</f>
        <v>1.0837575820482974E-10</v>
      </c>
      <c r="AY264" t="s">
        <v>554</v>
      </c>
      <c r="AZ264" t="s">
        <v>554</v>
      </c>
      <c r="BA264" s="25" t="s">
        <v>379</v>
      </c>
      <c r="BI264" s="3" t="s">
        <v>355</v>
      </c>
      <c r="BJ264">
        <f>AV19*AU27*AU36*AU41*AU48*AU54*AU60*AU66*AU71*AU76*AU83*AU88*AU96*AU102*AU106*AU112*AU120*AU126*AU132*AU138*AU141*AU148*AU155*AU160*AU163*AU167*AU171*AU175*AU179*AU183*AU188*AU191*AU196*AU199*AU203*AU208*AU212</f>
        <v>4.9775756083200007E-8</v>
      </c>
    </row>
    <row r="265" spans="44:98" x14ac:dyDescent="0.3">
      <c r="AR265">
        <v>50</v>
      </c>
      <c r="AS265">
        <v>0</v>
      </c>
      <c r="AT265">
        <v>0</v>
      </c>
      <c r="AU265">
        <v>0</v>
      </c>
      <c r="AV265">
        <f>AV21*AW30*AW34*AW40*AW48*AW54*AW60*AW66*AW71*AW77*AW84*AW88*AW95*AW102*AW107*AW112*AW120*AW126*AW132*AW138*AW142*AW148*AW155*AW160*AW163*AW167*AW171*AW175*AW179*AW183*AW188*AW191*AW196*AW199*AW203*AW207*AW212</f>
        <v>2.6132271943680004E-7</v>
      </c>
      <c r="AW265">
        <f>AV22*AX30*AX34*AX40*AX48*AX54*AX60*AX66*AX71*AX77*AX84*AX88*AX95*AX102*AX107*AX112*AX120*AX126*AX132*AX138*AX142*AX148*AX155*AX160*AX163*AX167*AX171*AX175*AX179*AX183*AX188*AX191*AX196*AX199*AX203*AX207*AX212</f>
        <v>3.0718752325632006E-7</v>
      </c>
      <c r="AX265" s="26">
        <f>AV23*AY30*AY34*AY40*AY48*AY54*AY60*AY66*AY71*AY77*AY84*AY88*AY95*AY102*AY107*AY112*AY120*AY126*AY132*AY138*AY142*AY148*AY155*AY160*AY163*AY167*AY171*AY175*AY179*AY183*AY188*AY191*AY196*AY199*AY203*AY207*AY212</f>
        <v>4.8769091192173363E-10</v>
      </c>
      <c r="AY265" s="26" t="s">
        <v>554</v>
      </c>
      <c r="AZ265" s="26" t="s">
        <v>564</v>
      </c>
      <c r="BA265" s="26" t="s">
        <v>381</v>
      </c>
      <c r="BI265" t="s">
        <v>699</v>
      </c>
    </row>
    <row r="266" spans="44:98" x14ac:dyDescent="0.3">
      <c r="AR266">
        <v>51</v>
      </c>
      <c r="AS266">
        <v>0</v>
      </c>
      <c r="AT266">
        <v>0</v>
      </c>
      <c r="AU266">
        <v>0</v>
      </c>
      <c r="AV266">
        <v>0</v>
      </c>
      <c r="AW266">
        <v>0</v>
      </c>
      <c r="AX266" s="25">
        <f>AV23*AY30*AY34*AY40*AY48*AY54*AY60*AY66*AY72*AY77*AY82*AY89*AY94*AY101*AY107*AY112*AY120*AY125*AY132*AY136*AY142*AY148*AY155*AY160*AY163*AY167*AY172*AY175*AY179*AY184*AY188*AY191*AY196*AY199*AY203*AY208*AY212</f>
        <v>3.9811503014019073E-13</v>
      </c>
      <c r="AY266" t="s">
        <v>564</v>
      </c>
      <c r="AZ266" t="s">
        <v>564</v>
      </c>
      <c r="BA266" s="25" t="s">
        <v>379</v>
      </c>
      <c r="BI266" s="3" t="s">
        <v>355</v>
      </c>
      <c r="BJ266">
        <f>AV20*AV27*AV36*AV41*AV48*AV54*AV60*AV66*AV71*AV76*AV83*AV88*AV96*AV102*AV106*AV112*AV120*AV126*AV132*AV138*AV141*AV148*AV155*AV160*AV163*AV167*AV171*AV175*AV179*AV183*AV188*AV191*AV196*AV199*AV203*AV208*AV212</f>
        <v>0</v>
      </c>
    </row>
    <row r="267" spans="44:98" x14ac:dyDescent="0.3">
      <c r="AR267">
        <v>52</v>
      </c>
      <c r="AS267">
        <v>0</v>
      </c>
      <c r="AT267">
        <v>0</v>
      </c>
      <c r="AU267">
        <v>0</v>
      </c>
      <c r="AV267">
        <v>0</v>
      </c>
      <c r="AW267">
        <v>0</v>
      </c>
      <c r="AX267" s="25">
        <f>AV23*AY30*AY36*AY42*AY48*AY54*AY60*AY66*AY71*AY75*AY81*AY87*AY96*AY102*AY106*AY114*AY120*AY125*AY132*AY136*AY142*AY148*AY155*AY160*AY163*AY167*AY171*AY175*AY180*AY184*AY188*AY191*AY196*AY200*AY204*AY208*AY212</f>
        <v>3.3441662531776048E-10</v>
      </c>
      <c r="AY267" t="s">
        <v>564</v>
      </c>
      <c r="AZ267" t="s">
        <v>564</v>
      </c>
      <c r="BA267" s="25" t="s">
        <v>379</v>
      </c>
      <c r="BI267" t="s">
        <v>700</v>
      </c>
    </row>
    <row r="268" spans="44:98" x14ac:dyDescent="0.3">
      <c r="AR268">
        <v>53</v>
      </c>
      <c r="AS268">
        <v>0</v>
      </c>
      <c r="AT268">
        <v>0</v>
      </c>
      <c r="AU268">
        <v>0</v>
      </c>
      <c r="AV268">
        <v>0</v>
      </c>
      <c r="AW268">
        <v>0</v>
      </c>
      <c r="AX268" s="25">
        <f>AV23*AY30*AY34*AY41*AY48*AY54*AY60*AY66*AY71*AY77*AY81*AY87*AY96*AY102*AY105*AY114*AY120*AY125*AY132*AY138*AY141*AY148*AY155*AY160*AY164*AY167*AY171*AY175*AY179*AY183*AY188*AY191*AY196*AY199*AY203*AY207*AY212</f>
        <v>1.0241509150356406E-8</v>
      </c>
      <c r="AY268" t="s">
        <v>564</v>
      </c>
      <c r="AZ268" t="s">
        <v>564</v>
      </c>
      <c r="BA268" s="25" t="s">
        <v>379</v>
      </c>
      <c r="BI268" s="3" t="s">
        <v>355</v>
      </c>
      <c r="BJ268">
        <f>AV21*AW27*AW36*AW41*AW48*AW54*AW60*AW66*AW71*AW76*AW83*AW88*AW96*AW102*AW106*AW112*AW120*AW126*AW132*AW138*AW141*AW148*AW155*AW160*AW163*AW167*AW171*AW175*AW179*AW183*AW188*AW191*AW196*AW199*AW203*AW208*AW212</f>
        <v>0</v>
      </c>
    </row>
    <row r="269" spans="44:98" x14ac:dyDescent="0.3">
      <c r="AR269">
        <v>54</v>
      </c>
      <c r="AS269">
        <v>0</v>
      </c>
      <c r="AT269">
        <v>0</v>
      </c>
      <c r="AU269">
        <v>0</v>
      </c>
      <c r="AV269">
        <v>0</v>
      </c>
      <c r="AW269">
        <v>0</v>
      </c>
      <c r="AX269" s="25">
        <f>AV23*AY30*AY34*AY42*AY48*AY54*AY60*AY66*AY71*AY77*AY81*AY88*AY96*AY101*AY106*AY113*AY120*AY126*AY132*AY138*AY143*AY149*AY155*AY160*AY163*AY167*AY171*AY175*AY179*AY184*AY187*AY191*AY195*AY199*AY203*AY207*AY212</f>
        <v>1.0032498759532808E-9</v>
      </c>
      <c r="AY269" t="s">
        <v>564</v>
      </c>
      <c r="AZ269" t="s">
        <v>564</v>
      </c>
      <c r="BA269" s="25" t="s">
        <v>379</v>
      </c>
      <c r="BI269" t="s">
        <v>701</v>
      </c>
    </row>
    <row r="270" spans="44:98" x14ac:dyDescent="0.3">
      <c r="AR270">
        <v>55</v>
      </c>
      <c r="AS270">
        <v>0</v>
      </c>
      <c r="AT270">
        <v>0</v>
      </c>
      <c r="AU270">
        <v>0</v>
      </c>
      <c r="AV270">
        <v>0</v>
      </c>
      <c r="AW270">
        <v>0</v>
      </c>
      <c r="AX270" s="25">
        <f>AV23*AY27*AY36*AY41*AY48*AY54*AY60*AY65*AY71*AY77*AY81*AY88*AY96*AY102*AY105*AY114*AY120*AY126*AY132*AY138*AY141*AY148*AY155*AY160*AY163*AY167*AY171*AY176*AY179*AY184*AY188*AY192*AY196*AY200*AY204*AY208*AY212</f>
        <v>2.5400568329256967E-11</v>
      </c>
      <c r="AY270" t="s">
        <v>564</v>
      </c>
      <c r="AZ270" t="s">
        <v>564</v>
      </c>
      <c r="BA270" s="25" t="s">
        <v>379</v>
      </c>
      <c r="BI270" s="3" t="s">
        <v>355</v>
      </c>
      <c r="BJ270">
        <f>AV22*AX27*AX36*AX41*AX48*AX54*AX60*AX66*AX71*AX76*AX83*AX88*AX96*AX102*AX106*AX112*AX120*AX126*AX132*AX138*AX141*AX148*AX155*AX160*AX163*AX167*AX171*AX175*AX179*AX183*AX188*AX191*AX196*AX199*AX203*AX208*AX212</f>
        <v>1.4627977297920004E-9</v>
      </c>
    </row>
    <row r="271" spans="44:98" x14ac:dyDescent="0.3">
      <c r="AR271">
        <v>56</v>
      </c>
      <c r="AS271">
        <v>0</v>
      </c>
      <c r="AT271">
        <v>0</v>
      </c>
      <c r="AU271">
        <v>0</v>
      </c>
      <c r="AV271">
        <v>0</v>
      </c>
      <c r="AW271">
        <v>0</v>
      </c>
      <c r="AX271" s="25">
        <f>AV23*AY30*AY36*AY40*AY47*AY54*AY60*AY66*AY72*AY77*AY81*AY87*AY95*AY102*AY107*AY113*AY120*AY124*AY132*AY136*AY143*AY149*AY156*AY160*AY163*AY167*AY171*AY176*AY179*AY184*AY188*AY192*AY196*AY200*AY204*AY207*AY212</f>
        <v>5.7800404375909179E-13</v>
      </c>
      <c r="AY271" t="s">
        <v>564</v>
      </c>
      <c r="AZ271" t="s">
        <v>564</v>
      </c>
      <c r="BA271" s="25" t="s">
        <v>379</v>
      </c>
      <c r="BI271" t="s">
        <v>702</v>
      </c>
    </row>
    <row r="272" spans="44:98" x14ac:dyDescent="0.3">
      <c r="AR272">
        <v>57</v>
      </c>
      <c r="AS272">
        <v>0</v>
      </c>
      <c r="AT272">
        <v>0</v>
      </c>
      <c r="AU272">
        <v>0</v>
      </c>
      <c r="AV272">
        <v>0</v>
      </c>
      <c r="AW272">
        <v>0</v>
      </c>
      <c r="AX272" s="25">
        <f>AV23*AY30*AY34*AY40*AY48*AY54*AY60*AY66*AY71*AY77*AY84*AY88*AY96*AY102*AY106*AY113*AY120*AY126*AY132*AY138*AY141*AY147*AY153*AY160*AY163*AY167*AY171*AY175*AY179*AY183*AY188*AY191*AY196*AY200*AY204*AY207*AY212</f>
        <v>2.4276169837881846E-9</v>
      </c>
      <c r="AY272" t="s">
        <v>564</v>
      </c>
      <c r="AZ272" t="s">
        <v>564</v>
      </c>
      <c r="BA272" s="25" t="s">
        <v>379</v>
      </c>
      <c r="BI272" s="3" t="s">
        <v>355</v>
      </c>
      <c r="BJ272">
        <f>AV23*AY27*AY36*AY41*AY48*AY54*AY60*AY66*AY71*AY76*AY83*AY88*AY96*AY102*AY106*AY112*AY120*AY126*AY132*AY138*AY141*AY148*AY155*AY160*AY163*AY167*AY171*AY175*AY179*AY183*AY188*AY191*AY196*AY199*AY203*AY208*AY212</f>
        <v>0</v>
      </c>
    </row>
    <row r="273" spans="44:98" x14ac:dyDescent="0.3">
      <c r="AR273">
        <v>58</v>
      </c>
      <c r="AS273">
        <v>0</v>
      </c>
      <c r="AT273">
        <v>0</v>
      </c>
      <c r="AU273">
        <v>0</v>
      </c>
      <c r="AV273">
        <v>0</v>
      </c>
      <c r="AW273">
        <v>0</v>
      </c>
      <c r="AX273" s="25">
        <f>AV23*AY30*AY36*AY42*AY48*AY54*AY60*AY66*AY71*AY76*AY84*AY87*AY96*AY101*AY107*AY113*AY120*AY124*AY132*AY138*AY142*AY149*AY155*AY160*AY163*AY167*AY171*AY175*AY179*AY183*AY187*AY191*AY196*AY200*AY203*AY207*AY212</f>
        <v>5.1595707906168753E-10</v>
      </c>
      <c r="AY273" t="s">
        <v>564</v>
      </c>
      <c r="AZ273" t="s">
        <v>564</v>
      </c>
      <c r="BA273" s="25" t="s">
        <v>379</v>
      </c>
      <c r="BI273" s="24" t="s">
        <v>380</v>
      </c>
      <c r="BJ273" t="s">
        <v>373</v>
      </c>
      <c r="BK273" s="25" t="s">
        <v>379</v>
      </c>
    </row>
    <row r="274" spans="44:98" x14ac:dyDescent="0.3">
      <c r="AR274">
        <v>59</v>
      </c>
      <c r="AS274">
        <v>0</v>
      </c>
      <c r="AT274">
        <v>0</v>
      </c>
      <c r="AU274">
        <v>0</v>
      </c>
      <c r="AV274">
        <v>0</v>
      </c>
      <c r="AW274">
        <v>0</v>
      </c>
      <c r="AX274" s="25">
        <f>AV23*AY30*AY34*AY39*AY48*AY54*AY58*AY65*AY71*AY76*AY82*AY87*AY96*AY102*AY106*AY114*AY120*AY126*AY132*AY135*AY141*AY148*AY153*AY160*AY164*AY168*AY171*AY175*AY179*AY183*AY187*AY191*AY195*AY199*AY203*AY207*AY211</f>
        <v>3.982060486656001E-15</v>
      </c>
      <c r="AY274" t="s">
        <v>564</v>
      </c>
      <c r="AZ274" t="s">
        <v>564</v>
      </c>
      <c r="BA274" s="25" t="s">
        <v>379</v>
      </c>
    </row>
    <row r="275" spans="44:98" x14ac:dyDescent="0.3">
      <c r="AR275">
        <v>60</v>
      </c>
      <c r="AS275">
        <v>0</v>
      </c>
      <c r="AT275">
        <v>0</v>
      </c>
      <c r="AU275">
        <v>0</v>
      </c>
      <c r="AV275">
        <v>0</v>
      </c>
      <c r="AW275">
        <v>0</v>
      </c>
      <c r="AX275" s="25">
        <f>AV23*AY30*AY36*AY40*AY48*AY54*AY60*AY66*AY71*AY77*AY81*AY87*AY93*AY102*AY105*AY120*AY114*AY126*AY132*AY136*AY144*AY149*AY153*AY160*AY163*AY167*AY171*AY175*AY179*AY183*AY188*AY191*AY196*AY200*AY203*AY207*AY212</f>
        <v>2.3409163772243212E-9</v>
      </c>
      <c r="AY275" t="s">
        <v>564</v>
      </c>
      <c r="AZ275" t="s">
        <v>564</v>
      </c>
      <c r="BA275" s="25" t="s">
        <v>379</v>
      </c>
      <c r="BI275" s="53" t="s">
        <v>436</v>
      </c>
      <c r="BJ275" s="24" t="s">
        <v>71</v>
      </c>
      <c r="BK275" s="1" t="s">
        <v>50</v>
      </c>
      <c r="BL275" s="1" t="s">
        <v>51</v>
      </c>
      <c r="BM275" s="1" t="s">
        <v>52</v>
      </c>
      <c r="BN275" s="1" t="s">
        <v>53</v>
      </c>
      <c r="BO275" s="1" t="s">
        <v>54</v>
      </c>
      <c r="BP275" s="1" t="s">
        <v>55</v>
      </c>
      <c r="BQ275" s="1" t="s">
        <v>56</v>
      </c>
      <c r="BR275" s="1" t="s">
        <v>57</v>
      </c>
      <c r="BS275" s="1" t="s">
        <v>58</v>
      </c>
      <c r="BT275" s="1" t="s">
        <v>59</v>
      </c>
      <c r="BU275" s="1" t="s">
        <v>60</v>
      </c>
      <c r="BV275" s="1" t="s">
        <v>61</v>
      </c>
      <c r="BW275" s="1" t="s">
        <v>62</v>
      </c>
      <c r="BX275" s="1" t="s">
        <v>63</v>
      </c>
      <c r="BY275" s="1" t="s">
        <v>64</v>
      </c>
      <c r="BZ275" s="1" t="s">
        <v>65</v>
      </c>
      <c r="CA275" s="1" t="s">
        <v>66</v>
      </c>
      <c r="CB275" s="1" t="s">
        <v>67</v>
      </c>
      <c r="CC275" s="1" t="s">
        <v>68</v>
      </c>
      <c r="CD275" s="1" t="s">
        <v>69</v>
      </c>
      <c r="CE275" s="1" t="s">
        <v>70</v>
      </c>
      <c r="CF275" s="1" t="s">
        <v>929</v>
      </c>
      <c r="CG275" s="1" t="s">
        <v>930</v>
      </c>
      <c r="CH275" s="1" t="s">
        <v>931</v>
      </c>
      <c r="CI275" s="1" t="s">
        <v>932</v>
      </c>
      <c r="CJ275" s="1" t="s">
        <v>933</v>
      </c>
      <c r="CK275" s="1" t="s">
        <v>934</v>
      </c>
      <c r="CL275" s="1" t="s">
        <v>935</v>
      </c>
      <c r="CM275" s="1" t="s">
        <v>936</v>
      </c>
      <c r="CN275" s="1" t="s">
        <v>937</v>
      </c>
      <c r="CO275" s="1" t="s">
        <v>938</v>
      </c>
      <c r="CP275" s="1" t="s">
        <v>939</v>
      </c>
      <c r="CQ275" s="1" t="s">
        <v>940</v>
      </c>
      <c r="CR275" s="1" t="s">
        <v>941</v>
      </c>
      <c r="CS275" s="1" t="s">
        <v>942</v>
      </c>
      <c r="CT275" s="1" t="s">
        <v>1008</v>
      </c>
    </row>
    <row r="276" spans="44:98" x14ac:dyDescent="0.3">
      <c r="BI276" s="53"/>
      <c r="BJ276" s="24">
        <v>2</v>
      </c>
      <c r="BK276" t="s">
        <v>3</v>
      </c>
      <c r="BL276" t="s">
        <v>5</v>
      </c>
      <c r="BM276" t="s">
        <v>3</v>
      </c>
      <c r="BN276" t="s">
        <v>5</v>
      </c>
      <c r="BO276" t="s">
        <v>5</v>
      </c>
      <c r="BP276" t="s">
        <v>5</v>
      </c>
      <c r="BQ276" t="s">
        <v>2</v>
      </c>
      <c r="BR276" t="s">
        <v>2</v>
      </c>
      <c r="BS276" t="s">
        <v>2</v>
      </c>
      <c r="BT276" t="s">
        <v>2</v>
      </c>
      <c r="BU276" t="s">
        <v>2</v>
      </c>
      <c r="BV276" t="s">
        <v>2</v>
      </c>
      <c r="BW276" t="s">
        <v>5</v>
      </c>
      <c r="BX276" t="s">
        <v>3</v>
      </c>
      <c r="BY276" t="s">
        <v>3</v>
      </c>
      <c r="BZ276" t="s">
        <v>5</v>
      </c>
      <c r="CA276" t="s">
        <v>5</v>
      </c>
      <c r="CB276" t="s">
        <v>5</v>
      </c>
      <c r="CC276" t="s">
        <v>5</v>
      </c>
      <c r="CD276" t="s">
        <v>4</v>
      </c>
      <c r="CE276" t="s">
        <v>4</v>
      </c>
      <c r="CF276" t="s">
        <v>4</v>
      </c>
      <c r="CG276" t="s">
        <v>3</v>
      </c>
      <c r="CH276" t="s">
        <v>4</v>
      </c>
      <c r="CI276" t="s">
        <v>4</v>
      </c>
      <c r="CJ276" t="s">
        <v>4</v>
      </c>
      <c r="CK276" t="s">
        <v>4</v>
      </c>
      <c r="CL276" t="s">
        <v>4</v>
      </c>
      <c r="CM276" t="s">
        <v>4</v>
      </c>
      <c r="CN276" t="s">
        <v>3</v>
      </c>
      <c r="CO276" t="s">
        <v>4</v>
      </c>
      <c r="CP276" t="s">
        <v>3</v>
      </c>
      <c r="CQ276" t="s">
        <v>4</v>
      </c>
      <c r="CR276" t="s">
        <v>4</v>
      </c>
      <c r="CS276" t="s">
        <v>4</v>
      </c>
      <c r="CT276" t="s">
        <v>3</v>
      </c>
    </row>
    <row r="277" spans="44:98" x14ac:dyDescent="0.3">
      <c r="AR277" t="s">
        <v>820</v>
      </c>
      <c r="BI277" t="s">
        <v>703</v>
      </c>
    </row>
    <row r="278" spans="44:98" x14ac:dyDescent="0.3">
      <c r="AR278" s="54" t="s">
        <v>821</v>
      </c>
      <c r="AS278" s="54" t="s">
        <v>675</v>
      </c>
      <c r="AT278" s="54"/>
      <c r="AU278" s="54"/>
      <c r="AV278" s="54"/>
      <c r="AW278" s="54"/>
      <c r="AX278" s="54"/>
      <c r="AY278" s="48" t="s">
        <v>822</v>
      </c>
      <c r="BI278" s="3" t="s">
        <v>355</v>
      </c>
      <c r="BJ278">
        <f>AV18*AT28*AT36*AT40*AT48*AT54*AT60*AT65*AT71*AT77*AT83*AT89*AT95*AT102*AT106*AT112*AT120*AT126*AT132*AT138*AT141*AT147*AT153*AT160*AT163*AT167*AT171*AT175*AT179*AT183*AT188*AT191*AT196*AT199*AT203*AT207*AT212</f>
        <v>4.2475311857664001E-9</v>
      </c>
    </row>
    <row r="279" spans="44:98" x14ac:dyDescent="0.3">
      <c r="AR279" s="54"/>
      <c r="AS279" s="6" t="s">
        <v>378</v>
      </c>
      <c r="AT279" s="6" t="s">
        <v>696</v>
      </c>
      <c r="AU279" s="6" t="s">
        <v>478</v>
      </c>
      <c r="AV279" s="6" t="s">
        <v>509</v>
      </c>
      <c r="AW279" s="6" t="s">
        <v>554</v>
      </c>
      <c r="AX279" s="6" t="s">
        <v>564</v>
      </c>
      <c r="AY279" s="49"/>
      <c r="BI279" t="s">
        <v>741</v>
      </c>
    </row>
    <row r="280" spans="44:98" x14ac:dyDescent="0.3">
      <c r="AR280" s="6" t="s">
        <v>378</v>
      </c>
      <c r="AS280" s="7">
        <v>9</v>
      </c>
      <c r="AT280" s="6">
        <v>1</v>
      </c>
      <c r="AU280" s="6">
        <v>0</v>
      </c>
      <c r="AV280" s="6">
        <v>0</v>
      </c>
      <c r="AW280" s="6">
        <v>0</v>
      </c>
      <c r="AX280" s="6">
        <v>0</v>
      </c>
      <c r="AY280" s="31">
        <v>10</v>
      </c>
      <c r="BI280" s="3" t="s">
        <v>355</v>
      </c>
      <c r="BJ280">
        <f>AV19*AU28*AU36*AU40*AU48*AU54*AU60*AU65*AU71*AU77*AU83*AU89*AU95*AU102*AU106*AU112*AU120*AU126*AU132*AU138*AU141*AU147*AU153*AU160*AU163*AU167*AU171*AU175*AU179*AU183*AU188*AU191*AU196*AU199*AU203*AU207*AU212</f>
        <v>3.3183837388799987E-7</v>
      </c>
    </row>
    <row r="281" spans="44:98" x14ac:dyDescent="0.3">
      <c r="AR281" s="6" t="s">
        <v>696</v>
      </c>
      <c r="AS281" s="6">
        <v>1</v>
      </c>
      <c r="AT281" s="7">
        <v>9</v>
      </c>
      <c r="AU281" s="6">
        <v>0</v>
      </c>
      <c r="AV281" s="6">
        <v>0</v>
      </c>
      <c r="AW281" s="6">
        <v>0</v>
      </c>
      <c r="AX281" s="6">
        <v>0</v>
      </c>
      <c r="AY281" s="31">
        <v>10</v>
      </c>
      <c r="BI281" t="s">
        <v>742</v>
      </c>
    </row>
    <row r="282" spans="44:98" x14ac:dyDescent="0.3">
      <c r="AR282" s="6" t="s">
        <v>478</v>
      </c>
      <c r="AS282" s="6">
        <v>1</v>
      </c>
      <c r="AT282" s="6">
        <v>0</v>
      </c>
      <c r="AU282" s="7">
        <v>8</v>
      </c>
      <c r="AV282" s="6">
        <v>1</v>
      </c>
      <c r="AW282" s="6">
        <v>0</v>
      </c>
      <c r="AX282" s="6">
        <v>0</v>
      </c>
      <c r="AY282" s="31">
        <v>10</v>
      </c>
      <c r="BI282" s="3" t="s">
        <v>355</v>
      </c>
      <c r="BJ282">
        <f>AV20*AV28*AV36*AV40*AV48*AV54*AV60*AV65*AV71*AV77*AV83*AV89*AV95*AV102*AV106*AV112*AV120*AV126*AV132*AV138*AV141*AV147*AV153*AV160*AV163*AV167*AV171*AV175*AV179*AV183*AV188*AV191*AV196*AV199*AV203*AV207*AV212</f>
        <v>0</v>
      </c>
    </row>
    <row r="283" spans="44:98" x14ac:dyDescent="0.3">
      <c r="AR283" s="6" t="s">
        <v>509</v>
      </c>
      <c r="AS283" s="6">
        <v>0</v>
      </c>
      <c r="AT283" s="6">
        <v>0</v>
      </c>
      <c r="AU283" s="6">
        <v>0</v>
      </c>
      <c r="AV283" s="7">
        <v>10</v>
      </c>
      <c r="AW283" s="6">
        <v>0</v>
      </c>
      <c r="AX283" s="6">
        <v>0</v>
      </c>
      <c r="AY283" s="31">
        <v>10</v>
      </c>
      <c r="BI283" t="s">
        <v>743</v>
      </c>
    </row>
    <row r="284" spans="44:98" x14ac:dyDescent="0.3">
      <c r="AR284" s="6" t="s">
        <v>554</v>
      </c>
      <c r="AS284" s="6">
        <v>0</v>
      </c>
      <c r="AT284" s="6">
        <v>0</v>
      </c>
      <c r="AU284" s="6">
        <v>0</v>
      </c>
      <c r="AV284" s="6">
        <v>1</v>
      </c>
      <c r="AW284" s="7">
        <v>8</v>
      </c>
      <c r="AX284" s="6">
        <v>1</v>
      </c>
      <c r="AY284" s="31">
        <v>10</v>
      </c>
      <c r="BI284" s="3" t="s">
        <v>355</v>
      </c>
      <c r="BJ284">
        <f>AV21*AW28*AW36*AW40*AW48*AW54*AW60*AW65*AW71*AW77*AW83*AW89*AW95*AW102*AW106*AW112*AW120*AW126*AW132*AW138*AW141*AW147*AW153*AW160*AW163*AW167*AW171*AW175*AW179*AW183*AW188*AW191*AW196*AW199*AW203*AW207*AW212</f>
        <v>0</v>
      </c>
    </row>
    <row r="285" spans="44:98" x14ac:dyDescent="0.3">
      <c r="AR285" s="6" t="s">
        <v>564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7">
        <v>10</v>
      </c>
      <c r="AY285" s="31">
        <v>10</v>
      </c>
      <c r="BI285" t="s">
        <v>744</v>
      </c>
    </row>
    <row r="286" spans="44:98" x14ac:dyDescent="0.3">
      <c r="AR286" s="31" t="s">
        <v>822</v>
      </c>
      <c r="AS286" s="31">
        <v>11</v>
      </c>
      <c r="AT286" s="31">
        <v>10</v>
      </c>
      <c r="AU286" s="31">
        <v>8</v>
      </c>
      <c r="AV286" s="31">
        <v>12</v>
      </c>
      <c r="AW286" s="31">
        <v>8</v>
      </c>
      <c r="AX286" s="31">
        <v>11</v>
      </c>
      <c r="AY286" s="31">
        <v>60</v>
      </c>
      <c r="BI286" s="3" t="s">
        <v>355</v>
      </c>
      <c r="BJ286">
        <f>AV22*AX28*AX36*AX40*AX48*AX54*AX60*AX65*AX71*AX77*AX83*AX89*AX95*AX102*AX106*AX112*AX120*AX126*AX132*AX138*AX141*AX147*AX153*AX160*AX163*AX167*AX171*AX175*AX179*AX183*AX188*AX191*AX196*AX199*AX203*AX207*AX212</f>
        <v>0</v>
      </c>
    </row>
    <row r="287" spans="44:98" x14ac:dyDescent="0.3">
      <c r="BI287" t="s">
        <v>745</v>
      </c>
    </row>
    <row r="288" spans="44:98" x14ac:dyDescent="0.3">
      <c r="AR288" t="s">
        <v>818</v>
      </c>
      <c r="BI288" s="3" t="s">
        <v>355</v>
      </c>
      <c r="BJ288">
        <f>AV23*AY28*AY36*AY40*AY48*AY54*AY60*AY65*AY71*AY77*AY83*AY89*AY95*AY102*AY106*AY112*AY120*AY126*AY132*AY138*AY141*AY147*AY153*AY160*AY163*AY167*AY171*AY175*AY179*AY183*AY188*AY191*AY196*AY199*AY203*AY207*AY212</f>
        <v>0</v>
      </c>
    </row>
    <row r="289" spans="44:98" x14ac:dyDescent="0.3">
      <c r="AR289" t="s">
        <v>819</v>
      </c>
      <c r="AZ289"/>
      <c r="BG289" s="22"/>
      <c r="BI289" s="24" t="s">
        <v>437</v>
      </c>
      <c r="BJ289" t="s">
        <v>372</v>
      </c>
      <c r="BK289" s="26" t="s">
        <v>617</v>
      </c>
    </row>
    <row r="290" spans="44:98" x14ac:dyDescent="0.3">
      <c r="BL290" t="s">
        <v>482</v>
      </c>
    </row>
    <row r="291" spans="44:98" x14ac:dyDescent="0.3">
      <c r="AR291" t="s">
        <v>842</v>
      </c>
      <c r="BI291" s="53" t="s">
        <v>438</v>
      </c>
      <c r="BJ291" s="24" t="s">
        <v>71</v>
      </c>
      <c r="BK291" s="1" t="s">
        <v>50</v>
      </c>
      <c r="BL291" s="1" t="s">
        <v>51</v>
      </c>
      <c r="BM291" s="1" t="s">
        <v>52</v>
      </c>
      <c r="BN291" s="1" t="s">
        <v>53</v>
      </c>
      <c r="BO291" s="1" t="s">
        <v>54</v>
      </c>
      <c r="BP291" s="1" t="s">
        <v>55</v>
      </c>
      <c r="BQ291" s="1" t="s">
        <v>56</v>
      </c>
      <c r="BR291" s="1" t="s">
        <v>57</v>
      </c>
      <c r="BS291" s="1" t="s">
        <v>58</v>
      </c>
      <c r="BT291" s="1" t="s">
        <v>59</v>
      </c>
      <c r="BU291" s="1" t="s">
        <v>60</v>
      </c>
      <c r="BV291" s="1" t="s">
        <v>61</v>
      </c>
      <c r="BW291" s="1" t="s">
        <v>62</v>
      </c>
      <c r="BX291" s="1" t="s">
        <v>63</v>
      </c>
      <c r="BY291" s="1" t="s">
        <v>64</v>
      </c>
      <c r="BZ291" s="1" t="s">
        <v>65</v>
      </c>
      <c r="CA291" s="1" t="s">
        <v>66</v>
      </c>
      <c r="CB291" s="1" t="s">
        <v>67</v>
      </c>
      <c r="CC291" s="1" t="s">
        <v>68</v>
      </c>
      <c r="CD291" s="1" t="s">
        <v>69</v>
      </c>
      <c r="CE291" s="1" t="s">
        <v>70</v>
      </c>
      <c r="CF291" s="1" t="s">
        <v>929</v>
      </c>
      <c r="CG291" s="1" t="s">
        <v>930</v>
      </c>
      <c r="CH291" s="1" t="s">
        <v>931</v>
      </c>
      <c r="CI291" s="1" t="s">
        <v>932</v>
      </c>
      <c r="CJ291" s="1" t="s">
        <v>933</v>
      </c>
      <c r="CK291" s="1" t="s">
        <v>934</v>
      </c>
      <c r="CL291" s="1" t="s">
        <v>935</v>
      </c>
      <c r="CM291" s="1" t="s">
        <v>936</v>
      </c>
      <c r="CN291" s="1" t="s">
        <v>937</v>
      </c>
      <c r="CO291" s="1" t="s">
        <v>938</v>
      </c>
      <c r="CP291" s="1" t="s">
        <v>939</v>
      </c>
      <c r="CQ291" s="1" t="s">
        <v>940</v>
      </c>
      <c r="CR291" s="1" t="s">
        <v>941</v>
      </c>
      <c r="CS291" s="1" t="s">
        <v>942</v>
      </c>
      <c r="CT291" s="1" t="s">
        <v>1008</v>
      </c>
    </row>
    <row r="292" spans="44:98" x14ac:dyDescent="0.3">
      <c r="AR292" s="5" t="s">
        <v>843</v>
      </c>
      <c r="AS292" s="32">
        <f>54/60</f>
        <v>0.9</v>
      </c>
      <c r="BI292" s="53"/>
      <c r="BJ292" s="24">
        <v>2</v>
      </c>
      <c r="BK292" t="s">
        <v>5</v>
      </c>
      <c r="BL292" t="s">
        <v>3</v>
      </c>
      <c r="BM292" t="s">
        <v>2</v>
      </c>
      <c r="BN292" t="s">
        <v>2</v>
      </c>
      <c r="BO292" t="s">
        <v>5</v>
      </c>
      <c r="BP292" t="s">
        <v>5</v>
      </c>
      <c r="BQ292" t="s">
        <v>5</v>
      </c>
      <c r="BR292" t="s">
        <v>2</v>
      </c>
      <c r="BS292" t="s">
        <v>2</v>
      </c>
      <c r="BT292" t="s">
        <v>2</v>
      </c>
      <c r="BU292" t="s">
        <v>3</v>
      </c>
      <c r="BV292" t="s">
        <v>2</v>
      </c>
      <c r="BW292" t="s">
        <v>5</v>
      </c>
      <c r="BX292" t="s">
        <v>3</v>
      </c>
      <c r="BY292" t="s">
        <v>2</v>
      </c>
      <c r="BZ292" t="s">
        <v>5</v>
      </c>
      <c r="CA292" t="s">
        <v>2</v>
      </c>
      <c r="CB292" t="s">
        <v>2</v>
      </c>
      <c r="CC292" t="s">
        <v>2</v>
      </c>
      <c r="CD292" t="s">
        <v>4</v>
      </c>
      <c r="CE292" t="s">
        <v>4</v>
      </c>
      <c r="CF292" t="s">
        <v>4</v>
      </c>
      <c r="CG292" t="s">
        <v>3</v>
      </c>
      <c r="CH292" t="s">
        <v>4</v>
      </c>
      <c r="CI292" t="s">
        <v>4</v>
      </c>
      <c r="CJ292" t="s">
        <v>4</v>
      </c>
      <c r="CK292" t="s">
        <v>4</v>
      </c>
      <c r="CL292" t="s">
        <v>4</v>
      </c>
      <c r="CM292" t="s">
        <v>4</v>
      </c>
      <c r="CN292" t="s">
        <v>3</v>
      </c>
      <c r="CO292" t="s">
        <v>4</v>
      </c>
      <c r="CP292" t="s">
        <v>3</v>
      </c>
      <c r="CQ292" t="s">
        <v>4</v>
      </c>
      <c r="CR292" t="s">
        <v>4</v>
      </c>
      <c r="CS292" t="s">
        <v>3</v>
      </c>
      <c r="CT292" t="s">
        <v>3</v>
      </c>
    </row>
    <row r="293" spans="44:98" x14ac:dyDescent="0.3">
      <c r="AR293" t="s">
        <v>845</v>
      </c>
      <c r="AS293" s="5" t="s">
        <v>863</v>
      </c>
      <c r="BI293" t="s">
        <v>747</v>
      </c>
    </row>
    <row r="294" spans="44:98" x14ac:dyDescent="0.3">
      <c r="BI294" s="3" t="s">
        <v>355</v>
      </c>
      <c r="BJ294">
        <f>AV18*AT30*AT34*AT41*AT47*AT54*AT60*AT66*AT71*AT77*AT83*AT88*AT95*AT102*AT106*AT113*AT120*AT125*AT131*AT137*AT141*AT147*AT153*AT160*AT163*AT167*AT171*AT175*AT179*AT183*AT188*AT191*AT196*AT199*AT203*AT208*AT212</f>
        <v>0</v>
      </c>
    </row>
    <row r="295" spans="44:98" x14ac:dyDescent="0.3">
      <c r="AR295" s="5" t="s">
        <v>844</v>
      </c>
      <c r="AS295" s="32">
        <f>6/60</f>
        <v>0.1</v>
      </c>
      <c r="BI295" t="s">
        <v>748</v>
      </c>
    </row>
    <row r="296" spans="44:98" x14ac:dyDescent="0.3">
      <c r="AR296" t="s">
        <v>831</v>
      </c>
      <c r="AS296" s="5" t="s">
        <v>864</v>
      </c>
      <c r="BI296" s="3" t="s">
        <v>355</v>
      </c>
      <c r="BJ296">
        <f>AV19*AU30*AU34*AU41*AU47*AU54*AU60*AU66*AU71*AU77*AU83*AU88*AU95*AU102*AU106*AU113*AU120*AU125*AU131*AU137*AU141*AU147*AU153*AU160*AU163*AU167*AU171*AU175*AU179*AU183*AU188*AU191*AU196*AU199*AU203*AU208*AU212</f>
        <v>4.1150592000000019E-10</v>
      </c>
    </row>
    <row r="297" spans="44:98" x14ac:dyDescent="0.3">
      <c r="AR297" t="s">
        <v>862</v>
      </c>
      <c r="BI297" t="s">
        <v>749</v>
      </c>
    </row>
    <row r="298" spans="44:98" x14ac:dyDescent="0.3">
      <c r="BI298" s="3" t="s">
        <v>355</v>
      </c>
      <c r="BJ298">
        <f>AV20*AV30*AV34*AV41*AV47*AV54*AV60*AV66*AV71*AV77*AV83*AV88*AV95*AV102*AV106*AV113*AV120*AV125*AV131*AV137*AV141*AV147*AV153*AV160*AV163*AV167*AV171*AV175*AV179*AV183*AV188*AV191*AV196*AV199*AV203*AV208*AV212</f>
        <v>0</v>
      </c>
    </row>
    <row r="299" spans="44:98" x14ac:dyDescent="0.3">
      <c r="AR299" t="s">
        <v>830</v>
      </c>
      <c r="AS299" s="34" t="s">
        <v>833</v>
      </c>
      <c r="AT299" s="34" t="s">
        <v>840</v>
      </c>
      <c r="AU299" s="34" t="s">
        <v>848</v>
      </c>
      <c r="AV299" s="34" t="s">
        <v>841</v>
      </c>
      <c r="BI299" t="s">
        <v>750</v>
      </c>
    </row>
    <row r="300" spans="44:98" x14ac:dyDescent="0.3">
      <c r="AR300" s="5" t="s">
        <v>832</v>
      </c>
      <c r="AS300" s="6" t="s">
        <v>834</v>
      </c>
      <c r="AT300" s="6">
        <v>9</v>
      </c>
      <c r="AU300" s="6">
        <v>10</v>
      </c>
      <c r="AV300" s="33">
        <f>9/10</f>
        <v>0.9</v>
      </c>
      <c r="AW300" t="s">
        <v>866</v>
      </c>
      <c r="BI300" s="3" t="s">
        <v>355</v>
      </c>
      <c r="BJ300">
        <f>AV21*AW30*AW34*AW41*AW47*AW54*AW60*AW66*AW71*AW77*AW83*AW88*AW95*AW102*AW106*AW113*AW120*AW125*AW131*AW137*AW141*AW147*AW153*AW160*AW163*AW167*AW171*AW175*AW179*AW183*AW188*AW191*AW196*AW199*AW203*AW208*AW212</f>
        <v>0</v>
      </c>
    </row>
    <row r="301" spans="44:98" x14ac:dyDescent="0.3">
      <c r="AS301" s="6" t="s">
        <v>835</v>
      </c>
      <c r="AT301" s="6">
        <v>9</v>
      </c>
      <c r="AU301" s="6">
        <v>10</v>
      </c>
      <c r="AV301" s="33">
        <f>9/10</f>
        <v>0.9</v>
      </c>
      <c r="BI301" t="s">
        <v>751</v>
      </c>
    </row>
    <row r="302" spans="44:98" x14ac:dyDescent="0.3">
      <c r="AS302" s="6" t="s">
        <v>836</v>
      </c>
      <c r="AT302" s="6">
        <v>8</v>
      </c>
      <c r="AU302" s="6">
        <v>10</v>
      </c>
      <c r="AV302" s="33">
        <f>8/10</f>
        <v>0.8</v>
      </c>
      <c r="BI302" s="3" t="s">
        <v>355</v>
      </c>
      <c r="BJ302">
        <f>AV22*AX30*AX34*AX41*AX47*AX54*AX60*AX66*AX71*AX77*AX83*AX88*AX95*AX102*AX106*AX113*AX120*AX125*AX131*AX137*AX141*AX147*AX153*AX160*AX163*AX167*AX171*AX175*AX179*AX183*AX188*AX191*AX196*AX199*AX203*AX208*AX212</f>
        <v>0</v>
      </c>
    </row>
    <row r="303" spans="44:98" x14ac:dyDescent="0.3">
      <c r="AS303" s="6" t="s">
        <v>837</v>
      </c>
      <c r="AT303" s="6">
        <v>10</v>
      </c>
      <c r="AU303" s="6">
        <v>10</v>
      </c>
      <c r="AV303" s="33">
        <f>10/10</f>
        <v>1</v>
      </c>
      <c r="BI303" t="s">
        <v>752</v>
      </c>
    </row>
    <row r="304" spans="44:98" x14ac:dyDescent="0.3">
      <c r="AS304" s="6" t="s">
        <v>838</v>
      </c>
      <c r="AT304" s="6">
        <v>8</v>
      </c>
      <c r="AU304" s="6">
        <v>10</v>
      </c>
      <c r="AV304" s="33">
        <f>8/10</f>
        <v>0.8</v>
      </c>
      <c r="BI304" s="3" t="s">
        <v>355</v>
      </c>
      <c r="BJ304">
        <f>AV23*AY30*AY34*AY41*AY47*AY54*AY60*AY66*AY71*AY77*AY83*AY88*AY95*AY102*AY106*AY113*AY120*AY125*AY131*AY137*AY141*AY147*AY153*AY160*AY163*AY167*AY171*AY175*AY179*AY183*AY188*AY191*AY196*AY199*AY203*AY208*AY212</f>
        <v>0</v>
      </c>
    </row>
    <row r="305" spans="44:98" x14ac:dyDescent="0.3">
      <c r="AS305" s="6" t="s">
        <v>839</v>
      </c>
      <c r="AT305" s="6">
        <v>10</v>
      </c>
      <c r="AU305" s="6">
        <v>10</v>
      </c>
      <c r="AV305" s="33">
        <f>10/10</f>
        <v>1</v>
      </c>
      <c r="BI305" t="s">
        <v>380</v>
      </c>
      <c r="BJ305" t="s">
        <v>373</v>
      </c>
      <c r="BK305" s="25" t="s">
        <v>379</v>
      </c>
    </row>
    <row r="306" spans="44:98" x14ac:dyDescent="0.3">
      <c r="AS306" t="s">
        <v>865</v>
      </c>
    </row>
    <row r="307" spans="44:98" x14ac:dyDescent="0.3">
      <c r="AR307" s="5" t="s">
        <v>861</v>
      </c>
      <c r="BI307" s="53" t="s">
        <v>439</v>
      </c>
      <c r="BJ307" s="24" t="s">
        <v>71</v>
      </c>
      <c r="BK307" s="1" t="s">
        <v>50</v>
      </c>
      <c r="BL307" s="1" t="s">
        <v>51</v>
      </c>
      <c r="BM307" s="1" t="s">
        <v>52</v>
      </c>
      <c r="BN307" s="1" t="s">
        <v>53</v>
      </c>
      <c r="BO307" s="1" t="s">
        <v>54</v>
      </c>
      <c r="BP307" s="1" t="s">
        <v>55</v>
      </c>
      <c r="BQ307" s="1" t="s">
        <v>56</v>
      </c>
      <c r="BR307" s="1" t="s">
        <v>57</v>
      </c>
      <c r="BS307" s="1" t="s">
        <v>58</v>
      </c>
      <c r="BT307" s="1" t="s">
        <v>59</v>
      </c>
      <c r="BU307" s="1" t="s">
        <v>60</v>
      </c>
      <c r="BV307" s="1" t="s">
        <v>61</v>
      </c>
      <c r="BW307" s="1" t="s">
        <v>62</v>
      </c>
      <c r="BX307" s="1" t="s">
        <v>63</v>
      </c>
      <c r="BY307" s="1" t="s">
        <v>64</v>
      </c>
      <c r="BZ307" s="1" t="s">
        <v>65</v>
      </c>
      <c r="CA307" s="1" t="s">
        <v>66</v>
      </c>
      <c r="CB307" s="1" t="s">
        <v>67</v>
      </c>
      <c r="CC307" s="1" t="s">
        <v>68</v>
      </c>
      <c r="CD307" s="1" t="s">
        <v>69</v>
      </c>
      <c r="CE307" s="1" t="s">
        <v>70</v>
      </c>
      <c r="CF307" s="1" t="s">
        <v>929</v>
      </c>
      <c r="CG307" s="1" t="s">
        <v>930</v>
      </c>
      <c r="CH307" s="1" t="s">
        <v>931</v>
      </c>
      <c r="CI307" s="1" t="s">
        <v>932</v>
      </c>
      <c r="CJ307" s="1" t="s">
        <v>933</v>
      </c>
      <c r="CK307" s="1" t="s">
        <v>934</v>
      </c>
      <c r="CL307" s="1" t="s">
        <v>935</v>
      </c>
      <c r="CM307" s="1" t="s">
        <v>936</v>
      </c>
      <c r="CN307" s="1" t="s">
        <v>937</v>
      </c>
      <c r="CO307" s="1" t="s">
        <v>938</v>
      </c>
      <c r="CP307" s="1" t="s">
        <v>939</v>
      </c>
      <c r="CQ307" s="1" t="s">
        <v>940</v>
      </c>
      <c r="CR307" s="1" t="s">
        <v>941</v>
      </c>
      <c r="CS307" s="1" t="s">
        <v>942</v>
      </c>
      <c r="CT307" s="1" t="s">
        <v>1008</v>
      </c>
    </row>
    <row r="308" spans="44:98" x14ac:dyDescent="0.3">
      <c r="AR308" t="s">
        <v>846</v>
      </c>
      <c r="AS308" s="34" t="s">
        <v>833</v>
      </c>
      <c r="AT308" s="34" t="s">
        <v>840</v>
      </c>
      <c r="AU308" s="34" t="s">
        <v>847</v>
      </c>
      <c r="AV308" s="34" t="s">
        <v>868</v>
      </c>
      <c r="BI308" s="53"/>
      <c r="BJ308" s="24">
        <v>2</v>
      </c>
      <c r="BK308" t="s">
        <v>4</v>
      </c>
      <c r="BL308" t="s">
        <v>5</v>
      </c>
      <c r="BM308" t="s">
        <v>3</v>
      </c>
      <c r="BN308" t="s">
        <v>5</v>
      </c>
      <c r="BO308" t="s">
        <v>5</v>
      </c>
      <c r="BP308" t="s">
        <v>5</v>
      </c>
      <c r="BQ308" t="s">
        <v>5</v>
      </c>
      <c r="BR308" t="s">
        <v>2</v>
      </c>
      <c r="BS308" t="s">
        <v>3</v>
      </c>
      <c r="BT308" t="s">
        <v>2</v>
      </c>
      <c r="BU308" t="s">
        <v>3</v>
      </c>
      <c r="BV308" t="s">
        <v>2</v>
      </c>
      <c r="BW308" t="s">
        <v>5</v>
      </c>
      <c r="BX308" t="s">
        <v>3</v>
      </c>
      <c r="BY308" t="s">
        <v>3</v>
      </c>
      <c r="BZ308" t="s">
        <v>5</v>
      </c>
      <c r="CA308" t="s">
        <v>5</v>
      </c>
      <c r="CB308" t="s">
        <v>5</v>
      </c>
      <c r="CC308" t="s">
        <v>3</v>
      </c>
      <c r="CD308" t="s">
        <v>4</v>
      </c>
      <c r="CE308" t="s">
        <v>4</v>
      </c>
      <c r="CF308" t="s">
        <v>2</v>
      </c>
      <c r="CG308" t="s">
        <v>3</v>
      </c>
      <c r="CH308" t="s">
        <v>4</v>
      </c>
      <c r="CI308" t="s">
        <v>4</v>
      </c>
      <c r="CJ308" t="s">
        <v>4</v>
      </c>
      <c r="CK308" t="s">
        <v>4</v>
      </c>
      <c r="CL308" t="s">
        <v>4</v>
      </c>
      <c r="CM308" t="s">
        <v>4</v>
      </c>
      <c r="CN308" t="s">
        <v>3</v>
      </c>
      <c r="CO308" t="s">
        <v>4</v>
      </c>
      <c r="CP308" t="s">
        <v>4</v>
      </c>
      <c r="CQ308" t="s">
        <v>4</v>
      </c>
      <c r="CR308" t="s">
        <v>4</v>
      </c>
      <c r="CS308" t="s">
        <v>4</v>
      </c>
      <c r="CT308" t="s">
        <v>3</v>
      </c>
    </row>
    <row r="309" spans="44:98" x14ac:dyDescent="0.3">
      <c r="AS309" s="6" t="s">
        <v>834</v>
      </c>
      <c r="AT309" s="6">
        <v>9</v>
      </c>
      <c r="AU309" s="6">
        <v>11</v>
      </c>
      <c r="AV309" s="33">
        <f>9/11</f>
        <v>0.81818181818181823</v>
      </c>
      <c r="AW309" t="s">
        <v>867</v>
      </c>
      <c r="BI309" t="s">
        <v>704</v>
      </c>
    </row>
    <row r="310" spans="44:98" x14ac:dyDescent="0.3">
      <c r="AS310" s="6" t="s">
        <v>835</v>
      </c>
      <c r="AT310" s="6">
        <v>9</v>
      </c>
      <c r="AU310" s="6">
        <v>10</v>
      </c>
      <c r="AV310" s="33">
        <f>9/10</f>
        <v>0.9</v>
      </c>
      <c r="AW310" t="s">
        <v>870</v>
      </c>
      <c r="BI310" s="3" t="s">
        <v>355</v>
      </c>
      <c r="BJ310">
        <f>AV18*AT27*AT36*AT40*AT48*AT54*AT60*AT66*AT71*AT76*AT83*AT88*AT95*AT102*AT106*AT112*AT120*AT126*AT132*AT136*AT141*AT147*AT155*AT160*AT163*AT167*AT171*AT175*AT179*AT183*AT188*AT191*AT195*AT199*AT203*AT207*AT212</f>
        <v>0</v>
      </c>
    </row>
    <row r="311" spans="44:98" x14ac:dyDescent="0.3">
      <c r="AS311" s="6" t="s">
        <v>836</v>
      </c>
      <c r="AT311" s="6">
        <v>8</v>
      </c>
      <c r="AU311" s="6">
        <v>8</v>
      </c>
      <c r="AV311" s="33">
        <f>8/8</f>
        <v>1</v>
      </c>
      <c r="BI311" t="s">
        <v>753</v>
      </c>
    </row>
    <row r="312" spans="44:98" x14ac:dyDescent="0.3">
      <c r="AS312" s="6" t="s">
        <v>837</v>
      </c>
      <c r="AT312" s="6">
        <v>10</v>
      </c>
      <c r="AU312" s="6">
        <v>12</v>
      </c>
      <c r="AV312" s="33">
        <f>10/12</f>
        <v>0.83333333333333337</v>
      </c>
      <c r="BI312" s="3" t="s">
        <v>355</v>
      </c>
      <c r="BJ312">
        <f>AV19*AU27*AU36*AU40*AU48*AU54*AU60*AU66*AU71*AU76*AU83*AU88*AU95*AU102*AU106*AU112*AU120*AU126*AU132*AU136*AU141*AU147*AU155*AU160*AU163*AU167*AU171*AU175*AU179*AU183*AU188*AU191*AU195*AU199*AU203*AU207*AU212</f>
        <v>8.8885278720000022E-8</v>
      </c>
    </row>
    <row r="313" spans="44:98" x14ac:dyDescent="0.3">
      <c r="AS313" s="6" t="s">
        <v>838</v>
      </c>
      <c r="AT313" s="6">
        <v>8</v>
      </c>
      <c r="AU313" s="6">
        <v>8</v>
      </c>
      <c r="AV313" s="33">
        <f>8/8</f>
        <v>1</v>
      </c>
      <c r="BI313" t="s">
        <v>754</v>
      </c>
    </row>
    <row r="314" spans="44:98" x14ac:dyDescent="0.3">
      <c r="AS314" s="6" t="s">
        <v>839</v>
      </c>
      <c r="AT314" s="6">
        <v>10</v>
      </c>
      <c r="AU314" s="6">
        <v>11</v>
      </c>
      <c r="AV314" s="33">
        <f>10/11</f>
        <v>0.90909090909090906</v>
      </c>
      <c r="BI314" s="3" t="s">
        <v>355</v>
      </c>
      <c r="BJ314">
        <f>AV20*AV27*AV36*AV40*AV48*AV54*AV60*AV66*AV71*AV76*AV83*AV88*AV95*AV102*AV106*AV112*AV120*AV126*AV132*AV136*AV141*AV147*AV155*AV160*AV163*AV167*AV171*AV175*AV179*AV183*AV188*AV191*AV195*AV199*AV203*AV207*AV212</f>
        <v>0</v>
      </c>
    </row>
    <row r="315" spans="44:98" x14ac:dyDescent="0.3">
      <c r="AS315" t="s">
        <v>871</v>
      </c>
      <c r="BI315" t="s">
        <v>755</v>
      </c>
    </row>
    <row r="316" spans="44:98" x14ac:dyDescent="0.3">
      <c r="BI316" s="3" t="s">
        <v>355</v>
      </c>
      <c r="BJ316">
        <f>AV21*AW27*AW36*AW40*AW48*AW54*AW60*AW66*AW71*AW76*AW83*AW88*AW95*AW102*AW106*AW112*AW120*AW126*AW132*AW136*AW141*AW147*AW155*AW160*AW163*AW167*AW171*AW175*AW179*AW183*AW188*AW191*AW195*AW199*AW203*AW207*AW212</f>
        <v>0</v>
      </c>
    </row>
    <row r="317" spans="44:98" x14ac:dyDescent="0.3">
      <c r="AR317" t="s">
        <v>823</v>
      </c>
      <c r="AS317" s="5" t="s">
        <v>849</v>
      </c>
      <c r="AV317" t="s">
        <v>853</v>
      </c>
      <c r="BI317" t="s">
        <v>898</v>
      </c>
    </row>
    <row r="318" spans="44:98" x14ac:dyDescent="0.3">
      <c r="AS318" s="5" t="s">
        <v>850</v>
      </c>
      <c r="AV318" t="s">
        <v>854</v>
      </c>
      <c r="BI318" s="3" t="s">
        <v>355</v>
      </c>
      <c r="BJ318">
        <f>AV22*AX27*AX36*AX40*AX48*AX54*AX60*AX66*AX71*AX76*AX83*AX88*AX95*AX102*AX106*AX112*AX120*AX126*AX132*AX136*AX141*AX147*AX155*AX160*AX163*AX167*AX171*AX175*AX179*AX183*AX188*AX191*AX195*AX199*AX203*AX207*AX212</f>
        <v>0</v>
      </c>
    </row>
    <row r="319" spans="44:98" x14ac:dyDescent="0.3">
      <c r="AS319" s="5" t="s">
        <v>851</v>
      </c>
      <c r="AV319" t="s">
        <v>855</v>
      </c>
      <c r="BI319" t="s">
        <v>704</v>
      </c>
    </row>
    <row r="320" spans="44:98" x14ac:dyDescent="0.3">
      <c r="AS320" s="5" t="s">
        <v>852</v>
      </c>
      <c r="AV320" t="s">
        <v>856</v>
      </c>
      <c r="BI320" s="3" t="s">
        <v>355</v>
      </c>
      <c r="BJ320">
        <f>AV23*AY27*AY36*AY40*AY48*AY54*AY60*AY66*AY71*AY76*AY83*AY88*AY95*AY102*AY106*AY112*AY120*AY126*AY132*AY136*AY141*AY147*AY155*AY160*AY163*AY167*AY171*AY175*AY179*AY183*AY188*AY191*AY195*AY199*AY203*AY207*AY212</f>
        <v>0</v>
      </c>
    </row>
    <row r="321" spans="44:98" x14ac:dyDescent="0.3">
      <c r="AS321" s="5" t="s">
        <v>858</v>
      </c>
      <c r="AV321" t="s">
        <v>857</v>
      </c>
      <c r="BI321" s="24" t="s">
        <v>380</v>
      </c>
      <c r="BJ321" t="s">
        <v>373</v>
      </c>
      <c r="BK321" s="25" t="s">
        <v>405</v>
      </c>
    </row>
    <row r="322" spans="44:98" x14ac:dyDescent="0.3">
      <c r="AS322" s="5" t="s">
        <v>859</v>
      </c>
    </row>
    <row r="323" spans="44:98" x14ac:dyDescent="0.3">
      <c r="AS323" s="5" t="s">
        <v>860</v>
      </c>
      <c r="BI323" s="53" t="s">
        <v>440</v>
      </c>
      <c r="BJ323" s="24" t="s">
        <v>71</v>
      </c>
      <c r="BK323" s="1" t="s">
        <v>50</v>
      </c>
      <c r="BL323" s="1" t="s">
        <v>51</v>
      </c>
      <c r="BM323" s="1" t="s">
        <v>52</v>
      </c>
      <c r="BN323" s="1" t="s">
        <v>53</v>
      </c>
      <c r="BO323" s="1" t="s">
        <v>54</v>
      </c>
      <c r="BP323" s="1" t="s">
        <v>55</v>
      </c>
      <c r="BQ323" s="1" t="s">
        <v>56</v>
      </c>
      <c r="BR323" s="1" t="s">
        <v>57</v>
      </c>
      <c r="BS323" s="1" t="s">
        <v>58</v>
      </c>
      <c r="BT323" s="1" t="s">
        <v>59</v>
      </c>
      <c r="BU323" s="1" t="s">
        <v>60</v>
      </c>
      <c r="BV323" s="1" t="s">
        <v>61</v>
      </c>
      <c r="BW323" s="1" t="s">
        <v>62</v>
      </c>
      <c r="BX323" s="1" t="s">
        <v>63</v>
      </c>
      <c r="BY323" s="1" t="s">
        <v>64</v>
      </c>
      <c r="BZ323" s="1" t="s">
        <v>65</v>
      </c>
      <c r="CA323" s="1" t="s">
        <v>66</v>
      </c>
      <c r="CB323" s="1" t="s">
        <v>67</v>
      </c>
      <c r="CC323" s="1" t="s">
        <v>68</v>
      </c>
      <c r="CD323" s="1" t="s">
        <v>69</v>
      </c>
      <c r="CE323" s="1" t="s">
        <v>70</v>
      </c>
      <c r="CF323" s="1" t="s">
        <v>929</v>
      </c>
      <c r="CG323" s="1" t="s">
        <v>930</v>
      </c>
      <c r="CH323" s="1" t="s">
        <v>931</v>
      </c>
      <c r="CI323" s="1" t="s">
        <v>932</v>
      </c>
      <c r="CJ323" s="1" t="s">
        <v>933</v>
      </c>
      <c r="CK323" s="1" t="s">
        <v>934</v>
      </c>
      <c r="CL323" s="1" t="s">
        <v>935</v>
      </c>
      <c r="CM323" s="1" t="s">
        <v>936</v>
      </c>
      <c r="CN323" s="1" t="s">
        <v>937</v>
      </c>
      <c r="CO323" s="1" t="s">
        <v>938</v>
      </c>
      <c r="CP323" s="1" t="s">
        <v>939</v>
      </c>
      <c r="CQ323" s="1" t="s">
        <v>940</v>
      </c>
      <c r="CR323" s="1" t="s">
        <v>941</v>
      </c>
      <c r="CS323" s="1" t="s">
        <v>942</v>
      </c>
      <c r="CT323" s="1" t="s">
        <v>1008</v>
      </c>
    </row>
    <row r="324" spans="44:98" x14ac:dyDescent="0.3">
      <c r="BI324" s="53"/>
      <c r="BJ324" s="24">
        <v>3</v>
      </c>
      <c r="BK324" t="s">
        <v>5</v>
      </c>
      <c r="BL324" t="s">
        <v>3</v>
      </c>
      <c r="BM324" t="s">
        <v>3</v>
      </c>
      <c r="BN324" t="s">
        <v>5</v>
      </c>
      <c r="BO324" t="s">
        <v>5</v>
      </c>
      <c r="BP324" t="s">
        <v>5</v>
      </c>
      <c r="BQ324" t="s">
        <v>2</v>
      </c>
      <c r="BR324" t="s">
        <v>2</v>
      </c>
      <c r="BS324" t="s">
        <v>3</v>
      </c>
      <c r="BT324" t="s">
        <v>3</v>
      </c>
      <c r="BU324" t="s">
        <v>4</v>
      </c>
      <c r="BV324" t="s">
        <v>5</v>
      </c>
      <c r="BW324" t="s">
        <v>2</v>
      </c>
      <c r="BX324" t="s">
        <v>3</v>
      </c>
      <c r="BY324" t="s">
        <v>2</v>
      </c>
      <c r="BZ324" t="s">
        <v>5</v>
      </c>
      <c r="CA324" t="s">
        <v>5</v>
      </c>
      <c r="CB324" t="s">
        <v>5</v>
      </c>
      <c r="CC324" t="s">
        <v>5</v>
      </c>
      <c r="CD324" t="s">
        <v>4</v>
      </c>
      <c r="CE324" t="s">
        <v>3</v>
      </c>
      <c r="CF324" t="s">
        <v>3</v>
      </c>
      <c r="CG324" t="s">
        <v>3</v>
      </c>
      <c r="CH324" t="s">
        <v>4</v>
      </c>
      <c r="CI324" t="s">
        <v>4</v>
      </c>
      <c r="CJ324" t="s">
        <v>4</v>
      </c>
      <c r="CK324" t="s">
        <v>4</v>
      </c>
      <c r="CL324" t="s">
        <v>4</v>
      </c>
      <c r="CM324" t="s">
        <v>4</v>
      </c>
      <c r="CN324" t="s">
        <v>3</v>
      </c>
      <c r="CO324" t="s">
        <v>4</v>
      </c>
      <c r="CP324" t="s">
        <v>3</v>
      </c>
      <c r="CQ324" t="s">
        <v>4</v>
      </c>
      <c r="CR324" t="s">
        <v>4</v>
      </c>
      <c r="CS324" t="s">
        <v>4</v>
      </c>
      <c r="CT324" t="s">
        <v>3</v>
      </c>
    </row>
    <row r="325" spans="44:98" x14ac:dyDescent="0.3">
      <c r="AS325" t="s">
        <v>825</v>
      </c>
      <c r="BI325" t="s">
        <v>483</v>
      </c>
    </row>
    <row r="326" spans="44:98" x14ac:dyDescent="0.3">
      <c r="AS326" t="s">
        <v>826</v>
      </c>
      <c r="BI326" s="3" t="s">
        <v>355</v>
      </c>
      <c r="BJ326">
        <f>AV18*AT30*AT34*AT40*AT48*AT54*AT60*AT65*AT71*AT76*AT82*AT87*AT96*AT101*AT106*AT113*AT120*AT126*AT132*AT138*AT141*AT148*AT154*AT160*AT163*AT167*AT171*AT175*AT179*AT183*AT188*AT191*AT196*AT199*AT203*AT207*AT212</f>
        <v>0</v>
      </c>
    </row>
    <row r="327" spans="44:98" x14ac:dyDescent="0.3">
      <c r="AS327" t="s">
        <v>824</v>
      </c>
      <c r="BI327" t="s">
        <v>484</v>
      </c>
    </row>
    <row r="328" spans="44:98" x14ac:dyDescent="0.3">
      <c r="AS328" t="s">
        <v>827</v>
      </c>
      <c r="BI328" s="3" t="s">
        <v>355</v>
      </c>
      <c r="BJ328">
        <f>AV19*AU30*AU34*AU40*AU48*AU54*AU60*AU65*AU71*AU76*AU82*AU87*AU96*AU101*AU106*AU113*AU120*AU126*AU132*AU138*AU141*AU148*AU154*AU160*AU163*AU167*AU171*AU175*AU179*AU183*AU188*AU191*AU196*AU199*AU203*AU207*AU212</f>
        <v>0</v>
      </c>
    </row>
    <row r="329" spans="44:98" x14ac:dyDescent="0.3">
      <c r="AR329" t="s">
        <v>828</v>
      </c>
      <c r="AS329" t="s">
        <v>829</v>
      </c>
      <c r="BI329" t="s">
        <v>485</v>
      </c>
    </row>
    <row r="330" spans="44:98" x14ac:dyDescent="0.3">
      <c r="BI330" s="3" t="s">
        <v>355</v>
      </c>
      <c r="BJ330">
        <f>AV20*AV30*AV34*AV40*AV48*AV54*AV60*AV65*AV71*AV76*AV82*AV87*AV96*AV101*AV106*AV113*AV120*AV126*AV132*AV138*AV141*AV148*AV154*AV160*AV163*AV167*AV171*AV175*AV179*AV183*AV188*AV191*AV196*AV199*AV203*AV207*AV212</f>
        <v>4.0640909326811133E-7</v>
      </c>
    </row>
    <row r="331" spans="44:98" x14ac:dyDescent="0.3">
      <c r="BI331" t="s">
        <v>486</v>
      </c>
    </row>
    <row r="332" spans="44:98" x14ac:dyDescent="0.3">
      <c r="BI332" s="3" t="s">
        <v>355</v>
      </c>
      <c r="BJ332">
        <f>AV21*AW30*AW34*AW40*AW48*AW54*AW60*AW65*AW71*AW76*AW82*AW87*AW96*AW101*AW106*AW113*AW120*AW126*AW132*AW138*AW141*AW148*AW154*AW160*AW163*AW167*AW171*AW175*AW179*AW183*AW188*AW191*AW196*AW199*AW203*AW207*AW212</f>
        <v>0</v>
      </c>
    </row>
    <row r="333" spans="44:98" x14ac:dyDescent="0.3">
      <c r="BI333" t="s">
        <v>487</v>
      </c>
    </row>
    <row r="334" spans="44:98" x14ac:dyDescent="0.3">
      <c r="BI334" s="3" t="s">
        <v>355</v>
      </c>
      <c r="BJ334">
        <f>AV22*AX30*AX34*AX40*AX48*AX54*AX60*AX65*AX71*AX76*AX82*AX87*AX96*AX101*AX106*AX113*AX120*AX126*AX132*AX138*AX141*AX148*AX154*AX160*AX163*AX167*AX171*AX175*AX179*AX183*AX188*AX191*AX196*AX199*AX203*AX207*AX212</f>
        <v>0</v>
      </c>
    </row>
    <row r="335" spans="44:98" x14ac:dyDescent="0.3">
      <c r="BI335" t="s">
        <v>488</v>
      </c>
    </row>
    <row r="336" spans="44:98" x14ac:dyDescent="0.3">
      <c r="BI336" s="3" t="s">
        <v>355</v>
      </c>
      <c r="BJ336">
        <f>AY23*AY30*AY34*AY40*AY48*AY54*AY60*AY65*AY71*AY76*AY82*AY87*AY96*AY101*AY106*AY113*AY120*AY126*AY132*AY138*AY141*AY148*AY154*AY160*AY163*AY167*AY171*AY175*AY179*AY183*AY188*AY191*AY196*AY199*AY203*AY207*AY212</f>
        <v>0</v>
      </c>
    </row>
    <row r="337" spans="61:98" x14ac:dyDescent="0.3">
      <c r="BI337" t="s">
        <v>380</v>
      </c>
      <c r="BJ337" t="s">
        <v>374</v>
      </c>
      <c r="BK337" s="25" t="s">
        <v>379</v>
      </c>
    </row>
    <row r="339" spans="61:98" x14ac:dyDescent="0.3">
      <c r="BI339" s="53" t="s">
        <v>441</v>
      </c>
      <c r="BJ339" s="24" t="s">
        <v>71</v>
      </c>
      <c r="BK339" s="1" t="s">
        <v>50</v>
      </c>
      <c r="BL339" s="1" t="s">
        <v>51</v>
      </c>
      <c r="BM339" s="1" t="s">
        <v>52</v>
      </c>
      <c r="BN339" s="1" t="s">
        <v>53</v>
      </c>
      <c r="BO339" s="1" t="s">
        <v>54</v>
      </c>
      <c r="BP339" s="1" t="s">
        <v>55</v>
      </c>
      <c r="BQ339" s="1" t="s">
        <v>56</v>
      </c>
      <c r="BR339" s="1" t="s">
        <v>57</v>
      </c>
      <c r="BS339" s="1" t="s">
        <v>58</v>
      </c>
      <c r="BT339" s="1" t="s">
        <v>59</v>
      </c>
      <c r="BU339" s="1" t="s">
        <v>60</v>
      </c>
      <c r="BV339" s="1" t="s">
        <v>61</v>
      </c>
      <c r="BW339" s="1" t="s">
        <v>62</v>
      </c>
      <c r="BX339" s="1" t="s">
        <v>63</v>
      </c>
      <c r="BY339" s="1" t="s">
        <v>64</v>
      </c>
      <c r="BZ339" s="1" t="s">
        <v>65</v>
      </c>
      <c r="CA339" s="1" t="s">
        <v>66</v>
      </c>
      <c r="CB339" s="1" t="s">
        <v>67</v>
      </c>
      <c r="CC339" s="1" t="s">
        <v>68</v>
      </c>
      <c r="CD339" s="1" t="s">
        <v>69</v>
      </c>
      <c r="CE339" s="1" t="s">
        <v>70</v>
      </c>
      <c r="CF339" s="1" t="s">
        <v>929</v>
      </c>
      <c r="CG339" s="1" t="s">
        <v>930</v>
      </c>
      <c r="CH339" s="1" t="s">
        <v>931</v>
      </c>
      <c r="CI339" s="1" t="s">
        <v>932</v>
      </c>
      <c r="CJ339" s="1" t="s">
        <v>933</v>
      </c>
      <c r="CK339" s="1" t="s">
        <v>934</v>
      </c>
      <c r="CL339" s="1" t="s">
        <v>935</v>
      </c>
      <c r="CM339" s="1" t="s">
        <v>936</v>
      </c>
      <c r="CN339" s="1" t="s">
        <v>937</v>
      </c>
      <c r="CO339" s="1" t="s">
        <v>938</v>
      </c>
      <c r="CP339" s="1" t="s">
        <v>939</v>
      </c>
      <c r="CQ339" s="1" t="s">
        <v>940</v>
      </c>
      <c r="CR339" s="1" t="s">
        <v>941</v>
      </c>
      <c r="CS339" s="1" t="s">
        <v>942</v>
      </c>
      <c r="CT339" s="1" t="s">
        <v>1008</v>
      </c>
    </row>
    <row r="340" spans="61:98" x14ac:dyDescent="0.3">
      <c r="BI340" s="53"/>
      <c r="BJ340" s="24">
        <v>3</v>
      </c>
      <c r="BK340" t="s">
        <v>5</v>
      </c>
      <c r="BL340" t="s">
        <v>4</v>
      </c>
      <c r="BM340" t="s">
        <v>4</v>
      </c>
      <c r="BN340" t="s">
        <v>3</v>
      </c>
      <c r="BO340" t="s">
        <v>2</v>
      </c>
      <c r="BP340" t="s">
        <v>5</v>
      </c>
      <c r="BQ340" t="s">
        <v>5</v>
      </c>
      <c r="BR340" t="s">
        <v>2</v>
      </c>
      <c r="BS340" t="s">
        <v>2</v>
      </c>
      <c r="BT340" t="s">
        <v>3</v>
      </c>
      <c r="BU340" t="s">
        <v>4</v>
      </c>
      <c r="BV340" t="s">
        <v>2</v>
      </c>
      <c r="BW340" t="s">
        <v>2</v>
      </c>
      <c r="BX340" t="s">
        <v>2</v>
      </c>
      <c r="BY340" t="s">
        <v>5</v>
      </c>
      <c r="BZ340" t="s">
        <v>5</v>
      </c>
      <c r="CA340" t="s">
        <v>3</v>
      </c>
      <c r="CB340" t="s">
        <v>3</v>
      </c>
      <c r="CC340" t="s">
        <v>2</v>
      </c>
      <c r="CD340" t="s">
        <v>4</v>
      </c>
      <c r="CE340" t="s">
        <v>5</v>
      </c>
      <c r="CF340" t="s">
        <v>3</v>
      </c>
      <c r="CG340" t="s">
        <v>3</v>
      </c>
      <c r="CH340" t="s">
        <v>3</v>
      </c>
      <c r="CI340" t="s">
        <v>3</v>
      </c>
      <c r="CJ340" t="s">
        <v>4</v>
      </c>
      <c r="CK340" t="s">
        <v>4</v>
      </c>
      <c r="CL340" t="s">
        <v>4</v>
      </c>
      <c r="CM340" t="s">
        <v>4</v>
      </c>
      <c r="CN340" t="s">
        <v>3</v>
      </c>
      <c r="CO340" t="s">
        <v>4</v>
      </c>
      <c r="CP340" t="s">
        <v>4</v>
      </c>
      <c r="CQ340" t="s">
        <v>4</v>
      </c>
      <c r="CR340" t="s">
        <v>4</v>
      </c>
      <c r="CS340" t="s">
        <v>4</v>
      </c>
      <c r="CT340" t="s">
        <v>3</v>
      </c>
    </row>
    <row r="341" spans="61:98" x14ac:dyDescent="0.3">
      <c r="BI341" t="s">
        <v>442</v>
      </c>
    </row>
    <row r="342" spans="61:98" x14ac:dyDescent="0.3">
      <c r="BI342" s="3" t="s">
        <v>355</v>
      </c>
      <c r="BJ342">
        <f>AV18*AT30*AT33*AT39*AT46*AT53*AT60*AT66*AT71*AT77*AT82*AT87*AT95*AT101*AT107*AT114*AT120*AT124*AT130*AT137*AT141*AT150*AT154*AT160*AT164*AT168*AT171*AT175*AT179*AT183*AT188*AT191*AT195*AT199*AT203*AT207*AT212</f>
        <v>0</v>
      </c>
    </row>
    <row r="343" spans="61:98" x14ac:dyDescent="0.3">
      <c r="BI343" t="s">
        <v>443</v>
      </c>
    </row>
    <row r="344" spans="61:98" x14ac:dyDescent="0.3">
      <c r="BI344" s="3" t="s">
        <v>355</v>
      </c>
      <c r="BJ344">
        <f>AV19*AU30*AU33*AU39*AU46*AU53*AU60*AU66*AU71*AU77*AU82*AU87*AU95*AU101*AU107*AU114*AU120*AU124*AU130*AU137*AU141*AU150*AU154*AU160*AU164*AU168*AU171*AU175*AU179*AU183*AU188*AU191*AU195*AU199*AU203*AU207*AU212</f>
        <v>0</v>
      </c>
    </row>
    <row r="345" spans="61:98" x14ac:dyDescent="0.3">
      <c r="BI345" t="s">
        <v>444</v>
      </c>
    </row>
    <row r="346" spans="61:98" x14ac:dyDescent="0.3">
      <c r="BI346" s="3" t="s">
        <v>355</v>
      </c>
      <c r="BJ346">
        <f>AV20*AV30*AV33*AV39*AV46*AV53*AV60*AV66*AV71*AV77*AV82*AV87*AV95*AV101*AV107*AV114*AV120*AV124*AV130*AV137*AV141*AV150*AV154*AV160*AV164*AV168*AV171*AV175*AV179*AV183*AV188*AV191*AV195*AV199*AV203*AV207*AV212</f>
        <v>4.3535646720000032E-16</v>
      </c>
    </row>
    <row r="347" spans="61:98" x14ac:dyDescent="0.3">
      <c r="BI347" t="s">
        <v>445</v>
      </c>
    </row>
    <row r="348" spans="61:98" x14ac:dyDescent="0.3">
      <c r="BI348" s="3" t="s">
        <v>355</v>
      </c>
      <c r="BJ348">
        <f>AV21*AW30*AW33*AW39*AW46*AW53*AW60*AW66*AW71*AW77*AW82*AW87*AW95*AW101*AW107*AW114*AW120*AW124*AW130*AW137*AW141*AW150*AW154*AW160*AW164*AW168*AW171*AW175*AW179*AW183*AW188*AW191*AW195*AW199*AW203*AW207*AW212</f>
        <v>0</v>
      </c>
    </row>
    <row r="349" spans="61:98" x14ac:dyDescent="0.3">
      <c r="BI349" t="s">
        <v>446</v>
      </c>
    </row>
    <row r="350" spans="61:98" x14ac:dyDescent="0.3">
      <c r="BI350" s="3" t="s">
        <v>355</v>
      </c>
      <c r="BJ350">
        <f>AV22*AX30*AX33*AX39*AX46*AX53*AX60*AX66*AX71*AX77*AX82*AX87*AX95*AX101*AX107*AX114*AX120*AX124*AX130*AX137*AX141*AX150*AX154*AX160*AX164*AX168*AX171*AX175*AX179*AX183*AX188*AX191*AX195*AX199*AX203*AX207*AX212</f>
        <v>0</v>
      </c>
    </row>
    <row r="351" spans="61:98" x14ac:dyDescent="0.3">
      <c r="BI351" t="s">
        <v>447</v>
      </c>
    </row>
    <row r="352" spans="61:98" x14ac:dyDescent="0.3">
      <c r="BI352" s="3" t="s">
        <v>355</v>
      </c>
      <c r="BJ352">
        <f>AV23*AY30*AY33*AY39*AY46*AY53*AY60*AY66*AY71*AY77*AY82*AY87*AY95*AY101*AY107*AY114*AY120*AY124*AY130*AY137*AY141*AY150*AY154*AY160*AY164*AY168*AY171*AY175*AY179*AY183*AY188*AY191*AY195*AY199*AY203*AY207*AY212</f>
        <v>0</v>
      </c>
    </row>
    <row r="353" spans="61:98" x14ac:dyDescent="0.3">
      <c r="BI353" s="24" t="s">
        <v>448</v>
      </c>
      <c r="BJ353" t="s">
        <v>374</v>
      </c>
      <c r="BK353" s="25" t="s">
        <v>379</v>
      </c>
    </row>
    <row r="355" spans="61:98" x14ac:dyDescent="0.3">
      <c r="BI355" s="53" t="s">
        <v>449</v>
      </c>
      <c r="BJ355" s="24" t="s">
        <v>71</v>
      </c>
      <c r="BK355" s="1" t="s">
        <v>50</v>
      </c>
      <c r="BL355" s="1" t="s">
        <v>51</v>
      </c>
      <c r="BM355" s="1" t="s">
        <v>52</v>
      </c>
      <c r="BN355" s="1" t="s">
        <v>53</v>
      </c>
      <c r="BO355" s="1" t="s">
        <v>54</v>
      </c>
      <c r="BP355" s="1" t="s">
        <v>55</v>
      </c>
      <c r="BQ355" s="1" t="s">
        <v>56</v>
      </c>
      <c r="BR355" s="1" t="s">
        <v>57</v>
      </c>
      <c r="BS355" s="1" t="s">
        <v>58</v>
      </c>
      <c r="BT355" s="1" t="s">
        <v>59</v>
      </c>
      <c r="BU355" s="1" t="s">
        <v>60</v>
      </c>
      <c r="BV355" s="1" t="s">
        <v>61</v>
      </c>
      <c r="BW355" s="1" t="s">
        <v>62</v>
      </c>
      <c r="BX355" s="1" t="s">
        <v>63</v>
      </c>
      <c r="BY355" s="1" t="s">
        <v>64</v>
      </c>
      <c r="BZ355" s="1" t="s">
        <v>65</v>
      </c>
      <c r="CA355" s="1" t="s">
        <v>66</v>
      </c>
      <c r="CB355" s="1" t="s">
        <v>67</v>
      </c>
      <c r="CC355" s="1" t="s">
        <v>68</v>
      </c>
      <c r="CD355" s="1" t="s">
        <v>69</v>
      </c>
      <c r="CE355" s="1" t="s">
        <v>70</v>
      </c>
      <c r="CF355" s="1" t="s">
        <v>929</v>
      </c>
      <c r="CG355" s="1" t="s">
        <v>930</v>
      </c>
      <c r="CH355" s="1" t="s">
        <v>931</v>
      </c>
      <c r="CI355" s="1" t="s">
        <v>932</v>
      </c>
      <c r="CJ355" s="1" t="s">
        <v>933</v>
      </c>
      <c r="CK355" s="1" t="s">
        <v>934</v>
      </c>
      <c r="CL355" s="1" t="s">
        <v>935</v>
      </c>
      <c r="CM355" s="1" t="s">
        <v>936</v>
      </c>
      <c r="CN355" s="1" t="s">
        <v>937</v>
      </c>
      <c r="CO355" s="1" t="s">
        <v>938</v>
      </c>
      <c r="CP355" s="1" t="s">
        <v>939</v>
      </c>
      <c r="CQ355" s="1" t="s">
        <v>940</v>
      </c>
      <c r="CR355" s="1" t="s">
        <v>941</v>
      </c>
      <c r="CS355" s="1" t="s">
        <v>942</v>
      </c>
      <c r="CT355" s="1" t="s">
        <v>1008</v>
      </c>
    </row>
    <row r="356" spans="61:98" x14ac:dyDescent="0.3">
      <c r="BI356" s="53"/>
      <c r="BJ356" s="24">
        <v>3</v>
      </c>
      <c r="BK356" t="s">
        <v>5</v>
      </c>
      <c r="BL356" t="s">
        <v>5</v>
      </c>
      <c r="BM356" t="s">
        <v>4</v>
      </c>
      <c r="BN356" t="s">
        <v>5</v>
      </c>
      <c r="BO356" t="s">
        <v>5</v>
      </c>
      <c r="BP356" t="s">
        <v>2</v>
      </c>
      <c r="BQ356" t="s">
        <v>5</v>
      </c>
      <c r="BR356" t="s">
        <v>2</v>
      </c>
      <c r="BS356" t="s">
        <v>3</v>
      </c>
      <c r="BT356" t="s">
        <v>4</v>
      </c>
      <c r="BU356" t="s">
        <v>4</v>
      </c>
      <c r="BV356" t="s">
        <v>2</v>
      </c>
      <c r="BW356" t="s">
        <v>5</v>
      </c>
      <c r="BX356" t="s">
        <v>5</v>
      </c>
      <c r="BY356" t="s">
        <v>5</v>
      </c>
      <c r="BZ356" t="s">
        <v>5</v>
      </c>
      <c r="CA356" t="s">
        <v>5</v>
      </c>
      <c r="CB356" t="s">
        <v>5</v>
      </c>
      <c r="CC356" t="s">
        <v>4</v>
      </c>
      <c r="CD356" t="s">
        <v>4</v>
      </c>
      <c r="CE356" t="s">
        <v>4</v>
      </c>
      <c r="CF356" t="s">
        <v>5</v>
      </c>
      <c r="CG356" t="s">
        <v>3</v>
      </c>
      <c r="CH356" t="s">
        <v>4</v>
      </c>
      <c r="CI356" t="s">
        <v>4</v>
      </c>
      <c r="CJ356" t="s">
        <v>4</v>
      </c>
      <c r="CK356" t="s">
        <v>4</v>
      </c>
      <c r="CL356" t="s">
        <v>4</v>
      </c>
      <c r="CM356" t="s">
        <v>4</v>
      </c>
      <c r="CN356" t="s">
        <v>3</v>
      </c>
      <c r="CO356" t="s">
        <v>4</v>
      </c>
      <c r="CP356" t="s">
        <v>3</v>
      </c>
      <c r="CQ356" t="s">
        <v>4</v>
      </c>
      <c r="CR356" t="s">
        <v>4</v>
      </c>
      <c r="CS356" t="s">
        <v>4</v>
      </c>
      <c r="CT356" t="s">
        <v>3</v>
      </c>
    </row>
    <row r="357" spans="61:98" x14ac:dyDescent="0.3">
      <c r="BI357" t="s">
        <v>450</v>
      </c>
    </row>
    <row r="358" spans="61:98" x14ac:dyDescent="0.3">
      <c r="BI358" s="3" t="s">
        <v>355</v>
      </c>
      <c r="BJ358">
        <f>AV18*AT30*AT36*AT39*AT48*AT54*AT59*AT66*AT71*AT76*AT81*AT87*AT95*AT102*AT108*AT114*AT120*AT126*AT132*AT135*AT141*AT147*AT156*AT160*AT163*AT167*AT171*AT175*AT179*AT183*AT188*AT191*AT196*AT199*AT203*AT207*AT212</f>
        <v>0</v>
      </c>
    </row>
    <row r="359" spans="61:98" x14ac:dyDescent="0.3">
      <c r="BI359" t="s">
        <v>451</v>
      </c>
    </row>
    <row r="360" spans="61:98" x14ac:dyDescent="0.3">
      <c r="BI360" s="3" t="s">
        <v>355</v>
      </c>
      <c r="BJ360">
        <f>AV19*AU30*AU36*AU39*AU48*AU54*AU59*AU66*AU71*AU76*AU81*AU87*AU95*AU102*AU108*AU114*AU120*AU126*AU132*AU135*AU141*AU147*AU156*AU160*AU163*AU167*AU171*AU175*AU179*AU183*AU188*AU191*AU196*AU199*AU203*AU207*AU212</f>
        <v>0</v>
      </c>
    </row>
    <row r="361" spans="61:98" x14ac:dyDescent="0.3">
      <c r="BI361" t="s">
        <v>452</v>
      </c>
    </row>
    <row r="362" spans="61:98" x14ac:dyDescent="0.3">
      <c r="BI362" s="3" t="s">
        <v>355</v>
      </c>
      <c r="BJ362">
        <f>AV20*AV30*AV36*AV39*AV48*AV54*AV59*AV66*AV71*AV76*AV81*AV87*AV95*AV102*AV108*AV114*AV120*AV126*AV132*AV135*AV141*AV147*AV156*AV160*AV163*AV167*AV171*AV175*AV179*AV183*AV188*AV191*AV196*AV199*AV203*AV207*AV212</f>
        <v>2.3223376758177801E-10</v>
      </c>
    </row>
    <row r="363" spans="61:98" x14ac:dyDescent="0.3">
      <c r="BI363" t="s">
        <v>453</v>
      </c>
    </row>
    <row r="364" spans="61:98" x14ac:dyDescent="0.3">
      <c r="BI364" s="3" t="s">
        <v>355</v>
      </c>
      <c r="BJ364">
        <f>AV21*AW30*AW36*AW39*AW48*AW54*AW59*AW66*AW71*AW76*AW81*AW87*AW95*AW102*AW108*AW114*AW120*AW126*AW132*AW135*AW141*AW147*AW156*AW160*AW163*AW167*AW171*AW175*AW179*AW183*AW188*AW191*AW196*AW199*AW203*AW207*AW212</f>
        <v>0</v>
      </c>
    </row>
    <row r="365" spans="61:98" x14ac:dyDescent="0.3">
      <c r="BI365" t="s">
        <v>454</v>
      </c>
    </row>
    <row r="366" spans="61:98" x14ac:dyDescent="0.3">
      <c r="BI366" s="3" t="s">
        <v>355</v>
      </c>
      <c r="BJ366">
        <f>AV22*AX30*AX36*AX39*AX48*AX54*AX59*AX66*AX71*AX76*AX81*AX87*AX95*AX102*AX108*AX114*AX120*AX126*AX132*AX135*AX141*AX147*AX156*AX160*AX163*AX167*AX171*AX175*AX179*AX183*AX188*AX191*AX196*AX199*AX203*AX207*AX212</f>
        <v>0</v>
      </c>
    </row>
    <row r="367" spans="61:98" x14ac:dyDescent="0.3">
      <c r="BI367" t="s">
        <v>455</v>
      </c>
    </row>
    <row r="368" spans="61:98" x14ac:dyDescent="0.3">
      <c r="BI368" s="3" t="s">
        <v>355</v>
      </c>
      <c r="BJ368">
        <f>AV23*AY30*AY36*AY39*AY48*AY54*AY59*AY66*AY71*AY76*AY81*AY87*AY95*AY102*AY108*AY114*AY120*AY126*AY132*AY135*AY141*AY147*AY156*AY160*AY163*AY167*AY171*AY175*AY179*AY183*AY188*AY191*AY196*AY199*AY203*AY207*AY212</f>
        <v>0</v>
      </c>
    </row>
    <row r="369" spans="61:98" x14ac:dyDescent="0.3">
      <c r="BI369" s="24" t="s">
        <v>371</v>
      </c>
      <c r="BJ369" t="s">
        <v>374</v>
      </c>
      <c r="BK369" s="25" t="s">
        <v>405</v>
      </c>
    </row>
    <row r="371" spans="61:98" x14ac:dyDescent="0.3">
      <c r="BI371" s="53" t="s">
        <v>456</v>
      </c>
      <c r="BJ371" s="24" t="s">
        <v>71</v>
      </c>
      <c r="BK371" s="1" t="s">
        <v>50</v>
      </c>
      <c r="BL371" s="1" t="s">
        <v>51</v>
      </c>
      <c r="BM371" s="1" t="s">
        <v>52</v>
      </c>
      <c r="BN371" s="1" t="s">
        <v>53</v>
      </c>
      <c r="BO371" s="1" t="s">
        <v>54</v>
      </c>
      <c r="BP371" s="1" t="s">
        <v>55</v>
      </c>
      <c r="BQ371" s="1" t="s">
        <v>56</v>
      </c>
      <c r="BR371" s="1" t="s">
        <v>57</v>
      </c>
      <c r="BS371" s="1" t="s">
        <v>58</v>
      </c>
      <c r="BT371" s="1" t="s">
        <v>59</v>
      </c>
      <c r="BU371" s="1" t="s">
        <v>60</v>
      </c>
      <c r="BV371" s="1" t="s">
        <v>61</v>
      </c>
      <c r="BW371" s="1" t="s">
        <v>62</v>
      </c>
      <c r="BX371" s="1" t="s">
        <v>63</v>
      </c>
      <c r="BY371" s="1" t="s">
        <v>64</v>
      </c>
      <c r="BZ371" s="1" t="s">
        <v>65</v>
      </c>
      <c r="CA371" s="1" t="s">
        <v>66</v>
      </c>
      <c r="CB371" s="1" t="s">
        <v>67</v>
      </c>
      <c r="CC371" s="1" t="s">
        <v>68</v>
      </c>
      <c r="CD371" s="1" t="s">
        <v>69</v>
      </c>
      <c r="CE371" s="1" t="s">
        <v>70</v>
      </c>
      <c r="CF371" s="1" t="s">
        <v>929</v>
      </c>
      <c r="CG371" s="1" t="s">
        <v>930</v>
      </c>
      <c r="CH371" s="1" t="s">
        <v>931</v>
      </c>
      <c r="CI371" s="1" t="s">
        <v>932</v>
      </c>
      <c r="CJ371" s="1" t="s">
        <v>933</v>
      </c>
      <c r="CK371" s="1" t="s">
        <v>934</v>
      </c>
      <c r="CL371" s="1" t="s">
        <v>935</v>
      </c>
      <c r="CM371" s="1" t="s">
        <v>936</v>
      </c>
      <c r="CN371" s="1" t="s">
        <v>937</v>
      </c>
      <c r="CO371" s="1" t="s">
        <v>938</v>
      </c>
      <c r="CP371" s="1" t="s">
        <v>939</v>
      </c>
      <c r="CQ371" s="1" t="s">
        <v>940</v>
      </c>
      <c r="CR371" s="1" t="s">
        <v>941</v>
      </c>
      <c r="CS371" s="1" t="s">
        <v>942</v>
      </c>
      <c r="CT371" s="1" t="s">
        <v>1008</v>
      </c>
    </row>
    <row r="372" spans="61:98" x14ac:dyDescent="0.3">
      <c r="BI372" s="53"/>
      <c r="BJ372" s="24">
        <v>3</v>
      </c>
      <c r="BK372" t="s">
        <v>2</v>
      </c>
      <c r="BL372" t="s">
        <v>3</v>
      </c>
      <c r="BM372" t="s">
        <v>3</v>
      </c>
      <c r="BN372" t="s">
        <v>2</v>
      </c>
      <c r="BO372" t="s">
        <v>5</v>
      </c>
      <c r="BP372" t="s">
        <v>2</v>
      </c>
      <c r="BQ372" t="s">
        <v>5</v>
      </c>
      <c r="BR372" t="s">
        <v>2</v>
      </c>
      <c r="BS372" t="s">
        <v>3</v>
      </c>
      <c r="BT372" t="s">
        <v>4</v>
      </c>
      <c r="BU372" t="s">
        <v>4</v>
      </c>
      <c r="BV372" t="s">
        <v>5</v>
      </c>
      <c r="BW372" t="s">
        <v>5</v>
      </c>
      <c r="BX372" t="s">
        <v>4</v>
      </c>
      <c r="BY372" t="s">
        <v>5</v>
      </c>
      <c r="BZ372" t="s">
        <v>5</v>
      </c>
      <c r="CA372" t="s">
        <v>5</v>
      </c>
      <c r="CB372" t="s">
        <v>5</v>
      </c>
      <c r="CC372" t="s">
        <v>5</v>
      </c>
      <c r="CD372" t="s">
        <v>4</v>
      </c>
      <c r="CE372" t="s">
        <v>4</v>
      </c>
      <c r="CF372" t="s">
        <v>4</v>
      </c>
      <c r="CG372" t="s">
        <v>4</v>
      </c>
      <c r="CH372" t="s">
        <v>4</v>
      </c>
      <c r="CI372" t="s">
        <v>4</v>
      </c>
      <c r="CJ372" t="s">
        <v>4</v>
      </c>
      <c r="CK372" t="s">
        <v>4</v>
      </c>
      <c r="CL372" t="s">
        <v>4</v>
      </c>
      <c r="CM372" t="s">
        <v>4</v>
      </c>
      <c r="CN372" t="s">
        <v>4</v>
      </c>
      <c r="CO372" t="s">
        <v>4</v>
      </c>
      <c r="CP372" t="s">
        <v>3</v>
      </c>
      <c r="CQ372" t="s">
        <v>4</v>
      </c>
      <c r="CR372" t="s">
        <v>4</v>
      </c>
      <c r="CS372" t="s">
        <v>3</v>
      </c>
      <c r="CT372" t="s">
        <v>4</v>
      </c>
    </row>
    <row r="373" spans="61:98" x14ac:dyDescent="0.3">
      <c r="BI373" t="s">
        <v>457</v>
      </c>
    </row>
    <row r="374" spans="61:98" x14ac:dyDescent="0.3">
      <c r="BI374" s="3" t="s">
        <v>355</v>
      </c>
      <c r="BJ374">
        <f>AV18*AT29*AT34*AT40*AT47*AT54*AT59*AT66*AT71*AT76*AT81*AT87*AT96*AT102*AT105*AT114*AT120*AT126*AT132*AT138*AT141*AT147*AT153*AT159*AT163*AT167*AT171*AT175*AT179*AT183*AT187*AT191*AT196*AT199*AT203*AT208*AT211</f>
        <v>0</v>
      </c>
    </row>
    <row r="375" spans="61:98" x14ac:dyDescent="0.3">
      <c r="BI375" t="s">
        <v>458</v>
      </c>
    </row>
    <row r="376" spans="61:98" x14ac:dyDescent="0.3">
      <c r="BI376" s="3" t="s">
        <v>355</v>
      </c>
      <c r="BJ376">
        <f>AV19*AU29*AU34*AU40*AU47*AU54*AU59*AU66*AU71*AU76*AU81*AU87*AU96*AU102*AU105*AU114*AU120*AU126*AU132*AU138*AU141*AU147*AU153*AU159*AU163*AU167*AU171*AU175*AU179*AU183*AU187*AU191*AU196*AU199*AU203*AU208*AU211</f>
        <v>0</v>
      </c>
    </row>
    <row r="377" spans="61:98" x14ac:dyDescent="0.3">
      <c r="BI377" t="s">
        <v>459</v>
      </c>
    </row>
    <row r="378" spans="61:98" x14ac:dyDescent="0.3">
      <c r="BI378" s="3" t="s">
        <v>355</v>
      </c>
      <c r="BJ378">
        <f>AV20*AV29*AV34*AV40*AV47*AV54*AV59*AV66*AV71*AV76*AV81*AV87*AV96*AV102*AV105*AV114*AV120*AV126*AV132*AV138*AV141*AV147*AV153*AV159*AV163*AV167*AV171*AV175*AV179*AV183*AV187*AV191*AV196*AV199*AV203*AV208*AV211</f>
        <v>1.0618827964416002E-12</v>
      </c>
    </row>
    <row r="379" spans="61:98" x14ac:dyDescent="0.3">
      <c r="BI379" t="s">
        <v>460</v>
      </c>
    </row>
    <row r="380" spans="61:98" x14ac:dyDescent="0.3">
      <c r="BI380" s="3" t="s">
        <v>355</v>
      </c>
      <c r="BJ380">
        <f>AV21*AW29*AW34*AW40*AW47*AW54*AW59*AW66*AW71*AW76*AW81*AW87*AW96*AW102*AW105*AW114*AW120*AW126*AW132*AW138*AW141*AW147*AW153*AW159*AW163*AW167*AW171*AW175*AW179*AW183*AW187*AW191*AW196*AW199*AW203*AW208*AW211</f>
        <v>0</v>
      </c>
    </row>
    <row r="381" spans="61:98" x14ac:dyDescent="0.3">
      <c r="BI381" t="s">
        <v>461</v>
      </c>
    </row>
    <row r="382" spans="61:98" x14ac:dyDescent="0.3">
      <c r="BI382" s="3" t="s">
        <v>355</v>
      </c>
      <c r="BJ382">
        <f>AV22*AX29*AX34*AX40*AX47*AX54*AX59*AX66*AX71*AX76*AX81*AX87*AX96*AX102*AX105*AX114*AX120*AX126*AX132*AX138*AX141*AX147*AX153*AX159*AX163*AX167*AX171*AX175*AX179*AX183*AX187*AX191*AX196*AX199*AX203*AX208*AX211</f>
        <v>0</v>
      </c>
    </row>
    <row r="383" spans="61:98" x14ac:dyDescent="0.3">
      <c r="BI383" t="s">
        <v>462</v>
      </c>
    </row>
    <row r="384" spans="61:98" x14ac:dyDescent="0.3">
      <c r="BI384" s="3" t="s">
        <v>355</v>
      </c>
      <c r="BJ384">
        <f>AV23*AY29*AY34*AY40*AY47*AY54*AY59*AY66*AY71*AY76*AY81*AY87*AY96*AY102*AY105*AY114*AY120*AY126*AY132*AY138*AY141*AY147*AY153*AY159*AY163*AY167*AY171*AY175*AY179*AY183*AY187*AY191*AY196*AY199*AY203*AY208*AY211</f>
        <v>0</v>
      </c>
    </row>
    <row r="385" spans="61:98" x14ac:dyDescent="0.3">
      <c r="BI385" s="24" t="s">
        <v>396</v>
      </c>
      <c r="BJ385" t="s">
        <v>374</v>
      </c>
      <c r="BK385" s="25" t="s">
        <v>405</v>
      </c>
    </row>
    <row r="387" spans="61:98" x14ac:dyDescent="0.3">
      <c r="BI387" s="53" t="s">
        <v>463</v>
      </c>
      <c r="BJ387" s="24" t="s">
        <v>71</v>
      </c>
      <c r="BK387" s="1" t="s">
        <v>50</v>
      </c>
      <c r="BL387" s="1" t="s">
        <v>51</v>
      </c>
      <c r="BM387" s="1" t="s">
        <v>52</v>
      </c>
      <c r="BN387" s="1" t="s">
        <v>53</v>
      </c>
      <c r="BO387" s="1" t="s">
        <v>54</v>
      </c>
      <c r="BP387" s="1" t="s">
        <v>55</v>
      </c>
      <c r="BQ387" s="1" t="s">
        <v>56</v>
      </c>
      <c r="BR387" s="1" t="s">
        <v>57</v>
      </c>
      <c r="BS387" s="1" t="s">
        <v>58</v>
      </c>
      <c r="BT387" s="1" t="s">
        <v>59</v>
      </c>
      <c r="BU387" s="1" t="s">
        <v>60</v>
      </c>
      <c r="BV387" s="1" t="s">
        <v>61</v>
      </c>
      <c r="BW387" s="1" t="s">
        <v>62</v>
      </c>
      <c r="BX387" s="1" t="s">
        <v>63</v>
      </c>
      <c r="BY387" s="1" t="s">
        <v>64</v>
      </c>
      <c r="BZ387" s="1" t="s">
        <v>65</v>
      </c>
      <c r="CA387" s="1" t="s">
        <v>66</v>
      </c>
      <c r="CB387" s="1" t="s">
        <v>67</v>
      </c>
      <c r="CC387" s="1" t="s">
        <v>68</v>
      </c>
      <c r="CD387" s="1" t="s">
        <v>69</v>
      </c>
      <c r="CE387" s="1" t="s">
        <v>70</v>
      </c>
      <c r="CF387" s="1" t="s">
        <v>929</v>
      </c>
      <c r="CG387" s="1" t="s">
        <v>930</v>
      </c>
      <c r="CH387" s="1" t="s">
        <v>931</v>
      </c>
      <c r="CI387" s="1" t="s">
        <v>932</v>
      </c>
      <c r="CJ387" s="1" t="s">
        <v>933</v>
      </c>
      <c r="CK387" s="1" t="s">
        <v>934</v>
      </c>
      <c r="CL387" s="1" t="s">
        <v>935</v>
      </c>
      <c r="CM387" s="1" t="s">
        <v>936</v>
      </c>
      <c r="CN387" s="1" t="s">
        <v>937</v>
      </c>
      <c r="CO387" s="1" t="s">
        <v>938</v>
      </c>
      <c r="CP387" s="1" t="s">
        <v>939</v>
      </c>
      <c r="CQ387" s="1" t="s">
        <v>940</v>
      </c>
      <c r="CR387" s="1" t="s">
        <v>941</v>
      </c>
      <c r="CS387" s="1" t="s">
        <v>942</v>
      </c>
      <c r="CT387" s="1" t="s">
        <v>1008</v>
      </c>
    </row>
    <row r="388" spans="61:98" x14ac:dyDescent="0.3">
      <c r="BI388" s="53"/>
      <c r="BJ388" s="24">
        <v>3</v>
      </c>
      <c r="BK388" t="s">
        <v>2</v>
      </c>
      <c r="BL388" t="s">
        <v>5</v>
      </c>
      <c r="BM388" t="s">
        <v>3</v>
      </c>
      <c r="BN388" t="s">
        <v>5</v>
      </c>
      <c r="BO388" t="s">
        <v>5</v>
      </c>
      <c r="BP388" t="s">
        <v>5</v>
      </c>
      <c r="BQ388" t="s">
        <v>5</v>
      </c>
      <c r="BR388" t="s">
        <v>2</v>
      </c>
      <c r="BS388" t="s">
        <v>2</v>
      </c>
      <c r="BT388" t="s">
        <v>3</v>
      </c>
      <c r="BU388" t="s">
        <v>4</v>
      </c>
      <c r="BV388" t="s">
        <v>2</v>
      </c>
      <c r="BW388" t="s">
        <v>5</v>
      </c>
      <c r="BX388" t="s">
        <v>3</v>
      </c>
      <c r="BY388" t="s">
        <v>3</v>
      </c>
      <c r="BZ388" t="s">
        <v>5</v>
      </c>
      <c r="CA388" t="s">
        <v>5</v>
      </c>
      <c r="CB388" t="s">
        <v>5</v>
      </c>
      <c r="CC388" t="s">
        <v>5</v>
      </c>
      <c r="CD388" t="s">
        <v>4</v>
      </c>
      <c r="CE388" t="s">
        <v>2</v>
      </c>
      <c r="CF388" t="s">
        <v>2</v>
      </c>
      <c r="CG388" t="s">
        <v>3</v>
      </c>
      <c r="CH388" t="s">
        <v>4</v>
      </c>
      <c r="CI388" t="s">
        <v>4</v>
      </c>
      <c r="CJ388" t="s">
        <v>4</v>
      </c>
      <c r="CK388" t="s">
        <v>4</v>
      </c>
      <c r="CL388" t="s">
        <v>4</v>
      </c>
      <c r="CM388" t="s">
        <v>4</v>
      </c>
      <c r="CN388" t="s">
        <v>3</v>
      </c>
      <c r="CO388" t="s">
        <v>4</v>
      </c>
      <c r="CP388" t="s">
        <v>3</v>
      </c>
      <c r="CQ388" t="s">
        <v>4</v>
      </c>
      <c r="CR388" t="s">
        <v>4</v>
      </c>
      <c r="CS388" t="s">
        <v>4</v>
      </c>
      <c r="CT388" t="s">
        <v>3</v>
      </c>
    </row>
    <row r="389" spans="61:98" x14ac:dyDescent="0.3">
      <c r="BI389" t="s">
        <v>756</v>
      </c>
    </row>
    <row r="390" spans="61:98" x14ac:dyDescent="0.3">
      <c r="BI390" s="3" t="s">
        <v>355</v>
      </c>
      <c r="BJ390">
        <f>AV18*AT29*AT36*AT40*AT48*AT54*AT60*AT66*AT71*AT77*AT82*AT87*AT95*AT102*AT106*AT112*AT120*AT126*AT132*AT138*AT141*AT149*AT155*AT160*AT163*AT167*AT171*AT175*AT179*AT183*AT188*AT191*AT196*AT199*AT203*AT207*AT212</f>
        <v>0</v>
      </c>
    </row>
    <row r="391" spans="61:98" x14ac:dyDescent="0.3">
      <c r="BI391" t="s">
        <v>757</v>
      </c>
    </row>
    <row r="392" spans="61:98" x14ac:dyDescent="0.3">
      <c r="BI392" s="3" t="s">
        <v>355</v>
      </c>
      <c r="BJ392">
        <f>AV19*AU29*AU36*AU40*AU48*AU54*AU60*AU66*AU71*AU77*AU82*AU87*AU95*AU102*AU106*AU112*AU120*AU126*AU132*AU138*AU141*AU149*AU155*AU160*AU163*AU167*AU171*AU175*AU179*AU183*AU188*AU191*AU196*AU199*AU203*AU207*AU212</f>
        <v>0</v>
      </c>
    </row>
    <row r="393" spans="61:98" x14ac:dyDescent="0.3">
      <c r="BI393" t="s">
        <v>758</v>
      </c>
    </row>
    <row r="394" spans="61:98" x14ac:dyDescent="0.3">
      <c r="BI394" s="3" t="s">
        <v>355</v>
      </c>
      <c r="BJ394">
        <f>AV20*AV29*AV36*AV40*AV48*AV54*AV60*AV66*AV71*AV77*AV82*AV87*AV95*AV102*AV106*AV112*AV120*AV126*AV132*AV138*AV141*AV149*AV155*AV160*AV163*AV167*AV171*AV175*AV179*AV183*AV188*AV191*AV196*AV199*AV203*AV207*AV212</f>
        <v>5.0575353828920533E-7</v>
      </c>
    </row>
    <row r="395" spans="61:98" x14ac:dyDescent="0.3">
      <c r="BI395" t="s">
        <v>759</v>
      </c>
    </row>
    <row r="396" spans="61:98" x14ac:dyDescent="0.3">
      <c r="BI396" s="3" t="s">
        <v>355</v>
      </c>
      <c r="BJ396">
        <f>AV21*AW29*AW36*AW40*AW48*AW54*AW60*AW66*AW71*AW77*AW82*AW87*AW95*AW102*AW106*AW112*AW120*AW126*AW132*AW138*AW141*AW149*AW155*AW160*AW163*AW167*AW171*AW175*AW179*AW183*AW188*AW191*AW196*AW199*AW203*AW207*AW212</f>
        <v>0</v>
      </c>
    </row>
    <row r="397" spans="61:98" x14ac:dyDescent="0.3">
      <c r="BI397" t="s">
        <v>760</v>
      </c>
    </row>
    <row r="398" spans="61:98" x14ac:dyDescent="0.3">
      <c r="BI398" s="3" t="s">
        <v>355</v>
      </c>
      <c r="BJ398">
        <f>AV22*AX29*AX36*AX40*AX48*AX54*AX60*AX66*AX71*AX77*AX82*AX87*AX95*AX102*AX106*AX112*AX120*AX126*AX132*AX138*AX141*AX149*AX155*AX160*AX163*AX167*AX171*AX175*AX179*AX183*AX188*AX191*AX196*AX199*AX203*AX207*AX212</f>
        <v>0</v>
      </c>
    </row>
    <row r="399" spans="61:98" x14ac:dyDescent="0.3">
      <c r="BI399" t="s">
        <v>761</v>
      </c>
    </row>
    <row r="400" spans="61:98" x14ac:dyDescent="0.3">
      <c r="BI400" s="3" t="s">
        <v>355</v>
      </c>
      <c r="BJ400">
        <f>AV23*AY29*AY36*AY40*AY48*AY54*AY60*AY66*AY71*AY77*AY82*AY87*AY95*AY102*AY106*AY112*AY120*AY126*AY132*AY138*AY141*AY149*AY155*AY160*AY163*AY167*AY171*AY175*AY179*AY183*AY188*AY191*AY196*AY199*AY203*AY207*AY212</f>
        <v>0</v>
      </c>
    </row>
    <row r="401" spans="61:98" x14ac:dyDescent="0.3">
      <c r="BI401" t="s">
        <v>371</v>
      </c>
      <c r="BJ401" t="s">
        <v>374</v>
      </c>
      <c r="BK401" s="25" t="s">
        <v>405</v>
      </c>
    </row>
    <row r="403" spans="61:98" x14ac:dyDescent="0.3">
      <c r="BI403" s="53" t="s">
        <v>464</v>
      </c>
      <c r="BJ403" s="24" t="s">
        <v>71</v>
      </c>
      <c r="BK403" s="1" t="s">
        <v>50</v>
      </c>
      <c r="BL403" s="1" t="s">
        <v>51</v>
      </c>
      <c r="BM403" s="1" t="s">
        <v>52</v>
      </c>
      <c r="BN403" s="1" t="s">
        <v>53</v>
      </c>
      <c r="BO403" s="1" t="s">
        <v>54</v>
      </c>
      <c r="BP403" s="1" t="s">
        <v>55</v>
      </c>
      <c r="BQ403" s="1" t="s">
        <v>56</v>
      </c>
      <c r="BR403" s="1" t="s">
        <v>57</v>
      </c>
      <c r="BS403" s="1" t="s">
        <v>58</v>
      </c>
      <c r="BT403" s="1" t="s">
        <v>59</v>
      </c>
      <c r="BU403" s="1" t="s">
        <v>60</v>
      </c>
      <c r="BV403" s="1" t="s">
        <v>61</v>
      </c>
      <c r="BW403" s="1" t="s">
        <v>62</v>
      </c>
      <c r="BX403" s="1" t="s">
        <v>63</v>
      </c>
      <c r="BY403" s="1" t="s">
        <v>64</v>
      </c>
      <c r="BZ403" s="1" t="s">
        <v>65</v>
      </c>
      <c r="CA403" s="1" t="s">
        <v>66</v>
      </c>
      <c r="CB403" s="1" t="s">
        <v>67</v>
      </c>
      <c r="CC403" s="1" t="s">
        <v>68</v>
      </c>
      <c r="CD403" s="1" t="s">
        <v>69</v>
      </c>
      <c r="CE403" s="1" t="s">
        <v>70</v>
      </c>
      <c r="CF403" s="1" t="s">
        <v>929</v>
      </c>
      <c r="CG403" s="1" t="s">
        <v>930</v>
      </c>
      <c r="CH403" s="1" t="s">
        <v>931</v>
      </c>
      <c r="CI403" s="1" t="s">
        <v>932</v>
      </c>
      <c r="CJ403" s="1" t="s">
        <v>933</v>
      </c>
      <c r="CK403" s="1" t="s">
        <v>934</v>
      </c>
      <c r="CL403" s="1" t="s">
        <v>935</v>
      </c>
      <c r="CM403" s="1" t="s">
        <v>936</v>
      </c>
      <c r="CN403" s="1" t="s">
        <v>937</v>
      </c>
      <c r="CO403" s="1" t="s">
        <v>938</v>
      </c>
      <c r="CP403" s="1" t="s">
        <v>939</v>
      </c>
      <c r="CQ403" s="1" t="s">
        <v>940</v>
      </c>
      <c r="CR403" s="1" t="s">
        <v>941</v>
      </c>
      <c r="CS403" s="1" t="s">
        <v>942</v>
      </c>
      <c r="CT403" s="1" t="s">
        <v>1008</v>
      </c>
    </row>
    <row r="404" spans="61:98" x14ac:dyDescent="0.3">
      <c r="BI404" s="53"/>
      <c r="BJ404" s="24">
        <v>3</v>
      </c>
      <c r="BK404" t="s">
        <v>4</v>
      </c>
      <c r="BL404" t="s">
        <v>5</v>
      </c>
      <c r="BM404" t="s">
        <v>3</v>
      </c>
      <c r="BN404" t="s">
        <v>5</v>
      </c>
      <c r="BO404" t="s">
        <v>5</v>
      </c>
      <c r="BP404" t="s">
        <v>5</v>
      </c>
      <c r="BQ404" t="s">
        <v>5</v>
      </c>
      <c r="BR404" t="s">
        <v>2</v>
      </c>
      <c r="BS404" t="s">
        <v>3</v>
      </c>
      <c r="BT404" t="s">
        <v>2</v>
      </c>
      <c r="BU404" t="s">
        <v>2</v>
      </c>
      <c r="BV404" t="s">
        <v>5</v>
      </c>
      <c r="BW404" t="s">
        <v>5</v>
      </c>
      <c r="BX404" t="s">
        <v>3</v>
      </c>
      <c r="BY404" t="s">
        <v>2</v>
      </c>
      <c r="BZ404" t="s">
        <v>5</v>
      </c>
      <c r="CA404" t="s">
        <v>2</v>
      </c>
      <c r="CB404" t="s">
        <v>2</v>
      </c>
      <c r="CC404" t="s">
        <v>5</v>
      </c>
      <c r="CD404" t="s">
        <v>4</v>
      </c>
      <c r="CE404" t="s">
        <v>3</v>
      </c>
      <c r="CF404" t="s">
        <v>2</v>
      </c>
      <c r="CG404" t="s">
        <v>3</v>
      </c>
      <c r="CH404" t="s">
        <v>4</v>
      </c>
      <c r="CI404" t="s">
        <v>4</v>
      </c>
      <c r="CJ404" t="s">
        <v>4</v>
      </c>
      <c r="CK404" t="s">
        <v>4</v>
      </c>
      <c r="CL404" t="s">
        <v>4</v>
      </c>
      <c r="CM404" t="s">
        <v>4</v>
      </c>
      <c r="CN404" t="s">
        <v>3</v>
      </c>
      <c r="CO404" t="s">
        <v>4</v>
      </c>
      <c r="CP404" t="s">
        <v>3</v>
      </c>
      <c r="CQ404" t="s">
        <v>4</v>
      </c>
      <c r="CR404" t="s">
        <v>4</v>
      </c>
      <c r="CS404" t="s">
        <v>3</v>
      </c>
      <c r="CT404" t="s">
        <v>3</v>
      </c>
    </row>
    <row r="405" spans="61:98" x14ac:dyDescent="0.3">
      <c r="BI405" t="s">
        <v>762</v>
      </c>
    </row>
    <row r="406" spans="61:98" x14ac:dyDescent="0.3">
      <c r="BI406" s="3" t="s">
        <v>355</v>
      </c>
      <c r="BJ406">
        <f>AV18*AT27*AT36*AT40*AT48*AT54*AT60*AT66*AT71*AT76*AT83*AT89*AT96*AT102*AT106*AT113*AT120*AT125*AT131*AT138*AT141*AT148*AT155*AT160*AT163*AT167*AT171*AT175*AT179*AT183*AT188*AT191*AT196*AT199*AT203*AT208*AT212</f>
        <v>0</v>
      </c>
    </row>
    <row r="407" spans="61:98" x14ac:dyDescent="0.3">
      <c r="BI407" t="s">
        <v>763</v>
      </c>
    </row>
    <row r="408" spans="61:98" x14ac:dyDescent="0.3">
      <c r="BI408" s="3" t="s">
        <v>355</v>
      </c>
      <c r="BJ408">
        <f>AV19*AU27*AU36*AU40*AU48*AU54*AU60*AU66*AU71*AU76*AU83*AU89*AU96*AU102*AU106*AU113*AU120*AU125*AU131*AU138*AU141*AU148*AU155*AU160*AU163*AU167*AU171*AU175*AU179*AU183*AU188*AU191*AU196*AU199*AU203*AU208*AU212</f>
        <v>1.3168189440000004E-9</v>
      </c>
    </row>
    <row r="409" spans="61:98" x14ac:dyDescent="0.3">
      <c r="BI409" t="s">
        <v>764</v>
      </c>
    </row>
    <row r="410" spans="61:98" x14ac:dyDescent="0.3">
      <c r="BI410" s="3" t="s">
        <v>355</v>
      </c>
      <c r="BJ410">
        <f>AV20*AV27*AV36*AV40*AV48*AV54*AV60*AV66*AV71*AV76*AV83*AV89*AV96*AV102*AV106*AV113*AV120*AV125*AV131*AV138*AV141*AV148*AV155*AV160*AV163*AV167*AV171*AV175*AV179*AV183*AV188*AV191*AV196*AV199*AV203*AV208*AV212</f>
        <v>5.8536289153843247E-10</v>
      </c>
    </row>
    <row r="411" spans="61:98" x14ac:dyDescent="0.3">
      <c r="BI411" t="s">
        <v>765</v>
      </c>
    </row>
    <row r="412" spans="61:98" x14ac:dyDescent="0.3">
      <c r="BI412" s="3" t="s">
        <v>355</v>
      </c>
      <c r="BJ412">
        <f>AV21*AW27*AW36*AW40*AW48*AW54*AW60*AW66*AW71*AW76*AW83*AW89*AW96*AW102*AW106*AW113*AW120*AW125*AW131*AW138*AW141*AW148*AW155*AW160*AW163*AW167*AW171*AW175*AW179*AW183*AW188*AW191*AW196*AW199*AW203*AW208*AW212</f>
        <v>0</v>
      </c>
    </row>
    <row r="413" spans="61:98" x14ac:dyDescent="0.3">
      <c r="BI413" t="s">
        <v>766</v>
      </c>
    </row>
    <row r="414" spans="61:98" x14ac:dyDescent="0.3">
      <c r="BI414" s="3" t="s">
        <v>355</v>
      </c>
      <c r="BJ414">
        <f>AV22*AX27*AX36*AX40*AX48*AX54*AX60*AX66*AX71*AX76*AX83*AX89*AX96*AX102*AX106*AX113*AX120*AX125*AX131*AX138*AX141*AX148*AX155*AX160*AX163*AX167*AX171*AX175*AX179*AX183*AX188*AX191*AX196*AX199*AX203*AX208*AX212</f>
        <v>0</v>
      </c>
    </row>
    <row r="415" spans="61:98" x14ac:dyDescent="0.3">
      <c r="BI415" t="s">
        <v>767</v>
      </c>
    </row>
    <row r="416" spans="61:98" x14ac:dyDescent="0.3">
      <c r="BI416" s="3" t="s">
        <v>355</v>
      </c>
      <c r="BJ416">
        <f>AV23*AY27*AY36*AY40*AY48*AY54*AY60*AY66*AY71*AY76*AY83*AY89*AY96*AY102*AY106*AY113*AY120*AY125*AY131*AY138*AY141*AY148*AY155*AY160*AY163*AY167*AY171*AY175*AY179*AY183*AY188*AY191*AY196*AY199*AY203*AY208*AY212</f>
        <v>0</v>
      </c>
    </row>
    <row r="417" spans="61:98" x14ac:dyDescent="0.3">
      <c r="BI417" s="24" t="s">
        <v>371</v>
      </c>
      <c r="BJ417" t="s">
        <v>374</v>
      </c>
      <c r="BK417" s="25" t="s">
        <v>379</v>
      </c>
    </row>
    <row r="419" spans="61:98" x14ac:dyDescent="0.3">
      <c r="BI419" s="53" t="s">
        <v>471</v>
      </c>
      <c r="BJ419" s="24" t="s">
        <v>71</v>
      </c>
      <c r="BK419" s="1" t="s">
        <v>50</v>
      </c>
      <c r="BL419" s="1" t="s">
        <v>51</v>
      </c>
      <c r="BM419" s="1" t="s">
        <v>52</v>
      </c>
      <c r="BN419" s="1" t="s">
        <v>53</v>
      </c>
      <c r="BO419" s="1" t="s">
        <v>54</v>
      </c>
      <c r="BP419" s="1" t="s">
        <v>55</v>
      </c>
      <c r="BQ419" s="1" t="s">
        <v>56</v>
      </c>
      <c r="BR419" s="1" t="s">
        <v>57</v>
      </c>
      <c r="BS419" s="1" t="s">
        <v>58</v>
      </c>
      <c r="BT419" s="1" t="s">
        <v>59</v>
      </c>
      <c r="BU419" s="1" t="s">
        <v>60</v>
      </c>
      <c r="BV419" s="1" t="s">
        <v>61</v>
      </c>
      <c r="BW419" s="1" t="s">
        <v>62</v>
      </c>
      <c r="BX419" s="1" t="s">
        <v>63</v>
      </c>
      <c r="BY419" s="1" t="s">
        <v>64</v>
      </c>
      <c r="BZ419" s="1" t="s">
        <v>65</v>
      </c>
      <c r="CA419" s="1" t="s">
        <v>66</v>
      </c>
      <c r="CB419" s="1" t="s">
        <v>67</v>
      </c>
      <c r="CC419" s="1" t="s">
        <v>68</v>
      </c>
      <c r="CD419" s="1" t="s">
        <v>69</v>
      </c>
      <c r="CE419" s="1" t="s">
        <v>70</v>
      </c>
      <c r="CF419" s="1" t="s">
        <v>929</v>
      </c>
      <c r="CG419" s="1" t="s">
        <v>930</v>
      </c>
      <c r="CH419" s="1" t="s">
        <v>931</v>
      </c>
      <c r="CI419" s="1" t="s">
        <v>932</v>
      </c>
      <c r="CJ419" s="1" t="s">
        <v>933</v>
      </c>
      <c r="CK419" s="1" t="s">
        <v>934</v>
      </c>
      <c r="CL419" s="1" t="s">
        <v>935</v>
      </c>
      <c r="CM419" s="1" t="s">
        <v>936</v>
      </c>
      <c r="CN419" s="1" t="s">
        <v>937</v>
      </c>
      <c r="CO419" s="1" t="s">
        <v>938</v>
      </c>
      <c r="CP419" s="1" t="s">
        <v>939</v>
      </c>
      <c r="CQ419" s="1" t="s">
        <v>940</v>
      </c>
      <c r="CR419" s="1" t="s">
        <v>941</v>
      </c>
      <c r="CS419" s="1" t="s">
        <v>942</v>
      </c>
      <c r="CT419" s="1" t="s">
        <v>1008</v>
      </c>
    </row>
    <row r="420" spans="61:98" x14ac:dyDescent="0.3">
      <c r="BI420" s="53"/>
      <c r="BJ420" s="24">
        <v>3</v>
      </c>
      <c r="BK420" t="s">
        <v>2</v>
      </c>
      <c r="BL420" t="s">
        <v>5</v>
      </c>
      <c r="BM420" t="s">
        <v>3</v>
      </c>
      <c r="BN420" t="s">
        <v>5</v>
      </c>
      <c r="BO420" t="s">
        <v>5</v>
      </c>
      <c r="BP420" t="s">
        <v>5</v>
      </c>
      <c r="BQ420" t="s">
        <v>5</v>
      </c>
      <c r="BR420" t="s">
        <v>2</v>
      </c>
      <c r="BS420" t="s">
        <v>2</v>
      </c>
      <c r="BT420" t="s">
        <v>2</v>
      </c>
      <c r="BU420" t="s">
        <v>3</v>
      </c>
      <c r="BV420" t="s">
        <v>5</v>
      </c>
      <c r="BW420" t="s">
        <v>5</v>
      </c>
      <c r="BX420" t="s">
        <v>3</v>
      </c>
      <c r="BY420" t="s">
        <v>2</v>
      </c>
      <c r="BZ420" t="s">
        <v>2</v>
      </c>
      <c r="CA420" t="s">
        <v>5</v>
      </c>
      <c r="CB420" t="s">
        <v>5</v>
      </c>
      <c r="CC420" t="s">
        <v>2</v>
      </c>
      <c r="CD420" t="s">
        <v>4</v>
      </c>
      <c r="CE420" t="s">
        <v>2</v>
      </c>
      <c r="CF420" t="s">
        <v>2</v>
      </c>
      <c r="CG420" t="s">
        <v>3</v>
      </c>
      <c r="CH420" t="s">
        <v>4</v>
      </c>
      <c r="CI420" t="s">
        <v>4</v>
      </c>
      <c r="CJ420" t="s">
        <v>4</v>
      </c>
      <c r="CK420" t="s">
        <v>4</v>
      </c>
      <c r="CL420" t="s">
        <v>4</v>
      </c>
      <c r="CM420" t="s">
        <v>4</v>
      </c>
      <c r="CN420" t="s">
        <v>3</v>
      </c>
      <c r="CO420" t="s">
        <v>4</v>
      </c>
      <c r="CP420" t="s">
        <v>3</v>
      </c>
      <c r="CQ420" t="s">
        <v>4</v>
      </c>
      <c r="CR420" t="s">
        <v>4</v>
      </c>
      <c r="CS420" t="s">
        <v>4</v>
      </c>
      <c r="CT420" t="s">
        <v>3</v>
      </c>
    </row>
    <row r="421" spans="61:98" x14ac:dyDescent="0.3">
      <c r="BI421" t="s">
        <v>472</v>
      </c>
    </row>
    <row r="422" spans="61:98" x14ac:dyDescent="0.3">
      <c r="BI422" s="3" t="s">
        <v>355</v>
      </c>
      <c r="BJ422">
        <f>AV18*AT29*AT36*AT40*AT48*AT54*AT60*AT66*AT71*AT77*AT83*AT88*AT96*AT102*AT106*AT113*AT119*AT126*AT132*AT137*AT141*AT149*AT155*AT160*AT163*AT167*AT171*AT175*AT179*AT183*AT188*AT191*AT196*AT199*AT203*AT207*AT212</f>
        <v>0</v>
      </c>
    </row>
    <row r="423" spans="61:98" x14ac:dyDescent="0.3">
      <c r="BI423" t="s">
        <v>473</v>
      </c>
    </row>
    <row r="424" spans="61:98" x14ac:dyDescent="0.3">
      <c r="BI424" s="3" t="s">
        <v>355</v>
      </c>
      <c r="BJ424">
        <f>AV19*AU29*AU36*AU40*AU48*AU54*AU60*AU66*AU71*AU77*AU83*AU88*AU96*AU102*AU106*AU113*AU119*AU126*AU132*AU137*AU141*AU149*AU155*AU160*AU163*AU167*AU171*AU175*AU179*AU183*AU188*AU191*AU196*AU199*AU203*AU207*AU212</f>
        <v>0</v>
      </c>
    </row>
    <row r="425" spans="61:98" x14ac:dyDescent="0.3">
      <c r="BI425" t="s">
        <v>474</v>
      </c>
    </row>
    <row r="426" spans="61:98" x14ac:dyDescent="0.3">
      <c r="BI426" s="3" t="s">
        <v>355</v>
      </c>
      <c r="BJ426">
        <f>AV20*AV29*AV36*AV40*AV48*AV54*AV60*AV66*AV71*AV77*AV83*AV88*AV96*AV102*AV106*AV113*AV119*AV126*AV132*AV137*AV141*AV149*AV155*AV160*AV163*AV167*AV171*AV175*AV179*AV183*AV188*AV191*AV196*AV199*AV203*AV207*AV212</f>
        <v>9.6334007293181972E-9</v>
      </c>
    </row>
    <row r="427" spans="61:98" x14ac:dyDescent="0.3">
      <c r="BI427" t="s">
        <v>475</v>
      </c>
    </row>
    <row r="428" spans="61:98" x14ac:dyDescent="0.3">
      <c r="BI428" s="3" t="s">
        <v>355</v>
      </c>
      <c r="BJ428">
        <f>AV21*AW29*AW36*AW40*AW48*AW54*AW60*AW66*AW71*AW77*AW83*AW88*AW96*AW102*AW106*AW113*AW119*AW126*AW132*AW137*AW141*AW149*AW155*AW160*AW163*AW167*AW171*AW175*AW179*AW183*AW188*AW191*AW196*AW199*AW203*AW207*AW212</f>
        <v>0</v>
      </c>
    </row>
    <row r="429" spans="61:98" x14ac:dyDescent="0.3">
      <c r="BI429" t="s">
        <v>476</v>
      </c>
    </row>
    <row r="430" spans="61:98" x14ac:dyDescent="0.3">
      <c r="BI430" s="3" t="s">
        <v>355</v>
      </c>
      <c r="BJ430">
        <f>AV22*AX29*AX36*AX40*AX48*AX54*AX60*AX66*AX71*AX77*AX83*AX88*AX96*AX102*AX106*AX113*AX119*AX126*AX132*AX137*AX141*AX149*AX155*AX160*AX163*AX167*AX171*AX175*AX179*AX183*AX188*AX191*AX196*AX199*AX203*AX207*AX212</f>
        <v>0</v>
      </c>
    </row>
    <row r="431" spans="61:98" x14ac:dyDescent="0.3">
      <c r="BI431" t="s">
        <v>477</v>
      </c>
    </row>
    <row r="432" spans="61:98" x14ac:dyDescent="0.3">
      <c r="BI432" s="3" t="s">
        <v>355</v>
      </c>
      <c r="BJ432">
        <f>AV23*AY29*AY36*AY40*AY48*AY54*AY60*AY66*AY71*AY77*AY83*AY88*AY96*AY102*AY106*AY113*AY119*AY126*AY132*AY137*AY141*AY149*AY155*AY160*AY163*AY167*AY171*AY175*AY179*AY183*AY188*AY191*AY196*AY199*AY203*AY207*AY212</f>
        <v>0</v>
      </c>
    </row>
    <row r="433" spans="61:98" x14ac:dyDescent="0.3">
      <c r="BI433" s="24" t="s">
        <v>380</v>
      </c>
      <c r="BJ433" t="s">
        <v>478</v>
      </c>
      <c r="BK433" s="25" t="s">
        <v>405</v>
      </c>
    </row>
    <row r="435" spans="61:98" x14ac:dyDescent="0.3">
      <c r="BI435" s="53" t="s">
        <v>479</v>
      </c>
      <c r="BJ435" s="24" t="s">
        <v>71</v>
      </c>
      <c r="BK435" s="1" t="s">
        <v>50</v>
      </c>
      <c r="BL435" s="1" t="s">
        <v>51</v>
      </c>
      <c r="BM435" s="1" t="s">
        <v>52</v>
      </c>
      <c r="BN435" s="1" t="s">
        <v>53</v>
      </c>
      <c r="BO435" s="1" t="s">
        <v>54</v>
      </c>
      <c r="BP435" s="1" t="s">
        <v>55</v>
      </c>
      <c r="BQ435" s="1" t="s">
        <v>56</v>
      </c>
      <c r="BR435" s="1" t="s">
        <v>57</v>
      </c>
      <c r="BS435" s="1" t="s">
        <v>58</v>
      </c>
      <c r="BT435" s="1" t="s">
        <v>59</v>
      </c>
      <c r="BU435" s="1" t="s">
        <v>60</v>
      </c>
      <c r="BV435" s="1" t="s">
        <v>61</v>
      </c>
      <c r="BW435" s="1" t="s">
        <v>62</v>
      </c>
      <c r="BX435" s="1" t="s">
        <v>63</v>
      </c>
      <c r="BY435" s="1" t="s">
        <v>64</v>
      </c>
      <c r="BZ435" s="1" t="s">
        <v>65</v>
      </c>
      <c r="CA435" s="1" t="s">
        <v>66</v>
      </c>
      <c r="CB435" s="1" t="s">
        <v>67</v>
      </c>
      <c r="CC435" s="1" t="s">
        <v>68</v>
      </c>
      <c r="CD435" s="1" t="s">
        <v>69</v>
      </c>
      <c r="CE435" s="1" t="s">
        <v>70</v>
      </c>
      <c r="CF435" s="1" t="s">
        <v>929</v>
      </c>
      <c r="CG435" s="1" t="s">
        <v>930</v>
      </c>
      <c r="CH435" s="1" t="s">
        <v>931</v>
      </c>
      <c r="CI435" s="1" t="s">
        <v>932</v>
      </c>
      <c r="CJ435" s="1" t="s">
        <v>933</v>
      </c>
      <c r="CK435" s="1" t="s">
        <v>934</v>
      </c>
      <c r="CL435" s="1" t="s">
        <v>935</v>
      </c>
      <c r="CM435" s="1" t="s">
        <v>936</v>
      </c>
      <c r="CN435" s="1" t="s">
        <v>937</v>
      </c>
      <c r="CO435" s="1" t="s">
        <v>938</v>
      </c>
      <c r="CP435" s="1" t="s">
        <v>939</v>
      </c>
      <c r="CQ435" s="1" t="s">
        <v>940</v>
      </c>
      <c r="CR435" s="1" t="s">
        <v>941</v>
      </c>
      <c r="CS435" s="1" t="s">
        <v>942</v>
      </c>
      <c r="CT435" s="1" t="s">
        <v>1008</v>
      </c>
    </row>
    <row r="436" spans="61:98" x14ac:dyDescent="0.3">
      <c r="BI436" s="53"/>
      <c r="BJ436" s="24">
        <v>3</v>
      </c>
      <c r="BK436" t="s">
        <v>5</v>
      </c>
      <c r="BL436" t="s">
        <v>3</v>
      </c>
      <c r="BM436" t="s">
        <v>3</v>
      </c>
      <c r="BN436" t="s">
        <v>5</v>
      </c>
      <c r="BO436" t="s">
        <v>5</v>
      </c>
      <c r="BP436" t="s">
        <v>5</v>
      </c>
      <c r="BQ436" t="s">
        <v>5</v>
      </c>
      <c r="BR436" t="s">
        <v>2</v>
      </c>
      <c r="BS436" t="s">
        <v>2</v>
      </c>
      <c r="BT436" t="s">
        <v>3</v>
      </c>
      <c r="BU436" t="s">
        <v>3</v>
      </c>
      <c r="BV436" t="s">
        <v>2</v>
      </c>
      <c r="BW436" t="s">
        <v>5</v>
      </c>
      <c r="BX436" t="s">
        <v>3</v>
      </c>
      <c r="BY436" t="s">
        <v>3</v>
      </c>
      <c r="BZ436" t="s">
        <v>2</v>
      </c>
      <c r="CA436" t="s">
        <v>5</v>
      </c>
      <c r="CB436" t="s">
        <v>5</v>
      </c>
      <c r="CC436" t="s">
        <v>5</v>
      </c>
      <c r="CD436" t="s">
        <v>4</v>
      </c>
      <c r="CE436" t="s">
        <v>3</v>
      </c>
      <c r="CF436" t="s">
        <v>2</v>
      </c>
      <c r="CG436" t="s">
        <v>3</v>
      </c>
      <c r="CH436" t="s">
        <v>4</v>
      </c>
      <c r="CI436" t="s">
        <v>4</v>
      </c>
      <c r="CJ436" t="s">
        <v>4</v>
      </c>
      <c r="CK436" t="s">
        <v>4</v>
      </c>
      <c r="CL436" t="s">
        <v>4</v>
      </c>
      <c r="CM436" t="s">
        <v>4</v>
      </c>
      <c r="CN436" t="s">
        <v>3</v>
      </c>
      <c r="CO436" t="s">
        <v>4</v>
      </c>
      <c r="CP436" t="s">
        <v>4</v>
      </c>
      <c r="CQ436" t="s">
        <v>4</v>
      </c>
      <c r="CR436" t="s">
        <v>4</v>
      </c>
      <c r="CS436" t="s">
        <v>3</v>
      </c>
      <c r="CT436" t="s">
        <v>3</v>
      </c>
    </row>
    <row r="437" spans="61:98" x14ac:dyDescent="0.3">
      <c r="BI437" t="s">
        <v>769</v>
      </c>
    </row>
    <row r="438" spans="61:98" x14ac:dyDescent="0.3">
      <c r="BI438" s="3" t="s">
        <v>355</v>
      </c>
      <c r="BJ438">
        <f>AV18*AT30*AT34*AT40*AT48*AT54*AT60*AT66*AT71*AT77*AT82*AT88*AT95*AT102*AT106*AT112*AT119*AT126*AT132*AT138*AT141*AT148*AT155*AT160*AT163*AT167*AT171*AT175*AT179*AT183*AT188*AT191*AT195*AT199*AT203*AT208*AT212</f>
        <v>8.9932296093695991E-9</v>
      </c>
    </row>
    <row r="439" spans="61:98" x14ac:dyDescent="0.3">
      <c r="BI439" t="s">
        <v>770</v>
      </c>
    </row>
    <row r="440" spans="61:98" x14ac:dyDescent="0.3">
      <c r="BI440" s="3" t="s">
        <v>355</v>
      </c>
      <c r="BJ440">
        <f>AV19*AU30*AU34*AU40*AU48*AU54*AU60*AU66*AU71*AU77*AU82*AU88*AU95*AU102*AU106*AU112*AU119*AU126*AU132*AU138*AU141*AU148*AU155*AU160*AU163*AU167*AU171*AU175*AU179*AU183*AU188*AU191*AU195*AU199*AU203*AU208*AU212</f>
        <v>0</v>
      </c>
    </row>
    <row r="441" spans="61:98" x14ac:dyDescent="0.3">
      <c r="BI441" t="s">
        <v>771</v>
      </c>
    </row>
    <row r="442" spans="61:98" x14ac:dyDescent="0.3">
      <c r="BI442" s="3" t="s">
        <v>355</v>
      </c>
      <c r="BJ442">
        <f>AV20*AV30*AV34*AV40*AV48*AV54*AV60*AV66*AV71*AV77*AV82*AV88*AV95*AV102*AV106*AV112*AV119*AV126*AV132*AV138*AV141*AV148*AV155*AV160*AV163*AV167*AV171*AV175*AV179*AV183*AV188*AV191*AV195*AV199*AV203*AV208*AV212</f>
        <v>1.1289141479669761E-7</v>
      </c>
    </row>
    <row r="443" spans="61:98" x14ac:dyDescent="0.3">
      <c r="BI443" t="s">
        <v>772</v>
      </c>
    </row>
    <row r="444" spans="61:98" x14ac:dyDescent="0.3">
      <c r="BI444" s="3" t="s">
        <v>355</v>
      </c>
      <c r="BJ444">
        <f>AV21*AW30*AW34*AW40*AW48*AW54*AW60*AW66*AW71*AW77*AW82*AW88*AW95*AW102*AW106*AW112*AW119*AW126*AW132*AW138*AW141*AW148*AW155*AW160*AW163*AW167*AW171*AW175*AW179*AW183*AW188*AW191*AW195*AW199*AW203*AW208*AW212</f>
        <v>0</v>
      </c>
    </row>
    <row r="445" spans="61:98" x14ac:dyDescent="0.3">
      <c r="BI445" t="s">
        <v>773</v>
      </c>
    </row>
    <row r="446" spans="61:98" x14ac:dyDescent="0.3">
      <c r="BI446" s="3" t="s">
        <v>355</v>
      </c>
      <c r="BJ446">
        <f>AV22*AX30*AX34*AX40*AX48*AX54*AX60*AX66*AX71*AX77*AX82*AX88*AX95*AX102*AX106*AX112*AX119*AX126*AX132*AX138*AX141*AX148*AX155*AX160*AX163*AX167*AX171*AX175*AX179*AX183*AX188*AX191*AX195*AX199*AX203*AX208*AX212</f>
        <v>0</v>
      </c>
    </row>
    <row r="447" spans="61:98" x14ac:dyDescent="0.3">
      <c r="BI447" t="s">
        <v>774</v>
      </c>
    </row>
    <row r="448" spans="61:98" x14ac:dyDescent="0.3">
      <c r="BI448" s="3" t="s">
        <v>355</v>
      </c>
      <c r="BJ448">
        <f>AV23*AY30*AY34*AY40*AY48*AY54*AY60*AY66*AY71*AY77*AY82*AY88*AY95*AY102*AY106*AY112*AY119*AY126*AY132*AY138*AY141*AY148*AY155*AY160*AY163*AY167*AY171*AY175*AY179*AY183*AY188*AY191*AY195*AY199*AY203*AY208*AY212</f>
        <v>0</v>
      </c>
    </row>
    <row r="449" spans="61:98" x14ac:dyDescent="0.3">
      <c r="BI449" s="24" t="s">
        <v>391</v>
      </c>
      <c r="BJ449" t="s">
        <v>378</v>
      </c>
      <c r="BK449" s="26" t="s">
        <v>717</v>
      </c>
    </row>
    <row r="451" spans="61:98" x14ac:dyDescent="0.3">
      <c r="BI451" s="53" t="s">
        <v>480</v>
      </c>
      <c r="BJ451" s="24" t="s">
        <v>71</v>
      </c>
      <c r="BK451" s="1" t="s">
        <v>50</v>
      </c>
      <c r="BL451" s="1" t="s">
        <v>51</v>
      </c>
      <c r="BM451" s="1" t="s">
        <v>52</v>
      </c>
      <c r="BN451" s="1" t="s">
        <v>53</v>
      </c>
      <c r="BO451" s="1" t="s">
        <v>54</v>
      </c>
      <c r="BP451" s="1" t="s">
        <v>55</v>
      </c>
      <c r="BQ451" s="1" t="s">
        <v>56</v>
      </c>
      <c r="BR451" s="1" t="s">
        <v>57</v>
      </c>
      <c r="BS451" s="1" t="s">
        <v>58</v>
      </c>
      <c r="BT451" s="1" t="s">
        <v>59</v>
      </c>
      <c r="BU451" s="1" t="s">
        <v>60</v>
      </c>
      <c r="BV451" s="1" t="s">
        <v>61</v>
      </c>
      <c r="BW451" s="1" t="s">
        <v>62</v>
      </c>
      <c r="BX451" s="1" t="s">
        <v>63</v>
      </c>
      <c r="BY451" s="1" t="s">
        <v>64</v>
      </c>
      <c r="BZ451" s="1" t="s">
        <v>65</v>
      </c>
      <c r="CA451" s="1" t="s">
        <v>66</v>
      </c>
      <c r="CB451" s="1" t="s">
        <v>67</v>
      </c>
      <c r="CC451" s="1" t="s">
        <v>68</v>
      </c>
      <c r="CD451" s="1" t="s">
        <v>69</v>
      </c>
      <c r="CE451" s="1" t="s">
        <v>70</v>
      </c>
      <c r="CF451" s="1" t="s">
        <v>929</v>
      </c>
      <c r="CG451" s="1" t="s">
        <v>930</v>
      </c>
      <c r="CH451" s="1" t="s">
        <v>931</v>
      </c>
      <c r="CI451" s="1" t="s">
        <v>932</v>
      </c>
      <c r="CJ451" s="1" t="s">
        <v>933</v>
      </c>
      <c r="CK451" s="1" t="s">
        <v>934</v>
      </c>
      <c r="CL451" s="1" t="s">
        <v>935</v>
      </c>
      <c r="CM451" s="1" t="s">
        <v>936</v>
      </c>
      <c r="CN451" s="1" t="s">
        <v>937</v>
      </c>
      <c r="CO451" s="1" t="s">
        <v>938</v>
      </c>
      <c r="CP451" s="1" t="s">
        <v>939</v>
      </c>
      <c r="CQ451" s="1" t="s">
        <v>940</v>
      </c>
      <c r="CR451" s="1" t="s">
        <v>941</v>
      </c>
      <c r="CS451" s="1" t="s">
        <v>942</v>
      </c>
      <c r="CT451" s="1" t="s">
        <v>1008</v>
      </c>
    </row>
    <row r="452" spans="61:98" x14ac:dyDescent="0.3">
      <c r="BI452" s="53"/>
      <c r="BJ452" s="24">
        <v>3</v>
      </c>
      <c r="BK452" t="s">
        <v>5</v>
      </c>
      <c r="BL452" t="s">
        <v>3</v>
      </c>
      <c r="BM452" t="s">
        <v>3</v>
      </c>
      <c r="BN452" t="s">
        <v>2</v>
      </c>
      <c r="BO452" t="s">
        <v>5</v>
      </c>
      <c r="BP452" t="s">
        <v>5</v>
      </c>
      <c r="BQ452" t="s">
        <v>5</v>
      </c>
      <c r="BR452" t="s">
        <v>2</v>
      </c>
      <c r="BS452" t="s">
        <v>3</v>
      </c>
      <c r="BT452" t="s">
        <v>3</v>
      </c>
      <c r="BU452" t="s">
        <v>3</v>
      </c>
      <c r="BV452" t="s">
        <v>2</v>
      </c>
      <c r="BW452" t="s">
        <v>5</v>
      </c>
      <c r="BX452" t="s">
        <v>3</v>
      </c>
      <c r="BY452" t="s">
        <v>3</v>
      </c>
      <c r="BZ452" t="s">
        <v>5</v>
      </c>
      <c r="CA452" t="s">
        <v>5</v>
      </c>
      <c r="CB452" t="s">
        <v>5</v>
      </c>
      <c r="CC452" t="s">
        <v>5</v>
      </c>
      <c r="CD452" t="s">
        <v>4</v>
      </c>
      <c r="CE452" t="s">
        <v>3</v>
      </c>
      <c r="CF452" t="s">
        <v>2</v>
      </c>
      <c r="CG452" t="s">
        <v>3</v>
      </c>
      <c r="CH452" t="s">
        <v>4</v>
      </c>
      <c r="CI452" t="s">
        <v>4</v>
      </c>
      <c r="CJ452" t="s">
        <v>4</v>
      </c>
      <c r="CK452" t="s">
        <v>4</v>
      </c>
      <c r="CL452" t="s">
        <v>4</v>
      </c>
      <c r="CM452" t="s">
        <v>4</v>
      </c>
      <c r="CN452" t="s">
        <v>3</v>
      </c>
      <c r="CO452" t="s">
        <v>4</v>
      </c>
      <c r="CP452" t="s">
        <v>3</v>
      </c>
      <c r="CQ452" t="s">
        <v>4</v>
      </c>
      <c r="CR452" t="s">
        <v>4</v>
      </c>
      <c r="CS452" t="s">
        <v>3</v>
      </c>
      <c r="CT452" t="s">
        <v>3</v>
      </c>
    </row>
    <row r="453" spans="61:98" x14ac:dyDescent="0.3">
      <c r="BI453" t="s">
        <v>489</v>
      </c>
    </row>
    <row r="454" spans="61:98" x14ac:dyDescent="0.3">
      <c r="BI454" s="3" t="s">
        <v>355</v>
      </c>
      <c r="BJ454">
        <f>AV18*AT30*AT34*AT40*AT47*AT54*AT60*AT66*AT71*AT76*AT82*AT88*AT95*AT102*AT106*AT112*AT120*AT126*AT132*AT138*AT141*AT148*AT155*AT160*AT163*AT167*AT171*AT175*AT179*AT183*AT188*AT191*AT196*AT199*AT203*AT208*AT212</f>
        <v>0</v>
      </c>
    </row>
    <row r="455" spans="61:98" x14ac:dyDescent="0.3">
      <c r="BI455" t="s">
        <v>490</v>
      </c>
    </row>
    <row r="456" spans="61:98" x14ac:dyDescent="0.3">
      <c r="BI456" s="3" t="s">
        <v>355</v>
      </c>
      <c r="BJ456">
        <f>AV19*AU30*AU34*AU40*AU47*AU54*AU60*AU66*AU71*AU76*AU82*AU88*AU95*AU102*AU106*AU112*AU120*AU126*AU132*AU138*AU141*AU148*AU155*AU160*AU163*AU167*AU171*AU175*AU179*AU183*AU188*AU191*AU196*AU199*AU203*AU208*AU212</f>
        <v>1.1522165759999999E-8</v>
      </c>
    </row>
    <row r="457" spans="61:98" x14ac:dyDescent="0.3">
      <c r="BI457" t="s">
        <v>491</v>
      </c>
    </row>
    <row r="458" spans="61:98" x14ac:dyDescent="0.3">
      <c r="BI458" s="3" t="s">
        <v>355</v>
      </c>
      <c r="BJ458">
        <f>AV20*AV30*AV34*AV40*AV47*AV54*AV60*AV66*AV71*AV76*AV82*AV88*AV95*AV102*AV106*AV112*AV120*AV126*AV132*AV138*AV141*AV148*AV155*AV160*AV163*AV167*AV171*AV175*AV179*AV183*AV188*AV191*AV196*AV199*AV203*AV208*AV212</f>
        <v>4.5156565918679045E-7</v>
      </c>
    </row>
    <row r="459" spans="61:98" x14ac:dyDescent="0.3">
      <c r="BI459" t="s">
        <v>713</v>
      </c>
    </row>
    <row r="460" spans="61:98" x14ac:dyDescent="0.3">
      <c r="BI460" s="3" t="s">
        <v>355</v>
      </c>
      <c r="BJ460">
        <f>AV21*AW30*AW34*AW40*AW47*AW54*AW60*AW66*AW71*AW76*AW82*AW88*AW95*AW102*AW106*AW112*AW120*AW126*AW132*AW138*AW141*AW148*AW155*AW160*AW163*AW167*AW171*AW175*AW179*AW183*AW188*AW191*AW196*AW199*AW203*AW208*AW212</f>
        <v>8.7107573145600028E-8</v>
      </c>
    </row>
    <row r="461" spans="61:98" x14ac:dyDescent="0.3">
      <c r="BI461" t="s">
        <v>714</v>
      </c>
    </row>
    <row r="462" spans="61:98" x14ac:dyDescent="0.3">
      <c r="BI462" s="3" t="s">
        <v>355</v>
      </c>
      <c r="BJ462">
        <f>AV22*AX30*AX34*AX40*AX47*AX54*AX60*AX66*AX71*AX76*AX82*AX88*AX95*AX102*AX106*AX112*AX120*AX126*AX132*AX138*AX141*AX148*AX155*AX160*AX163*AX167*AX171*AX175*AX179*AX183*AX188*AX191*AX196*AX199*AX203*AX208*AX212</f>
        <v>0</v>
      </c>
    </row>
    <row r="463" spans="61:98" x14ac:dyDescent="0.3">
      <c r="BI463" t="s">
        <v>715</v>
      </c>
    </row>
    <row r="464" spans="61:98" x14ac:dyDescent="0.3">
      <c r="BI464" s="3" t="s">
        <v>355</v>
      </c>
      <c r="BJ464">
        <f>AV23*AY30*AY34*AY40*AY47*AY54*AY60*AY66*AY71*AY76*AY82*AY88*AY95*AY102*AY106*AY112*AY120*AY126*AY132*AY138*AY141*AY148*AY155*AY160*AY163*AY167*AY171*AY175*AY179*AY183*AY188*AY191*AY196*AY199*AY203*AY208*AY212</f>
        <v>1.1796000893042693E-11</v>
      </c>
    </row>
    <row r="465" spans="61:98" x14ac:dyDescent="0.3">
      <c r="BI465" s="24" t="s">
        <v>380</v>
      </c>
      <c r="BJ465" t="s">
        <v>375</v>
      </c>
      <c r="BK465" s="26" t="s">
        <v>718</v>
      </c>
    </row>
    <row r="467" spans="61:98" x14ac:dyDescent="0.3">
      <c r="BI467" s="53" t="s">
        <v>492</v>
      </c>
      <c r="BJ467" s="24" t="s">
        <v>71</v>
      </c>
      <c r="BK467" s="1" t="s">
        <v>50</v>
      </c>
      <c r="BL467" s="1" t="s">
        <v>51</v>
      </c>
      <c r="BM467" s="1" t="s">
        <v>52</v>
      </c>
      <c r="BN467" s="1" t="s">
        <v>53</v>
      </c>
      <c r="BO467" s="1" t="s">
        <v>54</v>
      </c>
      <c r="BP467" s="1" t="s">
        <v>55</v>
      </c>
      <c r="BQ467" s="1" t="s">
        <v>56</v>
      </c>
      <c r="BR467" s="1" t="s">
        <v>57</v>
      </c>
      <c r="BS467" s="1" t="s">
        <v>58</v>
      </c>
      <c r="BT467" s="1" t="s">
        <v>59</v>
      </c>
      <c r="BU467" s="1" t="s">
        <v>60</v>
      </c>
      <c r="BV467" s="1" t="s">
        <v>61</v>
      </c>
      <c r="BW467" s="1" t="s">
        <v>62</v>
      </c>
      <c r="BX467" s="1" t="s">
        <v>63</v>
      </c>
      <c r="BY467" s="1" t="s">
        <v>64</v>
      </c>
      <c r="BZ467" s="1" t="s">
        <v>65</v>
      </c>
      <c r="CA467" s="1" t="s">
        <v>66</v>
      </c>
      <c r="CB467" s="1" t="s">
        <v>67</v>
      </c>
      <c r="CC467" s="1" t="s">
        <v>68</v>
      </c>
      <c r="CD467" s="1" t="s">
        <v>69</v>
      </c>
      <c r="CE467" s="1" t="s">
        <v>70</v>
      </c>
      <c r="CF467" s="1" t="s">
        <v>929</v>
      </c>
      <c r="CG467" s="1" t="s">
        <v>930</v>
      </c>
      <c r="CH467" s="1" t="s">
        <v>931</v>
      </c>
      <c r="CI467" s="1" t="s">
        <v>932</v>
      </c>
      <c r="CJ467" s="1" t="s">
        <v>933</v>
      </c>
      <c r="CK467" s="1" t="s">
        <v>934</v>
      </c>
      <c r="CL467" s="1" t="s">
        <v>935</v>
      </c>
      <c r="CM467" s="1" t="s">
        <v>936</v>
      </c>
      <c r="CN467" s="1" t="s">
        <v>937</v>
      </c>
      <c r="CO467" s="1" t="s">
        <v>938</v>
      </c>
      <c r="CP467" s="1" t="s">
        <v>939</v>
      </c>
      <c r="CQ467" s="1" t="s">
        <v>940</v>
      </c>
      <c r="CR467" s="1" t="s">
        <v>941</v>
      </c>
      <c r="CS467" s="1" t="s">
        <v>942</v>
      </c>
      <c r="CT467" s="1" t="s">
        <v>1008</v>
      </c>
    </row>
    <row r="468" spans="61:98" x14ac:dyDescent="0.3">
      <c r="BI468" s="53"/>
      <c r="BJ468" s="24">
        <v>3</v>
      </c>
      <c r="BK468" t="s">
        <v>5</v>
      </c>
      <c r="BL468" t="s">
        <v>3</v>
      </c>
      <c r="BM468" t="s">
        <v>3</v>
      </c>
      <c r="BN468" t="s">
        <v>5</v>
      </c>
      <c r="BO468" t="s">
        <v>5</v>
      </c>
      <c r="BP468" t="s">
        <v>5</v>
      </c>
      <c r="BQ468" t="s">
        <v>2</v>
      </c>
      <c r="BR468" t="s">
        <v>2</v>
      </c>
      <c r="BS468" t="s">
        <v>3</v>
      </c>
      <c r="BT468" t="s">
        <v>4</v>
      </c>
      <c r="BU468" t="s">
        <v>4</v>
      </c>
      <c r="BV468" t="s">
        <v>5</v>
      </c>
      <c r="BW468" t="s">
        <v>2</v>
      </c>
      <c r="BX468" t="s">
        <v>3</v>
      </c>
      <c r="BY468" t="s">
        <v>2</v>
      </c>
      <c r="BZ468" t="s">
        <v>5</v>
      </c>
      <c r="CA468" t="s">
        <v>5</v>
      </c>
      <c r="CB468" t="s">
        <v>5</v>
      </c>
      <c r="CC468" t="s">
        <v>5</v>
      </c>
      <c r="CD468" t="s">
        <v>4</v>
      </c>
      <c r="CE468" t="s">
        <v>3</v>
      </c>
      <c r="CF468" t="s">
        <v>3</v>
      </c>
      <c r="CG468" t="s">
        <v>3</v>
      </c>
      <c r="CH468" t="s">
        <v>4</v>
      </c>
      <c r="CI468" t="s">
        <v>4</v>
      </c>
      <c r="CJ468" t="s">
        <v>4</v>
      </c>
      <c r="CK468" t="s">
        <v>4</v>
      </c>
      <c r="CL468" t="s">
        <v>4</v>
      </c>
      <c r="CM468" t="s">
        <v>4</v>
      </c>
      <c r="CN468" t="s">
        <v>3</v>
      </c>
      <c r="CO468" t="s">
        <v>4</v>
      </c>
      <c r="CP468" t="s">
        <v>4</v>
      </c>
      <c r="CQ468" t="s">
        <v>4</v>
      </c>
      <c r="CR468" t="s">
        <v>4</v>
      </c>
      <c r="CS468" t="s">
        <v>4</v>
      </c>
      <c r="CT468" t="s">
        <v>3</v>
      </c>
    </row>
    <row r="469" spans="61:98" x14ac:dyDescent="0.3">
      <c r="BI469" t="s">
        <v>775</v>
      </c>
    </row>
    <row r="470" spans="61:98" x14ac:dyDescent="0.3">
      <c r="BI470" s="3" t="s">
        <v>355</v>
      </c>
      <c r="BJ470">
        <f>AV18*AT30*AT34*AT40*AT48*AT54*AT60*AT65*AT71*AT76*AT81*AT87*AT96*AT101*AT106*AT113*AT120*AT126*AT132*AT138*AT141*AT148*AT154*AT160*AT163*AT167*AT171*AT175*AT179*AT183*AT188*AT191*AT195*AT199*AT203*AT207*AT212</f>
        <v>0</v>
      </c>
    </row>
    <row r="471" spans="61:98" x14ac:dyDescent="0.3">
      <c r="BI471" t="s">
        <v>776</v>
      </c>
    </row>
    <row r="472" spans="61:98" x14ac:dyDescent="0.3">
      <c r="BI472" s="3" t="s">
        <v>355</v>
      </c>
      <c r="BJ472">
        <f>AV19*AU30*AU34*AU40*AU48*AU54*AU60*AU65*AU71*AU76*AU81*AU87*AU96*AU101*AU106*AU113*AU120*AU126*AU132*AU138*AU141*AU148*AU154*AU160*AU163*AU167*AU171*AU175*AU179*AU183*AU188*AU191*AU195*AU199*AU203*AU207*AU212</f>
        <v>0</v>
      </c>
    </row>
    <row r="473" spans="61:98" x14ac:dyDescent="0.3">
      <c r="BI473" t="s">
        <v>777</v>
      </c>
    </row>
    <row r="474" spans="61:98" x14ac:dyDescent="0.3">
      <c r="BI474" s="3" t="s">
        <v>355</v>
      </c>
      <c r="BJ474">
        <f>AV20*AV30*AV34*AV40*AV48*AV54*AV60*AV65*AV71*AV76*AV81*AV87*AV96*AV101*AV106*AV113*AV120*AV126*AV132*AV138*AV141*AV148*AV154*AV160*AV163*AV167*AV171*AV175*AV179*AV183*AV188*AV191*AV195*AV199*AV203*AV207*AV212</f>
        <v>1.0450519541180005E-7</v>
      </c>
    </row>
    <row r="475" spans="61:98" x14ac:dyDescent="0.3">
      <c r="BI475" t="s">
        <v>778</v>
      </c>
    </row>
    <row r="476" spans="61:98" x14ac:dyDescent="0.3">
      <c r="BI476" s="3" t="s">
        <v>355</v>
      </c>
      <c r="BJ476">
        <f>AV21*AW30*AW34*AW40*AW48*AW54*AW60*AW65*AW71*AW76*AW81*AW87*AW96*AW101*AW106*AW113*AW120*AW126*AW132*AW138*AW141*AW148*AW154*AW160*AW163*AW167*AW171*AW175*AW179*AW183*AW188*AW191*AW195*AW199*AW203*AW207*AW212</f>
        <v>0</v>
      </c>
    </row>
    <row r="477" spans="61:98" x14ac:dyDescent="0.3">
      <c r="BI477" t="s">
        <v>779</v>
      </c>
    </row>
    <row r="478" spans="61:98" x14ac:dyDescent="0.3">
      <c r="BI478" s="3" t="s">
        <v>355</v>
      </c>
      <c r="BJ478">
        <f>AV22*AX30*AX34*AX40*AX48*AX54*AX60*AX65*AX71*AX76*AX81*AX87*AX96*AX101*AX106*AX113*AX120*AX126*AX132*AX138*AX141*AX148*AX154*AX160*AX163*AX167*AX171*AX175*AX179*AX183*AX188*AX191*AX195*AX199*AX203*AX207*AX212</f>
        <v>0</v>
      </c>
    </row>
    <row r="479" spans="61:98" x14ac:dyDescent="0.3">
      <c r="BI479" t="s">
        <v>780</v>
      </c>
    </row>
    <row r="480" spans="61:98" x14ac:dyDescent="0.3">
      <c r="BI480" s="3" t="s">
        <v>355</v>
      </c>
      <c r="BJ480">
        <f>AV23*AY30*AY34*AY40*AY48*AY54*AY60*AY65*AY71*AY76*AY81*AY87*AY96*AY101*AY106*AY113*AY120*AY126*AY132*AY138*AY141*AY148*AY154*AY160*AY163*AY167*AY171*AY175*AY179*AY183*AY188*AY191*AY195*AY199*AY203*AY207*AY212</f>
        <v>0</v>
      </c>
    </row>
    <row r="481" spans="61:98" x14ac:dyDescent="0.3">
      <c r="BI481" t="s">
        <v>371</v>
      </c>
      <c r="BJ481" t="s">
        <v>374</v>
      </c>
      <c r="BK481" s="25" t="s">
        <v>405</v>
      </c>
    </row>
    <row r="483" spans="61:98" x14ac:dyDescent="0.3">
      <c r="BI483" s="53" t="s">
        <v>494</v>
      </c>
      <c r="BJ483" s="24" t="s">
        <v>71</v>
      </c>
      <c r="BK483" s="1" t="s">
        <v>50</v>
      </c>
      <c r="BL483" s="1" t="s">
        <v>51</v>
      </c>
      <c r="BM483" s="1" t="s">
        <v>52</v>
      </c>
      <c r="BN483" s="1" t="s">
        <v>53</v>
      </c>
      <c r="BO483" s="1" t="s">
        <v>54</v>
      </c>
      <c r="BP483" s="1" t="s">
        <v>55</v>
      </c>
      <c r="BQ483" s="1" t="s">
        <v>56</v>
      </c>
      <c r="BR483" s="1" t="s">
        <v>57</v>
      </c>
      <c r="BS483" s="1" t="s">
        <v>58</v>
      </c>
      <c r="BT483" s="1" t="s">
        <v>59</v>
      </c>
      <c r="BU483" s="1" t="s">
        <v>60</v>
      </c>
      <c r="BV483" s="1" t="s">
        <v>61</v>
      </c>
      <c r="BW483" s="1" t="s">
        <v>62</v>
      </c>
      <c r="BX483" s="1" t="s">
        <v>63</v>
      </c>
      <c r="BY483" s="1" t="s">
        <v>64</v>
      </c>
      <c r="BZ483" s="1" t="s">
        <v>65</v>
      </c>
      <c r="CA483" s="1" t="s">
        <v>66</v>
      </c>
      <c r="CB483" s="1" t="s">
        <v>67</v>
      </c>
      <c r="CC483" s="1" t="s">
        <v>68</v>
      </c>
      <c r="CD483" s="1" t="s">
        <v>69</v>
      </c>
      <c r="CE483" s="1" t="s">
        <v>70</v>
      </c>
      <c r="CF483" s="1" t="s">
        <v>929</v>
      </c>
      <c r="CG483" s="1" t="s">
        <v>930</v>
      </c>
      <c r="CH483" s="1" t="s">
        <v>931</v>
      </c>
      <c r="CI483" s="1" t="s">
        <v>932</v>
      </c>
      <c r="CJ483" s="1" t="s">
        <v>933</v>
      </c>
      <c r="CK483" s="1" t="s">
        <v>934</v>
      </c>
      <c r="CL483" s="1" t="s">
        <v>935</v>
      </c>
      <c r="CM483" s="1" t="s">
        <v>936</v>
      </c>
      <c r="CN483" s="1" t="s">
        <v>937</v>
      </c>
      <c r="CO483" s="1" t="s">
        <v>938</v>
      </c>
      <c r="CP483" s="1" t="s">
        <v>939</v>
      </c>
      <c r="CQ483" s="1" t="s">
        <v>940</v>
      </c>
      <c r="CR483" s="1" t="s">
        <v>941</v>
      </c>
      <c r="CS483" s="1" t="s">
        <v>942</v>
      </c>
      <c r="CT483" s="1" t="s">
        <v>1008</v>
      </c>
    </row>
    <row r="484" spans="61:98" x14ac:dyDescent="0.3">
      <c r="BI484" s="53"/>
      <c r="BJ484" s="24">
        <v>4</v>
      </c>
      <c r="BK484" t="s">
        <v>3</v>
      </c>
      <c r="BL484" t="s">
        <v>3</v>
      </c>
      <c r="BM484" t="s">
        <v>4</v>
      </c>
      <c r="BN484" t="s">
        <v>2</v>
      </c>
      <c r="BO484" t="s">
        <v>5</v>
      </c>
      <c r="BP484" t="s">
        <v>5</v>
      </c>
      <c r="BQ484" t="s">
        <v>5</v>
      </c>
      <c r="BR484" t="s">
        <v>2</v>
      </c>
      <c r="BS484" t="s">
        <v>2</v>
      </c>
      <c r="BT484" t="s">
        <v>2</v>
      </c>
      <c r="BU484" t="s">
        <v>5</v>
      </c>
      <c r="BV484" t="s">
        <v>2</v>
      </c>
      <c r="BW484" t="s">
        <v>5</v>
      </c>
      <c r="BX484" t="s">
        <v>3</v>
      </c>
      <c r="BY484" t="s">
        <v>3</v>
      </c>
      <c r="BZ484" t="s">
        <v>5</v>
      </c>
      <c r="CA484" t="s">
        <v>5</v>
      </c>
      <c r="CB484" t="s">
        <v>5</v>
      </c>
      <c r="CC484" t="s">
        <v>5</v>
      </c>
      <c r="CD484" t="s">
        <v>4</v>
      </c>
      <c r="CE484" t="s">
        <v>4</v>
      </c>
      <c r="CF484" t="s">
        <v>2</v>
      </c>
      <c r="CG484" t="s">
        <v>3</v>
      </c>
      <c r="CH484" t="s">
        <v>4</v>
      </c>
      <c r="CI484" t="s">
        <v>4</v>
      </c>
      <c r="CJ484" t="s">
        <v>4</v>
      </c>
      <c r="CK484" t="s">
        <v>4</v>
      </c>
      <c r="CL484" t="s">
        <v>4</v>
      </c>
      <c r="CM484" t="s">
        <v>4</v>
      </c>
      <c r="CN484" t="s">
        <v>3</v>
      </c>
      <c r="CO484" t="s">
        <v>4</v>
      </c>
      <c r="CP484" t="s">
        <v>3</v>
      </c>
      <c r="CQ484" t="s">
        <v>3</v>
      </c>
      <c r="CR484" t="s">
        <v>4</v>
      </c>
      <c r="CS484" t="s">
        <v>3</v>
      </c>
      <c r="CT484" t="s">
        <v>3</v>
      </c>
    </row>
    <row r="485" spans="61:98" x14ac:dyDescent="0.3">
      <c r="BI485" t="s">
        <v>495</v>
      </c>
    </row>
    <row r="486" spans="61:98" x14ac:dyDescent="0.3">
      <c r="BI486" s="3" t="s">
        <v>355</v>
      </c>
      <c r="BJ486">
        <f>AV18*AT28*AT34*AT39*AT47*AT54*AT60*AT66*AT71*AT77*AT83*AT90*AT95*AT102*AT106*AT112*AT120*AT126*AT132*AT138*AT141*AT147*AT155*AT160*AT163*AT167*AT171*AT175*AT179*AT183*AT188*AT191*AT196*AT200*AT203*AT208*AT212</f>
        <v>0</v>
      </c>
    </row>
    <row r="487" spans="61:98" x14ac:dyDescent="0.3">
      <c r="BI487" t="s">
        <v>496</v>
      </c>
    </row>
    <row r="488" spans="61:98" x14ac:dyDescent="0.3">
      <c r="BI488" s="3" t="s">
        <v>355</v>
      </c>
      <c r="BJ488">
        <f>AV19*AU28*AU34*AU39*AU47*AU54*AU60*AU66*AU71*AU77*AU83*AU90*AU95*AU102*AU106*AU112*AU120*AU126*AU132*AU138*AU141*AU147*AU155*AU160*AU163*AU167*AU171*AU175*AU179*AU183*AU188*AU191*AU196*AU200*AU203*AU208*AU212</f>
        <v>0</v>
      </c>
    </row>
    <row r="489" spans="61:98" x14ac:dyDescent="0.3">
      <c r="BI489" t="s">
        <v>497</v>
      </c>
    </row>
    <row r="490" spans="61:98" x14ac:dyDescent="0.3">
      <c r="BI490" s="3" t="s">
        <v>355</v>
      </c>
      <c r="BJ490">
        <f>AV20*AV28*AV34*AV39*AV47*AV54*AV60*AV66*AV71*AV77*AV83*AV90*AV95*AV102*AV106*AV112*AV120*AV126*AV132*AV138*AV141*AV147*AV155*AV160*AV163*AV167*AV171*AV175*AV179*AV183*AV188*AV191*AV196*AV200*AV203*AV208*AV212</f>
        <v>0</v>
      </c>
    </row>
    <row r="491" spans="61:98" x14ac:dyDescent="0.3">
      <c r="BI491" t="s">
        <v>498</v>
      </c>
    </row>
    <row r="492" spans="61:98" x14ac:dyDescent="0.3">
      <c r="BI492" s="3" t="s">
        <v>355</v>
      </c>
      <c r="BJ492">
        <f>AV21*AW28*AW34*AW39*AW47*AW54*AW60*AW66*AW71*AW77*AW83*AW90*AW95*AW102*AW106*AW112*AW120*AW126*AW132*AW138*AW141*AW147*AW155*AW160*AW163*AW167*AW171*AW175*AW179*AW183*AW188*AW191*AW196*AW200*AW203*AW208*AW212</f>
        <v>4.1811635109888003E-8</v>
      </c>
    </row>
    <row r="493" spans="61:98" x14ac:dyDescent="0.3">
      <c r="BI493" t="s">
        <v>499</v>
      </c>
    </row>
    <row r="494" spans="61:98" x14ac:dyDescent="0.3">
      <c r="BI494" s="3" t="s">
        <v>355</v>
      </c>
      <c r="BJ494">
        <f>AV22*AX28*AX34*AX39*AX47*AX54*AX60*AX66*AX71*AX77*AX83*AX90*AX95*AX102*AX106*AX112*AX120*AX126*AX132*AX138*AX141*AX147*AX155*AX160*AX163*AX167*AX171*AX175*AX179*AX183*AX188*AX191*AX196*AX200*AX203*AX208*AX212</f>
        <v>0</v>
      </c>
    </row>
    <row r="495" spans="61:98" x14ac:dyDescent="0.3">
      <c r="BI495" t="s">
        <v>500</v>
      </c>
    </row>
    <row r="496" spans="61:98" x14ac:dyDescent="0.3">
      <c r="BI496" s="3" t="s">
        <v>355</v>
      </c>
      <c r="BJ496">
        <f>AV23*AY28*AY34*AY39*AY47*AY54*AY60*AY66*AY71*AY77*AY83*AY90*AY95*AY102*AY106*AY112*AY120*AY126*AY132*AY138*AY141*AY147*AY155*AY160*AY163*AY167*AY171*AY175*AY179*AY183*AY188*AY191*AY196*AY200*AY203*AY208*AY212</f>
        <v>0</v>
      </c>
    </row>
    <row r="497" spans="61:98" x14ac:dyDescent="0.3">
      <c r="BI497" s="24" t="s">
        <v>396</v>
      </c>
      <c r="BJ497" t="s">
        <v>375</v>
      </c>
      <c r="BK497" s="25" t="s">
        <v>405</v>
      </c>
    </row>
    <row r="499" spans="61:98" x14ac:dyDescent="0.3">
      <c r="BI499" s="53" t="s">
        <v>501</v>
      </c>
      <c r="BJ499" s="24" t="s">
        <v>71</v>
      </c>
      <c r="BK499" s="1" t="s">
        <v>50</v>
      </c>
      <c r="BL499" s="1" t="s">
        <v>51</v>
      </c>
      <c r="BM499" s="1" t="s">
        <v>52</v>
      </c>
      <c r="BN499" s="1" t="s">
        <v>53</v>
      </c>
      <c r="BO499" s="1" t="s">
        <v>54</v>
      </c>
      <c r="BP499" s="1" t="s">
        <v>55</v>
      </c>
      <c r="BQ499" s="1" t="s">
        <v>56</v>
      </c>
      <c r="BR499" s="1" t="s">
        <v>57</v>
      </c>
      <c r="BS499" s="1" t="s">
        <v>58</v>
      </c>
      <c r="BT499" s="1" t="s">
        <v>59</v>
      </c>
      <c r="BU499" s="1" t="s">
        <v>60</v>
      </c>
      <c r="BV499" s="1" t="s">
        <v>61</v>
      </c>
      <c r="BW499" s="1" t="s">
        <v>62</v>
      </c>
      <c r="BX499" s="1" t="s">
        <v>63</v>
      </c>
      <c r="BY499" s="1" t="s">
        <v>64</v>
      </c>
      <c r="BZ499" s="1" t="s">
        <v>65</v>
      </c>
      <c r="CA499" s="1" t="s">
        <v>66</v>
      </c>
      <c r="CB499" s="1" t="s">
        <v>67</v>
      </c>
      <c r="CC499" s="1" t="s">
        <v>68</v>
      </c>
      <c r="CD499" s="1" t="s">
        <v>69</v>
      </c>
      <c r="CE499" s="1" t="s">
        <v>70</v>
      </c>
      <c r="CF499" s="1" t="s">
        <v>929</v>
      </c>
      <c r="CG499" s="1" t="s">
        <v>930</v>
      </c>
      <c r="CH499" s="1" t="s">
        <v>931</v>
      </c>
      <c r="CI499" s="1" t="s">
        <v>932</v>
      </c>
      <c r="CJ499" s="1" t="s">
        <v>933</v>
      </c>
      <c r="CK499" s="1" t="s">
        <v>934</v>
      </c>
      <c r="CL499" s="1" t="s">
        <v>935</v>
      </c>
      <c r="CM499" s="1" t="s">
        <v>936</v>
      </c>
      <c r="CN499" s="1" t="s">
        <v>937</v>
      </c>
      <c r="CO499" s="1" t="s">
        <v>938</v>
      </c>
      <c r="CP499" s="1" t="s">
        <v>939</v>
      </c>
      <c r="CQ499" s="1" t="s">
        <v>940</v>
      </c>
      <c r="CR499" s="1" t="s">
        <v>941</v>
      </c>
      <c r="CS499" s="1" t="s">
        <v>942</v>
      </c>
      <c r="CT499" s="1" t="s">
        <v>1008</v>
      </c>
    </row>
    <row r="500" spans="61:98" x14ac:dyDescent="0.3">
      <c r="BI500" s="53"/>
      <c r="BJ500" s="24">
        <v>4</v>
      </c>
      <c r="BK500" t="s">
        <v>5</v>
      </c>
      <c r="BL500" t="s">
        <v>3</v>
      </c>
      <c r="BM500" t="s">
        <v>3</v>
      </c>
      <c r="BN500" t="s">
        <v>5</v>
      </c>
      <c r="BO500" t="s">
        <v>5</v>
      </c>
      <c r="BP500" t="s">
        <v>5</v>
      </c>
      <c r="BQ500" t="s">
        <v>5</v>
      </c>
      <c r="BR500" t="s">
        <v>2</v>
      </c>
      <c r="BS500" t="s">
        <v>2</v>
      </c>
      <c r="BT500" t="s">
        <v>5</v>
      </c>
      <c r="BU500" t="s">
        <v>3</v>
      </c>
      <c r="BV500" t="s">
        <v>4</v>
      </c>
      <c r="BW500" t="s">
        <v>5</v>
      </c>
      <c r="BX500" t="s">
        <v>3</v>
      </c>
      <c r="BY500" t="s">
        <v>5</v>
      </c>
      <c r="BZ500" t="s">
        <v>5</v>
      </c>
      <c r="CA500" t="s">
        <v>5</v>
      </c>
      <c r="CB500" t="s">
        <v>5</v>
      </c>
      <c r="CC500" t="s">
        <v>5</v>
      </c>
      <c r="CD500" t="s">
        <v>4</v>
      </c>
      <c r="CE500" t="s">
        <v>4</v>
      </c>
      <c r="CF500" t="s">
        <v>4</v>
      </c>
      <c r="CG500" t="s">
        <v>3</v>
      </c>
      <c r="CH500" t="s">
        <v>4</v>
      </c>
      <c r="CI500" t="s">
        <v>4</v>
      </c>
      <c r="CJ500" t="s">
        <v>4</v>
      </c>
      <c r="CK500" t="s">
        <v>4</v>
      </c>
      <c r="CL500" t="s">
        <v>4</v>
      </c>
      <c r="CM500" t="s">
        <v>4</v>
      </c>
      <c r="CN500" t="s">
        <v>3</v>
      </c>
      <c r="CO500" t="s">
        <v>4</v>
      </c>
      <c r="CP500" t="s">
        <v>3</v>
      </c>
      <c r="CQ500" t="s">
        <v>4</v>
      </c>
      <c r="CR500" t="s">
        <v>4</v>
      </c>
      <c r="CS500" t="s">
        <v>4</v>
      </c>
      <c r="CT500" t="s">
        <v>3</v>
      </c>
    </row>
    <row r="501" spans="61:98" x14ac:dyDescent="0.3">
      <c r="BI501" t="s">
        <v>502</v>
      </c>
    </row>
    <row r="502" spans="61:98" x14ac:dyDescent="0.3">
      <c r="BI502" s="3" t="s">
        <v>355</v>
      </c>
      <c r="BJ502">
        <f>AV18*AT30*AT34*AT40*AT48*AT54*AT60*AT66*AT71*AT77*AT84*AT88*AT93*AT102*AT106*AT114*AT120*AT126*AT132*AT138*AT141*AT147*AT153*AT160*AT163*AT167*AT171*AT175*AT179*AT183*AT188*AT191*AT196*AT199*AT203*AT207*AT212</f>
        <v>0</v>
      </c>
    </row>
    <row r="503" spans="61:98" x14ac:dyDescent="0.3">
      <c r="BI503" t="s">
        <v>503</v>
      </c>
    </row>
    <row r="504" spans="61:98" x14ac:dyDescent="0.3">
      <c r="BI504" s="3" t="s">
        <v>355</v>
      </c>
      <c r="BJ504">
        <f>AV19*AU30*AU34*AU40*AU48*AU54*AU60*AU66*AU71*AU77*AU84*AU88*AU93*AU102*AU106*AU114*AU120*AU126*AU132*AU138*AU141*AU147*AU153*AU160*AU163*AU167*AU171*AU175*AU179*AU183*AU188*AU191*AU196*AU199*AU203*AU207*AU212</f>
        <v>0</v>
      </c>
    </row>
    <row r="505" spans="61:98" x14ac:dyDescent="0.3">
      <c r="BI505" t="s">
        <v>504</v>
      </c>
    </row>
    <row r="506" spans="61:98" x14ac:dyDescent="0.3">
      <c r="BI506" s="3" t="s">
        <v>355</v>
      </c>
      <c r="BJ506">
        <f>AV20*AV30*AV34*AV40*AV48*AV54*AV60*AV66*AV71*AV77*AV84*AV88*AV93*AV102*AV106*AV114*AV120*AV126*AV132*AV138*AV141*AV147*AV153*AV160*AV163*AV167*AV171*AV175*AV179*AV183*AV188*AV191*AV196*AV199*AV203*AV207*AV212</f>
        <v>0</v>
      </c>
    </row>
    <row r="507" spans="61:98" x14ac:dyDescent="0.3">
      <c r="BI507" t="s">
        <v>505</v>
      </c>
    </row>
    <row r="508" spans="61:98" x14ac:dyDescent="0.3">
      <c r="BI508" s="3" t="s">
        <v>355</v>
      </c>
      <c r="BJ508">
        <f>AV21*AW30*AW34*AW40*AW48*AW54*AW60*AW66*AW71*AW77*AW84*AW88*AW93*AW102*AW106*AW114*AW120*AW126*AW132*AW138*AW141*AW147*AW153*AW160*AW163*AW167*AW171*AW175*AW179*AW183*AW188*AW191*AW196*AW199*AW203*AW207*AW212</f>
        <v>6.0975301201920037E-8</v>
      </c>
    </row>
    <row r="509" spans="61:98" x14ac:dyDescent="0.3">
      <c r="BI509" t="s">
        <v>506</v>
      </c>
    </row>
    <row r="510" spans="61:98" x14ac:dyDescent="0.3">
      <c r="BI510" s="3" t="s">
        <v>355</v>
      </c>
      <c r="BJ510">
        <f>AV22*AX30*AX34*AX40*AX48*AX54*AX60*AX66*AX71*AX77*AX84*AX88*AX93*AX102*AX106*AX114*AX120*AX126*AX132*AX138*AX141*AX147*AX153*AX160*AX163*AX167*AX171*AX175*AX179*AX183*AX188*AX191*AX196*AX199*AX203*AX207*AX212</f>
        <v>1.8284971622400001E-9</v>
      </c>
    </row>
    <row r="511" spans="61:98" x14ac:dyDescent="0.3">
      <c r="BI511" t="s">
        <v>507</v>
      </c>
    </row>
    <row r="512" spans="61:98" x14ac:dyDescent="0.3">
      <c r="BI512" s="3" t="s">
        <v>355</v>
      </c>
      <c r="BJ512">
        <f>AV23*AY30*AY34*AY40*AY48*AY54*AY60*AY66*AY71*AY77*AY84*AY88*AY93*AY102*AY106*AY114*AY120*AY126*AY132*AY138*AY141*AY147*AY153*AY160*AY163*AY167*AY171*AY175*AY179*AY183*AY188*AY191*AY196*AY199*AY203*AY207*AY212</f>
        <v>4.3350303281931877E-10</v>
      </c>
    </row>
    <row r="513" spans="61:98" x14ac:dyDescent="0.3">
      <c r="BI513" s="24" t="s">
        <v>396</v>
      </c>
      <c r="BJ513" t="s">
        <v>509</v>
      </c>
      <c r="BK513" s="25" t="s">
        <v>405</v>
      </c>
    </row>
    <row r="515" spans="61:98" x14ac:dyDescent="0.3">
      <c r="BI515" s="53" t="s">
        <v>508</v>
      </c>
      <c r="BJ515" s="24" t="s">
        <v>71</v>
      </c>
      <c r="BK515" s="1" t="s">
        <v>50</v>
      </c>
      <c r="BL515" s="1" t="s">
        <v>51</v>
      </c>
      <c r="BM515" s="1" t="s">
        <v>52</v>
      </c>
      <c r="BN515" s="1" t="s">
        <v>53</v>
      </c>
      <c r="BO515" s="1" t="s">
        <v>54</v>
      </c>
      <c r="BP515" s="1" t="s">
        <v>55</v>
      </c>
      <c r="BQ515" s="1" t="s">
        <v>56</v>
      </c>
      <c r="BR515" s="1" t="s">
        <v>57</v>
      </c>
      <c r="BS515" s="1" t="s">
        <v>58</v>
      </c>
      <c r="BT515" s="1" t="s">
        <v>59</v>
      </c>
      <c r="BU515" s="1" t="s">
        <v>60</v>
      </c>
      <c r="BV515" s="1" t="s">
        <v>61</v>
      </c>
      <c r="BW515" s="1" t="s">
        <v>62</v>
      </c>
      <c r="BX515" s="1" t="s">
        <v>63</v>
      </c>
      <c r="BY515" s="1" t="s">
        <v>64</v>
      </c>
      <c r="BZ515" s="1" t="s">
        <v>65</v>
      </c>
      <c r="CA515" s="1" t="s">
        <v>66</v>
      </c>
      <c r="CB515" s="1" t="s">
        <v>67</v>
      </c>
      <c r="CC515" s="1" t="s">
        <v>68</v>
      </c>
      <c r="CD515" s="1" t="s">
        <v>69</v>
      </c>
      <c r="CE515" s="1" t="s">
        <v>70</v>
      </c>
      <c r="CF515" s="1" t="s">
        <v>929</v>
      </c>
      <c r="CG515" s="1" t="s">
        <v>930</v>
      </c>
      <c r="CH515" s="1" t="s">
        <v>931</v>
      </c>
      <c r="CI515" s="1" t="s">
        <v>932</v>
      </c>
      <c r="CJ515" s="1" t="s">
        <v>933</v>
      </c>
      <c r="CK515" s="1" t="s">
        <v>934</v>
      </c>
      <c r="CL515" s="1" t="s">
        <v>935</v>
      </c>
      <c r="CM515" s="1" t="s">
        <v>936</v>
      </c>
      <c r="CN515" s="1" t="s">
        <v>937</v>
      </c>
      <c r="CO515" s="1" t="s">
        <v>938</v>
      </c>
      <c r="CP515" s="1" t="s">
        <v>939</v>
      </c>
      <c r="CQ515" s="1" t="s">
        <v>940</v>
      </c>
      <c r="CR515" s="1" t="s">
        <v>941</v>
      </c>
      <c r="CS515" s="1" t="s">
        <v>942</v>
      </c>
      <c r="CT515" s="1" t="s">
        <v>1008</v>
      </c>
    </row>
    <row r="516" spans="61:98" x14ac:dyDescent="0.3">
      <c r="BI516" s="53"/>
      <c r="BJ516" s="24">
        <v>4</v>
      </c>
      <c r="BK516" t="s">
        <v>5</v>
      </c>
      <c r="BL516" t="s">
        <v>5</v>
      </c>
      <c r="BM516" t="s">
        <v>5</v>
      </c>
      <c r="BN516" t="s">
        <v>5</v>
      </c>
      <c r="BO516" t="s">
        <v>5</v>
      </c>
      <c r="BP516" t="s">
        <v>5</v>
      </c>
      <c r="BQ516" t="s">
        <v>5</v>
      </c>
      <c r="BR516" t="s">
        <v>2</v>
      </c>
      <c r="BS516" t="s">
        <v>5</v>
      </c>
      <c r="BT516" t="s">
        <v>5</v>
      </c>
      <c r="BU516" t="s">
        <v>3</v>
      </c>
      <c r="BV516" t="s">
        <v>5</v>
      </c>
      <c r="BW516" t="s">
        <v>5</v>
      </c>
      <c r="BX516" t="s">
        <v>2</v>
      </c>
      <c r="BY516" t="s">
        <v>2</v>
      </c>
      <c r="BZ516" t="s">
        <v>5</v>
      </c>
      <c r="CA516" t="s">
        <v>5</v>
      </c>
      <c r="CB516" t="s">
        <v>5</v>
      </c>
      <c r="CC516" t="s">
        <v>5</v>
      </c>
      <c r="CD516" t="s">
        <v>4</v>
      </c>
      <c r="CE516" t="s">
        <v>3</v>
      </c>
      <c r="CF516" t="s">
        <v>2</v>
      </c>
      <c r="CG516" t="s">
        <v>3</v>
      </c>
      <c r="CH516" t="s">
        <v>4</v>
      </c>
      <c r="CI516" t="s">
        <v>4</v>
      </c>
      <c r="CJ516" t="s">
        <v>4</v>
      </c>
      <c r="CK516" t="s">
        <v>4</v>
      </c>
      <c r="CL516" t="s">
        <v>4</v>
      </c>
      <c r="CM516" t="s">
        <v>4</v>
      </c>
      <c r="CN516" t="s">
        <v>3</v>
      </c>
      <c r="CO516" t="s">
        <v>4</v>
      </c>
      <c r="CP516" t="s">
        <v>3</v>
      </c>
      <c r="CQ516" t="s">
        <v>4</v>
      </c>
      <c r="CR516" t="s">
        <v>4</v>
      </c>
      <c r="CS516" t="s">
        <v>3</v>
      </c>
      <c r="CT516" t="s">
        <v>3</v>
      </c>
    </row>
    <row r="517" spans="61:98" x14ac:dyDescent="0.3">
      <c r="BI517" t="s">
        <v>781</v>
      </c>
    </row>
    <row r="518" spans="61:98" x14ac:dyDescent="0.3">
      <c r="BI518" s="3" t="s">
        <v>355</v>
      </c>
      <c r="BJ518">
        <f>AV18*AT30*AT36*AT42*AT48*AT54*AT60*AT66*AT71*AT78*AT84*AT88*AT94*AT102*AT107*AT113*AT120*AT126*AT132*AT138*AT141*AT148*AT155*AT160*AT163*AT167*AT171*AT175*AT179*AT183*AT188*AT191*AT196*AT199*AT203*AT208*AT212</f>
        <v>0</v>
      </c>
    </row>
    <row r="519" spans="61:98" x14ac:dyDescent="0.3">
      <c r="BI519" t="s">
        <v>782</v>
      </c>
    </row>
    <row r="520" spans="61:98" x14ac:dyDescent="0.3">
      <c r="BI520" s="3" t="s">
        <v>355</v>
      </c>
      <c r="BJ520">
        <f>AV19*AU30*AU36*AU42*AU48*AU54*AU60*AU66*AU71*AU78*AU84*AU88*AU94*AU102*AU107*AU113*AU120*AU126*AU132*AU138*AU141*AU148*AU155*AU160*AU163*AU167*AU171*AU175*AU179*AU183*AU188*AU191*AU196*AU199*AU203*AU208*AU212</f>
        <v>0</v>
      </c>
    </row>
    <row r="521" spans="61:98" x14ac:dyDescent="0.3">
      <c r="BI521" t="s">
        <v>783</v>
      </c>
    </row>
    <row r="522" spans="61:98" x14ac:dyDescent="0.3">
      <c r="BI522" s="3" t="s">
        <v>355</v>
      </c>
      <c r="BJ522">
        <f>AV20*AV30*AV36*AV42*AV48*AV54*AV60*AV66*AV71*AV78*AV84*AV88*AV94*AV102*AV107*AV113*AV120*AV126*AV132*AV138*AV141*AV148*AV155*AV160*AV163*AV167*AV171*AV175*AV179*AV183*AV188*AV191*AV196*AV199*AV203*AV208*AV212</f>
        <v>0</v>
      </c>
    </row>
    <row r="523" spans="61:98" x14ac:dyDescent="0.3">
      <c r="BI523" t="s">
        <v>784</v>
      </c>
    </row>
    <row r="524" spans="61:98" x14ac:dyDescent="0.3">
      <c r="BJ524">
        <f>AV21*AW30*AW36*AW42*AW48*AW54*AW60*AW66*AW71*AW78*AW84*AW88*AW94*AW102*AW107*AW113*AW120*AW126*AW132*AW138*AW141*AW148*AW155*AW160*AW163*AW167*AW171*AW175*AW179*AW183*AW188*AW191*AW196*AW199*AW203*AW208*AW212</f>
        <v>3.6294822143999998E-9</v>
      </c>
    </row>
    <row r="525" spans="61:98" x14ac:dyDescent="0.3">
      <c r="BI525" t="s">
        <v>785</v>
      </c>
    </row>
    <row r="526" spans="61:98" x14ac:dyDescent="0.3">
      <c r="BJ526">
        <f>AV22*AX30*AX36*AX42*AX48*AX54*AX60*AX66*AX71*AX78*AX84*AX88*AX94*AX102*AX107*AX113*AX120*AX126*AX132*AX138*AX141*AX148*AX155*AX160*AX163*AX167*AX171*AX175*AX179*AX183*AX188*AX191*AX196*AX199*AX203*AX208*AX212</f>
        <v>0</v>
      </c>
    </row>
    <row r="527" spans="61:98" x14ac:dyDescent="0.3">
      <c r="BI527" t="s">
        <v>786</v>
      </c>
    </row>
    <row r="528" spans="61:98" x14ac:dyDescent="0.3">
      <c r="BJ528">
        <f>AV23*AY30*AY36*AY42*AY48*AY54*AY60*AY66*AY71*AY78*AY84*AY88*AY94*AY102*AY107*AY113*AY120*AY126*AY132*AY138*AY141*AY148*AY155*AY160*AY163*AY167*AY171*AY175*AY179*AY183*AY188*AY191*AY196*AY199*AY203*AY208*AY212</f>
        <v>0</v>
      </c>
    </row>
    <row r="529" spans="61:98" x14ac:dyDescent="0.3">
      <c r="BI529" s="24" t="s">
        <v>396</v>
      </c>
      <c r="BJ529" t="s">
        <v>509</v>
      </c>
      <c r="BK529" s="25" t="s">
        <v>405</v>
      </c>
    </row>
    <row r="531" spans="61:98" x14ac:dyDescent="0.3">
      <c r="BI531" s="53" t="s">
        <v>510</v>
      </c>
      <c r="BJ531" s="24" t="s">
        <v>71</v>
      </c>
      <c r="BK531" s="1" t="s">
        <v>50</v>
      </c>
      <c r="BL531" s="1" t="s">
        <v>51</v>
      </c>
      <c r="BM531" s="1" t="s">
        <v>52</v>
      </c>
      <c r="BN531" s="1" t="s">
        <v>53</v>
      </c>
      <c r="BO531" s="1" t="s">
        <v>54</v>
      </c>
      <c r="BP531" s="1" t="s">
        <v>55</v>
      </c>
      <c r="BQ531" s="1" t="s">
        <v>56</v>
      </c>
      <c r="BR531" s="1" t="s">
        <v>57</v>
      </c>
      <c r="BS531" s="1" t="s">
        <v>58</v>
      </c>
      <c r="BT531" s="1" t="s">
        <v>59</v>
      </c>
      <c r="BU531" s="1" t="s">
        <v>60</v>
      </c>
      <c r="BV531" s="1" t="s">
        <v>61</v>
      </c>
      <c r="BW531" s="1" t="s">
        <v>62</v>
      </c>
      <c r="BX531" s="1" t="s">
        <v>63</v>
      </c>
      <c r="BY531" s="1" t="s">
        <v>64</v>
      </c>
      <c r="BZ531" s="1" t="s">
        <v>65</v>
      </c>
      <c r="CA531" s="1" t="s">
        <v>66</v>
      </c>
      <c r="CB531" s="1" t="s">
        <v>67</v>
      </c>
      <c r="CC531" s="1" t="s">
        <v>68</v>
      </c>
      <c r="CD531" s="1" t="s">
        <v>69</v>
      </c>
      <c r="CE531" s="1" t="s">
        <v>70</v>
      </c>
      <c r="CF531" s="1" t="s">
        <v>929</v>
      </c>
      <c r="CG531" s="1" t="s">
        <v>930</v>
      </c>
      <c r="CH531" s="1" t="s">
        <v>931</v>
      </c>
      <c r="CI531" s="1" t="s">
        <v>932</v>
      </c>
      <c r="CJ531" s="1" t="s">
        <v>933</v>
      </c>
      <c r="CK531" s="1" t="s">
        <v>934</v>
      </c>
      <c r="CL531" s="1" t="s">
        <v>935</v>
      </c>
      <c r="CM531" s="1" t="s">
        <v>936</v>
      </c>
      <c r="CN531" s="1" t="s">
        <v>937</v>
      </c>
      <c r="CO531" s="1" t="s">
        <v>938</v>
      </c>
      <c r="CP531" s="1" t="s">
        <v>939</v>
      </c>
      <c r="CQ531" s="1" t="s">
        <v>940</v>
      </c>
      <c r="CR531" s="1" t="s">
        <v>941</v>
      </c>
      <c r="CS531" s="1" t="s">
        <v>942</v>
      </c>
      <c r="CT531" s="1" t="s">
        <v>1008</v>
      </c>
    </row>
    <row r="532" spans="61:98" x14ac:dyDescent="0.3">
      <c r="BI532" s="53"/>
      <c r="BJ532" s="24">
        <v>4</v>
      </c>
      <c r="BK532" t="s">
        <v>3</v>
      </c>
      <c r="BL532" t="s">
        <v>3</v>
      </c>
      <c r="BM532" t="s">
        <v>3</v>
      </c>
      <c r="BN532" t="s">
        <v>5</v>
      </c>
      <c r="BO532" t="s">
        <v>5</v>
      </c>
      <c r="BP532" t="s">
        <v>5</v>
      </c>
      <c r="BQ532" t="s">
        <v>5</v>
      </c>
      <c r="BR532" t="s">
        <v>2</v>
      </c>
      <c r="BS532" t="s">
        <v>2</v>
      </c>
      <c r="BT532" t="s">
        <v>4</v>
      </c>
      <c r="BU532" t="s">
        <v>4</v>
      </c>
      <c r="BV532" t="s">
        <v>5</v>
      </c>
      <c r="BW532" t="s">
        <v>5</v>
      </c>
      <c r="BX532" t="s">
        <v>3</v>
      </c>
      <c r="BY532" t="s">
        <v>2</v>
      </c>
      <c r="BZ532" t="s">
        <v>5</v>
      </c>
      <c r="CA532" t="s">
        <v>5</v>
      </c>
      <c r="CB532" t="s">
        <v>5</v>
      </c>
      <c r="CC532" t="s">
        <v>4</v>
      </c>
      <c r="CD532" t="s">
        <v>4</v>
      </c>
      <c r="CE532" t="s">
        <v>3</v>
      </c>
      <c r="CF532" t="s">
        <v>4</v>
      </c>
      <c r="CG532" t="s">
        <v>3</v>
      </c>
      <c r="CH532" t="s">
        <v>4</v>
      </c>
      <c r="CI532" t="s">
        <v>4</v>
      </c>
      <c r="CJ532" t="s">
        <v>4</v>
      </c>
      <c r="CK532" t="s">
        <v>4</v>
      </c>
      <c r="CL532" t="s">
        <v>4</v>
      </c>
      <c r="CM532" t="s">
        <v>3</v>
      </c>
      <c r="CN532" t="s">
        <v>3</v>
      </c>
      <c r="CO532" t="s">
        <v>4</v>
      </c>
      <c r="CP532" t="s">
        <v>3</v>
      </c>
      <c r="CQ532" t="s">
        <v>4</v>
      </c>
      <c r="CR532" t="s">
        <v>4</v>
      </c>
      <c r="CS532" t="s">
        <v>4</v>
      </c>
      <c r="CT532" t="s">
        <v>3</v>
      </c>
    </row>
    <row r="533" spans="61:98" x14ac:dyDescent="0.3">
      <c r="BI533" t="s">
        <v>787</v>
      </c>
    </row>
    <row r="534" spans="61:98" x14ac:dyDescent="0.3">
      <c r="BI534" s="3" t="s">
        <v>355</v>
      </c>
      <c r="BJ534">
        <f>AV18*AT28*AT34*AT40*AT48*AT54*AT60*AT66*AT71*AT77*AT81*AT87*AT96*AT102*AT106*AT113*AT120*AT126*AT132*AT135*AT141*AT148*AT153*AT160*AT163*AT167*AT171*AT175*AT179*AT184*AT188*AT191*AT196*AT199*AT203*AT207*AT212</f>
        <v>0</v>
      </c>
    </row>
    <row r="535" spans="61:98" x14ac:dyDescent="0.3">
      <c r="BI535" t="s">
        <v>788</v>
      </c>
    </row>
    <row r="536" spans="61:98" x14ac:dyDescent="0.3">
      <c r="BI536" s="3" t="s">
        <v>355</v>
      </c>
      <c r="BJ536">
        <f>AV19*AU28*AU34*AU40*AU48*AU54*AU60*AU66*AU71*AU77*AU81*AU87*AU96*AU102*AU106*AU113*AU120*AU126*AU132*AU135*AU141*AU148*AU153*AU160*AU163*AU167*AU171*AU175*AU179*AU184*AU188*AU191*AU196*AU199*AU203*AU207*AU212</f>
        <v>0</v>
      </c>
    </row>
    <row r="537" spans="61:98" x14ac:dyDescent="0.3">
      <c r="BI537" t="s">
        <v>789</v>
      </c>
    </row>
    <row r="538" spans="61:98" x14ac:dyDescent="0.3">
      <c r="BI538" s="3" t="s">
        <v>355</v>
      </c>
      <c r="BJ538">
        <f>AV20*AV28*AV34*AV40*AV48*AV54*AV60*AV66*AV71*AV77*AV81*AV87*AV96*AV102*AV106*AV113*AV120*AV126*AV132*AV135*AV141*AV148*AV153*AV160*AV163*AV167*AV171*AV175*AV179*AV184*AV188*AV191*AV196*AV199*AV203*AV207*AV212</f>
        <v>0</v>
      </c>
    </row>
    <row r="539" spans="61:98" x14ac:dyDescent="0.3">
      <c r="BI539" t="s">
        <v>790</v>
      </c>
    </row>
    <row r="540" spans="61:98" x14ac:dyDescent="0.3">
      <c r="BI540" s="3" t="s">
        <v>355</v>
      </c>
      <c r="BJ540">
        <f>AV21*AW28*AW34*AW40*AW48*AW54*AW60*AW66*AW71*AW77*AW81*AW87*AW96*AW102*AW106*AW113*AW120*AW126*AW132*AW135*AW141*AW148*AW153*AW160*AW163*AW167*AW171*AW175*AW179*AW184*AW188*AW191*AW196*AW199*AW203*AW207*AW212</f>
        <v>6.4797368186879985E-8</v>
      </c>
    </row>
    <row r="541" spans="61:98" x14ac:dyDescent="0.3">
      <c r="BI541" t="s">
        <v>791</v>
      </c>
    </row>
    <row r="542" spans="61:98" x14ac:dyDescent="0.3">
      <c r="BI542" s="3" t="s">
        <v>355</v>
      </c>
      <c r="BJ542">
        <f>AV22*AX28*AX34*AX40*AX48*AX54*AX60*AX66*AX71*AX77*AX81*AX87*AX96*AX102*AX106*AX113*AX120*AX126*AX132*AX135*AX141*AX148*AX153*AX160*AX163*AX167*AX171*AX175*AX179*AX184*AX188*AX191*AX196*AX199*AX203*AX207*AX212</f>
        <v>0</v>
      </c>
    </row>
    <row r="543" spans="61:98" x14ac:dyDescent="0.3">
      <c r="BI543" t="s">
        <v>792</v>
      </c>
    </row>
    <row r="544" spans="61:98" x14ac:dyDescent="0.3">
      <c r="BI544" s="3" t="s">
        <v>355</v>
      </c>
      <c r="BJ544">
        <f>AV23*AY28*AY34*AY40*AY48*AY54*AY60*AY66*AY71*AY77*AY81*AY87*AY96*AY102*AY106*AY113*AY120*AY126*AY132*AY135*AY141*AY148*AY153*AY160*AY163*AY167*AY171*AY175*AY179*AY184*AY188*AY191*AY196*AY199*AY203*AY207*AY212</f>
        <v>0</v>
      </c>
    </row>
    <row r="545" spans="61:98" x14ac:dyDescent="0.3">
      <c r="BI545" t="s">
        <v>396</v>
      </c>
      <c r="BJ545" t="s">
        <v>509</v>
      </c>
      <c r="BK545" s="25" t="s">
        <v>481</v>
      </c>
    </row>
    <row r="547" spans="61:98" x14ac:dyDescent="0.3">
      <c r="BI547" s="53" t="s">
        <v>511</v>
      </c>
      <c r="BJ547" s="24" t="s">
        <v>71</v>
      </c>
      <c r="BK547" s="1" t="s">
        <v>50</v>
      </c>
      <c r="BL547" s="1" t="s">
        <v>51</v>
      </c>
      <c r="BM547" s="1" t="s">
        <v>52</v>
      </c>
      <c r="BN547" s="1" t="s">
        <v>53</v>
      </c>
      <c r="BO547" s="1" t="s">
        <v>54</v>
      </c>
      <c r="BP547" s="1" t="s">
        <v>55</v>
      </c>
      <c r="BQ547" s="1" t="s">
        <v>56</v>
      </c>
      <c r="BR547" s="1" t="s">
        <v>57</v>
      </c>
      <c r="BS547" s="1" t="s">
        <v>58</v>
      </c>
      <c r="BT547" s="1" t="s">
        <v>59</v>
      </c>
      <c r="BU547" s="1" t="s">
        <v>60</v>
      </c>
      <c r="BV547" s="1" t="s">
        <v>61</v>
      </c>
      <c r="BW547" s="1" t="s">
        <v>62</v>
      </c>
      <c r="BX547" s="1" t="s">
        <v>63</v>
      </c>
      <c r="BY547" s="1" t="s">
        <v>64</v>
      </c>
      <c r="BZ547" s="1" t="s">
        <v>65</v>
      </c>
      <c r="CA547" s="1" t="s">
        <v>66</v>
      </c>
      <c r="CB547" s="1" t="s">
        <v>67</v>
      </c>
      <c r="CC547" s="1" t="s">
        <v>68</v>
      </c>
      <c r="CD547" s="1" t="s">
        <v>69</v>
      </c>
      <c r="CE547" s="1" t="s">
        <v>70</v>
      </c>
      <c r="CF547" s="1" t="s">
        <v>929</v>
      </c>
      <c r="CG547" s="1" t="s">
        <v>930</v>
      </c>
      <c r="CH547" s="1" t="s">
        <v>931</v>
      </c>
      <c r="CI547" s="1" t="s">
        <v>932</v>
      </c>
      <c r="CJ547" s="1" t="s">
        <v>933</v>
      </c>
      <c r="CK547" s="1" t="s">
        <v>934</v>
      </c>
      <c r="CL547" s="1" t="s">
        <v>935</v>
      </c>
      <c r="CM547" s="1" t="s">
        <v>936</v>
      </c>
      <c r="CN547" s="1" t="s">
        <v>937</v>
      </c>
      <c r="CO547" s="1" t="s">
        <v>938</v>
      </c>
      <c r="CP547" s="1" t="s">
        <v>939</v>
      </c>
      <c r="CQ547" s="1" t="s">
        <v>940</v>
      </c>
      <c r="CR547" s="1" t="s">
        <v>941</v>
      </c>
      <c r="CS547" s="1" t="s">
        <v>942</v>
      </c>
      <c r="CT547" s="1" t="s">
        <v>1008</v>
      </c>
    </row>
    <row r="548" spans="61:98" x14ac:dyDescent="0.3">
      <c r="BI548" s="53"/>
      <c r="BJ548" s="24">
        <v>4</v>
      </c>
      <c r="BK548" t="s">
        <v>5</v>
      </c>
      <c r="BL548" t="s">
        <v>3</v>
      </c>
      <c r="BM548" t="s">
        <v>4</v>
      </c>
      <c r="BN548" t="s">
        <v>3</v>
      </c>
      <c r="BO548" t="s">
        <v>5</v>
      </c>
      <c r="BP548" t="s">
        <v>5</v>
      </c>
      <c r="BQ548" t="s">
        <v>5</v>
      </c>
      <c r="BR548" t="s">
        <v>2</v>
      </c>
      <c r="BS548" t="s">
        <v>3</v>
      </c>
      <c r="BT548" t="s">
        <v>3</v>
      </c>
      <c r="BU548" t="s">
        <v>4</v>
      </c>
      <c r="BV548" t="s">
        <v>5</v>
      </c>
      <c r="BW548" t="s">
        <v>4</v>
      </c>
      <c r="BX548" t="s">
        <v>2</v>
      </c>
      <c r="BY548" t="s">
        <v>5</v>
      </c>
      <c r="BZ548" t="s">
        <v>5</v>
      </c>
      <c r="CA548" t="s">
        <v>5</v>
      </c>
      <c r="CB548" t="s">
        <v>5</v>
      </c>
      <c r="CC548" t="s">
        <v>4</v>
      </c>
      <c r="CD548" t="s">
        <v>4</v>
      </c>
      <c r="CE548" t="s">
        <v>4</v>
      </c>
      <c r="CF548" t="s">
        <v>2</v>
      </c>
      <c r="CG548" t="s">
        <v>3</v>
      </c>
      <c r="CH548" t="s">
        <v>4</v>
      </c>
      <c r="CI548" t="s">
        <v>4</v>
      </c>
      <c r="CJ548" t="s">
        <v>4</v>
      </c>
      <c r="CK548" t="s">
        <v>4</v>
      </c>
      <c r="CL548" t="s">
        <v>4</v>
      </c>
      <c r="CM548" t="s">
        <v>4</v>
      </c>
      <c r="CN548" t="s">
        <v>4</v>
      </c>
      <c r="CO548" t="s">
        <v>4</v>
      </c>
      <c r="CP548" t="s">
        <v>3</v>
      </c>
      <c r="CQ548" t="s">
        <v>4</v>
      </c>
      <c r="CR548" t="s">
        <v>4</v>
      </c>
      <c r="CS548" t="s">
        <v>4</v>
      </c>
      <c r="CT548" t="s">
        <v>3</v>
      </c>
    </row>
    <row r="549" spans="61:98" x14ac:dyDescent="0.3">
      <c r="BI549" t="s">
        <v>512</v>
      </c>
    </row>
    <row r="550" spans="61:98" x14ac:dyDescent="0.3">
      <c r="BI550" s="3" t="s">
        <v>355</v>
      </c>
      <c r="BJ550">
        <f>AV18*AT30*AT34*AT39*AT46*AT54*AT60*AT66*AT71*AT76*AT82*AT87*AT96*AT99*AT107*AT114*AT120*AT126*AT132*AT135*AT141*AT147*AT155*AT160*AT163*AT167*AT171*AT175*AT179*AT183*AT187*AT191*AT196*AT199*AT203*AT207*AT212</f>
        <v>0</v>
      </c>
    </row>
    <row r="551" spans="61:98" x14ac:dyDescent="0.3">
      <c r="BI551" t="s">
        <v>513</v>
      </c>
    </row>
    <row r="552" spans="61:98" x14ac:dyDescent="0.3">
      <c r="BI552" s="3" t="s">
        <v>355</v>
      </c>
      <c r="BJ552">
        <f>AV19*AU30*AU34*AU39*AU46*AU54*AU60*AU66*AU71*AU76*AU82*AU87*AU96*AU99*AU107*AU114*AU120*AU126*AU132*AU135*AU141*AU147*AU155*AU160*AU163*AU167*AU171*AU175*AU179*AU183*AU187*AU191*AU196*AU199*AU203*AU207*AU212</f>
        <v>0</v>
      </c>
    </row>
    <row r="553" spans="61:98" x14ac:dyDescent="0.3">
      <c r="BI553" t="s">
        <v>514</v>
      </c>
    </row>
    <row r="554" spans="61:98" x14ac:dyDescent="0.3">
      <c r="BI554" s="3" t="s">
        <v>355</v>
      </c>
      <c r="BJ554">
        <f>AV20*AV30*AV34*AV39*AV46*AV54*AV60*AV66*AV71*AV76*AV82*AV87*AV96*AV99*AV107*AV114*AV120*AV126*AV132*AV135*AV141*AV147*AV155*AV160*AV163*AV167*AV171*AV175*AV179*AV183*AV187*AV191*AV196*AV199*AV203*AV207*AV212</f>
        <v>0</v>
      </c>
    </row>
    <row r="555" spans="61:98" x14ac:dyDescent="0.3">
      <c r="BI555" t="s">
        <v>515</v>
      </c>
    </row>
    <row r="556" spans="61:98" x14ac:dyDescent="0.3">
      <c r="BI556" s="3" t="s">
        <v>355</v>
      </c>
      <c r="BJ556">
        <f>AV20*AW30*AW34*AW39*AW46*AW54*AW60*AW66*AW71*AW76*AW82*AW87*AW96*AW99*AW107*AW114*AW120*AW126*AW132*AW135*AW141*AW147*AW155*AW160*AW163*AW167*AW171*AW175*AW179*AW183*AW187*AW191*AW196*AW199*AW203*AW207*AW212</f>
        <v>1.8665908531200008E-10</v>
      </c>
    </row>
    <row r="557" spans="61:98" x14ac:dyDescent="0.3">
      <c r="BI557" t="s">
        <v>516</v>
      </c>
    </row>
    <row r="558" spans="61:98" x14ac:dyDescent="0.3">
      <c r="BI558" s="3" t="s">
        <v>355</v>
      </c>
      <c r="BJ558">
        <f>AV22*AX30*AX34*AX39*AX46*AX54*AX60*AX66*AX71*AX76*AX82*AX87*AX96*AX99*AX107*AX114*AX120*AX126*AX132*AX135*AX141*AX147*AX155*AX160*AX163*AX167*AX171*AX175*AX179*AX183*AX187*AX191*AX196*AX199*AX203*AX207*AX212</f>
        <v>0</v>
      </c>
    </row>
    <row r="559" spans="61:98" x14ac:dyDescent="0.3">
      <c r="BI559" t="s">
        <v>517</v>
      </c>
    </row>
    <row r="560" spans="61:98" x14ac:dyDescent="0.3">
      <c r="BI560" s="3" t="s">
        <v>355</v>
      </c>
      <c r="BJ560">
        <f>AV23*AY30*AY34*AY39*AY46*AY54*AY60*AY66*AY71*AY76*AY82*AY87*AY96*AY99*AY107*AY114*AY120*AY126*AY132*AY135*AY141*AY147*AY155*AY160*AY163*AY167*AY171*AY175*AY179*AY183*AY187*AY191*AY196*AY199*AY203*AY207*AY212</f>
        <v>0</v>
      </c>
    </row>
    <row r="561" spans="61:98" x14ac:dyDescent="0.3">
      <c r="BI561" s="24" t="s">
        <v>396</v>
      </c>
      <c r="BJ561" t="s">
        <v>509</v>
      </c>
      <c r="BK561" s="25" t="s">
        <v>379</v>
      </c>
    </row>
    <row r="563" spans="61:98" x14ac:dyDescent="0.3">
      <c r="BI563" s="53" t="s">
        <v>518</v>
      </c>
      <c r="BJ563" s="24" t="s">
        <v>71</v>
      </c>
      <c r="BK563" s="1" t="s">
        <v>50</v>
      </c>
      <c r="BL563" s="1" t="s">
        <v>51</v>
      </c>
      <c r="BM563" s="1" t="s">
        <v>52</v>
      </c>
      <c r="BN563" s="1" t="s">
        <v>53</v>
      </c>
      <c r="BO563" s="1" t="s">
        <v>54</v>
      </c>
      <c r="BP563" s="1" t="s">
        <v>55</v>
      </c>
      <c r="BQ563" s="1" t="s">
        <v>56</v>
      </c>
      <c r="BR563" s="1" t="s">
        <v>57</v>
      </c>
      <c r="BS563" s="1" t="s">
        <v>58</v>
      </c>
      <c r="BT563" s="1" t="s">
        <v>59</v>
      </c>
      <c r="BU563" s="1" t="s">
        <v>60</v>
      </c>
      <c r="BV563" s="1" t="s">
        <v>61</v>
      </c>
      <c r="BW563" s="1" t="s">
        <v>62</v>
      </c>
      <c r="BX563" s="1" t="s">
        <v>63</v>
      </c>
      <c r="BY563" s="1" t="s">
        <v>64</v>
      </c>
      <c r="BZ563" s="1" t="s">
        <v>65</v>
      </c>
      <c r="CA563" s="1" t="s">
        <v>66</v>
      </c>
      <c r="CB563" s="1" t="s">
        <v>67</v>
      </c>
      <c r="CC563" s="1" t="s">
        <v>68</v>
      </c>
      <c r="CD563" s="1" t="s">
        <v>69</v>
      </c>
      <c r="CE563" s="1" t="s">
        <v>70</v>
      </c>
      <c r="CF563" s="1" t="s">
        <v>929</v>
      </c>
      <c r="CG563" s="1" t="s">
        <v>930</v>
      </c>
      <c r="CH563" s="1" t="s">
        <v>931</v>
      </c>
      <c r="CI563" s="1" t="s">
        <v>932</v>
      </c>
      <c r="CJ563" s="1" t="s">
        <v>933</v>
      </c>
      <c r="CK563" s="1" t="s">
        <v>934</v>
      </c>
      <c r="CL563" s="1" t="s">
        <v>935</v>
      </c>
      <c r="CM563" s="1" t="s">
        <v>936</v>
      </c>
      <c r="CN563" s="1" t="s">
        <v>937</v>
      </c>
      <c r="CO563" s="1" t="s">
        <v>938</v>
      </c>
      <c r="CP563" s="1" t="s">
        <v>939</v>
      </c>
      <c r="CQ563" s="1" t="s">
        <v>940</v>
      </c>
      <c r="CR563" s="1" t="s">
        <v>941</v>
      </c>
      <c r="CS563" s="1" t="s">
        <v>942</v>
      </c>
      <c r="CT563" s="1" t="s">
        <v>1008</v>
      </c>
    </row>
    <row r="564" spans="61:98" x14ac:dyDescent="0.3">
      <c r="BI564" s="53"/>
      <c r="BJ564" s="24">
        <v>4</v>
      </c>
      <c r="BK564" t="s">
        <v>5</v>
      </c>
      <c r="BL564" t="s">
        <v>3</v>
      </c>
      <c r="BM564" t="s">
        <v>2</v>
      </c>
      <c r="BN564" t="s">
        <v>5</v>
      </c>
      <c r="BO564" t="s">
        <v>5</v>
      </c>
      <c r="BP564" t="s">
        <v>5</v>
      </c>
      <c r="BQ564" t="s">
        <v>2</v>
      </c>
      <c r="BR564" t="s">
        <v>2</v>
      </c>
      <c r="BS564" t="s">
        <v>3</v>
      </c>
      <c r="BT564" t="s">
        <v>3</v>
      </c>
      <c r="BU564" t="s">
        <v>3</v>
      </c>
      <c r="BV564" t="s">
        <v>3</v>
      </c>
      <c r="BW564" t="s">
        <v>2</v>
      </c>
      <c r="BX564" t="s">
        <v>2</v>
      </c>
      <c r="BY564" t="s">
        <v>2</v>
      </c>
      <c r="BZ564" t="s">
        <v>5</v>
      </c>
      <c r="CA564" t="s">
        <v>2</v>
      </c>
      <c r="CB564" t="s">
        <v>2</v>
      </c>
      <c r="CC564" t="s">
        <v>5</v>
      </c>
      <c r="CD564" t="s">
        <v>3</v>
      </c>
      <c r="CE564" t="s">
        <v>2</v>
      </c>
      <c r="CF564" t="s">
        <v>2</v>
      </c>
      <c r="CG564" t="s">
        <v>3</v>
      </c>
      <c r="CH564" t="s">
        <v>4</v>
      </c>
      <c r="CI564" t="s">
        <v>4</v>
      </c>
      <c r="CJ564" t="s">
        <v>4</v>
      </c>
      <c r="CK564" t="s">
        <v>4</v>
      </c>
      <c r="CL564" t="s">
        <v>4</v>
      </c>
      <c r="CM564" t="s">
        <v>4</v>
      </c>
      <c r="CN564" t="s">
        <v>3</v>
      </c>
      <c r="CO564" t="s">
        <v>4</v>
      </c>
      <c r="CP564" t="s">
        <v>3</v>
      </c>
      <c r="CQ564" t="s">
        <v>4</v>
      </c>
      <c r="CR564" t="s">
        <v>4</v>
      </c>
      <c r="CS564" t="s">
        <v>4</v>
      </c>
      <c r="CT564" t="s">
        <v>3</v>
      </c>
    </row>
    <row r="565" spans="61:98" x14ac:dyDescent="0.3">
      <c r="BI565" t="s">
        <v>519</v>
      </c>
    </row>
    <row r="566" spans="61:98" x14ac:dyDescent="0.3">
      <c r="BI566" s="3" t="s">
        <v>355</v>
      </c>
      <c r="BJ566">
        <f>AV18*AT30*AT34*AT41*AT48*AT54*AT60*AT65*AT71*AT76*AT82*AT88*AT94*AT101*AT107*AT113*AT120*AT125*AT131*AT138*AT142*AT149*AT155*AT160*AT163*AT167*AT171*AT175*AT179*AT183*AT188*AT191*AT196*AT199*AT203*AT207*AT212</f>
        <v>0</v>
      </c>
    </row>
    <row r="567" spans="61:98" x14ac:dyDescent="0.3">
      <c r="BI567" t="s">
        <v>520</v>
      </c>
    </row>
    <row r="568" spans="61:98" x14ac:dyDescent="0.3">
      <c r="BI568" s="3" t="s">
        <v>355</v>
      </c>
      <c r="BJ568">
        <f>AV19*AU30*AU34*AU41*AU48*AU54*AU60*AU65*AU71*AU76*AU82*AU88*AU94*AU101*AU107*AU113*AU120*AU125*AU131*AU138*AU142*AU149*AU155*AU160*AU163*AU167*AU171*AU175*AU179*AU183*AU188*AU191*AU196*AU199*AU203*AU207*AU212</f>
        <v>0</v>
      </c>
    </row>
    <row r="569" spans="61:98" x14ac:dyDescent="0.3">
      <c r="BI569" t="s">
        <v>521</v>
      </c>
    </row>
    <row r="570" spans="61:98" x14ac:dyDescent="0.3">
      <c r="BI570" s="3" t="s">
        <v>355</v>
      </c>
      <c r="BJ570">
        <f>AV20*AV30*AV34*AV41*AV48*AV54*AV60*AV65*AV71*AV76*AV82*AV88*AV94*AV101*AV107*AV113*AV120*AV125*AV131*AV138*AV142*AV149*AV155*AV160*AV163*AV167*AV171*AV175*AV179*AV183*AV188*AV191*AV196*AV199*AV203*AV207*AV212</f>
        <v>0</v>
      </c>
    </row>
    <row r="571" spans="61:98" x14ac:dyDescent="0.3">
      <c r="BI571" t="s">
        <v>522</v>
      </c>
    </row>
    <row r="572" spans="61:98" x14ac:dyDescent="0.3">
      <c r="BI572" s="3" t="s">
        <v>355</v>
      </c>
      <c r="BJ572">
        <f>AV21*AW30*AW34*AW41*AW48*AW54*AW60*AW65*AW71*AW76*AW82*AW88*AW94*AW101*AW107*AW113*AW120*AW125*AW131*AW138*AW142*AW149*AW155*AW160*AW163*AW167*AW171*AW175*AW179*AW183*AW188*AW191*AW196*AW199*AW203*AW207*AW212</f>
        <v>1.9203609600000003E-12</v>
      </c>
    </row>
    <row r="573" spans="61:98" x14ac:dyDescent="0.3">
      <c r="BI573" t="s">
        <v>523</v>
      </c>
    </row>
    <row r="574" spans="61:98" x14ac:dyDescent="0.3">
      <c r="BI574" s="3" t="s">
        <v>355</v>
      </c>
      <c r="BJ574">
        <f>AV22*AX30*AX34*AX41*AX48*AX54*AX60*AX65*AX71*AX76*AX82*AX88*AX94*AX101*AX107*AX113*AX120*AX125*AX131*AX138*AX142*AX149*AX155*AX160*AX163*AX167*AX171*AX175*AX179*AX183*AX188*AX191*AX196*AX199*AX203*AX207*AX212</f>
        <v>0</v>
      </c>
    </row>
    <row r="575" spans="61:98" x14ac:dyDescent="0.3">
      <c r="BI575" t="s">
        <v>524</v>
      </c>
    </row>
    <row r="576" spans="61:98" x14ac:dyDescent="0.3">
      <c r="BI576" s="3" t="s">
        <v>355</v>
      </c>
      <c r="BJ576">
        <f>AV23*AY30*AY34*AY41*AY48*AY54*AY60*AY65*AY71*AY76*AY82*AY88*AY94*AY101*AY107*AY113*AY120*AY125*AY131*AY138*AY142*AY149*AY155*AY160*AY163*AY167*AY171*AY175*AY179*AY183*AY188*AY191*AY196*AY199*AY203*AY207*AY212</f>
        <v>0</v>
      </c>
    </row>
    <row r="577" spans="61:98" x14ac:dyDescent="0.3">
      <c r="BI577" t="s">
        <v>391</v>
      </c>
      <c r="BJ577" t="s">
        <v>375</v>
      </c>
      <c r="BK577" s="25" t="s">
        <v>405</v>
      </c>
    </row>
    <row r="579" spans="61:98" x14ac:dyDescent="0.3">
      <c r="BI579" s="53" t="s">
        <v>525</v>
      </c>
      <c r="BJ579" s="24" t="s">
        <v>71</v>
      </c>
      <c r="BK579" s="1" t="s">
        <v>50</v>
      </c>
      <c r="BL579" s="1" t="s">
        <v>51</v>
      </c>
      <c r="BM579" s="1" t="s">
        <v>52</v>
      </c>
      <c r="BN579" s="1" t="s">
        <v>53</v>
      </c>
      <c r="BO579" s="1" t="s">
        <v>54</v>
      </c>
      <c r="BP579" s="1" t="s">
        <v>55</v>
      </c>
      <c r="BQ579" s="1" t="s">
        <v>56</v>
      </c>
      <c r="BR579" s="1" t="s">
        <v>57</v>
      </c>
      <c r="BS579" s="1" t="s">
        <v>58</v>
      </c>
      <c r="BT579" s="1" t="s">
        <v>59</v>
      </c>
      <c r="BU579" s="1" t="s">
        <v>60</v>
      </c>
      <c r="BV579" s="1" t="s">
        <v>61</v>
      </c>
      <c r="BW579" s="1" t="s">
        <v>62</v>
      </c>
      <c r="BX579" s="1" t="s">
        <v>63</v>
      </c>
      <c r="BY579" s="1" t="s">
        <v>64</v>
      </c>
      <c r="BZ579" s="1" t="s">
        <v>65</v>
      </c>
      <c r="CA579" s="1" t="s">
        <v>66</v>
      </c>
      <c r="CB579" s="1" t="s">
        <v>67</v>
      </c>
      <c r="CC579" s="1" t="s">
        <v>68</v>
      </c>
      <c r="CD579" s="1" t="s">
        <v>69</v>
      </c>
      <c r="CE579" s="1" t="s">
        <v>70</v>
      </c>
      <c r="CF579" s="1" t="s">
        <v>929</v>
      </c>
      <c r="CG579" s="1" t="s">
        <v>930</v>
      </c>
      <c r="CH579" s="1" t="s">
        <v>931</v>
      </c>
      <c r="CI579" s="1" t="s">
        <v>932</v>
      </c>
      <c r="CJ579" s="1" t="s">
        <v>933</v>
      </c>
      <c r="CK579" s="1" t="s">
        <v>934</v>
      </c>
      <c r="CL579" s="1" t="s">
        <v>935</v>
      </c>
      <c r="CM579" s="1" t="s">
        <v>936</v>
      </c>
      <c r="CN579" s="1" t="s">
        <v>937</v>
      </c>
      <c r="CO579" s="1" t="s">
        <v>938</v>
      </c>
      <c r="CP579" s="1" t="s">
        <v>939</v>
      </c>
      <c r="CQ579" s="1" t="s">
        <v>940</v>
      </c>
      <c r="CR579" s="1" t="s">
        <v>941</v>
      </c>
      <c r="CS579" s="1" t="s">
        <v>942</v>
      </c>
      <c r="CT579" s="1" t="s">
        <v>1008</v>
      </c>
    </row>
    <row r="580" spans="61:98" x14ac:dyDescent="0.3">
      <c r="BI580" s="53"/>
      <c r="BJ580" s="24">
        <v>4</v>
      </c>
      <c r="BK580" t="s">
        <v>5</v>
      </c>
      <c r="BL580" t="s">
        <v>3</v>
      </c>
      <c r="BM580" t="s">
        <v>3</v>
      </c>
      <c r="BN580" t="s">
        <v>2</v>
      </c>
      <c r="BO580" t="s">
        <v>5</v>
      </c>
      <c r="BP580" t="s">
        <v>5</v>
      </c>
      <c r="BQ580" t="s">
        <v>5</v>
      </c>
      <c r="BR580" t="s">
        <v>2</v>
      </c>
      <c r="BS580" t="s">
        <v>2</v>
      </c>
      <c r="BT580" t="s">
        <v>2</v>
      </c>
      <c r="BU580" t="s">
        <v>3</v>
      </c>
      <c r="BV580" t="s">
        <v>5</v>
      </c>
      <c r="BW580" t="s">
        <v>5</v>
      </c>
      <c r="BX580" t="s">
        <v>2</v>
      </c>
      <c r="BY580" t="s">
        <v>2</v>
      </c>
      <c r="BZ580" t="s">
        <v>5</v>
      </c>
      <c r="CA580" t="s">
        <v>5</v>
      </c>
      <c r="CB580" t="s">
        <v>5</v>
      </c>
      <c r="CC580" t="s">
        <v>5</v>
      </c>
      <c r="CD580" t="s">
        <v>3</v>
      </c>
      <c r="CE580" t="s">
        <v>3</v>
      </c>
      <c r="CF580" t="s">
        <v>2</v>
      </c>
      <c r="CG580" t="s">
        <v>3</v>
      </c>
      <c r="CH580" t="s">
        <v>4</v>
      </c>
      <c r="CI580" t="s">
        <v>4</v>
      </c>
      <c r="CJ580" t="s">
        <v>4</v>
      </c>
      <c r="CK580" t="s">
        <v>4</v>
      </c>
      <c r="CL580" t="s">
        <v>4</v>
      </c>
      <c r="CM580" t="s">
        <v>3</v>
      </c>
      <c r="CN580" t="s">
        <v>3</v>
      </c>
      <c r="CO580" t="s">
        <v>4</v>
      </c>
      <c r="CP580" t="s">
        <v>3</v>
      </c>
      <c r="CQ580" t="s">
        <v>4</v>
      </c>
      <c r="CR580" t="s">
        <v>4</v>
      </c>
      <c r="CS580" t="s">
        <v>3</v>
      </c>
      <c r="CT580" t="s">
        <v>3</v>
      </c>
    </row>
    <row r="581" spans="61:98" x14ac:dyDescent="0.3">
      <c r="BI581" t="s">
        <v>526</v>
      </c>
    </row>
    <row r="582" spans="61:98" x14ac:dyDescent="0.3">
      <c r="BI582" s="3" t="s">
        <v>355</v>
      </c>
      <c r="BJ582">
        <f>AV18*AT30*AT34*AT40*AT47*AT54*AT60*AT66*AT71*AT77*AT83*AT88*AT96*AT102*AT107*AT113*AT120*AT126*AT132*AT138*AT142*AT148*AT155*AT160*AT163*AT167*AT171*AT175*AT179*AT184*AT188*AT191*AT196*AT199*AT203*AT208*AT212</f>
        <v>0</v>
      </c>
    </row>
    <row r="583" spans="61:98" x14ac:dyDescent="0.3">
      <c r="BI583" t="s">
        <v>527</v>
      </c>
    </row>
    <row r="584" spans="61:98" x14ac:dyDescent="0.3">
      <c r="BI584" s="3" t="s">
        <v>355</v>
      </c>
      <c r="BJ584">
        <f>AV19*AU30*AU34*AU40*AU47*AU54*AU60*AU66*AU71*AU77*AU83*AU88*AU96*AU102*AU107*AU113*AU120*AU126*AU132*AU138*AU142*AU148*AU155*AU160*AU163*AU167*AU171*AU175*AU179*AU184*AU188*AU191*AU196*AU199*AU203*AU208*AU212</f>
        <v>0</v>
      </c>
    </row>
    <row r="585" spans="61:98" x14ac:dyDescent="0.3">
      <c r="BI585" t="s">
        <v>528</v>
      </c>
    </row>
    <row r="586" spans="61:98" x14ac:dyDescent="0.3">
      <c r="BI586" s="3" t="s">
        <v>355</v>
      </c>
      <c r="BJ586">
        <f>AV20*AV30*AV34*AV40*AV47*AV54*AV60*AV66*AV71*AV77*AV83*AV88*AV96*AV102*AV107*AV113*AV120*AV126*AV132*AV138*AV142*AV148*AV155*AV160*AV163*AV167*AV171*AV175*AV179*AV184*AV188*AV191*AV196*AV199*AV203*AV208*AV212</f>
        <v>0</v>
      </c>
    </row>
    <row r="587" spans="61:98" x14ac:dyDescent="0.3">
      <c r="BI587" t="s">
        <v>529</v>
      </c>
    </row>
    <row r="588" spans="61:98" x14ac:dyDescent="0.3">
      <c r="BI588" s="3" t="s">
        <v>355</v>
      </c>
      <c r="BJ588">
        <f>AV21*AW30*AW34*AW40*AW47*AW54*AW60*AW66*AW71*AW77*AW83*AW88*AW96*AW102*AW107*AW113*AW120*AW126*AW132*AW138*AW142*AW148*AW155*AW160*AW163*AW167*AW171*AW175*AW179*AW184*AW188*AW191*AW196*AW199*AW203*AW208*AW212</f>
        <v>1.0079590606848002E-6</v>
      </c>
    </row>
    <row r="589" spans="61:98" x14ac:dyDescent="0.3">
      <c r="BI589" t="s">
        <v>530</v>
      </c>
    </row>
    <row r="590" spans="61:98" x14ac:dyDescent="0.3">
      <c r="BI590" s="3" t="s">
        <v>355</v>
      </c>
      <c r="BJ590">
        <f>AV22*AX30*AX34*AX40*AX47*AX54*AX60*AX66*AX71*AX77*AX83*AX88*AX96*AX102*AX107*AX113*AX120*AX126*AX132*AX138*AX142*AX148*AX155*AX160*AX163*AX167*AX171*AX175*AX179*AX184*AX188*AX191*AX196*AX199*AX203*AX208*AX212</f>
        <v>0</v>
      </c>
    </row>
    <row r="591" spans="61:98" x14ac:dyDescent="0.3">
      <c r="BI591" t="s">
        <v>531</v>
      </c>
    </row>
    <row r="592" spans="61:98" x14ac:dyDescent="0.3">
      <c r="BI592" s="3" t="s">
        <v>355</v>
      </c>
      <c r="BJ592">
        <f>AV23*AY30*AY34*AY40*AY47*AY54*AY60*AY66*AY71*AY77*AY83*AY88*AY96*AY102*AY107*AY113*AY120*AY126*AY132*AY138*AY142*AY148*AY155*AY160*AY163*AY167*AY171*AY175*AY179*AY184*AY188*AY191*AY196*AY199*AY203*AY208*AY212</f>
        <v>0</v>
      </c>
    </row>
    <row r="593" spans="61:98" x14ac:dyDescent="0.3">
      <c r="BI593" s="24" t="s">
        <v>396</v>
      </c>
      <c r="BJ593" t="s">
        <v>375</v>
      </c>
      <c r="BK593" s="25" t="s">
        <v>405</v>
      </c>
    </row>
    <row r="595" spans="61:98" x14ac:dyDescent="0.3">
      <c r="BI595" s="53" t="s">
        <v>532</v>
      </c>
      <c r="BJ595" s="24" t="s">
        <v>71</v>
      </c>
      <c r="BK595" s="1" t="s">
        <v>50</v>
      </c>
      <c r="BL595" s="1" t="s">
        <v>51</v>
      </c>
      <c r="BM595" s="1" t="s">
        <v>52</v>
      </c>
      <c r="BN595" s="1" t="s">
        <v>53</v>
      </c>
      <c r="BO595" s="1" t="s">
        <v>54</v>
      </c>
      <c r="BP595" s="1" t="s">
        <v>55</v>
      </c>
      <c r="BQ595" s="1" t="s">
        <v>56</v>
      </c>
      <c r="BR595" s="1" t="s">
        <v>57</v>
      </c>
      <c r="BS595" s="1" t="s">
        <v>58</v>
      </c>
      <c r="BT595" s="1" t="s">
        <v>59</v>
      </c>
      <c r="BU595" s="1" t="s">
        <v>60</v>
      </c>
      <c r="BV595" s="1" t="s">
        <v>61</v>
      </c>
      <c r="BW595" s="1" t="s">
        <v>62</v>
      </c>
      <c r="BX595" s="1" t="s">
        <v>63</v>
      </c>
      <c r="BY595" s="1" t="s">
        <v>64</v>
      </c>
      <c r="BZ595" s="1" t="s">
        <v>65</v>
      </c>
      <c r="CA595" s="1" t="s">
        <v>66</v>
      </c>
      <c r="CB595" s="1" t="s">
        <v>67</v>
      </c>
      <c r="CC595" s="1" t="s">
        <v>68</v>
      </c>
      <c r="CD595" s="1" t="s">
        <v>69</v>
      </c>
      <c r="CE595" s="1" t="s">
        <v>70</v>
      </c>
      <c r="CF595" s="1" t="s">
        <v>929</v>
      </c>
      <c r="CG595" s="1" t="s">
        <v>930</v>
      </c>
      <c r="CH595" s="1" t="s">
        <v>931</v>
      </c>
      <c r="CI595" s="1" t="s">
        <v>932</v>
      </c>
      <c r="CJ595" s="1" t="s">
        <v>933</v>
      </c>
      <c r="CK595" s="1" t="s">
        <v>934</v>
      </c>
      <c r="CL595" s="1" t="s">
        <v>935</v>
      </c>
      <c r="CM595" s="1" t="s">
        <v>936</v>
      </c>
      <c r="CN595" s="1" t="s">
        <v>937</v>
      </c>
      <c r="CO595" s="1" t="s">
        <v>938</v>
      </c>
      <c r="CP595" s="1" t="s">
        <v>939</v>
      </c>
      <c r="CQ595" s="1" t="s">
        <v>940</v>
      </c>
      <c r="CR595" s="1" t="s">
        <v>941</v>
      </c>
      <c r="CS595" s="1" t="s">
        <v>942</v>
      </c>
      <c r="CT595" s="1" t="s">
        <v>1008</v>
      </c>
    </row>
    <row r="596" spans="61:98" x14ac:dyDescent="0.3">
      <c r="BI596" s="53"/>
      <c r="BJ596" s="24">
        <v>4</v>
      </c>
      <c r="BK596" t="s">
        <v>5</v>
      </c>
      <c r="BL596" t="s">
        <v>3</v>
      </c>
      <c r="BM596" t="s">
        <v>3</v>
      </c>
      <c r="BN596" t="s">
        <v>5</v>
      </c>
      <c r="BO596" t="s">
        <v>5</v>
      </c>
      <c r="BP596" t="s">
        <v>5</v>
      </c>
      <c r="BQ596" t="s">
        <v>5</v>
      </c>
      <c r="BR596" t="s">
        <v>2</v>
      </c>
      <c r="BS596" t="s">
        <v>2</v>
      </c>
      <c r="BT596" t="s">
        <v>4</v>
      </c>
      <c r="BU596" t="s">
        <v>4</v>
      </c>
      <c r="BV596" t="s">
        <v>5</v>
      </c>
      <c r="BW596" t="s">
        <v>5</v>
      </c>
      <c r="BX596" t="s">
        <v>3</v>
      </c>
      <c r="BY596" t="s">
        <v>2</v>
      </c>
      <c r="BZ596" t="s">
        <v>5</v>
      </c>
      <c r="CA596" t="s">
        <v>5</v>
      </c>
      <c r="CB596" t="s">
        <v>5</v>
      </c>
      <c r="CC596" t="s">
        <v>4</v>
      </c>
      <c r="CD596" t="s">
        <v>4</v>
      </c>
      <c r="CE596" t="s">
        <v>3</v>
      </c>
      <c r="CF596" t="s">
        <v>2</v>
      </c>
      <c r="CG596" t="s">
        <v>3</v>
      </c>
      <c r="CH596" t="s">
        <v>4</v>
      </c>
      <c r="CI596" t="s">
        <v>4</v>
      </c>
      <c r="CJ596" t="s">
        <v>4</v>
      </c>
      <c r="CK596" t="s">
        <v>3</v>
      </c>
      <c r="CL596" t="s">
        <v>4</v>
      </c>
      <c r="CM596" t="s">
        <v>4</v>
      </c>
      <c r="CN596" t="s">
        <v>3</v>
      </c>
      <c r="CO596" t="s">
        <v>4</v>
      </c>
      <c r="CP596" t="s">
        <v>3</v>
      </c>
      <c r="CQ596" t="s">
        <v>3</v>
      </c>
      <c r="CR596" t="s">
        <v>4</v>
      </c>
      <c r="CS596" t="s">
        <v>4</v>
      </c>
      <c r="CT596" t="s">
        <v>3</v>
      </c>
    </row>
    <row r="597" spans="61:98" x14ac:dyDescent="0.3">
      <c r="BI597" t="s">
        <v>716</v>
      </c>
    </row>
    <row r="598" spans="61:98" x14ac:dyDescent="0.3">
      <c r="BI598" s="3" t="s">
        <v>355</v>
      </c>
      <c r="BJ598">
        <f>AV18*AT30*AT34*AT40*AT48*AT54*AT60*AT66*AT71*AT77*AT81*AT87*AT96*AT102*AT106*AT113*AT120*AT126*AT132*AT135*AT141*AT148*AT155*AT160*AT163*AT167*AT171*AT176*AT179*AT183*AT188*AT191*AT196*AT200*AT203*AT207*AT212</f>
        <v>0</v>
      </c>
    </row>
    <row r="599" spans="61:98" x14ac:dyDescent="0.3">
      <c r="BI599" t="s">
        <v>793</v>
      </c>
    </row>
    <row r="600" spans="61:98" x14ac:dyDescent="0.3">
      <c r="BI600" s="3" t="s">
        <v>355</v>
      </c>
      <c r="BJ600">
        <f>AV19*AU30*AU34*AU40*AU48*AU54*AU60*AU66*AU71*AU77*AU81*AU87*AU96*AU102*AU106*AU113*AU120*AU126*AU132*AU135*AU141*AU148*AU155*AU160*AU163*AU167*AU171*AU176*AU179*AU183*AU188*AU191*AU196*AU200*AU203*AU207*AU212</f>
        <v>0</v>
      </c>
    </row>
    <row r="601" spans="61:98" x14ac:dyDescent="0.3">
      <c r="BI601" t="s">
        <v>794</v>
      </c>
    </row>
    <row r="602" spans="61:98" x14ac:dyDescent="0.3">
      <c r="BI602" s="3" t="s">
        <v>355</v>
      </c>
      <c r="BJ602">
        <f>AV20*AV30*AV34*AV40*AV48*AV54*AV60*AV66*AV71*AV77*AV81*AV87*AV96*AV102*AV106*AV113*AV120*AV126*AV132*AV135*AV141*AV148*AV155*AV160*AV163*AV167*AV171*AV176*AV179*AV183*AV188*AV191*AV196*AV200*AV203*AV207*AV212</f>
        <v>0</v>
      </c>
    </row>
    <row r="603" spans="61:98" x14ac:dyDescent="0.3">
      <c r="BI603" t="s">
        <v>795</v>
      </c>
    </row>
    <row r="604" spans="61:98" x14ac:dyDescent="0.3">
      <c r="BI604" s="3" t="s">
        <v>355</v>
      </c>
      <c r="BJ604">
        <f>AV21*AW30*AW34*AW40*AW48*AW54*AW60*AW66*AW71*AW77*AW81*AW87*AW96*AW102*AW106*AW113*AW120*AW126*AW132*AW135*AW141*AW148*AW155*AW160*AW163*AW167*AW171*AW176*AW179*AW183*AW188*AW191*AW196*AW200*AW203*AW207*AW212</f>
        <v>2.3519044749312004E-7</v>
      </c>
    </row>
    <row r="605" spans="61:98" x14ac:dyDescent="0.3">
      <c r="BI605" t="s">
        <v>796</v>
      </c>
    </row>
    <row r="606" spans="61:98" x14ac:dyDescent="0.3">
      <c r="BI606" s="3" t="s">
        <v>355</v>
      </c>
      <c r="BJ606">
        <f>AV22*AX30*AX34*AX40*AX48*AX54*AX60*AX66*AX71*AX77*AX81*AX87*AX96*AX102*AX106*AX113*AX120*AX126*AX132*AX135*AX141*AX148*AX155*AX160*AX163*AX167*AX171*AX176*AX179*AX183*AX188*AX191*AX196*AX200*AX203*AX207*AX212</f>
        <v>0</v>
      </c>
    </row>
    <row r="607" spans="61:98" x14ac:dyDescent="0.3">
      <c r="BI607" t="s">
        <v>797</v>
      </c>
    </row>
    <row r="608" spans="61:98" x14ac:dyDescent="0.3">
      <c r="BI608" s="3" t="s">
        <v>355</v>
      </c>
      <c r="BJ608">
        <f>AV23*AY30*AY34*AY40*AY48*AY54*AY60*AY66*AY71*AY77*AY81*AY87*AY96*AY102*AY106*AY113*AY120*AY126*AY132*AY135*AY141*AY148*AY155*AY160*AY163*AY167*AY171*AY176*AY179*AY183*AY188*AY191*AY196*AY200*AY203*AY207*AY212</f>
        <v>1.092427642704683E-8</v>
      </c>
    </row>
    <row r="609" spans="61:98" x14ac:dyDescent="0.3">
      <c r="BI609" s="24" t="s">
        <v>380</v>
      </c>
      <c r="BJ609" t="s">
        <v>509</v>
      </c>
      <c r="BK609" s="25" t="s">
        <v>405</v>
      </c>
    </row>
    <row r="611" spans="61:98" x14ac:dyDescent="0.3">
      <c r="BI611" s="53" t="s">
        <v>533</v>
      </c>
      <c r="BJ611" s="24" t="s">
        <v>71</v>
      </c>
      <c r="BK611" s="1" t="s">
        <v>50</v>
      </c>
      <c r="BL611" s="1" t="s">
        <v>51</v>
      </c>
      <c r="BM611" s="1" t="s">
        <v>52</v>
      </c>
      <c r="BN611" s="1" t="s">
        <v>53</v>
      </c>
      <c r="BO611" s="1" t="s">
        <v>54</v>
      </c>
      <c r="BP611" s="1" t="s">
        <v>55</v>
      </c>
      <c r="BQ611" s="1" t="s">
        <v>56</v>
      </c>
      <c r="BR611" s="1" t="s">
        <v>57</v>
      </c>
      <c r="BS611" s="1" t="s">
        <v>58</v>
      </c>
      <c r="BT611" s="1" t="s">
        <v>59</v>
      </c>
      <c r="BU611" s="1" t="s">
        <v>60</v>
      </c>
      <c r="BV611" s="1" t="s">
        <v>61</v>
      </c>
      <c r="BW611" s="1" t="s">
        <v>62</v>
      </c>
      <c r="BX611" s="1" t="s">
        <v>63</v>
      </c>
      <c r="BY611" s="1" t="s">
        <v>64</v>
      </c>
      <c r="BZ611" s="1" t="s">
        <v>65</v>
      </c>
      <c r="CA611" s="1" t="s">
        <v>66</v>
      </c>
      <c r="CB611" s="1" t="s">
        <v>67</v>
      </c>
      <c r="CC611" s="1" t="s">
        <v>68</v>
      </c>
      <c r="CD611" s="1" t="s">
        <v>69</v>
      </c>
      <c r="CE611" s="1" t="s">
        <v>70</v>
      </c>
      <c r="CF611" s="1" t="s">
        <v>929</v>
      </c>
      <c r="CG611" s="1" t="s">
        <v>930</v>
      </c>
      <c r="CH611" s="1" t="s">
        <v>931</v>
      </c>
      <c r="CI611" s="1" t="s">
        <v>932</v>
      </c>
      <c r="CJ611" s="1" t="s">
        <v>933</v>
      </c>
      <c r="CK611" s="1" t="s">
        <v>934</v>
      </c>
      <c r="CL611" s="1" t="s">
        <v>935</v>
      </c>
      <c r="CM611" s="1" t="s">
        <v>936</v>
      </c>
      <c r="CN611" s="1" t="s">
        <v>937</v>
      </c>
      <c r="CO611" s="1" t="s">
        <v>938</v>
      </c>
      <c r="CP611" s="1" t="s">
        <v>939</v>
      </c>
      <c r="CQ611" s="1" t="s">
        <v>940</v>
      </c>
      <c r="CR611" s="1" t="s">
        <v>941</v>
      </c>
      <c r="CS611" s="1" t="s">
        <v>942</v>
      </c>
      <c r="CT611" s="1" t="s">
        <v>1008</v>
      </c>
    </row>
    <row r="612" spans="61:98" x14ac:dyDescent="0.3">
      <c r="BI612" s="53"/>
      <c r="BJ612" s="24">
        <v>4</v>
      </c>
      <c r="BK612" t="s">
        <v>3</v>
      </c>
      <c r="BL612" t="s">
        <v>3</v>
      </c>
      <c r="BM612" t="s">
        <v>4</v>
      </c>
      <c r="BN612" t="s">
        <v>2</v>
      </c>
      <c r="BO612" t="s">
        <v>5</v>
      </c>
      <c r="BP612" t="s">
        <v>5</v>
      </c>
      <c r="BQ612" t="s">
        <v>5</v>
      </c>
      <c r="BR612" t="s">
        <v>2</v>
      </c>
      <c r="BS612" t="s">
        <v>2</v>
      </c>
      <c r="BT612" t="s">
        <v>2</v>
      </c>
      <c r="BU612" t="s">
        <v>5</v>
      </c>
      <c r="BV612" t="s">
        <v>2</v>
      </c>
      <c r="BW612" t="s">
        <v>5</v>
      </c>
      <c r="BX612" t="s">
        <v>3</v>
      </c>
      <c r="BY612" t="s">
        <v>3</v>
      </c>
      <c r="BZ612" t="s">
        <v>5</v>
      </c>
      <c r="CA612" t="s">
        <v>5</v>
      </c>
      <c r="CB612" t="s">
        <v>5</v>
      </c>
      <c r="CC612" t="s">
        <v>5</v>
      </c>
      <c r="CD612" t="s">
        <v>4</v>
      </c>
      <c r="CE612" t="s">
        <v>4</v>
      </c>
      <c r="CF612" t="s">
        <v>2</v>
      </c>
      <c r="CG612" t="s">
        <v>3</v>
      </c>
      <c r="CH612" t="s">
        <v>4</v>
      </c>
      <c r="CI612" t="s">
        <v>4</v>
      </c>
      <c r="CJ612" t="s">
        <v>4</v>
      </c>
      <c r="CK612" t="s">
        <v>3</v>
      </c>
      <c r="CL612" t="s">
        <v>4</v>
      </c>
      <c r="CM612" t="s">
        <v>4</v>
      </c>
      <c r="CN612" t="s">
        <v>3</v>
      </c>
      <c r="CO612" t="s">
        <v>4</v>
      </c>
      <c r="CP612" t="s">
        <v>3</v>
      </c>
      <c r="CQ612" t="s">
        <v>3</v>
      </c>
      <c r="CR612" t="s">
        <v>4</v>
      </c>
      <c r="CS612" t="s">
        <v>3</v>
      </c>
      <c r="CT612" t="s">
        <v>3</v>
      </c>
    </row>
    <row r="613" spans="61:98" x14ac:dyDescent="0.3">
      <c r="BI613" t="s">
        <v>534</v>
      </c>
    </row>
    <row r="614" spans="61:98" x14ac:dyDescent="0.3">
      <c r="BI614" s="3" t="s">
        <v>355</v>
      </c>
      <c r="BJ614">
        <f>AV18*AT28*AT34*AT39*AT47*AT54*AT60*AT66*AT71*AT77*AT83*AT90*AT95*AT102*AT106*AT112*AT120*AT126*AT132*AT138*AT141*AT147*AT155*AT160*AT163*AT167*AT171*AT176*AT179*AT183*AT188*AT191*AT196*AT200*AT203*AT208*AT212</f>
        <v>0</v>
      </c>
    </row>
    <row r="615" spans="61:98" x14ac:dyDescent="0.3">
      <c r="BI615" t="s">
        <v>535</v>
      </c>
    </row>
    <row r="616" spans="61:98" x14ac:dyDescent="0.3">
      <c r="BI616" s="3" t="s">
        <v>355</v>
      </c>
      <c r="BJ616">
        <f>AV19*AU28*AU34*AU39*AU47*AU54*AU60*AU66*AU71*AU77*AU83*AU90*AU95*AU102*AU106*AU112*AU120*AU126*AU132*AU138*AU141*AU147*AU155*AU160*AU163*AU167*AU171*AU176*AU179*AU183*AU188*AU191*AU196*AU200*AU203*AU208*AU212</f>
        <v>0</v>
      </c>
    </row>
    <row r="617" spans="61:98" x14ac:dyDescent="0.3">
      <c r="BI617" t="s">
        <v>536</v>
      </c>
    </row>
    <row r="618" spans="61:98" x14ac:dyDescent="0.3">
      <c r="BI618" s="3" t="s">
        <v>355</v>
      </c>
      <c r="BJ618">
        <f>AV20*AV28*AV34*AV39*AV47*AV54*AV60*AV66*AV71*AV77*AV83*AV90*AV95*AV102*AV106*AV112*AV120*AV126*AV132*AV138*AV141*AV147*AV155*AV160*AV163*AV167*AV171*AV176*AV179*AV183*AV188*AV191*AV196*AV200*AV203*AV208*AV212</f>
        <v>0</v>
      </c>
    </row>
    <row r="619" spans="61:98" x14ac:dyDescent="0.3">
      <c r="BI619" t="s">
        <v>537</v>
      </c>
    </row>
    <row r="620" spans="61:98" x14ac:dyDescent="0.3">
      <c r="BI620" s="3" t="s">
        <v>355</v>
      </c>
      <c r="BJ620">
        <f>AV21*AW28*AW34*AW39*AW47*AW54*AW60*AW66*AW71*AW77*AW83*AW90*AW95*AW102*AW106*AW112*AW120*AW126*AW132*AW138*AW141*AW147*AW155*AW160*AW163*AW167*AW171*AW176*AW179*AW183*AW188*AW191*AW196*AW200*AW203*AW208*AW212</f>
        <v>1.0452908777472001E-8</v>
      </c>
    </row>
    <row r="621" spans="61:98" x14ac:dyDescent="0.3">
      <c r="BI621" t="s">
        <v>538</v>
      </c>
    </row>
    <row r="622" spans="61:98" x14ac:dyDescent="0.3">
      <c r="BI622" s="3" t="s">
        <v>355</v>
      </c>
      <c r="BJ622">
        <f>AV22*AX28*AX34*AX39*AX47*AX54*AX60*AX66*AX71*AX77*AX83*AX90*AX95*AX102*AX106*AX112*AX120*AX126*AX132*AX138*AX141*AX147*AX155*AX160*AX163*AX167*AX171*AX176*AX179*AX183*AX188*AX191*AX196*AX200*AX203*AX208*AX212</f>
        <v>0</v>
      </c>
    </row>
    <row r="623" spans="61:98" x14ac:dyDescent="0.3">
      <c r="BI623" t="s">
        <v>539</v>
      </c>
    </row>
    <row r="624" spans="61:98" x14ac:dyDescent="0.3">
      <c r="BI624" s="3" t="s">
        <v>355</v>
      </c>
      <c r="BJ624">
        <f>AV23*AY28*AY34*AY39*AY47*AY54*AY60*AY66*AY71*AY77*AY83*AY90*AY95*AY102*AY106*AY112*AY120*AY126*AY132*AY138*AY141*AY147*AY155*AY160*AY163*AY167*AY171*AY176*AY179*AY183*AY188*AY191*AY196*AY200*AY203*AY208*AY212</f>
        <v>0</v>
      </c>
    </row>
    <row r="625" spans="61:98" x14ac:dyDescent="0.3">
      <c r="BI625" s="24" t="s">
        <v>391</v>
      </c>
      <c r="BJ625" t="s">
        <v>540</v>
      </c>
      <c r="BK625" s="25" t="s">
        <v>379</v>
      </c>
    </row>
    <row r="627" spans="61:98" x14ac:dyDescent="0.3">
      <c r="BI627" s="53" t="s">
        <v>541</v>
      </c>
      <c r="BJ627" s="24" t="s">
        <v>71</v>
      </c>
      <c r="BK627" s="1" t="s">
        <v>50</v>
      </c>
      <c r="BL627" s="1" t="s">
        <v>51</v>
      </c>
      <c r="BM627" s="1" t="s">
        <v>52</v>
      </c>
      <c r="BN627" s="1" t="s">
        <v>53</v>
      </c>
      <c r="BO627" s="1" t="s">
        <v>54</v>
      </c>
      <c r="BP627" s="1" t="s">
        <v>55</v>
      </c>
      <c r="BQ627" s="1" t="s">
        <v>56</v>
      </c>
      <c r="BR627" s="1" t="s">
        <v>57</v>
      </c>
      <c r="BS627" s="1" t="s">
        <v>58</v>
      </c>
      <c r="BT627" s="1" t="s">
        <v>59</v>
      </c>
      <c r="BU627" s="1" t="s">
        <v>60</v>
      </c>
      <c r="BV627" s="1" t="s">
        <v>61</v>
      </c>
      <c r="BW627" s="1" t="s">
        <v>62</v>
      </c>
      <c r="BX627" s="1" t="s">
        <v>63</v>
      </c>
      <c r="BY627" s="1" t="s">
        <v>64</v>
      </c>
      <c r="BZ627" s="1" t="s">
        <v>65</v>
      </c>
      <c r="CA627" s="1" t="s">
        <v>66</v>
      </c>
      <c r="CB627" s="1" t="s">
        <v>67</v>
      </c>
      <c r="CC627" s="1" t="s">
        <v>68</v>
      </c>
      <c r="CD627" s="1" t="s">
        <v>69</v>
      </c>
      <c r="CE627" s="1" t="s">
        <v>70</v>
      </c>
      <c r="CF627" s="1" t="s">
        <v>929</v>
      </c>
      <c r="CG627" s="1" t="s">
        <v>930</v>
      </c>
      <c r="CH627" s="1" t="s">
        <v>931</v>
      </c>
      <c r="CI627" s="1" t="s">
        <v>932</v>
      </c>
      <c r="CJ627" s="1" t="s">
        <v>933</v>
      </c>
      <c r="CK627" s="1" t="s">
        <v>934</v>
      </c>
      <c r="CL627" s="1" t="s">
        <v>935</v>
      </c>
      <c r="CM627" s="1" t="s">
        <v>936</v>
      </c>
      <c r="CN627" s="1" t="s">
        <v>937</v>
      </c>
      <c r="CO627" s="1" t="s">
        <v>938</v>
      </c>
      <c r="CP627" s="1" t="s">
        <v>939</v>
      </c>
      <c r="CQ627" s="1" t="s">
        <v>940</v>
      </c>
      <c r="CR627" s="1" t="s">
        <v>941</v>
      </c>
      <c r="CS627" s="1" t="s">
        <v>942</v>
      </c>
      <c r="CT627" s="1" t="s">
        <v>1008</v>
      </c>
    </row>
    <row r="628" spans="61:98" x14ac:dyDescent="0.3">
      <c r="BI628" s="53"/>
      <c r="BJ628" s="24">
        <v>4</v>
      </c>
      <c r="BK628" t="s">
        <v>5</v>
      </c>
      <c r="BL628" t="s">
        <v>3</v>
      </c>
      <c r="BM628" t="s">
        <v>2</v>
      </c>
      <c r="BN628" t="s">
        <v>5</v>
      </c>
      <c r="BO628" t="s">
        <v>5</v>
      </c>
      <c r="BP628" t="s">
        <v>5</v>
      </c>
      <c r="BQ628" t="s">
        <v>5</v>
      </c>
      <c r="BR628" t="s">
        <v>2</v>
      </c>
      <c r="BS628" t="s">
        <v>2</v>
      </c>
      <c r="BT628" t="s">
        <v>2</v>
      </c>
      <c r="BU628" t="s">
        <v>3</v>
      </c>
      <c r="BV628" t="s">
        <v>5</v>
      </c>
      <c r="BW628" t="s">
        <v>5</v>
      </c>
      <c r="BX628" t="s">
        <v>2</v>
      </c>
      <c r="BY628" t="s">
        <v>2</v>
      </c>
      <c r="BZ628" t="s">
        <v>5</v>
      </c>
      <c r="CA628" t="s">
        <v>5</v>
      </c>
      <c r="CB628" t="s">
        <v>5</v>
      </c>
      <c r="CC628" t="s">
        <v>5</v>
      </c>
      <c r="CD628" t="s">
        <v>3</v>
      </c>
      <c r="CE628" t="s">
        <v>3</v>
      </c>
      <c r="CF628" t="s">
        <v>2</v>
      </c>
      <c r="CG628" t="s">
        <v>3</v>
      </c>
      <c r="CH628" t="s">
        <v>4</v>
      </c>
      <c r="CI628" t="s">
        <v>4</v>
      </c>
      <c r="CJ628" t="s">
        <v>4</v>
      </c>
      <c r="CK628" t="s">
        <v>4</v>
      </c>
      <c r="CL628" t="s">
        <v>4</v>
      </c>
      <c r="CM628" t="s">
        <v>3</v>
      </c>
      <c r="CN628" t="s">
        <v>3</v>
      </c>
      <c r="CO628" t="s">
        <v>4</v>
      </c>
      <c r="CP628" t="s">
        <v>3</v>
      </c>
      <c r="CQ628" t="s">
        <v>3</v>
      </c>
      <c r="CR628" t="s">
        <v>4</v>
      </c>
      <c r="CS628" t="s">
        <v>3</v>
      </c>
      <c r="CT628" t="s">
        <v>3</v>
      </c>
    </row>
    <row r="629" spans="61:98" x14ac:dyDescent="0.3">
      <c r="BI629" t="s">
        <v>542</v>
      </c>
    </row>
    <row r="630" spans="61:98" x14ac:dyDescent="0.3">
      <c r="BI630" s="3" t="s">
        <v>355</v>
      </c>
      <c r="BJ630">
        <f>AV18*AT30*AT34*AT41*AT48*AT54*AT60*AT66*AT71*AT77*AT83*AT88*AT96*AT102*AT107*AT113*AT120*AT126*AT132*AT138*AT142*AT148*AT155*AT160*AT163*AT167*AT171*AT175*AT179*AT184*AT188*AT191*AT196*AT200*AT203*AT208*AT212</f>
        <v>0</v>
      </c>
    </row>
    <row r="631" spans="61:98" x14ac:dyDescent="0.3">
      <c r="BI631" t="s">
        <v>543</v>
      </c>
    </row>
    <row r="632" spans="61:98" x14ac:dyDescent="0.3">
      <c r="BI632" s="3" t="s">
        <v>355</v>
      </c>
      <c r="BJ632">
        <f>AV19*AU30*AU34*AU41*AU48*AU54*AU60*AU66*AU71*AU77*AU83*AU88*AU96*AU102*AU107*AU113*AU120*AU126*AU132*AU138*AU142*AU148*AU155*AU160*AU163*AU167*AU171*AU175*AU179*AU184*AU188*AU191*AU196*AU200*AU203*AU208*AU212</f>
        <v>0</v>
      </c>
    </row>
    <row r="633" spans="61:98" x14ac:dyDescent="0.3">
      <c r="BI633" t="s">
        <v>544</v>
      </c>
    </row>
    <row r="634" spans="61:98" x14ac:dyDescent="0.3">
      <c r="BI634" s="3" t="s">
        <v>355</v>
      </c>
      <c r="BJ634">
        <f>AV20*AV30*AV34*AV41*AV48*AV54*AV60*AV66*AV71*AV77*AV83*AV88*AV96*AV102*AV107*AV113*AV120*AV126*AV132*AV138*AV142*AV148*AV155*AV160*AV163*AV167*AV171*AV175*AV179*AV184*AV188*AV191*AV196*AV200*AV203*AV208*AV212</f>
        <v>0</v>
      </c>
    </row>
    <row r="635" spans="61:98" x14ac:dyDescent="0.3">
      <c r="BI635" t="s">
        <v>545</v>
      </c>
    </row>
    <row r="636" spans="61:98" x14ac:dyDescent="0.3">
      <c r="BI636" s="3" t="s">
        <v>355</v>
      </c>
      <c r="BJ636">
        <f>AV21*AW30*AW34*AW41*AW48*AW54*AW60*AW66*AW71*AW77*AW83*AW88*AW96*AW102*AW107*AW113*AW120*AW126*AW132*AW138*AW142*AW148*AW155*AW160*AW163*AW167*AW171*AW175*AW179*AW184*AW188*AW191*AW196*AW200*AW203*AW208*AW212</f>
        <v>6.7197270712320018E-7</v>
      </c>
    </row>
    <row r="637" spans="61:98" x14ac:dyDescent="0.3">
      <c r="BI637" t="s">
        <v>546</v>
      </c>
    </row>
    <row r="638" spans="61:98" x14ac:dyDescent="0.3">
      <c r="BI638" s="3" t="s">
        <v>355</v>
      </c>
      <c r="BJ638">
        <f>AV22*AX30*AX34*AX41*AX48*AX54*AX60*AX66*AX71*AX77*AX83*AX88*AX96*AX102*AX107*AX113*AX120*AX126*AX132*AX138*AX142*AX148*AX155*AX160*AX163*AX167*AX171*AX175*AX179*AX184*AX188*AX191*AX196*AX200*AX203*AX208*AX212</f>
        <v>3.291294892032E-8</v>
      </c>
    </row>
    <row r="639" spans="61:98" x14ac:dyDescent="0.3">
      <c r="BI639" t="s">
        <v>547</v>
      </c>
    </row>
    <row r="640" spans="61:98" x14ac:dyDescent="0.3">
      <c r="BI640" s="3" t="s">
        <v>355</v>
      </c>
      <c r="BJ640">
        <f>AV23*AY30*AY34*AY41*AY48*AY54*AY60*AY66*AY71*AY77*AY83*AY88*AY96*AY102*AY107*AY113*AY120*AY126*AY132*AY138*AY142*AY148*AY155*AY160*AY163*AY167*AY171*AY175*AY179*AY184*AY188*AY191*AY196*AY200*AY203*AY208*AY212</f>
        <v>0</v>
      </c>
    </row>
    <row r="641" spans="61:98" x14ac:dyDescent="0.3">
      <c r="BI641" s="24" t="s">
        <v>396</v>
      </c>
      <c r="BJ641" t="s">
        <v>509</v>
      </c>
      <c r="BK641" s="25" t="s">
        <v>405</v>
      </c>
    </row>
    <row r="643" spans="61:98" x14ac:dyDescent="0.3">
      <c r="BI643" s="53" t="s">
        <v>548</v>
      </c>
      <c r="BJ643" s="24" t="s">
        <v>71</v>
      </c>
      <c r="BK643" s="1" t="s">
        <v>50</v>
      </c>
      <c r="BL643" s="1" t="s">
        <v>51</v>
      </c>
      <c r="BM643" s="1" t="s">
        <v>52</v>
      </c>
      <c r="BN643" s="1" t="s">
        <v>53</v>
      </c>
      <c r="BO643" s="1" t="s">
        <v>54</v>
      </c>
      <c r="BP643" s="1" t="s">
        <v>55</v>
      </c>
      <c r="BQ643" s="1" t="s">
        <v>56</v>
      </c>
      <c r="BR643" s="1" t="s">
        <v>57</v>
      </c>
      <c r="BS643" s="1" t="s">
        <v>58</v>
      </c>
      <c r="BT643" s="1" t="s">
        <v>59</v>
      </c>
      <c r="BU643" s="1" t="s">
        <v>60</v>
      </c>
      <c r="BV643" s="1" t="s">
        <v>61</v>
      </c>
      <c r="BW643" s="1" t="s">
        <v>62</v>
      </c>
      <c r="BX643" s="1" t="s">
        <v>63</v>
      </c>
      <c r="BY643" s="1" t="s">
        <v>64</v>
      </c>
      <c r="BZ643" s="1" t="s">
        <v>65</v>
      </c>
      <c r="CA643" s="1" t="s">
        <v>66</v>
      </c>
      <c r="CB643" s="1" t="s">
        <v>67</v>
      </c>
      <c r="CC643" s="1" t="s">
        <v>68</v>
      </c>
      <c r="CD643" s="1" t="s">
        <v>69</v>
      </c>
      <c r="CE643" s="1" t="s">
        <v>70</v>
      </c>
      <c r="CF643" s="1" t="s">
        <v>929</v>
      </c>
      <c r="CG643" s="1" t="s">
        <v>930</v>
      </c>
      <c r="CH643" s="1" t="s">
        <v>931</v>
      </c>
      <c r="CI643" s="1" t="s">
        <v>932</v>
      </c>
      <c r="CJ643" s="1" t="s">
        <v>933</v>
      </c>
      <c r="CK643" s="1" t="s">
        <v>934</v>
      </c>
      <c r="CL643" s="1" t="s">
        <v>935</v>
      </c>
      <c r="CM643" s="1" t="s">
        <v>936</v>
      </c>
      <c r="CN643" s="1" t="s">
        <v>937</v>
      </c>
      <c r="CO643" s="1" t="s">
        <v>938</v>
      </c>
      <c r="CP643" s="1" t="s">
        <v>939</v>
      </c>
      <c r="CQ643" s="1" t="s">
        <v>940</v>
      </c>
      <c r="CR643" s="1" t="s">
        <v>941</v>
      </c>
      <c r="CS643" s="1" t="s">
        <v>942</v>
      </c>
      <c r="CT643" s="1" t="s">
        <v>1008</v>
      </c>
    </row>
    <row r="644" spans="61:98" x14ac:dyDescent="0.3">
      <c r="BI644" s="53"/>
      <c r="BJ644" s="24">
        <v>5</v>
      </c>
      <c r="BK644" t="s">
        <v>5</v>
      </c>
      <c r="BL644" t="s">
        <v>3</v>
      </c>
      <c r="BM644" t="s">
        <v>5</v>
      </c>
      <c r="BN644" t="s">
        <v>5</v>
      </c>
      <c r="BO644" t="s">
        <v>5</v>
      </c>
      <c r="BP644" t="s">
        <v>5</v>
      </c>
      <c r="BQ644" t="s">
        <v>5</v>
      </c>
      <c r="BR644" t="s">
        <v>2</v>
      </c>
      <c r="BS644" t="s">
        <v>2</v>
      </c>
      <c r="BT644" t="s">
        <v>4</v>
      </c>
      <c r="BU644" t="s">
        <v>4</v>
      </c>
      <c r="BV644" t="s">
        <v>3</v>
      </c>
      <c r="BW644" t="s">
        <v>5</v>
      </c>
      <c r="BX644" t="s">
        <v>2</v>
      </c>
      <c r="BY644" t="s">
        <v>5</v>
      </c>
      <c r="BZ644" t="s">
        <v>2</v>
      </c>
      <c r="CA644" t="s">
        <v>2</v>
      </c>
      <c r="CB644" t="s">
        <v>5</v>
      </c>
      <c r="CC644" t="s">
        <v>4</v>
      </c>
      <c r="CD644" t="s">
        <v>3</v>
      </c>
      <c r="CE644" t="s">
        <v>3</v>
      </c>
      <c r="CF644" t="s">
        <v>4</v>
      </c>
      <c r="CG644" t="s">
        <v>3</v>
      </c>
      <c r="CH644" t="s">
        <v>4</v>
      </c>
      <c r="CI644" t="s">
        <v>4</v>
      </c>
      <c r="CJ644" t="s">
        <v>4</v>
      </c>
      <c r="CK644" t="s">
        <v>4</v>
      </c>
      <c r="CL644" t="s">
        <v>4</v>
      </c>
      <c r="CM644" t="s">
        <v>4</v>
      </c>
      <c r="CN644" t="s">
        <v>3</v>
      </c>
      <c r="CO644" t="s">
        <v>4</v>
      </c>
      <c r="CP644" t="s">
        <v>3</v>
      </c>
      <c r="CQ644" t="s">
        <v>4</v>
      </c>
      <c r="CR644" t="s">
        <v>4</v>
      </c>
      <c r="CS644" t="s">
        <v>4</v>
      </c>
      <c r="CT644" t="s">
        <v>3</v>
      </c>
    </row>
    <row r="645" spans="61:98" x14ac:dyDescent="0.3">
      <c r="BI645" t="s">
        <v>549</v>
      </c>
    </row>
    <row r="646" spans="61:98" x14ac:dyDescent="0.3">
      <c r="BI646" s="3" t="s">
        <v>355</v>
      </c>
      <c r="BJ646">
        <f>AV18*AT30*AT34*AT42*AT48*AT54*AT60*AT66*AT71*AT77*AT81*AT87*AT94*AT102*AT107*AT114*AT119*AT125*AT132*AT135*AT142*AT148*AT153*AT160*AT163*AT167*AT171*AT175*AT179*AT183*AT188*AT191*AT196*AT199*AT203*AT207*AT212</f>
        <v>0</v>
      </c>
    </row>
    <row r="647" spans="61:98" x14ac:dyDescent="0.3">
      <c r="BI647" t="s">
        <v>550</v>
      </c>
    </row>
    <row r="648" spans="61:98" x14ac:dyDescent="0.3">
      <c r="BI648" s="3" t="s">
        <v>355</v>
      </c>
      <c r="BJ648">
        <f>AV19*AU30*AU34*AU42*AU48*AU54*AU60*AU66*AU71*AU77*AU81*AU87*AU94*AU102*AU107*AU114*AU119*AU125*AU132*AU135*AU142*AU148*AU153*AU160*AU163*AU167*AU171*AU175*AU179*AU183*AU188*AU191*AU196*AU199*AU203*AU207*AU212</f>
        <v>0</v>
      </c>
    </row>
    <row r="649" spans="61:98" x14ac:dyDescent="0.3">
      <c r="BI649" t="s">
        <v>798</v>
      </c>
    </row>
    <row r="650" spans="61:98" x14ac:dyDescent="0.3">
      <c r="BI650" s="3" t="s">
        <v>355</v>
      </c>
      <c r="BJ650">
        <f>AV20*AV30*AV34*AV42*AV48*AV54*AV60*AV66*AV71*AV77*AV81*AV87*AV94*AV102*AV107*AV114*AV119*AV125*AV132*AV135*AV142*AV148*AV153*AV160*AV163*AV167*AV171*AV175*AV179*AV183*AV188*AV191*AV196*AV199*AV203*AV207*AV212</f>
        <v>0</v>
      </c>
    </row>
    <row r="651" spans="61:98" x14ac:dyDescent="0.3">
      <c r="BI651" t="s">
        <v>551</v>
      </c>
    </row>
    <row r="652" spans="61:98" x14ac:dyDescent="0.3">
      <c r="BI652" s="3" t="s">
        <v>355</v>
      </c>
      <c r="BJ652">
        <f>AV21*AW30*AW34*AW42*AW48*AW54*AW60*AW66*AW71*AW77*AW81*AW87*AW94*AW102*AW107*AW114*AW119*AW125*AW132*AW135*AW142*AW148*AW153*AW160*AW163*AW167*AW171*AW175*AW179*AW183*AW188*AW191*AW196*AW199*AW203*AW207*AW212</f>
        <v>0</v>
      </c>
    </row>
    <row r="653" spans="61:98" x14ac:dyDescent="0.3">
      <c r="BI653" t="s">
        <v>552</v>
      </c>
    </row>
    <row r="654" spans="61:98" x14ac:dyDescent="0.3">
      <c r="BI654" s="3" t="s">
        <v>355</v>
      </c>
      <c r="BJ654">
        <f>AV22*AX30*AX34*AX42*AX48*AX54*AX60*AX66*AX71*AX77*AX81*AX87*AX94*AX102*AX107*AX114*AX119*AX125*AX132*AX135*AX142*AX148*AX153*AX160*AX163*AX167*AX171*AX175*AX179*AX183*AX188*AX191*AX196*AX199*AX203*AX207*AX212</f>
        <v>3.9504568319999999E-10</v>
      </c>
    </row>
    <row r="655" spans="61:98" x14ac:dyDescent="0.3">
      <c r="BI655" t="s">
        <v>553</v>
      </c>
    </row>
    <row r="656" spans="61:98" x14ac:dyDescent="0.3">
      <c r="BI656" s="3" t="s">
        <v>355</v>
      </c>
      <c r="BJ656">
        <f>AV23*AY30*AY34*AY42*AY48*AY54*AY60*AY66*AY71*AY77*AY81*AY87*AY94*AY102*AY107*AY114*AY119*AY125*AY132*AY135*AY142*AY148*AY153*AY160*AY163*AY167*AY171*AY175*AY179*AY183*AY188*AY191*AY196*AY199*AY203*AY207*AY212</f>
        <v>0</v>
      </c>
    </row>
    <row r="657" spans="61:98" x14ac:dyDescent="0.3">
      <c r="BI657" s="24" t="s">
        <v>396</v>
      </c>
      <c r="BJ657" t="s">
        <v>554</v>
      </c>
      <c r="BK657" s="25" t="s">
        <v>405</v>
      </c>
    </row>
    <row r="659" spans="61:98" x14ac:dyDescent="0.3">
      <c r="BI659" s="53" t="s">
        <v>555</v>
      </c>
      <c r="BJ659" s="24" t="s">
        <v>71</v>
      </c>
      <c r="BK659" s="1" t="s">
        <v>50</v>
      </c>
      <c r="BL659" s="1" t="s">
        <v>51</v>
      </c>
      <c r="BM659" s="1" t="s">
        <v>52</v>
      </c>
      <c r="BN659" s="1" t="s">
        <v>53</v>
      </c>
      <c r="BO659" s="1" t="s">
        <v>54</v>
      </c>
      <c r="BP659" s="1" t="s">
        <v>55</v>
      </c>
      <c r="BQ659" s="1" t="s">
        <v>56</v>
      </c>
      <c r="BR659" s="1" t="s">
        <v>57</v>
      </c>
      <c r="BS659" s="1" t="s">
        <v>58</v>
      </c>
      <c r="BT659" s="1" t="s">
        <v>59</v>
      </c>
      <c r="BU659" s="1" t="s">
        <v>60</v>
      </c>
      <c r="BV659" s="1" t="s">
        <v>61</v>
      </c>
      <c r="BW659" s="1" t="s">
        <v>62</v>
      </c>
      <c r="BX659" s="1" t="s">
        <v>63</v>
      </c>
      <c r="BY659" s="1" t="s">
        <v>64</v>
      </c>
      <c r="BZ659" s="1" t="s">
        <v>65</v>
      </c>
      <c r="CA659" s="1" t="s">
        <v>66</v>
      </c>
      <c r="CB659" s="1" t="s">
        <v>67</v>
      </c>
      <c r="CC659" s="1" t="s">
        <v>68</v>
      </c>
      <c r="CD659" s="1" t="s">
        <v>69</v>
      </c>
      <c r="CE659" s="1" t="s">
        <v>70</v>
      </c>
      <c r="CF659" s="1" t="s">
        <v>929</v>
      </c>
      <c r="CG659" s="1" t="s">
        <v>930</v>
      </c>
      <c r="CH659" s="1" t="s">
        <v>931</v>
      </c>
      <c r="CI659" s="1" t="s">
        <v>932</v>
      </c>
      <c r="CJ659" s="1" t="s">
        <v>933</v>
      </c>
      <c r="CK659" s="1" t="s">
        <v>934</v>
      </c>
      <c r="CL659" s="1" t="s">
        <v>935</v>
      </c>
      <c r="CM659" s="1" t="s">
        <v>936</v>
      </c>
      <c r="CN659" s="1" t="s">
        <v>937</v>
      </c>
      <c r="CO659" s="1" t="s">
        <v>938</v>
      </c>
      <c r="CP659" s="1" t="s">
        <v>939</v>
      </c>
      <c r="CQ659" s="1" t="s">
        <v>940</v>
      </c>
      <c r="CR659" s="1" t="s">
        <v>941</v>
      </c>
      <c r="CS659" s="1" t="s">
        <v>942</v>
      </c>
      <c r="CT659" s="1" t="s">
        <v>1008</v>
      </c>
    </row>
    <row r="660" spans="61:98" x14ac:dyDescent="0.3">
      <c r="BI660" s="53"/>
      <c r="BJ660" s="24">
        <v>5</v>
      </c>
      <c r="BK660" t="s">
        <v>2</v>
      </c>
      <c r="BL660" t="s">
        <v>5</v>
      </c>
      <c r="BM660" t="s">
        <v>3</v>
      </c>
      <c r="BN660" t="s">
        <v>5</v>
      </c>
      <c r="BO660" t="s">
        <v>5</v>
      </c>
      <c r="BP660" t="s">
        <v>3</v>
      </c>
      <c r="BQ660" t="s">
        <v>5</v>
      </c>
      <c r="BR660" t="s">
        <v>2</v>
      </c>
      <c r="BS660" t="s">
        <v>2</v>
      </c>
      <c r="BT660" t="s">
        <v>5</v>
      </c>
      <c r="BU660" t="s">
        <v>2</v>
      </c>
      <c r="BV660" t="s">
        <v>2</v>
      </c>
      <c r="BW660" t="s">
        <v>4</v>
      </c>
      <c r="BX660" t="s">
        <v>3</v>
      </c>
      <c r="BY660" t="s">
        <v>2</v>
      </c>
      <c r="BZ660" t="s">
        <v>5</v>
      </c>
      <c r="CA660" t="s">
        <v>5</v>
      </c>
      <c r="CB660" t="s">
        <v>5</v>
      </c>
      <c r="CC660" t="s">
        <v>3</v>
      </c>
      <c r="CD660" t="s">
        <v>3</v>
      </c>
      <c r="CE660" t="s">
        <v>3</v>
      </c>
      <c r="CF660" t="s">
        <v>4</v>
      </c>
      <c r="CG660" t="s">
        <v>3</v>
      </c>
      <c r="CH660" t="s">
        <v>4</v>
      </c>
      <c r="CI660" t="s">
        <v>4</v>
      </c>
      <c r="CJ660" t="s">
        <v>4</v>
      </c>
      <c r="CK660" t="s">
        <v>4</v>
      </c>
      <c r="CL660" t="s">
        <v>4</v>
      </c>
      <c r="CM660" t="s">
        <v>3</v>
      </c>
      <c r="CN660" t="s">
        <v>4</v>
      </c>
      <c r="CO660" t="s">
        <v>4</v>
      </c>
      <c r="CP660" t="s">
        <v>3</v>
      </c>
      <c r="CQ660" t="s">
        <v>4</v>
      </c>
      <c r="CR660" t="s">
        <v>4</v>
      </c>
      <c r="CS660" t="s">
        <v>4</v>
      </c>
      <c r="CT660" t="s">
        <v>3</v>
      </c>
    </row>
    <row r="661" spans="61:98" x14ac:dyDescent="0.3">
      <c r="BI661" t="s">
        <v>556</v>
      </c>
    </row>
    <row r="662" spans="61:98" x14ac:dyDescent="0.3">
      <c r="BI662" s="3" t="s">
        <v>355</v>
      </c>
      <c r="BJ662">
        <f>AV18*AT29*AT36*AT40*AT48*AT54*AT58*AT66*AT71*AT77*AT84*AT89*AT95*AT99*AT106*AT113*AT120*AT126*AT132*AT136*AT142*AT148*AT153*AT160*AT163*AT167*AT171*AT175*AT179*AT184*AT187*AT191*AT196*AT199*AT203*AT207*AT212</f>
        <v>0</v>
      </c>
    </row>
    <row r="663" spans="61:98" x14ac:dyDescent="0.3">
      <c r="BI663" t="s">
        <v>558</v>
      </c>
    </row>
    <row r="664" spans="61:98" x14ac:dyDescent="0.3">
      <c r="BI664" s="3" t="s">
        <v>355</v>
      </c>
      <c r="BJ664">
        <f>AV19*AU29*AU36*AU40*AU48*AU54*AU58*AU66*AU71*AU77*AU84*AU89*AU95*AU99*AU106*AU113*AU120*AU126*AU132*AU136*AU142*AU148*AU153*AU160*AU163*AU167*AU171*AU175*AU179*AU184*AU187*AU191*AU196*AU199*AU203*AU207*AU212</f>
        <v>0</v>
      </c>
    </row>
    <row r="665" spans="61:98" x14ac:dyDescent="0.3">
      <c r="BI665" t="s">
        <v>559</v>
      </c>
    </row>
    <row r="666" spans="61:98" x14ac:dyDescent="0.3">
      <c r="BI666" s="3" t="s">
        <v>355</v>
      </c>
      <c r="BJ666">
        <f>AV20*AV29*AV36*AV40*AV48*AV54*AV58*AV66*AV71*AV77*AV84*AV89*AV95*AV99*AV106*AV113*AV120*AV126*AV132*AV136*AV142*AV148*AV153*AV160*AV163*AV167*AV171*AV175*AV179*AV184*AV187*AV191*AV196*AV199*AV203*AV207*AV212</f>
        <v>0</v>
      </c>
    </row>
    <row r="667" spans="61:98" x14ac:dyDescent="0.3">
      <c r="BI667" t="s">
        <v>560</v>
      </c>
    </row>
    <row r="668" spans="61:98" x14ac:dyDescent="0.3">
      <c r="BI668" s="3" t="s">
        <v>355</v>
      </c>
      <c r="BJ668">
        <f>AV21*AW29*AW36*AW40*AW48*AW54*AW58*AW66*AW71*AW77*AW84*AW89*AW95*AW99*AW106*AW113*AW120*AW126*AW132*AW136*AW142*AW148*AW153*AW160*AW163*AW167*AW171*AW175*AW179*AW184*AW187*AW191*AW196*AW199*AW203*AW207*AW212</f>
        <v>0</v>
      </c>
    </row>
    <row r="669" spans="61:98" x14ac:dyDescent="0.3">
      <c r="BI669" t="s">
        <v>561</v>
      </c>
    </row>
    <row r="670" spans="61:98" x14ac:dyDescent="0.3">
      <c r="BI670" s="3" t="s">
        <v>355</v>
      </c>
      <c r="BJ670">
        <f>AV22*AX29*AX36*AX40*AX48*AX54*AX58*AX66*AX71*AX77*AX84*AX89*AX95*AX99*AX106*AX113*AX120*AX126*AX132*AX136*AX142*AX148*AX153*AX160*AX163*AX167*AX171*AX175*AX179*AX184*AX187*AX191*AX196*AX199*AX203*AX207*AX212</f>
        <v>1.3713728716800002E-10</v>
      </c>
    </row>
    <row r="671" spans="61:98" x14ac:dyDescent="0.3">
      <c r="BI671" t="s">
        <v>562</v>
      </c>
    </row>
    <row r="672" spans="61:98" x14ac:dyDescent="0.3">
      <c r="BI672" s="3" t="s">
        <v>355</v>
      </c>
      <c r="BJ672">
        <f>AV23*AY29*AY36*AY40*AY48*AY54*AY58*AY66*AY71*AY77*AY84*AY89*AY95*AY99*AY106*AY113*AY120*AY126*AY132*AY136*AY142*AY148*AY153*AY160*AY163*AY167*AY171*AY175*AY179*AY184*AY187*AY191*AY196*AY199*AY203*AY207*AY212</f>
        <v>0</v>
      </c>
    </row>
    <row r="673" spans="61:98" x14ac:dyDescent="0.3">
      <c r="BI673" t="s">
        <v>396</v>
      </c>
      <c r="BJ673" t="s">
        <v>554</v>
      </c>
      <c r="BK673" s="25" t="s">
        <v>405</v>
      </c>
    </row>
    <row r="675" spans="61:98" x14ac:dyDescent="0.3">
      <c r="BI675" s="53" t="s">
        <v>557</v>
      </c>
      <c r="BJ675" s="24" t="s">
        <v>71</v>
      </c>
      <c r="BK675" s="1" t="s">
        <v>50</v>
      </c>
      <c r="BL675" s="1" t="s">
        <v>51</v>
      </c>
      <c r="BM675" s="1" t="s">
        <v>52</v>
      </c>
      <c r="BN675" s="1" t="s">
        <v>53</v>
      </c>
      <c r="BO675" s="1" t="s">
        <v>54</v>
      </c>
      <c r="BP675" s="1" t="s">
        <v>55</v>
      </c>
      <c r="BQ675" s="1" t="s">
        <v>56</v>
      </c>
      <c r="BR675" s="1" t="s">
        <v>57</v>
      </c>
      <c r="BS675" s="1" t="s">
        <v>58</v>
      </c>
      <c r="BT675" s="1" t="s">
        <v>59</v>
      </c>
      <c r="BU675" s="1" t="s">
        <v>60</v>
      </c>
      <c r="BV675" s="1" t="s">
        <v>61</v>
      </c>
      <c r="BW675" s="1" t="s">
        <v>62</v>
      </c>
      <c r="BX675" s="1" t="s">
        <v>63</v>
      </c>
      <c r="BY675" s="1" t="s">
        <v>64</v>
      </c>
      <c r="BZ675" s="1" t="s">
        <v>65</v>
      </c>
      <c r="CA675" s="1" t="s">
        <v>66</v>
      </c>
      <c r="CB675" s="1" t="s">
        <v>67</v>
      </c>
      <c r="CC675" s="1" t="s">
        <v>68</v>
      </c>
      <c r="CD675" s="1" t="s">
        <v>69</v>
      </c>
      <c r="CE675" s="1" t="s">
        <v>70</v>
      </c>
      <c r="CF675" s="1" t="s">
        <v>929</v>
      </c>
      <c r="CG675" s="1" t="s">
        <v>930</v>
      </c>
      <c r="CH675" s="1" t="s">
        <v>931</v>
      </c>
      <c r="CI675" s="1" t="s">
        <v>932</v>
      </c>
      <c r="CJ675" s="1" t="s">
        <v>933</v>
      </c>
      <c r="CK675" s="1" t="s">
        <v>934</v>
      </c>
      <c r="CL675" s="1" t="s">
        <v>935</v>
      </c>
      <c r="CM675" s="1" t="s">
        <v>936</v>
      </c>
      <c r="CN675" s="1" t="s">
        <v>937</v>
      </c>
      <c r="CO675" s="1" t="s">
        <v>938</v>
      </c>
      <c r="CP675" s="1" t="s">
        <v>939</v>
      </c>
      <c r="CQ675" s="1" t="s">
        <v>940</v>
      </c>
      <c r="CR675" s="1" t="s">
        <v>941</v>
      </c>
      <c r="CS675" s="1" t="s">
        <v>942</v>
      </c>
      <c r="CT675" s="1" t="s">
        <v>1008</v>
      </c>
    </row>
    <row r="676" spans="61:98" x14ac:dyDescent="0.3">
      <c r="BI676" s="53"/>
      <c r="BJ676" s="24">
        <v>5</v>
      </c>
      <c r="BK676" t="s">
        <v>4</v>
      </c>
      <c r="BL676" t="s">
        <v>5</v>
      </c>
      <c r="BM676" t="s">
        <v>2</v>
      </c>
      <c r="BN676" t="s">
        <v>5</v>
      </c>
      <c r="BO676" t="s">
        <v>5</v>
      </c>
      <c r="BP676" t="s">
        <v>5</v>
      </c>
      <c r="BQ676" t="s">
        <v>2</v>
      </c>
      <c r="BR676" t="s">
        <v>2</v>
      </c>
      <c r="BS676" t="s">
        <v>2</v>
      </c>
      <c r="BT676" t="s">
        <v>4</v>
      </c>
      <c r="BU676" t="s">
        <v>4</v>
      </c>
      <c r="BV676" t="s">
        <v>4</v>
      </c>
      <c r="BW676" t="s">
        <v>5</v>
      </c>
      <c r="BX676" t="s">
        <v>4</v>
      </c>
      <c r="BY676" t="s">
        <v>5</v>
      </c>
      <c r="BZ676" t="s">
        <v>5</v>
      </c>
      <c r="CA676" t="s">
        <v>5</v>
      </c>
      <c r="CB676" t="s">
        <v>5</v>
      </c>
      <c r="CC676" t="s">
        <v>5</v>
      </c>
      <c r="CD676" t="s">
        <v>4</v>
      </c>
      <c r="CE676" t="s">
        <v>3</v>
      </c>
      <c r="CF676" t="s">
        <v>3</v>
      </c>
      <c r="CG676" t="s">
        <v>3</v>
      </c>
      <c r="CH676" t="s">
        <v>4</v>
      </c>
      <c r="CI676" t="s">
        <v>4</v>
      </c>
      <c r="CJ676" t="s">
        <v>4</v>
      </c>
      <c r="CK676" t="s">
        <v>4</v>
      </c>
      <c r="CL676" t="s">
        <v>4</v>
      </c>
      <c r="CM676" t="s">
        <v>4</v>
      </c>
      <c r="CN676" t="s">
        <v>3</v>
      </c>
      <c r="CO676" t="s">
        <v>4</v>
      </c>
      <c r="CP676" t="s">
        <v>3</v>
      </c>
      <c r="CQ676" t="s">
        <v>4</v>
      </c>
      <c r="CR676" t="s">
        <v>4</v>
      </c>
      <c r="CS676" t="s">
        <v>4</v>
      </c>
      <c r="CT676" t="s">
        <v>3</v>
      </c>
    </row>
    <row r="677" spans="61:98" x14ac:dyDescent="0.3">
      <c r="BI677" t="s">
        <v>799</v>
      </c>
    </row>
    <row r="678" spans="61:98" x14ac:dyDescent="0.3">
      <c r="BI678" s="3" t="s">
        <v>355</v>
      </c>
      <c r="BJ678">
        <f>AV18*AT27*AT36*AT41*AT48*AT54*AT60*AT65*AT71*AT77*AT81*AT87*AT93*AT102*AT105*AT114*AT120*AT126*AT132*AT138*AT141*AT148*AT154*AT160*AT163*AT167*AT171*AT175*AT179*AT183*AT188*AT191*AT196*AT199*AT203*AT207*AT212</f>
        <v>0</v>
      </c>
    </row>
    <row r="679" spans="61:98" x14ac:dyDescent="0.3">
      <c r="BI679" t="s">
        <v>800</v>
      </c>
    </row>
    <row r="680" spans="61:98" x14ac:dyDescent="0.3">
      <c r="BI680" s="3" t="s">
        <v>355</v>
      </c>
      <c r="BJ680">
        <f>AV19*AU27*AU36*AU41*AU48*AU54*AU60*AU65*AU71*AU77*AU81*AU87*AU93*AU102*AU105*AU114*AU120*AU126*AU132*AU138*AU141*AU148*AU154*AU160*AU163*AU167*AU171*AU175*AU179*AU183*AU188*AU191*AU196*AU199*AU203*AU207*AU212</f>
        <v>0</v>
      </c>
    </row>
    <row r="681" spans="61:98" x14ac:dyDescent="0.3">
      <c r="BI681" t="s">
        <v>801</v>
      </c>
    </row>
    <row r="682" spans="61:98" x14ac:dyDescent="0.3">
      <c r="BI682" s="3" t="s">
        <v>355</v>
      </c>
      <c r="BJ682">
        <f>AV20*AV27*AV36*AV41*AV48*AV54*AV60*AV65*AV71*AV77*AV81*AV87*AV93*AV102*AV105*AV114*AV120*AV126*AV132*AV138*AV141*AV148*AV154*AV160*AV163*AV167*AV171*AV175*AV179*AV183*AV188*AV191*AV196*AV199*AV203*AV207*AV212</f>
        <v>0</v>
      </c>
    </row>
    <row r="683" spans="61:98" x14ac:dyDescent="0.3">
      <c r="BI683" t="s">
        <v>802</v>
      </c>
    </row>
    <row r="684" spans="61:98" x14ac:dyDescent="0.3">
      <c r="BI684" s="3" t="s">
        <v>355</v>
      </c>
      <c r="BJ684">
        <f>AV21*AW27*AW36*AW41*AW48*AW54*AW60*AW65*AW71*AW77*AW81*AW87*AW93*AW102*AW105*AW114*AW120*AW126*AW132*AW138*AW141*AW148*AW154*AW160*AW163*AW167*AW171*AW175*AW179*AW183*AW188*AW191*AW196*AW199*AW203*AW207*AW212</f>
        <v>0</v>
      </c>
    </row>
    <row r="685" spans="61:98" x14ac:dyDescent="0.3">
      <c r="BI685" t="s">
        <v>803</v>
      </c>
    </row>
    <row r="686" spans="61:98" x14ac:dyDescent="0.3">
      <c r="BI686" s="3" t="s">
        <v>355</v>
      </c>
      <c r="BJ686">
        <f>AV22*AX27*AX36*AX41*AX48*AX54*AX60*AX65*AX71*AX77*AX81*AX87*AX93*AX102*AX105*AX114*AX120*AX126*AX132*AX138*AX141*AX148*AX154*AX160*AX163*AX167*AX171*AX175*AX179*AX183*AX188*AX191*AX196*AX199*AX203*AX207*AX212</f>
        <v>3.0474952704000008E-10</v>
      </c>
    </row>
    <row r="687" spans="61:98" x14ac:dyDescent="0.3">
      <c r="BI687" t="s">
        <v>804</v>
      </c>
    </row>
    <row r="688" spans="61:98" x14ac:dyDescent="0.3">
      <c r="BI688" s="3" t="s">
        <v>355</v>
      </c>
      <c r="BJ688">
        <f>AV23*AY27*AY36*AY41*AY48*AY54*AY60*AY65*AY71*AY77*AY81*AY87*AY93*AY102*AY105*AY114*AY120*AY126*AY132*AY138*AY141*AY148*AY154*AY160*AY163*AY167*AY171*AY175*AY179*AY183*AY188*AY191*AY196*AY199*AY203*AY207*AY212</f>
        <v>0</v>
      </c>
    </row>
    <row r="689" spans="61:98" x14ac:dyDescent="0.3">
      <c r="BI689" s="24" t="s">
        <v>396</v>
      </c>
      <c r="BJ689" t="s">
        <v>554</v>
      </c>
      <c r="BK689" s="25" t="s">
        <v>481</v>
      </c>
    </row>
    <row r="691" spans="61:98" x14ac:dyDescent="0.3">
      <c r="BI691" s="53" t="s">
        <v>563</v>
      </c>
      <c r="BJ691" s="24" t="s">
        <v>71</v>
      </c>
      <c r="BK691" s="1" t="s">
        <v>50</v>
      </c>
      <c r="BL691" s="1" t="s">
        <v>51</v>
      </c>
      <c r="BM691" s="1" t="s">
        <v>52</v>
      </c>
      <c r="BN691" s="1" t="s">
        <v>53</v>
      </c>
      <c r="BO691" s="1" t="s">
        <v>54</v>
      </c>
      <c r="BP691" s="1" t="s">
        <v>55</v>
      </c>
      <c r="BQ691" s="1" t="s">
        <v>56</v>
      </c>
      <c r="BR691" s="1" t="s">
        <v>57</v>
      </c>
      <c r="BS691" s="1" t="s">
        <v>58</v>
      </c>
      <c r="BT691" s="1" t="s">
        <v>59</v>
      </c>
      <c r="BU691" s="1" t="s">
        <v>60</v>
      </c>
      <c r="BV691" s="1" t="s">
        <v>61</v>
      </c>
      <c r="BW691" s="1" t="s">
        <v>62</v>
      </c>
      <c r="BX691" s="1" t="s">
        <v>63</v>
      </c>
      <c r="BY691" s="1" t="s">
        <v>64</v>
      </c>
      <c r="BZ691" s="1" t="s">
        <v>65</v>
      </c>
      <c r="CA691" s="1" t="s">
        <v>66</v>
      </c>
      <c r="CB691" s="1" t="s">
        <v>67</v>
      </c>
      <c r="CC691" s="1" t="s">
        <v>68</v>
      </c>
      <c r="CD691" s="1" t="s">
        <v>69</v>
      </c>
      <c r="CE691" s="1" t="s">
        <v>70</v>
      </c>
      <c r="CF691" s="1" t="s">
        <v>929</v>
      </c>
      <c r="CG691" s="1" t="s">
        <v>930</v>
      </c>
      <c r="CH691" s="1" t="s">
        <v>931</v>
      </c>
      <c r="CI691" s="1" t="s">
        <v>932</v>
      </c>
      <c r="CJ691" s="1" t="s">
        <v>933</v>
      </c>
      <c r="CK691" s="1" t="s">
        <v>934</v>
      </c>
      <c r="CL691" s="1" t="s">
        <v>935</v>
      </c>
      <c r="CM691" s="1" t="s">
        <v>936</v>
      </c>
      <c r="CN691" s="1" t="s">
        <v>937</v>
      </c>
      <c r="CO691" s="1" t="s">
        <v>938</v>
      </c>
      <c r="CP691" s="1" t="s">
        <v>939</v>
      </c>
      <c r="CQ691" s="1" t="s">
        <v>940</v>
      </c>
      <c r="CR691" s="1" t="s">
        <v>941</v>
      </c>
      <c r="CS691" s="1" t="s">
        <v>942</v>
      </c>
      <c r="CT691" s="1" t="s">
        <v>1008</v>
      </c>
    </row>
    <row r="692" spans="61:98" x14ac:dyDescent="0.3">
      <c r="BI692" s="53"/>
      <c r="BJ692" s="24">
        <v>5</v>
      </c>
      <c r="BK692" t="s">
        <v>5</v>
      </c>
      <c r="BL692" t="s">
        <v>3</v>
      </c>
      <c r="BM692" t="s">
        <v>3</v>
      </c>
      <c r="BN692" t="s">
        <v>5</v>
      </c>
      <c r="BO692" t="s">
        <v>5</v>
      </c>
      <c r="BP692" t="s">
        <v>5</v>
      </c>
      <c r="BQ692" t="s">
        <v>5</v>
      </c>
      <c r="BR692" t="s">
        <v>2</v>
      </c>
      <c r="BS692" t="s">
        <v>4</v>
      </c>
      <c r="BT692" t="s">
        <v>4</v>
      </c>
      <c r="BU692" t="s">
        <v>4</v>
      </c>
      <c r="BV692" t="s">
        <v>5</v>
      </c>
      <c r="BW692" t="s">
        <v>2</v>
      </c>
      <c r="BX692" t="s">
        <v>4</v>
      </c>
      <c r="BY692" t="s">
        <v>5</v>
      </c>
      <c r="BZ692" t="s">
        <v>5</v>
      </c>
      <c r="CA692" t="s">
        <v>3</v>
      </c>
      <c r="CB692" t="s">
        <v>3</v>
      </c>
      <c r="CC692" t="s">
        <v>3</v>
      </c>
      <c r="CD692" t="s">
        <v>4</v>
      </c>
      <c r="CE692" t="s">
        <v>3</v>
      </c>
      <c r="CF692" t="s">
        <v>2</v>
      </c>
      <c r="CG692" t="s">
        <v>3</v>
      </c>
      <c r="CH692" t="s">
        <v>4</v>
      </c>
      <c r="CI692" t="s">
        <v>4</v>
      </c>
      <c r="CJ692" t="s">
        <v>4</v>
      </c>
      <c r="CK692" t="s">
        <v>4</v>
      </c>
      <c r="CL692" t="s">
        <v>4</v>
      </c>
      <c r="CM692" t="s">
        <v>4</v>
      </c>
      <c r="CN692" t="s">
        <v>3</v>
      </c>
      <c r="CO692" t="s">
        <v>4</v>
      </c>
      <c r="CP692" t="s">
        <v>3</v>
      </c>
      <c r="CQ692" t="s">
        <v>4</v>
      </c>
      <c r="CR692" t="s">
        <v>4</v>
      </c>
      <c r="CS692" t="s">
        <v>4</v>
      </c>
      <c r="CT692" t="s">
        <v>3</v>
      </c>
    </row>
    <row r="693" spans="61:98" x14ac:dyDescent="0.3">
      <c r="BI693" t="s">
        <v>565</v>
      </c>
    </row>
    <row r="694" spans="61:98" x14ac:dyDescent="0.3">
      <c r="BI694" s="3" t="s">
        <v>355</v>
      </c>
      <c r="BJ694">
        <f>AV18*AT30*AT34*AT40*AT48*AT54*AT60*AT66*AT71*AT75*AT81*AT87*AT96*AT101*AT105*AT114*AT120*AT124*AT130*AT136*AT141*AT148*AT155*AT160*AT163*AT167*AT171*AT175*AT179*AT183*AT188*AT191*AT196*AT199*AT203*AT207*AT212</f>
        <v>0</v>
      </c>
    </row>
    <row r="695" spans="61:98" x14ac:dyDescent="0.3">
      <c r="BI695" t="s">
        <v>566</v>
      </c>
    </row>
    <row r="696" spans="61:98" x14ac:dyDescent="0.3">
      <c r="BI696" s="3" t="s">
        <v>355</v>
      </c>
      <c r="BJ696">
        <f>AV19*AU30*AU34*AU40*AU48*AU54*AU60*AU66*AU71*AU75*AU81*AU87*AU96*AU101*AU105*AU114*AU120*AU124*AU130*AU136*AU141*AU148*AU155*AU160*AU163*AU167*AU171*AU175*AU179*AU183*AU188*AU191*AU196*AU199*AU203*AU207*AU212</f>
        <v>0</v>
      </c>
    </row>
    <row r="697" spans="61:98" x14ac:dyDescent="0.3">
      <c r="BI697" t="s">
        <v>567</v>
      </c>
    </row>
    <row r="698" spans="61:98" x14ac:dyDescent="0.3">
      <c r="BI698" s="3" t="s">
        <v>355</v>
      </c>
      <c r="BJ698">
        <f>AV20*AV30*AV34*AV40*AV48*AV54*AV60*AV66*AV71*AV75*AV81*AV87*AV96*AV101*AV105*AV114*AV120*AV124*AV130*AV136*AV141*AV148*AV155*AV160*AV163*AV167*AV171*AV175*AV179*AV183*AV188*AV191*AV196*AV199*AV203*AV207*AV212</f>
        <v>0</v>
      </c>
    </row>
    <row r="699" spans="61:98" x14ac:dyDescent="0.3">
      <c r="BI699" t="s">
        <v>568</v>
      </c>
    </row>
    <row r="700" spans="61:98" x14ac:dyDescent="0.3">
      <c r="BI700" s="3" t="s">
        <v>355</v>
      </c>
      <c r="BJ700">
        <f>AV21*AW30*AW34*AW40*AW48*AW54*AW60*AW66*AW71*AW75*AW81*AW87*AW96*AW101*AW105*AW114*AW120*AW124*AW130*AW136*AW141*AW148*AW155*AW160*AW163*AW167*AW171*AW175*AW179*AW183*AW188*AW191*AW196*AW199*AW203*AW207*AW212</f>
        <v>0</v>
      </c>
    </row>
    <row r="701" spans="61:98" x14ac:dyDescent="0.3">
      <c r="BI701" t="s">
        <v>569</v>
      </c>
    </row>
    <row r="702" spans="61:98" x14ac:dyDescent="0.3">
      <c r="BI702" s="3" t="s">
        <v>355</v>
      </c>
      <c r="BJ702">
        <f>AV22*AX30*AX34*AX40*AX48*AX54*AX60*AX66*AX71*AX75*AX81*AX87*AX96*AX101*AX105*AX114*AX120*AX124*AX130*AX136*AX141*AX148*AX155*AX160*AX163*AX167*AX171*AX175*AX179*AX183*AX188*AX191*AX196*AX199*AX203*AX207*AX212</f>
        <v>1.0835538739200006E-9</v>
      </c>
    </row>
    <row r="703" spans="61:98" x14ac:dyDescent="0.3">
      <c r="BI703" t="s">
        <v>570</v>
      </c>
    </row>
    <row r="704" spans="61:98" x14ac:dyDescent="0.3">
      <c r="BI704" s="3" t="s">
        <v>355</v>
      </c>
      <c r="BJ704">
        <f>AV23*AY30*AY34*AY40*AY48*AY54*AY60*AY66*AY71*AY75*AY81*AY87*AY96*AY101*AY105*AY114*AY120*AY124*AY130*AY136*AY141*AY148*AY155*AY160*AY163*AY167*AY171*AY175*AY179*AY183*AY188*AY191*AY196*AY199*AY203*AY207*AY212</f>
        <v>0</v>
      </c>
    </row>
    <row r="705" spans="61:98" x14ac:dyDescent="0.3">
      <c r="BI705" t="s">
        <v>396</v>
      </c>
      <c r="BJ705" t="s">
        <v>554</v>
      </c>
      <c r="BK705" s="25" t="s">
        <v>405</v>
      </c>
    </row>
    <row r="707" spans="61:98" x14ac:dyDescent="0.3">
      <c r="BI707" s="53" t="s">
        <v>571</v>
      </c>
      <c r="BJ707" s="24" t="s">
        <v>71</v>
      </c>
      <c r="BK707" s="1" t="s">
        <v>50</v>
      </c>
      <c r="BL707" s="1" t="s">
        <v>51</v>
      </c>
      <c r="BM707" s="1" t="s">
        <v>52</v>
      </c>
      <c r="BN707" s="1" t="s">
        <v>53</v>
      </c>
      <c r="BO707" s="1" t="s">
        <v>54</v>
      </c>
      <c r="BP707" s="1" t="s">
        <v>55</v>
      </c>
      <c r="BQ707" s="1" t="s">
        <v>56</v>
      </c>
      <c r="BR707" s="1" t="s">
        <v>57</v>
      </c>
      <c r="BS707" s="1" t="s">
        <v>58</v>
      </c>
      <c r="BT707" s="1" t="s">
        <v>59</v>
      </c>
      <c r="BU707" s="1" t="s">
        <v>60</v>
      </c>
      <c r="BV707" s="1" t="s">
        <v>61</v>
      </c>
      <c r="BW707" s="1" t="s">
        <v>62</v>
      </c>
      <c r="BX707" s="1" t="s">
        <v>63</v>
      </c>
      <c r="BY707" s="1" t="s">
        <v>64</v>
      </c>
      <c r="BZ707" s="1" t="s">
        <v>65</v>
      </c>
      <c r="CA707" s="1" t="s">
        <v>66</v>
      </c>
      <c r="CB707" s="1" t="s">
        <v>67</v>
      </c>
      <c r="CC707" s="1" t="s">
        <v>68</v>
      </c>
      <c r="CD707" s="1" t="s">
        <v>69</v>
      </c>
      <c r="CE707" s="1" t="s">
        <v>70</v>
      </c>
      <c r="CF707" s="1" t="s">
        <v>929</v>
      </c>
      <c r="CG707" s="1" t="s">
        <v>930</v>
      </c>
      <c r="CH707" s="1" t="s">
        <v>931</v>
      </c>
      <c r="CI707" s="1" t="s">
        <v>932</v>
      </c>
      <c r="CJ707" s="1" t="s">
        <v>933</v>
      </c>
      <c r="CK707" s="1" t="s">
        <v>934</v>
      </c>
      <c r="CL707" s="1" t="s">
        <v>935</v>
      </c>
      <c r="CM707" s="1" t="s">
        <v>936</v>
      </c>
      <c r="CN707" s="1" t="s">
        <v>937</v>
      </c>
      <c r="CO707" s="1" t="s">
        <v>938</v>
      </c>
      <c r="CP707" s="1" t="s">
        <v>939</v>
      </c>
      <c r="CQ707" s="1" t="s">
        <v>940</v>
      </c>
      <c r="CR707" s="1" t="s">
        <v>941</v>
      </c>
      <c r="CS707" s="1" t="s">
        <v>942</v>
      </c>
      <c r="CT707" s="1" t="s">
        <v>1008</v>
      </c>
    </row>
    <row r="708" spans="61:98" x14ac:dyDescent="0.3">
      <c r="BI708" s="53"/>
      <c r="BJ708" s="24">
        <v>5</v>
      </c>
      <c r="BK708" t="s">
        <v>5</v>
      </c>
      <c r="BL708" t="s">
        <v>3</v>
      </c>
      <c r="BM708" t="s">
        <v>4</v>
      </c>
      <c r="BN708" t="s">
        <v>5</v>
      </c>
      <c r="BO708" t="s">
        <v>5</v>
      </c>
      <c r="BP708" t="s">
        <v>3</v>
      </c>
      <c r="BQ708" t="s">
        <v>5</v>
      </c>
      <c r="BR708" t="s">
        <v>2</v>
      </c>
      <c r="BS708" t="s">
        <v>3</v>
      </c>
      <c r="BT708" t="s">
        <v>2</v>
      </c>
      <c r="BU708" t="s">
        <v>2</v>
      </c>
      <c r="BV708" t="s">
        <v>5</v>
      </c>
      <c r="BW708" t="s">
        <v>5</v>
      </c>
      <c r="BX708" t="s">
        <v>2</v>
      </c>
      <c r="BY708" t="s">
        <v>5</v>
      </c>
      <c r="BZ708" t="s">
        <v>5</v>
      </c>
      <c r="CA708" t="s">
        <v>3</v>
      </c>
      <c r="CB708" t="s">
        <v>5</v>
      </c>
      <c r="CC708" t="s">
        <v>2</v>
      </c>
      <c r="CD708" t="s">
        <v>4</v>
      </c>
      <c r="CE708" t="s">
        <v>4</v>
      </c>
      <c r="CF708" t="s">
        <v>2</v>
      </c>
      <c r="CG708" t="s">
        <v>3</v>
      </c>
      <c r="CH708" t="s">
        <v>4</v>
      </c>
      <c r="CI708" t="s">
        <v>4</v>
      </c>
      <c r="CJ708" t="s">
        <v>4</v>
      </c>
      <c r="CK708" t="s">
        <v>4</v>
      </c>
      <c r="CL708" t="s">
        <v>4</v>
      </c>
      <c r="CM708" t="s">
        <v>4</v>
      </c>
      <c r="CN708" t="s">
        <v>3</v>
      </c>
      <c r="CO708" t="s">
        <v>4</v>
      </c>
      <c r="CP708" t="s">
        <v>3</v>
      </c>
      <c r="CQ708" t="s">
        <v>4</v>
      </c>
      <c r="CR708" t="s">
        <v>4</v>
      </c>
      <c r="CS708" t="s">
        <v>3</v>
      </c>
      <c r="CT708" t="s">
        <v>3</v>
      </c>
    </row>
    <row r="709" spans="61:98" x14ac:dyDescent="0.3">
      <c r="BI709" t="s">
        <v>574</v>
      </c>
    </row>
    <row r="710" spans="61:98" x14ac:dyDescent="0.3">
      <c r="BI710" s="3" t="s">
        <v>355</v>
      </c>
      <c r="BJ710">
        <f>AV18*AT30*AT34*AT39*AT48*AT54*AT58*AT66*AT71*AT76*AT83*AT89*AT96*AT102*AT107*AT114*AT120*AT124*AT132*AT137*AT141*AT147*AT155*AT160*AT163*AT167*AT171*AT175*AT179*AT183*AT188*AT191*AT196*AT199*AT203*AT208*AT212</f>
        <v>0</v>
      </c>
    </row>
    <row r="711" spans="61:98" x14ac:dyDescent="0.3">
      <c r="BI711" t="s">
        <v>575</v>
      </c>
    </row>
    <row r="712" spans="61:98" x14ac:dyDescent="0.3">
      <c r="BI712" s="3" t="s">
        <v>355</v>
      </c>
      <c r="BJ712">
        <f>AV19*AU30*AU34*AU39*AU48*AU54*AU58*AU66*AU71*AU76*AU83*AU89*AU96*AU102*AU107*AU114*AU120*AU124*AU132*AU137*AU141*AU147*AU155*AU160*AU163*AU167*AU171*AU175*AU179*AU183*AU188*AU191*AU196*AU199*AU203*AU208*AU212</f>
        <v>0</v>
      </c>
    </row>
    <row r="713" spans="61:98" x14ac:dyDescent="0.3">
      <c r="BI713" t="s">
        <v>576</v>
      </c>
    </row>
    <row r="714" spans="61:98" x14ac:dyDescent="0.3">
      <c r="BI714" s="3" t="s">
        <v>355</v>
      </c>
      <c r="BJ714">
        <f>AV20*AV30*AV34*AV39*AV48*AV54*AV58*AV66*AV71*AV76*AV83*AV89*AV96*AV102*AV107*AV114*AV120*AV124*AV132*AV137*AV141*AV147*AV155*AV160*AV163*AV167*AV171*AV175*AV179*AV183*AV188*AV191*AV196*AV199*AV203*AV208*AV212</f>
        <v>0</v>
      </c>
    </row>
    <row r="715" spans="61:98" x14ac:dyDescent="0.3">
      <c r="BI715" t="s">
        <v>577</v>
      </c>
    </row>
    <row r="716" spans="61:98" x14ac:dyDescent="0.3">
      <c r="BI716" s="3" t="s">
        <v>355</v>
      </c>
      <c r="BJ716">
        <f>AV21*AW30*AW34*AW39*AW48*AW54*AW58*AW66*AW71*AW76*AW83*AW89*AW96*AW102*AW107*AW114*AW120*AW124*AW132*AW137*AW141*AW147*AW155*AW160*AW163*AW167*AW171*AW175*AW179*AW183*AW188*AW191*AW196*AW199*AW203*AW208*AW212</f>
        <v>0</v>
      </c>
    </row>
    <row r="717" spans="61:98" x14ac:dyDescent="0.3">
      <c r="BI717" t="s">
        <v>578</v>
      </c>
    </row>
    <row r="718" spans="61:98" x14ac:dyDescent="0.3">
      <c r="BI718" s="3" t="s">
        <v>355</v>
      </c>
      <c r="BJ718">
        <f>AV22*AX30*AX34*AX39*AX48*AX54*AX58*AX66*AX71*AX76*AX83*AX89*AX96*AX102*AX107*AX114*AX120*AX124*AX132*AX137*AX141*AX147*AX155*AX160*AX163*AX167*AX171*AX175*AX179*AX183*AX188*AX191*AX196*AX199*AX203*AX208*AX212</f>
        <v>2.2574039040000001E-10</v>
      </c>
    </row>
    <row r="719" spans="61:98" x14ac:dyDescent="0.3">
      <c r="BI719" t="s">
        <v>579</v>
      </c>
    </row>
    <row r="720" spans="61:98" x14ac:dyDescent="0.3">
      <c r="BI720" s="3" t="s">
        <v>355</v>
      </c>
      <c r="BJ720">
        <f>AV23*AY30*AY34*AY39*AY48*AY54*AY58*AY66*AY71*AY76*AY83*AY89*AY96*AY102*AY107*AY114*AY120*AY124*AY132*AY137*AY141*AY147*AY155*AY160*AY163*AY167*AY171*AY175*AY179*AY183*AY188*AY191*AY196*AY199*AY203*AY208*AY212</f>
        <v>0</v>
      </c>
    </row>
    <row r="721" spans="61:98" x14ac:dyDescent="0.3">
      <c r="BI721" s="24" t="s">
        <v>396</v>
      </c>
      <c r="BJ721" t="s">
        <v>554</v>
      </c>
      <c r="BK721" s="25" t="s">
        <v>405</v>
      </c>
    </row>
    <row r="723" spans="61:98" x14ac:dyDescent="0.3">
      <c r="BI723" s="53" t="s">
        <v>572</v>
      </c>
      <c r="BJ723" s="24" t="s">
        <v>71</v>
      </c>
      <c r="BK723" s="1" t="s">
        <v>50</v>
      </c>
      <c r="BL723" s="1" t="s">
        <v>51</v>
      </c>
      <c r="BM723" s="1" t="s">
        <v>52</v>
      </c>
      <c r="BN723" s="1" t="s">
        <v>53</v>
      </c>
      <c r="BO723" s="1" t="s">
        <v>54</v>
      </c>
      <c r="BP723" s="1" t="s">
        <v>55</v>
      </c>
      <c r="BQ723" s="1" t="s">
        <v>56</v>
      </c>
      <c r="BR723" s="1" t="s">
        <v>57</v>
      </c>
      <c r="BS723" s="1" t="s">
        <v>58</v>
      </c>
      <c r="BT723" s="1" t="s">
        <v>59</v>
      </c>
      <c r="BU723" s="1" t="s">
        <v>60</v>
      </c>
      <c r="BV723" s="1" t="s">
        <v>61</v>
      </c>
      <c r="BW723" s="1" t="s">
        <v>62</v>
      </c>
      <c r="BX723" s="1" t="s">
        <v>63</v>
      </c>
      <c r="BY723" s="1" t="s">
        <v>64</v>
      </c>
      <c r="BZ723" s="1" t="s">
        <v>65</v>
      </c>
      <c r="CA723" s="1" t="s">
        <v>66</v>
      </c>
      <c r="CB723" s="1" t="s">
        <v>67</v>
      </c>
      <c r="CC723" s="1" t="s">
        <v>68</v>
      </c>
      <c r="CD723" s="1" t="s">
        <v>69</v>
      </c>
      <c r="CE723" s="1" t="s">
        <v>70</v>
      </c>
      <c r="CF723" s="1" t="s">
        <v>929</v>
      </c>
      <c r="CG723" s="1" t="s">
        <v>930</v>
      </c>
      <c r="CH723" s="1" t="s">
        <v>931</v>
      </c>
      <c r="CI723" s="1" t="s">
        <v>932</v>
      </c>
      <c r="CJ723" s="1" t="s">
        <v>933</v>
      </c>
      <c r="CK723" s="1" t="s">
        <v>934</v>
      </c>
      <c r="CL723" s="1" t="s">
        <v>935</v>
      </c>
      <c r="CM723" s="1" t="s">
        <v>936</v>
      </c>
      <c r="CN723" s="1" t="s">
        <v>937</v>
      </c>
      <c r="CO723" s="1" t="s">
        <v>938</v>
      </c>
      <c r="CP723" s="1" t="s">
        <v>939</v>
      </c>
      <c r="CQ723" s="1" t="s">
        <v>940</v>
      </c>
      <c r="CR723" s="1" t="s">
        <v>941</v>
      </c>
      <c r="CS723" s="1" t="s">
        <v>942</v>
      </c>
      <c r="CT723" s="1" t="s">
        <v>1008</v>
      </c>
    </row>
    <row r="724" spans="61:98" x14ac:dyDescent="0.3">
      <c r="BI724" s="53"/>
      <c r="BJ724" s="24">
        <v>5</v>
      </c>
      <c r="BK724" t="s">
        <v>5</v>
      </c>
      <c r="BL724" t="s">
        <v>5</v>
      </c>
      <c r="BM724" t="s">
        <v>3</v>
      </c>
      <c r="BN724" t="s">
        <v>5</v>
      </c>
      <c r="BO724" t="s">
        <v>5</v>
      </c>
      <c r="BP724" t="s">
        <v>3</v>
      </c>
      <c r="BQ724" t="s">
        <v>5</v>
      </c>
      <c r="BR724" t="s">
        <v>2</v>
      </c>
      <c r="BS724" t="s">
        <v>4</v>
      </c>
      <c r="BT724" t="s">
        <v>4</v>
      </c>
      <c r="BU724" t="s">
        <v>4</v>
      </c>
      <c r="BV724" t="s">
        <v>5</v>
      </c>
      <c r="BW724" t="s">
        <v>2</v>
      </c>
      <c r="BX724" t="s">
        <v>4</v>
      </c>
      <c r="BY724" t="s">
        <v>5</v>
      </c>
      <c r="BZ724" t="s">
        <v>5</v>
      </c>
      <c r="CA724" t="s">
        <v>2</v>
      </c>
      <c r="CB724" t="s">
        <v>5</v>
      </c>
      <c r="CC724" t="s">
        <v>5</v>
      </c>
      <c r="CD724" t="s">
        <v>3</v>
      </c>
      <c r="CE724" t="s">
        <v>3</v>
      </c>
      <c r="CF724" t="s">
        <v>4</v>
      </c>
      <c r="CG724" t="s">
        <v>3</v>
      </c>
      <c r="CH724" t="s">
        <v>4</v>
      </c>
      <c r="CI724" t="s">
        <v>4</v>
      </c>
      <c r="CJ724" t="s">
        <v>4</v>
      </c>
      <c r="CK724" t="s">
        <v>4</v>
      </c>
      <c r="CL724" t="s">
        <v>4</v>
      </c>
      <c r="CM724" t="s">
        <v>4</v>
      </c>
      <c r="CN724" t="s">
        <v>4</v>
      </c>
      <c r="CO724" t="s">
        <v>4</v>
      </c>
      <c r="CP724" t="s">
        <v>3</v>
      </c>
      <c r="CQ724" t="s">
        <v>4</v>
      </c>
      <c r="CR724" t="s">
        <v>4</v>
      </c>
      <c r="CS724" t="s">
        <v>3</v>
      </c>
      <c r="CT724" t="s">
        <v>3</v>
      </c>
    </row>
    <row r="725" spans="61:98" x14ac:dyDescent="0.3">
      <c r="BI725" t="s">
        <v>573</v>
      </c>
    </row>
    <row r="726" spans="61:98" x14ac:dyDescent="0.3">
      <c r="BI726" s="3" t="s">
        <v>355</v>
      </c>
      <c r="BJ726">
        <f>AV18*AT30*AT36*AT40*AT48*AT54*AT58*AT66*AT71*AT75*AT81*AT87*AT96*AT101*AT105*AT114*AT120*AT125*AT132*AT138*AT142*AT148*AT153*AT160*AT163*AT167*AT171*AT175*AT179*AT183*AT187*AT191*AT196*AT199*AT203*AT208*AT212</f>
        <v>0</v>
      </c>
    </row>
    <row r="727" spans="61:98" x14ac:dyDescent="0.3">
      <c r="BI727" t="s">
        <v>580</v>
      </c>
    </row>
    <row r="728" spans="61:98" x14ac:dyDescent="0.3">
      <c r="BI728" s="3" t="s">
        <v>355</v>
      </c>
      <c r="BJ728">
        <f>AV19*AU30*AU36*AU40*AU48*AU54*AU58*AU66*AU71*AU75*AU81*AU87*AU96*AU101*AU105*AU114*AU120*AU125*AU132*AU138*AU142*AU148*AU153*AU160*AU163*AU167*AU171*AU175*AU179*AU183*AU187*AU191*AU196*AU199*AU203*AU208*AU212</f>
        <v>0</v>
      </c>
    </row>
    <row r="729" spans="61:98" x14ac:dyDescent="0.3">
      <c r="BI729" t="s">
        <v>581</v>
      </c>
    </row>
    <row r="730" spans="61:98" x14ac:dyDescent="0.3">
      <c r="BI730" s="3" t="s">
        <v>355</v>
      </c>
      <c r="BJ730">
        <f>AV20*AV30*AV36*AV40*AV48*AV54*AV58*AV66*AV71*AV75*AV81*AV87*AV96*AV101*AV105*AV114*AV120*AV125*AV132*AV138*AV142*AV148*AV153*AV160*AV163*AV167*AV171*AV175*AV179*AV183*AV187*AV191*AV196*AV199*AV203*AV208*AV212</f>
        <v>0</v>
      </c>
    </row>
    <row r="731" spans="61:98" x14ac:dyDescent="0.3">
      <c r="BI731" t="s">
        <v>582</v>
      </c>
    </row>
    <row r="732" spans="61:98" x14ac:dyDescent="0.3">
      <c r="BI732" s="3" t="s">
        <v>355</v>
      </c>
      <c r="BJ732">
        <f>AV21*AW30*AW36*AW40*AW48*AW54*AW58*AW66*AW71*AW75*AW81*AW87*AW96*AW101*AW105*AW114*AW120*AW125*AW132*AW138*AW142*AW148*AW153*AW160*AW163*AW167*AW171*AW175*AW179*AW183*AW187*AW191*AW196*AW199*AW203*AW208*AW212</f>
        <v>0</v>
      </c>
    </row>
    <row r="733" spans="61:98" x14ac:dyDescent="0.3">
      <c r="BI733" t="s">
        <v>583</v>
      </c>
    </row>
    <row r="734" spans="61:98" x14ac:dyDescent="0.3">
      <c r="BI734" s="3" t="s">
        <v>355</v>
      </c>
      <c r="BJ734">
        <f>AV22*AX30*AX36*AX40*AX48*AX54*AX58*AX66*AX71*AX75*AX81*AX87*AX96*AX101*AX105*AX114*AX120*AX125*AX132*AX138*AX142*AX148*AX153*AX160*AX163*AX167*AX171*AX175*AX179*AX183*AX187*AX191*AX196*AX199*AX203*AX208*AX212</f>
        <v>5.6886578380800029E-9</v>
      </c>
    </row>
    <row r="735" spans="61:98" x14ac:dyDescent="0.3">
      <c r="BI735" t="s">
        <v>584</v>
      </c>
    </row>
    <row r="736" spans="61:98" x14ac:dyDescent="0.3">
      <c r="BI736" s="3" t="s">
        <v>355</v>
      </c>
      <c r="BJ736">
        <f>AV23*AY30*AY36*AY40*AY48*AY54*AY58*AY66*AY71*AY75*AY81*AY87*AY96*AY101*AY105*AY114*AY120*AY125*AY132*AY138*AY142*AY148*AY153*AY160*AY163*AY167*AY171*AY175*AY179*AY183*AY187*AY191*AY196*AY199*AY203*AY208*AY212</f>
        <v>3.8389663620661255E-11</v>
      </c>
    </row>
    <row r="737" spans="61:98" x14ac:dyDescent="0.3">
      <c r="BI737" t="s">
        <v>396</v>
      </c>
      <c r="BJ737" t="s">
        <v>586</v>
      </c>
      <c r="BK737" s="25" t="s">
        <v>405</v>
      </c>
    </row>
    <row r="739" spans="61:98" x14ac:dyDescent="0.3">
      <c r="BI739" s="53" t="s">
        <v>585</v>
      </c>
      <c r="BJ739" s="24" t="s">
        <v>71</v>
      </c>
      <c r="BK739" s="1" t="s">
        <v>50</v>
      </c>
      <c r="BL739" s="1" t="s">
        <v>51</v>
      </c>
      <c r="BM739" s="1" t="s">
        <v>52</v>
      </c>
      <c r="BN739" s="1" t="s">
        <v>53</v>
      </c>
      <c r="BO739" s="1" t="s">
        <v>54</v>
      </c>
      <c r="BP739" s="1" t="s">
        <v>55</v>
      </c>
      <c r="BQ739" s="1" t="s">
        <v>56</v>
      </c>
      <c r="BR739" s="1" t="s">
        <v>57</v>
      </c>
      <c r="BS739" s="1" t="s">
        <v>58</v>
      </c>
      <c r="BT739" s="1" t="s">
        <v>59</v>
      </c>
      <c r="BU739" s="1" t="s">
        <v>60</v>
      </c>
      <c r="BV739" s="1" t="s">
        <v>61</v>
      </c>
      <c r="BW739" s="1" t="s">
        <v>62</v>
      </c>
      <c r="BX739" s="1" t="s">
        <v>63</v>
      </c>
      <c r="BY739" s="1" t="s">
        <v>64</v>
      </c>
      <c r="BZ739" s="1" t="s">
        <v>65</v>
      </c>
      <c r="CA739" s="1" t="s">
        <v>66</v>
      </c>
      <c r="CB739" s="1" t="s">
        <v>67</v>
      </c>
      <c r="CC739" s="1" t="s">
        <v>68</v>
      </c>
      <c r="CD739" s="1" t="s">
        <v>69</v>
      </c>
      <c r="CE739" s="1" t="s">
        <v>70</v>
      </c>
      <c r="CF739" s="1" t="s">
        <v>929</v>
      </c>
      <c r="CG739" s="1" t="s">
        <v>930</v>
      </c>
      <c r="CH739" s="1" t="s">
        <v>931</v>
      </c>
      <c r="CI739" s="1" t="s">
        <v>932</v>
      </c>
      <c r="CJ739" s="1" t="s">
        <v>933</v>
      </c>
      <c r="CK739" s="1" t="s">
        <v>934</v>
      </c>
      <c r="CL739" s="1" t="s">
        <v>935</v>
      </c>
      <c r="CM739" s="1" t="s">
        <v>936</v>
      </c>
      <c r="CN739" s="1" t="s">
        <v>937</v>
      </c>
      <c r="CO739" s="1" t="s">
        <v>938</v>
      </c>
      <c r="CP739" s="1" t="s">
        <v>939</v>
      </c>
      <c r="CQ739" s="1" t="s">
        <v>940</v>
      </c>
      <c r="CR739" s="1" t="s">
        <v>941</v>
      </c>
      <c r="CS739" s="1" t="s">
        <v>942</v>
      </c>
      <c r="CT739" s="1" t="s">
        <v>1008</v>
      </c>
    </row>
    <row r="740" spans="61:98" x14ac:dyDescent="0.3">
      <c r="BI740" s="53"/>
      <c r="BJ740" s="24">
        <v>5</v>
      </c>
      <c r="BK740" t="s">
        <v>5</v>
      </c>
      <c r="BL740" t="s">
        <v>3</v>
      </c>
      <c r="BM740" t="s">
        <v>2</v>
      </c>
      <c r="BN740" t="s">
        <v>5</v>
      </c>
      <c r="BO740" t="s">
        <v>5</v>
      </c>
      <c r="BP740" t="s">
        <v>5</v>
      </c>
      <c r="BQ740" t="s">
        <v>5</v>
      </c>
      <c r="BR740" t="s">
        <v>2</v>
      </c>
      <c r="BS740" t="s">
        <v>2</v>
      </c>
      <c r="BT740" t="s">
        <v>2</v>
      </c>
      <c r="BU740" t="s">
        <v>3</v>
      </c>
      <c r="BV740" t="s">
        <v>2</v>
      </c>
      <c r="BW740" t="s">
        <v>5</v>
      </c>
      <c r="BX740" t="s">
        <v>2</v>
      </c>
      <c r="BY740" t="s">
        <v>2</v>
      </c>
      <c r="BZ740" t="s">
        <v>5</v>
      </c>
      <c r="CA740" t="s">
        <v>5</v>
      </c>
      <c r="CB740" t="s">
        <v>5</v>
      </c>
      <c r="CC740" t="s">
        <v>5</v>
      </c>
      <c r="CD740" t="s">
        <v>3</v>
      </c>
      <c r="CE740" t="s">
        <v>3</v>
      </c>
      <c r="CF740" t="s">
        <v>2</v>
      </c>
      <c r="CG740" t="s">
        <v>3</v>
      </c>
      <c r="CH740" t="s">
        <v>4</v>
      </c>
      <c r="CI740" t="s">
        <v>4</v>
      </c>
      <c r="CJ740" t="s">
        <v>4</v>
      </c>
      <c r="CK740" t="s">
        <v>4</v>
      </c>
      <c r="CL740" t="s">
        <v>4</v>
      </c>
      <c r="CM740" t="s">
        <v>3</v>
      </c>
      <c r="CN740" t="s">
        <v>3</v>
      </c>
      <c r="CO740" t="s">
        <v>4</v>
      </c>
      <c r="CP740" t="s">
        <v>3</v>
      </c>
      <c r="CQ740" t="s">
        <v>4</v>
      </c>
      <c r="CR740" t="s">
        <v>4</v>
      </c>
      <c r="CS740" t="s">
        <v>3</v>
      </c>
      <c r="CT740" t="s">
        <v>3</v>
      </c>
    </row>
    <row r="741" spans="61:98" x14ac:dyDescent="0.3">
      <c r="BI741" t="s">
        <v>587</v>
      </c>
    </row>
    <row r="742" spans="61:98" x14ac:dyDescent="0.3">
      <c r="BI742" s="3" t="s">
        <v>355</v>
      </c>
      <c r="BJ742">
        <f>AV18*AT30*AT34*AT41*AT48*AT54*AT60*AT66*AT71*AT77*AT83*AT88*AT95*AT102*AT107*AT113*AT120*AT126*AT132*AT138*AT142*AT148*AT155*AT160*AT163*AT167*AT171*AT175*AT179*AT184*AT188*AT191*AT196*AT199*AT203*AT208*AT212</f>
        <v>0</v>
      </c>
    </row>
    <row r="743" spans="61:98" x14ac:dyDescent="0.3">
      <c r="BI743" t="s">
        <v>588</v>
      </c>
    </row>
    <row r="744" spans="61:98" x14ac:dyDescent="0.3">
      <c r="BI744" s="3" t="s">
        <v>355</v>
      </c>
      <c r="BJ744">
        <f>AV19*AU30*AU34*AU41*AU48*AU54*AU60*AU66*AU71*AU77*AU83*AU88*AU95*AU102*AU107*AU113*AU120*AU126*AU132*AU138*AU142*AU148*AU155*AU160*AU163*AU167*AU171*AU175*AU179*AU184*AU188*AU191*AU196*AU199*AU203*AU208*AU212</f>
        <v>0</v>
      </c>
    </row>
    <row r="745" spans="61:98" x14ac:dyDescent="0.3">
      <c r="BI745" t="s">
        <v>589</v>
      </c>
    </row>
    <row r="746" spans="61:98" x14ac:dyDescent="0.3">
      <c r="BI746" s="3" t="s">
        <v>355</v>
      </c>
      <c r="BJ746">
        <f>AV20*AV30*AV34*AV41*AV48*AV54*AV60*AV66*AV71*AV77*AV83*AV88*AV95*AV102*AV107*AV113*AV120*AV126*AV132*AV138*AV142*AV148*AV155*AV160*AV163*AV167*AV171*AV175*AV179*AV184*AV188*AV191*AV196*AV199*AV203*AV208*AV212</f>
        <v>0</v>
      </c>
    </row>
    <row r="747" spans="61:98" x14ac:dyDescent="0.3">
      <c r="BI747" t="s">
        <v>590</v>
      </c>
    </row>
    <row r="748" spans="61:98" x14ac:dyDescent="0.3">
      <c r="BI748" s="3" t="s">
        <v>355</v>
      </c>
      <c r="BJ748">
        <f>AV21*AW30*AW34*AW41*AW48*AW54*AW60*AW66*AW71*AW77*AW83*AW88*AW95*AW102*AW107*AW113*AW120*AW126*AW132*AW138*AW142*AW148*AW155*AW160*AW163*AW167*AW171*AW175*AW179*AW184*AW188*AW191*AW196*AW199*AW203*AW208*AW212</f>
        <v>3.3598635356160014E-7</v>
      </c>
    </row>
    <row r="749" spans="61:98" x14ac:dyDescent="0.3">
      <c r="BI749" t="s">
        <v>591</v>
      </c>
    </row>
    <row r="750" spans="61:98" x14ac:dyDescent="0.3">
      <c r="BI750" s="3" t="s">
        <v>355</v>
      </c>
      <c r="BJ750">
        <f>AV22*AX30*AX34*AX41*AX48*AX54*AX60*AX66*AX71*AX77*AX83*AX88*AX95*AX102*AX107*AX113*AX120*AX126*AX132*AX138*AX142*AX148*AX155*AX160*AX163*AX167*AX171*AX175*AX179*AX184*AX188*AX191*AX196*AX199*AX203*AX208*AX212</f>
        <v>1.3165179568128E-7</v>
      </c>
    </row>
    <row r="751" spans="61:98" x14ac:dyDescent="0.3">
      <c r="BI751" t="s">
        <v>592</v>
      </c>
    </row>
    <row r="752" spans="61:98" x14ac:dyDescent="0.3">
      <c r="BI752" s="3" t="s">
        <v>355</v>
      </c>
      <c r="BJ752">
        <f>AV23*AY30*AY34*AY41*AY48*AY54*AY60*AY66*AY71*AY77*AY83*AY88*AY95*AY102*AY107*AY113*AY120*AY126*AY132*AY138*AY142*AY148*AY155*AY160*AY163*AY167*AY171*AY175*AY179*AY184*AY188*AY191*AY196*AY199*AY203*AY208*AY212</f>
        <v>0</v>
      </c>
    </row>
    <row r="753" spans="61:98" x14ac:dyDescent="0.3">
      <c r="BI753" s="24" t="s">
        <v>396</v>
      </c>
      <c r="BJ753" t="s">
        <v>594</v>
      </c>
      <c r="BK753" s="26" t="s">
        <v>493</v>
      </c>
    </row>
    <row r="755" spans="61:98" x14ac:dyDescent="0.3">
      <c r="BI755" s="53" t="s">
        <v>593</v>
      </c>
      <c r="BJ755" s="24" t="s">
        <v>71</v>
      </c>
      <c r="BK755" s="1" t="s">
        <v>50</v>
      </c>
      <c r="BL755" s="1" t="s">
        <v>51</v>
      </c>
      <c r="BM755" s="1" t="s">
        <v>52</v>
      </c>
      <c r="BN755" s="1" t="s">
        <v>53</v>
      </c>
      <c r="BO755" s="1" t="s">
        <v>54</v>
      </c>
      <c r="BP755" s="1" t="s">
        <v>55</v>
      </c>
      <c r="BQ755" s="1" t="s">
        <v>56</v>
      </c>
      <c r="BR755" s="1" t="s">
        <v>57</v>
      </c>
      <c r="BS755" s="1" t="s">
        <v>58</v>
      </c>
      <c r="BT755" s="1" t="s">
        <v>59</v>
      </c>
      <c r="BU755" s="1" t="s">
        <v>60</v>
      </c>
      <c r="BV755" s="1" t="s">
        <v>61</v>
      </c>
      <c r="BW755" s="1" t="s">
        <v>62</v>
      </c>
      <c r="BX755" s="1" t="s">
        <v>63</v>
      </c>
      <c r="BY755" s="1" t="s">
        <v>64</v>
      </c>
      <c r="BZ755" s="1" t="s">
        <v>65</v>
      </c>
      <c r="CA755" s="1" t="s">
        <v>66</v>
      </c>
      <c r="CB755" s="1" t="s">
        <v>67</v>
      </c>
      <c r="CC755" s="1" t="s">
        <v>68</v>
      </c>
      <c r="CD755" s="1" t="s">
        <v>69</v>
      </c>
      <c r="CE755" s="1" t="s">
        <v>70</v>
      </c>
      <c r="CF755" s="1" t="s">
        <v>929</v>
      </c>
      <c r="CG755" s="1" t="s">
        <v>930</v>
      </c>
      <c r="CH755" s="1" t="s">
        <v>931</v>
      </c>
      <c r="CI755" s="1" t="s">
        <v>932</v>
      </c>
      <c r="CJ755" s="1" t="s">
        <v>933</v>
      </c>
      <c r="CK755" s="1" t="s">
        <v>934</v>
      </c>
      <c r="CL755" s="1" t="s">
        <v>935</v>
      </c>
      <c r="CM755" s="1" t="s">
        <v>936</v>
      </c>
      <c r="CN755" s="1" t="s">
        <v>937</v>
      </c>
      <c r="CO755" s="1" t="s">
        <v>938</v>
      </c>
      <c r="CP755" s="1" t="s">
        <v>939</v>
      </c>
      <c r="CQ755" s="1" t="s">
        <v>940</v>
      </c>
      <c r="CR755" s="1" t="s">
        <v>941</v>
      </c>
      <c r="CS755" s="1" t="s">
        <v>942</v>
      </c>
      <c r="CT755" s="1" t="s">
        <v>1008</v>
      </c>
    </row>
    <row r="756" spans="61:98" x14ac:dyDescent="0.3">
      <c r="BI756" s="53"/>
      <c r="BJ756" s="24">
        <v>5</v>
      </c>
      <c r="BK756" t="s">
        <v>5</v>
      </c>
      <c r="BL756" t="s">
        <v>5</v>
      </c>
      <c r="BM756" t="s">
        <v>2</v>
      </c>
      <c r="BN756" t="s">
        <v>5</v>
      </c>
      <c r="BO756" t="s">
        <v>5</v>
      </c>
      <c r="BP756" t="s">
        <v>3</v>
      </c>
      <c r="BQ756" t="s">
        <v>5</v>
      </c>
      <c r="BR756" t="s">
        <v>2</v>
      </c>
      <c r="BS756" t="s">
        <v>2</v>
      </c>
      <c r="BT756" t="s">
        <v>2</v>
      </c>
      <c r="BU756" t="s">
        <v>2</v>
      </c>
      <c r="BV756" t="s">
        <v>2</v>
      </c>
      <c r="BW756" t="s">
        <v>2</v>
      </c>
      <c r="BX756" t="s">
        <v>3</v>
      </c>
      <c r="BY756" t="s">
        <v>3</v>
      </c>
      <c r="BZ756" t="s">
        <v>5</v>
      </c>
      <c r="CA756" t="s">
        <v>5</v>
      </c>
      <c r="CB756" t="s">
        <v>5</v>
      </c>
      <c r="CC756" t="s">
        <v>5</v>
      </c>
      <c r="CD756" t="s">
        <v>3</v>
      </c>
      <c r="CE756" t="s">
        <v>3</v>
      </c>
      <c r="CF756" t="s">
        <v>2</v>
      </c>
      <c r="CG756" t="s">
        <v>3</v>
      </c>
      <c r="CH756" t="s">
        <v>4</v>
      </c>
      <c r="CI756" t="s">
        <v>4</v>
      </c>
      <c r="CJ756" t="s">
        <v>4</v>
      </c>
      <c r="CK756" t="s">
        <v>4</v>
      </c>
      <c r="CL756" t="s">
        <v>4</v>
      </c>
      <c r="CM756" t="s">
        <v>3</v>
      </c>
      <c r="CN756" t="s">
        <v>3</v>
      </c>
      <c r="CO756" t="s">
        <v>4</v>
      </c>
      <c r="CP756" t="s">
        <v>3</v>
      </c>
      <c r="CQ756" t="s">
        <v>3</v>
      </c>
      <c r="CR756" t="s">
        <v>4</v>
      </c>
      <c r="CS756" t="s">
        <v>3</v>
      </c>
      <c r="CT756" t="s">
        <v>3</v>
      </c>
    </row>
    <row r="757" spans="61:98" x14ac:dyDescent="0.3">
      <c r="BI757" t="s">
        <v>595</v>
      </c>
    </row>
    <row r="758" spans="61:98" x14ac:dyDescent="0.3">
      <c r="BI758" s="3" t="s">
        <v>355</v>
      </c>
      <c r="BJ758">
        <f>AV18*AT30*AT36*AT41*AT48*AT54*AT58*AT66*AT71*AT77*AT83*AT89*AT95*AT101*AT106*AT112*AT120*AT126*AT132*AT138*AT142*AT148*AT155*AT160*AT163*AT167*AT171*AT175*AT179*AT184*AT188*AT191*AT196*AT200*AT203*AT208*AT212</f>
        <v>0</v>
      </c>
    </row>
    <row r="759" spans="61:98" x14ac:dyDescent="0.3">
      <c r="BI759" t="s">
        <v>596</v>
      </c>
    </row>
    <row r="760" spans="61:98" x14ac:dyDescent="0.3">
      <c r="BI760" s="3" t="s">
        <v>355</v>
      </c>
      <c r="BJ760">
        <f>AV19*AU30*AU36*AU41*AU48*AU54*AU58*AU66*AU71*AU77*AU83*AU89*AU95*AU101*AU106*AU112*AU120*AU126*AU132*AU138*AU142*AU148*AU155*AU160*AU163*AU167*AU171*AU175*AU179*AU184*AU188*AU191*AU196*AU200*AU203*AU208*AU212</f>
        <v>0</v>
      </c>
    </row>
    <row r="761" spans="61:98" x14ac:dyDescent="0.3">
      <c r="BI761" t="s">
        <v>597</v>
      </c>
    </row>
    <row r="762" spans="61:98" x14ac:dyDescent="0.3">
      <c r="BI762" s="3" t="s">
        <v>355</v>
      </c>
      <c r="BJ762">
        <f>AV20*AV30*AV36*AV41*AV48*AV54*AV58*AV66*AV71*AV77*AV83*AV89*AV95*AV101*AV106*AV112*AV120*AV126*AV132*AV138*AV142*AV148*AV155*AV160*AV163*AV167*AV171*AV175*AV179*AV184*AV188*AV191*AV196*AV200*AV203*AV208*AV212</f>
        <v>0</v>
      </c>
    </row>
    <row r="763" spans="61:98" x14ac:dyDescent="0.3">
      <c r="BI763" t="s">
        <v>598</v>
      </c>
    </row>
    <row r="764" spans="61:98" x14ac:dyDescent="0.3">
      <c r="BI764" s="3" t="s">
        <v>355</v>
      </c>
      <c r="BJ764">
        <f>AV21*AW30*AW36*AW41*AW48*AW54*AW58*AW66*AW71*AW77*AW83*AW89*AW95*AW101*AW106*AW112*AW120*AW126*AW132*AW138*AW142*AW148*AW155*AW160*AW163*AW167*AW171*AW175*AW179*AW184*AW188*AW191*AW196*AW200*AW203*AW208*AW212</f>
        <v>0</v>
      </c>
    </row>
    <row r="765" spans="61:98" x14ac:dyDescent="0.3">
      <c r="BI765" t="s">
        <v>599</v>
      </c>
    </row>
    <row r="766" spans="61:98" x14ac:dyDescent="0.3">
      <c r="BI766" s="3" t="s">
        <v>355</v>
      </c>
      <c r="BJ766">
        <f>AV22*AX30*AX36*AX41*AX48*AX54*AX58*AX66*AX71*AX77*AX83*AX89*AX95*AX101*AX106*AX112*AX120*AX126*AX132*AX138*AX142*AX148*AX155*AX160*AX163*AX167*AX171*AX175*AX179*AX184*AX188*AX191*AX196*AX200*AX203*AX208*AX212</f>
        <v>8.776786378752001E-9</v>
      </c>
    </row>
    <row r="767" spans="61:98" x14ac:dyDescent="0.3">
      <c r="BI767" t="s">
        <v>600</v>
      </c>
    </row>
    <row r="768" spans="61:98" x14ac:dyDescent="0.3">
      <c r="BI768" s="3" t="s">
        <v>355</v>
      </c>
      <c r="BJ768">
        <f>AV23*AY30*AY36*AY41*AY48*AY54*AY58*AY66*AY71*AY77*AY83*AY89*AY95*AY101*AY106*AY112*AY120*AY126*AY132*AY138*AY142*AY148*AY155*AY160*AY163*AY167*AY171*AY175*AY179*AY184*AY188*AY191*AY196*AY200*AY203*AY208*AY212</f>
        <v>0</v>
      </c>
    </row>
    <row r="769" spans="61:98" x14ac:dyDescent="0.3">
      <c r="BI769" s="24" t="s">
        <v>396</v>
      </c>
      <c r="BJ769" t="s">
        <v>554</v>
      </c>
      <c r="BK769" s="25" t="s">
        <v>405</v>
      </c>
    </row>
    <row r="771" spans="61:98" x14ac:dyDescent="0.3">
      <c r="BI771" s="53" t="s">
        <v>601</v>
      </c>
      <c r="BJ771" s="24" t="s">
        <v>71</v>
      </c>
      <c r="BK771" s="1" t="s">
        <v>50</v>
      </c>
      <c r="BL771" s="1" t="s">
        <v>51</v>
      </c>
      <c r="BM771" s="1" t="s">
        <v>52</v>
      </c>
      <c r="BN771" s="1" t="s">
        <v>53</v>
      </c>
      <c r="BO771" s="1" t="s">
        <v>54</v>
      </c>
      <c r="BP771" s="1" t="s">
        <v>55</v>
      </c>
      <c r="BQ771" s="1" t="s">
        <v>56</v>
      </c>
      <c r="BR771" s="1" t="s">
        <v>57</v>
      </c>
      <c r="BS771" s="1" t="s">
        <v>58</v>
      </c>
      <c r="BT771" s="1" t="s">
        <v>59</v>
      </c>
      <c r="BU771" s="1" t="s">
        <v>60</v>
      </c>
      <c r="BV771" s="1" t="s">
        <v>61</v>
      </c>
      <c r="BW771" s="1" t="s">
        <v>62</v>
      </c>
      <c r="BX771" s="1" t="s">
        <v>63</v>
      </c>
      <c r="BY771" s="1" t="s">
        <v>64</v>
      </c>
      <c r="BZ771" s="1" t="s">
        <v>65</v>
      </c>
      <c r="CA771" s="1" t="s">
        <v>66</v>
      </c>
      <c r="CB771" s="1" t="s">
        <v>67</v>
      </c>
      <c r="CC771" s="1" t="s">
        <v>68</v>
      </c>
      <c r="CD771" s="1" t="s">
        <v>69</v>
      </c>
      <c r="CE771" s="1" t="s">
        <v>70</v>
      </c>
      <c r="CF771" s="1" t="s">
        <v>929</v>
      </c>
      <c r="CG771" s="1" t="s">
        <v>930</v>
      </c>
      <c r="CH771" s="1" t="s">
        <v>931</v>
      </c>
      <c r="CI771" s="1" t="s">
        <v>932</v>
      </c>
      <c r="CJ771" s="1" t="s">
        <v>933</v>
      </c>
      <c r="CK771" s="1" t="s">
        <v>934</v>
      </c>
      <c r="CL771" s="1" t="s">
        <v>935</v>
      </c>
      <c r="CM771" s="1" t="s">
        <v>936</v>
      </c>
      <c r="CN771" s="1" t="s">
        <v>937</v>
      </c>
      <c r="CO771" s="1" t="s">
        <v>938</v>
      </c>
      <c r="CP771" s="1" t="s">
        <v>939</v>
      </c>
      <c r="CQ771" s="1" t="s">
        <v>940</v>
      </c>
      <c r="CR771" s="1" t="s">
        <v>941</v>
      </c>
      <c r="CS771" s="1" t="s">
        <v>942</v>
      </c>
      <c r="CT771" s="1" t="s">
        <v>1008</v>
      </c>
    </row>
    <row r="772" spans="61:98" x14ac:dyDescent="0.3">
      <c r="BI772" s="53"/>
      <c r="BJ772" s="24">
        <v>5</v>
      </c>
      <c r="BK772" t="s">
        <v>5</v>
      </c>
      <c r="BL772" t="s">
        <v>5</v>
      </c>
      <c r="BM772" t="s">
        <v>2</v>
      </c>
      <c r="BN772" t="s">
        <v>5</v>
      </c>
      <c r="BO772" t="s">
        <v>5</v>
      </c>
      <c r="BP772" t="s">
        <v>3</v>
      </c>
      <c r="BQ772" t="s">
        <v>5</v>
      </c>
      <c r="BR772" t="s">
        <v>2</v>
      </c>
      <c r="BS772" t="s">
        <v>3</v>
      </c>
      <c r="BT772" t="s">
        <v>5</v>
      </c>
      <c r="BU772" t="s">
        <v>2</v>
      </c>
      <c r="BV772" t="s">
        <v>5</v>
      </c>
      <c r="BW772" t="s">
        <v>5</v>
      </c>
      <c r="BX772" t="s">
        <v>2</v>
      </c>
      <c r="BY772" t="s">
        <v>2</v>
      </c>
      <c r="BZ772" t="s">
        <v>5</v>
      </c>
      <c r="CA772" t="s">
        <v>5</v>
      </c>
      <c r="CB772" t="s">
        <v>5</v>
      </c>
      <c r="CC772" t="s">
        <v>5</v>
      </c>
      <c r="CD772" t="s">
        <v>3</v>
      </c>
      <c r="CE772" t="s">
        <v>3</v>
      </c>
      <c r="CF772" t="s">
        <v>2</v>
      </c>
      <c r="CG772" t="s">
        <v>3</v>
      </c>
      <c r="CH772" t="s">
        <v>4</v>
      </c>
      <c r="CI772" t="s">
        <v>4</v>
      </c>
      <c r="CJ772" t="s">
        <v>4</v>
      </c>
      <c r="CK772" t="s">
        <v>4</v>
      </c>
      <c r="CL772" t="s">
        <v>4</v>
      </c>
      <c r="CM772" t="s">
        <v>4</v>
      </c>
      <c r="CN772" t="s">
        <v>3</v>
      </c>
      <c r="CO772" t="s">
        <v>4</v>
      </c>
      <c r="CP772" t="s">
        <v>3</v>
      </c>
      <c r="CQ772" t="s">
        <v>3</v>
      </c>
      <c r="CR772" t="s">
        <v>4</v>
      </c>
      <c r="CS772" t="s">
        <v>4</v>
      </c>
      <c r="CT772" t="s">
        <v>3</v>
      </c>
    </row>
    <row r="773" spans="61:98" x14ac:dyDescent="0.3">
      <c r="BI773" t="s">
        <v>602</v>
      </c>
    </row>
    <row r="774" spans="61:98" x14ac:dyDescent="0.3">
      <c r="BI774" s="3" t="s">
        <v>355</v>
      </c>
      <c r="BJ774">
        <f>AV18*AT30*AT36*AT41*AT48*AT54*AT58*AT66*AT71*AT76*AT84*AT89*AT96*AT102*AT107*AT113*AT120*AT126*AT132*AT138*AT142*AT148*AT155*AT160*AT163*AT167*AT171*AT175*AT179*AT183*AT188*AT191*AT196*AT200*AT203*AT207*AT212</f>
        <v>0</v>
      </c>
    </row>
    <row r="775" spans="61:98" x14ac:dyDescent="0.3">
      <c r="BI775" t="s">
        <v>605</v>
      </c>
    </row>
    <row r="776" spans="61:98" x14ac:dyDescent="0.3">
      <c r="BI776" s="3" t="s">
        <v>355</v>
      </c>
      <c r="BJ776">
        <f>AV19*AU30*AU36*AU41*AU48*AU54*AU58*AU66*AU71*AU76*AU84*AU89*AU96*AU102*AU107*AU113*AU120*AU126*AU132*AU138*AU142*AU148*AU155*AU160*AU163*AU167*AU171*AU175*AU179*AU183*AU188*AU191*AU196*AU200*AU203*AU207*AU212</f>
        <v>0</v>
      </c>
    </row>
    <row r="777" spans="61:98" x14ac:dyDescent="0.3">
      <c r="BI777" t="s">
        <v>606</v>
      </c>
    </row>
    <row r="778" spans="61:98" x14ac:dyDescent="0.3">
      <c r="BI778" s="3" t="s">
        <v>355</v>
      </c>
      <c r="BJ778">
        <f>AV20*AV30*AV36*AV41*AV48*AV54*AV58*AV66*AV71*AV76*AV84*AV89*AV96*AV102*AV107*AV113*AV120*AV126*AV132*AV138*AV142*AV148*AV155*AV160*AV163*AV167*AV171*AV175*AV179*AV183*AV188*AV191*AV196*AV200*AV203*AV207*AV212</f>
        <v>0</v>
      </c>
    </row>
    <row r="779" spans="61:98" x14ac:dyDescent="0.3">
      <c r="BI779" t="s">
        <v>607</v>
      </c>
    </row>
    <row r="780" spans="61:98" x14ac:dyDescent="0.3">
      <c r="BI780" s="3" t="s">
        <v>355</v>
      </c>
      <c r="BJ780">
        <f>AV21*AW30*AW36*AW41*AW48*AW54*AW58*AW66*AW71*AW76*AW84*AW89*AW96*AW102*AW107*AW113*AW120*AW126*AW132*AW138*AW142*AW148*AW155*AW160*AW163*AW167*AW171*AW175*AW179*AW183*AW188*AW191*AW196*AW200*AW203*AW207*AW212</f>
        <v>0</v>
      </c>
      <c r="BP780" t="s">
        <v>482</v>
      </c>
    </row>
    <row r="781" spans="61:98" x14ac:dyDescent="0.3">
      <c r="BI781" t="s">
        <v>608</v>
      </c>
    </row>
    <row r="782" spans="61:98" x14ac:dyDescent="0.3">
      <c r="BI782" s="3" t="s">
        <v>355</v>
      </c>
      <c r="BJ782">
        <f>AV22*AX30*AX36*AX41*AX48*AX54*AX58*AX66*AX71*AX76*AX84*AX89*AX96*AX102*AX107*AX113*AX120*AX126*AX132*AX138*AX142*AX148*AX155*AX160*AX163*AX167*AX171*AX175*AX179*AX183*AX188*AX191*AX196*AX200*AX203*AX207*AX212</f>
        <v>7.6796880814079975E-8</v>
      </c>
    </row>
    <row r="783" spans="61:98" x14ac:dyDescent="0.3">
      <c r="BI783" t="s">
        <v>609</v>
      </c>
    </row>
    <row r="784" spans="61:98" x14ac:dyDescent="0.3">
      <c r="BI784" s="3" t="s">
        <v>355</v>
      </c>
      <c r="BJ784">
        <f>AV23*AY30*AY36*AY41*AY48*AY54*AY58*AY66*AY71*AY76*AY84*AY89*AY96*AY102*AY107*AY113*AY120*AY126*AY132*AY138*AY142*AY148*AY155*AY160*AY163*AY167*AY171*AY175*AY179*AY183*AY188*AY191*AY196*AY200*AY203*AY207*AY212</f>
        <v>1.0837575820482974E-10</v>
      </c>
    </row>
    <row r="785" spans="61:98" x14ac:dyDescent="0.3">
      <c r="BI785" s="24" t="s">
        <v>391</v>
      </c>
      <c r="BJ785" t="s">
        <v>586</v>
      </c>
      <c r="BK785" s="25" t="s">
        <v>405</v>
      </c>
    </row>
    <row r="787" spans="61:98" x14ac:dyDescent="0.3">
      <c r="BI787" s="53" t="s">
        <v>603</v>
      </c>
      <c r="BJ787" s="24" t="s">
        <v>71</v>
      </c>
      <c r="BK787" s="1" t="s">
        <v>50</v>
      </c>
      <c r="BL787" s="1" t="s">
        <v>51</v>
      </c>
      <c r="BM787" s="1" t="s">
        <v>52</v>
      </c>
      <c r="BN787" s="1" t="s">
        <v>53</v>
      </c>
      <c r="BO787" s="1" t="s">
        <v>54</v>
      </c>
      <c r="BP787" s="1" t="s">
        <v>55</v>
      </c>
      <c r="BQ787" s="1" t="s">
        <v>56</v>
      </c>
      <c r="BR787" s="1" t="s">
        <v>57</v>
      </c>
      <c r="BS787" s="1" t="s">
        <v>58</v>
      </c>
      <c r="BT787" s="1" t="s">
        <v>59</v>
      </c>
      <c r="BU787" s="1" t="s">
        <v>60</v>
      </c>
      <c r="BV787" s="1" t="s">
        <v>61</v>
      </c>
      <c r="BW787" s="1" t="s">
        <v>62</v>
      </c>
      <c r="BX787" s="1" t="s">
        <v>63</v>
      </c>
      <c r="BY787" s="1" t="s">
        <v>64</v>
      </c>
      <c r="BZ787" s="1" t="s">
        <v>65</v>
      </c>
      <c r="CA787" s="1" t="s">
        <v>66</v>
      </c>
      <c r="CB787" s="1" t="s">
        <v>67</v>
      </c>
      <c r="CC787" s="1" t="s">
        <v>68</v>
      </c>
      <c r="CD787" s="1" t="s">
        <v>69</v>
      </c>
      <c r="CE787" s="1" t="s">
        <v>70</v>
      </c>
      <c r="CF787" s="1" t="s">
        <v>929</v>
      </c>
      <c r="CG787" s="1" t="s">
        <v>930</v>
      </c>
      <c r="CH787" s="1" t="s">
        <v>931</v>
      </c>
      <c r="CI787" s="1" t="s">
        <v>932</v>
      </c>
      <c r="CJ787" s="1" t="s">
        <v>933</v>
      </c>
      <c r="CK787" s="1" t="s">
        <v>934</v>
      </c>
      <c r="CL787" s="1" t="s">
        <v>935</v>
      </c>
      <c r="CM787" s="1" t="s">
        <v>936</v>
      </c>
      <c r="CN787" s="1" t="s">
        <v>937</v>
      </c>
      <c r="CO787" s="1" t="s">
        <v>938</v>
      </c>
      <c r="CP787" s="1" t="s">
        <v>939</v>
      </c>
      <c r="CQ787" s="1" t="s">
        <v>940</v>
      </c>
      <c r="CR787" s="1" t="s">
        <v>941</v>
      </c>
      <c r="CS787" s="1" t="s">
        <v>942</v>
      </c>
      <c r="CT787" s="1" t="s">
        <v>1008</v>
      </c>
    </row>
    <row r="788" spans="61:98" x14ac:dyDescent="0.3">
      <c r="BI788" s="53"/>
      <c r="BJ788" s="24">
        <v>5</v>
      </c>
      <c r="BK788" t="s">
        <v>5</v>
      </c>
      <c r="BL788" t="s">
        <v>3</v>
      </c>
      <c r="BM788" t="s">
        <v>3</v>
      </c>
      <c r="BN788" t="s">
        <v>5</v>
      </c>
      <c r="BO788" t="s">
        <v>5</v>
      </c>
      <c r="BP788" t="s">
        <v>5</v>
      </c>
      <c r="BQ788" t="s">
        <v>5</v>
      </c>
      <c r="BR788" t="s">
        <v>2</v>
      </c>
      <c r="BS788" t="s">
        <v>2</v>
      </c>
      <c r="BT788" t="s">
        <v>5</v>
      </c>
      <c r="BU788" t="s">
        <v>3</v>
      </c>
      <c r="BV788" t="s">
        <v>2</v>
      </c>
      <c r="BW788" t="s">
        <v>5</v>
      </c>
      <c r="BX788" t="s">
        <v>2</v>
      </c>
      <c r="BY788" t="s">
        <v>3</v>
      </c>
      <c r="BZ788" t="s">
        <v>5</v>
      </c>
      <c r="CA788" t="s">
        <v>5</v>
      </c>
      <c r="CB788" t="s">
        <v>5</v>
      </c>
      <c r="CC788" t="s">
        <v>5</v>
      </c>
      <c r="CD788" t="s">
        <v>3</v>
      </c>
      <c r="CE788" t="s">
        <v>3</v>
      </c>
      <c r="CF788" t="s">
        <v>2</v>
      </c>
      <c r="CG788" t="s">
        <v>3</v>
      </c>
      <c r="CH788" t="s">
        <v>4</v>
      </c>
      <c r="CI788" t="s">
        <v>4</v>
      </c>
      <c r="CJ788" t="s">
        <v>4</v>
      </c>
      <c r="CK788" t="s">
        <v>4</v>
      </c>
      <c r="CL788" t="s">
        <v>4</v>
      </c>
      <c r="CM788" t="s">
        <v>4</v>
      </c>
      <c r="CN788" t="s">
        <v>3</v>
      </c>
      <c r="CO788" t="s">
        <v>4</v>
      </c>
      <c r="CP788" t="s">
        <v>3</v>
      </c>
      <c r="CQ788" t="s">
        <v>4</v>
      </c>
      <c r="CR788" t="s">
        <v>4</v>
      </c>
      <c r="CS788" t="s">
        <v>4</v>
      </c>
      <c r="CT788" t="s">
        <v>3</v>
      </c>
    </row>
    <row r="789" spans="61:98" x14ac:dyDescent="0.3">
      <c r="BI789" t="s">
        <v>610</v>
      </c>
    </row>
    <row r="790" spans="61:98" x14ac:dyDescent="0.3">
      <c r="BI790" s="3" t="s">
        <v>355</v>
      </c>
      <c r="BJ790">
        <f>AV18*AT30*AT34*AT40*AT48*AT54*AT60*AT66*AT71*AT77*AT84*AT88*AT95*AT102*AT107*AT112*AT120*AT126*AT132*AT138*AT142*AT148*AT155*AT160*AT163*AT167*AT171*AT175*AT179*AT183*AT188*AT191*AT196*AT199*AT203*AT207*AT212</f>
        <v>0</v>
      </c>
    </row>
    <row r="791" spans="61:98" x14ac:dyDescent="0.3">
      <c r="BI791" t="s">
        <v>611</v>
      </c>
    </row>
    <row r="792" spans="61:98" x14ac:dyDescent="0.3">
      <c r="BI792" s="3" t="s">
        <v>355</v>
      </c>
      <c r="BJ792">
        <f>AV19*AU30*AU34*AU40*AU48*AU54*AU60*AU66*AU71*AU77*AU84*AU88*AU95*AU102*AU107*AU112*AU120*AU126*AU132*AU138*AU142*AU148*AU155*AU160*AU163*AU167*AU171*AU175*AU179*AU183*AU188*AU191*AU196*AU199*AU203*AU207*AU212</f>
        <v>0</v>
      </c>
    </row>
    <row r="793" spans="61:98" x14ac:dyDescent="0.3">
      <c r="BI793" t="s">
        <v>612</v>
      </c>
    </row>
    <row r="794" spans="61:98" x14ac:dyDescent="0.3">
      <c r="BI794" s="3" t="s">
        <v>355</v>
      </c>
      <c r="BJ794">
        <f>AV20*AV30*AV34*AV40*AV48*AV54*AV60*AV66*AV71*AV77*AV84*AV88*AV95*AV102*AV107*AV112*AV120*AV126*AV132*AV138*AV142*AV148*AV155*AV160*AV163*AV167*AV171*AV175*AV179*AV183*AV188*AV191*AV196*AV199*AV203*AV207*AV212</f>
        <v>0</v>
      </c>
    </row>
    <row r="795" spans="61:98" x14ac:dyDescent="0.3">
      <c r="BI795" t="s">
        <v>613</v>
      </c>
    </row>
    <row r="796" spans="61:98" x14ac:dyDescent="0.3">
      <c r="BI796" s="3" t="s">
        <v>355</v>
      </c>
      <c r="BJ796">
        <f>AV21*AW30*AW34*AW40*AW48*AW54*AW60*AW66*AW71*AW77*AW84*AW88*AW95*AW102*AW107*AW112*AW120*AW126*AW132*AW138*AW142*AW148*AW155*AW160*AW163*AW167*AW171*AW175*AW179*AW183*AW188*AW191*AW196*AW199*AW203*AW207*AW212</f>
        <v>2.6132271943680004E-7</v>
      </c>
    </row>
    <row r="797" spans="61:98" x14ac:dyDescent="0.3">
      <c r="BI797" t="s">
        <v>614</v>
      </c>
    </row>
    <row r="798" spans="61:98" x14ac:dyDescent="0.3">
      <c r="BI798" s="3" t="s">
        <v>355</v>
      </c>
      <c r="BJ798">
        <f>AV22*AX30*AX34*AX40*AX48*AX54*AX60*AX66*AX71*AX77*AX84*AX88*AX95*AX102*AX107*AX112*AX120*AX126*AX132*AX138*AX142*AX148*AX155*AX160*AX163*AX167*AX171*AX175*AX179*AX183*AX188*AX191*AX196*AX199*AX203*AX207*AX212</f>
        <v>3.0718752325632006E-7</v>
      </c>
    </row>
    <row r="799" spans="61:98" x14ac:dyDescent="0.3">
      <c r="BI799" t="s">
        <v>615</v>
      </c>
    </row>
    <row r="800" spans="61:98" x14ac:dyDescent="0.3">
      <c r="BI800" s="3" t="s">
        <v>355</v>
      </c>
      <c r="BJ800">
        <f>AV23*AY30*AY34*AY40*AY48*AY54*AY60*AY66*AY71*AY77*AY84*AY88*AY95*AY102*AY107*AY112*AY120*AY126*AY132*AY138*AY142*AY148*AY155*AY160*AY163*AY167*AY171*AY175*AY179*AY183*AY188*AY191*AY196*AY199*AY203*AY207*AY212</f>
        <v>4.8769091192173363E-10</v>
      </c>
    </row>
    <row r="801" spans="61:98" x14ac:dyDescent="0.3">
      <c r="BI801" s="27" t="s">
        <v>391</v>
      </c>
      <c r="BJ801" t="s">
        <v>616</v>
      </c>
      <c r="BK801" s="26" t="s">
        <v>617</v>
      </c>
    </row>
    <row r="802" spans="61:98" x14ac:dyDescent="0.3">
      <c r="BI802" s="3"/>
    </row>
    <row r="803" spans="61:98" x14ac:dyDescent="0.3">
      <c r="BI803" s="53" t="s">
        <v>604</v>
      </c>
      <c r="BJ803" s="24" t="s">
        <v>71</v>
      </c>
      <c r="BK803" s="1" t="s">
        <v>50</v>
      </c>
      <c r="BL803" s="1" t="s">
        <v>51</v>
      </c>
      <c r="BM803" s="1" t="s">
        <v>52</v>
      </c>
      <c r="BN803" s="1" t="s">
        <v>53</v>
      </c>
      <c r="BO803" s="1" t="s">
        <v>54</v>
      </c>
      <c r="BP803" s="1" t="s">
        <v>55</v>
      </c>
      <c r="BQ803" s="1" t="s">
        <v>56</v>
      </c>
      <c r="BR803" s="1" t="s">
        <v>57</v>
      </c>
      <c r="BS803" s="1" t="s">
        <v>58</v>
      </c>
      <c r="BT803" s="1" t="s">
        <v>59</v>
      </c>
      <c r="BU803" s="1" t="s">
        <v>60</v>
      </c>
      <c r="BV803" s="1" t="s">
        <v>61</v>
      </c>
      <c r="BW803" s="1" t="s">
        <v>62</v>
      </c>
      <c r="BX803" s="1" t="s">
        <v>63</v>
      </c>
      <c r="BY803" s="1" t="s">
        <v>64</v>
      </c>
      <c r="BZ803" s="1" t="s">
        <v>65</v>
      </c>
      <c r="CA803" s="1" t="s">
        <v>66</v>
      </c>
      <c r="CB803" s="1" t="s">
        <v>67</v>
      </c>
      <c r="CC803" s="1" t="s">
        <v>68</v>
      </c>
      <c r="CD803" s="1" t="s">
        <v>69</v>
      </c>
      <c r="CE803" s="1" t="s">
        <v>70</v>
      </c>
      <c r="CF803" s="1" t="s">
        <v>929</v>
      </c>
      <c r="CG803" s="1" t="s">
        <v>930</v>
      </c>
      <c r="CH803" s="1" t="s">
        <v>931</v>
      </c>
      <c r="CI803" s="1" t="s">
        <v>932</v>
      </c>
      <c r="CJ803" s="1" t="s">
        <v>933</v>
      </c>
      <c r="CK803" s="1" t="s">
        <v>934</v>
      </c>
      <c r="CL803" s="1" t="s">
        <v>935</v>
      </c>
      <c r="CM803" s="1" t="s">
        <v>936</v>
      </c>
      <c r="CN803" s="1" t="s">
        <v>937</v>
      </c>
      <c r="CO803" s="1" t="s">
        <v>938</v>
      </c>
      <c r="CP803" s="1" t="s">
        <v>939</v>
      </c>
      <c r="CQ803" s="1" t="s">
        <v>940</v>
      </c>
      <c r="CR803" s="1" t="s">
        <v>941</v>
      </c>
      <c r="CS803" s="1" t="s">
        <v>942</v>
      </c>
      <c r="CT803" s="1" t="s">
        <v>1008</v>
      </c>
    </row>
    <row r="804" spans="61:98" x14ac:dyDescent="0.3">
      <c r="BI804" s="53"/>
      <c r="BJ804" s="24">
        <v>6</v>
      </c>
      <c r="BK804" t="s">
        <v>5</v>
      </c>
      <c r="BL804" t="s">
        <v>3</v>
      </c>
      <c r="BM804" t="s">
        <v>3</v>
      </c>
      <c r="BN804" t="s">
        <v>5</v>
      </c>
      <c r="BO804" t="s">
        <v>5</v>
      </c>
      <c r="BP804" t="s">
        <v>5</v>
      </c>
      <c r="BQ804" t="s">
        <v>5</v>
      </c>
      <c r="BR804" t="s">
        <v>5</v>
      </c>
      <c r="BS804" t="s">
        <v>2</v>
      </c>
      <c r="BT804" t="s">
        <v>3</v>
      </c>
      <c r="BU804" t="s">
        <v>2</v>
      </c>
      <c r="BV804" t="s">
        <v>3</v>
      </c>
      <c r="BW804" t="s">
        <v>2</v>
      </c>
      <c r="BX804" t="s">
        <v>2</v>
      </c>
      <c r="BY804" t="s">
        <v>3</v>
      </c>
      <c r="BZ804" t="s">
        <v>5</v>
      </c>
      <c r="CA804" t="s">
        <v>2</v>
      </c>
      <c r="CB804" t="s">
        <v>5</v>
      </c>
      <c r="CC804" t="s">
        <v>3</v>
      </c>
      <c r="CD804" t="s">
        <v>3</v>
      </c>
      <c r="CE804" t="s">
        <v>3</v>
      </c>
      <c r="CF804" t="s">
        <v>2</v>
      </c>
      <c r="CG804" t="s">
        <v>3</v>
      </c>
      <c r="CH804" t="s">
        <v>4</v>
      </c>
      <c r="CI804" t="s">
        <v>4</v>
      </c>
      <c r="CJ804" t="s">
        <v>3</v>
      </c>
      <c r="CK804" t="s">
        <v>4</v>
      </c>
      <c r="CL804" t="s">
        <v>4</v>
      </c>
      <c r="CM804" t="s">
        <v>3</v>
      </c>
      <c r="CN804" t="s">
        <v>3</v>
      </c>
      <c r="CO804" t="s">
        <v>4</v>
      </c>
      <c r="CP804" t="s">
        <v>3</v>
      </c>
      <c r="CQ804" t="s">
        <v>4</v>
      </c>
      <c r="CR804" t="s">
        <v>4</v>
      </c>
      <c r="CS804" t="s">
        <v>3</v>
      </c>
      <c r="CT804" t="s">
        <v>3</v>
      </c>
    </row>
    <row r="805" spans="61:98" x14ac:dyDescent="0.3">
      <c r="BI805" t="s">
        <v>618</v>
      </c>
    </row>
    <row r="806" spans="61:98" x14ac:dyDescent="0.3">
      <c r="BI806" s="3" t="s">
        <v>355</v>
      </c>
      <c r="BJ806">
        <f>AV18*AT30*AT34*AT40*AT48*AT54*AT60*AT66*AT72*AT77*AT82*AT89*AT94*AT101*AT107*AT112*AT120*AT125*AT132*AT136*AT142*AT148*AT155*AT160*AT163*AT167*AT172*AT175*AT179*AT184*AT188*AT191*AT196*AT199*AT203*AT208*AT212</f>
        <v>0</v>
      </c>
    </row>
    <row r="807" spans="61:98" x14ac:dyDescent="0.3">
      <c r="BI807" t="s">
        <v>619</v>
      </c>
    </row>
    <row r="808" spans="61:98" x14ac:dyDescent="0.3">
      <c r="BI808" s="3" t="s">
        <v>355</v>
      </c>
      <c r="BJ808">
        <f>AV19*AU30*AU34*AU40*AU48*AU54*AU60*AU66*AU72*AU77*AU82*AU89*AU94*AU101*AU107*AU112*AU120*AU125*AU132*AU136*AU142*AU148*AU155*AU160*AU163*AU167*AU172*AU175*AU179*AU184*AU188*AU191*AU196*AU199*AU203*AU208*AU212</f>
        <v>0</v>
      </c>
    </row>
    <row r="809" spans="61:98" x14ac:dyDescent="0.3">
      <c r="BI809" t="s">
        <v>620</v>
      </c>
    </row>
    <row r="810" spans="61:98" x14ac:dyDescent="0.3">
      <c r="BI810" s="3" t="s">
        <v>355</v>
      </c>
      <c r="BJ810">
        <f>AV20*AV30*AV34*AV40*AV48*AV54*AV60*AV66*AV72*AV77*AV82*AV89*AV94*AV101*AV107*AV112*AV120*AV125*AV132*AV136*AV142*AV148*AV155*AV160*AV163*AV167*AV172*AV175*AV179*AV184*AV188*AV191*AV196*AV199*AV203*AV208*AV212</f>
        <v>0</v>
      </c>
    </row>
    <row r="811" spans="61:98" x14ac:dyDescent="0.3">
      <c r="BI811" t="s">
        <v>621</v>
      </c>
    </row>
    <row r="812" spans="61:98" x14ac:dyDescent="0.3">
      <c r="BI812" s="3" t="s">
        <v>355</v>
      </c>
      <c r="BJ812">
        <f>AV21*AW30*AW34*AW40*AW48*AW54*AW60*AW66*AW72*AW77*AW82*AW89*AW94*AW101*AW107*AW112*AW120*AW125*AW132*AW136*AW142*AW148*AW155*AW160*AW163*AW167*AW172*AW175*AW179*AW184*AW188*AW191*AW196*AW199*AW203*AW208*AW212</f>
        <v>0</v>
      </c>
    </row>
    <row r="813" spans="61:98" x14ac:dyDescent="0.3">
      <c r="BI813" t="s">
        <v>622</v>
      </c>
    </row>
    <row r="814" spans="61:98" x14ac:dyDescent="0.3">
      <c r="BI814" s="3" t="s">
        <v>355</v>
      </c>
      <c r="BJ814">
        <f>AV22*AX30*AX34*AX40*AX48*AX54*AX60*AX66*AX72*AX77*AX82*AX89*AX94*AX101*AX107*AX112*AX120*AX125*AX132*AX136*AX142*AX148*AX155*AX160*AX163*AX167*AX172*AX175*AX179*AX184*AX188*AX191*AX196*AX199*AX203*AX208*AX212</f>
        <v>0</v>
      </c>
    </row>
    <row r="815" spans="61:98" x14ac:dyDescent="0.3">
      <c r="BI815" t="s">
        <v>623</v>
      </c>
    </row>
    <row r="816" spans="61:98" x14ac:dyDescent="0.3">
      <c r="BI816" s="3" t="s">
        <v>355</v>
      </c>
      <c r="BJ816">
        <f>AV23*AY30*AY34*AY40*AY48*AY54*AY60*AY66*AY72*AY77*AY82*AY89*AY94*AY101*AY107*AY112*AY120*AY125*AY132*AY136*AY142*AY148*AY155*AY160*AY163*AY167*AY172*AY175*AY179*AY184*AY188*AY191*AY196*AY199*AY203*AY208*AY212</f>
        <v>3.9811503014019073E-13</v>
      </c>
    </row>
    <row r="817" spans="61:98" x14ac:dyDescent="0.3">
      <c r="BI817" s="27" t="s">
        <v>391</v>
      </c>
      <c r="BJ817" t="s">
        <v>377</v>
      </c>
      <c r="BK817" s="25" t="s">
        <v>405</v>
      </c>
    </row>
    <row r="819" spans="61:98" x14ac:dyDescent="0.3">
      <c r="BI819" s="53" t="s">
        <v>624</v>
      </c>
      <c r="BJ819" s="24" t="s">
        <v>71</v>
      </c>
      <c r="BK819" s="1" t="s">
        <v>50</v>
      </c>
      <c r="BL819" s="1" t="s">
        <v>51</v>
      </c>
      <c r="BM819" s="1" t="s">
        <v>52</v>
      </c>
      <c r="BN819" s="1" t="s">
        <v>53</v>
      </c>
      <c r="BO819" s="1" t="s">
        <v>54</v>
      </c>
      <c r="BP819" s="1" t="s">
        <v>55</v>
      </c>
      <c r="BQ819" s="1" t="s">
        <v>56</v>
      </c>
      <c r="BR819" s="1" t="s">
        <v>57</v>
      </c>
      <c r="BS819" s="1" t="s">
        <v>58</v>
      </c>
      <c r="BT819" s="1" t="s">
        <v>59</v>
      </c>
      <c r="BU819" s="1" t="s">
        <v>60</v>
      </c>
      <c r="BV819" s="1" t="s">
        <v>61</v>
      </c>
      <c r="BW819" s="1" t="s">
        <v>62</v>
      </c>
      <c r="BX819" s="1" t="s">
        <v>63</v>
      </c>
      <c r="BY819" s="1" t="s">
        <v>64</v>
      </c>
      <c r="BZ819" s="1" t="s">
        <v>65</v>
      </c>
      <c r="CA819" s="1" t="s">
        <v>66</v>
      </c>
      <c r="CB819" s="1" t="s">
        <v>67</v>
      </c>
      <c r="CC819" s="1" t="s">
        <v>68</v>
      </c>
      <c r="CD819" s="1" t="s">
        <v>69</v>
      </c>
      <c r="CE819" s="1" t="s">
        <v>70</v>
      </c>
      <c r="CF819" s="1" t="s">
        <v>929</v>
      </c>
      <c r="CG819" s="1" t="s">
        <v>930</v>
      </c>
      <c r="CH819" s="1" t="s">
        <v>931</v>
      </c>
      <c r="CI819" s="1" t="s">
        <v>932</v>
      </c>
      <c r="CJ819" s="1" t="s">
        <v>933</v>
      </c>
      <c r="CK819" s="1" t="s">
        <v>934</v>
      </c>
      <c r="CL819" s="1" t="s">
        <v>935</v>
      </c>
      <c r="CM819" s="1" t="s">
        <v>936</v>
      </c>
      <c r="CN819" s="1" t="s">
        <v>937</v>
      </c>
      <c r="CO819" s="1" t="s">
        <v>938</v>
      </c>
      <c r="CP819" s="1" t="s">
        <v>939</v>
      </c>
      <c r="CQ819" s="1" t="s">
        <v>940</v>
      </c>
      <c r="CR819" s="1" t="s">
        <v>941</v>
      </c>
      <c r="CS819" s="1" t="s">
        <v>942</v>
      </c>
      <c r="CT819" s="1" t="s">
        <v>1008</v>
      </c>
    </row>
    <row r="820" spans="61:98" x14ac:dyDescent="0.3">
      <c r="BI820" s="53"/>
      <c r="BJ820" s="24">
        <v>6</v>
      </c>
      <c r="BK820" t="s">
        <v>5</v>
      </c>
      <c r="BL820" t="s">
        <v>5</v>
      </c>
      <c r="BM820" t="s">
        <v>5</v>
      </c>
      <c r="BN820" t="s">
        <v>5</v>
      </c>
      <c r="BO820" t="s">
        <v>5</v>
      </c>
      <c r="BP820" t="s">
        <v>5</v>
      </c>
      <c r="BQ820" t="s">
        <v>5</v>
      </c>
      <c r="BR820" t="s">
        <v>2</v>
      </c>
      <c r="BS820" t="s">
        <v>4</v>
      </c>
      <c r="BT820" t="s">
        <v>4</v>
      </c>
      <c r="BU820" t="s">
        <v>4</v>
      </c>
      <c r="BV820" t="s">
        <v>5</v>
      </c>
      <c r="BW820" t="s">
        <v>5</v>
      </c>
      <c r="BX820" t="s">
        <v>3</v>
      </c>
      <c r="BY820" t="s">
        <v>5</v>
      </c>
      <c r="BZ820" t="s">
        <v>5</v>
      </c>
      <c r="CA820" t="s">
        <v>2</v>
      </c>
      <c r="CB820" t="s">
        <v>5</v>
      </c>
      <c r="CC820" t="s">
        <v>3</v>
      </c>
      <c r="CD820" t="s">
        <v>3</v>
      </c>
      <c r="CE820" t="s">
        <v>3</v>
      </c>
      <c r="CF820" t="s">
        <v>2</v>
      </c>
      <c r="CG820" t="s">
        <v>3</v>
      </c>
      <c r="CH820" t="s">
        <v>4</v>
      </c>
      <c r="CI820" t="s">
        <v>4</v>
      </c>
      <c r="CJ820" t="s">
        <v>4</v>
      </c>
      <c r="CK820" t="s">
        <v>4</v>
      </c>
      <c r="CL820" t="s">
        <v>3</v>
      </c>
      <c r="CM820" t="s">
        <v>3</v>
      </c>
      <c r="CN820" t="s">
        <v>3</v>
      </c>
      <c r="CO820" t="s">
        <v>4</v>
      </c>
      <c r="CP820" t="s">
        <v>3</v>
      </c>
      <c r="CQ820" t="s">
        <v>3</v>
      </c>
      <c r="CR820" t="s">
        <v>3</v>
      </c>
      <c r="CS820" t="s">
        <v>3</v>
      </c>
      <c r="CT820" t="s">
        <v>3</v>
      </c>
    </row>
    <row r="821" spans="61:98" x14ac:dyDescent="0.3">
      <c r="BI821" t="s">
        <v>625</v>
      </c>
    </row>
    <row r="822" spans="61:98" x14ac:dyDescent="0.3">
      <c r="BI822" s="3" t="s">
        <v>355</v>
      </c>
      <c r="BJ822">
        <f>AV18*AT30*AT36*AT42*AT48*AT54*AT60*AT66*AT71*AT75*AT81*AT87*AT96*AT102*AT106*AT114*AT120*AT125*AT132*AT136*AT142*AT148*AT155*AT160*AT163*AT167*AT171*AT175*AT180*AT184*AT188*AT191*AT196*AT200*AT204*AT208*AT212</f>
        <v>0</v>
      </c>
    </row>
    <row r="823" spans="61:98" x14ac:dyDescent="0.3">
      <c r="BI823" t="s">
        <v>626</v>
      </c>
    </row>
    <row r="824" spans="61:98" x14ac:dyDescent="0.3">
      <c r="BI824" s="3" t="s">
        <v>355</v>
      </c>
      <c r="BJ824">
        <f>AV19*AU30*AU36*AU42*AU48*AU54*AU60*AU66*AU71*AU75*AU81*AU87*AU96*AU102*AU106*AU114*AU120*AU125*AU132*AU136*AU142*AU148*AU155*AU160*AU163*AU167*AU171*AU175*AU180*AU184*AU188*AU191*AU196*AU200*AU204*AU208*AU212</f>
        <v>0</v>
      </c>
    </row>
    <row r="825" spans="61:98" x14ac:dyDescent="0.3">
      <c r="BI825" t="s">
        <v>627</v>
      </c>
    </row>
    <row r="826" spans="61:98" x14ac:dyDescent="0.3">
      <c r="BI826" s="3" t="s">
        <v>355</v>
      </c>
      <c r="BJ826">
        <f>AV20*AV30*AV36*AV42*AV48*AV54*AV60*AV66*AV71*AV75*AV81*AV87*AV96*AV102*AV106*AV114*AV120*AV125*AV132*AV136*AV142*AV148*AV155*AV160*AV163*AV167*AV171*AV175*AV180*AV184*AV188*AV191*AV196*AV200*AV204*AV208*AV212</f>
        <v>0</v>
      </c>
    </row>
    <row r="827" spans="61:98" x14ac:dyDescent="0.3">
      <c r="BI827" t="s">
        <v>628</v>
      </c>
    </row>
    <row r="828" spans="61:98" x14ac:dyDescent="0.3">
      <c r="BI828" s="3" t="s">
        <v>355</v>
      </c>
      <c r="BJ828">
        <f>AV21*AW30*AW36*AW42*AW48*AW54*AW60*AW66*AW71*AW75*AW81*AW87*AW96*AW102*AW106*AW114*AW120*AW125*AW132*AW136*AW142*AW148*AW155*AW160*AW163*AW167*AW171*AW175*AW180*AW184*AW188*AW191*AW196*AW200*AW204*AW208*AW212</f>
        <v>0</v>
      </c>
    </row>
    <row r="829" spans="61:98" x14ac:dyDescent="0.3">
      <c r="BI829" t="s">
        <v>629</v>
      </c>
    </row>
    <row r="830" spans="61:98" x14ac:dyDescent="0.3">
      <c r="BI830" s="3" t="s">
        <v>355</v>
      </c>
      <c r="BJ830">
        <f>AV22*AX30*AX36*AX42*AX48*AX54*AX60*AX66*AX71*AX75*AX81*AX87*AX96*AX102*AX106*AX114*AX120*AX125*AX132*AX136*AX142*AX148*AX155*AX160*AX163*AX167*AX171*AX175*AX180*AX184*AX188*AX191*AX196*AX200*AX204*AX208*AX212</f>
        <v>0</v>
      </c>
    </row>
    <row r="831" spans="61:98" x14ac:dyDescent="0.3">
      <c r="BI831" t="s">
        <v>630</v>
      </c>
    </row>
    <row r="832" spans="61:98" x14ac:dyDescent="0.3">
      <c r="BI832" s="3" t="s">
        <v>355</v>
      </c>
      <c r="BJ832">
        <f>AV23*AY30*AY36*AY42*AY48*AY54*AY60*AY66*AY71*AY75*AY81*AY87*AY96*AY102*AY106*AY114*AY120*AY125*AY132*AY136*AY142*AY148*AY155*AY160*AY163*AY167*AY171*AY175*AY180*AY184*AY188*AY191*AY196*AY200*AY204*AY208*AY212</f>
        <v>3.3441662531776048E-10</v>
      </c>
    </row>
    <row r="833" spans="61:98" x14ac:dyDescent="0.3">
      <c r="BI833" s="24" t="s">
        <v>396</v>
      </c>
      <c r="BJ833" t="s">
        <v>564</v>
      </c>
      <c r="BK833" s="25" t="s">
        <v>481</v>
      </c>
    </row>
    <row r="835" spans="61:98" x14ac:dyDescent="0.3">
      <c r="BI835" s="53" t="s">
        <v>631</v>
      </c>
      <c r="BJ835" s="24" t="s">
        <v>71</v>
      </c>
      <c r="BK835" s="1" t="s">
        <v>50</v>
      </c>
      <c r="BL835" s="1" t="s">
        <v>51</v>
      </c>
      <c r="BM835" s="1" t="s">
        <v>52</v>
      </c>
      <c r="BN835" s="1" t="s">
        <v>53</v>
      </c>
      <c r="BO835" s="1" t="s">
        <v>54</v>
      </c>
      <c r="BP835" s="1" t="s">
        <v>55</v>
      </c>
      <c r="BQ835" s="1" t="s">
        <v>56</v>
      </c>
      <c r="BR835" s="1" t="s">
        <v>57</v>
      </c>
      <c r="BS835" s="1" t="s">
        <v>58</v>
      </c>
      <c r="BT835" s="1" t="s">
        <v>59</v>
      </c>
      <c r="BU835" s="1" t="s">
        <v>60</v>
      </c>
      <c r="BV835" s="1" t="s">
        <v>61</v>
      </c>
      <c r="BW835" s="1" t="s">
        <v>62</v>
      </c>
      <c r="BX835" s="1" t="s">
        <v>63</v>
      </c>
      <c r="BY835" s="1" t="s">
        <v>64</v>
      </c>
      <c r="BZ835" s="1" t="s">
        <v>65</v>
      </c>
      <c r="CA835" s="1" t="s">
        <v>66</v>
      </c>
      <c r="CB835" s="1" t="s">
        <v>67</v>
      </c>
      <c r="CC835" s="1" t="s">
        <v>68</v>
      </c>
      <c r="CD835" s="1" t="s">
        <v>69</v>
      </c>
      <c r="CE835" s="1" t="s">
        <v>70</v>
      </c>
      <c r="CF835" s="1" t="s">
        <v>929</v>
      </c>
      <c r="CG835" s="1" t="s">
        <v>930</v>
      </c>
      <c r="CH835" s="1" t="s">
        <v>931</v>
      </c>
      <c r="CI835" s="1" t="s">
        <v>932</v>
      </c>
      <c r="CJ835" s="1" t="s">
        <v>933</v>
      </c>
      <c r="CK835" s="1" t="s">
        <v>934</v>
      </c>
      <c r="CL835" s="1" t="s">
        <v>935</v>
      </c>
      <c r="CM835" s="1" t="s">
        <v>936</v>
      </c>
      <c r="CN835" s="1" t="s">
        <v>937</v>
      </c>
      <c r="CO835" s="1" t="s">
        <v>938</v>
      </c>
      <c r="CP835" s="1" t="s">
        <v>939</v>
      </c>
      <c r="CQ835" s="1" t="s">
        <v>940</v>
      </c>
      <c r="CR835" s="1" t="s">
        <v>941</v>
      </c>
      <c r="CS835" s="1" t="s">
        <v>942</v>
      </c>
      <c r="CT835" s="1" t="s">
        <v>1008</v>
      </c>
    </row>
    <row r="836" spans="61:98" x14ac:dyDescent="0.3">
      <c r="BI836" s="53"/>
      <c r="BJ836" s="24">
        <v>6</v>
      </c>
      <c r="BK836" t="s">
        <v>5</v>
      </c>
      <c r="BL836" t="s">
        <v>3</v>
      </c>
      <c r="BM836" t="s">
        <v>2</v>
      </c>
      <c r="BN836" t="s">
        <v>5</v>
      </c>
      <c r="BO836" t="s">
        <v>5</v>
      </c>
      <c r="BP836" t="s">
        <v>5</v>
      </c>
      <c r="BQ836" t="s">
        <v>5</v>
      </c>
      <c r="BR836" t="s">
        <v>2</v>
      </c>
      <c r="BS836" t="s">
        <v>2</v>
      </c>
      <c r="BT836" t="s">
        <v>4</v>
      </c>
      <c r="BU836" t="s">
        <v>4</v>
      </c>
      <c r="BV836" t="s">
        <v>5</v>
      </c>
      <c r="BW836" t="s">
        <v>5</v>
      </c>
      <c r="BX836" t="s">
        <v>4</v>
      </c>
      <c r="BY836" t="s">
        <v>5</v>
      </c>
      <c r="BZ836" t="s">
        <v>5</v>
      </c>
      <c r="CA836" t="s">
        <v>2</v>
      </c>
      <c r="CB836" t="s">
        <v>5</v>
      </c>
      <c r="CC836" t="s">
        <v>5</v>
      </c>
      <c r="CD836" t="s">
        <v>4</v>
      </c>
      <c r="CE836" t="s">
        <v>3</v>
      </c>
      <c r="CF836" t="s">
        <v>2</v>
      </c>
      <c r="CG836" t="s">
        <v>3</v>
      </c>
      <c r="CH836" t="s">
        <v>3</v>
      </c>
      <c r="CI836" t="s">
        <v>4</v>
      </c>
      <c r="CJ836" t="s">
        <v>4</v>
      </c>
      <c r="CK836" t="s">
        <v>4</v>
      </c>
      <c r="CL836" t="s">
        <v>4</v>
      </c>
      <c r="CM836" t="s">
        <v>4</v>
      </c>
      <c r="CN836" t="s">
        <v>3</v>
      </c>
      <c r="CO836" t="s">
        <v>4</v>
      </c>
      <c r="CP836" t="s">
        <v>3</v>
      </c>
      <c r="CQ836" t="s">
        <v>4</v>
      </c>
      <c r="CR836" t="s">
        <v>4</v>
      </c>
      <c r="CS836" t="s">
        <v>4</v>
      </c>
      <c r="CT836" t="s">
        <v>3</v>
      </c>
    </row>
    <row r="837" spans="61:98" x14ac:dyDescent="0.3">
      <c r="BI837" t="s">
        <v>632</v>
      </c>
    </row>
    <row r="838" spans="61:98" x14ac:dyDescent="0.3">
      <c r="BI838" s="3" t="s">
        <v>355</v>
      </c>
      <c r="BJ838">
        <f>AV18*AT30*AT34*AT41*AT48*AT54*AT60*AT66*AT71*AT77*AT81*AT87*AT96*AT102*AT105*AT114*AT120*AT125*AT132*AT138*AT141*AT148*AT155*AT160*AT164*AT167*AT171*AT175*AT179*AT183*AT188*AT191*AT196*AT199*AT203*AT207*AT212</f>
        <v>0</v>
      </c>
    </row>
    <row r="839" spans="61:98" x14ac:dyDescent="0.3">
      <c r="BI839" t="s">
        <v>634</v>
      </c>
    </row>
    <row r="840" spans="61:98" x14ac:dyDescent="0.3">
      <c r="BI840" s="3" t="s">
        <v>355</v>
      </c>
      <c r="BJ840">
        <f>AV19*AU30*AU34*AU41*AU48*AU54*AU60*AU66*AU71*AU77*AU81*AU87*AU96*AU102*AU105*AU114*AU120*AU125*AU132*AU138*AU141*AU148*AU155*AU160*AU164*AU167*AU171*AU175*AU179*AU183*AU188*AU191*AU196*AU199*AU203*AU207*AU212</f>
        <v>0</v>
      </c>
    </row>
    <row r="841" spans="61:98" x14ac:dyDescent="0.3">
      <c r="BI841" t="s">
        <v>635</v>
      </c>
    </row>
    <row r="842" spans="61:98" x14ac:dyDescent="0.3">
      <c r="BI842" s="3" t="s">
        <v>355</v>
      </c>
      <c r="BJ842">
        <f>AV20*AV30*AV34*AV41*AV48*AV54*AV60*AV66*AV71*AV77*AV81*AV87*AV96*AV102*AV105*AV114*AV120*AV125*AV132*AV138*AV141*AV148*AV155*AV160*AV164*AV167*AV171*AV175*AV179*AV183*AV188*AV191*AV196*AV199*AV203*AV207*AV212</f>
        <v>0</v>
      </c>
    </row>
    <row r="843" spans="61:98" x14ac:dyDescent="0.3">
      <c r="BI843" t="s">
        <v>636</v>
      </c>
    </row>
    <row r="844" spans="61:98" x14ac:dyDescent="0.3">
      <c r="BI844" s="3" t="s">
        <v>355</v>
      </c>
      <c r="BJ844">
        <f>AV21*AW30*AW34*AW41*AW48*AW54*AW60*AW66*AW71*AW77*AW81*AW87*AW96*AW102*AW105*AW114*AW120*AW125*AW132*AW138*AW141*AW148*AW155*AW160*AW164*AW167*AW171*AW175*AW179*AW183*AW188*AW191*AW196*AW199*AW203*AW207*AW212</f>
        <v>0</v>
      </c>
    </row>
    <row r="845" spans="61:98" x14ac:dyDescent="0.3">
      <c r="BI845" t="s">
        <v>637</v>
      </c>
    </row>
    <row r="846" spans="61:98" x14ac:dyDescent="0.3">
      <c r="BI846" s="3" t="s">
        <v>355</v>
      </c>
      <c r="BJ846">
        <f>AV22*AX30*AX34*AX41*AX48*AX54*AX60*AX66*AX71*AX77*AX81*AX87*AX96*AX102*AX105*AX114*AX120*AX125*AX132*AX138*AX141*AX148*AX155*AX160*AX164*AX167*AX171*AX175*AX179*AX183*AX188*AX191*AX196*AX199*AX203*AX207*AX212</f>
        <v>0</v>
      </c>
    </row>
    <row r="847" spans="61:98" x14ac:dyDescent="0.3">
      <c r="BI847" t="s">
        <v>638</v>
      </c>
    </row>
    <row r="848" spans="61:98" x14ac:dyDescent="0.3">
      <c r="BI848" s="3" t="s">
        <v>355</v>
      </c>
      <c r="BJ848">
        <f>AV23*AY30*AY34*AY41*AY48*AY54*AY60*AY66*AY71*AY77*AY81*AY87*AY96*AY102*AY105*AY114*AY120*AY125*AY132*AY138*AY141*AY148*AY155*AY160*AY164*AY167*AY171*AY175*AY179*AY183*AY188*AY191*AY196*AY199*AY203*AY207*AY212</f>
        <v>1.0241509150356406E-8</v>
      </c>
    </row>
    <row r="849" spans="61:98" x14ac:dyDescent="0.3">
      <c r="BI849" s="24" t="s">
        <v>391</v>
      </c>
      <c r="BJ849" t="s">
        <v>564</v>
      </c>
      <c r="BK849" s="25" t="s">
        <v>405</v>
      </c>
    </row>
    <row r="851" spans="61:98" x14ac:dyDescent="0.3">
      <c r="BI851" s="53" t="s">
        <v>633</v>
      </c>
      <c r="BJ851" s="24" t="s">
        <v>71</v>
      </c>
      <c r="BK851" s="1" t="s">
        <v>50</v>
      </c>
      <c r="BL851" s="1" t="s">
        <v>51</v>
      </c>
      <c r="BM851" s="1" t="s">
        <v>52</v>
      </c>
      <c r="BN851" s="1" t="s">
        <v>53</v>
      </c>
      <c r="BO851" s="1" t="s">
        <v>54</v>
      </c>
      <c r="BP851" s="1" t="s">
        <v>55</v>
      </c>
      <c r="BQ851" s="1" t="s">
        <v>56</v>
      </c>
      <c r="BR851" s="1" t="s">
        <v>57</v>
      </c>
      <c r="BS851" s="1" t="s">
        <v>58</v>
      </c>
      <c r="BT851" s="1" t="s">
        <v>59</v>
      </c>
      <c r="BU851" s="1" t="s">
        <v>60</v>
      </c>
      <c r="BV851" s="1" t="s">
        <v>61</v>
      </c>
      <c r="BW851" s="1" t="s">
        <v>62</v>
      </c>
      <c r="BX851" s="1" t="s">
        <v>63</v>
      </c>
      <c r="BY851" s="1" t="s">
        <v>64</v>
      </c>
      <c r="BZ851" s="1" t="s">
        <v>65</v>
      </c>
      <c r="CA851" s="1" t="s">
        <v>66</v>
      </c>
      <c r="CB851" s="1" t="s">
        <v>67</v>
      </c>
      <c r="CC851" s="1" t="s">
        <v>68</v>
      </c>
      <c r="CD851" s="1" t="s">
        <v>69</v>
      </c>
      <c r="CE851" s="1" t="s">
        <v>70</v>
      </c>
      <c r="CF851" s="1" t="s">
        <v>929</v>
      </c>
      <c r="CG851" s="1" t="s">
        <v>930</v>
      </c>
      <c r="CH851" s="1" t="s">
        <v>931</v>
      </c>
      <c r="CI851" s="1" t="s">
        <v>932</v>
      </c>
      <c r="CJ851" s="1" t="s">
        <v>933</v>
      </c>
      <c r="CK851" s="1" t="s">
        <v>934</v>
      </c>
      <c r="CL851" s="1" t="s">
        <v>935</v>
      </c>
      <c r="CM851" s="1" t="s">
        <v>936</v>
      </c>
      <c r="CN851" s="1" t="s">
        <v>937</v>
      </c>
      <c r="CO851" s="1" t="s">
        <v>938</v>
      </c>
      <c r="CP851" s="1" t="s">
        <v>939</v>
      </c>
      <c r="CQ851" s="1" t="s">
        <v>940</v>
      </c>
      <c r="CR851" s="1" t="s">
        <v>941</v>
      </c>
      <c r="CS851" s="1" t="s">
        <v>942</v>
      </c>
      <c r="CT851" s="1" t="s">
        <v>1008</v>
      </c>
    </row>
    <row r="852" spans="61:98" x14ac:dyDescent="0.3">
      <c r="BI852" s="53"/>
      <c r="BJ852" s="24">
        <v>6</v>
      </c>
      <c r="BK852" t="s">
        <v>5</v>
      </c>
      <c r="BL852" t="s">
        <v>3</v>
      </c>
      <c r="BM852" t="s">
        <v>5</v>
      </c>
      <c r="BN852" t="s">
        <v>5</v>
      </c>
      <c r="BO852" t="s">
        <v>5</v>
      </c>
      <c r="BP852" t="s">
        <v>5</v>
      </c>
      <c r="BQ852" t="s">
        <v>5</v>
      </c>
      <c r="BR852" t="s">
        <v>2</v>
      </c>
      <c r="BS852" t="s">
        <v>2</v>
      </c>
      <c r="BT852" t="s">
        <v>4</v>
      </c>
      <c r="BU852" t="s">
        <v>3</v>
      </c>
      <c r="BV852" t="s">
        <v>5</v>
      </c>
      <c r="BW852" t="s">
        <v>2</v>
      </c>
      <c r="BX852" t="s">
        <v>3</v>
      </c>
      <c r="BY852" t="s">
        <v>2</v>
      </c>
      <c r="BZ852" t="s">
        <v>5</v>
      </c>
      <c r="CA852" t="s">
        <v>5</v>
      </c>
      <c r="CB852" t="s">
        <v>5</v>
      </c>
      <c r="CC852" t="s">
        <v>5</v>
      </c>
      <c r="CD852" t="s">
        <v>2</v>
      </c>
      <c r="CE852" t="s">
        <v>2</v>
      </c>
      <c r="CF852" t="s">
        <v>2</v>
      </c>
      <c r="CG852" t="s">
        <v>3</v>
      </c>
      <c r="CH852" t="s">
        <v>4</v>
      </c>
      <c r="CI852" t="s">
        <v>4</v>
      </c>
      <c r="CJ852" t="s">
        <v>4</v>
      </c>
      <c r="CK852" t="s">
        <v>4</v>
      </c>
      <c r="CL852" t="s">
        <v>4</v>
      </c>
      <c r="CM852" t="s">
        <v>3</v>
      </c>
      <c r="CN852" t="s">
        <v>4</v>
      </c>
      <c r="CO852" t="s">
        <v>4</v>
      </c>
      <c r="CP852" t="s">
        <v>4</v>
      </c>
      <c r="CQ852" t="s">
        <v>4</v>
      </c>
      <c r="CR852" t="s">
        <v>4</v>
      </c>
      <c r="CS852" t="s">
        <v>4</v>
      </c>
      <c r="CT852" t="s">
        <v>3</v>
      </c>
    </row>
    <row r="853" spans="61:98" x14ac:dyDescent="0.3">
      <c r="BI853" t="s">
        <v>639</v>
      </c>
    </row>
    <row r="854" spans="61:98" x14ac:dyDescent="0.3">
      <c r="BI854" s="3" t="s">
        <v>355</v>
      </c>
      <c r="BJ854">
        <f>AV18*AT30*AT34*AT42*AT48*AT54*AT60*AT66*AT71*AT77*AT81*AT88*AT96*AT101*AT106*AT113*AT120*AT126*AT132*AT138*AT143*AT149*AT155*AT160*AT163*AT167*AT171*AT175*AT179*AT184*AT187*AT191*AT195*AT199*AT203*AT207*AT212</f>
        <v>0</v>
      </c>
    </row>
    <row r="855" spans="61:98" x14ac:dyDescent="0.3">
      <c r="BI855" t="s">
        <v>642</v>
      </c>
    </row>
    <row r="856" spans="61:98" x14ac:dyDescent="0.3">
      <c r="BI856" s="3" t="s">
        <v>355</v>
      </c>
      <c r="BJ856">
        <f>AV19*AU30*AU34*AU42*AU48*AU54*AU60*AU66*AU71*AU77*AU81*AU88*AU96*AU101*AU106*AU113*AU120*AU126*AU132*AU138*AU143*AU149*AU155*AU160*AU163*AU167*AU171*AU175*AU179*AU184*AU187*AU191*AU195*AU199*AU203*AU207*AU212</f>
        <v>0</v>
      </c>
    </row>
    <row r="857" spans="61:98" x14ac:dyDescent="0.3">
      <c r="BI857" t="s">
        <v>643</v>
      </c>
    </row>
    <row r="858" spans="61:98" x14ac:dyDescent="0.3">
      <c r="BI858" s="3" t="s">
        <v>355</v>
      </c>
      <c r="BJ858">
        <f>AV20*AV30*AV34*AV42*AV48*AV54*AV60*AV66*AV71*AV77*AV81*AV88*AV96*AV101*AV106*AV113*AV120*AV126*AV132*AV138*AV143*AV149*AV155*AV160*AV163*AV167*AV171*AV175*AV179*AV184*AV187*AV191*AV195*AV199*AV203*AV207*AV212</f>
        <v>0</v>
      </c>
    </row>
    <row r="859" spans="61:98" x14ac:dyDescent="0.3">
      <c r="BI859" t="s">
        <v>644</v>
      </c>
    </row>
    <row r="860" spans="61:98" x14ac:dyDescent="0.3">
      <c r="BI860" s="3" t="s">
        <v>355</v>
      </c>
      <c r="BJ860">
        <f>AV21*AW30*AW34*AW42*AW48*AW54*AW60*AW66*AW71*AW77*AW81*AW88*AW96*AW101*AW106*AW113*AW120*AW126*AW132*AW138*AW143*AW149*AW155*AW160*AW163*AW167*AW171*AW175*AW179*AW184*AW187*AW191*AW195*AW199*AW203*AW207*AW212</f>
        <v>0</v>
      </c>
    </row>
    <row r="861" spans="61:98" x14ac:dyDescent="0.3">
      <c r="BI861" t="s">
        <v>645</v>
      </c>
    </row>
    <row r="862" spans="61:98" x14ac:dyDescent="0.3">
      <c r="BI862" s="3" t="s">
        <v>355</v>
      </c>
      <c r="BJ862">
        <f>AV22*AX30*AX34*AX42*AX48*AX54*AX60*AX66*AX71*AX77*AX81*AX88*AX96*AX101*AX106*AX113*AX120*AX126*AX132*AX138*AX143*AX149*AX155*AX160*AX163*AX167*AX171*AX175*AX179*AX184*AX187*AX191*AX195*AX199*AX203*AX207*AX212</f>
        <v>0</v>
      </c>
    </row>
    <row r="863" spans="61:98" x14ac:dyDescent="0.3">
      <c r="BI863" t="s">
        <v>646</v>
      </c>
    </row>
    <row r="864" spans="61:98" x14ac:dyDescent="0.3">
      <c r="BI864" s="3" t="s">
        <v>355</v>
      </c>
      <c r="BJ864">
        <f>AV23*AY30*AY34*AY42*AY48*AY54*AY60*AY66*AY71*AY77*AY81*AY88*AY96*AY101*AY106*AY113*AY120*AY126*AY132*AY138*AY143*AY149*AY155*AY160*AY163*AY167*AY171*AY175*AY179*AY184*AY187*AY191*AY195*AY199*AY203*AY207*AY212</f>
        <v>1.0032498759532808E-9</v>
      </c>
    </row>
    <row r="865" spans="61:98" x14ac:dyDescent="0.3">
      <c r="BI865" s="24" t="s">
        <v>391</v>
      </c>
      <c r="BJ865" t="s">
        <v>564</v>
      </c>
      <c r="BK865" s="25" t="s">
        <v>640</v>
      </c>
    </row>
    <row r="867" spans="61:98" x14ac:dyDescent="0.3">
      <c r="BI867" s="53" t="s">
        <v>641</v>
      </c>
      <c r="BJ867" s="24" t="s">
        <v>71</v>
      </c>
      <c r="BK867" s="1" t="s">
        <v>50</v>
      </c>
      <c r="BL867" s="1" t="s">
        <v>51</v>
      </c>
      <c r="BM867" s="1" t="s">
        <v>52</v>
      </c>
      <c r="BN867" s="1" t="s">
        <v>53</v>
      </c>
      <c r="BO867" s="1" t="s">
        <v>54</v>
      </c>
      <c r="BP867" s="1" t="s">
        <v>55</v>
      </c>
      <c r="BQ867" s="1" t="s">
        <v>56</v>
      </c>
      <c r="BR867" s="1" t="s">
        <v>57</v>
      </c>
      <c r="BS867" s="1" t="s">
        <v>58</v>
      </c>
      <c r="BT867" s="1" t="s">
        <v>59</v>
      </c>
      <c r="BU867" s="1" t="s">
        <v>60</v>
      </c>
      <c r="BV867" s="1" t="s">
        <v>61</v>
      </c>
      <c r="BW867" s="1" t="s">
        <v>62</v>
      </c>
      <c r="BX867" s="1" t="s">
        <v>63</v>
      </c>
      <c r="BY867" s="1" t="s">
        <v>64</v>
      </c>
      <c r="BZ867" s="1" t="s">
        <v>65</v>
      </c>
      <c r="CA867" s="1" t="s">
        <v>66</v>
      </c>
      <c r="CB867" s="1" t="s">
        <v>67</v>
      </c>
      <c r="CC867" s="1" t="s">
        <v>68</v>
      </c>
      <c r="CD867" s="1" t="s">
        <v>69</v>
      </c>
      <c r="CE867" s="1" t="s">
        <v>70</v>
      </c>
      <c r="CF867" s="1" t="s">
        <v>929</v>
      </c>
      <c r="CG867" s="1" t="s">
        <v>930</v>
      </c>
      <c r="CH867" s="1" t="s">
        <v>931</v>
      </c>
      <c r="CI867" s="1" t="s">
        <v>932</v>
      </c>
      <c r="CJ867" s="1" t="s">
        <v>933</v>
      </c>
      <c r="CK867" s="1" t="s">
        <v>934</v>
      </c>
      <c r="CL867" s="1" t="s">
        <v>935</v>
      </c>
      <c r="CM867" s="1" t="s">
        <v>936</v>
      </c>
      <c r="CN867" s="1" t="s">
        <v>937</v>
      </c>
      <c r="CO867" s="1" t="s">
        <v>938</v>
      </c>
      <c r="CP867" s="1" t="s">
        <v>939</v>
      </c>
      <c r="CQ867" s="1" t="s">
        <v>940</v>
      </c>
      <c r="CR867" s="1" t="s">
        <v>941</v>
      </c>
      <c r="CS867" s="1" t="s">
        <v>942</v>
      </c>
      <c r="CT867" s="1" t="s">
        <v>1008</v>
      </c>
    </row>
    <row r="868" spans="61:98" x14ac:dyDescent="0.3">
      <c r="BI868" s="53"/>
      <c r="BJ868" s="24">
        <v>6</v>
      </c>
      <c r="BK868" t="s">
        <v>4</v>
      </c>
      <c r="BL868" t="s">
        <v>5</v>
      </c>
      <c r="BM868" t="s">
        <v>2</v>
      </c>
      <c r="BN868" t="s">
        <v>5</v>
      </c>
      <c r="BO868" t="s">
        <v>5</v>
      </c>
      <c r="BP868" t="s">
        <v>5</v>
      </c>
      <c r="BQ868" t="s">
        <v>2</v>
      </c>
      <c r="BR868" t="s">
        <v>2</v>
      </c>
      <c r="BS868" t="s">
        <v>2</v>
      </c>
      <c r="BT868" t="s">
        <v>4</v>
      </c>
      <c r="BU868" t="s">
        <v>3</v>
      </c>
      <c r="BV868" t="s">
        <v>5</v>
      </c>
      <c r="BW868" t="s">
        <v>5</v>
      </c>
      <c r="BX868" t="s">
        <v>4</v>
      </c>
      <c r="BY868" t="s">
        <v>5</v>
      </c>
      <c r="BZ868" t="s">
        <v>5</v>
      </c>
      <c r="CA868" t="s">
        <v>5</v>
      </c>
      <c r="CB868" t="s">
        <v>5</v>
      </c>
      <c r="CC868" t="s">
        <v>5</v>
      </c>
      <c r="CD868" t="s">
        <v>4</v>
      </c>
      <c r="CE868" t="s">
        <v>3</v>
      </c>
      <c r="CF868" t="s">
        <v>2</v>
      </c>
      <c r="CG868" t="s">
        <v>3</v>
      </c>
      <c r="CH868" t="s">
        <v>4</v>
      </c>
      <c r="CI868" t="s">
        <v>4</v>
      </c>
      <c r="CJ868" t="s">
        <v>4</v>
      </c>
      <c r="CK868" t="s">
        <v>3</v>
      </c>
      <c r="CL868" t="s">
        <v>4</v>
      </c>
      <c r="CM868" t="s">
        <v>3</v>
      </c>
      <c r="CN868" t="s">
        <v>3</v>
      </c>
      <c r="CO868" t="s">
        <v>3</v>
      </c>
      <c r="CP868" t="s">
        <v>3</v>
      </c>
      <c r="CQ868" t="s">
        <v>3</v>
      </c>
      <c r="CR868" t="s">
        <v>3</v>
      </c>
      <c r="CS868" t="s">
        <v>3</v>
      </c>
      <c r="CT868" t="s">
        <v>3</v>
      </c>
    </row>
    <row r="869" spans="61:98" x14ac:dyDescent="0.3">
      <c r="BI869" t="s">
        <v>647</v>
      </c>
    </row>
    <row r="870" spans="61:98" x14ac:dyDescent="0.3">
      <c r="BI870" s="3" t="s">
        <v>355</v>
      </c>
      <c r="BJ870">
        <f>AV18*AT27*AT36*AT41*AT48*AT54*AT60*AT65*AT71*AT77*AT81*AT88*AT96*AT102*AT105*AT114*AT120*AT126*AT132*AT138*AT141*AT148*AT155*AT160*AT163*AT167*AT171*AT176*AT179*AT184*AT188*AT192*AT196*AT200*AT204*AT208*AT212</f>
        <v>0</v>
      </c>
    </row>
    <row r="871" spans="61:98" x14ac:dyDescent="0.3">
      <c r="BI871" t="s">
        <v>648</v>
      </c>
    </row>
    <row r="872" spans="61:98" x14ac:dyDescent="0.3">
      <c r="BI872" s="3" t="s">
        <v>355</v>
      </c>
      <c r="BJ872">
        <f>AV19*AU27*AU36*AU41*AU48*AU54*AU60*AU65*AU71*AU77*AU81*AU88*AU96*AU102*AU105*AU114*AU120*AU126*AU132*AU138*AU141*AU148*AU155*AU160*AU163*AU167*AU171*AU176*AU179*AU184*AU188*AU192*AU196*AU200*AU204*AU208*AU212</f>
        <v>0</v>
      </c>
    </row>
    <row r="873" spans="61:98" x14ac:dyDescent="0.3">
      <c r="BI873" t="s">
        <v>652</v>
      </c>
    </row>
    <row r="874" spans="61:98" x14ac:dyDescent="0.3">
      <c r="BI874" s="3" t="s">
        <v>355</v>
      </c>
      <c r="BJ874">
        <f>AV20*AV27*AV36*AV41*AV48*AV54*AV60*AV65*AV71*AV77*AV81*AV88*AV96*AV102*AV105*AV114*AV120*AV126*AV132*AV138*AV141*AV148*AV155*AV160*AV163*AV167*AV171*AV176*AV179*AV184*AV188*AV192*AV196*AV200*AV204*AV208*AV212</f>
        <v>0</v>
      </c>
    </row>
    <row r="875" spans="61:98" x14ac:dyDescent="0.3">
      <c r="BI875" t="s">
        <v>651</v>
      </c>
    </row>
    <row r="876" spans="61:98" x14ac:dyDescent="0.3">
      <c r="BI876" s="3" t="s">
        <v>355</v>
      </c>
      <c r="BJ876">
        <f>AV21*AW27*AW36*AW41*AW48*AW54*AW60*AW65*AW71*AW77*AW81*AW88*AW96*AW102*AW105*AW114*AW120*AW126*AW132*AW138*AW141*AW148*AW155*AW160*AW163*AW167*AW171*AW176*AW179*AW184*AW188*AW192*AW196*AW200*AW204*AW208*AW212</f>
        <v>0</v>
      </c>
    </row>
    <row r="877" spans="61:98" x14ac:dyDescent="0.3">
      <c r="BI877" t="s">
        <v>650</v>
      </c>
    </row>
    <row r="878" spans="61:98" x14ac:dyDescent="0.3">
      <c r="BI878" s="3" t="s">
        <v>355</v>
      </c>
      <c r="BJ878">
        <f>AV22*AX27*AX36*AX41*AX48*AX54*AX60*AX65*AX71*AX77*AX81*AX88*AX96*AX102*AX105*AX114*AX120*AX126*AX132*AX138*AX141*AX148*AX155*AX160*AX163*AX167*AX171*AX176*AX179*AX184*AX188*AX192*AX196*AX200*AX204*AX208*AX212</f>
        <v>0</v>
      </c>
    </row>
    <row r="879" spans="61:98" x14ac:dyDescent="0.3">
      <c r="BI879" t="s">
        <v>649</v>
      </c>
    </row>
    <row r="880" spans="61:98" x14ac:dyDescent="0.3">
      <c r="BI880" s="3" t="s">
        <v>355</v>
      </c>
      <c r="BJ880">
        <f>AV23*AY27*AY36*AY41*AY48*AY54*AY60*AY65*AY71*AY77*AY81*AY88*AY96*AY102*AY105*AY114*AY120*AY126*AY132*AY138*AY141*AY148*AY155*AY160*AY163*AY167*AY171*AY176*AY179*AY184*AY188*AY192*AY196*AY200*AY204*AY208*AY212</f>
        <v>2.5400568329256967E-11</v>
      </c>
    </row>
    <row r="881" spans="61:98" x14ac:dyDescent="0.3">
      <c r="BI881" s="24" t="s">
        <v>391</v>
      </c>
      <c r="BJ881" t="s">
        <v>564</v>
      </c>
      <c r="BK881" s="25" t="s">
        <v>640</v>
      </c>
    </row>
    <row r="883" spans="61:98" x14ac:dyDescent="0.3">
      <c r="BI883" s="53" t="s">
        <v>653</v>
      </c>
      <c r="BJ883" s="24" t="s">
        <v>71</v>
      </c>
      <c r="BK883" s="1" t="s">
        <v>50</v>
      </c>
      <c r="BL883" s="1" t="s">
        <v>51</v>
      </c>
      <c r="BM883" s="1" t="s">
        <v>52</v>
      </c>
      <c r="BN883" s="1" t="s">
        <v>53</v>
      </c>
      <c r="BO883" s="1" t="s">
        <v>54</v>
      </c>
      <c r="BP883" s="1" t="s">
        <v>55</v>
      </c>
      <c r="BQ883" s="1" t="s">
        <v>56</v>
      </c>
      <c r="BR883" s="1" t="s">
        <v>57</v>
      </c>
      <c r="BS883" s="1" t="s">
        <v>58</v>
      </c>
      <c r="BT883" s="1" t="s">
        <v>59</v>
      </c>
      <c r="BU883" s="1" t="s">
        <v>60</v>
      </c>
      <c r="BV883" s="1" t="s">
        <v>61</v>
      </c>
      <c r="BW883" s="1" t="s">
        <v>62</v>
      </c>
      <c r="BX883" s="1" t="s">
        <v>63</v>
      </c>
      <c r="BY883" s="1" t="s">
        <v>64</v>
      </c>
      <c r="BZ883" s="1" t="s">
        <v>65</v>
      </c>
      <c r="CA883" s="1" t="s">
        <v>66</v>
      </c>
      <c r="CB883" s="1" t="s">
        <v>67</v>
      </c>
      <c r="CC883" s="1" t="s">
        <v>68</v>
      </c>
      <c r="CD883" s="1" t="s">
        <v>69</v>
      </c>
      <c r="CE883" s="1" t="s">
        <v>70</v>
      </c>
      <c r="CF883" s="1" t="s">
        <v>929</v>
      </c>
      <c r="CG883" s="1" t="s">
        <v>930</v>
      </c>
      <c r="CH883" s="1" t="s">
        <v>931</v>
      </c>
      <c r="CI883" s="1" t="s">
        <v>932</v>
      </c>
      <c r="CJ883" s="1" t="s">
        <v>933</v>
      </c>
      <c r="CK883" s="1" t="s">
        <v>934</v>
      </c>
      <c r="CL883" s="1" t="s">
        <v>935</v>
      </c>
      <c r="CM883" s="1" t="s">
        <v>936</v>
      </c>
      <c r="CN883" s="1" t="s">
        <v>937</v>
      </c>
      <c r="CO883" s="1" t="s">
        <v>938</v>
      </c>
      <c r="CP883" s="1" t="s">
        <v>939</v>
      </c>
      <c r="CQ883" s="1" t="s">
        <v>940</v>
      </c>
      <c r="CR883" s="1" t="s">
        <v>941</v>
      </c>
      <c r="CS883" s="1" t="s">
        <v>942</v>
      </c>
      <c r="CT883" s="1" t="s">
        <v>1008</v>
      </c>
    </row>
    <row r="884" spans="61:98" x14ac:dyDescent="0.3">
      <c r="BI884" s="53"/>
      <c r="BJ884" s="24">
        <v>6</v>
      </c>
      <c r="BK884" t="s">
        <v>5</v>
      </c>
      <c r="BL884" t="s">
        <v>5</v>
      </c>
      <c r="BM884" t="s">
        <v>3</v>
      </c>
      <c r="BN884" t="s">
        <v>2</v>
      </c>
      <c r="BO884" t="s">
        <v>5</v>
      </c>
      <c r="BP884" t="s">
        <v>5</v>
      </c>
      <c r="BQ884" t="s">
        <v>5</v>
      </c>
      <c r="BR884" t="s">
        <v>5</v>
      </c>
      <c r="BS884" t="s">
        <v>2</v>
      </c>
      <c r="BT884" t="s">
        <v>4</v>
      </c>
      <c r="BU884" t="s">
        <v>4</v>
      </c>
      <c r="BV884" t="s">
        <v>2</v>
      </c>
      <c r="BW884" t="s">
        <v>5</v>
      </c>
      <c r="BX884" t="s">
        <v>2</v>
      </c>
      <c r="BY884" t="s">
        <v>2</v>
      </c>
      <c r="BZ884" t="s">
        <v>5</v>
      </c>
      <c r="CA884" t="s">
        <v>3</v>
      </c>
      <c r="CB884" t="s">
        <v>5</v>
      </c>
      <c r="CC884" t="s">
        <v>3</v>
      </c>
      <c r="CD884" t="s">
        <v>2</v>
      </c>
      <c r="CE884" t="s">
        <v>2</v>
      </c>
      <c r="CF884" t="s">
        <v>5</v>
      </c>
      <c r="CG884" t="s">
        <v>3</v>
      </c>
      <c r="CH884" t="s">
        <v>4</v>
      </c>
      <c r="CI884" t="s">
        <v>4</v>
      </c>
      <c r="CJ884" t="s">
        <v>4</v>
      </c>
      <c r="CK884" t="s">
        <v>3</v>
      </c>
      <c r="CL884" t="s">
        <v>4</v>
      </c>
      <c r="CM884" t="s">
        <v>3</v>
      </c>
      <c r="CN884" t="s">
        <v>3</v>
      </c>
      <c r="CO884" t="s">
        <v>3</v>
      </c>
      <c r="CP884" t="s">
        <v>3</v>
      </c>
      <c r="CQ884" t="s">
        <v>3</v>
      </c>
      <c r="CR884" t="s">
        <v>3</v>
      </c>
      <c r="CS884" t="s">
        <v>4</v>
      </c>
      <c r="CT884" t="s">
        <v>3</v>
      </c>
    </row>
    <row r="885" spans="61:98" x14ac:dyDescent="0.3">
      <c r="BI885" t="s">
        <v>805</v>
      </c>
    </row>
    <row r="886" spans="61:98" x14ac:dyDescent="0.3">
      <c r="BI886" s="3" t="s">
        <v>355</v>
      </c>
      <c r="BJ886">
        <f>AV18*AT30*AT36*AT40*AT47*AT54*AT60*AT66*AT72*AT77*AT81*AT87*AT95*AT102*AT107*AT113*AT120*AT124*AT132*AT136*AT143*AT149*AT156*AT160*AT163*AT167*AT171*AT176*AT179*AT184*AT188*AT192*AT196*AT200*AT204*AT207*AT212</f>
        <v>0</v>
      </c>
    </row>
    <row r="887" spans="61:98" x14ac:dyDescent="0.3">
      <c r="BI887" t="s">
        <v>806</v>
      </c>
    </row>
    <row r="888" spans="61:98" x14ac:dyDescent="0.3">
      <c r="BI888" s="3" t="s">
        <v>355</v>
      </c>
      <c r="BJ888">
        <f>AV19*AU30*AU36*AU40*AU47*AU54*AU60*AU66*AU72*AU77*AU81*AU87*AU95*AU102*AU107*AU113*AU120*AU124*AU132*AU136*AU143*AU149*AU156*AU160*AU163*AU167*AU171*AU176*AU179*AU184*AU188*AU192*AU196*AU200*AU204*AU207*AU212</f>
        <v>0</v>
      </c>
    </row>
    <row r="889" spans="61:98" x14ac:dyDescent="0.3">
      <c r="BI889" t="s">
        <v>807</v>
      </c>
    </row>
    <row r="890" spans="61:98" x14ac:dyDescent="0.3">
      <c r="BI890" s="3" t="s">
        <v>355</v>
      </c>
      <c r="BJ890">
        <f>AV20*AV30*AV36*AV40*AV47*AV54*AV60*AV66*AV72*AV77*AV81*AV87*AV95*AV102*AV107*AV113*AV120*AV124*AV132*AV136*AV143*AV149*AV156*AV160*AV163*AV167*AV171*AV176*AV179*AV184*AV188*AV192*AV196*AV200*AV204*AV207*AV212</f>
        <v>0</v>
      </c>
    </row>
    <row r="891" spans="61:98" x14ac:dyDescent="0.3">
      <c r="BI891" t="s">
        <v>808</v>
      </c>
    </row>
    <row r="892" spans="61:98" x14ac:dyDescent="0.3">
      <c r="BI892" s="3" t="s">
        <v>355</v>
      </c>
      <c r="BJ892">
        <f>AV21*AW30*AW36*AW40*AW47*AW54*AW60*AW66*AW72*AW77*AW81*AW87*AW95*AW102*AW107*AW113*AW120*AW124*AW132*AW136*AW143*AW149*AW156*AW160*AW163*AW167*AW171*AW176*AW179*AW184*AW188*AW192*AW196*AW200*AW204*AW207*AW212</f>
        <v>0</v>
      </c>
    </row>
    <row r="893" spans="61:98" x14ac:dyDescent="0.3">
      <c r="BI893" t="s">
        <v>809</v>
      </c>
    </row>
    <row r="894" spans="61:98" x14ac:dyDescent="0.3">
      <c r="BI894" s="3" t="s">
        <v>355</v>
      </c>
      <c r="BJ894">
        <f>AV22*AX30*AX36*AX40*AX47*AX54*AX60*AX66*AX72*AX77*AX81*AX87*AX95*AX102*AX107*AX113*AX120*AX124*AX132*AX136*AX143*AX149*AX156*AX160*AX163*AX167*AX171*AX176*AX179*AX184*AX188*AX192*AX196*AX200*AX204*AX207*AX212</f>
        <v>0</v>
      </c>
    </row>
    <row r="895" spans="61:98" x14ac:dyDescent="0.3">
      <c r="BI895" t="s">
        <v>810</v>
      </c>
    </row>
    <row r="896" spans="61:98" x14ac:dyDescent="0.3">
      <c r="BI896" s="3" t="s">
        <v>355</v>
      </c>
      <c r="BJ896">
        <f>AV23*AY30*AY36*AY40*AY47*AY54*AY60*AY66*AY72*AY77*AY81*AY87*AY95*AY102*AY107*AY113*AY120*AY124*AY132*AY136*AY143*AY149*AY156*AY160*AY163*AY167*AY171*AY176*AY179*AY184*AY188*AY192*AY196*AY200*AY204*AY207*AY212</f>
        <v>5.7800404375909179E-13</v>
      </c>
    </row>
    <row r="897" spans="61:98" x14ac:dyDescent="0.3">
      <c r="BI897" s="24" t="s">
        <v>391</v>
      </c>
      <c r="BJ897" t="s">
        <v>564</v>
      </c>
      <c r="BK897" s="25" t="s">
        <v>640</v>
      </c>
    </row>
    <row r="899" spans="61:98" x14ac:dyDescent="0.3">
      <c r="BI899" s="53" t="s">
        <v>654</v>
      </c>
      <c r="BJ899" s="24" t="s">
        <v>71</v>
      </c>
      <c r="BK899" s="1" t="s">
        <v>50</v>
      </c>
      <c r="BL899" s="1" t="s">
        <v>51</v>
      </c>
      <c r="BM899" s="1" t="s">
        <v>52</v>
      </c>
      <c r="BN899" s="1" t="s">
        <v>53</v>
      </c>
      <c r="BO899" s="1" t="s">
        <v>54</v>
      </c>
      <c r="BP899" s="1" t="s">
        <v>55</v>
      </c>
      <c r="BQ899" s="1" t="s">
        <v>56</v>
      </c>
      <c r="BR899" s="1" t="s">
        <v>57</v>
      </c>
      <c r="BS899" s="1" t="s">
        <v>58</v>
      </c>
      <c r="BT899" s="1" t="s">
        <v>59</v>
      </c>
      <c r="BU899" s="1" t="s">
        <v>60</v>
      </c>
      <c r="BV899" s="1" t="s">
        <v>61</v>
      </c>
      <c r="BW899" s="1" t="s">
        <v>62</v>
      </c>
      <c r="BX899" s="1" t="s">
        <v>63</v>
      </c>
      <c r="BY899" s="1" t="s">
        <v>64</v>
      </c>
      <c r="BZ899" s="1" t="s">
        <v>65</v>
      </c>
      <c r="CA899" s="1" t="s">
        <v>66</v>
      </c>
      <c r="CB899" s="1" t="s">
        <v>67</v>
      </c>
      <c r="CC899" s="1" t="s">
        <v>68</v>
      </c>
      <c r="CD899" s="1" t="s">
        <v>69</v>
      </c>
      <c r="CE899" s="1" t="s">
        <v>70</v>
      </c>
      <c r="CF899" s="1" t="s">
        <v>929</v>
      </c>
      <c r="CG899" s="1" t="s">
        <v>930</v>
      </c>
      <c r="CH899" s="1" t="s">
        <v>931</v>
      </c>
      <c r="CI899" s="1" t="s">
        <v>932</v>
      </c>
      <c r="CJ899" s="1" t="s">
        <v>933</v>
      </c>
      <c r="CK899" s="1" t="s">
        <v>934</v>
      </c>
      <c r="CL899" s="1" t="s">
        <v>935</v>
      </c>
      <c r="CM899" s="1" t="s">
        <v>936</v>
      </c>
      <c r="CN899" s="1" t="s">
        <v>937</v>
      </c>
      <c r="CO899" s="1" t="s">
        <v>938</v>
      </c>
      <c r="CP899" s="1" t="s">
        <v>939</v>
      </c>
      <c r="CQ899" s="1" t="s">
        <v>940</v>
      </c>
      <c r="CR899" s="1" t="s">
        <v>941</v>
      </c>
      <c r="CS899" s="1" t="s">
        <v>942</v>
      </c>
      <c r="CT899" s="1" t="s">
        <v>1008</v>
      </c>
    </row>
    <row r="900" spans="61:98" x14ac:dyDescent="0.3">
      <c r="BI900" s="53"/>
      <c r="BJ900" s="24">
        <v>6</v>
      </c>
      <c r="BK900" t="s">
        <v>5</v>
      </c>
      <c r="BL900" t="s">
        <v>3</v>
      </c>
      <c r="BM900" t="s">
        <v>3</v>
      </c>
      <c r="BN900" t="s">
        <v>5</v>
      </c>
      <c r="BO900" t="s">
        <v>5</v>
      </c>
      <c r="BP900" t="s">
        <v>5</v>
      </c>
      <c r="BQ900" t="s">
        <v>5</v>
      </c>
      <c r="BR900" t="s">
        <v>2</v>
      </c>
      <c r="BS900" t="s">
        <v>2</v>
      </c>
      <c r="BT900" t="s">
        <v>5</v>
      </c>
      <c r="BU900" t="s">
        <v>3</v>
      </c>
      <c r="BV900" t="s">
        <v>5</v>
      </c>
      <c r="BW900" t="s">
        <v>5</v>
      </c>
      <c r="BX900" t="s">
        <v>3</v>
      </c>
      <c r="BY900" t="s">
        <v>2</v>
      </c>
      <c r="BZ900" t="s">
        <v>5</v>
      </c>
      <c r="CA900" t="s">
        <v>5</v>
      </c>
      <c r="CB900" t="s">
        <v>5</v>
      </c>
      <c r="CC900" t="s">
        <v>5</v>
      </c>
      <c r="CD900" t="s">
        <v>4</v>
      </c>
      <c r="CE900" t="s">
        <v>4</v>
      </c>
      <c r="CF900" t="s">
        <v>4</v>
      </c>
      <c r="CG900" t="s">
        <v>3</v>
      </c>
      <c r="CH900" t="s">
        <v>4</v>
      </c>
      <c r="CI900" t="s">
        <v>4</v>
      </c>
      <c r="CJ900" t="s">
        <v>4</v>
      </c>
      <c r="CK900" t="s">
        <v>4</v>
      </c>
      <c r="CL900" t="s">
        <v>4</v>
      </c>
      <c r="CM900" t="s">
        <v>4</v>
      </c>
      <c r="CN900" t="s">
        <v>3</v>
      </c>
      <c r="CO900" t="s">
        <v>4</v>
      </c>
      <c r="CP900" t="s">
        <v>3</v>
      </c>
      <c r="CQ900" t="s">
        <v>3</v>
      </c>
      <c r="CR900" t="s">
        <v>3</v>
      </c>
      <c r="CS900" t="s">
        <v>4</v>
      </c>
      <c r="CT900" t="s">
        <v>3</v>
      </c>
    </row>
    <row r="901" spans="61:98" x14ac:dyDescent="0.3">
      <c r="BI901" t="s">
        <v>811</v>
      </c>
    </row>
    <row r="902" spans="61:98" x14ac:dyDescent="0.3">
      <c r="BI902" s="3" t="s">
        <v>355</v>
      </c>
      <c r="BJ902">
        <f>AV18*AT30*AT34*AT40*AT48*AT54*AT60*AT66*AT71*AT77*AT84*AT88*AT96*AT102*AT106*AT113*AT120*AT126*AT132*AT138*AT141*AT147*AT153*AT160*AT163*AT167*AT171*AT175*AT179*AT183*AT188*AT191*AT196*AT200*AT204*AT207*AT212</f>
        <v>0</v>
      </c>
    </row>
    <row r="903" spans="61:98" x14ac:dyDescent="0.3">
      <c r="BI903" t="s">
        <v>812</v>
      </c>
    </row>
    <row r="904" spans="61:98" x14ac:dyDescent="0.3">
      <c r="BI904" s="3" t="s">
        <v>355</v>
      </c>
      <c r="BJ904">
        <f>AV19*AU30*AU34*AU40*AU48*AU54*AU60*AU66*AU71*AU77*AU84*AU88*AU96*AU102*AU106*AU113*AU120*AU126*AU132*AU138*AU141*AU147*AU153*AU160*AU163*AU167*AU171*AU175*AU179*AU183*AU188*AU191*AU196*AU200*AU204*AU207*AU212</f>
        <v>0</v>
      </c>
    </row>
    <row r="905" spans="61:98" x14ac:dyDescent="0.3">
      <c r="BI905" t="s">
        <v>813</v>
      </c>
    </row>
    <row r="906" spans="61:98" x14ac:dyDescent="0.3">
      <c r="BI906" s="3" t="s">
        <v>355</v>
      </c>
      <c r="BJ906">
        <f>AV20*AV30*AV34*AV40*AV48*AV54*AV60*AV66*AV71*AV77*AV84*AV88*AV96*AV102*AV106*AV113*AV120*AV126*AV132*AV138*AV141*AV147*AV153*AV160*AV163*AV167*AV171*AV175*AV179*AV183*AV188*AV191*AV196*AV200*AV204*AV207*AV212</f>
        <v>0</v>
      </c>
    </row>
    <row r="907" spans="61:98" x14ac:dyDescent="0.3">
      <c r="BI907" t="s">
        <v>814</v>
      </c>
    </row>
    <row r="908" spans="61:98" x14ac:dyDescent="0.3">
      <c r="BI908" s="3" t="s">
        <v>355</v>
      </c>
      <c r="BJ908">
        <f>AV21*AW30*AW34*AW40*AW48*AW54*AW60*AW66*AW71*AW77*AW84*AW88*AW96*AW102*AW106*AW113*AW120*AW126*AW132*AW138*AW141*AW147*AW153*AW160*AW163*AW167*AW171*AW175*AW179*AW183*AW188*AW191*AW196*AW200*AW204*AW207*AW212</f>
        <v>0</v>
      </c>
    </row>
    <row r="909" spans="61:98" x14ac:dyDescent="0.3">
      <c r="BI909" t="s">
        <v>815</v>
      </c>
    </row>
    <row r="910" spans="61:98" x14ac:dyDescent="0.3">
      <c r="BI910" s="3" t="s">
        <v>355</v>
      </c>
      <c r="BJ910">
        <f>AV22*AX30*AX34*AX40*AX48*AX54*AX60*AX66*AX71*AX77*AX84*AX88*AX96*AX102*AX106*AX113*AX120*AX126*AX132*AX138*AX141*AX147*AX153*AX160*AX163*AX167*AX171*AX175*AX179*AX183*AX188*AX191*AX196*AX200*AX204*AX207*AX212</f>
        <v>0</v>
      </c>
    </row>
    <row r="911" spans="61:98" x14ac:dyDescent="0.3">
      <c r="BI911" t="s">
        <v>816</v>
      </c>
    </row>
    <row r="912" spans="61:98" x14ac:dyDescent="0.3">
      <c r="BI912" s="3" t="s">
        <v>355</v>
      </c>
      <c r="BJ912">
        <f>AV23*AY30*AY34*AY40*AY48*AY54*AY60*AY66*AY71*AY77*AY84*AY88*AY96*AY102*AY106*AY113*AY120*AY126*AY132*AY138*AY141*AY147*AY153*AY160*AY163*AY167*AY171*AY175*AY179*AY183*AY188*AY191*AY196*AY200*AY204*AY207*AY212</f>
        <v>2.4276169837881846E-9</v>
      </c>
    </row>
    <row r="913" spans="61:98" x14ac:dyDescent="0.3">
      <c r="BI913" s="24" t="s">
        <v>391</v>
      </c>
      <c r="BJ913" t="s">
        <v>564</v>
      </c>
      <c r="BK913" s="25" t="s">
        <v>640</v>
      </c>
    </row>
    <row r="914" spans="61:98" x14ac:dyDescent="0.3">
      <c r="BI914" s="3"/>
    </row>
    <row r="915" spans="61:98" x14ac:dyDescent="0.3">
      <c r="BI915" s="53" t="s">
        <v>655</v>
      </c>
      <c r="BJ915" s="24" t="s">
        <v>71</v>
      </c>
      <c r="BK915" s="1" t="s">
        <v>50</v>
      </c>
      <c r="BL915" s="1" t="s">
        <v>51</v>
      </c>
      <c r="BM915" s="1" t="s">
        <v>52</v>
      </c>
      <c r="BN915" s="1" t="s">
        <v>53</v>
      </c>
      <c r="BO915" s="1" t="s">
        <v>54</v>
      </c>
      <c r="BP915" s="1" t="s">
        <v>55</v>
      </c>
      <c r="BQ915" s="1" t="s">
        <v>56</v>
      </c>
      <c r="BR915" s="1" t="s">
        <v>57</v>
      </c>
      <c r="BS915" s="1" t="s">
        <v>58</v>
      </c>
      <c r="BT915" s="1" t="s">
        <v>59</v>
      </c>
      <c r="BU915" s="1" t="s">
        <v>60</v>
      </c>
      <c r="BV915" s="1" t="s">
        <v>61</v>
      </c>
      <c r="BW915" s="1" t="s">
        <v>62</v>
      </c>
      <c r="BX915" s="1" t="s">
        <v>63</v>
      </c>
      <c r="BY915" s="1" t="s">
        <v>64</v>
      </c>
      <c r="BZ915" s="1" t="s">
        <v>65</v>
      </c>
      <c r="CA915" s="1" t="s">
        <v>66</v>
      </c>
      <c r="CB915" s="1" t="s">
        <v>67</v>
      </c>
      <c r="CC915" s="1" t="s">
        <v>68</v>
      </c>
      <c r="CD915" s="1" t="s">
        <v>69</v>
      </c>
      <c r="CE915" s="1" t="s">
        <v>70</v>
      </c>
      <c r="CF915" s="1" t="s">
        <v>929</v>
      </c>
      <c r="CG915" s="1" t="s">
        <v>930</v>
      </c>
      <c r="CH915" s="1" t="s">
        <v>931</v>
      </c>
      <c r="CI915" s="1" t="s">
        <v>932</v>
      </c>
      <c r="CJ915" s="1" t="s">
        <v>933</v>
      </c>
      <c r="CK915" s="1" t="s">
        <v>934</v>
      </c>
      <c r="CL915" s="1" t="s">
        <v>935</v>
      </c>
      <c r="CM915" s="1" t="s">
        <v>936</v>
      </c>
      <c r="CN915" s="1" t="s">
        <v>937</v>
      </c>
      <c r="CO915" s="1" t="s">
        <v>938</v>
      </c>
      <c r="CP915" s="1" t="s">
        <v>939</v>
      </c>
      <c r="CQ915" s="1" t="s">
        <v>940</v>
      </c>
      <c r="CR915" s="1" t="s">
        <v>941</v>
      </c>
      <c r="CS915" s="1" t="s">
        <v>942</v>
      </c>
      <c r="CT915" s="1" t="s">
        <v>1008</v>
      </c>
    </row>
    <row r="916" spans="61:98" x14ac:dyDescent="0.3">
      <c r="BI916" s="53"/>
      <c r="BJ916" s="24">
        <v>6</v>
      </c>
      <c r="BK916" t="s">
        <v>5</v>
      </c>
      <c r="BL916" t="s">
        <v>5</v>
      </c>
      <c r="BM916" t="s">
        <v>5</v>
      </c>
      <c r="BN916" t="s">
        <v>5</v>
      </c>
      <c r="BO916" t="s">
        <v>5</v>
      </c>
      <c r="BP916" t="s">
        <v>5</v>
      </c>
      <c r="BQ916" t="s">
        <v>5</v>
      </c>
      <c r="BR916" t="s">
        <v>2</v>
      </c>
      <c r="BS916" t="s">
        <v>3</v>
      </c>
      <c r="BT916" t="s">
        <v>5</v>
      </c>
      <c r="BU916" t="s">
        <v>4</v>
      </c>
      <c r="BV916" t="s">
        <v>5</v>
      </c>
      <c r="BW916" t="s">
        <v>2</v>
      </c>
      <c r="BX916" t="s">
        <v>2</v>
      </c>
      <c r="BY916" t="s">
        <v>2</v>
      </c>
      <c r="BZ916" t="s">
        <v>5</v>
      </c>
      <c r="CA916" t="s">
        <v>3</v>
      </c>
      <c r="CB916" t="s">
        <v>5</v>
      </c>
      <c r="CC916" t="s">
        <v>5</v>
      </c>
      <c r="CD916" t="s">
        <v>3</v>
      </c>
      <c r="CE916" t="s">
        <v>2</v>
      </c>
      <c r="CF916" t="s">
        <v>2</v>
      </c>
      <c r="CG916" t="s">
        <v>3</v>
      </c>
      <c r="CH916" t="s">
        <v>4</v>
      </c>
      <c r="CI916" t="s">
        <v>4</v>
      </c>
      <c r="CJ916" t="s">
        <v>4</v>
      </c>
      <c r="CK916" t="s">
        <v>4</v>
      </c>
      <c r="CL916" t="s">
        <v>4</v>
      </c>
      <c r="CM916" t="s">
        <v>4</v>
      </c>
      <c r="CN916" t="s">
        <v>4</v>
      </c>
      <c r="CO916" t="s">
        <v>4</v>
      </c>
      <c r="CP916" t="s">
        <v>3</v>
      </c>
      <c r="CQ916" t="s">
        <v>3</v>
      </c>
      <c r="CR916" t="s">
        <v>4</v>
      </c>
      <c r="CS916" t="s">
        <v>4</v>
      </c>
      <c r="CT916" t="s">
        <v>3</v>
      </c>
    </row>
    <row r="917" spans="61:98" x14ac:dyDescent="0.3">
      <c r="BI917" t="s">
        <v>817</v>
      </c>
    </row>
    <row r="918" spans="61:98" x14ac:dyDescent="0.3">
      <c r="BI918" s="3" t="s">
        <v>355</v>
      </c>
      <c r="BJ918">
        <f>AV18*AT30*AT36*AT42*AT48*AT54*AT60*AT66*AT71*AT76*AT84*AT87*AT96*AT101*AT107*AT113*AT120*AT124*AT132*AT138*AT142*AT149*AT155*AT160*AT163*AT167*AT171*AT175*AT179*AT183*AT187*AT191*AT196*AT200*AT203*AT207*AT212</f>
        <v>0</v>
      </c>
    </row>
    <row r="919" spans="61:98" x14ac:dyDescent="0.3">
      <c r="BI919" t="s">
        <v>656</v>
      </c>
    </row>
    <row r="920" spans="61:98" x14ac:dyDescent="0.3">
      <c r="BI920" s="3" t="s">
        <v>355</v>
      </c>
      <c r="BJ920">
        <f>AV19*AU30*AU36*AU42*AU48*AU54*AU60*AU66*AU71*AU76*AU84*AU87*AU96*AU101*AU107*AU113*AU120*AU124*AU132*AU138*AU142*AU149*AU155*AU160*AU163*AU167*AU171*AU175*AU179*AU183*AU187*AU191*AU196*AU200*AU203*AU207*AU212</f>
        <v>0</v>
      </c>
    </row>
    <row r="921" spans="61:98" x14ac:dyDescent="0.3">
      <c r="BI921" t="s">
        <v>657</v>
      </c>
    </row>
    <row r="922" spans="61:98" x14ac:dyDescent="0.3">
      <c r="BI922" s="3" t="s">
        <v>355</v>
      </c>
      <c r="BJ922">
        <f>AV20*AV30*AV36*AV42*AV48*AV54*AV60*AV66*AV71*AV76*AV84*AV87*AV96*AV101*AV107*AV113*AV120*AV124*AV132*AV138*AV142*AV149*AV155*AV160*AV163*AV167*AV171*AV175*AV179*AV183*AV187*AV191*AV196*AV200*AV203*AV207*AV212</f>
        <v>0</v>
      </c>
    </row>
    <row r="923" spans="61:98" x14ac:dyDescent="0.3">
      <c r="BI923" t="s">
        <v>658</v>
      </c>
    </row>
    <row r="924" spans="61:98" x14ac:dyDescent="0.3">
      <c r="BI924" s="3" t="s">
        <v>355</v>
      </c>
      <c r="BJ924">
        <f>AV21*AW30*AW36*AW42*AW48*AW54*AW60*AW66*AW71*AW76*AW84*AW87*AW96*AW101*AW107*AW113*AW120*AW124*AW132*AW138*AW142*AW149*AW155*AW160*AW163*AW167*AW171*AW175*AW179*AW183*AW187*AW191*AW196*AW200*AW203*AW207*AW212</f>
        <v>0</v>
      </c>
    </row>
    <row r="925" spans="61:98" x14ac:dyDescent="0.3">
      <c r="BI925" t="s">
        <v>659</v>
      </c>
    </row>
    <row r="926" spans="61:98" x14ac:dyDescent="0.3">
      <c r="BI926" s="3" t="s">
        <v>355</v>
      </c>
      <c r="BJ926">
        <f>AV22*AX30*AX36*AX42*AX48*AX54*AX60*AX66*AX71*AX76*AX84*AX87*AX96*AX101*AX107*AX113*AX120*AX124*AX132*AX138*AX142*AX149*AX155*AX160*AX163*AX167*AX171*AX175*AX179*AX183*AX187*AX191*AX196*AX200*AX203*AX207*AX212</f>
        <v>0</v>
      </c>
    </row>
    <row r="927" spans="61:98" x14ac:dyDescent="0.3">
      <c r="BI927" t="s">
        <v>660</v>
      </c>
    </row>
    <row r="928" spans="61:98" x14ac:dyDescent="0.3">
      <c r="BI928" s="3" t="s">
        <v>355</v>
      </c>
      <c r="BJ928">
        <f>AV23*AY30*AY36*AY42*AY48*AY54*AY60*AY66*AY71*AY76*AY84*AY87*AY96*AY101*AY107*AY113*AY120*AY124*AY132*AY138*AY142*AY149*AY155*AY160*AY163*AY167*AY171*AY175*AY179*AY183*AY187*AY191*AY196*AY200*AY203*AY207*AY212</f>
        <v>5.1595707906168753E-10</v>
      </c>
    </row>
    <row r="929" spans="61:98" x14ac:dyDescent="0.3">
      <c r="BI929" s="24" t="s">
        <v>391</v>
      </c>
      <c r="BJ929" t="s">
        <v>564</v>
      </c>
      <c r="BK929" s="25" t="s">
        <v>640</v>
      </c>
    </row>
    <row r="931" spans="61:98" x14ac:dyDescent="0.3">
      <c r="BI931" s="53" t="s">
        <v>661</v>
      </c>
      <c r="BJ931" s="24" t="s">
        <v>71</v>
      </c>
      <c r="BK931" s="1" t="s">
        <v>50</v>
      </c>
      <c r="BL931" s="1" t="s">
        <v>51</v>
      </c>
      <c r="BM931" s="1" t="s">
        <v>52</v>
      </c>
      <c r="BN931" s="1" t="s">
        <v>53</v>
      </c>
      <c r="BO931" s="1" t="s">
        <v>54</v>
      </c>
      <c r="BP931" s="1" t="s">
        <v>55</v>
      </c>
      <c r="BQ931" s="1" t="s">
        <v>56</v>
      </c>
      <c r="BR931" s="1" t="s">
        <v>57</v>
      </c>
      <c r="BS931" s="1" t="s">
        <v>58</v>
      </c>
      <c r="BT931" s="1" t="s">
        <v>59</v>
      </c>
      <c r="BU931" s="1" t="s">
        <v>60</v>
      </c>
      <c r="BV931" s="1" t="s">
        <v>61</v>
      </c>
      <c r="BW931" s="1" t="s">
        <v>62</v>
      </c>
      <c r="BX931" s="1" t="s">
        <v>63</v>
      </c>
      <c r="BY931" s="1" t="s">
        <v>64</v>
      </c>
      <c r="BZ931" s="1" t="s">
        <v>65</v>
      </c>
      <c r="CA931" s="1" t="s">
        <v>66</v>
      </c>
      <c r="CB931" s="1" t="s">
        <v>67</v>
      </c>
      <c r="CC931" s="1" t="s">
        <v>68</v>
      </c>
      <c r="CD931" s="1" t="s">
        <v>69</v>
      </c>
      <c r="CE931" s="1" t="s">
        <v>70</v>
      </c>
      <c r="CF931" s="1" t="s">
        <v>929</v>
      </c>
      <c r="CG931" s="1" t="s">
        <v>930</v>
      </c>
      <c r="CH931" s="1" t="s">
        <v>931</v>
      </c>
      <c r="CI931" s="1" t="s">
        <v>932</v>
      </c>
      <c r="CJ931" s="1" t="s">
        <v>933</v>
      </c>
      <c r="CK931" s="1" t="s">
        <v>934</v>
      </c>
      <c r="CL931" s="1" t="s">
        <v>935</v>
      </c>
      <c r="CM931" s="1" t="s">
        <v>936</v>
      </c>
      <c r="CN931" s="1" t="s">
        <v>937</v>
      </c>
      <c r="CO931" s="1" t="s">
        <v>938</v>
      </c>
      <c r="CP931" s="1" t="s">
        <v>939</v>
      </c>
      <c r="CQ931" s="1" t="s">
        <v>940</v>
      </c>
      <c r="CR931" s="1" t="s">
        <v>941</v>
      </c>
      <c r="CS931" s="1" t="s">
        <v>942</v>
      </c>
      <c r="CT931" s="1" t="s">
        <v>1008</v>
      </c>
    </row>
    <row r="932" spans="61:98" x14ac:dyDescent="0.3">
      <c r="BI932" s="53"/>
      <c r="BJ932" s="24">
        <v>6</v>
      </c>
      <c r="BK932" t="s">
        <v>5</v>
      </c>
      <c r="BL932" t="s">
        <v>3</v>
      </c>
      <c r="BM932" t="s">
        <v>4</v>
      </c>
      <c r="BN932" t="s">
        <v>5</v>
      </c>
      <c r="BO932" t="s">
        <v>5</v>
      </c>
      <c r="BP932" t="s">
        <v>3</v>
      </c>
      <c r="BQ932" t="s">
        <v>2</v>
      </c>
      <c r="BR932" t="s">
        <v>2</v>
      </c>
      <c r="BS932" t="s">
        <v>3</v>
      </c>
      <c r="BT932" t="s">
        <v>3</v>
      </c>
      <c r="BU932" t="s">
        <v>4</v>
      </c>
      <c r="BV932" t="s">
        <v>5</v>
      </c>
      <c r="BW932" t="s">
        <v>5</v>
      </c>
      <c r="BX932" t="s">
        <v>3</v>
      </c>
      <c r="BY932" t="s">
        <v>5</v>
      </c>
      <c r="BZ932" t="s">
        <v>5</v>
      </c>
      <c r="CA932" t="s">
        <v>5</v>
      </c>
      <c r="CB932" t="s">
        <v>5</v>
      </c>
      <c r="CC932" t="s">
        <v>4</v>
      </c>
      <c r="CD932" t="s">
        <v>4</v>
      </c>
      <c r="CE932" t="s">
        <v>3</v>
      </c>
      <c r="CF932" t="s">
        <v>4</v>
      </c>
      <c r="CG932" t="s">
        <v>3</v>
      </c>
      <c r="CH932" t="s">
        <v>3</v>
      </c>
      <c r="CI932" t="s">
        <v>3</v>
      </c>
      <c r="CJ932" t="s">
        <v>4</v>
      </c>
      <c r="CK932" t="s">
        <v>4</v>
      </c>
      <c r="CL932" t="s">
        <v>4</v>
      </c>
      <c r="CM932" t="s">
        <v>4</v>
      </c>
      <c r="CN932" t="s">
        <v>4</v>
      </c>
      <c r="CO932" t="s">
        <v>4</v>
      </c>
      <c r="CP932" t="s">
        <v>4</v>
      </c>
      <c r="CQ932" t="s">
        <v>4</v>
      </c>
      <c r="CR932" t="s">
        <v>4</v>
      </c>
      <c r="CS932" t="s">
        <v>4</v>
      </c>
      <c r="CT932" t="s">
        <v>4</v>
      </c>
    </row>
    <row r="933" spans="61:98" x14ac:dyDescent="0.3">
      <c r="BI933" t="s">
        <v>662</v>
      </c>
    </row>
    <row r="934" spans="61:98" x14ac:dyDescent="0.3">
      <c r="BI934" s="3" t="s">
        <v>355</v>
      </c>
      <c r="BJ934">
        <f>AV18*AT30*AT34*AT39*AT48*AT54*AT58*AT65*AT71*AT76*AT82*AT87*AT96*AT102*AT106*AT114*AT120*AT126*AT132*AT135*AT141*AT148*AT153*AT160*AT164*AT168*AT171*AT175*AT179*AT183*AT187*AT191*AT195*AT199*AT203*AT207*AT211</f>
        <v>0</v>
      </c>
    </row>
    <row r="935" spans="61:98" x14ac:dyDescent="0.3">
      <c r="BI935" t="s">
        <v>663</v>
      </c>
    </row>
    <row r="936" spans="61:98" x14ac:dyDescent="0.3">
      <c r="BI936" s="3" t="s">
        <v>355</v>
      </c>
      <c r="BJ936">
        <f>AV19*AU30*AU34*AU39*AU48*AU54*AU58*AU65*AU71*AU76*AU82*AU87*AU96*AU102*AU106*AU114*AU120*AU126*AU132*AU135*AU141*AU148*AU153*AU160*AU164*AU168*AU171*AU175*AU179*AU183*AU187*AU191*AU195*AU199*AU203*AU207*AU211</f>
        <v>0</v>
      </c>
    </row>
    <row r="937" spans="61:98" x14ac:dyDescent="0.3">
      <c r="BI937" t="s">
        <v>664</v>
      </c>
    </row>
    <row r="938" spans="61:98" x14ac:dyDescent="0.3">
      <c r="BI938" s="3" t="s">
        <v>355</v>
      </c>
      <c r="BJ938">
        <f>AV20*AV30*AV34*AV39*AV48*AV54*AV58*AV65*AV71*AV76*AV82*AV87*AV96*AV102*AV106*AV114*AV120*AV126*AV132*AV135*AV141*AV148*AV153*AV160*AV164*AV168*AV171*AV175*AV179*AV183*AV187*AV191*AV195*AV199*AV203*AV207*AV211</f>
        <v>0</v>
      </c>
    </row>
    <row r="939" spans="61:98" x14ac:dyDescent="0.3">
      <c r="BI939" t="s">
        <v>665</v>
      </c>
    </row>
    <row r="940" spans="61:98" x14ac:dyDescent="0.3">
      <c r="BI940" s="3" t="s">
        <v>355</v>
      </c>
      <c r="BJ940">
        <f>AV21*AW30*AW34*AW39*AW48*AW54*AW58*AW65*AW71*AW76*AW82*AW87*AW96*AW102*AW106*AW114*AW120*AW126*AW132*AW135*AW141*AW148*AW153*AW160*AW164*AW168*AW171*AW175*AW179*AW183*AW187*AW191*AW195*AW199*AW203*AW207*AW211</f>
        <v>0</v>
      </c>
    </row>
    <row r="941" spans="61:98" x14ac:dyDescent="0.3">
      <c r="BI941" t="s">
        <v>666</v>
      </c>
    </row>
    <row r="942" spans="61:98" x14ac:dyDescent="0.3">
      <c r="BI942" s="3" t="s">
        <v>355</v>
      </c>
      <c r="BJ942">
        <f>AV22*AX30*AX34*AX39*AX48*AX54*AX58*AX65*AX71*AX76*AX82*AX87*AX96*AX102*AX106*AX114*AX120*AX126*AX132*AX135*AX141*AX148*AX153*AX160*AX164*AX168*AX171*AX175*AX179*AX183*AX187*AX191*AX195*AX199*AX203*AX207*AX211</f>
        <v>0</v>
      </c>
    </row>
    <row r="943" spans="61:98" x14ac:dyDescent="0.3">
      <c r="BI943" t="s">
        <v>667</v>
      </c>
    </row>
    <row r="944" spans="61:98" x14ac:dyDescent="0.3">
      <c r="BI944" s="3" t="s">
        <v>355</v>
      </c>
      <c r="BJ944">
        <f>AV23*AY30*AY34*AY39*AY48*AY54*AY58*AY65*AY71*AY76*AY82*AY87*AY96*AY102*AY106*AY114*AY120*AY126*AY132*AY135*AY141*AY148*AY153*AY160*AY164*AY168*AY171*AY175*AY179*AY183*AY187*AY191*AY195*AY199*AY203*AY207*AY211</f>
        <v>3.982060486656001E-15</v>
      </c>
    </row>
    <row r="945" spans="61:98" x14ac:dyDescent="0.3">
      <c r="BI945" s="24" t="s">
        <v>391</v>
      </c>
      <c r="BJ945" t="s">
        <v>564</v>
      </c>
      <c r="BK945" s="25" t="s">
        <v>640</v>
      </c>
    </row>
    <row r="947" spans="61:98" x14ac:dyDescent="0.3">
      <c r="BI947" s="53" t="s">
        <v>668</v>
      </c>
      <c r="BJ947" s="24" t="s">
        <v>71</v>
      </c>
      <c r="BK947" s="1" t="s">
        <v>50</v>
      </c>
      <c r="BL947" s="1" t="s">
        <v>51</v>
      </c>
      <c r="BM947" s="1" t="s">
        <v>52</v>
      </c>
      <c r="BN947" s="1" t="s">
        <v>53</v>
      </c>
      <c r="BO947" s="1" t="s">
        <v>54</v>
      </c>
      <c r="BP947" s="1" t="s">
        <v>55</v>
      </c>
      <c r="BQ947" s="1" t="s">
        <v>56</v>
      </c>
      <c r="BR947" s="1" t="s">
        <v>57</v>
      </c>
      <c r="BS947" s="1" t="s">
        <v>58</v>
      </c>
      <c r="BT947" s="1" t="s">
        <v>59</v>
      </c>
      <c r="BU947" s="1" t="s">
        <v>60</v>
      </c>
      <c r="BV947" s="1" t="s">
        <v>61</v>
      </c>
      <c r="BW947" s="1" t="s">
        <v>62</v>
      </c>
      <c r="BX947" s="1" t="s">
        <v>63</v>
      </c>
      <c r="BY947" s="1" t="s">
        <v>64</v>
      </c>
      <c r="BZ947" s="1" t="s">
        <v>65</v>
      </c>
      <c r="CA947" s="1" t="s">
        <v>66</v>
      </c>
      <c r="CB947" s="1" t="s">
        <v>67</v>
      </c>
      <c r="CC947" s="1" t="s">
        <v>68</v>
      </c>
      <c r="CD947" s="1" t="s">
        <v>69</v>
      </c>
      <c r="CE947" s="1" t="s">
        <v>70</v>
      </c>
      <c r="CF947" s="1" t="s">
        <v>929</v>
      </c>
      <c r="CG947" s="1" t="s">
        <v>930</v>
      </c>
      <c r="CH947" s="1" t="s">
        <v>931</v>
      </c>
      <c r="CI947" s="1" t="s">
        <v>932</v>
      </c>
      <c r="CJ947" s="1" t="s">
        <v>933</v>
      </c>
      <c r="CK947" s="1" t="s">
        <v>934</v>
      </c>
      <c r="CL947" s="1" t="s">
        <v>935</v>
      </c>
      <c r="CM947" s="1" t="s">
        <v>936</v>
      </c>
      <c r="CN947" s="1" t="s">
        <v>937</v>
      </c>
      <c r="CO947" s="1" t="s">
        <v>938</v>
      </c>
      <c r="CP947" s="1" t="s">
        <v>939</v>
      </c>
      <c r="CQ947" s="1" t="s">
        <v>940</v>
      </c>
      <c r="CR947" s="1" t="s">
        <v>941</v>
      </c>
      <c r="CS947" s="1" t="s">
        <v>942</v>
      </c>
      <c r="CT947" s="1" t="s">
        <v>1008</v>
      </c>
    </row>
    <row r="948" spans="61:98" x14ac:dyDescent="0.3">
      <c r="BI948" s="53"/>
      <c r="BJ948" s="24">
        <v>6</v>
      </c>
      <c r="BK948" t="s">
        <v>5</v>
      </c>
      <c r="BL948" t="s">
        <v>5</v>
      </c>
      <c r="BM948" t="s">
        <v>3</v>
      </c>
      <c r="BN948" t="s">
        <v>5</v>
      </c>
      <c r="BO948" t="s">
        <v>5</v>
      </c>
      <c r="BP948" t="s">
        <v>5</v>
      </c>
      <c r="BQ948" t="s">
        <v>5</v>
      </c>
      <c r="BR948" t="s">
        <v>2</v>
      </c>
      <c r="BS948" t="s">
        <v>2</v>
      </c>
      <c r="BT948" t="s">
        <v>4</v>
      </c>
      <c r="BU948" t="s">
        <v>4</v>
      </c>
      <c r="BV948" t="s">
        <v>4</v>
      </c>
      <c r="BW948" t="s">
        <v>5</v>
      </c>
      <c r="BX948" t="s">
        <v>4</v>
      </c>
      <c r="BY948" t="s">
        <v>5</v>
      </c>
      <c r="BZ948" t="s">
        <v>5</v>
      </c>
      <c r="CA948" t="s">
        <v>5</v>
      </c>
      <c r="CB948" t="s">
        <v>5</v>
      </c>
      <c r="CC948" t="s">
        <v>3</v>
      </c>
      <c r="CD948" t="s">
        <v>5</v>
      </c>
      <c r="CE948" t="s">
        <v>2</v>
      </c>
      <c r="CF948" t="s">
        <v>4</v>
      </c>
      <c r="CG948" t="s">
        <v>3</v>
      </c>
      <c r="CH948" t="s">
        <v>4</v>
      </c>
      <c r="CI948" t="s">
        <v>4</v>
      </c>
      <c r="CJ948" t="s">
        <v>4</v>
      </c>
      <c r="CK948" t="s">
        <v>4</v>
      </c>
      <c r="CL948" t="s">
        <v>4</v>
      </c>
      <c r="CM948" t="s">
        <v>4</v>
      </c>
      <c r="CN948" t="s">
        <v>3</v>
      </c>
      <c r="CO948" t="s">
        <v>4</v>
      </c>
      <c r="CP948" t="s">
        <v>3</v>
      </c>
      <c r="CQ948" t="s">
        <v>3</v>
      </c>
      <c r="CR948" t="s">
        <v>4</v>
      </c>
      <c r="CS948" t="s">
        <v>4</v>
      </c>
      <c r="CT948" t="s">
        <v>3</v>
      </c>
    </row>
    <row r="949" spans="61:98" x14ac:dyDescent="0.3">
      <c r="BI949" t="s">
        <v>669</v>
      </c>
    </row>
    <row r="950" spans="61:98" x14ac:dyDescent="0.3">
      <c r="BI950" s="3" t="s">
        <v>355</v>
      </c>
      <c r="BJ950">
        <f>AV18*AT30*AT36*AT40*AT48*AT54*AT60*AT66*AT71*AT77*AT81*AT87*AT93*AT102*AT105*AT120*AT114*AT126*AT132*AT136*AT144*AT149*AT153*AT160*AT163*AT167*AT171*AT175*AT179*AT183*AT188*AT191*AT196*AT200*AT203*AT207*AT212</f>
        <v>0</v>
      </c>
    </row>
    <row r="951" spans="61:98" x14ac:dyDescent="0.3">
      <c r="BI951" t="s">
        <v>670</v>
      </c>
    </row>
    <row r="952" spans="61:98" x14ac:dyDescent="0.3">
      <c r="BI952" s="3" t="s">
        <v>355</v>
      </c>
      <c r="BJ952">
        <f>AV19*AU30*AU36*AU40*AU48*AU54*AU60*AU66*AU71*AU77*AU81*AU87*AU93*AU102*AU105*AU120*AU114*AU126*AU132*AU136*AU144*AU149*AU153*AU160*AU163*AU167*AU171*AU175*AU179*AU183*AU188*AU191*AU196*AU200*AU203*AU207*AU212</f>
        <v>0</v>
      </c>
    </row>
    <row r="953" spans="61:98" x14ac:dyDescent="0.3">
      <c r="BI953" t="s">
        <v>671</v>
      </c>
    </row>
    <row r="954" spans="61:98" x14ac:dyDescent="0.3">
      <c r="BI954" s="3" t="s">
        <v>355</v>
      </c>
      <c r="BJ954">
        <f>AV20*AV30*AV36*AV40*AV48*AV54*AV60*AV66*AV71*AV77*AV81*AV87*AV93*AV102*AV105*AV120*AV114*AV126*AV132*AV136*AV144*AV149*AV153*AV160*AV163*AV167*AV171*AV175*AV179*AV183*AV188*AV191*AV196*AV200*AV203*AV207*AV212</f>
        <v>0</v>
      </c>
    </row>
    <row r="955" spans="61:98" x14ac:dyDescent="0.3">
      <c r="BI955" t="s">
        <v>672</v>
      </c>
    </row>
    <row r="956" spans="61:98" x14ac:dyDescent="0.3">
      <c r="BI956" s="3" t="s">
        <v>355</v>
      </c>
      <c r="BJ956">
        <f>AV21*AW30*AW36*AW40*AW48*AW54*AW60*AW66*AW71*AW77*AW81*AW87*AW93*AW102*AW105*AW120*AW114*AW126*AW132*AW136*AW144*AW149*AW153*AW160*AW163*AW167*AW171*AW175*AW179*AW183*AW188*AW191*AW196*AW200*AW203*AW207*AW212</f>
        <v>0</v>
      </c>
    </row>
    <row r="957" spans="61:98" x14ac:dyDescent="0.3">
      <c r="BI957" t="s">
        <v>673</v>
      </c>
    </row>
    <row r="958" spans="61:98" x14ac:dyDescent="0.3">
      <c r="BI958" s="3" t="s">
        <v>355</v>
      </c>
      <c r="BJ958">
        <f>AV22*AX30*AX36*AX40*AX48*AX54*AX60*AX66*AX71*AX77*AX81*AX87*AX93*AX102*AX105*AX120*AX114*AX126*AX132*AX136*AX144*AX149*AX153*AX160*AX163*AX167*AX171*AX175*AX179*AX183*AX188*AX191*AX196*AX200*AX203*AX207*AX212</f>
        <v>0</v>
      </c>
    </row>
    <row r="959" spans="61:98" x14ac:dyDescent="0.3">
      <c r="BI959" t="s">
        <v>674</v>
      </c>
    </row>
    <row r="960" spans="61:98" x14ac:dyDescent="0.3">
      <c r="BI960" s="3" t="s">
        <v>355</v>
      </c>
      <c r="BJ960">
        <f>AV23*AY30*AY36*AY40*AY48*AY54*AY60*AY66*AY71*AY77*AY81*AY87*AY93*AY102*AY105*AY120*AY114*AY126*AY132*AY136*AY144*AY149*AY153*AY160*AY163*AY167*AY171*AY175*AY179*AY183*AY188*AY191*AY196*AY200*AY203*AY207*AY212</f>
        <v>2.3409163772243212E-9</v>
      </c>
    </row>
    <row r="961" spans="40:78" x14ac:dyDescent="0.3">
      <c r="BI961" s="24" t="s">
        <v>391</v>
      </c>
      <c r="BJ961" t="s">
        <v>564</v>
      </c>
      <c r="BK961" s="25" t="s">
        <v>640</v>
      </c>
    </row>
    <row r="962" spans="40:78" x14ac:dyDescent="0.3">
      <c r="AN962" s="35" t="s">
        <v>880</v>
      </c>
    </row>
    <row r="963" spans="40:78" x14ac:dyDescent="0.3">
      <c r="AN963" s="1" t="s">
        <v>383</v>
      </c>
      <c r="AO963" s="1" t="s">
        <v>0</v>
      </c>
      <c r="AP963" s="1" t="s">
        <v>71</v>
      </c>
      <c r="AQ963" s="1" t="s">
        <v>50</v>
      </c>
      <c r="AR963" s="1" t="s">
        <v>51</v>
      </c>
      <c r="AS963" s="1" t="s">
        <v>52</v>
      </c>
      <c r="AT963" s="1" t="s">
        <v>53</v>
      </c>
      <c r="AU963" s="1" t="s">
        <v>54</v>
      </c>
      <c r="AV963" s="1" t="s">
        <v>55</v>
      </c>
      <c r="AW963" s="1" t="s">
        <v>56</v>
      </c>
      <c r="AX963" s="1" t="s">
        <v>57</v>
      </c>
      <c r="AY963" s="1" t="s">
        <v>58</v>
      </c>
      <c r="AZ963" s="1" t="s">
        <v>59</v>
      </c>
      <c r="BA963" s="1" t="s">
        <v>60</v>
      </c>
      <c r="BB963" s="1" t="s">
        <v>61</v>
      </c>
      <c r="BC963" s="1" t="s">
        <v>62</v>
      </c>
      <c r="BD963" s="1" t="s">
        <v>63</v>
      </c>
      <c r="BE963" s="1" t="s">
        <v>64</v>
      </c>
      <c r="BF963" s="1" t="s">
        <v>65</v>
      </c>
      <c r="BG963" s="1" t="s">
        <v>66</v>
      </c>
      <c r="BH963" s="1" t="s">
        <v>67</v>
      </c>
      <c r="BI963" s="1" t="s">
        <v>68</v>
      </c>
      <c r="BJ963" s="1" t="s">
        <v>69</v>
      </c>
      <c r="BK963" s="1" t="s">
        <v>70</v>
      </c>
      <c r="BL963" s="1" t="s">
        <v>929</v>
      </c>
      <c r="BM963" s="1" t="s">
        <v>930</v>
      </c>
      <c r="BN963" s="1" t="s">
        <v>931</v>
      </c>
      <c r="BO963" s="1" t="s">
        <v>932</v>
      </c>
      <c r="BP963" s="1" t="s">
        <v>933</v>
      </c>
      <c r="BQ963" s="1" t="s">
        <v>934</v>
      </c>
      <c r="BR963" s="1" t="s">
        <v>935</v>
      </c>
      <c r="BS963" s="1" t="s">
        <v>936</v>
      </c>
      <c r="BT963" s="1" t="s">
        <v>937</v>
      </c>
      <c r="BU963" s="1" t="s">
        <v>938</v>
      </c>
      <c r="BV963" s="1" t="s">
        <v>939</v>
      </c>
      <c r="BW963" s="1" t="s">
        <v>940</v>
      </c>
      <c r="BX963" s="1" t="s">
        <v>941</v>
      </c>
      <c r="BY963" s="1" t="s">
        <v>942</v>
      </c>
      <c r="BZ963" s="1" t="s">
        <v>1008</v>
      </c>
    </row>
    <row r="964" spans="40:78" x14ac:dyDescent="0.3">
      <c r="AN964" s="35">
        <v>1</v>
      </c>
      <c r="AO964" t="s">
        <v>876</v>
      </c>
      <c r="AP964">
        <v>1</v>
      </c>
      <c r="AQ964" t="s">
        <v>3</v>
      </c>
      <c r="AR964" t="s">
        <v>5</v>
      </c>
      <c r="AS964" t="s">
        <v>3</v>
      </c>
      <c r="AT964" t="s">
        <v>5</v>
      </c>
      <c r="AU964" t="s">
        <v>5</v>
      </c>
      <c r="AV964" t="s">
        <v>5</v>
      </c>
      <c r="AW964" t="s">
        <v>2</v>
      </c>
      <c r="AX964" t="s">
        <v>2</v>
      </c>
      <c r="AY964" t="s">
        <v>2</v>
      </c>
      <c r="AZ964" t="s">
        <v>2</v>
      </c>
      <c r="BA964" t="s">
        <v>3</v>
      </c>
      <c r="BB964" t="s">
        <v>5</v>
      </c>
      <c r="BC964" t="s">
        <v>5</v>
      </c>
      <c r="BD964" t="s">
        <v>3</v>
      </c>
      <c r="BE964" t="s">
        <v>3</v>
      </c>
      <c r="BF964" t="s">
        <v>5</v>
      </c>
      <c r="BG964" t="s">
        <v>5</v>
      </c>
      <c r="BH964" t="s">
        <v>5</v>
      </c>
      <c r="BI964" t="s">
        <v>2</v>
      </c>
      <c r="BJ964" t="s">
        <v>4</v>
      </c>
      <c r="BK964" t="s">
        <v>4</v>
      </c>
      <c r="BL964" t="s">
        <v>2</v>
      </c>
      <c r="BM964" t="s">
        <v>4</v>
      </c>
      <c r="BN964" t="s">
        <v>4</v>
      </c>
      <c r="BO964" t="s">
        <v>4</v>
      </c>
      <c r="BP964" t="s">
        <v>4</v>
      </c>
      <c r="BQ964" t="s">
        <v>4</v>
      </c>
      <c r="BR964" t="s">
        <v>4</v>
      </c>
      <c r="BS964" t="s">
        <v>4</v>
      </c>
      <c r="BT964" t="s">
        <v>3</v>
      </c>
      <c r="BU964" t="s">
        <v>4</v>
      </c>
      <c r="BV964" t="s">
        <v>3</v>
      </c>
      <c r="BW964" t="s">
        <v>4</v>
      </c>
      <c r="BX964" t="s">
        <v>4</v>
      </c>
      <c r="BY964" t="s">
        <v>4</v>
      </c>
      <c r="BZ964" t="s">
        <v>3</v>
      </c>
    </row>
    <row r="965" spans="40:78" x14ac:dyDescent="0.3">
      <c r="AN965" s="35">
        <v>2</v>
      </c>
      <c r="AO965" t="s">
        <v>872</v>
      </c>
      <c r="AP965">
        <v>1</v>
      </c>
      <c r="AQ965" t="s">
        <v>2</v>
      </c>
      <c r="AR965" t="s">
        <v>3</v>
      </c>
      <c r="AS965" t="s">
        <v>4</v>
      </c>
      <c r="AT965" t="s">
        <v>5</v>
      </c>
      <c r="AU965" t="s">
        <v>5</v>
      </c>
      <c r="AV965" t="s">
        <v>5</v>
      </c>
      <c r="AW965" t="s">
        <v>5</v>
      </c>
      <c r="AX965" t="s">
        <v>2</v>
      </c>
      <c r="AY965" t="s">
        <v>3</v>
      </c>
      <c r="AZ965" t="s">
        <v>3</v>
      </c>
      <c r="BA965" t="s">
        <v>4</v>
      </c>
      <c r="BB965" t="s">
        <v>3</v>
      </c>
      <c r="BC965" t="s">
        <v>5</v>
      </c>
      <c r="BD965" t="s">
        <v>3</v>
      </c>
      <c r="BE965" t="s">
        <v>3</v>
      </c>
      <c r="BF965" t="s">
        <v>5</v>
      </c>
      <c r="BG965" t="s">
        <v>5</v>
      </c>
      <c r="BH965" t="s">
        <v>5</v>
      </c>
      <c r="BI965" t="s">
        <v>2</v>
      </c>
      <c r="BJ965" t="s">
        <v>4</v>
      </c>
      <c r="BK965" t="s">
        <v>3</v>
      </c>
      <c r="BL965" t="s">
        <v>2</v>
      </c>
      <c r="BM965" t="s">
        <v>3</v>
      </c>
      <c r="BN965" t="s">
        <v>4</v>
      </c>
      <c r="BO965" t="s">
        <v>4</v>
      </c>
      <c r="BP965" t="s">
        <v>4</v>
      </c>
      <c r="BQ965" t="s">
        <v>4</v>
      </c>
      <c r="BR965" t="s">
        <v>4</v>
      </c>
      <c r="BS965" t="s">
        <v>4</v>
      </c>
      <c r="BT965" t="s">
        <v>4</v>
      </c>
      <c r="BU965" t="s">
        <v>4</v>
      </c>
      <c r="BV965" t="s">
        <v>4</v>
      </c>
      <c r="BW965" t="s">
        <v>4</v>
      </c>
      <c r="BX965" t="s">
        <v>4</v>
      </c>
      <c r="BY965" t="s">
        <v>3</v>
      </c>
      <c r="BZ965" t="s">
        <v>3</v>
      </c>
    </row>
    <row r="966" spans="40:78" x14ac:dyDescent="0.3">
      <c r="AN966" s="35">
        <v>3</v>
      </c>
      <c r="AO966" t="s">
        <v>875</v>
      </c>
      <c r="AP966">
        <v>1</v>
      </c>
      <c r="AQ966" t="s">
        <v>2</v>
      </c>
      <c r="AR966" t="s">
        <v>5</v>
      </c>
      <c r="AS966" t="s">
        <v>3</v>
      </c>
      <c r="AT966" t="s">
        <v>5</v>
      </c>
      <c r="AU966" t="s">
        <v>5</v>
      </c>
      <c r="AV966" t="s">
        <v>3</v>
      </c>
      <c r="AW966" t="s">
        <v>2</v>
      </c>
      <c r="AX966" t="s">
        <v>2</v>
      </c>
      <c r="AY966" t="s">
        <v>2</v>
      </c>
      <c r="AZ966" t="s">
        <v>3</v>
      </c>
      <c r="BA966" t="s">
        <v>4</v>
      </c>
      <c r="BB966" t="s">
        <v>5</v>
      </c>
      <c r="BC966" t="s">
        <v>5</v>
      </c>
      <c r="BD966" t="s">
        <v>3</v>
      </c>
      <c r="BE966" t="s">
        <v>3</v>
      </c>
      <c r="BF966" t="s">
        <v>5</v>
      </c>
      <c r="BG966" t="s">
        <v>5</v>
      </c>
      <c r="BH966" t="s">
        <v>5</v>
      </c>
      <c r="BI966" t="s">
        <v>5</v>
      </c>
      <c r="BJ966" t="s">
        <v>4</v>
      </c>
      <c r="BK966" t="s">
        <v>3</v>
      </c>
      <c r="BL966" t="s">
        <v>2</v>
      </c>
      <c r="BM966" t="s">
        <v>3</v>
      </c>
      <c r="BN966" t="s">
        <v>4</v>
      </c>
      <c r="BO966" t="s">
        <v>4</v>
      </c>
      <c r="BP966" t="s">
        <v>4</v>
      </c>
      <c r="BQ966" t="s">
        <v>4</v>
      </c>
      <c r="BR966" t="s">
        <v>4</v>
      </c>
      <c r="BS966" t="s">
        <v>3</v>
      </c>
      <c r="BT966" t="s">
        <v>3</v>
      </c>
      <c r="BU966" t="s">
        <v>4</v>
      </c>
      <c r="BV966" t="s">
        <v>4</v>
      </c>
      <c r="BW966" t="s">
        <v>4</v>
      </c>
      <c r="BX966" t="s">
        <v>4</v>
      </c>
      <c r="BY966" t="s">
        <v>4</v>
      </c>
      <c r="BZ966" t="s">
        <v>3</v>
      </c>
    </row>
    <row r="967" spans="40:78" x14ac:dyDescent="0.3">
      <c r="AN967" s="35">
        <v>4</v>
      </c>
      <c r="AO967" t="s">
        <v>873</v>
      </c>
      <c r="AP967">
        <v>2</v>
      </c>
      <c r="AQ967" t="s">
        <v>5</v>
      </c>
      <c r="AR967" t="s">
        <v>3</v>
      </c>
      <c r="AS967" t="s">
        <v>4</v>
      </c>
      <c r="AT967" t="s">
        <v>3</v>
      </c>
      <c r="AU967" t="s">
        <v>5</v>
      </c>
      <c r="AV967" t="s">
        <v>5</v>
      </c>
      <c r="AW967" t="s">
        <v>3</v>
      </c>
      <c r="AX967" t="s">
        <v>4</v>
      </c>
      <c r="AY967" t="s">
        <v>3</v>
      </c>
      <c r="AZ967" t="s">
        <v>3</v>
      </c>
      <c r="BA967" t="s">
        <v>4</v>
      </c>
      <c r="BB967" t="s">
        <v>4</v>
      </c>
      <c r="BC967" t="s">
        <v>5</v>
      </c>
      <c r="BD967" t="s">
        <v>3</v>
      </c>
      <c r="BE967" t="s">
        <v>4</v>
      </c>
      <c r="BF967" t="s">
        <v>5</v>
      </c>
      <c r="BG967" t="s">
        <v>5</v>
      </c>
      <c r="BH967" t="s">
        <v>5</v>
      </c>
      <c r="BI967" t="s">
        <v>3</v>
      </c>
      <c r="BJ967" t="s">
        <v>4</v>
      </c>
      <c r="BK967" t="s">
        <v>4</v>
      </c>
      <c r="BL967" t="s">
        <v>4</v>
      </c>
      <c r="BM967" t="s">
        <v>3</v>
      </c>
      <c r="BN967" t="s">
        <v>4</v>
      </c>
      <c r="BO967" t="s">
        <v>4</v>
      </c>
      <c r="BP967" t="s">
        <v>4</v>
      </c>
      <c r="BQ967" t="s">
        <v>4</v>
      </c>
      <c r="BR967" t="s">
        <v>4</v>
      </c>
      <c r="BS967" t="s">
        <v>4</v>
      </c>
      <c r="BT967" t="s">
        <v>3</v>
      </c>
      <c r="BU967" t="s">
        <v>4</v>
      </c>
      <c r="BV967" t="s">
        <v>3</v>
      </c>
      <c r="BW967" t="s">
        <v>4</v>
      </c>
      <c r="BX967" t="s">
        <v>4</v>
      </c>
      <c r="BY967" t="s">
        <v>4</v>
      </c>
      <c r="BZ967" t="s">
        <v>3</v>
      </c>
    </row>
    <row r="968" spans="40:78" x14ac:dyDescent="0.3">
      <c r="AN968" s="35">
        <v>5</v>
      </c>
      <c r="AO968" t="s">
        <v>874</v>
      </c>
      <c r="AP968">
        <v>2</v>
      </c>
      <c r="AQ968" t="s">
        <v>5</v>
      </c>
      <c r="AR968" t="s">
        <v>5</v>
      </c>
      <c r="AS968" t="s">
        <v>3</v>
      </c>
      <c r="AT968" t="s">
        <v>5</v>
      </c>
      <c r="AU968" t="s">
        <v>5</v>
      </c>
      <c r="AV968" t="s">
        <v>5</v>
      </c>
      <c r="AW968" t="s">
        <v>2</v>
      </c>
      <c r="AX968" t="s">
        <v>2</v>
      </c>
      <c r="AY968" t="s">
        <v>3</v>
      </c>
      <c r="AZ968" t="s">
        <v>2</v>
      </c>
      <c r="BA968" t="s">
        <v>2</v>
      </c>
      <c r="BB968" t="s">
        <v>3</v>
      </c>
      <c r="BC968" t="s">
        <v>5</v>
      </c>
      <c r="BD968" t="s">
        <v>3</v>
      </c>
      <c r="BE968" t="s">
        <v>4</v>
      </c>
      <c r="BF968" t="s">
        <v>5</v>
      </c>
      <c r="BG968" t="s">
        <v>5</v>
      </c>
      <c r="BH968" t="s">
        <v>5</v>
      </c>
      <c r="BI968" t="s">
        <v>5</v>
      </c>
      <c r="BJ968" t="s">
        <v>4</v>
      </c>
      <c r="BK968" t="s">
        <v>3</v>
      </c>
      <c r="BL968" t="s">
        <v>2</v>
      </c>
      <c r="BM968" t="s">
        <v>3</v>
      </c>
      <c r="BN968" t="s">
        <v>4</v>
      </c>
      <c r="BO968" t="s">
        <v>4</v>
      </c>
      <c r="BP968" t="s">
        <v>4</v>
      </c>
      <c r="BQ968" t="s">
        <v>4</v>
      </c>
      <c r="BR968" t="s">
        <v>4</v>
      </c>
      <c r="BS968" t="s">
        <v>4</v>
      </c>
      <c r="BT968" t="s">
        <v>3</v>
      </c>
      <c r="BU968" t="s">
        <v>4</v>
      </c>
      <c r="BV968" t="s">
        <v>4</v>
      </c>
      <c r="BW968" t="s">
        <v>4</v>
      </c>
      <c r="BX968" t="s">
        <v>4</v>
      </c>
      <c r="BY968" t="s">
        <v>3</v>
      </c>
      <c r="BZ968" t="s">
        <v>4</v>
      </c>
    </row>
    <row r="969" spans="40:78" x14ac:dyDescent="0.3">
      <c r="AN969" s="35">
        <v>6</v>
      </c>
      <c r="AO969" t="s">
        <v>877</v>
      </c>
      <c r="AP969">
        <v>2</v>
      </c>
      <c r="AQ969" t="s">
        <v>4</v>
      </c>
      <c r="AR969" t="s">
        <v>5</v>
      </c>
      <c r="AS969" t="s">
        <v>3</v>
      </c>
      <c r="AT969" t="s">
        <v>5</v>
      </c>
      <c r="AU969" t="s">
        <v>5</v>
      </c>
      <c r="AV969" t="s">
        <v>5</v>
      </c>
      <c r="AW969" t="s">
        <v>5</v>
      </c>
      <c r="AX969" t="s">
        <v>2</v>
      </c>
      <c r="AY969" t="s">
        <v>3</v>
      </c>
      <c r="AZ969" t="s">
        <v>2</v>
      </c>
      <c r="BA969" t="s">
        <v>3</v>
      </c>
      <c r="BB969" t="s">
        <v>2</v>
      </c>
      <c r="BC969" t="s">
        <v>5</v>
      </c>
      <c r="BD969" t="s">
        <v>3</v>
      </c>
      <c r="BE969" t="s">
        <v>3</v>
      </c>
      <c r="BF969" t="s">
        <v>5</v>
      </c>
      <c r="BG969" t="s">
        <v>5</v>
      </c>
      <c r="BH969" t="s">
        <v>5</v>
      </c>
      <c r="BI969" t="s">
        <v>3</v>
      </c>
      <c r="BJ969" t="s">
        <v>4</v>
      </c>
      <c r="BK969" t="s">
        <v>3</v>
      </c>
      <c r="BL969" t="s">
        <v>2</v>
      </c>
      <c r="BM969" t="s">
        <v>3</v>
      </c>
      <c r="BN969" t="s">
        <v>4</v>
      </c>
      <c r="BO969" t="s">
        <v>4</v>
      </c>
      <c r="BP969" t="s">
        <v>4</v>
      </c>
      <c r="BQ969" t="s">
        <v>4</v>
      </c>
      <c r="BR969" t="s">
        <v>4</v>
      </c>
      <c r="BS969" t="s">
        <v>4</v>
      </c>
      <c r="BT969" t="s">
        <v>3</v>
      </c>
      <c r="BU969" t="s">
        <v>4</v>
      </c>
      <c r="BV969" t="s">
        <v>4</v>
      </c>
      <c r="BW969" t="s">
        <v>4</v>
      </c>
      <c r="BX969" t="s">
        <v>4</v>
      </c>
      <c r="BY969" t="s">
        <v>4</v>
      </c>
      <c r="BZ969" t="s">
        <v>3</v>
      </c>
    </row>
    <row r="970" spans="40:78" x14ac:dyDescent="0.3">
      <c r="AN970" s="35">
        <v>7</v>
      </c>
      <c r="AO970" t="s">
        <v>878</v>
      </c>
      <c r="AP970">
        <v>3</v>
      </c>
      <c r="AQ970" t="s">
        <v>3</v>
      </c>
      <c r="AR970" t="s">
        <v>3</v>
      </c>
      <c r="AS970" t="s">
        <v>3</v>
      </c>
      <c r="AT970" t="s">
        <v>2</v>
      </c>
      <c r="AU970" t="s">
        <v>5</v>
      </c>
      <c r="AV970" t="s">
        <v>5</v>
      </c>
      <c r="AW970" t="s">
        <v>5</v>
      </c>
      <c r="AX970" t="s">
        <v>2</v>
      </c>
      <c r="AY970" t="s">
        <v>3</v>
      </c>
      <c r="AZ970" t="s">
        <v>3</v>
      </c>
      <c r="BA970" t="s">
        <v>3</v>
      </c>
      <c r="BB970" t="s">
        <v>2</v>
      </c>
      <c r="BC970" t="s">
        <v>5</v>
      </c>
      <c r="BD970" t="s">
        <v>3</v>
      </c>
      <c r="BE970" t="s">
        <v>3</v>
      </c>
      <c r="BF970" t="s">
        <v>5</v>
      </c>
      <c r="BG970" t="s">
        <v>5</v>
      </c>
      <c r="BH970" t="s">
        <v>5</v>
      </c>
      <c r="BI970" t="s">
        <v>5</v>
      </c>
      <c r="BJ970" t="s">
        <v>4</v>
      </c>
      <c r="BK970" t="s">
        <v>3</v>
      </c>
      <c r="BL970" t="s">
        <v>2</v>
      </c>
      <c r="BM970" t="s">
        <v>3</v>
      </c>
      <c r="BN970" t="s">
        <v>4</v>
      </c>
      <c r="BO970" t="s">
        <v>4</v>
      </c>
      <c r="BP970" t="s">
        <v>4</v>
      </c>
      <c r="BQ970" t="s">
        <v>4</v>
      </c>
      <c r="BR970" t="s">
        <v>4</v>
      </c>
      <c r="BS970" t="s">
        <v>4</v>
      </c>
      <c r="BT970" t="s">
        <v>3</v>
      </c>
      <c r="BU970" t="s">
        <v>4</v>
      </c>
      <c r="BV970" t="s">
        <v>3</v>
      </c>
      <c r="BW970" t="s">
        <v>4</v>
      </c>
      <c r="BX970" t="s">
        <v>4</v>
      </c>
      <c r="BY970" t="s">
        <v>3</v>
      </c>
      <c r="BZ970" t="s">
        <v>3</v>
      </c>
    </row>
    <row r="971" spans="40:78" x14ac:dyDescent="0.3">
      <c r="AN971" s="35">
        <v>8</v>
      </c>
      <c r="AO971" t="s">
        <v>879</v>
      </c>
      <c r="AP971">
        <v>3</v>
      </c>
      <c r="AQ971" t="s">
        <v>2</v>
      </c>
      <c r="AR971" t="s">
        <v>3</v>
      </c>
      <c r="AS971" t="s">
        <v>3</v>
      </c>
      <c r="AT971" t="s">
        <v>2</v>
      </c>
      <c r="AU971" t="s">
        <v>5</v>
      </c>
      <c r="AV971" t="s">
        <v>2</v>
      </c>
      <c r="AW971" t="s">
        <v>5</v>
      </c>
      <c r="AX971" t="s">
        <v>2</v>
      </c>
      <c r="AY971" t="s">
        <v>3</v>
      </c>
      <c r="AZ971" t="s">
        <v>4</v>
      </c>
      <c r="BA971" t="s">
        <v>4</v>
      </c>
      <c r="BB971" t="s">
        <v>5</v>
      </c>
      <c r="BC971" t="s">
        <v>5</v>
      </c>
      <c r="BD971" t="s">
        <v>4</v>
      </c>
      <c r="BE971" t="s">
        <v>5</v>
      </c>
      <c r="BF971" t="s">
        <v>5</v>
      </c>
      <c r="BG971" t="s">
        <v>5</v>
      </c>
      <c r="BH971" t="s">
        <v>5</v>
      </c>
      <c r="BI971" t="s">
        <v>5</v>
      </c>
      <c r="BJ971" t="s">
        <v>4</v>
      </c>
      <c r="BK971" t="s">
        <v>3</v>
      </c>
      <c r="BL971" t="s">
        <v>4</v>
      </c>
      <c r="BM971" t="s">
        <v>4</v>
      </c>
      <c r="BN971" t="s">
        <v>4</v>
      </c>
      <c r="BO971" t="s">
        <v>4</v>
      </c>
      <c r="BP971" t="s">
        <v>4</v>
      </c>
      <c r="BQ971" t="s">
        <v>4</v>
      </c>
      <c r="BR971" t="s">
        <v>4</v>
      </c>
      <c r="BS971" t="s">
        <v>4</v>
      </c>
      <c r="BT971" t="s">
        <v>4</v>
      </c>
      <c r="BU971" t="s">
        <v>4</v>
      </c>
      <c r="BV971" t="s">
        <v>3</v>
      </c>
      <c r="BW971" t="s">
        <v>4</v>
      </c>
      <c r="BX971" t="s">
        <v>4</v>
      </c>
      <c r="BY971" t="s">
        <v>3</v>
      </c>
      <c r="BZ971" t="s">
        <v>4</v>
      </c>
    </row>
    <row r="972" spans="40:78" x14ac:dyDescent="0.3">
      <c r="AN972" s="35">
        <v>9</v>
      </c>
      <c r="AO972" t="s">
        <v>881</v>
      </c>
      <c r="AP972">
        <v>3</v>
      </c>
      <c r="AQ972" t="s">
        <v>5</v>
      </c>
      <c r="AR972" t="s">
        <v>3</v>
      </c>
      <c r="AS972" t="s">
        <v>3</v>
      </c>
      <c r="AT972" t="s">
        <v>5</v>
      </c>
      <c r="AU972" t="s">
        <v>5</v>
      </c>
      <c r="AV972" t="s">
        <v>5</v>
      </c>
      <c r="AW972" t="s">
        <v>2</v>
      </c>
      <c r="AX972" t="s">
        <v>2</v>
      </c>
      <c r="AY972" t="s">
        <v>3</v>
      </c>
      <c r="AZ972" t="s">
        <v>3</v>
      </c>
      <c r="BA972" t="s">
        <v>4</v>
      </c>
      <c r="BB972" t="s">
        <v>5</v>
      </c>
      <c r="BC972" t="s">
        <v>2</v>
      </c>
      <c r="BD972" t="s">
        <v>3</v>
      </c>
      <c r="BE972" t="s">
        <v>2</v>
      </c>
      <c r="BF972" t="s">
        <v>5</v>
      </c>
      <c r="BG972" t="s">
        <v>5</v>
      </c>
      <c r="BH972" t="s">
        <v>5</v>
      </c>
      <c r="BI972" t="s">
        <v>5</v>
      </c>
      <c r="BJ972" t="s">
        <v>4</v>
      </c>
      <c r="BK972" t="s">
        <v>3</v>
      </c>
      <c r="BL972" t="s">
        <v>3</v>
      </c>
      <c r="BM972" t="s">
        <v>3</v>
      </c>
      <c r="BN972" t="s">
        <v>4</v>
      </c>
      <c r="BO972" t="s">
        <v>4</v>
      </c>
      <c r="BP972" t="s">
        <v>4</v>
      </c>
      <c r="BQ972" t="s">
        <v>4</v>
      </c>
      <c r="BR972" t="s">
        <v>4</v>
      </c>
      <c r="BS972" t="s">
        <v>4</v>
      </c>
      <c r="BT972" t="s">
        <v>3</v>
      </c>
      <c r="BU972" t="s">
        <v>4</v>
      </c>
      <c r="BV972" t="s">
        <v>3</v>
      </c>
      <c r="BW972" t="s">
        <v>4</v>
      </c>
      <c r="BX972" t="s">
        <v>4</v>
      </c>
      <c r="BY972" t="s">
        <v>3</v>
      </c>
      <c r="BZ972" t="s">
        <v>3</v>
      </c>
    </row>
    <row r="973" spans="40:78" x14ac:dyDescent="0.3">
      <c r="AN973" s="35">
        <v>10</v>
      </c>
      <c r="AO973" t="s">
        <v>882</v>
      </c>
      <c r="AP973">
        <v>4</v>
      </c>
      <c r="AQ973" t="s">
        <v>5</v>
      </c>
      <c r="AR973" t="s">
        <v>3</v>
      </c>
      <c r="AS973" t="s">
        <v>3</v>
      </c>
      <c r="AT973" t="s">
        <v>5</v>
      </c>
      <c r="AU973" t="s">
        <v>5</v>
      </c>
      <c r="AV973" t="s">
        <v>5</v>
      </c>
      <c r="AW973" t="s">
        <v>5</v>
      </c>
      <c r="AX973" t="s">
        <v>2</v>
      </c>
      <c r="AY973" t="s">
        <v>2</v>
      </c>
      <c r="AZ973" t="s">
        <v>4</v>
      </c>
      <c r="BA973" t="s">
        <v>4</v>
      </c>
      <c r="BB973" t="s">
        <v>5</v>
      </c>
      <c r="BC973" t="s">
        <v>5</v>
      </c>
      <c r="BD973" t="s">
        <v>3</v>
      </c>
      <c r="BE973" t="s">
        <v>2</v>
      </c>
      <c r="BF973" t="s">
        <v>5</v>
      </c>
      <c r="BG973" t="s">
        <v>5</v>
      </c>
      <c r="BH973" t="s">
        <v>5</v>
      </c>
      <c r="BI973" t="s">
        <v>4</v>
      </c>
      <c r="BJ973" t="s">
        <v>4</v>
      </c>
      <c r="BK973" t="s">
        <v>4</v>
      </c>
      <c r="BL973" t="s">
        <v>2</v>
      </c>
      <c r="BM973" t="s">
        <v>3</v>
      </c>
      <c r="BN973" t="s">
        <v>4</v>
      </c>
      <c r="BO973" t="s">
        <v>4</v>
      </c>
      <c r="BP973" t="s">
        <v>4</v>
      </c>
      <c r="BQ973" t="s">
        <v>4</v>
      </c>
      <c r="BR973" t="s">
        <v>4</v>
      </c>
      <c r="BS973" t="s">
        <v>4</v>
      </c>
      <c r="BT973" t="s">
        <v>3</v>
      </c>
      <c r="BU973" t="s">
        <v>4</v>
      </c>
      <c r="BV973" t="s">
        <v>3</v>
      </c>
      <c r="BW973" t="s">
        <v>3</v>
      </c>
      <c r="BX973" t="s">
        <v>4</v>
      </c>
      <c r="BY973" t="s">
        <v>4</v>
      </c>
      <c r="BZ973" t="s">
        <v>3</v>
      </c>
    </row>
    <row r="974" spans="40:78" x14ac:dyDescent="0.3">
      <c r="AN974" s="35">
        <v>11</v>
      </c>
      <c r="AO974" t="s">
        <v>883</v>
      </c>
      <c r="AP974">
        <v>4</v>
      </c>
      <c r="AQ974" t="s">
        <v>5</v>
      </c>
      <c r="AR974" t="s">
        <v>5</v>
      </c>
      <c r="AS974" t="s">
        <v>2</v>
      </c>
      <c r="AT974" t="s">
        <v>5</v>
      </c>
      <c r="AU974" t="s">
        <v>5</v>
      </c>
      <c r="AV974" t="s">
        <v>5</v>
      </c>
      <c r="AW974" t="s">
        <v>5</v>
      </c>
      <c r="AX974" t="s">
        <v>2</v>
      </c>
      <c r="AY974" t="s">
        <v>2</v>
      </c>
      <c r="AZ974" t="s">
        <v>2</v>
      </c>
      <c r="BA974" t="s">
        <v>3</v>
      </c>
      <c r="BB974" t="s">
        <v>5</v>
      </c>
      <c r="BC974" t="s">
        <v>5</v>
      </c>
      <c r="BD974" t="s">
        <v>2</v>
      </c>
      <c r="BE974" t="s">
        <v>2</v>
      </c>
      <c r="BF974" t="s">
        <v>5</v>
      </c>
      <c r="BG974" t="s">
        <v>5</v>
      </c>
      <c r="BH974" t="s">
        <v>5</v>
      </c>
      <c r="BI974" t="s">
        <v>5</v>
      </c>
      <c r="BJ974" t="s">
        <v>3</v>
      </c>
      <c r="BK974" t="s">
        <v>3</v>
      </c>
      <c r="BL974" t="s">
        <v>2</v>
      </c>
      <c r="BM974" t="s">
        <v>3</v>
      </c>
      <c r="BN974" t="s">
        <v>4</v>
      </c>
      <c r="BO974" t="s">
        <v>4</v>
      </c>
      <c r="BP974" t="s">
        <v>4</v>
      </c>
      <c r="BQ974" t="s">
        <v>4</v>
      </c>
      <c r="BR974" t="s">
        <v>4</v>
      </c>
      <c r="BS974" t="s">
        <v>3</v>
      </c>
      <c r="BT974" t="s">
        <v>3</v>
      </c>
      <c r="BU974" t="s">
        <v>4</v>
      </c>
      <c r="BV974" t="s">
        <v>3</v>
      </c>
      <c r="BW974" t="s">
        <v>3</v>
      </c>
      <c r="BX974" t="s">
        <v>4</v>
      </c>
      <c r="BY974" t="s">
        <v>3</v>
      </c>
      <c r="BZ974" t="s">
        <v>3</v>
      </c>
    </row>
    <row r="975" spans="40:78" x14ac:dyDescent="0.3">
      <c r="AN975" s="35">
        <v>12</v>
      </c>
      <c r="AO975" t="s">
        <v>884</v>
      </c>
      <c r="AP975">
        <v>4</v>
      </c>
      <c r="AQ975" t="s">
        <v>5</v>
      </c>
      <c r="AR975" t="s">
        <v>3</v>
      </c>
      <c r="AS975" t="s">
        <v>2</v>
      </c>
      <c r="AT975" t="s">
        <v>5</v>
      </c>
      <c r="AU975" t="s">
        <v>5</v>
      </c>
      <c r="AV975" t="s">
        <v>5</v>
      </c>
      <c r="AW975" t="s">
        <v>2</v>
      </c>
      <c r="AX975" t="s">
        <v>2</v>
      </c>
      <c r="AY975" t="s">
        <v>3</v>
      </c>
      <c r="AZ975" t="s">
        <v>3</v>
      </c>
      <c r="BA975" t="s">
        <v>3</v>
      </c>
      <c r="BB975" t="s">
        <v>3</v>
      </c>
      <c r="BC975" t="s">
        <v>2</v>
      </c>
      <c r="BD975" t="s">
        <v>2</v>
      </c>
      <c r="BE975" t="s">
        <v>2</v>
      </c>
      <c r="BF975" t="s">
        <v>5</v>
      </c>
      <c r="BG975" t="s">
        <v>2</v>
      </c>
      <c r="BH975" t="s">
        <v>2</v>
      </c>
      <c r="BI975" t="s">
        <v>5</v>
      </c>
      <c r="BJ975" t="s">
        <v>3</v>
      </c>
      <c r="BK975" t="s">
        <v>2</v>
      </c>
      <c r="BL975" t="s">
        <v>2</v>
      </c>
      <c r="BM975" t="s">
        <v>3</v>
      </c>
      <c r="BN975" t="s">
        <v>4</v>
      </c>
      <c r="BO975" t="s">
        <v>4</v>
      </c>
      <c r="BP975" t="s">
        <v>4</v>
      </c>
      <c r="BQ975" t="s">
        <v>4</v>
      </c>
      <c r="BR975" t="s">
        <v>4</v>
      </c>
      <c r="BS975" t="s">
        <v>3</v>
      </c>
      <c r="BT975" t="s">
        <v>3</v>
      </c>
      <c r="BU975" t="s">
        <v>4</v>
      </c>
      <c r="BV975" t="s">
        <v>3</v>
      </c>
      <c r="BW975" t="s">
        <v>4</v>
      </c>
      <c r="BX975" t="s">
        <v>4</v>
      </c>
      <c r="BY975" t="s">
        <v>4</v>
      </c>
      <c r="BZ975" t="s">
        <v>3</v>
      </c>
    </row>
    <row r="976" spans="40:78" x14ac:dyDescent="0.3">
      <c r="AN976" s="35">
        <v>13</v>
      </c>
      <c r="AO976" t="s">
        <v>885</v>
      </c>
      <c r="AP976">
        <v>5</v>
      </c>
      <c r="AQ976" t="s">
        <v>5</v>
      </c>
      <c r="AR976" t="s">
        <v>3</v>
      </c>
      <c r="AS976" t="s">
        <v>3</v>
      </c>
      <c r="AT976" t="s">
        <v>5</v>
      </c>
      <c r="AU976" t="s">
        <v>5</v>
      </c>
      <c r="AV976" t="s">
        <v>5</v>
      </c>
      <c r="AW976" t="s">
        <v>5</v>
      </c>
      <c r="AX976" t="s">
        <v>2</v>
      </c>
      <c r="AY976" t="s">
        <v>2</v>
      </c>
      <c r="AZ976" t="s">
        <v>5</v>
      </c>
      <c r="BA976" t="s">
        <v>3</v>
      </c>
      <c r="BB976" t="s">
        <v>2</v>
      </c>
      <c r="BC976" t="s">
        <v>5</v>
      </c>
      <c r="BD976" t="s">
        <v>2</v>
      </c>
      <c r="BE976" t="s">
        <v>3</v>
      </c>
      <c r="BF976" t="s">
        <v>5</v>
      </c>
      <c r="BG976" t="s">
        <v>5</v>
      </c>
      <c r="BH976" t="s">
        <v>5</v>
      </c>
      <c r="BI976" t="s">
        <v>5</v>
      </c>
      <c r="BJ976" t="s">
        <v>3</v>
      </c>
      <c r="BK976" t="s">
        <v>4</v>
      </c>
      <c r="BL976" t="s">
        <v>2</v>
      </c>
      <c r="BM976" t="s">
        <v>3</v>
      </c>
      <c r="BN976" t="s">
        <v>4</v>
      </c>
      <c r="BO976" t="s">
        <v>4</v>
      </c>
      <c r="BP976" t="s">
        <v>4</v>
      </c>
      <c r="BQ976" t="s">
        <v>4</v>
      </c>
      <c r="BR976" t="s">
        <v>4</v>
      </c>
      <c r="BS976" t="s">
        <v>4</v>
      </c>
      <c r="BT976" t="s">
        <v>3</v>
      </c>
      <c r="BU976" t="s">
        <v>4</v>
      </c>
      <c r="BV976" t="s">
        <v>3</v>
      </c>
      <c r="BW976" t="s">
        <v>4</v>
      </c>
      <c r="BX976" t="s">
        <v>4</v>
      </c>
      <c r="BY976" t="s">
        <v>4</v>
      </c>
      <c r="BZ976" t="s">
        <v>3</v>
      </c>
    </row>
    <row r="977" spans="40:79" x14ac:dyDescent="0.3">
      <c r="AN977" s="35">
        <v>14</v>
      </c>
      <c r="AO977" t="s">
        <v>886</v>
      </c>
      <c r="AP977">
        <v>5</v>
      </c>
      <c r="AQ977" t="s">
        <v>5</v>
      </c>
      <c r="AR977" t="s">
        <v>3</v>
      </c>
      <c r="AS977" t="s">
        <v>5</v>
      </c>
      <c r="AT977" t="s">
        <v>5</v>
      </c>
      <c r="AU977" t="s">
        <v>5</v>
      </c>
      <c r="AV977" t="s">
        <v>5</v>
      </c>
      <c r="AW977" t="s">
        <v>5</v>
      </c>
      <c r="AX977" t="s">
        <v>2</v>
      </c>
      <c r="AY977" t="s">
        <v>2</v>
      </c>
      <c r="AZ977" t="s">
        <v>4</v>
      </c>
      <c r="BA977" t="s">
        <v>4</v>
      </c>
      <c r="BB977" t="s">
        <v>3</v>
      </c>
      <c r="BC977" t="s">
        <v>5</v>
      </c>
      <c r="BD977" t="s">
        <v>2</v>
      </c>
      <c r="BE977" t="s">
        <v>5</v>
      </c>
      <c r="BF977" t="s">
        <v>2</v>
      </c>
      <c r="BG977" t="s">
        <v>2</v>
      </c>
      <c r="BH977" t="s">
        <v>5</v>
      </c>
      <c r="BI977" t="s">
        <v>4</v>
      </c>
      <c r="BJ977" t="s">
        <v>3</v>
      </c>
      <c r="BK977" t="s">
        <v>3</v>
      </c>
      <c r="BL977" t="s">
        <v>4</v>
      </c>
      <c r="BM977" t="s">
        <v>3</v>
      </c>
      <c r="BN977" t="s">
        <v>4</v>
      </c>
      <c r="BO977" t="s">
        <v>4</v>
      </c>
      <c r="BP977" t="s">
        <v>4</v>
      </c>
      <c r="BQ977" t="s">
        <v>4</v>
      </c>
      <c r="BR977" t="s">
        <v>4</v>
      </c>
      <c r="BS977" t="s">
        <v>3</v>
      </c>
      <c r="BT977" t="s">
        <v>3</v>
      </c>
      <c r="BU977" t="s">
        <v>4</v>
      </c>
      <c r="BV977" t="s">
        <v>3</v>
      </c>
      <c r="BW977" t="s">
        <v>4</v>
      </c>
      <c r="BX977" t="s">
        <v>4</v>
      </c>
      <c r="BY977" t="s">
        <v>4</v>
      </c>
      <c r="BZ977" t="s">
        <v>3</v>
      </c>
    </row>
    <row r="978" spans="40:79" x14ac:dyDescent="0.3">
      <c r="AN978" s="35">
        <v>15</v>
      </c>
      <c r="AO978" t="s">
        <v>887</v>
      </c>
      <c r="AP978">
        <v>5</v>
      </c>
      <c r="AQ978" t="s">
        <v>5</v>
      </c>
      <c r="AR978" t="s">
        <v>5</v>
      </c>
      <c r="AS978" t="s">
        <v>2</v>
      </c>
      <c r="AT978" t="s">
        <v>5</v>
      </c>
      <c r="AU978" t="s">
        <v>5</v>
      </c>
      <c r="AV978" t="s">
        <v>3</v>
      </c>
      <c r="AW978" t="s">
        <v>5</v>
      </c>
      <c r="AX978" t="s">
        <v>2</v>
      </c>
      <c r="AY978" t="s">
        <v>2</v>
      </c>
      <c r="AZ978" t="s">
        <v>2</v>
      </c>
      <c r="BA978" t="s">
        <v>2</v>
      </c>
      <c r="BB978" t="s">
        <v>2</v>
      </c>
      <c r="BC978" t="s">
        <v>2</v>
      </c>
      <c r="BD978" t="s">
        <v>3</v>
      </c>
      <c r="BE978" t="s">
        <v>3</v>
      </c>
      <c r="BF978" t="s">
        <v>5</v>
      </c>
      <c r="BG978" t="s">
        <v>5</v>
      </c>
      <c r="BH978" t="s">
        <v>5</v>
      </c>
      <c r="BI978" t="s">
        <v>5</v>
      </c>
      <c r="BJ978" t="s">
        <v>3</v>
      </c>
      <c r="BK978" t="s">
        <v>3</v>
      </c>
      <c r="BL978" t="s">
        <v>2</v>
      </c>
      <c r="BM978" t="s">
        <v>3</v>
      </c>
      <c r="BN978" t="s">
        <v>4</v>
      </c>
      <c r="BO978" t="s">
        <v>4</v>
      </c>
      <c r="BP978" t="s">
        <v>4</v>
      </c>
      <c r="BQ978" t="s">
        <v>4</v>
      </c>
      <c r="BR978" t="s">
        <v>4</v>
      </c>
      <c r="BS978" t="s">
        <v>3</v>
      </c>
      <c r="BT978" t="s">
        <v>3</v>
      </c>
      <c r="BU978" t="s">
        <v>4</v>
      </c>
      <c r="BV978" t="s">
        <v>3</v>
      </c>
      <c r="BW978" t="s">
        <v>3</v>
      </c>
      <c r="BX978" t="s">
        <v>4</v>
      </c>
      <c r="BY978" t="s">
        <v>3</v>
      </c>
      <c r="BZ978" t="s">
        <v>3</v>
      </c>
    </row>
    <row r="979" spans="40:79" x14ac:dyDescent="0.3">
      <c r="AN979" s="35">
        <v>16</v>
      </c>
      <c r="AO979" t="s">
        <v>888</v>
      </c>
      <c r="AP979">
        <v>6</v>
      </c>
      <c r="AQ979" t="s">
        <v>5</v>
      </c>
      <c r="AR979" t="s">
        <v>5</v>
      </c>
      <c r="AS979" t="s">
        <v>3</v>
      </c>
      <c r="AT979" t="s">
        <v>5</v>
      </c>
      <c r="AU979" t="s">
        <v>5</v>
      </c>
      <c r="AV979" t="s">
        <v>5</v>
      </c>
      <c r="AW979" t="s">
        <v>5</v>
      </c>
      <c r="AX979" t="s">
        <v>2</v>
      </c>
      <c r="AY979" t="s">
        <v>2</v>
      </c>
      <c r="AZ979" t="s">
        <v>4</v>
      </c>
      <c r="BA979" t="s">
        <v>4</v>
      </c>
      <c r="BB979" t="s">
        <v>4</v>
      </c>
      <c r="BC979" t="s">
        <v>5</v>
      </c>
      <c r="BD979" t="s">
        <v>4</v>
      </c>
      <c r="BE979" t="s">
        <v>5</v>
      </c>
      <c r="BF979" t="s">
        <v>5</v>
      </c>
      <c r="BG979" t="s">
        <v>5</v>
      </c>
      <c r="BH979" t="s">
        <v>5</v>
      </c>
      <c r="BI979" t="s">
        <v>3</v>
      </c>
      <c r="BJ979" t="s">
        <v>5</v>
      </c>
      <c r="BK979" t="s">
        <v>2</v>
      </c>
      <c r="BL979" t="s">
        <v>2</v>
      </c>
      <c r="BM979" t="s">
        <v>3</v>
      </c>
      <c r="BN979" t="s">
        <v>4</v>
      </c>
      <c r="BO979" t="s">
        <v>4</v>
      </c>
      <c r="BP979" t="s">
        <v>4</v>
      </c>
      <c r="BQ979" t="s">
        <v>4</v>
      </c>
      <c r="BR979" t="s">
        <v>4</v>
      </c>
      <c r="BS979" t="s">
        <v>4</v>
      </c>
      <c r="BT979" t="s">
        <v>3</v>
      </c>
      <c r="BU979" t="s">
        <v>4</v>
      </c>
      <c r="BV979" t="s">
        <v>3</v>
      </c>
      <c r="BW979" t="s">
        <v>3</v>
      </c>
      <c r="BX979" t="s">
        <v>4</v>
      </c>
      <c r="BY979" t="s">
        <v>3</v>
      </c>
      <c r="BZ979" t="s">
        <v>3</v>
      </c>
      <c r="CA979" s="22"/>
    </row>
    <row r="980" spans="40:79" x14ac:dyDescent="0.3">
      <c r="AN980" s="35">
        <v>17</v>
      </c>
      <c r="AO980" t="s">
        <v>889</v>
      </c>
      <c r="AP980">
        <v>6</v>
      </c>
      <c r="AQ980" t="s">
        <v>4</v>
      </c>
      <c r="AR980" t="s">
        <v>5</v>
      </c>
      <c r="AS980" t="s">
        <v>2</v>
      </c>
      <c r="AT980" t="s">
        <v>5</v>
      </c>
      <c r="AU980" t="s">
        <v>5</v>
      </c>
      <c r="AV980" t="s">
        <v>5</v>
      </c>
      <c r="AW980" t="s">
        <v>2</v>
      </c>
      <c r="AX980" t="s">
        <v>2</v>
      </c>
      <c r="AY980" t="s">
        <v>2</v>
      </c>
      <c r="AZ980" t="s">
        <v>4</v>
      </c>
      <c r="BA980" t="s">
        <v>2</v>
      </c>
      <c r="BB980" t="s">
        <v>5</v>
      </c>
      <c r="BC980" t="s">
        <v>5</v>
      </c>
      <c r="BD980" t="s">
        <v>4</v>
      </c>
      <c r="BE980" t="s">
        <v>5</v>
      </c>
      <c r="BF980" t="s">
        <v>5</v>
      </c>
      <c r="BG980" t="s">
        <v>5</v>
      </c>
      <c r="BH980" t="s">
        <v>5</v>
      </c>
      <c r="BI980" t="s">
        <v>5</v>
      </c>
      <c r="BJ980" t="s">
        <v>4</v>
      </c>
      <c r="BK980" t="s">
        <v>3</v>
      </c>
      <c r="BL980" t="s">
        <v>2</v>
      </c>
      <c r="BM980" t="s">
        <v>3</v>
      </c>
      <c r="BN980" t="s">
        <v>4</v>
      </c>
      <c r="BO980" t="s">
        <v>4</v>
      </c>
      <c r="BP980" t="s">
        <v>4</v>
      </c>
      <c r="BQ980" t="s">
        <v>3</v>
      </c>
      <c r="BR980" t="s">
        <v>4</v>
      </c>
      <c r="BS980" t="s">
        <v>3</v>
      </c>
      <c r="BT980" t="s">
        <v>3</v>
      </c>
      <c r="BU980" t="s">
        <v>3</v>
      </c>
      <c r="BV980" t="s">
        <v>3</v>
      </c>
      <c r="BW980" t="s">
        <v>3</v>
      </c>
      <c r="BX980" t="s">
        <v>3</v>
      </c>
      <c r="BY980" t="s">
        <v>3</v>
      </c>
      <c r="BZ980" t="s">
        <v>3</v>
      </c>
    </row>
    <row r="981" spans="40:79" x14ac:dyDescent="0.3">
      <c r="AN981" s="35">
        <v>18</v>
      </c>
      <c r="AO981" t="s">
        <v>890</v>
      </c>
      <c r="AP981">
        <v>6</v>
      </c>
      <c r="AQ981" t="s">
        <v>5</v>
      </c>
      <c r="AR981" t="s">
        <v>5</v>
      </c>
      <c r="AS981" t="s">
        <v>3</v>
      </c>
      <c r="AT981" t="s">
        <v>2</v>
      </c>
      <c r="AU981" t="s">
        <v>5</v>
      </c>
      <c r="AV981" t="s">
        <v>5</v>
      </c>
      <c r="AW981" t="s">
        <v>5</v>
      </c>
      <c r="AX981" t="s">
        <v>5</v>
      </c>
      <c r="AY981" t="s">
        <v>2</v>
      </c>
      <c r="AZ981" t="s">
        <v>4</v>
      </c>
      <c r="BA981" t="s">
        <v>4</v>
      </c>
      <c r="BB981" t="s">
        <v>2</v>
      </c>
      <c r="BC981" t="s">
        <v>5</v>
      </c>
      <c r="BD981" t="s">
        <v>2</v>
      </c>
      <c r="BE981" t="s">
        <v>2</v>
      </c>
      <c r="BF981" t="s">
        <v>5</v>
      </c>
      <c r="BG981" t="s">
        <v>3</v>
      </c>
      <c r="BH981" t="s">
        <v>5</v>
      </c>
      <c r="BI981" t="s">
        <v>3</v>
      </c>
      <c r="BJ981" t="s">
        <v>2</v>
      </c>
      <c r="BK981" t="s">
        <v>2</v>
      </c>
      <c r="BL981" t="s">
        <v>5</v>
      </c>
      <c r="BM981" t="s">
        <v>3</v>
      </c>
      <c r="BN981" t="s">
        <v>4</v>
      </c>
      <c r="BO981" t="s">
        <v>4</v>
      </c>
      <c r="BP981" t="s">
        <v>4</v>
      </c>
      <c r="BQ981" t="s">
        <v>3</v>
      </c>
      <c r="BR981" t="s">
        <v>4</v>
      </c>
      <c r="BS981" t="s">
        <v>3</v>
      </c>
      <c r="BT981" t="s">
        <v>3</v>
      </c>
      <c r="BU981" t="s">
        <v>3</v>
      </c>
      <c r="BV981" t="s">
        <v>3</v>
      </c>
      <c r="BW981" t="s">
        <v>3</v>
      </c>
      <c r="BX981" t="s">
        <v>3</v>
      </c>
      <c r="BY981" t="s">
        <v>3</v>
      </c>
      <c r="BZ981" t="s">
        <v>3</v>
      </c>
    </row>
    <row r="983" spans="40:79" x14ac:dyDescent="0.3">
      <c r="AN983" s="53" t="s">
        <v>891</v>
      </c>
      <c r="AO983" s="24" t="s">
        <v>71</v>
      </c>
      <c r="AP983" s="1" t="s">
        <v>50</v>
      </c>
      <c r="AQ983" s="1" t="s">
        <v>51</v>
      </c>
      <c r="AR983" s="1" t="s">
        <v>52</v>
      </c>
      <c r="AS983" s="1" t="s">
        <v>53</v>
      </c>
      <c r="AT983" s="1" t="s">
        <v>54</v>
      </c>
      <c r="AU983" s="1" t="s">
        <v>55</v>
      </c>
      <c r="AV983" s="1" t="s">
        <v>56</v>
      </c>
      <c r="AW983" s="1" t="s">
        <v>57</v>
      </c>
      <c r="AX983" s="1" t="s">
        <v>58</v>
      </c>
      <c r="AY983" s="1" t="s">
        <v>59</v>
      </c>
      <c r="AZ983" s="1" t="s">
        <v>60</v>
      </c>
      <c r="BA983" s="1" t="s">
        <v>61</v>
      </c>
      <c r="BB983" s="1" t="s">
        <v>62</v>
      </c>
      <c r="BC983" s="1" t="s">
        <v>63</v>
      </c>
      <c r="BD983" s="1" t="s">
        <v>64</v>
      </c>
      <c r="BE983" s="1" t="s">
        <v>65</v>
      </c>
      <c r="BF983" s="1" t="s">
        <v>66</v>
      </c>
      <c r="BG983" s="1" t="s">
        <v>67</v>
      </c>
      <c r="BH983" s="1" t="s">
        <v>68</v>
      </c>
      <c r="BI983" s="1" t="s">
        <v>69</v>
      </c>
      <c r="BJ983" s="1" t="s">
        <v>70</v>
      </c>
      <c r="BK983" s="1" t="s">
        <v>929</v>
      </c>
      <c r="BL983" s="1" t="s">
        <v>930</v>
      </c>
      <c r="BM983" s="1" t="s">
        <v>931</v>
      </c>
      <c r="BN983" s="1" t="s">
        <v>932</v>
      </c>
      <c r="BO983" s="1" t="s">
        <v>933</v>
      </c>
      <c r="BP983" s="1" t="s">
        <v>934</v>
      </c>
      <c r="BQ983" s="1" t="s">
        <v>935</v>
      </c>
      <c r="BR983" s="1" t="s">
        <v>936</v>
      </c>
      <c r="BS983" s="1" t="s">
        <v>937</v>
      </c>
      <c r="BT983" s="1" t="s">
        <v>938</v>
      </c>
      <c r="BU983" s="1" t="s">
        <v>939</v>
      </c>
      <c r="BV983" s="1" t="s">
        <v>940</v>
      </c>
      <c r="BW983" s="1" t="s">
        <v>941</v>
      </c>
      <c r="BX983" s="1" t="s">
        <v>942</v>
      </c>
      <c r="BY983" s="1" t="s">
        <v>1008</v>
      </c>
    </row>
    <row r="984" spans="40:79" x14ac:dyDescent="0.3">
      <c r="AN984" s="53"/>
      <c r="AO984" s="24">
        <v>1</v>
      </c>
      <c r="AP984" t="s">
        <v>3</v>
      </c>
      <c r="AQ984" t="s">
        <v>5</v>
      </c>
      <c r="AR984" t="s">
        <v>3</v>
      </c>
      <c r="AS984" t="s">
        <v>5</v>
      </c>
      <c r="AT984" t="s">
        <v>5</v>
      </c>
      <c r="AU984" t="s">
        <v>5</v>
      </c>
      <c r="AV984" t="s">
        <v>2</v>
      </c>
      <c r="AW984" t="s">
        <v>2</v>
      </c>
      <c r="AX984" t="s">
        <v>2</v>
      </c>
      <c r="AY984" t="s">
        <v>2</v>
      </c>
      <c r="AZ984" t="s">
        <v>3</v>
      </c>
      <c r="BA984" t="s">
        <v>5</v>
      </c>
      <c r="BB984" t="s">
        <v>5</v>
      </c>
      <c r="BC984" t="s">
        <v>3</v>
      </c>
      <c r="BD984" t="s">
        <v>3</v>
      </c>
      <c r="BE984" t="s">
        <v>5</v>
      </c>
      <c r="BF984" t="s">
        <v>5</v>
      </c>
      <c r="BG984" t="s">
        <v>5</v>
      </c>
      <c r="BH984" t="s">
        <v>2</v>
      </c>
      <c r="BI984" t="s">
        <v>4</v>
      </c>
      <c r="BJ984" t="s">
        <v>4</v>
      </c>
      <c r="BK984" t="s">
        <v>2</v>
      </c>
      <c r="BL984" t="s">
        <v>4</v>
      </c>
      <c r="BM984" t="s">
        <v>4</v>
      </c>
      <c r="BN984" t="s">
        <v>4</v>
      </c>
      <c r="BO984" t="s">
        <v>4</v>
      </c>
      <c r="BP984" t="s">
        <v>4</v>
      </c>
      <c r="BQ984" t="s">
        <v>4</v>
      </c>
      <c r="BR984" t="s">
        <v>4</v>
      </c>
      <c r="BS984" t="s">
        <v>3</v>
      </c>
      <c r="BT984" t="s">
        <v>4</v>
      </c>
      <c r="BU984" t="s">
        <v>3</v>
      </c>
      <c r="BV984" t="s">
        <v>4</v>
      </c>
      <c r="BW984" t="s">
        <v>4</v>
      </c>
      <c r="BX984" t="s">
        <v>4</v>
      </c>
      <c r="BY984" t="s">
        <v>3</v>
      </c>
    </row>
    <row r="985" spans="40:79" x14ac:dyDescent="0.3">
      <c r="AN985" t="s">
        <v>990</v>
      </c>
    </row>
    <row r="986" spans="40:79" x14ac:dyDescent="0.3">
      <c r="AN986" s="3" t="s">
        <v>355</v>
      </c>
      <c r="AO986">
        <f>AV18*AT28*AT36*AT40*AT48*AT54*AT60*AT65*AT71*AT77*AT83*AT88*AT96*AT102*AT106*AT112*AT120*AT126*AT132*AT137*AT141*AT147*AT155*AT159*AT163*AT167*AT171*AT175*AT179*AT183*AT188*AT191*AT196*AT199*AT203*AT207*AT212</f>
        <v>1.5731596984320004E-9</v>
      </c>
    </row>
    <row r="987" spans="40:79" x14ac:dyDescent="0.3">
      <c r="AN987" t="s">
        <v>994</v>
      </c>
    </row>
    <row r="988" spans="40:79" x14ac:dyDescent="0.3">
      <c r="AN988" s="3" t="s">
        <v>355</v>
      </c>
      <c r="AO988">
        <f>AV19*AU28*AU36*AU40*AU48*AU54*AU60*AU65*AU71*AU77*AU83*AU88*AU96*AU102*AU106*AU112*AU120*AU126*AU132*AU137*AU141*AU147*AU155*AU159*AU163*AU167*AU171*AU175*AU179*AU183*AU188*AU191*AU196*AU199*AU203*AU207*AU212</f>
        <v>0</v>
      </c>
    </row>
    <row r="989" spans="40:79" x14ac:dyDescent="0.3">
      <c r="AN989" t="s">
        <v>993</v>
      </c>
    </row>
    <row r="990" spans="40:79" x14ac:dyDescent="0.3">
      <c r="AN990" s="3" t="s">
        <v>355</v>
      </c>
      <c r="AO990">
        <f>AV20*AV28*AV36*AV40*AV48*AV54*AV60*AV65*AV71*AV77*AV83*AV88*AV96*AV102*AV106*AV112*AV120*AV126*AV132*AV137*AV141*AV147*AV155*AV159*AV163*AV167*AV171*AV175*AV179*AV183*AV188*AV191*AV196*AV199*AV203*AV207*AV212</f>
        <v>0</v>
      </c>
    </row>
    <row r="991" spans="40:79" x14ac:dyDescent="0.3">
      <c r="AN991" t="s">
        <v>992</v>
      </c>
    </row>
    <row r="992" spans="40:79" x14ac:dyDescent="0.3">
      <c r="AN992" s="3" t="s">
        <v>355</v>
      </c>
      <c r="AO992">
        <f>AV21*AW28*AW36*AW40*AW48*AW54*AW60*AW65*AW71*AW77*AW83*AW88*AW96*AW102*AW106*AW112*AW120*AW126*AW132*AW137*AW141*AW147*AW155*AW159*AW163*AW167*AW171*AW175*AW179*AW183*AW188*AW191*AW196*AW199*AW203*AW207*AW212</f>
        <v>0</v>
      </c>
    </row>
    <row r="993" spans="40:77" x14ac:dyDescent="0.3">
      <c r="AN993" t="s">
        <v>991</v>
      </c>
    </row>
    <row r="994" spans="40:77" x14ac:dyDescent="0.3">
      <c r="AN994" s="3" t="s">
        <v>355</v>
      </c>
      <c r="AO994">
        <f>AV22*AX28*AX36*AX40*AX48*AX54*AX60*AX65*AX71*AX77*AX83*AX88*AX96*AX102*AX106*AX112*AX120*AX126*AX132*AX137*AX141*AX147*AX155*AX159*AX163*AX167*AX171*AX175*AX179*AX183*AX188*AX191*AX196*AX199*AX203*AX207*AX212</f>
        <v>0</v>
      </c>
    </row>
    <row r="995" spans="40:77" x14ac:dyDescent="0.3">
      <c r="AN995" t="s">
        <v>995</v>
      </c>
    </row>
    <row r="996" spans="40:77" x14ac:dyDescent="0.3">
      <c r="AN996" s="3" t="s">
        <v>355</v>
      </c>
      <c r="AO996">
        <f>AV23*AY28*AY36*AY40*AY48*AY54*AY60*AY65*AY71*AY77*AY83*AY88*AY96*AY102*AY106*AY112*AY120*AY126*AY132*AY137*AY141*AY147*AY155*AY159*AY163*AY167*AY171*AY175*AY179*AY183*AY188*AY191*AY196*AY199*AY203*AY207*AY212</f>
        <v>0</v>
      </c>
    </row>
    <row r="997" spans="40:77" x14ac:dyDescent="0.3">
      <c r="AN997" s="24" t="s">
        <v>893</v>
      </c>
      <c r="AO997" t="s">
        <v>378</v>
      </c>
      <c r="AP997" s="25" t="s">
        <v>640</v>
      </c>
    </row>
    <row r="999" spans="40:77" x14ac:dyDescent="0.3">
      <c r="AN999" s="53" t="s">
        <v>892</v>
      </c>
      <c r="AO999" s="24" t="s">
        <v>71</v>
      </c>
      <c r="AP999" s="1" t="s">
        <v>50</v>
      </c>
      <c r="AQ999" s="1" t="s">
        <v>51</v>
      </c>
      <c r="AR999" s="1" t="s">
        <v>52</v>
      </c>
      <c r="AS999" s="1" t="s">
        <v>53</v>
      </c>
      <c r="AT999" s="1" t="s">
        <v>54</v>
      </c>
      <c r="AU999" s="1" t="s">
        <v>55</v>
      </c>
      <c r="AV999" s="1" t="s">
        <v>56</v>
      </c>
      <c r="AW999" s="1" t="s">
        <v>57</v>
      </c>
      <c r="AX999" s="1" t="s">
        <v>58</v>
      </c>
      <c r="AY999" s="1" t="s">
        <v>59</v>
      </c>
      <c r="AZ999" s="1" t="s">
        <v>60</v>
      </c>
      <c r="BA999" s="1" t="s">
        <v>61</v>
      </c>
      <c r="BB999" s="1" t="s">
        <v>62</v>
      </c>
      <c r="BC999" s="1" t="s">
        <v>63</v>
      </c>
      <c r="BD999" s="1" t="s">
        <v>64</v>
      </c>
      <c r="BE999" s="1" t="s">
        <v>65</v>
      </c>
      <c r="BF999" s="1" t="s">
        <v>66</v>
      </c>
      <c r="BG999" s="1" t="s">
        <v>67</v>
      </c>
      <c r="BH999" s="1" t="s">
        <v>68</v>
      </c>
      <c r="BI999" s="1" t="s">
        <v>69</v>
      </c>
      <c r="BJ999" s="1" t="s">
        <v>70</v>
      </c>
      <c r="BK999" s="1" t="s">
        <v>929</v>
      </c>
      <c r="BL999" s="1" t="s">
        <v>930</v>
      </c>
      <c r="BM999" s="1" t="s">
        <v>931</v>
      </c>
      <c r="BN999" s="1" t="s">
        <v>932</v>
      </c>
      <c r="BO999" s="1" t="s">
        <v>933</v>
      </c>
      <c r="BP999" s="1" t="s">
        <v>934</v>
      </c>
      <c r="BQ999" s="1" t="s">
        <v>935</v>
      </c>
      <c r="BR999" s="1" t="s">
        <v>936</v>
      </c>
      <c r="BS999" s="1" t="s">
        <v>937</v>
      </c>
      <c r="BT999" s="1" t="s">
        <v>938</v>
      </c>
      <c r="BU999" s="1" t="s">
        <v>939</v>
      </c>
      <c r="BV999" s="1" t="s">
        <v>940</v>
      </c>
      <c r="BW999" s="1" t="s">
        <v>941</v>
      </c>
      <c r="BX999" s="1" t="s">
        <v>942</v>
      </c>
      <c r="BY999" s="1" t="s">
        <v>1008</v>
      </c>
    </row>
    <row r="1000" spans="40:77" x14ac:dyDescent="0.3">
      <c r="AN1000" s="53"/>
      <c r="AO1000" s="24">
        <v>1</v>
      </c>
      <c r="AP1000" t="s">
        <v>2</v>
      </c>
      <c r="AQ1000" t="s">
        <v>3</v>
      </c>
      <c r="AR1000" t="s">
        <v>4</v>
      </c>
      <c r="AS1000" t="s">
        <v>5</v>
      </c>
      <c r="AT1000" t="s">
        <v>5</v>
      </c>
      <c r="AU1000" t="s">
        <v>5</v>
      </c>
      <c r="AV1000" t="s">
        <v>5</v>
      </c>
      <c r="AW1000" t="s">
        <v>2</v>
      </c>
      <c r="AX1000" t="s">
        <v>3</v>
      </c>
      <c r="AY1000" t="s">
        <v>3</v>
      </c>
      <c r="AZ1000" t="s">
        <v>4</v>
      </c>
      <c r="BA1000" t="s">
        <v>3</v>
      </c>
      <c r="BB1000" t="s">
        <v>5</v>
      </c>
      <c r="BC1000" t="s">
        <v>3</v>
      </c>
      <c r="BD1000" t="s">
        <v>3</v>
      </c>
      <c r="BE1000" t="s">
        <v>5</v>
      </c>
      <c r="BF1000" t="s">
        <v>5</v>
      </c>
      <c r="BG1000" t="s">
        <v>5</v>
      </c>
      <c r="BH1000" t="s">
        <v>2</v>
      </c>
      <c r="BI1000" t="s">
        <v>4</v>
      </c>
      <c r="BJ1000" t="s">
        <v>3</v>
      </c>
      <c r="BK1000" t="s">
        <v>2</v>
      </c>
      <c r="BL1000" t="s">
        <v>3</v>
      </c>
      <c r="BM1000" t="s">
        <v>4</v>
      </c>
      <c r="BN1000" t="s">
        <v>4</v>
      </c>
      <c r="BO1000" t="s">
        <v>4</v>
      </c>
      <c r="BP1000" t="s">
        <v>4</v>
      </c>
      <c r="BQ1000" t="s">
        <v>4</v>
      </c>
      <c r="BR1000" t="s">
        <v>4</v>
      </c>
      <c r="BS1000" t="s">
        <v>4</v>
      </c>
      <c r="BT1000" t="s">
        <v>4</v>
      </c>
      <c r="BU1000" t="s">
        <v>4</v>
      </c>
      <c r="BV1000" t="s">
        <v>4</v>
      </c>
      <c r="BW1000" t="s">
        <v>4</v>
      </c>
      <c r="BX1000" t="s">
        <v>3</v>
      </c>
      <c r="BY1000" t="s">
        <v>3</v>
      </c>
    </row>
    <row r="1001" spans="40:77" x14ac:dyDescent="0.3">
      <c r="AN1001" t="s">
        <v>996</v>
      </c>
    </row>
    <row r="1002" spans="40:77" x14ac:dyDescent="0.3">
      <c r="AN1002" s="3" t="s">
        <v>355</v>
      </c>
      <c r="AO1002">
        <f>AV18*AT29*AT34*AT39*AT48*AT54*AT60*AT66*AT71*AT76*AT82*AT87*AT94*AT102*AT106*AT112*AT120*AT126*AT132*AT137*AT141*AT148*AT155*AT160*AT163*AT167*AT171*AT175*AT179*AT183*AT187*AT191*AT195*AT199*AT203*AT208*AT212</f>
        <v>1.8970093707264001E-8</v>
      </c>
      <c r="AZ1002"/>
      <c r="BG1002" s="22"/>
    </row>
    <row r="1003" spans="40:77" x14ac:dyDescent="0.3">
      <c r="AN1003" t="s">
        <v>1001</v>
      </c>
      <c r="AZ1003"/>
      <c r="BA1003"/>
      <c r="BB1003"/>
      <c r="BC1003"/>
      <c r="BD1003"/>
      <c r="BE1003"/>
      <c r="BF1003"/>
    </row>
    <row r="1004" spans="40:77" x14ac:dyDescent="0.3">
      <c r="AN1004" s="3" t="s">
        <v>355</v>
      </c>
      <c r="AO1004">
        <f>AV19*AU29*AU34*AU39*AU48*AU54*AU60*AU66*AU71*AU76*AU82*AU87*AU94*AU102*AU106*AU112*AU120*AU126*AU132*AU137*AU141*AU148*AU155*AU160*AU163*AU167*AU171*AU175*AU179*AU183*AU187*AU191*AU195*AU199*AU203*AU208*AU212</f>
        <v>7.3156608000000012E-12</v>
      </c>
      <c r="AZ1004"/>
      <c r="BA1004"/>
      <c r="BB1004"/>
      <c r="BC1004"/>
      <c r="BD1004"/>
      <c r="BE1004"/>
      <c r="BF1004"/>
    </row>
    <row r="1005" spans="40:77" x14ac:dyDescent="0.3">
      <c r="AN1005" t="s">
        <v>1000</v>
      </c>
      <c r="AZ1005"/>
      <c r="BG1005" s="22"/>
    </row>
    <row r="1006" spans="40:77" x14ac:dyDescent="0.3">
      <c r="AN1006" s="3" t="s">
        <v>355</v>
      </c>
      <c r="AO1006">
        <f>AV20*AV29*AV34*AV39*AV48*AV54*AV60*AV66*AV71*AV76*AV82*AV87*AV94*AV102*AV106*AV112*AV120*AV126*AV132*AV137*AV141*AV148*AV155*AV160*AV163*AV167*AV171*AV175*AV179*AV183*AV187*AV191*AV195*AV199*AV203*AV208*AV212</f>
        <v>0</v>
      </c>
      <c r="AZ1006"/>
      <c r="BG1006" s="22"/>
    </row>
    <row r="1007" spans="40:77" x14ac:dyDescent="0.3">
      <c r="AN1007" t="s">
        <v>999</v>
      </c>
      <c r="AZ1007"/>
      <c r="BG1007" s="22"/>
    </row>
    <row r="1008" spans="40:77" x14ac:dyDescent="0.3">
      <c r="AN1008" s="3" t="s">
        <v>355</v>
      </c>
      <c r="AO1008">
        <f>AV21*AW29*AW34*AW39*AW48*AW54*AW60*AW66*AW71*AW76*AW82*AW87*AW94*AW102*AW106*AW112*AW120*AW126*AW132*AW137*AW141*AW148*AW155*AW160*AW163*AW167*AW171*AW175*AW179*AW183*AW187*AW191*AW195*AW199*AW203*AW208*AW212</f>
        <v>0</v>
      </c>
      <c r="AR1008" s="3"/>
      <c r="AZ1008"/>
      <c r="BG1008" s="22"/>
    </row>
    <row r="1009" spans="40:77" x14ac:dyDescent="0.3">
      <c r="AN1009" t="s">
        <v>998</v>
      </c>
      <c r="AZ1009"/>
      <c r="BG1009" s="22"/>
    </row>
    <row r="1010" spans="40:77" x14ac:dyDescent="0.3">
      <c r="AN1010" s="3" t="s">
        <v>355</v>
      </c>
      <c r="AO1010">
        <f>AV22*AX29*AX34*AX39*AX48*AX54*AX60*AX66*AX71*AX76*AX82*AX87*AX94*AX102*AX106*AX112*AX120*AX126*AX132*AX137*AX141*AX148*AX155*AX160*AX163*AX167*AX171*AX175*AX179*AX183*AX187*AX191*AX195*AX199*AX203*AX208*AX212</f>
        <v>0</v>
      </c>
      <c r="AZ1010"/>
      <c r="BG1010" s="22"/>
    </row>
    <row r="1011" spans="40:77" x14ac:dyDescent="0.3">
      <c r="AN1011" t="s">
        <v>997</v>
      </c>
      <c r="AR1011" s="3"/>
      <c r="AZ1011"/>
      <c r="BG1011" s="22"/>
    </row>
    <row r="1012" spans="40:77" x14ac:dyDescent="0.3">
      <c r="AN1012" s="3" t="s">
        <v>355</v>
      </c>
      <c r="AO1012">
        <f>AV23*AY29*AY34*AY39*AY48*AY54*AY60*AY66*AY71*AY76*AY82*AY87*AY94*AY102*AY106*AY112*AY120*AY126*AY132*AY137*AY141*AY148*AY155*AY160*AY163*AY167*AY171*AY175*AY179*AY183*AY187*AY191*AY195*AY199*AY203*AY208*AY212</f>
        <v>0</v>
      </c>
      <c r="AZ1012"/>
      <c r="BG1012" s="22"/>
    </row>
    <row r="1013" spans="40:77" x14ac:dyDescent="0.3">
      <c r="AN1013" s="24" t="s">
        <v>893</v>
      </c>
      <c r="AO1013" t="s">
        <v>696</v>
      </c>
      <c r="AP1013" s="26" t="s">
        <v>381</v>
      </c>
      <c r="AZ1013"/>
      <c r="BG1013" s="22"/>
    </row>
    <row r="1015" spans="40:77" x14ac:dyDescent="0.3">
      <c r="AN1015" s="53" t="s">
        <v>895</v>
      </c>
      <c r="AO1015" s="24" t="s">
        <v>71</v>
      </c>
      <c r="AP1015" s="1" t="s">
        <v>50</v>
      </c>
      <c r="AQ1015" s="1" t="s">
        <v>51</v>
      </c>
      <c r="AR1015" s="1" t="s">
        <v>52</v>
      </c>
      <c r="AS1015" s="1" t="s">
        <v>53</v>
      </c>
      <c r="AT1015" s="1" t="s">
        <v>54</v>
      </c>
      <c r="AU1015" s="1" t="s">
        <v>55</v>
      </c>
      <c r="AV1015" s="1" t="s">
        <v>56</v>
      </c>
      <c r="AW1015" s="1" t="s">
        <v>57</v>
      </c>
      <c r="AX1015" s="1" t="s">
        <v>58</v>
      </c>
      <c r="AY1015" s="1" t="s">
        <v>59</v>
      </c>
      <c r="AZ1015" s="1" t="s">
        <v>60</v>
      </c>
      <c r="BA1015" s="1" t="s">
        <v>61</v>
      </c>
      <c r="BB1015" s="1" t="s">
        <v>62</v>
      </c>
      <c r="BC1015" s="1" t="s">
        <v>63</v>
      </c>
      <c r="BD1015" s="1" t="s">
        <v>64</v>
      </c>
      <c r="BE1015" s="1" t="s">
        <v>65</v>
      </c>
      <c r="BF1015" s="1" t="s">
        <v>66</v>
      </c>
      <c r="BG1015" s="1" t="s">
        <v>67</v>
      </c>
      <c r="BH1015" s="1" t="s">
        <v>68</v>
      </c>
      <c r="BI1015" s="1" t="s">
        <v>69</v>
      </c>
      <c r="BJ1015" s="1" t="s">
        <v>70</v>
      </c>
      <c r="BK1015" s="1" t="s">
        <v>929</v>
      </c>
      <c r="BL1015" s="1" t="s">
        <v>930</v>
      </c>
      <c r="BM1015" s="1" t="s">
        <v>931</v>
      </c>
      <c r="BN1015" s="1" t="s">
        <v>932</v>
      </c>
      <c r="BO1015" s="1" t="s">
        <v>933</v>
      </c>
      <c r="BP1015" s="1" t="s">
        <v>934</v>
      </c>
      <c r="BQ1015" s="1" t="s">
        <v>935</v>
      </c>
      <c r="BR1015" s="1" t="s">
        <v>936</v>
      </c>
      <c r="BS1015" s="1" t="s">
        <v>937</v>
      </c>
      <c r="BT1015" s="1" t="s">
        <v>938</v>
      </c>
      <c r="BU1015" s="1" t="s">
        <v>939</v>
      </c>
      <c r="BV1015" s="1" t="s">
        <v>940</v>
      </c>
      <c r="BW1015" s="1" t="s">
        <v>941</v>
      </c>
      <c r="BX1015" s="1" t="s">
        <v>942</v>
      </c>
      <c r="BY1015" s="1" t="s">
        <v>1008</v>
      </c>
    </row>
    <row r="1016" spans="40:77" x14ac:dyDescent="0.3">
      <c r="AN1016" s="53"/>
      <c r="AO1016" s="24">
        <v>1</v>
      </c>
      <c r="AP1016" t="s">
        <v>2</v>
      </c>
      <c r="AQ1016" t="s">
        <v>5</v>
      </c>
      <c r="AR1016" t="s">
        <v>3</v>
      </c>
      <c r="AS1016" t="s">
        <v>5</v>
      </c>
      <c r="AT1016" t="s">
        <v>5</v>
      </c>
      <c r="AU1016" t="s">
        <v>3</v>
      </c>
      <c r="AV1016" t="s">
        <v>2</v>
      </c>
      <c r="AW1016" t="s">
        <v>2</v>
      </c>
      <c r="AX1016" t="s">
        <v>2</v>
      </c>
      <c r="AY1016" t="s">
        <v>3</v>
      </c>
      <c r="AZ1016" t="s">
        <v>4</v>
      </c>
      <c r="BA1016" t="s">
        <v>5</v>
      </c>
      <c r="BB1016" t="s">
        <v>5</v>
      </c>
      <c r="BC1016" t="s">
        <v>3</v>
      </c>
      <c r="BD1016" t="s">
        <v>3</v>
      </c>
      <c r="BE1016" t="s">
        <v>5</v>
      </c>
      <c r="BF1016" t="s">
        <v>5</v>
      </c>
      <c r="BG1016" t="s">
        <v>5</v>
      </c>
      <c r="BH1016" t="s">
        <v>5</v>
      </c>
      <c r="BI1016" t="s">
        <v>4</v>
      </c>
      <c r="BJ1016" t="s">
        <v>3</v>
      </c>
      <c r="BK1016" t="s">
        <v>2</v>
      </c>
      <c r="BL1016" t="s">
        <v>3</v>
      </c>
      <c r="BM1016" t="s">
        <v>4</v>
      </c>
      <c r="BN1016" t="s">
        <v>4</v>
      </c>
      <c r="BO1016" t="s">
        <v>4</v>
      </c>
      <c r="BP1016" t="s">
        <v>4</v>
      </c>
      <c r="BQ1016" t="s">
        <v>4</v>
      </c>
      <c r="BR1016" t="s">
        <v>3</v>
      </c>
      <c r="BS1016" t="s">
        <v>3</v>
      </c>
      <c r="BT1016" t="s">
        <v>4</v>
      </c>
      <c r="BU1016" t="s">
        <v>4</v>
      </c>
      <c r="BV1016" t="s">
        <v>4</v>
      </c>
      <c r="BW1016" t="s">
        <v>4</v>
      </c>
      <c r="BX1016" t="s">
        <v>4</v>
      </c>
      <c r="BY1016" t="s">
        <v>3</v>
      </c>
    </row>
    <row r="1017" spans="40:77" x14ac:dyDescent="0.3">
      <c r="AN1017" t="s">
        <v>1002</v>
      </c>
      <c r="AZ1017"/>
      <c r="BA1017"/>
      <c r="BB1017"/>
      <c r="BC1017"/>
      <c r="BD1017"/>
      <c r="BE1017"/>
      <c r="BF1017"/>
    </row>
    <row r="1018" spans="40:77" x14ac:dyDescent="0.3">
      <c r="AN1018" s="3" t="s">
        <v>355</v>
      </c>
      <c r="AO1018">
        <f>AV18*AT29*AT36*AT40*AT48*AT54*AT58*AT65*AT71*AT77*AT82*AT87*AT96*AT102*AT106*AT112*AT120*AT126*AT132*AT138*AT141*AT148*AT155*AT160*AT163*AT167*AT171*AT175*AT179*AT184*AT188*AT191*AT195*AT199*AT203*AT207*AT212</f>
        <v>2.0647721041919999E-9</v>
      </c>
      <c r="AZ1018"/>
      <c r="BA1018"/>
      <c r="BB1018"/>
      <c r="BC1018"/>
      <c r="BD1018"/>
      <c r="BE1018"/>
      <c r="BF1018"/>
    </row>
    <row r="1019" spans="40:77" x14ac:dyDescent="0.3">
      <c r="AN1019" t="s">
        <v>1007</v>
      </c>
      <c r="AZ1019"/>
      <c r="BA1019"/>
      <c r="BB1019"/>
      <c r="BC1019"/>
      <c r="BD1019"/>
      <c r="BE1019"/>
      <c r="BF1019"/>
    </row>
    <row r="1020" spans="40:77" x14ac:dyDescent="0.3">
      <c r="AN1020" s="3" t="s">
        <v>355</v>
      </c>
      <c r="AO1020">
        <f>AV19*AU29*AU36*AU40*AU48*AU54*AU58*AU65*AU71*AU77*AU82*AU87*AU96*AU102*AU106*AU112*AU120*AU126*AU132*AU138*AU141*AU148*AU155*AU160*AU163*AU167*AU171*AU175*AU179*AU184*AU188*AU191*AU195*AU199*AU203*AU207*AU212</f>
        <v>0</v>
      </c>
      <c r="AZ1020"/>
      <c r="BA1020"/>
      <c r="BB1020"/>
      <c r="BC1020"/>
      <c r="BD1020"/>
      <c r="BE1020"/>
      <c r="BF1020"/>
    </row>
    <row r="1021" spans="40:77" x14ac:dyDescent="0.3">
      <c r="AN1021" t="s">
        <v>1006</v>
      </c>
      <c r="AZ1021"/>
      <c r="BA1021"/>
      <c r="BB1021"/>
      <c r="BC1021"/>
      <c r="BD1021"/>
      <c r="BE1021"/>
      <c r="BF1021"/>
    </row>
    <row r="1022" spans="40:77" x14ac:dyDescent="0.3">
      <c r="AN1022" s="3" t="s">
        <v>355</v>
      </c>
      <c r="AO1022">
        <f>AV20*AV29*AV36*AV40*AV48*AV54*AV58*AV65*AV71*AV77*AV82*AV87*AV96*AV102*AV106*AV112*AV120*AV126*AV132*AV138*AV141*AV148*AV155*AV160*AV163*AV167*AV171*AV175*AV179*AV184*AV188*AV191*AV195*AV199*AV203*AV207*AV212</f>
        <v>0</v>
      </c>
      <c r="AZ1022"/>
      <c r="BA1022"/>
      <c r="BB1022"/>
      <c r="BC1022"/>
      <c r="BD1022"/>
      <c r="BE1022"/>
      <c r="BF1022"/>
    </row>
    <row r="1023" spans="40:77" x14ac:dyDescent="0.3">
      <c r="AN1023" t="s">
        <v>1005</v>
      </c>
      <c r="AZ1023"/>
      <c r="BA1023"/>
      <c r="BB1023"/>
      <c r="BC1023"/>
      <c r="BD1023"/>
      <c r="BE1023"/>
      <c r="BF1023"/>
    </row>
    <row r="1024" spans="40:77" x14ac:dyDescent="0.3">
      <c r="AN1024" s="3" t="s">
        <v>355</v>
      </c>
      <c r="AO1024">
        <f>AV21*AW29*AW36*AW40*AW48*AW54*AW58*AW65*AW71*AW77*AW82*AW87*AW96*AW102*AW106*AW112*AW120*AW126*AW132*AW138*AW141*AW148*AW155*AW160*AW163*AW167*AW171*AW175*AW179*AW184*AW188*AW191*AW195*AW199*AW203*AW207*AW212</f>
        <v>0</v>
      </c>
      <c r="AZ1024"/>
      <c r="BA1024"/>
      <c r="BB1024"/>
      <c r="BC1024"/>
      <c r="BD1024"/>
      <c r="BE1024"/>
      <c r="BF1024"/>
    </row>
    <row r="1025" spans="40:77" x14ac:dyDescent="0.3">
      <c r="AN1025" t="s">
        <v>1004</v>
      </c>
      <c r="AZ1025"/>
      <c r="BA1025"/>
      <c r="BB1025"/>
      <c r="BC1025"/>
      <c r="BD1025"/>
      <c r="BE1025"/>
      <c r="BF1025"/>
    </row>
    <row r="1026" spans="40:77" x14ac:dyDescent="0.3">
      <c r="AN1026" s="3" t="s">
        <v>355</v>
      </c>
      <c r="AO1026">
        <f>AV22*AX29*AX36*AX40*AX48*AX54*AX58*AX65*AX71*AX77*AX82*AX87*AX96*AX102*AX106*AX112*AX120*AX126*AX132*AX138*AX141*AX148*AX155*AX160*AX163*AX167*AX171*AX175*AX179*AX184*AX188*AX191*AX195*AX199*AX203*AX207*AX212</f>
        <v>0</v>
      </c>
      <c r="AZ1026"/>
      <c r="BA1026"/>
      <c r="BB1026"/>
      <c r="BC1026"/>
      <c r="BD1026"/>
      <c r="BE1026"/>
      <c r="BF1026"/>
    </row>
    <row r="1027" spans="40:77" x14ac:dyDescent="0.3">
      <c r="AN1027" t="s">
        <v>1003</v>
      </c>
      <c r="AZ1027"/>
      <c r="BA1027"/>
      <c r="BB1027"/>
      <c r="BC1027"/>
      <c r="BD1027"/>
      <c r="BE1027"/>
      <c r="BF1027"/>
    </row>
    <row r="1028" spans="40:77" x14ac:dyDescent="0.3">
      <c r="AN1028" s="3" t="s">
        <v>355</v>
      </c>
      <c r="AO1028">
        <f>AV23*AY29*AY36*AY40*AY48*AY54*AY58*AY65*AY71*AY77*AY82*AY87*AY96*AY102*AY106*AY112*AY120*AY126*AY132*AY138*AY141*AY148*AY155*AY160*AY163*AY167*AY171*AY175*AY179*AY184*AY188*AY191*AY195*AY199*AY203*AY207*AY212</f>
        <v>0</v>
      </c>
      <c r="AZ1028"/>
      <c r="BA1028"/>
      <c r="BB1028"/>
      <c r="BC1028"/>
      <c r="BD1028"/>
      <c r="BE1028"/>
      <c r="BF1028"/>
    </row>
    <row r="1029" spans="40:77" x14ac:dyDescent="0.3">
      <c r="AN1029" s="24" t="s">
        <v>893</v>
      </c>
      <c r="AO1029" t="s">
        <v>378</v>
      </c>
      <c r="AP1029" s="25" t="s">
        <v>379</v>
      </c>
    </row>
    <row r="1031" spans="40:77" x14ac:dyDescent="0.3">
      <c r="AN1031" s="53" t="s">
        <v>896</v>
      </c>
      <c r="AO1031" s="24" t="s">
        <v>71</v>
      </c>
      <c r="AP1031" s="1" t="s">
        <v>50</v>
      </c>
      <c r="AQ1031" s="1" t="s">
        <v>51</v>
      </c>
      <c r="AR1031" s="1" t="s">
        <v>52</v>
      </c>
      <c r="AS1031" s="1" t="s">
        <v>53</v>
      </c>
      <c r="AT1031" s="1" t="s">
        <v>54</v>
      </c>
      <c r="AU1031" s="1" t="s">
        <v>55</v>
      </c>
      <c r="AV1031" s="1" t="s">
        <v>56</v>
      </c>
      <c r="AW1031" s="1" t="s">
        <v>57</v>
      </c>
      <c r="AX1031" s="1" t="s">
        <v>58</v>
      </c>
      <c r="AY1031" s="1" t="s">
        <v>59</v>
      </c>
      <c r="AZ1031" s="1" t="s">
        <v>60</v>
      </c>
      <c r="BA1031" s="1" t="s">
        <v>61</v>
      </c>
      <c r="BB1031" s="1" t="s">
        <v>62</v>
      </c>
      <c r="BC1031" s="1" t="s">
        <v>63</v>
      </c>
      <c r="BD1031" s="1" t="s">
        <v>64</v>
      </c>
      <c r="BE1031" s="1" t="s">
        <v>65</v>
      </c>
      <c r="BF1031" s="1" t="s">
        <v>66</v>
      </c>
      <c r="BG1031" s="1" t="s">
        <v>67</v>
      </c>
      <c r="BH1031" s="1" t="s">
        <v>68</v>
      </c>
      <c r="BI1031" s="1" t="s">
        <v>69</v>
      </c>
      <c r="BJ1031" s="1" t="s">
        <v>70</v>
      </c>
      <c r="BK1031" s="1" t="s">
        <v>929</v>
      </c>
      <c r="BL1031" s="1" t="s">
        <v>930</v>
      </c>
      <c r="BM1031" s="1" t="s">
        <v>931</v>
      </c>
      <c r="BN1031" s="1" t="s">
        <v>932</v>
      </c>
      <c r="BO1031" s="1" t="s">
        <v>933</v>
      </c>
      <c r="BP1031" s="1" t="s">
        <v>934</v>
      </c>
      <c r="BQ1031" s="1" t="s">
        <v>935</v>
      </c>
      <c r="BR1031" s="1" t="s">
        <v>936</v>
      </c>
      <c r="BS1031" s="1" t="s">
        <v>937</v>
      </c>
      <c r="BT1031" s="1" t="s">
        <v>938</v>
      </c>
      <c r="BU1031" s="1" t="s">
        <v>939</v>
      </c>
      <c r="BV1031" s="1" t="s">
        <v>940</v>
      </c>
      <c r="BW1031" s="1" t="s">
        <v>941</v>
      </c>
      <c r="BX1031" s="1" t="s">
        <v>942</v>
      </c>
      <c r="BY1031" s="1" t="s">
        <v>1008</v>
      </c>
    </row>
    <row r="1032" spans="40:77" x14ac:dyDescent="0.3">
      <c r="AN1032" s="53"/>
      <c r="AO1032" s="24">
        <v>2</v>
      </c>
      <c r="AP1032" t="s">
        <v>5</v>
      </c>
      <c r="AQ1032" t="s">
        <v>3</v>
      </c>
      <c r="AR1032" t="s">
        <v>4</v>
      </c>
      <c r="AS1032" t="s">
        <v>3</v>
      </c>
      <c r="AT1032" t="s">
        <v>5</v>
      </c>
      <c r="AU1032" t="s">
        <v>5</v>
      </c>
      <c r="AV1032" t="s">
        <v>3</v>
      </c>
      <c r="AW1032" t="s">
        <v>4</v>
      </c>
      <c r="AX1032" t="s">
        <v>3</v>
      </c>
      <c r="AY1032" t="s">
        <v>3</v>
      </c>
      <c r="AZ1032" t="s">
        <v>4</v>
      </c>
      <c r="BA1032" t="s">
        <v>4</v>
      </c>
      <c r="BB1032" t="s">
        <v>5</v>
      </c>
      <c r="BC1032" t="s">
        <v>3</v>
      </c>
      <c r="BD1032" t="s">
        <v>4</v>
      </c>
      <c r="BE1032" t="s">
        <v>5</v>
      </c>
      <c r="BF1032" t="s">
        <v>5</v>
      </c>
      <c r="BG1032" t="s">
        <v>5</v>
      </c>
      <c r="BH1032" t="s">
        <v>3</v>
      </c>
      <c r="BI1032" t="s">
        <v>4</v>
      </c>
      <c r="BJ1032" t="s">
        <v>4</v>
      </c>
      <c r="BK1032" t="s">
        <v>4</v>
      </c>
      <c r="BL1032" t="s">
        <v>3</v>
      </c>
      <c r="BM1032" t="s">
        <v>4</v>
      </c>
      <c r="BN1032" t="s">
        <v>4</v>
      </c>
      <c r="BO1032" t="s">
        <v>4</v>
      </c>
      <c r="BP1032" t="s">
        <v>4</v>
      </c>
      <c r="BQ1032" t="s">
        <v>4</v>
      </c>
      <c r="BR1032" t="s">
        <v>4</v>
      </c>
      <c r="BS1032" t="s">
        <v>3</v>
      </c>
      <c r="BT1032" t="s">
        <v>4</v>
      </c>
      <c r="BU1032" t="s">
        <v>3</v>
      </c>
      <c r="BV1032" t="s">
        <v>4</v>
      </c>
      <c r="BW1032" t="s">
        <v>4</v>
      </c>
      <c r="BX1032" t="s">
        <v>4</v>
      </c>
      <c r="BY1032" t="s">
        <v>3</v>
      </c>
    </row>
    <row r="1033" spans="40:77" x14ac:dyDescent="0.3">
      <c r="AN1033" t="s">
        <v>1009</v>
      </c>
      <c r="AZ1033"/>
      <c r="BA1033"/>
      <c r="BB1033"/>
      <c r="BC1033"/>
      <c r="BD1033"/>
      <c r="BE1033"/>
      <c r="BF1033"/>
    </row>
    <row r="1034" spans="40:77" x14ac:dyDescent="0.3">
      <c r="AN1034" s="3" t="s">
        <v>355</v>
      </c>
      <c r="AO1034">
        <f>AV18*AT30*AT34*AT39*AT46*AT54*AT60*AT64*AT69*AT76*AT82*AT87*AT93*AT102*AT106*AT111*AT120*AT126*AT132*AT136*AT141*AT147*AT153*AT160*AT163*AT167*AT171*AT175*AT179*AT183*AT188*AT191*AT196*AT199*AT203*AT207*AT212</f>
        <v>0</v>
      </c>
      <c r="AZ1034"/>
      <c r="BA1034"/>
      <c r="BB1034"/>
      <c r="BC1034"/>
      <c r="BD1034"/>
      <c r="BE1034"/>
      <c r="BF1034"/>
    </row>
    <row r="1035" spans="40:77" x14ac:dyDescent="0.3">
      <c r="AN1035" t="s">
        <v>1014</v>
      </c>
      <c r="AZ1035"/>
      <c r="BA1035"/>
      <c r="BB1035"/>
      <c r="BC1035"/>
      <c r="BD1035"/>
      <c r="BE1035"/>
      <c r="BF1035"/>
    </row>
    <row r="1036" spans="40:77" x14ac:dyDescent="0.3">
      <c r="AN1036" s="3" t="s">
        <v>355</v>
      </c>
      <c r="AO1036">
        <f>AV19*AU30*AU34*AU39*AU46*AU54*AU60*AU64*AU69*AU76*AU82*AU87*AU93*AU102*AU106*AU111*AU120*AU126*AU132*AU136*AU141*AU147*AU153*AU160*AU163*AU167*AU171*AU175*AU179*AU183*AU188*AU191*AU196*AU199*AU203*AU207*AU212</f>
        <v>1.0241925120000003E-10</v>
      </c>
      <c r="AZ1036"/>
      <c r="BA1036"/>
      <c r="BB1036"/>
      <c r="BC1036"/>
      <c r="BD1036"/>
      <c r="BE1036"/>
      <c r="BF1036"/>
    </row>
    <row r="1037" spans="40:77" x14ac:dyDescent="0.3">
      <c r="AN1037" t="s">
        <v>1013</v>
      </c>
      <c r="AZ1037"/>
      <c r="BA1037"/>
      <c r="BB1037"/>
      <c r="BC1037"/>
      <c r="BD1037"/>
      <c r="BE1037"/>
      <c r="BF1037"/>
    </row>
    <row r="1038" spans="40:77" x14ac:dyDescent="0.3">
      <c r="AN1038" s="3" t="s">
        <v>355</v>
      </c>
      <c r="AO1038">
        <f>AV20*AV30*AV34*AV39*AV46*AV54*AV60*AV64*AV69*AV76*AV82*AV87*AV93*AV102*AV106*AV111*AV120*AV126*AV132*AV136*AV141*AV147*AV153*AV160*AV163*AV167*AV171*AV175*AV179*AV183*AV188*AV191*AV196*AV199*AV203*AV207*AV212</f>
        <v>0</v>
      </c>
      <c r="AZ1038"/>
      <c r="BA1038"/>
      <c r="BB1038"/>
      <c r="BC1038"/>
      <c r="BD1038"/>
      <c r="BE1038"/>
      <c r="BF1038"/>
    </row>
    <row r="1039" spans="40:77" x14ac:dyDescent="0.3">
      <c r="AN1039" t="s">
        <v>1012</v>
      </c>
      <c r="AZ1039"/>
      <c r="BA1039"/>
      <c r="BB1039"/>
      <c r="BC1039"/>
      <c r="BD1039"/>
      <c r="BE1039"/>
      <c r="BF1039"/>
    </row>
    <row r="1040" spans="40:77" x14ac:dyDescent="0.3">
      <c r="AN1040" s="3" t="s">
        <v>355</v>
      </c>
      <c r="AO1040">
        <f>AV21*AW30*AW34*AW39*AW46*AW54*AW60*AW64*AW69*AW76*AW82*AW87*AW93*AW102*AW106*AW111*AW120*AW126*AW132*AW136*AW141*AW147*AW153*AW160*AW163*AW167*AW171*AW175*AW179*AW183*AW188*AW191*AW196*AW199*AW203*AW207*AW212</f>
        <v>0</v>
      </c>
      <c r="AZ1040"/>
      <c r="BA1040"/>
      <c r="BB1040"/>
      <c r="BC1040"/>
      <c r="BD1040"/>
      <c r="BE1040"/>
      <c r="BF1040"/>
    </row>
    <row r="1041" spans="40:77" x14ac:dyDescent="0.3">
      <c r="AN1041" t="s">
        <v>1011</v>
      </c>
      <c r="AZ1041"/>
      <c r="BA1041"/>
      <c r="BB1041"/>
      <c r="BC1041"/>
      <c r="BD1041"/>
      <c r="BE1041"/>
      <c r="BF1041"/>
    </row>
    <row r="1042" spans="40:77" x14ac:dyDescent="0.3">
      <c r="AN1042" s="3" t="s">
        <v>355</v>
      </c>
      <c r="AO1042">
        <f>AV22*AX30*AX34*AX39*AX46*AX54*AX60*AX64*AX69*AX76*AX82*AX87*AX93*AX102*AX106*AX111*AX120*AX126*AX132*AX136*AX141*AX147*AX153*AX160*AX163*AX167*AX171*AX175*AX179*AX183*AX188*AX191*AX196*AX199*AX203*AX207*AX212</f>
        <v>0</v>
      </c>
      <c r="AZ1042"/>
      <c r="BA1042"/>
      <c r="BB1042"/>
      <c r="BC1042"/>
      <c r="BD1042"/>
      <c r="BE1042"/>
      <c r="BF1042"/>
    </row>
    <row r="1043" spans="40:77" x14ac:dyDescent="0.3">
      <c r="AN1043" t="s">
        <v>1010</v>
      </c>
      <c r="AZ1043"/>
      <c r="BA1043"/>
      <c r="BB1043"/>
      <c r="BC1043"/>
      <c r="BD1043"/>
      <c r="BE1043"/>
      <c r="BF1043"/>
    </row>
    <row r="1044" spans="40:77" x14ac:dyDescent="0.3">
      <c r="AN1044" s="3" t="s">
        <v>355</v>
      </c>
      <c r="AO1044">
        <f>AV23*AY30*AY34*AY39*AY46*AY54*AY60*AY64*AY69*AY76*AY82*AY87*AY93*AY102*AY106*AY111*AY120*AY126*AY132*AY136*AY141*AY147*AY153*AY160*AY163*AY167*AY171*AY175*AY179*AY183*AY188*AY191*AY196*AY199*AY203*AY207*AY212</f>
        <v>0</v>
      </c>
      <c r="AZ1044"/>
      <c r="BA1044"/>
      <c r="BB1044"/>
      <c r="BC1044"/>
      <c r="BD1044"/>
      <c r="BE1044"/>
      <c r="BF1044"/>
    </row>
    <row r="1045" spans="40:77" x14ac:dyDescent="0.3">
      <c r="AN1045" s="24" t="s">
        <v>893</v>
      </c>
      <c r="AO1045" t="s">
        <v>696</v>
      </c>
      <c r="AP1045" s="25" t="s">
        <v>379</v>
      </c>
    </row>
    <row r="1047" spans="40:77" x14ac:dyDescent="0.3">
      <c r="AN1047" s="53" t="s">
        <v>894</v>
      </c>
      <c r="AO1047" s="24" t="s">
        <v>71</v>
      </c>
      <c r="AP1047" s="1" t="s">
        <v>50</v>
      </c>
      <c r="AQ1047" s="1" t="s">
        <v>51</v>
      </c>
      <c r="AR1047" s="1" t="s">
        <v>52</v>
      </c>
      <c r="AS1047" s="1" t="s">
        <v>53</v>
      </c>
      <c r="AT1047" s="1" t="s">
        <v>54</v>
      </c>
      <c r="AU1047" s="1" t="s">
        <v>55</v>
      </c>
      <c r="AV1047" s="1" t="s">
        <v>56</v>
      </c>
      <c r="AW1047" s="1" t="s">
        <v>57</v>
      </c>
      <c r="AX1047" s="1" t="s">
        <v>58</v>
      </c>
      <c r="AY1047" s="1" t="s">
        <v>59</v>
      </c>
      <c r="AZ1047" s="1" t="s">
        <v>60</v>
      </c>
      <c r="BA1047" s="1" t="s">
        <v>61</v>
      </c>
      <c r="BB1047" s="1" t="s">
        <v>62</v>
      </c>
      <c r="BC1047" s="1" t="s">
        <v>63</v>
      </c>
      <c r="BD1047" s="1" t="s">
        <v>64</v>
      </c>
      <c r="BE1047" s="1" t="s">
        <v>65</v>
      </c>
      <c r="BF1047" s="1" t="s">
        <v>66</v>
      </c>
      <c r="BG1047" s="1" t="s">
        <v>67</v>
      </c>
      <c r="BH1047" s="1" t="s">
        <v>68</v>
      </c>
      <c r="BI1047" s="1" t="s">
        <v>69</v>
      </c>
      <c r="BJ1047" s="1" t="s">
        <v>70</v>
      </c>
      <c r="BK1047" s="1" t="s">
        <v>929</v>
      </c>
      <c r="BL1047" s="1" t="s">
        <v>930</v>
      </c>
      <c r="BM1047" s="1" t="s">
        <v>931</v>
      </c>
      <c r="BN1047" s="1" t="s">
        <v>932</v>
      </c>
      <c r="BO1047" s="1" t="s">
        <v>933</v>
      </c>
      <c r="BP1047" s="1" t="s">
        <v>934</v>
      </c>
      <c r="BQ1047" s="1" t="s">
        <v>935</v>
      </c>
      <c r="BR1047" s="1" t="s">
        <v>936</v>
      </c>
      <c r="BS1047" s="1" t="s">
        <v>937</v>
      </c>
      <c r="BT1047" s="1" t="s">
        <v>938</v>
      </c>
      <c r="BU1047" s="1" t="s">
        <v>939</v>
      </c>
      <c r="BV1047" s="1" t="s">
        <v>940</v>
      </c>
      <c r="BW1047" s="1" t="s">
        <v>941</v>
      </c>
      <c r="BX1047" s="1" t="s">
        <v>942</v>
      </c>
      <c r="BY1047" s="1" t="s">
        <v>1008</v>
      </c>
    </row>
    <row r="1048" spans="40:77" x14ac:dyDescent="0.3">
      <c r="AN1048" s="53"/>
      <c r="AO1048" s="24">
        <v>2</v>
      </c>
      <c r="AP1048" t="s">
        <v>5</v>
      </c>
      <c r="AQ1048" t="s">
        <v>5</v>
      </c>
      <c r="AR1048" t="s">
        <v>3</v>
      </c>
      <c r="AS1048" t="s">
        <v>5</v>
      </c>
      <c r="AT1048" t="s">
        <v>5</v>
      </c>
      <c r="AU1048" t="s">
        <v>5</v>
      </c>
      <c r="AV1048" t="s">
        <v>2</v>
      </c>
      <c r="AW1048" t="s">
        <v>2</v>
      </c>
      <c r="AX1048" t="s">
        <v>3</v>
      </c>
      <c r="AY1048" t="s">
        <v>2</v>
      </c>
      <c r="AZ1048" t="s">
        <v>2</v>
      </c>
      <c r="BA1048" t="s">
        <v>3</v>
      </c>
      <c r="BB1048" t="s">
        <v>5</v>
      </c>
      <c r="BC1048" t="s">
        <v>3</v>
      </c>
      <c r="BD1048" t="s">
        <v>4</v>
      </c>
      <c r="BE1048" t="s">
        <v>5</v>
      </c>
      <c r="BF1048" t="s">
        <v>5</v>
      </c>
      <c r="BG1048" t="s">
        <v>5</v>
      </c>
      <c r="BH1048" t="s">
        <v>5</v>
      </c>
      <c r="BI1048" t="s">
        <v>4</v>
      </c>
      <c r="BJ1048" t="s">
        <v>3</v>
      </c>
      <c r="BK1048" t="s">
        <v>2</v>
      </c>
      <c r="BL1048" t="s">
        <v>3</v>
      </c>
      <c r="BM1048" t="s">
        <v>4</v>
      </c>
      <c r="BN1048" t="s">
        <v>4</v>
      </c>
      <c r="BO1048" t="s">
        <v>4</v>
      </c>
      <c r="BP1048" t="s">
        <v>4</v>
      </c>
      <c r="BQ1048" t="s">
        <v>4</v>
      </c>
      <c r="BR1048" t="s">
        <v>4</v>
      </c>
      <c r="BS1048" t="s">
        <v>3</v>
      </c>
      <c r="BT1048" t="s">
        <v>4</v>
      </c>
      <c r="BU1048" t="s">
        <v>4</v>
      </c>
      <c r="BV1048" t="s">
        <v>4</v>
      </c>
      <c r="BW1048" t="s">
        <v>4</v>
      </c>
      <c r="BX1048" t="s">
        <v>3</v>
      </c>
      <c r="BY1048" t="s">
        <v>4</v>
      </c>
    </row>
    <row r="1049" spans="40:77" x14ac:dyDescent="0.3">
      <c r="AN1049" t="s">
        <v>1018</v>
      </c>
      <c r="AZ1049"/>
      <c r="BA1049"/>
      <c r="BB1049"/>
      <c r="BC1049"/>
      <c r="BD1049"/>
      <c r="BE1049"/>
      <c r="BF1049"/>
    </row>
    <row r="1050" spans="40:77" x14ac:dyDescent="0.3">
      <c r="AN1050" s="3" t="s">
        <v>482</v>
      </c>
      <c r="AO1050">
        <f>AV18*AT30*AT36*AT40*AT48*AT54*AT60*AT65*AT71*AT76*AT83*AT89*AT94*AT102*AT106*AT111*AT120*AT126*AT132*AT138*AT141*AT148*AT155*AT160*AT163*AT167*AT171*AT175*AT179*AT183*AT188*AT191*AT195*AT199*AT203*AT208*AT211</f>
        <v>0</v>
      </c>
      <c r="AZ1050"/>
      <c r="BA1050"/>
      <c r="BB1050"/>
      <c r="BC1050"/>
      <c r="BD1050"/>
      <c r="BE1050"/>
      <c r="BF1050"/>
    </row>
    <row r="1051" spans="40:77" x14ac:dyDescent="0.3">
      <c r="AN1051" t="s">
        <v>1020</v>
      </c>
      <c r="AZ1051"/>
      <c r="BA1051"/>
      <c r="BB1051"/>
      <c r="BC1051"/>
      <c r="BD1051"/>
      <c r="BE1051"/>
      <c r="BF1051"/>
    </row>
    <row r="1052" spans="40:77" x14ac:dyDescent="0.3">
      <c r="AN1052" s="3" t="s">
        <v>355</v>
      </c>
      <c r="AO1052">
        <f>AV19*AU30*AU36*AU40*AU48*AU54*AU60*AU65*AU71*AU76*AU83*AU89*AU94*AU102*AU106*AU111*AU120*AU126*AU132*AU138*AU141*AU148*AU155*AU160*AU163*AU167*AU171*AU175*AU179*AU183*AU188*AU191*AU195*AU199*AU203*AU208*AU211</f>
        <v>3.9504568320000005E-9</v>
      </c>
      <c r="AZ1052"/>
      <c r="BA1052"/>
      <c r="BB1052"/>
      <c r="BC1052"/>
      <c r="BD1052"/>
      <c r="BE1052"/>
      <c r="BF1052"/>
    </row>
    <row r="1053" spans="40:77" x14ac:dyDescent="0.3">
      <c r="AN1053" t="s">
        <v>1019</v>
      </c>
      <c r="AZ1053"/>
      <c r="BA1053"/>
      <c r="BB1053"/>
      <c r="BC1053"/>
      <c r="BD1053"/>
      <c r="BE1053"/>
      <c r="BF1053"/>
    </row>
    <row r="1054" spans="40:77" x14ac:dyDescent="0.3">
      <c r="AN1054" s="3" t="s">
        <v>355</v>
      </c>
      <c r="AO1054">
        <f>AV20*AV30*AV36*AV40*AV48*AV54*AV60*AV65*AV71*AV76*AV83*AV89*AV94*AV102*AV106*AV111*AV120*AV126*AV132*AV138*AV141*AV148*AV155*AV160*AV163*AV167*AV171*AV175*AV179*AV183*AV188*AV191*AV195*AV199*AV203*AV208*AV211</f>
        <v>0</v>
      </c>
      <c r="AZ1054"/>
      <c r="BA1054"/>
      <c r="BB1054"/>
      <c r="BC1054"/>
      <c r="BD1054"/>
      <c r="BE1054"/>
      <c r="BF1054"/>
    </row>
    <row r="1055" spans="40:77" x14ac:dyDescent="0.3">
      <c r="AN1055" t="s">
        <v>1015</v>
      </c>
      <c r="AZ1055"/>
      <c r="BA1055"/>
      <c r="BB1055"/>
      <c r="BC1055"/>
      <c r="BD1055"/>
      <c r="BE1055"/>
      <c r="BF1055"/>
    </row>
    <row r="1056" spans="40:77" x14ac:dyDescent="0.3">
      <c r="AN1056" s="3" t="s">
        <v>355</v>
      </c>
      <c r="AO1056">
        <f>AV21*AW30*AW36*AW40*AW48*AW54*AW60*AW65*AW71*AW76*AW83*AW89*AW94*AW102*AW106*AW111*AW120*AW126*AW132*AW138*AW141*AW148*AW155*AW160*AW163*AW167*AW171*AW175*AW179*AW183*AW188*AW191*AW195*AW199*AW203*AW208*AW211</f>
        <v>0</v>
      </c>
      <c r="AZ1056"/>
      <c r="BA1056"/>
      <c r="BB1056"/>
      <c r="BC1056"/>
      <c r="BD1056"/>
      <c r="BE1056"/>
      <c r="BF1056"/>
    </row>
    <row r="1057" spans="40:77" x14ac:dyDescent="0.3">
      <c r="AN1057" t="s">
        <v>1016</v>
      </c>
      <c r="AZ1057"/>
      <c r="BA1057"/>
      <c r="BB1057"/>
      <c r="BC1057"/>
      <c r="BD1057"/>
      <c r="BE1057"/>
      <c r="BF1057"/>
    </row>
    <row r="1058" spans="40:77" x14ac:dyDescent="0.3">
      <c r="AN1058" s="3" t="s">
        <v>355</v>
      </c>
      <c r="AO1058">
        <f>AV22*AX30*AX36*AX40*AX48*AX54*AX60*AX65*AX71*AX76*AX83*AX89*AX94*AX102*AX106*AX111*AX120*AX126*AX132*AX138*AX141*AX148*AX155*AX160*AX163*AX167*AX171*AX175*AX179*AX183*AX188*AX191*AX195*AX199*AX203*AX208*AX211</f>
        <v>0</v>
      </c>
      <c r="AZ1058"/>
      <c r="BA1058"/>
      <c r="BB1058"/>
      <c r="BC1058"/>
      <c r="BD1058"/>
      <c r="BE1058"/>
      <c r="BF1058"/>
    </row>
    <row r="1059" spans="40:77" x14ac:dyDescent="0.3">
      <c r="AN1059" t="s">
        <v>1017</v>
      </c>
      <c r="AZ1059"/>
      <c r="BA1059"/>
      <c r="BB1059"/>
      <c r="BC1059"/>
      <c r="BD1059"/>
      <c r="BE1059"/>
      <c r="BF1059"/>
    </row>
    <row r="1060" spans="40:77" x14ac:dyDescent="0.3">
      <c r="AN1060" s="3" t="s">
        <v>355</v>
      </c>
      <c r="AO1060">
        <f>AV23*AY30*AY36*AY40*AY48*AY54*AY60*AY65*AY71*AY76*AY83*AY89*AY94*AY102*AY106*AY111*AY120*AY126*AY132*AY138*AY141*AY148*AY155*AY160*AY163*AY167*AY171*AY175*AY179*AY183*AY188*AY191*AY195*AY199*AY203*AY208*AY211</f>
        <v>0</v>
      </c>
      <c r="AZ1060"/>
      <c r="BA1060"/>
      <c r="BB1060"/>
      <c r="BC1060"/>
      <c r="BD1060"/>
      <c r="BE1060"/>
      <c r="BF1060"/>
    </row>
    <row r="1061" spans="40:77" x14ac:dyDescent="0.3">
      <c r="AN1061" s="24" t="s">
        <v>893</v>
      </c>
      <c r="AO1061" t="s">
        <v>373</v>
      </c>
      <c r="AP1061" s="25" t="s">
        <v>379</v>
      </c>
      <c r="AZ1061"/>
      <c r="BA1061"/>
      <c r="BB1061"/>
      <c r="BC1061"/>
      <c r="BD1061"/>
      <c r="BE1061"/>
      <c r="BF1061"/>
    </row>
    <row r="1063" spans="40:77" x14ac:dyDescent="0.3">
      <c r="AN1063" s="53" t="s">
        <v>897</v>
      </c>
      <c r="AO1063" s="24" t="s">
        <v>71</v>
      </c>
      <c r="AP1063" s="1" t="s">
        <v>50</v>
      </c>
      <c r="AQ1063" s="1" t="s">
        <v>51</v>
      </c>
      <c r="AR1063" s="1" t="s">
        <v>52</v>
      </c>
      <c r="AS1063" s="1" t="s">
        <v>53</v>
      </c>
      <c r="AT1063" s="1" t="s">
        <v>54</v>
      </c>
      <c r="AU1063" s="1" t="s">
        <v>55</v>
      </c>
      <c r="AV1063" s="1" t="s">
        <v>56</v>
      </c>
      <c r="AW1063" s="1" t="s">
        <v>57</v>
      </c>
      <c r="AX1063" s="1" t="s">
        <v>58</v>
      </c>
      <c r="AY1063" s="1" t="s">
        <v>59</v>
      </c>
      <c r="AZ1063" s="1" t="s">
        <v>60</v>
      </c>
      <c r="BA1063" s="1" t="s">
        <v>61</v>
      </c>
      <c r="BB1063" s="1" t="s">
        <v>62</v>
      </c>
      <c r="BC1063" s="1" t="s">
        <v>63</v>
      </c>
      <c r="BD1063" s="1" t="s">
        <v>64</v>
      </c>
      <c r="BE1063" s="1" t="s">
        <v>65</v>
      </c>
      <c r="BF1063" s="1" t="s">
        <v>66</v>
      </c>
      <c r="BG1063" s="1" t="s">
        <v>67</v>
      </c>
      <c r="BH1063" s="1" t="s">
        <v>68</v>
      </c>
      <c r="BI1063" s="1" t="s">
        <v>69</v>
      </c>
      <c r="BJ1063" s="1" t="s">
        <v>70</v>
      </c>
      <c r="BK1063" s="1" t="s">
        <v>929</v>
      </c>
      <c r="BL1063" s="1" t="s">
        <v>930</v>
      </c>
      <c r="BM1063" s="1" t="s">
        <v>931</v>
      </c>
      <c r="BN1063" s="1" t="s">
        <v>932</v>
      </c>
      <c r="BO1063" s="1" t="s">
        <v>933</v>
      </c>
      <c r="BP1063" s="1" t="s">
        <v>934</v>
      </c>
      <c r="BQ1063" s="1" t="s">
        <v>935</v>
      </c>
      <c r="BR1063" s="1" t="s">
        <v>936</v>
      </c>
      <c r="BS1063" s="1" t="s">
        <v>937</v>
      </c>
      <c r="BT1063" s="1" t="s">
        <v>938</v>
      </c>
      <c r="BU1063" s="1" t="s">
        <v>939</v>
      </c>
      <c r="BV1063" s="1" t="s">
        <v>940</v>
      </c>
      <c r="BW1063" s="1" t="s">
        <v>941</v>
      </c>
      <c r="BX1063" s="1" t="s">
        <v>942</v>
      </c>
      <c r="BY1063" s="1" t="s">
        <v>1008</v>
      </c>
    </row>
    <row r="1064" spans="40:77" x14ac:dyDescent="0.3">
      <c r="AN1064" s="53"/>
      <c r="AO1064" s="24">
        <v>2</v>
      </c>
      <c r="AP1064" t="s">
        <v>4</v>
      </c>
      <c r="AQ1064" t="s">
        <v>5</v>
      </c>
      <c r="AR1064" t="s">
        <v>3</v>
      </c>
      <c r="AS1064" t="s">
        <v>5</v>
      </c>
      <c r="AT1064" t="s">
        <v>5</v>
      </c>
      <c r="AU1064" t="s">
        <v>5</v>
      </c>
      <c r="AV1064" t="s">
        <v>5</v>
      </c>
      <c r="AW1064" t="s">
        <v>2</v>
      </c>
      <c r="AX1064" t="s">
        <v>3</v>
      </c>
      <c r="AY1064" t="s">
        <v>2</v>
      </c>
      <c r="AZ1064" t="s">
        <v>3</v>
      </c>
      <c r="BA1064" t="s">
        <v>2</v>
      </c>
      <c r="BB1064" t="s">
        <v>5</v>
      </c>
      <c r="BC1064" t="s">
        <v>3</v>
      </c>
      <c r="BD1064" t="s">
        <v>3</v>
      </c>
      <c r="BE1064" t="s">
        <v>5</v>
      </c>
      <c r="BF1064" t="s">
        <v>5</v>
      </c>
      <c r="BG1064" t="s">
        <v>5</v>
      </c>
      <c r="BH1064" t="s">
        <v>3</v>
      </c>
      <c r="BI1064" t="s">
        <v>4</v>
      </c>
      <c r="BJ1064" t="s">
        <v>3</v>
      </c>
      <c r="BK1064" t="s">
        <v>2</v>
      </c>
      <c r="BL1064" t="s">
        <v>3</v>
      </c>
      <c r="BM1064" t="s">
        <v>4</v>
      </c>
      <c r="BN1064" t="s">
        <v>4</v>
      </c>
      <c r="BO1064" t="s">
        <v>4</v>
      </c>
      <c r="BP1064" t="s">
        <v>4</v>
      </c>
      <c r="BQ1064" t="s">
        <v>4</v>
      </c>
      <c r="BR1064" t="s">
        <v>4</v>
      </c>
      <c r="BS1064" t="s">
        <v>3</v>
      </c>
      <c r="BT1064" t="s">
        <v>4</v>
      </c>
      <c r="BU1064" t="s">
        <v>4</v>
      </c>
      <c r="BV1064" t="s">
        <v>4</v>
      </c>
      <c r="BW1064" t="s">
        <v>4</v>
      </c>
      <c r="BX1064" t="s">
        <v>4</v>
      </c>
      <c r="BY1064" t="s">
        <v>3</v>
      </c>
    </row>
    <row r="1065" spans="40:77" x14ac:dyDescent="0.3">
      <c r="AN1065" t="s">
        <v>1033</v>
      </c>
      <c r="AZ1065"/>
      <c r="BA1065"/>
      <c r="BB1065"/>
      <c r="BC1065"/>
      <c r="BD1065"/>
      <c r="BE1065"/>
      <c r="BF1065"/>
    </row>
    <row r="1066" spans="40:77" x14ac:dyDescent="0.3">
      <c r="AN1066" s="3" t="s">
        <v>355</v>
      </c>
      <c r="AO1066">
        <f>AV18*AT27*AT36*AT40*AT48*AT54*AT60*AT66*AT71*AT76*AT83*AT88*AT95*AT102*AT106*AT112*AT120*AT126*AT132*AT136*AT141*AT148*AT155*AT160*AT163*AT167*AT171*AT175*AT179*AT183*AT188*AT191*AT195*AT199*AT203*AT207*AT212</f>
        <v>0</v>
      </c>
      <c r="AZ1066"/>
      <c r="BA1066"/>
      <c r="BB1066"/>
      <c r="BC1066"/>
      <c r="BD1066"/>
      <c r="BE1066"/>
      <c r="BF1066"/>
    </row>
    <row r="1067" spans="40:77" x14ac:dyDescent="0.3">
      <c r="AN1067" t="s">
        <v>1034</v>
      </c>
      <c r="AZ1067"/>
      <c r="BA1067"/>
      <c r="BB1067"/>
      <c r="BC1067"/>
      <c r="BD1067"/>
      <c r="BE1067"/>
      <c r="BF1067"/>
    </row>
    <row r="1068" spans="40:77" x14ac:dyDescent="0.3">
      <c r="AN1068" s="3" t="s">
        <v>355</v>
      </c>
      <c r="AO1068">
        <f>AV19*AU27*AU36*AU40*AU48*AU54*AU60*AU66*AU71*AU76*AU83*AU88*AU95*AU102*AU106*AU112*AU120*AU126*AU132*AU136*AU141*AU148*AU155*AU160*AU163*AU167*AU171*AU175*AU179*AU183*AU188*AU191*AU195*AU199*AU203*AU207*AU212</f>
        <v>2.2221319680000006E-8</v>
      </c>
      <c r="AZ1068"/>
      <c r="BA1068"/>
      <c r="BB1068"/>
      <c r="BC1068"/>
      <c r="BD1068"/>
      <c r="BE1068"/>
      <c r="BF1068"/>
    </row>
    <row r="1069" spans="40:77" x14ac:dyDescent="0.3">
      <c r="AN1069" t="s">
        <v>1035</v>
      </c>
      <c r="AZ1069"/>
      <c r="BA1069"/>
      <c r="BB1069"/>
      <c r="BC1069"/>
      <c r="BD1069"/>
      <c r="BE1069"/>
      <c r="BF1069"/>
    </row>
    <row r="1070" spans="40:77" x14ac:dyDescent="0.3">
      <c r="AN1070" s="3" t="s">
        <v>355</v>
      </c>
      <c r="AO1070">
        <f>AV20*AV27*AV36*AV40*AV48*AV54*AV60*AV66*AV71*AV76*AV83*AV88*AV95*AV102*AV106*AV112*AV120*AV126*AV132*AV136*AV141*AV148*AV155*AV160*AV163*AV167*AV171*AV175*AV179*AV183*AV188*AV191*AV195*AV199*AV203*AV207*AV212</f>
        <v>0</v>
      </c>
      <c r="AZ1070"/>
      <c r="BA1070"/>
      <c r="BB1070"/>
      <c r="BC1070"/>
      <c r="BD1070"/>
      <c r="BE1070"/>
      <c r="BF1070"/>
    </row>
    <row r="1071" spans="40:77" x14ac:dyDescent="0.3">
      <c r="AN1071" t="s">
        <v>1036</v>
      </c>
      <c r="AZ1071"/>
      <c r="BA1071"/>
      <c r="BB1071"/>
      <c r="BC1071"/>
      <c r="BD1071"/>
      <c r="BE1071"/>
      <c r="BF1071"/>
    </row>
    <row r="1072" spans="40:77" x14ac:dyDescent="0.3">
      <c r="AN1072" s="3" t="s">
        <v>355</v>
      </c>
      <c r="AO1072">
        <f>AV21*AW27*AW36*AW40*AW48*AW54*AW60*AW66*AW71*AW76*AW83*AW88*AW95*AW102*AW106*AW112*AW120*AW126*AW132*AW136*AW141*AW148*AW155*AW160*AW163*AW167*AW171*AW175*AW179*AW183*AW188*AW191*AW195*AW199*AW203*AW207*AW212</f>
        <v>0</v>
      </c>
      <c r="AZ1072"/>
      <c r="BA1072"/>
      <c r="BB1072"/>
      <c r="BC1072"/>
      <c r="BD1072"/>
      <c r="BE1072"/>
      <c r="BF1072"/>
    </row>
    <row r="1073" spans="40:77" x14ac:dyDescent="0.3">
      <c r="AN1073" t="s">
        <v>1037</v>
      </c>
      <c r="AZ1073"/>
      <c r="BA1073"/>
      <c r="BB1073"/>
      <c r="BC1073"/>
      <c r="BD1073"/>
      <c r="BE1073"/>
      <c r="BF1073"/>
    </row>
    <row r="1074" spans="40:77" x14ac:dyDescent="0.3">
      <c r="AN1074" s="3" t="s">
        <v>355</v>
      </c>
      <c r="AO1074">
        <f>AV22*AX27*AX36*AX40*AX48*AX54*AX60*AX66*AX71*AX76*AX83*AX88*AX95*AX102*AX106*AX112*AX120*AX126*AX132*AX136*AX141*AX148*AX155*AX160*AX163*AX167*AX171*AX175*AX179*AX183*AX188*AX191*AX195*AX199*AX203*AX207*AX212</f>
        <v>0</v>
      </c>
      <c r="AZ1074"/>
      <c r="BA1074"/>
      <c r="BB1074"/>
      <c r="BC1074"/>
      <c r="BD1074"/>
      <c r="BE1074"/>
      <c r="BF1074"/>
    </row>
    <row r="1075" spans="40:77" x14ac:dyDescent="0.3">
      <c r="AN1075" t="s">
        <v>1038</v>
      </c>
      <c r="AZ1075"/>
      <c r="BA1075"/>
      <c r="BB1075"/>
      <c r="BC1075"/>
      <c r="BD1075"/>
      <c r="BE1075"/>
      <c r="BF1075"/>
    </row>
    <row r="1076" spans="40:77" x14ac:dyDescent="0.3">
      <c r="AN1076" s="3" t="s">
        <v>355</v>
      </c>
      <c r="AO1076">
        <f>AV23*AY27*AY36*AY40*AY48*AY54*AY60*AY66*AY71*AY76*AY83*AY88*AY95*AY102*AY106*AY112*AY120*AY126*AY132*AY136*AY141*AY148*AY155*AY160*AY163*AY167*AY171*AY175*AY179*AY183*AY188*AY191*AY195*AY199*AY203*AY207*AY212</f>
        <v>0</v>
      </c>
      <c r="AZ1076"/>
      <c r="BA1076"/>
      <c r="BB1076"/>
      <c r="BC1076"/>
      <c r="BD1076"/>
      <c r="BE1076"/>
      <c r="BF1076"/>
    </row>
    <row r="1077" spans="40:77" x14ac:dyDescent="0.3">
      <c r="AN1077" s="24" t="s">
        <v>893</v>
      </c>
      <c r="AO1077" t="s">
        <v>373</v>
      </c>
      <c r="AP1077" s="25" t="s">
        <v>405</v>
      </c>
      <c r="AZ1077"/>
      <c r="BA1077"/>
      <c r="BB1077"/>
      <c r="BC1077"/>
      <c r="BD1077"/>
      <c r="BE1077"/>
      <c r="BF1077"/>
    </row>
    <row r="1079" spans="40:77" x14ac:dyDescent="0.3">
      <c r="AN1079" s="53" t="s">
        <v>899</v>
      </c>
      <c r="AO1079" s="24" t="s">
        <v>71</v>
      </c>
      <c r="AP1079" s="1" t="s">
        <v>50</v>
      </c>
      <c r="AQ1079" s="1" t="s">
        <v>51</v>
      </c>
      <c r="AR1079" s="1" t="s">
        <v>52</v>
      </c>
      <c r="AS1079" s="1" t="s">
        <v>53</v>
      </c>
      <c r="AT1079" s="1" t="s">
        <v>54</v>
      </c>
      <c r="AU1079" s="1" t="s">
        <v>55</v>
      </c>
      <c r="AV1079" s="1" t="s">
        <v>56</v>
      </c>
      <c r="AW1079" s="1" t="s">
        <v>57</v>
      </c>
      <c r="AX1079" s="1" t="s">
        <v>58</v>
      </c>
      <c r="AY1079" s="1" t="s">
        <v>59</v>
      </c>
      <c r="AZ1079" s="1" t="s">
        <v>60</v>
      </c>
      <c r="BA1079" s="1" t="s">
        <v>61</v>
      </c>
      <c r="BB1079" s="1" t="s">
        <v>62</v>
      </c>
      <c r="BC1079" s="1" t="s">
        <v>63</v>
      </c>
      <c r="BD1079" s="1" t="s">
        <v>64</v>
      </c>
      <c r="BE1079" s="1" t="s">
        <v>65</v>
      </c>
      <c r="BF1079" s="1" t="s">
        <v>66</v>
      </c>
      <c r="BG1079" s="1" t="s">
        <v>67</v>
      </c>
      <c r="BH1079" s="1" t="s">
        <v>68</v>
      </c>
      <c r="BI1079" s="1" t="s">
        <v>69</v>
      </c>
      <c r="BJ1079" s="1" t="s">
        <v>70</v>
      </c>
      <c r="BK1079" s="1" t="s">
        <v>929</v>
      </c>
      <c r="BL1079" s="1" t="s">
        <v>930</v>
      </c>
      <c r="BM1079" s="1" t="s">
        <v>931</v>
      </c>
      <c r="BN1079" s="1" t="s">
        <v>932</v>
      </c>
      <c r="BO1079" s="1" t="s">
        <v>933</v>
      </c>
      <c r="BP1079" s="1" t="s">
        <v>934</v>
      </c>
      <c r="BQ1079" s="1" t="s">
        <v>935</v>
      </c>
      <c r="BR1079" s="1" t="s">
        <v>936</v>
      </c>
      <c r="BS1079" s="1" t="s">
        <v>937</v>
      </c>
      <c r="BT1079" s="1" t="s">
        <v>938</v>
      </c>
      <c r="BU1079" s="1" t="s">
        <v>939</v>
      </c>
      <c r="BV1079" s="1" t="s">
        <v>940</v>
      </c>
      <c r="BW1079" s="1" t="s">
        <v>941</v>
      </c>
      <c r="BX1079" s="1" t="s">
        <v>942</v>
      </c>
      <c r="BY1079" s="1" t="s">
        <v>1008</v>
      </c>
    </row>
    <row r="1080" spans="40:77" x14ac:dyDescent="0.3">
      <c r="AN1080" s="53"/>
      <c r="AO1080" s="24">
        <v>3</v>
      </c>
      <c r="AP1080" t="s">
        <v>3</v>
      </c>
      <c r="AQ1080" t="s">
        <v>3</v>
      </c>
      <c r="AR1080" t="s">
        <v>3</v>
      </c>
      <c r="AS1080" t="s">
        <v>2</v>
      </c>
      <c r="AT1080" t="s">
        <v>5</v>
      </c>
      <c r="AU1080" t="s">
        <v>5</v>
      </c>
      <c r="AV1080" t="s">
        <v>5</v>
      </c>
      <c r="AW1080" t="s">
        <v>2</v>
      </c>
      <c r="AX1080" t="s">
        <v>3</v>
      </c>
      <c r="AY1080" t="s">
        <v>3</v>
      </c>
      <c r="AZ1080" t="s">
        <v>3</v>
      </c>
      <c r="BA1080" t="s">
        <v>2</v>
      </c>
      <c r="BB1080" t="s">
        <v>5</v>
      </c>
      <c r="BC1080" t="s">
        <v>3</v>
      </c>
      <c r="BD1080" t="s">
        <v>3</v>
      </c>
      <c r="BE1080" t="s">
        <v>5</v>
      </c>
      <c r="BF1080" t="s">
        <v>5</v>
      </c>
      <c r="BG1080" t="s">
        <v>5</v>
      </c>
      <c r="BH1080" t="s">
        <v>5</v>
      </c>
      <c r="BI1080" t="s">
        <v>4</v>
      </c>
      <c r="BJ1080" t="s">
        <v>3</v>
      </c>
      <c r="BK1080" t="s">
        <v>2</v>
      </c>
      <c r="BL1080" t="s">
        <v>3</v>
      </c>
      <c r="BM1080" t="s">
        <v>4</v>
      </c>
      <c r="BN1080" t="s">
        <v>4</v>
      </c>
      <c r="BO1080" t="s">
        <v>4</v>
      </c>
      <c r="BP1080" t="s">
        <v>4</v>
      </c>
      <c r="BQ1080" t="s">
        <v>4</v>
      </c>
      <c r="BR1080" t="s">
        <v>4</v>
      </c>
      <c r="BS1080" t="s">
        <v>3</v>
      </c>
      <c r="BT1080" t="s">
        <v>4</v>
      </c>
      <c r="BU1080" t="s">
        <v>3</v>
      </c>
      <c r="BV1080" t="s">
        <v>4</v>
      </c>
      <c r="BW1080" t="s">
        <v>4</v>
      </c>
      <c r="BX1080" t="s">
        <v>3</v>
      </c>
      <c r="BY1080" t="s">
        <v>3</v>
      </c>
    </row>
    <row r="1081" spans="40:77" x14ac:dyDescent="0.3">
      <c r="AN1081" t="s">
        <v>1027</v>
      </c>
      <c r="AZ1081"/>
      <c r="BA1081"/>
      <c r="BB1081"/>
      <c r="BC1081"/>
      <c r="BD1081"/>
      <c r="BE1081"/>
      <c r="BF1081"/>
    </row>
    <row r="1082" spans="40:77" x14ac:dyDescent="0.3">
      <c r="AN1082" s="3" t="s">
        <v>355</v>
      </c>
      <c r="AO1082">
        <f>AV18*AT28*AT34*AT40*AT47*AT54*AT60*AT66*AT71*AT76*AT82*AT88*AT95*AT102*AT106*AT112*AT120*AT126*AT132*AT138*AT141*AT148*AT155*AT160*AT163*AT167*AT171*AT175*AT179*AT183*AT188*AT191*AT196*AT199*AT203*AT208*AT212</f>
        <v>0</v>
      </c>
      <c r="AZ1082"/>
      <c r="BA1082"/>
      <c r="BB1082"/>
      <c r="BC1082"/>
      <c r="BD1082"/>
      <c r="BE1082"/>
      <c r="BF1082"/>
    </row>
    <row r="1083" spans="40:77" x14ac:dyDescent="0.3">
      <c r="AN1083" t="s">
        <v>1028</v>
      </c>
      <c r="AZ1083"/>
      <c r="BA1083"/>
      <c r="BB1083"/>
      <c r="BC1083"/>
      <c r="BD1083"/>
      <c r="BE1083"/>
      <c r="BF1083"/>
    </row>
    <row r="1084" spans="40:77" x14ac:dyDescent="0.3">
      <c r="AN1084" s="3" t="s">
        <v>355</v>
      </c>
      <c r="AO1084">
        <f>AV19*AU28*AU34*AU40*AU47*AU54*AU60*AU66*AU71*AU76*AU82*AU88*AU95*AU102*AU106*AU112*AU120*AU126*AU132*AU138*AU141*AU148*AU155*AU160*AU163*AU167*AU171*AU175*AU179*AU183*AU188*AU191*AU196*AU199*AU203*AU208*AU212</f>
        <v>2.3044331520000001E-9</v>
      </c>
      <c r="AZ1084"/>
      <c r="BA1084"/>
      <c r="BB1084"/>
      <c r="BC1084"/>
      <c r="BD1084"/>
      <c r="BE1084"/>
      <c r="BF1084"/>
    </row>
    <row r="1085" spans="40:77" x14ac:dyDescent="0.3">
      <c r="AN1085" t="s">
        <v>1029</v>
      </c>
      <c r="AZ1085"/>
      <c r="BA1085"/>
      <c r="BB1085"/>
      <c r="BC1085"/>
      <c r="BD1085"/>
      <c r="BE1085"/>
      <c r="BF1085"/>
    </row>
    <row r="1086" spans="40:77" x14ac:dyDescent="0.3">
      <c r="AN1086" s="3" t="s">
        <v>355</v>
      </c>
      <c r="AO1086">
        <f>AV20*AV28*AV34*AV40*AV47*AV54*AV60*AV66*AV71*AV76*AV82*AV88*AV95*AV102*AV106*AV112*AV120*AV126*AV132*AV138*AV141*AV148*AV155*AV160*AV163*AV167*AV171*AV175*AV179*AV183*AV188*AV191*AV196*AV199*AV203*AV208*AV212</f>
        <v>0</v>
      </c>
      <c r="AZ1086"/>
      <c r="BA1086"/>
      <c r="BB1086"/>
      <c r="BC1086"/>
      <c r="BD1086"/>
      <c r="BE1086"/>
      <c r="BF1086"/>
    </row>
    <row r="1087" spans="40:77" x14ac:dyDescent="0.3">
      <c r="AN1087" t="s">
        <v>1030</v>
      </c>
      <c r="AZ1087"/>
      <c r="BA1087"/>
      <c r="BB1087"/>
      <c r="BC1087"/>
      <c r="BD1087"/>
      <c r="BE1087"/>
      <c r="BF1087"/>
    </row>
    <row r="1088" spans="40:77" x14ac:dyDescent="0.3">
      <c r="AN1088" s="3" t="s">
        <v>355</v>
      </c>
      <c r="AO1088">
        <f>AV21*AW28*AW34*AW40*AW47*AW54*AW60*AW66*AW71*AW76*AW82*AW88*AW95*AW102*AW106*AW112*AW120*AW126*AW132*AW138*AW141*AW148*AW155*AW160*AW163*AW167*AW171*AW175*AW179*AW183*AW188*AW191*AW196*AW199*AW203*AW208*AW212</f>
        <v>3.7331817062400002E-8</v>
      </c>
      <c r="AZ1088"/>
      <c r="BA1088"/>
      <c r="BB1088"/>
      <c r="BC1088"/>
      <c r="BD1088"/>
      <c r="BE1088"/>
      <c r="BF1088"/>
    </row>
    <row r="1089" spans="40:77" x14ac:dyDescent="0.3">
      <c r="AN1089" t="s">
        <v>1031</v>
      </c>
      <c r="AZ1089"/>
      <c r="BA1089"/>
      <c r="BB1089"/>
      <c r="BC1089"/>
      <c r="BD1089"/>
      <c r="BE1089"/>
      <c r="BF1089"/>
    </row>
    <row r="1090" spans="40:77" x14ac:dyDescent="0.3">
      <c r="AN1090" s="3" t="s">
        <v>355</v>
      </c>
      <c r="AO1090">
        <f>AV22*AX28*AX34*AX40*AX47*AX54*AX60*AX66*AX71*AX76*AX82*AX88*AX95*AX102*AX106*AX112*AX120*AX126*AX132*AX138*AX141*AX148*AX155*AX160*AX163*AX167*AX171*AX175*AX179*AX183*AX188*AX191*AX196*AX199*AX203*AX208*AX212</f>
        <v>0</v>
      </c>
      <c r="AZ1090"/>
      <c r="BA1090"/>
      <c r="BB1090"/>
      <c r="BC1090"/>
      <c r="BD1090"/>
      <c r="BE1090"/>
      <c r="BF1090"/>
    </row>
    <row r="1091" spans="40:77" x14ac:dyDescent="0.3">
      <c r="AN1091" t="s">
        <v>1032</v>
      </c>
      <c r="AZ1091"/>
      <c r="BA1091"/>
      <c r="BB1091"/>
      <c r="BC1091"/>
      <c r="BD1091"/>
      <c r="BE1091"/>
      <c r="BF1091"/>
    </row>
    <row r="1092" spans="40:77" x14ac:dyDescent="0.3">
      <c r="AN1092" s="3" t="s">
        <v>355</v>
      </c>
      <c r="AO1092">
        <f>AV23*AY28*AY34*AY40*AY47*AY54*AY60*AY66*AY71*AY76*AY82*AY88*AY95*AY102*AY106*AY112*AY120*AY126*AY132*AY138*AY141*AY148*AY155*AY160*AY163*AY167*AY171*AY175*AY179*AY183*AY188*AY191*AY196*AY199*AY203*AY208*AY212</f>
        <v>0</v>
      </c>
      <c r="AZ1092"/>
      <c r="BA1092"/>
      <c r="BB1092"/>
      <c r="BC1092"/>
      <c r="BD1092"/>
      <c r="BE1092"/>
      <c r="BF1092"/>
    </row>
    <row r="1093" spans="40:77" x14ac:dyDescent="0.3">
      <c r="AN1093" s="24" t="s">
        <v>893</v>
      </c>
      <c r="AO1093" t="s">
        <v>375</v>
      </c>
      <c r="AP1093" s="26" t="s">
        <v>912</v>
      </c>
      <c r="AZ1093"/>
      <c r="BA1093"/>
      <c r="BB1093"/>
      <c r="BC1093"/>
      <c r="BD1093"/>
      <c r="BE1093"/>
      <c r="BF1093"/>
    </row>
    <row r="1095" spans="40:77" x14ac:dyDescent="0.3">
      <c r="AN1095" s="53" t="s">
        <v>900</v>
      </c>
      <c r="AO1095" s="24" t="s">
        <v>71</v>
      </c>
      <c r="AP1095" s="1" t="s">
        <v>50</v>
      </c>
      <c r="AQ1095" s="1" t="s">
        <v>51</v>
      </c>
      <c r="AR1095" s="1" t="s">
        <v>52</v>
      </c>
      <c r="AS1095" s="1" t="s">
        <v>53</v>
      </c>
      <c r="AT1095" s="1" t="s">
        <v>54</v>
      </c>
      <c r="AU1095" s="1" t="s">
        <v>55</v>
      </c>
      <c r="AV1095" s="1" t="s">
        <v>56</v>
      </c>
      <c r="AW1095" s="1" t="s">
        <v>57</v>
      </c>
      <c r="AX1095" s="1" t="s">
        <v>58</v>
      </c>
      <c r="AY1095" s="1" t="s">
        <v>59</v>
      </c>
      <c r="AZ1095" s="1" t="s">
        <v>60</v>
      </c>
      <c r="BA1095" s="1" t="s">
        <v>61</v>
      </c>
      <c r="BB1095" s="1" t="s">
        <v>62</v>
      </c>
      <c r="BC1095" s="1" t="s">
        <v>63</v>
      </c>
      <c r="BD1095" s="1" t="s">
        <v>64</v>
      </c>
      <c r="BE1095" s="1" t="s">
        <v>65</v>
      </c>
      <c r="BF1095" s="1" t="s">
        <v>66</v>
      </c>
      <c r="BG1095" s="1" t="s">
        <v>67</v>
      </c>
      <c r="BH1095" s="1" t="s">
        <v>68</v>
      </c>
      <c r="BI1095" s="1" t="s">
        <v>69</v>
      </c>
      <c r="BJ1095" s="1" t="s">
        <v>70</v>
      </c>
      <c r="BK1095" s="1" t="s">
        <v>929</v>
      </c>
      <c r="BL1095" s="1" t="s">
        <v>930</v>
      </c>
      <c r="BM1095" s="1" t="s">
        <v>931</v>
      </c>
      <c r="BN1095" s="1" t="s">
        <v>932</v>
      </c>
      <c r="BO1095" s="1" t="s">
        <v>933</v>
      </c>
      <c r="BP1095" s="1" t="s">
        <v>934</v>
      </c>
      <c r="BQ1095" s="1" t="s">
        <v>935</v>
      </c>
      <c r="BR1095" s="1" t="s">
        <v>936</v>
      </c>
      <c r="BS1095" s="1" t="s">
        <v>937</v>
      </c>
      <c r="BT1095" s="1" t="s">
        <v>938</v>
      </c>
      <c r="BU1095" s="1" t="s">
        <v>939</v>
      </c>
      <c r="BV1095" s="1" t="s">
        <v>940</v>
      </c>
      <c r="BW1095" s="1" t="s">
        <v>941</v>
      </c>
      <c r="BX1095" s="1" t="s">
        <v>942</v>
      </c>
      <c r="BY1095" s="1" t="s">
        <v>1008</v>
      </c>
    </row>
    <row r="1096" spans="40:77" x14ac:dyDescent="0.3">
      <c r="AN1096" s="53"/>
      <c r="AO1096" s="24">
        <v>3</v>
      </c>
      <c r="AP1096" t="s">
        <v>2</v>
      </c>
      <c r="AQ1096" t="s">
        <v>3</v>
      </c>
      <c r="AR1096" t="s">
        <v>3</v>
      </c>
      <c r="AS1096" t="s">
        <v>2</v>
      </c>
      <c r="AT1096" t="s">
        <v>5</v>
      </c>
      <c r="AU1096" t="s">
        <v>2</v>
      </c>
      <c r="AV1096" t="s">
        <v>5</v>
      </c>
      <c r="AW1096" t="s">
        <v>2</v>
      </c>
      <c r="AX1096" t="s">
        <v>3</v>
      </c>
      <c r="AY1096" t="s">
        <v>4</v>
      </c>
      <c r="AZ1096" t="s">
        <v>4</v>
      </c>
      <c r="BA1096" t="s">
        <v>5</v>
      </c>
      <c r="BB1096" t="s">
        <v>5</v>
      </c>
      <c r="BC1096" t="s">
        <v>4</v>
      </c>
      <c r="BD1096" t="s">
        <v>5</v>
      </c>
      <c r="BE1096" t="s">
        <v>5</v>
      </c>
      <c r="BF1096" t="s">
        <v>5</v>
      </c>
      <c r="BG1096" t="s">
        <v>5</v>
      </c>
      <c r="BH1096" t="s">
        <v>5</v>
      </c>
      <c r="BI1096" t="s">
        <v>4</v>
      </c>
      <c r="BJ1096" t="s">
        <v>3</v>
      </c>
      <c r="BK1096" t="s">
        <v>4</v>
      </c>
      <c r="BL1096" t="s">
        <v>4</v>
      </c>
      <c r="BM1096" t="s">
        <v>4</v>
      </c>
      <c r="BN1096" t="s">
        <v>4</v>
      </c>
      <c r="BO1096" t="s">
        <v>4</v>
      </c>
      <c r="BP1096" t="s">
        <v>4</v>
      </c>
      <c r="BQ1096" t="s">
        <v>4</v>
      </c>
      <c r="BR1096" t="s">
        <v>4</v>
      </c>
      <c r="BS1096" t="s">
        <v>4</v>
      </c>
      <c r="BT1096" t="s">
        <v>4</v>
      </c>
      <c r="BU1096" t="s">
        <v>3</v>
      </c>
      <c r="BV1096" t="s">
        <v>4</v>
      </c>
      <c r="BW1096" t="s">
        <v>4</v>
      </c>
      <c r="BX1096" t="s">
        <v>3</v>
      </c>
      <c r="BY1096" t="s">
        <v>4</v>
      </c>
    </row>
    <row r="1097" spans="40:77" x14ac:dyDescent="0.3">
      <c r="AN1097" t="s">
        <v>1026</v>
      </c>
      <c r="AZ1097"/>
      <c r="BA1097"/>
      <c r="BB1097"/>
      <c r="BC1097"/>
      <c r="BD1097"/>
      <c r="BE1097"/>
      <c r="BF1097"/>
    </row>
    <row r="1098" spans="40:77" x14ac:dyDescent="0.3">
      <c r="AN1098" s="3" t="s">
        <v>355</v>
      </c>
      <c r="AO1098">
        <f>AV18*AT29*AT34*AT40*AT47*AT54*AT59*AT66*AT71*AT76*AT81*AT87*AT96*AT102*AT105*AT114*AT120*AT126*AT132*AT138*AT141*AT148*AT153*AT159*AT163*AT167*AT171*AT175*AT179*AT183*AT187*AT191*AT196*AT199*AT203*AT208*AT211</f>
        <v>0</v>
      </c>
      <c r="AZ1098"/>
      <c r="BA1098"/>
      <c r="BB1098"/>
      <c r="BC1098"/>
      <c r="BD1098"/>
      <c r="BE1098"/>
      <c r="BF1098"/>
    </row>
    <row r="1099" spans="40:77" x14ac:dyDescent="0.3">
      <c r="AN1099" t="s">
        <v>1025</v>
      </c>
      <c r="AZ1099"/>
      <c r="BA1099"/>
      <c r="BB1099"/>
      <c r="BC1099"/>
      <c r="BD1099"/>
      <c r="BE1099"/>
      <c r="BF1099"/>
    </row>
    <row r="1100" spans="40:77" x14ac:dyDescent="0.3">
      <c r="AN1100" s="3" t="s">
        <v>355</v>
      </c>
      <c r="AO1100">
        <f>AV19*AU29*AU34*AU40*AU47*AU54*AU59*AU66*AU71*AU76*AU81*AU87*AU96*AU102*AU105*AU114*AU120*AU126*AU132*AU138*AU141*AU148*AU153*AU159*AU163*AU167*AU171*AU175*AU179*AU183*AU187*AU191*AU196*AU199*AU203*AU208*AU211</f>
        <v>0</v>
      </c>
      <c r="AZ1100"/>
      <c r="BA1100"/>
      <c r="BB1100"/>
      <c r="BC1100"/>
      <c r="BD1100"/>
      <c r="BE1100"/>
      <c r="BF1100"/>
    </row>
    <row r="1101" spans="40:77" x14ac:dyDescent="0.3">
      <c r="AN1101" t="s">
        <v>1024</v>
      </c>
      <c r="AZ1101"/>
      <c r="BA1101"/>
      <c r="BB1101"/>
      <c r="BC1101"/>
      <c r="BD1101"/>
      <c r="BE1101"/>
      <c r="BF1101"/>
    </row>
    <row r="1102" spans="40:77" x14ac:dyDescent="0.3">
      <c r="AN1102" s="3" t="s">
        <v>355</v>
      </c>
      <c r="AO1102">
        <f>AV20*AV29*AV34*AV40*AV47*AV54*AV59*AV66*AV71*AV76*AV81*AV87*AV96*AV102*AV105*AV114*AV120*AV126*AV132*AV138*AV141*AV148*AV153*AV159*AV163*AV167*AV171*AV175*AV179*AV183*AV187*AV191*AV196*AV199*AV203*AV208*AV211</f>
        <v>2.6547069911040009E-12</v>
      </c>
      <c r="AZ1102"/>
      <c r="BA1102"/>
      <c r="BB1102"/>
      <c r="BC1102"/>
      <c r="BD1102"/>
      <c r="BE1102"/>
      <c r="BF1102"/>
    </row>
    <row r="1103" spans="40:77" x14ac:dyDescent="0.3">
      <c r="AN1103" t="s">
        <v>1023</v>
      </c>
      <c r="AZ1103"/>
      <c r="BA1103"/>
      <c r="BB1103"/>
      <c r="BC1103"/>
      <c r="BD1103"/>
      <c r="BE1103"/>
      <c r="BF1103"/>
    </row>
    <row r="1104" spans="40:77" x14ac:dyDescent="0.3">
      <c r="AN1104" s="3" t="s">
        <v>355</v>
      </c>
      <c r="AO1104">
        <f>AV21*AW29*AW34*AW40*AW47*AW54*AW59*AW66*AW71*AW76*AW81*AW87*AW96*AW102*AW105*AW114*AW120*AW126*AW132*AW138*AW141*AW148*AW153*AW159*AW163*AW167*AW171*AW175*AW179*AW183*AW187*AW191*AW196*AW199*AW203*AW208*AW211</f>
        <v>0</v>
      </c>
      <c r="AZ1104"/>
      <c r="BA1104"/>
      <c r="BB1104"/>
      <c r="BC1104"/>
      <c r="BD1104"/>
      <c r="BE1104"/>
      <c r="BF1104"/>
    </row>
    <row r="1105" spans="40:77" x14ac:dyDescent="0.3">
      <c r="AN1105" t="s">
        <v>1021</v>
      </c>
      <c r="AZ1105"/>
      <c r="BA1105"/>
      <c r="BB1105"/>
      <c r="BC1105"/>
      <c r="BD1105"/>
      <c r="BE1105"/>
      <c r="BF1105"/>
    </row>
    <row r="1106" spans="40:77" x14ac:dyDescent="0.3">
      <c r="AN1106" s="3" t="s">
        <v>355</v>
      </c>
      <c r="AO1106">
        <f>AV22*AX29*AX34*AX40*AX47*AX54*AX59*AX66*AX71*AX76*AX81*AX87*AX96*AX102*AX105*AX114*AX120*AX126*AX132*AX138*AX141*AX148*AX153*AX159*AX163*AX167*AX171*AX175*AX179*AX183*AX187*AX191*AX196*AX199*AX203*AX208*AX211</f>
        <v>0</v>
      </c>
      <c r="AZ1106"/>
      <c r="BA1106"/>
      <c r="BB1106"/>
      <c r="BC1106"/>
      <c r="BD1106"/>
      <c r="BE1106"/>
      <c r="BF1106"/>
    </row>
    <row r="1107" spans="40:77" x14ac:dyDescent="0.3">
      <c r="AN1107" t="s">
        <v>1022</v>
      </c>
      <c r="AZ1107"/>
      <c r="BA1107"/>
      <c r="BB1107"/>
      <c r="BC1107"/>
      <c r="BD1107"/>
      <c r="BE1107"/>
      <c r="BF1107"/>
    </row>
    <row r="1108" spans="40:77" x14ac:dyDescent="0.3">
      <c r="AN1108" s="3" t="s">
        <v>355</v>
      </c>
      <c r="AO1108">
        <f>AV23*AY29*AY34*AY40*AY47*AY54*AY59*AY66*AY71*AY76*AY81*AY87*AY96*AY102*AY105*AY114*AY120*AY126*AY132*AY138*AY141*AY148*AY153*AY159*AY163*AY167*AY171*AY175*AY179*AY183*AY187*AY191*AY196*AY199*AY203*AY208*AY211</f>
        <v>0</v>
      </c>
      <c r="AZ1108"/>
      <c r="BA1108"/>
      <c r="BB1108"/>
      <c r="BC1108"/>
      <c r="BD1108"/>
      <c r="BE1108"/>
      <c r="BF1108"/>
    </row>
    <row r="1109" spans="40:77" x14ac:dyDescent="0.3">
      <c r="AN1109" s="24" t="s">
        <v>901</v>
      </c>
      <c r="AO1109" t="s">
        <v>374</v>
      </c>
      <c r="AP1109" s="25" t="s">
        <v>405</v>
      </c>
      <c r="AZ1109"/>
      <c r="BA1109"/>
      <c r="BB1109"/>
      <c r="BC1109"/>
      <c r="BD1109"/>
      <c r="BE1109"/>
      <c r="BF1109"/>
    </row>
    <row r="1111" spans="40:77" x14ac:dyDescent="0.3">
      <c r="AN1111" s="53" t="s">
        <v>902</v>
      </c>
      <c r="AO1111" s="24" t="s">
        <v>71</v>
      </c>
      <c r="AP1111" s="1" t="s">
        <v>50</v>
      </c>
      <c r="AQ1111" s="1" t="s">
        <v>51</v>
      </c>
      <c r="AR1111" s="1" t="s">
        <v>52</v>
      </c>
      <c r="AS1111" s="1" t="s">
        <v>53</v>
      </c>
      <c r="AT1111" s="1" t="s">
        <v>54</v>
      </c>
      <c r="AU1111" s="1" t="s">
        <v>55</v>
      </c>
      <c r="AV1111" s="1" t="s">
        <v>56</v>
      </c>
      <c r="AW1111" s="1" t="s">
        <v>57</v>
      </c>
      <c r="AX1111" s="1" t="s">
        <v>58</v>
      </c>
      <c r="AY1111" s="1" t="s">
        <v>59</v>
      </c>
      <c r="AZ1111" s="1" t="s">
        <v>60</v>
      </c>
      <c r="BA1111" s="1" t="s">
        <v>61</v>
      </c>
      <c r="BB1111" s="1" t="s">
        <v>62</v>
      </c>
      <c r="BC1111" s="1" t="s">
        <v>63</v>
      </c>
      <c r="BD1111" s="1" t="s">
        <v>64</v>
      </c>
      <c r="BE1111" s="1" t="s">
        <v>65</v>
      </c>
      <c r="BF1111" s="1" t="s">
        <v>66</v>
      </c>
      <c r="BG1111" s="1" t="s">
        <v>67</v>
      </c>
      <c r="BH1111" s="1" t="s">
        <v>68</v>
      </c>
      <c r="BI1111" s="1" t="s">
        <v>69</v>
      </c>
      <c r="BJ1111" s="1" t="s">
        <v>70</v>
      </c>
      <c r="BK1111" s="1" t="s">
        <v>929</v>
      </c>
      <c r="BL1111" s="1" t="s">
        <v>930</v>
      </c>
      <c r="BM1111" s="1" t="s">
        <v>931</v>
      </c>
      <c r="BN1111" s="1" t="s">
        <v>932</v>
      </c>
      <c r="BO1111" s="1" t="s">
        <v>933</v>
      </c>
      <c r="BP1111" s="1" t="s">
        <v>934</v>
      </c>
      <c r="BQ1111" s="1" t="s">
        <v>935</v>
      </c>
      <c r="BR1111" s="1" t="s">
        <v>936</v>
      </c>
      <c r="BS1111" s="1" t="s">
        <v>937</v>
      </c>
      <c r="BT1111" s="1" t="s">
        <v>938</v>
      </c>
      <c r="BU1111" s="1" t="s">
        <v>939</v>
      </c>
      <c r="BV1111" s="1" t="s">
        <v>940</v>
      </c>
      <c r="BW1111" s="1" t="s">
        <v>941</v>
      </c>
      <c r="BX1111" s="1" t="s">
        <v>942</v>
      </c>
      <c r="BY1111" s="1" t="s">
        <v>1008</v>
      </c>
    </row>
    <row r="1112" spans="40:77" x14ac:dyDescent="0.3">
      <c r="AN1112" s="53"/>
      <c r="AO1112" s="24">
        <v>3</v>
      </c>
      <c r="AP1112" t="s">
        <v>5</v>
      </c>
      <c r="AQ1112" t="s">
        <v>3</v>
      </c>
      <c r="AR1112" t="s">
        <v>3</v>
      </c>
      <c r="AS1112" t="s">
        <v>5</v>
      </c>
      <c r="AT1112" t="s">
        <v>5</v>
      </c>
      <c r="AU1112" t="s">
        <v>5</v>
      </c>
      <c r="AV1112" t="s">
        <v>2</v>
      </c>
      <c r="AW1112" t="s">
        <v>2</v>
      </c>
      <c r="AX1112" t="s">
        <v>3</v>
      </c>
      <c r="AY1112" t="s">
        <v>3</v>
      </c>
      <c r="AZ1112" t="s">
        <v>4</v>
      </c>
      <c r="BA1112" t="s">
        <v>5</v>
      </c>
      <c r="BB1112" t="s">
        <v>2</v>
      </c>
      <c r="BC1112" t="s">
        <v>3</v>
      </c>
      <c r="BD1112" t="s">
        <v>2</v>
      </c>
      <c r="BE1112" t="s">
        <v>5</v>
      </c>
      <c r="BF1112" t="s">
        <v>5</v>
      </c>
      <c r="BG1112" t="s">
        <v>5</v>
      </c>
      <c r="BH1112" t="s">
        <v>5</v>
      </c>
      <c r="BI1112" t="s">
        <v>4</v>
      </c>
      <c r="BJ1112" t="s">
        <v>3</v>
      </c>
      <c r="BK1112" t="s">
        <v>3</v>
      </c>
      <c r="BL1112" t="s">
        <v>3</v>
      </c>
      <c r="BM1112" t="s">
        <v>4</v>
      </c>
      <c r="BN1112" t="s">
        <v>4</v>
      </c>
      <c r="BO1112" t="s">
        <v>4</v>
      </c>
      <c r="BP1112" t="s">
        <v>4</v>
      </c>
      <c r="BQ1112" t="s">
        <v>4</v>
      </c>
      <c r="BR1112" t="s">
        <v>4</v>
      </c>
      <c r="BS1112" t="s">
        <v>3</v>
      </c>
      <c r="BT1112" t="s">
        <v>4</v>
      </c>
      <c r="BU1112" t="s">
        <v>3</v>
      </c>
      <c r="BV1112" t="s">
        <v>4</v>
      </c>
      <c r="BW1112" t="s">
        <v>4</v>
      </c>
      <c r="BX1112" t="s">
        <v>3</v>
      </c>
      <c r="BY1112" t="s">
        <v>3</v>
      </c>
    </row>
    <row r="1113" spans="40:77" x14ac:dyDescent="0.3">
      <c r="AN1113" t="s">
        <v>1039</v>
      </c>
      <c r="AZ1113"/>
      <c r="BA1113"/>
      <c r="BB1113"/>
      <c r="BC1113"/>
      <c r="BD1113"/>
      <c r="BE1113"/>
      <c r="BF1113"/>
    </row>
    <row r="1114" spans="40:77" x14ac:dyDescent="0.3">
      <c r="AN1114" s="3" t="s">
        <v>355</v>
      </c>
      <c r="AO1114">
        <f>AV18*AT30*AT34*AT40*AT48*AT54*AT60*AT65*AT71*AT76*AT82*AT87*AT96*AT101*AT106*AT113*AT120*AT126*AT132*AT138*AT141*AT148*AT154*AT160*AT163*AT167*AT171*AT175*AT179*AT183*AT188*AT191*AT196*AT199*AT203*AT208*AT212</f>
        <v>0</v>
      </c>
      <c r="AZ1114"/>
      <c r="BA1114"/>
      <c r="BB1114"/>
      <c r="BC1114"/>
      <c r="BD1114"/>
      <c r="BE1114"/>
      <c r="BF1114"/>
    </row>
    <row r="1115" spans="40:77" x14ac:dyDescent="0.3">
      <c r="AN1115" t="s">
        <v>1040</v>
      </c>
      <c r="AZ1115"/>
      <c r="BA1115"/>
      <c r="BB1115"/>
      <c r="BC1115"/>
      <c r="BD1115"/>
      <c r="BE1115"/>
      <c r="BF1115"/>
    </row>
    <row r="1116" spans="40:77" x14ac:dyDescent="0.3">
      <c r="AN1116" s="3" t="s">
        <v>355</v>
      </c>
      <c r="AO1116">
        <f>AV19*AU30*AU34*AU40*AU48*AU54*AU60*AU65*AU71*AU76*AU82*AU87*AU96*AU101*AU106*AU113*AU120*AU126*AU132*AU138*AU141*AU148*AU154*AU160*AU163*AU167*AU171*AU175*AU179*AU183*AU188*AU191*AU196*AU199*AU203*AU208*AU212</f>
        <v>0</v>
      </c>
      <c r="AZ1116"/>
      <c r="BA1116"/>
      <c r="BB1116"/>
      <c r="BC1116"/>
      <c r="BD1116"/>
      <c r="BE1116"/>
      <c r="BF1116"/>
    </row>
    <row r="1117" spans="40:77" x14ac:dyDescent="0.3">
      <c r="AN1117" t="s">
        <v>1041</v>
      </c>
      <c r="AZ1117"/>
      <c r="BA1117"/>
      <c r="BB1117"/>
      <c r="BC1117"/>
      <c r="BD1117"/>
      <c r="BE1117"/>
      <c r="BF1117"/>
    </row>
    <row r="1118" spans="40:77" x14ac:dyDescent="0.3">
      <c r="AN1118" s="3" t="s">
        <v>355</v>
      </c>
      <c r="AO1118">
        <f>AV20*AV30*AV34*AV40*AV48*AV54*AV60*AV65*AV71*AV76*AV82*AV87*AV96*AV101*AV106*AV113*AV120*AV126*AV132*AV138*AV141*AV148*AV154*AV160*AV163*AV167*AV171*AV175*AV179*AV183*AV188*AV191*AV196*AV199*AV203*AV208*AV212</f>
        <v>2.7093939551207424E-7</v>
      </c>
      <c r="AZ1118"/>
      <c r="BA1118"/>
      <c r="BB1118"/>
      <c r="BC1118"/>
      <c r="BD1118"/>
      <c r="BE1118"/>
      <c r="BF1118"/>
    </row>
    <row r="1119" spans="40:77" x14ac:dyDescent="0.3">
      <c r="AN1119" t="s">
        <v>1042</v>
      </c>
      <c r="AZ1119"/>
      <c r="BA1119"/>
      <c r="BB1119"/>
      <c r="BC1119"/>
      <c r="BD1119"/>
      <c r="BE1119"/>
      <c r="BF1119"/>
    </row>
    <row r="1120" spans="40:77" x14ac:dyDescent="0.3">
      <c r="AN1120" s="3" t="s">
        <v>355</v>
      </c>
      <c r="AO1120">
        <f>AV21*AW30*AW34*AW40*AW48*AW54*AW60*AW65*AW71*AW76*AW82*AW87*AW96*AW101*AW106*AW113*AW120*AW126*AW132*AW138*AW141*AW148*AW154*AW160*AW163*AW167*AW171*AW175*AW179*AW183*AW188*AW191*AW196*AW199*AW203*AW208*AW212</f>
        <v>0</v>
      </c>
      <c r="AZ1120"/>
      <c r="BA1120"/>
      <c r="BB1120"/>
      <c r="BC1120"/>
      <c r="BD1120"/>
      <c r="BE1120"/>
      <c r="BF1120"/>
    </row>
    <row r="1121" spans="40:77" x14ac:dyDescent="0.3">
      <c r="AN1121" t="s">
        <v>1043</v>
      </c>
      <c r="AZ1121"/>
      <c r="BA1121"/>
      <c r="BB1121"/>
      <c r="BC1121"/>
      <c r="BD1121"/>
      <c r="BE1121"/>
      <c r="BF1121"/>
    </row>
    <row r="1122" spans="40:77" x14ac:dyDescent="0.3">
      <c r="AN1122" s="3" t="s">
        <v>355</v>
      </c>
      <c r="AO1122">
        <f>AV22*AX30*AX34*AX40*AX48*AX54*AX60*AX65*AX71*AX76*AX82*AX87*AX96*AX101*AX106*AX113*AX120*AX126*AX132*AX138*AX141*AX148*AX154*AX160*AX163*AX167*AX171*AX175*AX179*AX183*AX188*AX191*AX196*AX199*AX203*AX208*AX212</f>
        <v>0</v>
      </c>
      <c r="AZ1122"/>
      <c r="BA1122"/>
      <c r="BB1122"/>
      <c r="BC1122"/>
      <c r="BD1122"/>
      <c r="BE1122"/>
      <c r="BF1122"/>
    </row>
    <row r="1123" spans="40:77" x14ac:dyDescent="0.3">
      <c r="AN1123" t="s">
        <v>1044</v>
      </c>
      <c r="AZ1123"/>
      <c r="BA1123"/>
      <c r="BB1123"/>
      <c r="BC1123"/>
      <c r="BD1123"/>
      <c r="BE1123"/>
      <c r="BF1123"/>
    </row>
    <row r="1124" spans="40:77" x14ac:dyDescent="0.3">
      <c r="AN1124" s="3" t="s">
        <v>355</v>
      </c>
      <c r="AO1124">
        <f>AV23*AY30*AY34*AY40*AY48*AY54*AY60*AY65*AY71*AY76*AY82*AY87*AY96*AY101*AY106*AY113*AY120*AY126*AY132*AY138*AY141*AY148*AY154*AY160*AY163*AY167*AY171*AY175*AY179*AY183*AY188*AY191*AY196*AY199*AY203*AY208*AY212</f>
        <v>0</v>
      </c>
      <c r="AZ1124"/>
      <c r="BA1124"/>
      <c r="BB1124"/>
      <c r="BC1124"/>
      <c r="BD1124"/>
      <c r="BE1124"/>
      <c r="BF1124"/>
    </row>
    <row r="1125" spans="40:77" x14ac:dyDescent="0.3">
      <c r="AN1125" s="36" t="s">
        <v>893</v>
      </c>
      <c r="AO1125" t="s">
        <v>374</v>
      </c>
      <c r="AP1125" s="25" t="s">
        <v>379</v>
      </c>
      <c r="AZ1125"/>
      <c r="BA1125"/>
      <c r="BB1125"/>
      <c r="BC1125"/>
      <c r="BD1125"/>
      <c r="BE1125"/>
      <c r="BF1125"/>
    </row>
    <row r="1127" spans="40:77" x14ac:dyDescent="0.3">
      <c r="AN1127" s="53" t="s">
        <v>903</v>
      </c>
      <c r="AO1127" s="24" t="s">
        <v>71</v>
      </c>
      <c r="AP1127" s="1" t="s">
        <v>50</v>
      </c>
      <c r="AQ1127" s="1" t="s">
        <v>51</v>
      </c>
      <c r="AR1127" s="1" t="s">
        <v>52</v>
      </c>
      <c r="AS1127" s="1" t="s">
        <v>53</v>
      </c>
      <c r="AT1127" s="1" t="s">
        <v>54</v>
      </c>
      <c r="AU1127" s="1" t="s">
        <v>55</v>
      </c>
      <c r="AV1127" s="1" t="s">
        <v>56</v>
      </c>
      <c r="AW1127" s="1" t="s">
        <v>57</v>
      </c>
      <c r="AX1127" s="1" t="s">
        <v>58</v>
      </c>
      <c r="AY1127" s="1" t="s">
        <v>59</v>
      </c>
      <c r="AZ1127" s="1" t="s">
        <v>60</v>
      </c>
      <c r="BA1127" s="1" t="s">
        <v>61</v>
      </c>
      <c r="BB1127" s="1" t="s">
        <v>62</v>
      </c>
      <c r="BC1127" s="1" t="s">
        <v>63</v>
      </c>
      <c r="BD1127" s="1" t="s">
        <v>64</v>
      </c>
      <c r="BE1127" s="1" t="s">
        <v>65</v>
      </c>
      <c r="BF1127" s="1" t="s">
        <v>66</v>
      </c>
      <c r="BG1127" s="1" t="s">
        <v>67</v>
      </c>
      <c r="BH1127" s="1" t="s">
        <v>68</v>
      </c>
      <c r="BI1127" s="1" t="s">
        <v>69</v>
      </c>
      <c r="BJ1127" s="1" t="s">
        <v>70</v>
      </c>
      <c r="BK1127" s="1" t="s">
        <v>929</v>
      </c>
      <c r="BL1127" s="1" t="s">
        <v>930</v>
      </c>
      <c r="BM1127" s="1" t="s">
        <v>931</v>
      </c>
      <c r="BN1127" s="1" t="s">
        <v>932</v>
      </c>
      <c r="BO1127" s="1" t="s">
        <v>933</v>
      </c>
      <c r="BP1127" s="1" t="s">
        <v>934</v>
      </c>
      <c r="BQ1127" s="1" t="s">
        <v>935</v>
      </c>
      <c r="BR1127" s="1" t="s">
        <v>936</v>
      </c>
      <c r="BS1127" s="1" t="s">
        <v>937</v>
      </c>
      <c r="BT1127" s="1" t="s">
        <v>938</v>
      </c>
      <c r="BU1127" s="1" t="s">
        <v>939</v>
      </c>
      <c r="BV1127" s="1" t="s">
        <v>940</v>
      </c>
      <c r="BW1127" s="1" t="s">
        <v>941</v>
      </c>
      <c r="BX1127" s="1" t="s">
        <v>942</v>
      </c>
      <c r="BY1127" s="1" t="s">
        <v>1008</v>
      </c>
    </row>
    <row r="1128" spans="40:77" x14ac:dyDescent="0.3">
      <c r="AN1128" s="53"/>
      <c r="AO1128" s="24">
        <v>4</v>
      </c>
      <c r="AP1128" t="s">
        <v>5</v>
      </c>
      <c r="AQ1128" t="s">
        <v>3</v>
      </c>
      <c r="AR1128" t="s">
        <v>3</v>
      </c>
      <c r="AS1128" t="s">
        <v>5</v>
      </c>
      <c r="AT1128" t="s">
        <v>5</v>
      </c>
      <c r="AU1128" t="s">
        <v>5</v>
      </c>
      <c r="AV1128" t="s">
        <v>5</v>
      </c>
      <c r="AW1128" t="s">
        <v>2</v>
      </c>
      <c r="AX1128" t="s">
        <v>2</v>
      </c>
      <c r="AY1128" t="s">
        <v>4</v>
      </c>
      <c r="AZ1128" t="s">
        <v>4</v>
      </c>
      <c r="BA1128" t="s">
        <v>5</v>
      </c>
      <c r="BB1128" t="s">
        <v>5</v>
      </c>
      <c r="BC1128" t="s">
        <v>3</v>
      </c>
      <c r="BD1128" t="s">
        <v>2</v>
      </c>
      <c r="BE1128" t="s">
        <v>5</v>
      </c>
      <c r="BF1128" t="s">
        <v>5</v>
      </c>
      <c r="BG1128" t="s">
        <v>5</v>
      </c>
      <c r="BH1128" t="s">
        <v>4</v>
      </c>
      <c r="BI1128" t="s">
        <v>4</v>
      </c>
      <c r="BJ1128" t="s">
        <v>4</v>
      </c>
      <c r="BK1128" t="s">
        <v>2</v>
      </c>
      <c r="BL1128" t="s">
        <v>3</v>
      </c>
      <c r="BM1128" t="s">
        <v>4</v>
      </c>
      <c r="BN1128" t="s">
        <v>4</v>
      </c>
      <c r="BO1128" t="s">
        <v>4</v>
      </c>
      <c r="BP1128" t="s">
        <v>4</v>
      </c>
      <c r="BQ1128" t="s">
        <v>4</v>
      </c>
      <c r="BR1128" t="s">
        <v>4</v>
      </c>
      <c r="BS1128" t="s">
        <v>3</v>
      </c>
      <c r="BT1128" t="s">
        <v>4</v>
      </c>
      <c r="BU1128" t="s">
        <v>3</v>
      </c>
      <c r="BV1128" t="s">
        <v>3</v>
      </c>
      <c r="BW1128" t="s">
        <v>4</v>
      </c>
      <c r="BX1128" t="s">
        <v>4</v>
      </c>
      <c r="BY1128" t="s">
        <v>3</v>
      </c>
    </row>
    <row r="1129" spans="40:77" x14ac:dyDescent="0.3">
      <c r="AN1129" t="s">
        <v>1045</v>
      </c>
      <c r="AZ1129"/>
      <c r="BA1129"/>
      <c r="BB1129"/>
      <c r="BC1129"/>
      <c r="BD1129"/>
      <c r="BE1129"/>
      <c r="BF1129"/>
    </row>
    <row r="1130" spans="40:77" x14ac:dyDescent="0.3">
      <c r="AN1130" s="3" t="s">
        <v>355</v>
      </c>
      <c r="AO1130">
        <f>AV18*AT30*AT34*AT40*AT48*AT54*AT60*AT66*AT71*AT77*AT81*AT87*AT96*AT102*AT106*AT113*AT120*AT126*AT132*AT135*AT141*AT147*AT155*AT160*AT163*AT167*AT171*AT175*AT179*AT183*AT188*AT191*AT196*AT200*AT203*AT207*AT212</f>
        <v>0</v>
      </c>
      <c r="AZ1130"/>
      <c r="BA1130"/>
      <c r="BB1130"/>
      <c r="BC1130"/>
      <c r="BD1130"/>
      <c r="BE1130"/>
      <c r="BF1130"/>
    </row>
    <row r="1131" spans="40:77" x14ac:dyDescent="0.3">
      <c r="AN1131" t="s">
        <v>1050</v>
      </c>
      <c r="AZ1131"/>
      <c r="BA1131"/>
      <c r="BB1131"/>
      <c r="BC1131"/>
      <c r="BD1131"/>
      <c r="BE1131"/>
      <c r="BF1131"/>
    </row>
    <row r="1132" spans="40:77" x14ac:dyDescent="0.3">
      <c r="AN1132" s="3" t="s">
        <v>355</v>
      </c>
      <c r="AO1132">
        <f>AV19*AU30*AU34*AU40*AU48*AU54*AU60*AU66*AU71*AU77*AU81*AU87*AU96*AU102*AU106*AU113*AU120*AU126*AU132*AU135*AU141*AU147*AU155*AU160*AU163*AU167*AU171*AU175*AU179*AU183*AU188*AU191*AU196*AU200*AU203*AU207*AU212</f>
        <v>0</v>
      </c>
      <c r="AZ1132"/>
      <c r="BA1132"/>
      <c r="BB1132"/>
      <c r="BC1132"/>
      <c r="BD1132"/>
      <c r="BE1132"/>
      <c r="BF1132"/>
    </row>
    <row r="1133" spans="40:77" x14ac:dyDescent="0.3">
      <c r="AN1133" t="s">
        <v>1049</v>
      </c>
      <c r="AZ1133"/>
      <c r="BA1133"/>
      <c r="BB1133"/>
      <c r="BC1133"/>
      <c r="BD1133"/>
      <c r="BE1133"/>
      <c r="BF1133"/>
    </row>
    <row r="1134" spans="40:77" x14ac:dyDescent="0.3">
      <c r="AN1134" s="3" t="s">
        <v>355</v>
      </c>
      <c r="AO1134">
        <f>AV20*AV30*AV34*AV40*AV48*AV54*AV60*AV66*AV71*AV77*AV81*AV87*AV96*AV102*AV106*AV113*AV120*AV126*AV132*AV135*AV141*AV147*AV155*AV160*AV163*AV167*AV171*AV175*AV179*AV183*AV188*AV191*AV196*AV200*AV203*AV207*AV212</f>
        <v>0</v>
      </c>
      <c r="AZ1134"/>
      <c r="BA1134"/>
      <c r="BB1134"/>
      <c r="BC1134"/>
      <c r="BD1134"/>
      <c r="BE1134"/>
      <c r="BF1134"/>
    </row>
    <row r="1135" spans="40:77" x14ac:dyDescent="0.3">
      <c r="AN1135" t="s">
        <v>1048</v>
      </c>
      <c r="AZ1135"/>
      <c r="BA1135"/>
      <c r="BB1135"/>
      <c r="BC1135"/>
      <c r="BD1135"/>
      <c r="BE1135"/>
      <c r="BF1135"/>
    </row>
    <row r="1136" spans="40:77" x14ac:dyDescent="0.3">
      <c r="AN1136" s="3" t="s">
        <v>355</v>
      </c>
      <c r="AO1136">
        <f>AV21*AW30*AW34*AW40*AW48*AW54*AW60*AW66*AW71*AW77*AW81*AW87*AW96*AW102*AW106*AW113*AW120*AW126*AW132*AW135*AW141*AW147*AW155*AW160*AW163*AW167*AW171*AW175*AW179*AW183*AW188*AW191*AW196*AW200*AW203*AW207*AW212</f>
        <v>7.5260943197798415E-7</v>
      </c>
      <c r="AZ1136"/>
      <c r="BA1136"/>
      <c r="BB1136"/>
      <c r="BC1136"/>
      <c r="BD1136"/>
      <c r="BE1136"/>
      <c r="BF1136"/>
    </row>
    <row r="1137" spans="40:77" x14ac:dyDescent="0.3">
      <c r="AN1137" t="s">
        <v>1047</v>
      </c>
      <c r="AZ1137"/>
      <c r="BA1137"/>
      <c r="BB1137"/>
      <c r="BC1137"/>
      <c r="BD1137"/>
      <c r="BE1137"/>
      <c r="BF1137"/>
    </row>
    <row r="1138" spans="40:77" x14ac:dyDescent="0.3">
      <c r="AN1138" s="3" t="s">
        <v>355</v>
      </c>
      <c r="AO1138">
        <f>AV22*AX30*AX34*AX40*AX48*AX54*AX60*AX66*AX71*AX77*AX81*AX87*AX96*AX102*AX106*AX113*AX120*AX126*AX132*AX135*AX141*AX147*AX155*AX160*AX163*AX167*AX171*AX175*AX179*AX183*AX188*AX191*AX196*AX200*AX203*AX207*AX212</f>
        <v>9.7519848652799995E-10</v>
      </c>
      <c r="AZ1138"/>
      <c r="BA1138"/>
      <c r="BB1138"/>
      <c r="BC1138"/>
      <c r="BD1138"/>
      <c r="BE1138"/>
      <c r="BF1138"/>
    </row>
    <row r="1139" spans="40:77" x14ac:dyDescent="0.3">
      <c r="AN1139" t="s">
        <v>1046</v>
      </c>
      <c r="AZ1139"/>
      <c r="BA1139"/>
      <c r="BB1139"/>
      <c r="BC1139"/>
      <c r="BD1139"/>
      <c r="BE1139"/>
      <c r="BF1139"/>
    </row>
    <row r="1140" spans="40:77" x14ac:dyDescent="0.3">
      <c r="AN1140" s="3" t="s">
        <v>355</v>
      </c>
      <c r="AO1140">
        <f>AV23*AY30*AY34*AY40*AY48*AY54*AY60*AY66*AY71*AY77*AY81*AY87*AY96*AY102*AY106*AY113*AY120*AY126*AY132*AY135*AY141*AY147*AY155*AY160*AY163*AY167*AY171*AY175*AY179*AY183*AY188*AY191*AY196*AY200*AY203*AY207*AY212</f>
        <v>8.7394211416374678E-9</v>
      </c>
      <c r="AZ1140"/>
      <c r="BA1140"/>
      <c r="BB1140"/>
      <c r="BC1140"/>
      <c r="BD1140"/>
      <c r="BE1140"/>
      <c r="BF1140"/>
    </row>
    <row r="1141" spans="40:77" x14ac:dyDescent="0.3">
      <c r="AN1141" s="24" t="s">
        <v>893</v>
      </c>
      <c r="AO1141" t="s">
        <v>554</v>
      </c>
      <c r="AP1141" s="26" t="s">
        <v>381</v>
      </c>
      <c r="AZ1141"/>
      <c r="BA1141"/>
      <c r="BB1141"/>
      <c r="BC1141"/>
      <c r="BD1141"/>
      <c r="BE1141"/>
      <c r="BF1141"/>
    </row>
    <row r="1143" spans="40:77" x14ac:dyDescent="0.3">
      <c r="AN1143" s="53" t="s">
        <v>904</v>
      </c>
      <c r="AO1143" s="24" t="s">
        <v>71</v>
      </c>
      <c r="AP1143" s="1" t="s">
        <v>50</v>
      </c>
      <c r="AQ1143" s="1" t="s">
        <v>51</v>
      </c>
      <c r="AR1143" s="1" t="s">
        <v>52</v>
      </c>
      <c r="AS1143" s="1" t="s">
        <v>53</v>
      </c>
      <c r="AT1143" s="1" t="s">
        <v>54</v>
      </c>
      <c r="AU1143" s="1" t="s">
        <v>55</v>
      </c>
      <c r="AV1143" s="1" t="s">
        <v>56</v>
      </c>
      <c r="AW1143" s="1" t="s">
        <v>57</v>
      </c>
      <c r="AX1143" s="1" t="s">
        <v>58</v>
      </c>
      <c r="AY1143" s="1" t="s">
        <v>59</v>
      </c>
      <c r="AZ1143" s="1" t="s">
        <v>60</v>
      </c>
      <c r="BA1143" s="1" t="s">
        <v>61</v>
      </c>
      <c r="BB1143" s="1" t="s">
        <v>62</v>
      </c>
      <c r="BC1143" s="1" t="s">
        <v>63</v>
      </c>
      <c r="BD1143" s="1" t="s">
        <v>64</v>
      </c>
      <c r="BE1143" s="1" t="s">
        <v>65</v>
      </c>
      <c r="BF1143" s="1" t="s">
        <v>66</v>
      </c>
      <c r="BG1143" s="1" t="s">
        <v>67</v>
      </c>
      <c r="BH1143" s="1" t="s">
        <v>68</v>
      </c>
      <c r="BI1143" s="1" t="s">
        <v>69</v>
      </c>
      <c r="BJ1143" s="1" t="s">
        <v>70</v>
      </c>
      <c r="BK1143" s="1" t="s">
        <v>929</v>
      </c>
      <c r="BL1143" s="1" t="s">
        <v>930</v>
      </c>
      <c r="BM1143" s="1" t="s">
        <v>931</v>
      </c>
      <c r="BN1143" s="1" t="s">
        <v>932</v>
      </c>
      <c r="BO1143" s="1" t="s">
        <v>933</v>
      </c>
      <c r="BP1143" s="1" t="s">
        <v>934</v>
      </c>
      <c r="BQ1143" s="1" t="s">
        <v>935</v>
      </c>
      <c r="BR1143" s="1" t="s">
        <v>936</v>
      </c>
      <c r="BS1143" s="1" t="s">
        <v>937</v>
      </c>
      <c r="BT1143" s="1" t="s">
        <v>938</v>
      </c>
      <c r="BU1143" s="1" t="s">
        <v>939</v>
      </c>
      <c r="BV1143" s="1" t="s">
        <v>940</v>
      </c>
      <c r="BW1143" s="1" t="s">
        <v>941</v>
      </c>
      <c r="BX1143" s="1" t="s">
        <v>942</v>
      </c>
      <c r="BY1143" s="1" t="s">
        <v>1008</v>
      </c>
    </row>
    <row r="1144" spans="40:77" x14ac:dyDescent="0.3">
      <c r="AN1144" s="53"/>
      <c r="AO1144" s="24">
        <v>4</v>
      </c>
      <c r="AP1144" t="s">
        <v>5</v>
      </c>
      <c r="AQ1144" t="s">
        <v>5</v>
      </c>
      <c r="AR1144" t="s">
        <v>2</v>
      </c>
      <c r="AS1144" t="s">
        <v>5</v>
      </c>
      <c r="AT1144" t="s">
        <v>5</v>
      </c>
      <c r="AU1144" t="s">
        <v>5</v>
      </c>
      <c r="AV1144" t="s">
        <v>5</v>
      </c>
      <c r="AW1144" t="s">
        <v>2</v>
      </c>
      <c r="AX1144" t="s">
        <v>2</v>
      </c>
      <c r="AY1144" t="s">
        <v>2</v>
      </c>
      <c r="AZ1144" t="s">
        <v>3</v>
      </c>
      <c r="BA1144" t="s">
        <v>5</v>
      </c>
      <c r="BB1144" t="s">
        <v>5</v>
      </c>
      <c r="BC1144" t="s">
        <v>2</v>
      </c>
      <c r="BD1144" t="s">
        <v>2</v>
      </c>
      <c r="BE1144" t="s">
        <v>5</v>
      </c>
      <c r="BF1144" t="s">
        <v>5</v>
      </c>
      <c r="BG1144" t="s">
        <v>5</v>
      </c>
      <c r="BH1144" t="s">
        <v>5</v>
      </c>
      <c r="BI1144" t="s">
        <v>3</v>
      </c>
      <c r="BJ1144" t="s">
        <v>3</v>
      </c>
      <c r="BK1144" t="s">
        <v>2</v>
      </c>
      <c r="BL1144" t="s">
        <v>3</v>
      </c>
      <c r="BM1144" t="s">
        <v>4</v>
      </c>
      <c r="BN1144" t="s">
        <v>4</v>
      </c>
      <c r="BO1144" t="s">
        <v>4</v>
      </c>
      <c r="BP1144" t="s">
        <v>4</v>
      </c>
      <c r="BQ1144" t="s">
        <v>4</v>
      </c>
      <c r="BR1144" t="s">
        <v>3</v>
      </c>
      <c r="BS1144" t="s">
        <v>3</v>
      </c>
      <c r="BT1144" t="s">
        <v>4</v>
      </c>
      <c r="BU1144" t="s">
        <v>3</v>
      </c>
      <c r="BV1144" t="s">
        <v>3</v>
      </c>
      <c r="BW1144" t="s">
        <v>4</v>
      </c>
      <c r="BX1144" t="s">
        <v>3</v>
      </c>
      <c r="BY1144" t="s">
        <v>3</v>
      </c>
    </row>
    <row r="1145" spans="40:77" x14ac:dyDescent="0.3">
      <c r="AN1145" t="s">
        <v>1056</v>
      </c>
      <c r="AZ1145"/>
      <c r="BA1145"/>
      <c r="BB1145"/>
      <c r="BC1145"/>
      <c r="BD1145"/>
      <c r="BE1145"/>
      <c r="BF1145"/>
    </row>
    <row r="1146" spans="40:77" x14ac:dyDescent="0.3">
      <c r="AN1146" s="3" t="s">
        <v>355</v>
      </c>
      <c r="AO1146">
        <f>AV18*AT30*AT36*AT41*AT48*AT54*AT60*AT66*AT71*AT77*AT83*AT88*AT96*AT102*AT107*AT113*AT120*AT126*AT132*AT138*AT142*AT148*AT155*AT160*AT163*AT167*AT171*AT175*AT179*AT184*AT188*AT191*AT196*AT200*AT203*AT208*AT212</f>
        <v>0</v>
      </c>
      <c r="AZ1146"/>
      <c r="BA1146"/>
      <c r="BB1146"/>
      <c r="BC1146"/>
      <c r="BD1146"/>
      <c r="BE1146"/>
      <c r="BF1146"/>
    </row>
    <row r="1147" spans="40:77" x14ac:dyDescent="0.3">
      <c r="AN1147" t="s">
        <v>1055</v>
      </c>
      <c r="AZ1147"/>
      <c r="BA1147"/>
      <c r="BB1147"/>
      <c r="BC1147"/>
      <c r="BD1147"/>
      <c r="BE1147"/>
      <c r="BF1147"/>
    </row>
    <row r="1148" spans="40:77" x14ac:dyDescent="0.3">
      <c r="AN1148" s="3" t="s">
        <v>355</v>
      </c>
      <c r="AO1148">
        <f>AV19*AU30*AU36*AU41*AU48*AU54*AU60*AU66*AU71*AU77*AU83*AU88*AU96*AU102*AU107*AU113*AU120*AU126*AU132*AU138*AU142*AU148*AU155*AU160*AU163*AU167*AU171*AU175*AU179*AU184*AU188*AU191*AU196*AU200*AU203*AU208*AU212</f>
        <v>0</v>
      </c>
      <c r="AZ1148"/>
      <c r="BA1148"/>
      <c r="BB1148"/>
      <c r="BC1148"/>
      <c r="BD1148"/>
      <c r="BE1148"/>
      <c r="BF1148"/>
    </row>
    <row r="1149" spans="40:77" x14ac:dyDescent="0.3">
      <c r="AN1149" t="s">
        <v>1054</v>
      </c>
      <c r="AZ1149"/>
      <c r="BA1149"/>
      <c r="BB1149"/>
      <c r="BC1149"/>
      <c r="BD1149"/>
      <c r="BE1149"/>
      <c r="BF1149"/>
    </row>
    <row r="1150" spans="40:77" x14ac:dyDescent="0.3">
      <c r="AN1150" s="3" t="s">
        <v>355</v>
      </c>
      <c r="AO1150">
        <f>AV20*AV30*AV36*AV41*AV48*AV54*AV60*AV66*AV71*AV77*AV83*AV88*AV96*AV102*AV107*AV113*AV120*AV126*AV132*AV138*AV142*AV148*AV155*AV160*AV163*AV167*AV171*AV175*AV179*AV184*AV188*AV191*AV196*AV200*AV203*AV208*AV212</f>
        <v>0</v>
      </c>
      <c r="AZ1150"/>
      <c r="BA1150"/>
      <c r="BB1150"/>
      <c r="BC1150"/>
      <c r="BD1150"/>
      <c r="BE1150"/>
      <c r="BF1150"/>
    </row>
    <row r="1151" spans="40:77" x14ac:dyDescent="0.3">
      <c r="AN1151" t="s">
        <v>1053</v>
      </c>
      <c r="AZ1151"/>
      <c r="BA1151"/>
      <c r="BB1151"/>
      <c r="BC1151"/>
      <c r="BD1151"/>
      <c r="BE1151"/>
      <c r="BF1151"/>
    </row>
    <row r="1152" spans="40:77" x14ac:dyDescent="0.3">
      <c r="AN1152" s="3" t="s">
        <v>355</v>
      </c>
      <c r="AO1152">
        <f>AV21*AW30*AW36*AW41*AW48*AW54*AW60*AW66*AW71*AW77*AW83*AW88*AW96*AW102*AW107*AW113*AW120*AW126*AW132*AW138*AW142*AW148*AW155*AW160*AW163*AW167*AW171*AW175*AW179*AW184*AW188*AW191*AW196*AW200*AW203*AW208*AW212</f>
        <v>7.4663634124800003E-8</v>
      </c>
      <c r="AZ1152"/>
      <c r="BA1152"/>
      <c r="BB1152"/>
      <c r="BC1152"/>
      <c r="BD1152"/>
      <c r="BE1152"/>
      <c r="BF1152"/>
    </row>
    <row r="1153" spans="40:77" x14ac:dyDescent="0.3">
      <c r="AN1153" t="s">
        <v>1052</v>
      </c>
      <c r="AZ1153"/>
      <c r="BA1153"/>
      <c r="BB1153"/>
      <c r="BC1153"/>
      <c r="BD1153"/>
      <c r="BE1153"/>
      <c r="BF1153"/>
    </row>
    <row r="1154" spans="40:77" x14ac:dyDescent="0.3">
      <c r="AN1154" s="3" t="s">
        <v>355</v>
      </c>
      <c r="AO1154">
        <f>AV22*AX30*AX36*AX41*AX48*AX54*AX60*AX66*AX71*AX77*AX83*AX88*AX96*AX102*AX107*AX113*AX120*AX126*AX132*AX138*AX142*AX148*AX155*AX160*AX163*AX167*AX171*AX175*AX179*AX184*AX188*AX191*AX196*AX200*AX203*AX208*AX212</f>
        <v>3.291294892032E-8</v>
      </c>
      <c r="AZ1154"/>
      <c r="BA1154"/>
      <c r="BB1154"/>
      <c r="BC1154"/>
      <c r="BD1154"/>
      <c r="BE1154"/>
      <c r="BF1154"/>
    </row>
    <row r="1155" spans="40:77" x14ac:dyDescent="0.3">
      <c r="AN1155" t="s">
        <v>1051</v>
      </c>
      <c r="AZ1155"/>
      <c r="BA1155"/>
      <c r="BB1155"/>
      <c r="BC1155"/>
      <c r="BD1155"/>
      <c r="BE1155"/>
      <c r="BF1155"/>
    </row>
    <row r="1156" spans="40:77" x14ac:dyDescent="0.3">
      <c r="AN1156" s="3" t="s">
        <v>355</v>
      </c>
      <c r="AO1156">
        <f>AV23*AY30*AY36*AY41*AY48*AY54*AY60*AY66*AY71*AY77*AY83*AY88*AY96*AY102*AY107*AY113*AY120*AY126*AY132*AY138*AY142*AY148*AY155*AY160*AY163*AY167*AY171*AY175*AY179*AY184*AY188*AY191*AY196*AY200*AY203*AY208*AY212</f>
        <v>0</v>
      </c>
      <c r="AZ1156"/>
      <c r="BA1156"/>
      <c r="BB1156"/>
      <c r="BC1156"/>
      <c r="BD1156"/>
      <c r="BE1156"/>
      <c r="BF1156"/>
    </row>
    <row r="1157" spans="40:77" x14ac:dyDescent="0.3">
      <c r="AN1157" s="24" t="s">
        <v>893</v>
      </c>
      <c r="AO1157" t="s">
        <v>509</v>
      </c>
      <c r="AP1157" s="25" t="s">
        <v>405</v>
      </c>
      <c r="AZ1157"/>
      <c r="BA1157"/>
      <c r="BB1157"/>
      <c r="BC1157"/>
      <c r="BD1157"/>
      <c r="BE1157"/>
      <c r="BF1157"/>
    </row>
    <row r="1159" spans="40:77" x14ac:dyDescent="0.3">
      <c r="AN1159" s="53" t="s">
        <v>905</v>
      </c>
      <c r="AO1159" s="24" t="s">
        <v>71</v>
      </c>
      <c r="AP1159" s="1" t="s">
        <v>50</v>
      </c>
      <c r="AQ1159" s="1" t="s">
        <v>51</v>
      </c>
      <c r="AR1159" s="1" t="s">
        <v>52</v>
      </c>
      <c r="AS1159" s="1" t="s">
        <v>53</v>
      </c>
      <c r="AT1159" s="1" t="s">
        <v>54</v>
      </c>
      <c r="AU1159" s="1" t="s">
        <v>55</v>
      </c>
      <c r="AV1159" s="1" t="s">
        <v>56</v>
      </c>
      <c r="AW1159" s="1" t="s">
        <v>57</v>
      </c>
      <c r="AX1159" s="1" t="s">
        <v>58</v>
      </c>
      <c r="AY1159" s="1" t="s">
        <v>59</v>
      </c>
      <c r="AZ1159" s="1" t="s">
        <v>60</v>
      </c>
      <c r="BA1159" s="1" t="s">
        <v>61</v>
      </c>
      <c r="BB1159" s="1" t="s">
        <v>62</v>
      </c>
      <c r="BC1159" s="1" t="s">
        <v>63</v>
      </c>
      <c r="BD1159" s="1" t="s">
        <v>64</v>
      </c>
      <c r="BE1159" s="1" t="s">
        <v>65</v>
      </c>
      <c r="BF1159" s="1" t="s">
        <v>66</v>
      </c>
      <c r="BG1159" s="1" t="s">
        <v>67</v>
      </c>
      <c r="BH1159" s="1" t="s">
        <v>68</v>
      </c>
      <c r="BI1159" s="1" t="s">
        <v>69</v>
      </c>
      <c r="BJ1159" s="1" t="s">
        <v>70</v>
      </c>
      <c r="BK1159" s="1" t="s">
        <v>929</v>
      </c>
      <c r="BL1159" s="1" t="s">
        <v>930</v>
      </c>
      <c r="BM1159" s="1" t="s">
        <v>931</v>
      </c>
      <c r="BN1159" s="1" t="s">
        <v>932</v>
      </c>
      <c r="BO1159" s="1" t="s">
        <v>933</v>
      </c>
      <c r="BP1159" s="1" t="s">
        <v>934</v>
      </c>
      <c r="BQ1159" s="1" t="s">
        <v>935</v>
      </c>
      <c r="BR1159" s="1" t="s">
        <v>936</v>
      </c>
      <c r="BS1159" s="1" t="s">
        <v>937</v>
      </c>
      <c r="BT1159" s="1" t="s">
        <v>938</v>
      </c>
      <c r="BU1159" s="1" t="s">
        <v>939</v>
      </c>
      <c r="BV1159" s="1" t="s">
        <v>940</v>
      </c>
      <c r="BW1159" s="1" t="s">
        <v>941</v>
      </c>
      <c r="BX1159" s="1" t="s">
        <v>942</v>
      </c>
      <c r="BY1159" s="1" t="s">
        <v>1008</v>
      </c>
    </row>
    <row r="1160" spans="40:77" x14ac:dyDescent="0.3">
      <c r="AN1160" s="53"/>
      <c r="AO1160" s="24">
        <v>4</v>
      </c>
      <c r="AP1160" t="s">
        <v>5</v>
      </c>
      <c r="AQ1160" t="s">
        <v>3</v>
      </c>
      <c r="AR1160" t="s">
        <v>2</v>
      </c>
      <c r="AS1160" t="s">
        <v>5</v>
      </c>
      <c r="AT1160" t="s">
        <v>5</v>
      </c>
      <c r="AU1160" t="s">
        <v>5</v>
      </c>
      <c r="AV1160" t="s">
        <v>2</v>
      </c>
      <c r="AW1160" t="s">
        <v>2</v>
      </c>
      <c r="AX1160" t="s">
        <v>3</v>
      </c>
      <c r="AY1160" t="s">
        <v>3</v>
      </c>
      <c r="AZ1160" t="s">
        <v>3</v>
      </c>
      <c r="BA1160" t="s">
        <v>3</v>
      </c>
      <c r="BB1160" t="s">
        <v>2</v>
      </c>
      <c r="BC1160" t="s">
        <v>2</v>
      </c>
      <c r="BD1160" t="s">
        <v>2</v>
      </c>
      <c r="BE1160" t="s">
        <v>5</v>
      </c>
      <c r="BF1160" t="s">
        <v>2</v>
      </c>
      <c r="BG1160" t="s">
        <v>2</v>
      </c>
      <c r="BH1160" t="s">
        <v>5</v>
      </c>
      <c r="BI1160" t="s">
        <v>3</v>
      </c>
      <c r="BJ1160" t="s">
        <v>2</v>
      </c>
      <c r="BK1160" t="s">
        <v>2</v>
      </c>
      <c r="BL1160" t="s">
        <v>3</v>
      </c>
      <c r="BM1160" t="s">
        <v>4</v>
      </c>
      <c r="BN1160" t="s">
        <v>4</v>
      </c>
      <c r="BO1160" t="s">
        <v>4</v>
      </c>
      <c r="BP1160" t="s">
        <v>4</v>
      </c>
      <c r="BQ1160" t="s">
        <v>4</v>
      </c>
      <c r="BR1160" t="s">
        <v>3</v>
      </c>
      <c r="BS1160" t="s">
        <v>3</v>
      </c>
      <c r="BT1160" t="s">
        <v>4</v>
      </c>
      <c r="BU1160" t="s">
        <v>3</v>
      </c>
      <c r="BV1160" t="s">
        <v>4</v>
      </c>
      <c r="BW1160" t="s">
        <v>4</v>
      </c>
      <c r="BX1160" t="s">
        <v>4</v>
      </c>
      <c r="BY1160" t="s">
        <v>3</v>
      </c>
    </row>
    <row r="1161" spans="40:77" x14ac:dyDescent="0.3">
      <c r="AN1161" t="s">
        <v>1062</v>
      </c>
      <c r="AZ1161"/>
      <c r="BA1161"/>
      <c r="BB1161"/>
      <c r="BC1161"/>
      <c r="BD1161"/>
      <c r="BE1161"/>
      <c r="BF1161"/>
    </row>
    <row r="1162" spans="40:77" x14ac:dyDescent="0.3">
      <c r="AN1162" s="3" t="s">
        <v>355</v>
      </c>
      <c r="AO1162">
        <f>AV18*AT30*AT34*AT41*AT48*AT54*AT60*AT65*AT71*AT76*AT82*AT88*AT94*AT101*AT107*AT113*AT120*AT125*AT131*AT138*AT142*AT149*AT155*AT160*AT163*AT167*AT171*AT175*AT179*AT184*AT188*AT191*AT196*AT199*AT203*AT207*AT212</f>
        <v>0</v>
      </c>
      <c r="AZ1162"/>
      <c r="BA1162"/>
      <c r="BB1162"/>
      <c r="BC1162"/>
      <c r="BD1162"/>
      <c r="BE1162"/>
      <c r="BF1162"/>
    </row>
    <row r="1163" spans="40:77" x14ac:dyDescent="0.3">
      <c r="AN1163" t="s">
        <v>1061</v>
      </c>
      <c r="AZ1163"/>
      <c r="BA1163"/>
      <c r="BB1163"/>
      <c r="BC1163"/>
      <c r="BD1163"/>
      <c r="BE1163"/>
      <c r="BF1163"/>
    </row>
    <row r="1164" spans="40:77" x14ac:dyDescent="0.3">
      <c r="AN1164" s="3" t="s">
        <v>355</v>
      </c>
      <c r="AO1164">
        <f>AV19*AU30*AU34*AU41*AU48*AU54*AU60*AU65*AU71*AU76*AU82*AU88*AU94*AU101*AU107*AU113*AU120*AU125*AU131*AU138*AU142*AU149*AU155*AU160*AU163*AU167*AU171*AU175*AU179*AU184*AU188*AU191*AU196*AU199*AU203*AU207*AU212</f>
        <v>0</v>
      </c>
      <c r="AZ1164"/>
      <c r="BA1164"/>
      <c r="BB1164"/>
      <c r="BC1164"/>
      <c r="BD1164"/>
      <c r="BE1164"/>
      <c r="BF1164"/>
    </row>
    <row r="1165" spans="40:77" x14ac:dyDescent="0.3">
      <c r="AN1165" t="s">
        <v>1060</v>
      </c>
      <c r="AZ1165"/>
      <c r="BA1165"/>
      <c r="BB1165"/>
      <c r="BC1165"/>
      <c r="BD1165"/>
      <c r="BE1165"/>
      <c r="BF1165"/>
    </row>
    <row r="1166" spans="40:77" x14ac:dyDescent="0.3">
      <c r="AN1166" s="3" t="s">
        <v>355</v>
      </c>
      <c r="AO1166">
        <f>AV20*AV30*AV34*AV41*AV48*AV54*AV60*AV65*AV71*AV76*AV82*AV88*AV94*AV101*AV107*AV113*AV120*AV125*AV131*AV138*AV142*AV149*AV155*AV160*AV163*AV167*AV171*AV175*AV179*AV184*AV188*AV191*AV196*AV199*AV203*AV207*AV212</f>
        <v>0</v>
      </c>
      <c r="AZ1166"/>
      <c r="BA1166"/>
      <c r="BB1166"/>
      <c r="BC1166"/>
      <c r="BD1166"/>
      <c r="BE1166"/>
      <c r="BF1166"/>
    </row>
    <row r="1167" spans="40:77" x14ac:dyDescent="0.3">
      <c r="AN1167" t="s">
        <v>1059</v>
      </c>
      <c r="AZ1167"/>
      <c r="BA1167"/>
      <c r="BB1167"/>
      <c r="BC1167"/>
      <c r="BD1167"/>
      <c r="BE1167"/>
      <c r="BF1167"/>
    </row>
    <row r="1168" spans="40:77" x14ac:dyDescent="0.3">
      <c r="AN1168" s="3" t="s">
        <v>355</v>
      </c>
      <c r="AO1168">
        <f>AV21*AW30*AW34*AW41*AW48*AW54*AW60*AW65*AW71*AW76*AW82*AW88*AW94*AW101*AW107*AW113*AW120*AW125*AW131*AW138*AW142*AW149*AW155*AW160*AW163*AW167*AW171*AW175*AW179*AW184*AW188*AW191*AW196*AW199*AW203*AW207*AW212</f>
        <v>8.2301184000000012E-13</v>
      </c>
      <c r="AZ1168"/>
      <c r="BA1168"/>
      <c r="BB1168"/>
      <c r="BC1168"/>
      <c r="BD1168"/>
      <c r="BE1168"/>
      <c r="BF1168"/>
    </row>
    <row r="1169" spans="40:77" x14ac:dyDescent="0.3">
      <c r="AN1169" t="s">
        <v>1058</v>
      </c>
      <c r="AZ1169"/>
      <c r="BA1169"/>
      <c r="BB1169"/>
      <c r="BC1169"/>
      <c r="BD1169"/>
      <c r="BE1169"/>
      <c r="BF1169"/>
    </row>
    <row r="1170" spans="40:77" x14ac:dyDescent="0.3">
      <c r="AN1170" s="3" t="s">
        <v>355</v>
      </c>
      <c r="AO1170">
        <f>AV22*AX30*AX34*AX41*AX48*AX54*AX60*AX65*AX71*AX76*AX82*AX88*AX94*AX101*AX107*AX113*AX120*AX125*AX131*AX138*AX142*AX149*AX155*AX160*AX163*AX167*AX171*AX175*AX179*AX184*AX188*AX191*AX196*AX199*AX203*AX207*AX212</f>
        <v>0</v>
      </c>
      <c r="AZ1170"/>
      <c r="BA1170"/>
      <c r="BB1170"/>
      <c r="BC1170"/>
      <c r="BD1170"/>
      <c r="BE1170"/>
      <c r="BF1170"/>
    </row>
    <row r="1171" spans="40:77" x14ac:dyDescent="0.3">
      <c r="AN1171" t="s">
        <v>1057</v>
      </c>
      <c r="AZ1171"/>
      <c r="BA1171"/>
      <c r="BB1171"/>
      <c r="BC1171"/>
      <c r="BD1171"/>
      <c r="BE1171"/>
      <c r="BF1171"/>
    </row>
    <row r="1172" spans="40:77" x14ac:dyDescent="0.3">
      <c r="AN1172" s="3" t="s">
        <v>355</v>
      </c>
      <c r="AO1172">
        <f>AV23*AY30*AY34*AY41*AY48*AY54*AY60*AY65*AY71*AY76*AY82*AY88*AY94*AY101*AY107*AY113*AY120*AY125*AY131*AY138*AY142*AY149*AY155*AY160*AY163*AY167*AY171*AY175*AY179*AY184*AY188*AY191*AY196*AY199*AY203*AY207*AY212</f>
        <v>0</v>
      </c>
      <c r="AZ1172"/>
      <c r="BA1172"/>
      <c r="BB1172"/>
      <c r="BC1172"/>
      <c r="BD1172"/>
      <c r="BE1172"/>
      <c r="BF1172"/>
    </row>
    <row r="1173" spans="40:77" x14ac:dyDescent="0.3">
      <c r="AN1173" s="24" t="s">
        <v>901</v>
      </c>
      <c r="AO1173" t="s">
        <v>375</v>
      </c>
      <c r="AP1173" s="25" t="s">
        <v>405</v>
      </c>
      <c r="AZ1173"/>
      <c r="BA1173"/>
      <c r="BB1173"/>
      <c r="BC1173"/>
      <c r="BD1173"/>
      <c r="BE1173"/>
      <c r="BF1173"/>
    </row>
    <row r="1175" spans="40:77" x14ac:dyDescent="0.3">
      <c r="AN1175" s="53" t="s">
        <v>906</v>
      </c>
      <c r="AO1175" s="24" t="s">
        <v>71</v>
      </c>
      <c r="AP1175" s="1" t="s">
        <v>50</v>
      </c>
      <c r="AQ1175" s="1" t="s">
        <v>51</v>
      </c>
      <c r="AR1175" s="1" t="s">
        <v>52</v>
      </c>
      <c r="AS1175" s="1" t="s">
        <v>53</v>
      </c>
      <c r="AT1175" s="1" t="s">
        <v>54</v>
      </c>
      <c r="AU1175" s="1" t="s">
        <v>55</v>
      </c>
      <c r="AV1175" s="1" t="s">
        <v>56</v>
      </c>
      <c r="AW1175" s="1" t="s">
        <v>57</v>
      </c>
      <c r="AX1175" s="1" t="s">
        <v>58</v>
      </c>
      <c r="AY1175" s="1" t="s">
        <v>59</v>
      </c>
      <c r="AZ1175" s="1" t="s">
        <v>60</v>
      </c>
      <c r="BA1175" s="1" t="s">
        <v>61</v>
      </c>
      <c r="BB1175" s="1" t="s">
        <v>62</v>
      </c>
      <c r="BC1175" s="1" t="s">
        <v>63</v>
      </c>
      <c r="BD1175" s="1" t="s">
        <v>64</v>
      </c>
      <c r="BE1175" s="1" t="s">
        <v>65</v>
      </c>
      <c r="BF1175" s="1" t="s">
        <v>66</v>
      </c>
      <c r="BG1175" s="1" t="s">
        <v>67</v>
      </c>
      <c r="BH1175" s="1" t="s">
        <v>68</v>
      </c>
      <c r="BI1175" s="1" t="s">
        <v>69</v>
      </c>
      <c r="BJ1175" s="1" t="s">
        <v>70</v>
      </c>
      <c r="BK1175" s="1" t="s">
        <v>929</v>
      </c>
      <c r="BL1175" s="1" t="s">
        <v>930</v>
      </c>
      <c r="BM1175" s="1" t="s">
        <v>931</v>
      </c>
      <c r="BN1175" s="1" t="s">
        <v>932</v>
      </c>
      <c r="BO1175" s="1" t="s">
        <v>933</v>
      </c>
      <c r="BP1175" s="1" t="s">
        <v>934</v>
      </c>
      <c r="BQ1175" s="1" t="s">
        <v>935</v>
      </c>
      <c r="BR1175" s="1" t="s">
        <v>936</v>
      </c>
      <c r="BS1175" s="1" t="s">
        <v>937</v>
      </c>
      <c r="BT1175" s="1" t="s">
        <v>938</v>
      </c>
      <c r="BU1175" s="1" t="s">
        <v>939</v>
      </c>
      <c r="BV1175" s="1" t="s">
        <v>940</v>
      </c>
      <c r="BW1175" s="1" t="s">
        <v>941</v>
      </c>
      <c r="BX1175" s="1" t="s">
        <v>942</v>
      </c>
      <c r="BY1175" s="1" t="s">
        <v>1008</v>
      </c>
    </row>
    <row r="1176" spans="40:77" x14ac:dyDescent="0.3">
      <c r="AN1176" s="53"/>
      <c r="AO1176" s="24">
        <v>5</v>
      </c>
      <c r="AP1176" t="s">
        <v>5</v>
      </c>
      <c r="AQ1176" t="s">
        <v>3</v>
      </c>
      <c r="AR1176" t="s">
        <v>3</v>
      </c>
      <c r="AS1176" t="s">
        <v>5</v>
      </c>
      <c r="AT1176" t="s">
        <v>5</v>
      </c>
      <c r="AU1176" t="s">
        <v>5</v>
      </c>
      <c r="AV1176" t="s">
        <v>5</v>
      </c>
      <c r="AW1176" t="s">
        <v>2</v>
      </c>
      <c r="AX1176" t="s">
        <v>2</v>
      </c>
      <c r="AY1176" t="s">
        <v>5</v>
      </c>
      <c r="AZ1176" t="s">
        <v>3</v>
      </c>
      <c r="BA1176" t="s">
        <v>2</v>
      </c>
      <c r="BB1176" t="s">
        <v>5</v>
      </c>
      <c r="BC1176" t="s">
        <v>2</v>
      </c>
      <c r="BD1176" t="s">
        <v>3</v>
      </c>
      <c r="BE1176" t="s">
        <v>5</v>
      </c>
      <c r="BF1176" t="s">
        <v>5</v>
      </c>
      <c r="BG1176" t="s">
        <v>5</v>
      </c>
      <c r="BH1176" t="s">
        <v>5</v>
      </c>
      <c r="BI1176" t="s">
        <v>3</v>
      </c>
      <c r="BJ1176" t="s">
        <v>4</v>
      </c>
      <c r="BK1176" t="s">
        <v>2</v>
      </c>
      <c r="BL1176" t="s">
        <v>3</v>
      </c>
      <c r="BM1176" t="s">
        <v>4</v>
      </c>
      <c r="BN1176" t="s">
        <v>4</v>
      </c>
      <c r="BO1176" t="s">
        <v>4</v>
      </c>
      <c r="BP1176" t="s">
        <v>4</v>
      </c>
      <c r="BQ1176" t="s">
        <v>4</v>
      </c>
      <c r="BR1176" t="s">
        <v>4</v>
      </c>
      <c r="BS1176" t="s">
        <v>3</v>
      </c>
      <c r="BT1176" t="s">
        <v>4</v>
      </c>
      <c r="BU1176" t="s">
        <v>3</v>
      </c>
      <c r="BV1176" t="s">
        <v>4</v>
      </c>
      <c r="BW1176" t="s">
        <v>4</v>
      </c>
      <c r="BX1176" t="s">
        <v>4</v>
      </c>
      <c r="BY1176" t="s">
        <v>3</v>
      </c>
    </row>
    <row r="1177" spans="40:77" x14ac:dyDescent="0.3">
      <c r="AN1177" t="s">
        <v>1068</v>
      </c>
      <c r="AZ1177"/>
      <c r="BA1177"/>
      <c r="BB1177"/>
      <c r="BC1177"/>
      <c r="BD1177"/>
      <c r="BE1177"/>
      <c r="BF1177"/>
    </row>
    <row r="1178" spans="40:77" x14ac:dyDescent="0.3">
      <c r="AN1178" s="3" t="s">
        <v>355</v>
      </c>
      <c r="AO1178">
        <f>AV18*AT30*AT34*AT40*AT48*AT54*AT60*AT66*AT71*AT77*AT84*AT88*AT95*AT102*AT107*AT112*AT120*AT126*AT132*AT138*AT142*AT147*AT155*AT160*AT163*AT167*AT171*AT175*AT179*AT183*AT188*AT191*AT196*AT199*AT203*AT207*AT212</f>
        <v>0</v>
      </c>
      <c r="AZ1178"/>
      <c r="BA1178"/>
      <c r="BB1178"/>
      <c r="BC1178"/>
      <c r="BD1178"/>
      <c r="BE1178"/>
      <c r="BF1178"/>
    </row>
    <row r="1179" spans="40:77" x14ac:dyDescent="0.3">
      <c r="AN1179" t="s">
        <v>1067</v>
      </c>
      <c r="AZ1179"/>
      <c r="BA1179"/>
      <c r="BB1179"/>
      <c r="BC1179"/>
      <c r="BD1179"/>
      <c r="BE1179"/>
      <c r="BF1179"/>
    </row>
    <row r="1180" spans="40:77" x14ac:dyDescent="0.3">
      <c r="AN1180" s="3" t="s">
        <v>355</v>
      </c>
      <c r="AO1180">
        <f>AV19*AU30*AU34*AU40*AU48*AU54*AU60*AU66*AU71*AU77*AU84*AU88*AU95*AU102*AU107*AU112*AU120*AU126*AU132*AU138*AU142*AU147*AU155*AU160*AU163*AU167*AU171*AU175*AU179*AU183*AU188*AU191*AU196*AU199*AU203*AU207*AU212</f>
        <v>0</v>
      </c>
      <c r="AZ1180"/>
      <c r="BA1180"/>
      <c r="BB1180"/>
      <c r="BC1180"/>
      <c r="BD1180"/>
      <c r="BE1180"/>
      <c r="BF1180"/>
    </row>
    <row r="1181" spans="40:77" x14ac:dyDescent="0.3">
      <c r="AN1181" t="s">
        <v>1066</v>
      </c>
      <c r="AZ1181"/>
      <c r="BA1181"/>
      <c r="BB1181"/>
      <c r="BC1181"/>
      <c r="BD1181"/>
      <c r="BE1181"/>
      <c r="BF1181"/>
    </row>
    <row r="1182" spans="40:77" x14ac:dyDescent="0.3">
      <c r="AN1182" s="3" t="s">
        <v>355</v>
      </c>
      <c r="AO1182">
        <f>AV20*AV30*AV34*AV40*AV48*AV54*AV60*AV66*AV71*AV77*AV84*AV88*AV95*AV102*AV107*AV112*AV120*AV126*AV132*AV138*AV142*AV147*AV155*AV160*AV163*AV167*AV171*AV175*AV179*AV183*AV188*AV191*AV196*AV199*AV203*AV207*AV212</f>
        <v>0</v>
      </c>
      <c r="AZ1182"/>
      <c r="BA1182"/>
      <c r="BB1182"/>
      <c r="BC1182"/>
      <c r="BD1182"/>
      <c r="BE1182"/>
      <c r="BF1182"/>
    </row>
    <row r="1183" spans="40:77" x14ac:dyDescent="0.3">
      <c r="AN1183" t="s">
        <v>1065</v>
      </c>
      <c r="AZ1183"/>
      <c r="BA1183"/>
      <c r="BB1183"/>
      <c r="BC1183"/>
      <c r="BD1183"/>
      <c r="BE1183"/>
      <c r="BF1183"/>
    </row>
    <row r="1184" spans="40:77" x14ac:dyDescent="0.3">
      <c r="AN1184" s="3" t="s">
        <v>355</v>
      </c>
      <c r="AO1184">
        <f>AV21*AW30*AW34*AW40*AW48*AW54*AW60*AW66*AW71*AW77*AW84*AW88*AW95*AW102*AW107*AW112*AW120*AW126*AW132*AW138*AW142*AW147*AW155*AW160*AW163*AW167*AW171*AW175*AW179*AW183*AW188*AW191*AW196*AW199*AW203*AW207*AW212</f>
        <v>2.0905817554944006E-7</v>
      </c>
      <c r="AZ1184"/>
      <c r="BA1184"/>
      <c r="BB1184"/>
      <c r="BC1184"/>
      <c r="BD1184"/>
      <c r="BE1184"/>
      <c r="BF1184"/>
    </row>
    <row r="1185" spans="40:77" x14ac:dyDescent="0.3">
      <c r="AN1185" t="s">
        <v>1064</v>
      </c>
      <c r="AZ1185"/>
      <c r="BA1185"/>
      <c r="BB1185"/>
      <c r="BC1185"/>
      <c r="BD1185"/>
      <c r="BE1185"/>
      <c r="BF1185"/>
    </row>
    <row r="1186" spans="40:77" x14ac:dyDescent="0.3">
      <c r="AN1186" s="3" t="s">
        <v>355</v>
      </c>
      <c r="AO1186">
        <f>AV22*AX30*AX34*AX40*AX48*AX54*AX60*AX66*AX71*AX77*AX84*AX88*AX95*AX102*AX107*AX112*AX120*AX126*AX132*AX138*AX142*AX147*AX155*AX160*AX163*AX167*AX171*AX175*AX179*AX183*AX188*AX191*AX196*AX199*AX203*AX207*AX212</f>
        <v>3.4131947028479998E-8</v>
      </c>
      <c r="AZ1186"/>
      <c r="BA1186"/>
      <c r="BB1186"/>
      <c r="BC1186"/>
      <c r="BD1186"/>
      <c r="BE1186"/>
      <c r="BF1186"/>
    </row>
    <row r="1187" spans="40:77" x14ac:dyDescent="0.3">
      <c r="AN1187" t="s">
        <v>1063</v>
      </c>
      <c r="AZ1187"/>
      <c r="BA1187"/>
      <c r="BB1187"/>
      <c r="BC1187"/>
      <c r="BD1187"/>
      <c r="BE1187"/>
      <c r="BF1187"/>
    </row>
    <row r="1188" spans="40:77" x14ac:dyDescent="0.3">
      <c r="AN1188" s="3" t="s">
        <v>355</v>
      </c>
      <c r="AO1188">
        <f>AV23*AY30*AY34*AY40*AY48*AY54*AY60*AY66*AY71*AY77*AY84*AY88*AY95*AY102*AY107*AY112*AY120*AY126*AY132*AY138*AY142*AY147*AY155*AY160*AY163*AY167*AY171*AY175*AY179*AY183*AY188*AY191*AY196*AY199*AY203*AY207*AY212</f>
        <v>9.7538182384346748E-11</v>
      </c>
      <c r="AZ1188"/>
      <c r="BA1188"/>
      <c r="BB1188"/>
      <c r="BC1188"/>
      <c r="BD1188"/>
      <c r="BE1188"/>
      <c r="BF1188"/>
    </row>
    <row r="1189" spans="40:77" x14ac:dyDescent="0.3">
      <c r="AN1189" s="27" t="s">
        <v>893</v>
      </c>
      <c r="AO1189" t="s">
        <v>616</v>
      </c>
      <c r="AP1189" s="26" t="s">
        <v>617</v>
      </c>
      <c r="AZ1189"/>
      <c r="BA1189"/>
      <c r="BB1189"/>
      <c r="BC1189"/>
      <c r="BD1189"/>
      <c r="BE1189"/>
      <c r="BF1189"/>
    </row>
    <row r="1191" spans="40:77" x14ac:dyDescent="0.3">
      <c r="AN1191" s="53" t="s">
        <v>907</v>
      </c>
      <c r="AO1191" s="24" t="s">
        <v>71</v>
      </c>
      <c r="AP1191" s="1" t="s">
        <v>50</v>
      </c>
      <c r="AQ1191" s="1" t="s">
        <v>51</v>
      </c>
      <c r="AR1191" s="1" t="s">
        <v>52</v>
      </c>
      <c r="AS1191" s="1" t="s">
        <v>53</v>
      </c>
      <c r="AT1191" s="1" t="s">
        <v>54</v>
      </c>
      <c r="AU1191" s="1" t="s">
        <v>55</v>
      </c>
      <c r="AV1191" s="1" t="s">
        <v>56</v>
      </c>
      <c r="AW1191" s="1" t="s">
        <v>57</v>
      </c>
      <c r="AX1191" s="1" t="s">
        <v>58</v>
      </c>
      <c r="AY1191" s="1" t="s">
        <v>59</v>
      </c>
      <c r="AZ1191" s="1" t="s">
        <v>60</v>
      </c>
      <c r="BA1191" s="1" t="s">
        <v>61</v>
      </c>
      <c r="BB1191" s="1" t="s">
        <v>62</v>
      </c>
      <c r="BC1191" s="1" t="s">
        <v>63</v>
      </c>
      <c r="BD1191" s="1" t="s">
        <v>64</v>
      </c>
      <c r="BE1191" s="1" t="s">
        <v>65</v>
      </c>
      <c r="BF1191" s="1" t="s">
        <v>66</v>
      </c>
      <c r="BG1191" s="1" t="s">
        <v>67</v>
      </c>
      <c r="BH1191" s="1" t="s">
        <v>68</v>
      </c>
      <c r="BI1191" s="1" t="s">
        <v>69</v>
      </c>
      <c r="BJ1191" s="1" t="s">
        <v>70</v>
      </c>
      <c r="BK1191" s="1" t="s">
        <v>929</v>
      </c>
      <c r="BL1191" s="1" t="s">
        <v>930</v>
      </c>
      <c r="BM1191" s="1" t="s">
        <v>931</v>
      </c>
      <c r="BN1191" s="1" t="s">
        <v>932</v>
      </c>
      <c r="BO1191" s="1" t="s">
        <v>933</v>
      </c>
      <c r="BP1191" s="1" t="s">
        <v>934</v>
      </c>
      <c r="BQ1191" s="1" t="s">
        <v>935</v>
      </c>
      <c r="BR1191" s="1" t="s">
        <v>936</v>
      </c>
      <c r="BS1191" s="1" t="s">
        <v>937</v>
      </c>
      <c r="BT1191" s="1" t="s">
        <v>938</v>
      </c>
      <c r="BU1191" s="1" t="s">
        <v>939</v>
      </c>
      <c r="BV1191" s="1" t="s">
        <v>940</v>
      </c>
      <c r="BW1191" s="1" t="s">
        <v>941</v>
      </c>
      <c r="BX1191" s="1" t="s">
        <v>942</v>
      </c>
      <c r="BY1191" s="1" t="s">
        <v>1008</v>
      </c>
    </row>
    <row r="1192" spans="40:77" x14ac:dyDescent="0.3">
      <c r="AN1192" s="53"/>
      <c r="AO1192" s="24">
        <v>5</v>
      </c>
      <c r="AP1192" t="s">
        <v>5</v>
      </c>
      <c r="AQ1192" t="s">
        <v>3</v>
      </c>
      <c r="AR1192" t="s">
        <v>5</v>
      </c>
      <c r="AS1192" t="s">
        <v>5</v>
      </c>
      <c r="AT1192" t="s">
        <v>5</v>
      </c>
      <c r="AU1192" t="s">
        <v>5</v>
      </c>
      <c r="AV1192" t="s">
        <v>5</v>
      </c>
      <c r="AW1192" t="s">
        <v>2</v>
      </c>
      <c r="AX1192" t="s">
        <v>2</v>
      </c>
      <c r="AY1192" t="s">
        <v>4</v>
      </c>
      <c r="AZ1192" t="s">
        <v>4</v>
      </c>
      <c r="BA1192" t="s">
        <v>3</v>
      </c>
      <c r="BB1192" t="s">
        <v>5</v>
      </c>
      <c r="BC1192" t="s">
        <v>2</v>
      </c>
      <c r="BD1192" t="s">
        <v>5</v>
      </c>
      <c r="BE1192" t="s">
        <v>2</v>
      </c>
      <c r="BF1192" t="s">
        <v>2</v>
      </c>
      <c r="BG1192" t="s">
        <v>5</v>
      </c>
      <c r="BH1192" t="s">
        <v>4</v>
      </c>
      <c r="BI1192" t="s">
        <v>3</v>
      </c>
      <c r="BJ1192" t="s">
        <v>3</v>
      </c>
      <c r="BK1192" t="s">
        <v>4</v>
      </c>
      <c r="BL1192" t="s">
        <v>3</v>
      </c>
      <c r="BM1192" t="s">
        <v>4</v>
      </c>
      <c r="BN1192" t="s">
        <v>4</v>
      </c>
      <c r="BO1192" t="s">
        <v>4</v>
      </c>
      <c r="BP1192" t="s">
        <v>4</v>
      </c>
      <c r="BQ1192" t="s">
        <v>4</v>
      </c>
      <c r="BR1192" t="s">
        <v>3</v>
      </c>
      <c r="BS1192" t="s">
        <v>3</v>
      </c>
      <c r="BT1192" t="s">
        <v>4</v>
      </c>
      <c r="BU1192" t="s">
        <v>3</v>
      </c>
      <c r="BV1192" t="s">
        <v>4</v>
      </c>
      <c r="BW1192" t="s">
        <v>4</v>
      </c>
      <c r="BX1192" t="s">
        <v>4</v>
      </c>
      <c r="BY1192" t="s">
        <v>3</v>
      </c>
    </row>
    <row r="1193" spans="40:77" x14ac:dyDescent="0.3">
      <c r="AN1193" t="s">
        <v>1074</v>
      </c>
      <c r="AZ1193"/>
      <c r="BA1193"/>
      <c r="BB1193"/>
      <c r="BC1193"/>
      <c r="BD1193"/>
      <c r="BE1193"/>
      <c r="BF1193"/>
    </row>
    <row r="1194" spans="40:77" x14ac:dyDescent="0.3">
      <c r="AN1194" s="3" t="s">
        <v>355</v>
      </c>
      <c r="AO1194">
        <f>AV18*AT30*AT34*AT42*AT48*AT54*AT60*AT66*AT71*AT77*AT81*AT87*AT94*AT102*AT107*AT114*AT119*AT125*AT132*AT135*AT142*AT148*AT153*AT160*AT163*AT167*AT171*AT175*AT179*AT184*AT188*AT191*AT196*AT199*AT203*AT207*AT212</f>
        <v>0</v>
      </c>
      <c r="AZ1194"/>
      <c r="BA1194"/>
      <c r="BB1194"/>
      <c r="BC1194"/>
      <c r="BD1194"/>
      <c r="BE1194"/>
      <c r="BF1194"/>
    </row>
    <row r="1195" spans="40:77" x14ac:dyDescent="0.3">
      <c r="AN1195" t="s">
        <v>1073</v>
      </c>
      <c r="AZ1195"/>
      <c r="BA1195"/>
      <c r="BB1195"/>
      <c r="BC1195"/>
      <c r="BD1195"/>
      <c r="BE1195"/>
      <c r="BF1195"/>
    </row>
    <row r="1196" spans="40:77" x14ac:dyDescent="0.3">
      <c r="AN1196" s="3" t="s">
        <v>355</v>
      </c>
      <c r="AO1196">
        <f>AV19*AU30*AU34*AU42*AU48*AU54*AU60*AU66*AU71*AU77*AU81*AU87*AU94*AU102*AU107*AU114*AU119*AU125*AU132*AU135*AU142*AU148*AU153*AU160*AU163*AU167*AU171*AU175*AU179*AU184*AU188*AU191*AU196*AU199*AU203*AU207*AU212</f>
        <v>0</v>
      </c>
      <c r="AZ1196"/>
      <c r="BA1196"/>
      <c r="BB1196"/>
      <c r="BC1196"/>
      <c r="BD1196"/>
      <c r="BE1196"/>
      <c r="BF1196"/>
    </row>
    <row r="1197" spans="40:77" x14ac:dyDescent="0.3">
      <c r="AN1197" t="s">
        <v>1072</v>
      </c>
      <c r="AZ1197"/>
      <c r="BA1197"/>
      <c r="BB1197"/>
      <c r="BC1197"/>
      <c r="BD1197"/>
      <c r="BE1197"/>
      <c r="BF1197"/>
    </row>
    <row r="1198" spans="40:77" x14ac:dyDescent="0.3">
      <c r="AN1198" s="3" t="s">
        <v>355</v>
      </c>
      <c r="AO1198">
        <f>AV20*AV30*AV34*AV42*AV48*AV54*AV60*AV66*AV71*AV77*AV81*AV87*AV94*AV102*AV107*AV114*AV119*AV125*AV132*AV135*AV142*AV148*AV153*AV160*AV163*AV167*AV171*AV175*AV179*AV184*AV188*AV191*AV196*AV199*AV203*AV207*AV212</f>
        <v>0</v>
      </c>
      <c r="AZ1198"/>
      <c r="BA1198"/>
      <c r="BB1198"/>
      <c r="BC1198"/>
      <c r="BD1198"/>
      <c r="BE1198"/>
      <c r="BF1198"/>
    </row>
    <row r="1199" spans="40:77" x14ac:dyDescent="0.3">
      <c r="AN1199" t="s">
        <v>1071</v>
      </c>
      <c r="AZ1199"/>
      <c r="BA1199"/>
      <c r="BB1199"/>
      <c r="BC1199"/>
      <c r="BD1199"/>
      <c r="BE1199"/>
      <c r="BF1199"/>
    </row>
    <row r="1200" spans="40:77" x14ac:dyDescent="0.3">
      <c r="AN1200" s="3" t="s">
        <v>355</v>
      </c>
      <c r="AO1200">
        <f>AV21*AW30*AW34*AW42*AW48*AW54*AW60*AW66*AW71*AW77*AW81*AW87*AW94*AW102*AW107*AW114*AW119*AW125*AW132*AW135*AW142*AW148*AW153*AW160*AW163*AW167*AW171*AW175*AW179*AW184*AW188*AW191*AW196*AW199*AW203*AW207*AW212</f>
        <v>0</v>
      </c>
      <c r="AZ1200"/>
      <c r="BA1200"/>
      <c r="BB1200"/>
      <c r="BC1200"/>
      <c r="BD1200"/>
      <c r="BE1200"/>
      <c r="BF1200"/>
    </row>
    <row r="1201" spans="40:77" x14ac:dyDescent="0.3">
      <c r="AN1201" t="s">
        <v>1070</v>
      </c>
      <c r="AZ1201"/>
      <c r="BA1201"/>
      <c r="BB1201"/>
      <c r="BC1201"/>
      <c r="BD1201"/>
      <c r="BE1201"/>
      <c r="BF1201"/>
    </row>
    <row r="1202" spans="40:77" x14ac:dyDescent="0.3">
      <c r="AN1202" s="3" t="s">
        <v>355</v>
      </c>
      <c r="AO1202">
        <f>AV22*AX30*AX34*AX42*AX48*AX54*AX60*AX66*AX71*AX77*AX81*AX87*AX94*AX102*AX107*AX114*AX119*AX125*AX132*AX135*AX142*AX148*AX153*AX160*AX163*AX167*AX171*AX175*AX179*AX184*AX188*AX191*AX196*AX199*AX203*AX207*AX212</f>
        <v>1.693052928E-10</v>
      </c>
      <c r="AZ1202"/>
      <c r="BA1202"/>
      <c r="BB1202"/>
      <c r="BC1202"/>
      <c r="BD1202"/>
      <c r="BE1202"/>
      <c r="BF1202"/>
    </row>
    <row r="1203" spans="40:77" x14ac:dyDescent="0.3">
      <c r="AN1203" t="s">
        <v>1069</v>
      </c>
      <c r="AZ1203"/>
      <c r="BA1203"/>
      <c r="BB1203"/>
      <c r="BC1203"/>
      <c r="BD1203"/>
      <c r="BE1203"/>
      <c r="BF1203"/>
    </row>
    <row r="1204" spans="40:77" x14ac:dyDescent="0.3">
      <c r="AN1204" s="3" t="s">
        <v>355</v>
      </c>
      <c r="AO1204">
        <f>AV23*AY30*AY34*AY42*AY48*AY54*AY60*AY66*AY71*AY77*AY81*AY87*AY94*AY102*AY107*AY114*AY119*AY125*AY132*AY135*AY142*AY148*AY153*AY160*AY163*AY167*AY171*AY175*AY179*AY184*AY188*AY191*AY196*AY199*AY203*AY207*AY212</f>
        <v>0</v>
      </c>
      <c r="AZ1204"/>
      <c r="BA1204"/>
      <c r="BB1204"/>
      <c r="BC1204"/>
      <c r="BD1204"/>
      <c r="BE1204"/>
      <c r="BF1204"/>
    </row>
    <row r="1205" spans="40:77" x14ac:dyDescent="0.3">
      <c r="AN1205" s="24" t="s">
        <v>396</v>
      </c>
      <c r="AO1205" t="s">
        <v>554</v>
      </c>
      <c r="AP1205" s="25" t="s">
        <v>405</v>
      </c>
      <c r="AZ1205"/>
      <c r="BA1205"/>
      <c r="BB1205"/>
      <c r="BC1205"/>
      <c r="BD1205"/>
      <c r="BE1205"/>
      <c r="BF1205"/>
    </row>
    <row r="1207" spans="40:77" x14ac:dyDescent="0.3">
      <c r="AN1207" s="53" t="s">
        <v>908</v>
      </c>
      <c r="AO1207" s="24" t="s">
        <v>71</v>
      </c>
      <c r="AP1207" s="1" t="s">
        <v>50</v>
      </c>
      <c r="AQ1207" s="1" t="s">
        <v>51</v>
      </c>
      <c r="AR1207" s="1" t="s">
        <v>52</v>
      </c>
      <c r="AS1207" s="1" t="s">
        <v>53</v>
      </c>
      <c r="AT1207" s="1" t="s">
        <v>54</v>
      </c>
      <c r="AU1207" s="1" t="s">
        <v>55</v>
      </c>
      <c r="AV1207" s="1" t="s">
        <v>56</v>
      </c>
      <c r="AW1207" s="1" t="s">
        <v>57</v>
      </c>
      <c r="AX1207" s="1" t="s">
        <v>58</v>
      </c>
      <c r="AY1207" s="1" t="s">
        <v>59</v>
      </c>
      <c r="AZ1207" s="1" t="s">
        <v>60</v>
      </c>
      <c r="BA1207" s="1" t="s">
        <v>61</v>
      </c>
      <c r="BB1207" s="1" t="s">
        <v>62</v>
      </c>
      <c r="BC1207" s="1" t="s">
        <v>63</v>
      </c>
      <c r="BD1207" s="1" t="s">
        <v>64</v>
      </c>
      <c r="BE1207" s="1" t="s">
        <v>65</v>
      </c>
      <c r="BF1207" s="1" t="s">
        <v>66</v>
      </c>
      <c r="BG1207" s="1" t="s">
        <v>67</v>
      </c>
      <c r="BH1207" s="1" t="s">
        <v>68</v>
      </c>
      <c r="BI1207" s="1" t="s">
        <v>69</v>
      </c>
      <c r="BJ1207" s="1" t="s">
        <v>70</v>
      </c>
      <c r="BK1207" s="1" t="s">
        <v>929</v>
      </c>
      <c r="BL1207" s="1" t="s">
        <v>930</v>
      </c>
      <c r="BM1207" s="1" t="s">
        <v>931</v>
      </c>
      <c r="BN1207" s="1" t="s">
        <v>932</v>
      </c>
      <c r="BO1207" s="1" t="s">
        <v>933</v>
      </c>
      <c r="BP1207" s="1" t="s">
        <v>934</v>
      </c>
      <c r="BQ1207" s="1" t="s">
        <v>935</v>
      </c>
      <c r="BR1207" s="1" t="s">
        <v>936</v>
      </c>
      <c r="BS1207" s="1" t="s">
        <v>937</v>
      </c>
      <c r="BT1207" s="1" t="s">
        <v>938</v>
      </c>
      <c r="BU1207" s="1" t="s">
        <v>939</v>
      </c>
      <c r="BV1207" s="1" t="s">
        <v>940</v>
      </c>
      <c r="BW1207" s="1" t="s">
        <v>941</v>
      </c>
      <c r="BX1207" s="1" t="s">
        <v>942</v>
      </c>
      <c r="BY1207" s="1" t="s">
        <v>1008</v>
      </c>
    </row>
    <row r="1208" spans="40:77" x14ac:dyDescent="0.3">
      <c r="AN1208" s="53"/>
      <c r="AO1208" s="24">
        <v>5</v>
      </c>
      <c r="AP1208" t="s">
        <v>5</v>
      </c>
      <c r="AQ1208" t="s">
        <v>5</v>
      </c>
      <c r="AR1208" t="s">
        <v>2</v>
      </c>
      <c r="AS1208" t="s">
        <v>5</v>
      </c>
      <c r="AT1208" t="s">
        <v>5</v>
      </c>
      <c r="AU1208" t="s">
        <v>3</v>
      </c>
      <c r="AV1208" t="s">
        <v>5</v>
      </c>
      <c r="AW1208" t="s">
        <v>2</v>
      </c>
      <c r="AX1208" t="s">
        <v>2</v>
      </c>
      <c r="AY1208" t="s">
        <v>2</v>
      </c>
      <c r="AZ1208" t="s">
        <v>2</v>
      </c>
      <c r="BA1208" t="s">
        <v>2</v>
      </c>
      <c r="BB1208" t="s">
        <v>2</v>
      </c>
      <c r="BC1208" t="s">
        <v>3</v>
      </c>
      <c r="BD1208" t="s">
        <v>3</v>
      </c>
      <c r="BE1208" t="s">
        <v>5</v>
      </c>
      <c r="BF1208" t="s">
        <v>5</v>
      </c>
      <c r="BG1208" t="s">
        <v>5</v>
      </c>
      <c r="BH1208" t="s">
        <v>5</v>
      </c>
      <c r="BI1208" t="s">
        <v>3</v>
      </c>
      <c r="BJ1208" t="s">
        <v>3</v>
      </c>
      <c r="BK1208" t="s">
        <v>2</v>
      </c>
      <c r="BL1208" t="s">
        <v>3</v>
      </c>
      <c r="BM1208" t="s">
        <v>4</v>
      </c>
      <c r="BN1208" t="s">
        <v>4</v>
      </c>
      <c r="BO1208" t="s">
        <v>4</v>
      </c>
      <c r="BP1208" t="s">
        <v>4</v>
      </c>
      <c r="BQ1208" t="s">
        <v>4</v>
      </c>
      <c r="BR1208" t="s">
        <v>3</v>
      </c>
      <c r="BS1208" t="s">
        <v>3</v>
      </c>
      <c r="BT1208" t="s">
        <v>4</v>
      </c>
      <c r="BU1208" t="s">
        <v>3</v>
      </c>
      <c r="BV1208" t="s">
        <v>3</v>
      </c>
      <c r="BW1208" t="s">
        <v>4</v>
      </c>
      <c r="BX1208" t="s">
        <v>3</v>
      </c>
      <c r="BY1208" t="s">
        <v>3</v>
      </c>
    </row>
    <row r="1209" spans="40:77" x14ac:dyDescent="0.3">
      <c r="AN1209" t="s">
        <v>1075</v>
      </c>
      <c r="AZ1209"/>
      <c r="BA1209"/>
      <c r="BB1209"/>
      <c r="BC1209"/>
      <c r="BD1209"/>
      <c r="BE1209"/>
      <c r="BF1209"/>
    </row>
    <row r="1210" spans="40:77" x14ac:dyDescent="0.3">
      <c r="AN1210" s="3" t="s">
        <v>355</v>
      </c>
      <c r="AO1210">
        <f>AV18*AT30*AT36*AT41*AT48*AT54*AT58*AT66*AT71*AT77*AT83*AT89*AT95*AT101*AT106*AT112*AT120*AT126*AT132*AT138*AT142*AT148*AT155*AT160*AT163*AT167*AT171*AT175*AT179*AT184*AT188*AT191*AT196*AT200*AT203*AT208*AT212</f>
        <v>0</v>
      </c>
      <c r="AZ1210"/>
      <c r="BA1210"/>
      <c r="BB1210"/>
      <c r="BC1210"/>
      <c r="BD1210"/>
      <c r="BE1210"/>
      <c r="BF1210"/>
    </row>
    <row r="1211" spans="40:77" x14ac:dyDescent="0.3">
      <c r="AN1211" t="s">
        <v>1080</v>
      </c>
      <c r="AZ1211"/>
      <c r="BA1211"/>
      <c r="BB1211"/>
      <c r="BC1211"/>
      <c r="BD1211"/>
      <c r="BE1211"/>
      <c r="BF1211"/>
    </row>
    <row r="1212" spans="40:77" x14ac:dyDescent="0.3">
      <c r="AN1212" s="3" t="s">
        <v>355</v>
      </c>
      <c r="AO1212">
        <f>AV19*AU30*AU36*AU41*AU48*AU54*AU58*AU66*AU71*AU77*AU83*AU89*AU95*AU101*AU106*AU112*AU120*AU126*AU132*AU138*AU142*AU148*AU155*AU160*AU163*AU167*AU171*AU175*AU179*AU184*AU188*AU191*AU196*AU200*AU203*AU208*AU212</f>
        <v>0</v>
      </c>
      <c r="AZ1212"/>
      <c r="BA1212"/>
      <c r="BB1212"/>
      <c r="BC1212"/>
      <c r="BD1212"/>
      <c r="BE1212"/>
      <c r="BF1212"/>
    </row>
    <row r="1213" spans="40:77" x14ac:dyDescent="0.3">
      <c r="AN1213" t="s">
        <v>1079</v>
      </c>
      <c r="AZ1213"/>
      <c r="BA1213"/>
      <c r="BB1213"/>
      <c r="BC1213"/>
      <c r="BD1213"/>
      <c r="BE1213"/>
      <c r="BF1213"/>
    </row>
    <row r="1214" spans="40:77" x14ac:dyDescent="0.3">
      <c r="AN1214" s="3" t="s">
        <v>355</v>
      </c>
      <c r="AO1214">
        <f>AV20*AV30*AV36*AV41*AV48*AV54*AV58*AV66*AV71*AV77*AV83*AV89*AV95*AV101*AV106*AV112*AV120*AV126*AV132*AV138*AV142*AV148*AV155*AV160*AV163*AV167*AV171*AV175*AV179*AV184*AV188*AV191*AV196*AV200*AV203*AV208*AV212</f>
        <v>0</v>
      </c>
      <c r="AZ1214"/>
      <c r="BA1214"/>
      <c r="BB1214"/>
      <c r="BC1214"/>
      <c r="BD1214"/>
      <c r="BE1214"/>
      <c r="BF1214"/>
    </row>
    <row r="1215" spans="40:77" x14ac:dyDescent="0.3">
      <c r="AN1215" t="s">
        <v>1078</v>
      </c>
      <c r="AZ1215"/>
      <c r="BA1215"/>
      <c r="BB1215"/>
      <c r="BC1215"/>
      <c r="BD1215"/>
      <c r="BE1215"/>
      <c r="BF1215"/>
    </row>
    <row r="1216" spans="40:77" x14ac:dyDescent="0.3">
      <c r="AN1216" s="3" t="s">
        <v>355</v>
      </c>
      <c r="AO1216">
        <f>AV21*AW30*AW36*AW41*AW48*AW54*AW58*AW66*AW71*AW77*AW83*AW89*AW95*AW101*AW106*AW112*AW120*AW126*AW132*AW138*AW142*AW148*AW155*AW160*AW163*AW167*AW171*AW175*AW179*AW184*AW188*AW191*AW196*AW200*AW203*AW208*AW212</f>
        <v>0</v>
      </c>
      <c r="AZ1216"/>
      <c r="BA1216"/>
      <c r="BB1216"/>
      <c r="BC1216"/>
      <c r="BD1216"/>
      <c r="BE1216"/>
      <c r="BF1216"/>
    </row>
    <row r="1217" spans="40:77" x14ac:dyDescent="0.3">
      <c r="AN1217" t="s">
        <v>1077</v>
      </c>
      <c r="AZ1217"/>
      <c r="BA1217"/>
      <c r="BB1217"/>
      <c r="BC1217"/>
      <c r="BD1217"/>
      <c r="BE1217"/>
      <c r="BF1217"/>
    </row>
    <row r="1218" spans="40:77" x14ac:dyDescent="0.3">
      <c r="AN1218" s="3" t="s">
        <v>355</v>
      </c>
      <c r="AO1218">
        <f>AV22*AX30*AX36*AX41*AX48*AX54*AX58*AX66*AX71*AX77*AX83*AX89*AX95*AX101*AX106*AX112*AX120*AX126*AX132*AX138*AX142*AX148*AX155*AX160*AX163*AX167*AX171*AX175*AX179*AX184*AX188*AX191*AX196*AX200*AX203*AX208*AX212</f>
        <v>8.776786378752001E-9</v>
      </c>
      <c r="AZ1218"/>
      <c r="BA1218"/>
      <c r="BB1218"/>
      <c r="BC1218"/>
      <c r="BD1218"/>
      <c r="BE1218"/>
      <c r="BF1218"/>
    </row>
    <row r="1219" spans="40:77" x14ac:dyDescent="0.3">
      <c r="AN1219" t="s">
        <v>1076</v>
      </c>
      <c r="AZ1219"/>
      <c r="BA1219"/>
      <c r="BB1219"/>
      <c r="BC1219"/>
      <c r="BD1219"/>
      <c r="BE1219"/>
      <c r="BF1219"/>
    </row>
    <row r="1220" spans="40:77" x14ac:dyDescent="0.3">
      <c r="AN1220" s="3" t="s">
        <v>355</v>
      </c>
      <c r="AO1220">
        <f>AV23*AY30*AY36*AY41*AY48*AY54*AY58*AY66*AY71*AY77*AY83*AY89*AY95*AY101*AY106*AY112*AY120*AY126*AY132*AY138*AY142*AY148*AY155*AY160*AY163*AY167*AY171*AY175*AY179*AY184*AY188*AY191*AY196*AY200*AY203*AY208*AY212</f>
        <v>0</v>
      </c>
      <c r="AZ1220"/>
      <c r="BA1220"/>
      <c r="BB1220"/>
      <c r="BC1220"/>
      <c r="BD1220"/>
      <c r="BE1220"/>
      <c r="BF1220"/>
    </row>
    <row r="1221" spans="40:77" x14ac:dyDescent="0.3">
      <c r="AN1221" s="24" t="s">
        <v>396</v>
      </c>
      <c r="AO1221" t="s">
        <v>554</v>
      </c>
      <c r="AP1221" s="25" t="s">
        <v>405</v>
      </c>
      <c r="AZ1221"/>
      <c r="BA1221"/>
      <c r="BB1221"/>
      <c r="BC1221"/>
      <c r="BD1221"/>
      <c r="BE1221"/>
      <c r="BF1221"/>
    </row>
    <row r="1223" spans="40:77" x14ac:dyDescent="0.3">
      <c r="AN1223" s="53" t="s">
        <v>910</v>
      </c>
      <c r="AO1223" s="24" t="s">
        <v>71</v>
      </c>
      <c r="AP1223" s="1" t="s">
        <v>50</v>
      </c>
      <c r="AQ1223" s="1" t="s">
        <v>51</v>
      </c>
      <c r="AR1223" s="1" t="s">
        <v>52</v>
      </c>
      <c r="AS1223" s="1" t="s">
        <v>53</v>
      </c>
      <c r="AT1223" s="1" t="s">
        <v>54</v>
      </c>
      <c r="AU1223" s="1" t="s">
        <v>55</v>
      </c>
      <c r="AV1223" s="1" t="s">
        <v>56</v>
      </c>
      <c r="AW1223" s="1" t="s">
        <v>57</v>
      </c>
      <c r="AX1223" s="1" t="s">
        <v>58</v>
      </c>
      <c r="AY1223" s="1" t="s">
        <v>59</v>
      </c>
      <c r="AZ1223" s="1" t="s">
        <v>60</v>
      </c>
      <c r="BA1223" s="1" t="s">
        <v>61</v>
      </c>
      <c r="BB1223" s="1" t="s">
        <v>62</v>
      </c>
      <c r="BC1223" s="1" t="s">
        <v>63</v>
      </c>
      <c r="BD1223" s="1" t="s">
        <v>64</v>
      </c>
      <c r="BE1223" s="1" t="s">
        <v>65</v>
      </c>
      <c r="BF1223" s="1" t="s">
        <v>66</v>
      </c>
      <c r="BG1223" s="1" t="s">
        <v>67</v>
      </c>
      <c r="BH1223" s="1" t="s">
        <v>68</v>
      </c>
      <c r="BI1223" s="1" t="s">
        <v>69</v>
      </c>
      <c r="BJ1223" s="1" t="s">
        <v>70</v>
      </c>
      <c r="BK1223" s="1" t="s">
        <v>929</v>
      </c>
      <c r="BL1223" s="1" t="s">
        <v>930</v>
      </c>
      <c r="BM1223" s="1" t="s">
        <v>931</v>
      </c>
      <c r="BN1223" s="1" t="s">
        <v>932</v>
      </c>
      <c r="BO1223" s="1" t="s">
        <v>933</v>
      </c>
      <c r="BP1223" s="1" t="s">
        <v>934</v>
      </c>
      <c r="BQ1223" s="1" t="s">
        <v>935</v>
      </c>
      <c r="BR1223" s="1" t="s">
        <v>936</v>
      </c>
      <c r="BS1223" s="1" t="s">
        <v>937</v>
      </c>
      <c r="BT1223" s="1" t="s">
        <v>938</v>
      </c>
      <c r="BU1223" s="1" t="s">
        <v>939</v>
      </c>
      <c r="BV1223" s="1" t="s">
        <v>940</v>
      </c>
      <c r="BW1223" s="1" t="s">
        <v>941</v>
      </c>
      <c r="BX1223" s="1" t="s">
        <v>942</v>
      </c>
      <c r="BY1223" s="1" t="s">
        <v>1008</v>
      </c>
    </row>
    <row r="1224" spans="40:77" x14ac:dyDescent="0.3">
      <c r="AN1224" s="53"/>
      <c r="AO1224" s="24">
        <v>6</v>
      </c>
      <c r="AP1224" t="s">
        <v>5</v>
      </c>
      <c r="AQ1224" t="s">
        <v>5</v>
      </c>
      <c r="AR1224" t="s">
        <v>3</v>
      </c>
      <c r="AS1224" t="s">
        <v>5</v>
      </c>
      <c r="AT1224" t="s">
        <v>5</v>
      </c>
      <c r="AU1224" t="s">
        <v>5</v>
      </c>
      <c r="AV1224" t="s">
        <v>5</v>
      </c>
      <c r="AW1224" t="s">
        <v>2</v>
      </c>
      <c r="AX1224" t="s">
        <v>2</v>
      </c>
      <c r="AY1224" t="s">
        <v>4</v>
      </c>
      <c r="AZ1224" t="s">
        <v>4</v>
      </c>
      <c r="BA1224" t="s">
        <v>4</v>
      </c>
      <c r="BB1224" t="s">
        <v>5</v>
      </c>
      <c r="BC1224" t="s">
        <v>4</v>
      </c>
      <c r="BD1224" t="s">
        <v>5</v>
      </c>
      <c r="BE1224" t="s">
        <v>5</v>
      </c>
      <c r="BF1224" t="s">
        <v>5</v>
      </c>
      <c r="BG1224" t="s">
        <v>5</v>
      </c>
      <c r="BH1224" t="s">
        <v>3</v>
      </c>
      <c r="BI1224" t="s">
        <v>5</v>
      </c>
      <c r="BJ1224" t="s">
        <v>2</v>
      </c>
      <c r="BK1224" t="s">
        <v>2</v>
      </c>
      <c r="BL1224" t="s">
        <v>3</v>
      </c>
      <c r="BM1224" t="s">
        <v>4</v>
      </c>
      <c r="BN1224" t="s">
        <v>4</v>
      </c>
      <c r="BO1224" t="s">
        <v>4</v>
      </c>
      <c r="BP1224" t="s">
        <v>4</v>
      </c>
      <c r="BQ1224" t="s">
        <v>4</v>
      </c>
      <c r="BR1224" t="s">
        <v>4</v>
      </c>
      <c r="BS1224" t="s">
        <v>3</v>
      </c>
      <c r="BT1224" t="s">
        <v>4</v>
      </c>
      <c r="BU1224" t="s">
        <v>3</v>
      </c>
      <c r="BV1224" t="s">
        <v>3</v>
      </c>
      <c r="BW1224" t="s">
        <v>4</v>
      </c>
      <c r="BX1224" t="s">
        <v>3</v>
      </c>
      <c r="BY1224" t="s">
        <v>3</v>
      </c>
    </row>
    <row r="1225" spans="40:77" x14ac:dyDescent="0.3">
      <c r="AN1225" t="s">
        <v>1081</v>
      </c>
      <c r="AZ1225"/>
      <c r="BA1225"/>
      <c r="BB1225"/>
      <c r="BC1225"/>
      <c r="BD1225"/>
      <c r="BE1225"/>
      <c r="BF1225"/>
    </row>
    <row r="1226" spans="40:77" x14ac:dyDescent="0.3">
      <c r="AN1226" s="3" t="s">
        <v>355</v>
      </c>
      <c r="AO1226">
        <f>AV18*AT30*AT36*AT40*AT48*AT54*AT60*AT66*AT71*AT77*AT81*AT87*AT93*AT102*AT105*AT120*AT114*AT126*AT132*AT136*AT144*AT149*AT155*AT160*AT163*AT167*AT171*AT175*AT179*AT183*AT188*AT191*AT196*AT200*AT203*AT208*AT212</f>
        <v>0</v>
      </c>
      <c r="AZ1226"/>
      <c r="BA1226"/>
      <c r="BB1226"/>
      <c r="BC1226"/>
      <c r="BD1226"/>
      <c r="BE1226"/>
      <c r="BF1226"/>
    </row>
    <row r="1227" spans="40:77" x14ac:dyDescent="0.3">
      <c r="AN1227" t="s">
        <v>1082</v>
      </c>
      <c r="AZ1227"/>
      <c r="BA1227"/>
      <c r="BB1227"/>
      <c r="BC1227"/>
      <c r="BD1227"/>
      <c r="BE1227"/>
      <c r="BF1227"/>
    </row>
    <row r="1228" spans="40:77" x14ac:dyDescent="0.3">
      <c r="AN1228" s="3" t="s">
        <v>355</v>
      </c>
      <c r="AO1228">
        <f>AV19*AU30*AU36*AU40*AU48*AU54*AU60*AU66*AU71*AU77*AU81*AU87*AU93*AU102*AU105*AU120*AU114*AU126*AU132*AU136*AU144*AU149*AU155*AU160*AU163*AU167*AU171*AU175*AU179*AU183*AU188*AU191*AU196*AU200*AU203*AU208*AU212</f>
        <v>0</v>
      </c>
      <c r="AZ1228"/>
      <c r="BA1228"/>
      <c r="BB1228"/>
      <c r="BC1228"/>
      <c r="BD1228"/>
      <c r="BE1228"/>
      <c r="BF1228"/>
    </row>
    <row r="1229" spans="40:77" x14ac:dyDescent="0.3">
      <c r="AN1229" t="s">
        <v>1083</v>
      </c>
      <c r="AZ1229"/>
      <c r="BA1229"/>
      <c r="BB1229"/>
      <c r="BC1229"/>
      <c r="BD1229"/>
      <c r="BE1229"/>
      <c r="BF1229"/>
    </row>
    <row r="1230" spans="40:77" x14ac:dyDescent="0.3">
      <c r="AN1230" s="3" t="s">
        <v>355</v>
      </c>
      <c r="AO1230">
        <f>AV20*AV30*AV36*AV40*AV48*AV54*AV60*AV66*AV71*AV77*AV81*AV87*AV93*AV102*AV105*AV120*AV114*AV126*AV132*AV136*AV144*AV149*AV155*AV160*AV163*AV167*AV171*AV175*AV179*AV183*AV188*AV191*AV196*AV200*AV203*AV208*AV212</f>
        <v>0</v>
      </c>
      <c r="AZ1230"/>
      <c r="BA1230"/>
      <c r="BB1230"/>
      <c r="BC1230"/>
      <c r="BD1230"/>
      <c r="BE1230"/>
      <c r="BF1230"/>
    </row>
    <row r="1231" spans="40:77" x14ac:dyDescent="0.3">
      <c r="AN1231" t="s">
        <v>1084</v>
      </c>
      <c r="AZ1231"/>
      <c r="BA1231"/>
      <c r="BB1231"/>
      <c r="BC1231"/>
      <c r="BD1231"/>
      <c r="BE1231"/>
      <c r="BF1231"/>
    </row>
    <row r="1232" spans="40:77" x14ac:dyDescent="0.3">
      <c r="AN1232" s="3" t="s">
        <v>355</v>
      </c>
      <c r="AO1232">
        <f>AV21*AW30*AW36*AW40*AW48*AW54*AW60*AW66*AW71*AW77*AW81*AW87*AW93*AW102*AW105*AW120*AW114*AW126*AW132*AW136*AW144*AW149*AW155*AW160*AW163*AW167*AW171*AW175*AW179*AW183*AW188*AW191*AW196*AW200*AW203*AW208*AW212</f>
        <v>0</v>
      </c>
      <c r="AZ1232"/>
      <c r="BA1232"/>
      <c r="BB1232"/>
      <c r="BC1232"/>
      <c r="BD1232"/>
      <c r="BE1232"/>
      <c r="BF1232"/>
    </row>
    <row r="1233" spans="40:77" x14ac:dyDescent="0.3">
      <c r="AN1233" t="s">
        <v>1085</v>
      </c>
      <c r="AZ1233"/>
      <c r="BA1233"/>
      <c r="BB1233"/>
      <c r="BC1233"/>
      <c r="BD1233"/>
      <c r="BE1233"/>
      <c r="BF1233"/>
    </row>
    <row r="1234" spans="40:77" x14ac:dyDescent="0.3">
      <c r="AN1234" s="3" t="s">
        <v>355</v>
      </c>
      <c r="AO1234">
        <f>AV22*AX30*AX36*AX40*AX48*AX54*AX60*AX66*AX71*AX77*AX81*AX87*AX93*AX102*AX105*AX120*AX114*AX126*AX132*AX136*AX144*AX149*AX155*AX160*AX163*AX167*AX171*AX175*AX179*AX183*AX188*AX191*AX196*AX200*AX203*AX208*AX212</f>
        <v>0</v>
      </c>
      <c r="AZ1234"/>
      <c r="BA1234"/>
      <c r="BB1234"/>
      <c r="BC1234"/>
      <c r="BD1234"/>
      <c r="BE1234"/>
      <c r="BF1234"/>
    </row>
    <row r="1235" spans="40:77" x14ac:dyDescent="0.3">
      <c r="AN1235" t="s">
        <v>1086</v>
      </c>
      <c r="AZ1235"/>
      <c r="BA1235"/>
      <c r="BB1235"/>
      <c r="BC1235"/>
      <c r="BD1235"/>
      <c r="BE1235"/>
      <c r="BF1235"/>
    </row>
    <row r="1236" spans="40:77" x14ac:dyDescent="0.3">
      <c r="AN1236" s="3" t="s">
        <v>355</v>
      </c>
      <c r="AO1236">
        <f>AV23*AY30*AY36*AY40*AY48*AY54*AY60*AY66*AY71*AY77*AY81*AY87*AY93*AY102*AY105*AY120*AY114*AY126*AY132*AY136*AY144*AY149*AY155*AY160*AY163*AY167*AY171*AY175*AY179*AY183*AY188*AY191*AY196*AY200*AY203*AY208*AY212</f>
        <v>2.0064997519065611E-9</v>
      </c>
      <c r="AZ1236"/>
      <c r="BA1236"/>
      <c r="BB1236"/>
      <c r="BC1236"/>
      <c r="BD1236"/>
      <c r="BE1236"/>
      <c r="BF1236"/>
    </row>
    <row r="1237" spans="40:77" x14ac:dyDescent="0.3">
      <c r="AN1237" s="24" t="s">
        <v>391</v>
      </c>
      <c r="AO1237" t="s">
        <v>564</v>
      </c>
      <c r="AP1237" s="25" t="s">
        <v>640</v>
      </c>
      <c r="AZ1237"/>
      <c r="BA1237"/>
      <c r="BB1237"/>
      <c r="BC1237"/>
      <c r="BD1237"/>
      <c r="BE1237"/>
      <c r="BF1237"/>
    </row>
    <row r="1238" spans="40:77" x14ac:dyDescent="0.3">
      <c r="AZ1238"/>
      <c r="BA1238"/>
      <c r="BB1238"/>
      <c r="BC1238"/>
      <c r="BD1238"/>
      <c r="BE1238"/>
      <c r="BF1238"/>
    </row>
    <row r="1239" spans="40:77" x14ac:dyDescent="0.3">
      <c r="AN1239" s="53" t="s">
        <v>909</v>
      </c>
      <c r="AO1239" s="24" t="s">
        <v>71</v>
      </c>
      <c r="AP1239" s="1" t="s">
        <v>50</v>
      </c>
      <c r="AQ1239" s="1" t="s">
        <v>51</v>
      </c>
      <c r="AR1239" s="1" t="s">
        <v>52</v>
      </c>
      <c r="AS1239" s="1" t="s">
        <v>53</v>
      </c>
      <c r="AT1239" s="1" t="s">
        <v>54</v>
      </c>
      <c r="AU1239" s="1" t="s">
        <v>55</v>
      </c>
      <c r="AV1239" s="1" t="s">
        <v>56</v>
      </c>
      <c r="AW1239" s="1" t="s">
        <v>57</v>
      </c>
      <c r="AX1239" s="1" t="s">
        <v>58</v>
      </c>
      <c r="AY1239" s="1" t="s">
        <v>59</v>
      </c>
      <c r="AZ1239" s="1" t="s">
        <v>60</v>
      </c>
      <c r="BA1239" s="1" t="s">
        <v>61</v>
      </c>
      <c r="BB1239" s="1" t="s">
        <v>62</v>
      </c>
      <c r="BC1239" s="1" t="s">
        <v>63</v>
      </c>
      <c r="BD1239" s="1" t="s">
        <v>64</v>
      </c>
      <c r="BE1239" s="1" t="s">
        <v>65</v>
      </c>
      <c r="BF1239" s="1" t="s">
        <v>66</v>
      </c>
      <c r="BG1239" s="1" t="s">
        <v>67</v>
      </c>
      <c r="BH1239" s="1" t="s">
        <v>68</v>
      </c>
      <c r="BI1239" s="1" t="s">
        <v>69</v>
      </c>
      <c r="BJ1239" s="1" t="s">
        <v>70</v>
      </c>
      <c r="BK1239" s="1" t="s">
        <v>929</v>
      </c>
      <c r="BL1239" s="1" t="s">
        <v>930</v>
      </c>
      <c r="BM1239" s="1" t="s">
        <v>931</v>
      </c>
      <c r="BN1239" s="1" t="s">
        <v>932</v>
      </c>
      <c r="BO1239" s="1" t="s">
        <v>933</v>
      </c>
      <c r="BP1239" s="1" t="s">
        <v>934</v>
      </c>
      <c r="BQ1239" s="1" t="s">
        <v>935</v>
      </c>
      <c r="BR1239" s="1" t="s">
        <v>936</v>
      </c>
      <c r="BS1239" s="1" t="s">
        <v>937</v>
      </c>
      <c r="BT1239" s="1" t="s">
        <v>938</v>
      </c>
      <c r="BU1239" s="1" t="s">
        <v>939</v>
      </c>
      <c r="BV1239" s="1" t="s">
        <v>940</v>
      </c>
      <c r="BW1239" s="1" t="s">
        <v>941</v>
      </c>
      <c r="BX1239" s="1" t="s">
        <v>942</v>
      </c>
      <c r="BY1239" s="1" t="s">
        <v>1008</v>
      </c>
    </row>
    <row r="1240" spans="40:77" x14ac:dyDescent="0.3">
      <c r="AN1240" s="53"/>
      <c r="AO1240" s="24">
        <v>6</v>
      </c>
      <c r="AP1240" t="s">
        <v>4</v>
      </c>
      <c r="AQ1240" t="s">
        <v>5</v>
      </c>
      <c r="AR1240" t="s">
        <v>2</v>
      </c>
      <c r="AS1240" t="s">
        <v>5</v>
      </c>
      <c r="AT1240" t="s">
        <v>5</v>
      </c>
      <c r="AU1240" t="s">
        <v>5</v>
      </c>
      <c r="AV1240" t="s">
        <v>2</v>
      </c>
      <c r="AW1240" t="s">
        <v>2</v>
      </c>
      <c r="AX1240" t="s">
        <v>2</v>
      </c>
      <c r="AY1240" t="s">
        <v>4</v>
      </c>
      <c r="AZ1240" t="s">
        <v>2</v>
      </c>
      <c r="BA1240" t="s">
        <v>5</v>
      </c>
      <c r="BB1240" t="s">
        <v>5</v>
      </c>
      <c r="BC1240" t="s">
        <v>4</v>
      </c>
      <c r="BD1240" t="s">
        <v>5</v>
      </c>
      <c r="BE1240" t="s">
        <v>5</v>
      </c>
      <c r="BF1240" t="s">
        <v>5</v>
      </c>
      <c r="BG1240" t="s">
        <v>5</v>
      </c>
      <c r="BH1240" t="s">
        <v>5</v>
      </c>
      <c r="BI1240" t="s">
        <v>4</v>
      </c>
      <c r="BJ1240" t="s">
        <v>3</v>
      </c>
      <c r="BK1240" t="s">
        <v>2</v>
      </c>
      <c r="BL1240" t="s">
        <v>3</v>
      </c>
      <c r="BM1240" t="s">
        <v>4</v>
      </c>
      <c r="BN1240" t="s">
        <v>4</v>
      </c>
      <c r="BO1240" t="s">
        <v>4</v>
      </c>
      <c r="BP1240" t="s">
        <v>3</v>
      </c>
      <c r="BQ1240" t="s">
        <v>4</v>
      </c>
      <c r="BR1240" t="s">
        <v>3</v>
      </c>
      <c r="BS1240" t="s">
        <v>3</v>
      </c>
      <c r="BT1240" t="s">
        <v>3</v>
      </c>
      <c r="BU1240" t="s">
        <v>3</v>
      </c>
      <c r="BV1240" t="s">
        <v>3</v>
      </c>
      <c r="BW1240" t="s">
        <v>3</v>
      </c>
      <c r="BX1240" t="s">
        <v>3</v>
      </c>
      <c r="BY1240" t="s">
        <v>3</v>
      </c>
    </row>
    <row r="1241" spans="40:77" x14ac:dyDescent="0.3">
      <c r="AN1241" t="s">
        <v>1087</v>
      </c>
      <c r="AZ1241"/>
      <c r="BA1241"/>
      <c r="BB1241"/>
      <c r="BC1241"/>
      <c r="BD1241"/>
      <c r="BE1241"/>
      <c r="BF1241"/>
    </row>
    <row r="1242" spans="40:77" x14ac:dyDescent="0.3">
      <c r="AN1242" s="3" t="s">
        <v>355</v>
      </c>
      <c r="AO1242">
        <f>AV18*AT27*AT36*AT41*AT48*AT54*AT60*AT65*AT71*AT77*AT81*AT89*AT96*AT102*AT105*AT114*AT120*AT126*AT132*AT138*AT141*AT148*AT155*AT160*AT163*AT167*AT171*AT176*AT179*AT184*AT188*AT192*AT196*AT200*AT204*AT208*AT212</f>
        <v>0</v>
      </c>
      <c r="AZ1242"/>
      <c r="BA1242"/>
      <c r="BB1242"/>
      <c r="BC1242"/>
      <c r="BD1242"/>
      <c r="BE1242"/>
      <c r="BF1242"/>
    </row>
    <row r="1243" spans="40:77" x14ac:dyDescent="0.3">
      <c r="AN1243" t="s">
        <v>1088</v>
      </c>
      <c r="AZ1243"/>
      <c r="BA1243"/>
      <c r="BB1243"/>
      <c r="BC1243"/>
      <c r="BD1243"/>
      <c r="BE1243"/>
      <c r="BF1243"/>
    </row>
    <row r="1244" spans="40:77" x14ac:dyDescent="0.3">
      <c r="AN1244" s="3" t="s">
        <v>355</v>
      </c>
      <c r="AO1244">
        <f>AV19*AU27*AU36*AU41*AU48*AU54*AU60*AU65*AU71*AU77*AU81*AU89*AU96*AU102*AU105*AU114*AU120*AU126*AU132*AU138*AU141*AU148*AU155*AU160*AU163*AU167*AU171*AU176*AU179*AU184*AU188*AU192*AU196*AU200*AU204*AU208*AU212</f>
        <v>0</v>
      </c>
      <c r="AZ1244"/>
      <c r="BA1244"/>
      <c r="BB1244"/>
      <c r="BC1244"/>
      <c r="BD1244"/>
      <c r="BE1244"/>
      <c r="BF1244"/>
    </row>
    <row r="1245" spans="40:77" x14ac:dyDescent="0.3">
      <c r="AN1245" t="s">
        <v>1089</v>
      </c>
      <c r="AZ1245"/>
      <c r="BA1245"/>
      <c r="BB1245"/>
      <c r="BC1245"/>
      <c r="BD1245"/>
      <c r="BE1245"/>
      <c r="BF1245"/>
    </row>
    <row r="1246" spans="40:77" x14ac:dyDescent="0.3">
      <c r="AN1246" s="3" t="s">
        <v>355</v>
      </c>
      <c r="AO1246">
        <f>AV20*AV27*AV36*AV41*AV48*AV54*AV60*AV65*AV71*AV77*AV81*AV89*AV96*AV102*AV105*AV114*AV120*AV126*AV132*AV138*AV141*AV148*AV155*AV160*AV163*AV167*AV171*AV176*AV179*AV184*AV188*AV192*AV196*AV200*AV204*AV208*AV212</f>
        <v>0</v>
      </c>
      <c r="AZ1246"/>
      <c r="BA1246"/>
      <c r="BB1246"/>
      <c r="BC1246"/>
      <c r="BD1246"/>
      <c r="BE1246"/>
      <c r="BF1246"/>
    </row>
    <row r="1247" spans="40:77" x14ac:dyDescent="0.3">
      <c r="AN1247" t="s">
        <v>1090</v>
      </c>
      <c r="AZ1247"/>
      <c r="BA1247"/>
      <c r="BB1247"/>
      <c r="BC1247"/>
      <c r="BD1247"/>
      <c r="BE1247"/>
      <c r="BF1247"/>
    </row>
    <row r="1248" spans="40:77" x14ac:dyDescent="0.3">
      <c r="AN1248" s="3" t="s">
        <v>355</v>
      </c>
      <c r="AO1248">
        <f>AV21*AW27*AW36*AW41*AW48*AW54*AW60*AW65*AW71*AW77*AW81*AW89*AW96*AW102*AW105*AW114*AW120*AW126*AW132*AW138*AW141*AW148*AW155*AW160*AW163*AW167*AW171*AW176*AW179*AW184*AW188*AW192*AW196*AW200*AW204*AW208*AW212</f>
        <v>0</v>
      </c>
      <c r="AZ1248"/>
      <c r="BA1248"/>
      <c r="BB1248"/>
      <c r="BC1248"/>
      <c r="BD1248"/>
      <c r="BE1248"/>
      <c r="BF1248"/>
    </row>
    <row r="1249" spans="40:77" x14ac:dyDescent="0.3">
      <c r="AN1249" t="s">
        <v>1091</v>
      </c>
      <c r="AZ1249"/>
      <c r="BA1249"/>
      <c r="BB1249"/>
      <c r="BC1249"/>
      <c r="BD1249"/>
      <c r="BE1249"/>
      <c r="BF1249"/>
    </row>
    <row r="1250" spans="40:77" x14ac:dyDescent="0.3">
      <c r="AN1250" s="3" t="s">
        <v>355</v>
      </c>
      <c r="AO1250">
        <f>AV22*AX27*AX36*AX41*AX48*AX54*AX60*AX65*AX71*AX77*AX81*AX89*AX96*AX102*AX105*AX114*AX120*AX126*AX132*AX138*AX141*AX148*AX155*AX160*AX163*AX167*AX171*AX176*AX179*AX184*AX188*AX192*AX196*AX200*AX204*AX208*AX212</f>
        <v>0</v>
      </c>
      <c r="AZ1250"/>
      <c r="BA1250"/>
      <c r="BB1250"/>
      <c r="BC1250"/>
      <c r="BD1250"/>
      <c r="BE1250"/>
      <c r="BF1250"/>
    </row>
    <row r="1251" spans="40:77" x14ac:dyDescent="0.3">
      <c r="AN1251" t="s">
        <v>1092</v>
      </c>
      <c r="AZ1251"/>
      <c r="BA1251"/>
      <c r="BB1251"/>
      <c r="BC1251"/>
      <c r="BD1251"/>
      <c r="BE1251"/>
      <c r="BF1251"/>
    </row>
    <row r="1252" spans="40:77" x14ac:dyDescent="0.3">
      <c r="AN1252" s="3" t="s">
        <v>355</v>
      </c>
      <c r="AO1252">
        <f>AV23*AY27*AY36*AY41*AY48*AY54*AY60*AY65*AY71*AY77*AY81*AY89*AY96*AY102*AY105*AY114*AY120*AY126*AY132*AY138*AY141*AY148*AY155*AY160*AY163*AY167*AY171*AY176*AY179*AY184*AY188*AY192*AY196*AY200*AY204*AY208*AY212</f>
        <v>8.4668561097523208E-12</v>
      </c>
      <c r="AZ1252"/>
      <c r="BA1252"/>
      <c r="BB1252"/>
      <c r="BC1252"/>
      <c r="BD1252"/>
      <c r="BE1252"/>
      <c r="BF1252"/>
    </row>
    <row r="1253" spans="40:77" x14ac:dyDescent="0.3">
      <c r="AN1253" s="24" t="s">
        <v>391</v>
      </c>
      <c r="AO1253" t="s">
        <v>564</v>
      </c>
      <c r="AP1253" s="25" t="s">
        <v>640</v>
      </c>
      <c r="AZ1253"/>
      <c r="BA1253"/>
      <c r="BB1253"/>
      <c r="BC1253"/>
      <c r="BD1253"/>
      <c r="BE1253"/>
      <c r="BF1253"/>
    </row>
    <row r="1254" spans="40:77" x14ac:dyDescent="0.3">
      <c r="AZ1254"/>
      <c r="BA1254"/>
      <c r="BB1254"/>
      <c r="BC1254"/>
      <c r="BD1254"/>
      <c r="BE1254"/>
      <c r="BF1254"/>
    </row>
    <row r="1255" spans="40:77" x14ac:dyDescent="0.3">
      <c r="AN1255" s="53" t="s">
        <v>911</v>
      </c>
      <c r="AO1255" s="24" t="s">
        <v>71</v>
      </c>
      <c r="AP1255" s="1" t="s">
        <v>50</v>
      </c>
      <c r="AQ1255" s="1" t="s">
        <v>51</v>
      </c>
      <c r="AR1255" s="1" t="s">
        <v>52</v>
      </c>
      <c r="AS1255" s="1" t="s">
        <v>53</v>
      </c>
      <c r="AT1255" s="1" t="s">
        <v>54</v>
      </c>
      <c r="AU1255" s="1" t="s">
        <v>55</v>
      </c>
      <c r="AV1255" s="1" t="s">
        <v>56</v>
      </c>
      <c r="AW1255" s="1" t="s">
        <v>57</v>
      </c>
      <c r="AX1255" s="1" t="s">
        <v>58</v>
      </c>
      <c r="AY1255" s="1" t="s">
        <v>59</v>
      </c>
      <c r="AZ1255" s="1" t="s">
        <v>60</v>
      </c>
      <c r="BA1255" s="1" t="s">
        <v>61</v>
      </c>
      <c r="BB1255" s="1" t="s">
        <v>62</v>
      </c>
      <c r="BC1255" s="1" t="s">
        <v>63</v>
      </c>
      <c r="BD1255" s="1" t="s">
        <v>64</v>
      </c>
      <c r="BE1255" s="1" t="s">
        <v>65</v>
      </c>
      <c r="BF1255" s="1" t="s">
        <v>66</v>
      </c>
      <c r="BG1255" s="1" t="s">
        <v>67</v>
      </c>
      <c r="BH1255" s="1" t="s">
        <v>68</v>
      </c>
      <c r="BI1255" s="1" t="s">
        <v>69</v>
      </c>
      <c r="BJ1255" s="1" t="s">
        <v>70</v>
      </c>
      <c r="BK1255" s="1" t="s">
        <v>929</v>
      </c>
      <c r="BL1255" s="1" t="s">
        <v>930</v>
      </c>
      <c r="BM1255" s="1" t="s">
        <v>931</v>
      </c>
      <c r="BN1255" s="1" t="s">
        <v>932</v>
      </c>
      <c r="BO1255" s="1" t="s">
        <v>933</v>
      </c>
      <c r="BP1255" s="1" t="s">
        <v>934</v>
      </c>
      <c r="BQ1255" s="1" t="s">
        <v>935</v>
      </c>
      <c r="BR1255" s="1" t="s">
        <v>936</v>
      </c>
      <c r="BS1255" s="1" t="s">
        <v>937</v>
      </c>
      <c r="BT1255" s="1" t="s">
        <v>938</v>
      </c>
      <c r="BU1255" s="1" t="s">
        <v>939</v>
      </c>
      <c r="BV1255" s="1" t="s">
        <v>940</v>
      </c>
      <c r="BW1255" s="1" t="s">
        <v>941</v>
      </c>
      <c r="BX1255" s="1" t="s">
        <v>942</v>
      </c>
      <c r="BY1255" s="1" t="s">
        <v>1008</v>
      </c>
    </row>
    <row r="1256" spans="40:77" x14ac:dyDescent="0.3">
      <c r="AN1256" s="53"/>
      <c r="AO1256" s="24">
        <v>6</v>
      </c>
      <c r="AP1256" t="s">
        <v>5</v>
      </c>
      <c r="AQ1256" t="s">
        <v>5</v>
      </c>
      <c r="AR1256" t="s">
        <v>3</v>
      </c>
      <c r="AS1256" t="s">
        <v>2</v>
      </c>
      <c r="AT1256" t="s">
        <v>5</v>
      </c>
      <c r="AU1256" t="s">
        <v>5</v>
      </c>
      <c r="AV1256" t="s">
        <v>5</v>
      </c>
      <c r="AW1256" t="s">
        <v>5</v>
      </c>
      <c r="AX1256" t="s">
        <v>2</v>
      </c>
      <c r="AY1256" t="s">
        <v>4</v>
      </c>
      <c r="AZ1256" t="s">
        <v>4</v>
      </c>
      <c r="BA1256" t="s">
        <v>2</v>
      </c>
      <c r="BB1256" t="s">
        <v>5</v>
      </c>
      <c r="BC1256" t="s">
        <v>2</v>
      </c>
      <c r="BD1256" t="s">
        <v>2</v>
      </c>
      <c r="BE1256" t="s">
        <v>5</v>
      </c>
      <c r="BF1256" t="s">
        <v>3</v>
      </c>
      <c r="BG1256" t="s">
        <v>5</v>
      </c>
      <c r="BH1256" t="s">
        <v>3</v>
      </c>
      <c r="BI1256" t="s">
        <v>2</v>
      </c>
      <c r="BJ1256" t="s">
        <v>2</v>
      </c>
      <c r="BK1256" t="s">
        <v>5</v>
      </c>
      <c r="BL1256" t="s">
        <v>3</v>
      </c>
      <c r="BM1256" t="s">
        <v>4</v>
      </c>
      <c r="BN1256" t="s">
        <v>4</v>
      </c>
      <c r="BO1256" t="s">
        <v>4</v>
      </c>
      <c r="BP1256" t="s">
        <v>3</v>
      </c>
      <c r="BQ1256" t="s">
        <v>4</v>
      </c>
      <c r="BR1256" t="s">
        <v>3</v>
      </c>
      <c r="BS1256" t="s">
        <v>3</v>
      </c>
      <c r="BT1256" t="s">
        <v>3</v>
      </c>
      <c r="BU1256" t="s">
        <v>3</v>
      </c>
      <c r="BV1256" t="s">
        <v>3</v>
      </c>
      <c r="BW1256" t="s">
        <v>3</v>
      </c>
      <c r="BX1256" t="s">
        <v>3</v>
      </c>
      <c r="BY1256" t="s">
        <v>3</v>
      </c>
    </row>
    <row r="1257" spans="40:77" x14ac:dyDescent="0.3">
      <c r="AN1257" t="s">
        <v>1093</v>
      </c>
      <c r="AZ1257"/>
      <c r="BA1257"/>
      <c r="BB1257"/>
      <c r="BC1257"/>
      <c r="BD1257"/>
      <c r="BE1257"/>
      <c r="BF1257"/>
    </row>
    <row r="1258" spans="40:77" x14ac:dyDescent="0.3">
      <c r="AN1258" s="3" t="s">
        <v>355</v>
      </c>
      <c r="AO1258">
        <f>AV18*AT30*AT36*AT40*AT47*AT54*AT60*AT66*AT72*AT77*AT81*AT87*AT95*AT102*AT107*AT113*AT120*AT124*AT132*AT136*AT143*AT149*AT156*AT160*AT163*AT167*AT171*AT176*AT179*AT184*AT188*AT192*AT196*AT200*AT204*AT208*AT212</f>
        <v>0</v>
      </c>
      <c r="AZ1258"/>
      <c r="BA1258"/>
      <c r="BB1258"/>
      <c r="BC1258"/>
      <c r="BD1258"/>
      <c r="BE1258"/>
      <c r="BF1258"/>
    </row>
    <row r="1259" spans="40:77" x14ac:dyDescent="0.3">
      <c r="AN1259" t="s">
        <v>1094</v>
      </c>
      <c r="AZ1259"/>
      <c r="BA1259"/>
      <c r="BB1259"/>
      <c r="BC1259"/>
      <c r="BD1259"/>
      <c r="BE1259"/>
      <c r="BF1259"/>
    </row>
    <row r="1260" spans="40:77" x14ac:dyDescent="0.3">
      <c r="AN1260" s="3" t="s">
        <v>355</v>
      </c>
      <c r="AO1260">
        <f>AV19*AU30*AU36*AU40*AU47*AU54*AU60*AU66*AU72*AU77*AU81*AU87*AU95*AU102*AU107*AU113*AU120*AU124*AU132*AU136*AU143*AU149*AU156*AU160*AU163*AU167*AU171*AU176*AU179*AU184*AU188*AU192*AU196*AU200*AU204*AU208*AU212</f>
        <v>0</v>
      </c>
      <c r="AZ1260"/>
      <c r="BA1260"/>
      <c r="BB1260"/>
      <c r="BC1260"/>
      <c r="BD1260"/>
      <c r="BE1260"/>
      <c r="BF1260"/>
    </row>
    <row r="1261" spans="40:77" x14ac:dyDescent="0.3">
      <c r="AN1261" t="s">
        <v>1095</v>
      </c>
      <c r="AZ1261"/>
      <c r="BA1261"/>
      <c r="BB1261"/>
      <c r="BC1261"/>
      <c r="BD1261"/>
      <c r="BE1261"/>
      <c r="BF1261"/>
    </row>
    <row r="1262" spans="40:77" x14ac:dyDescent="0.3">
      <c r="AN1262" s="3" t="s">
        <v>355</v>
      </c>
      <c r="AO1262">
        <f>AV20*AV30*AV36*AV40*AV47*AV54*AV60*AV66*AV72*AV77*AV81*AV87*AV95*AV102*AV107*AV113*AV120*AV124*AV132*AV136*AV143*AV149*AV156*AV160*AV163*AV167*AV171*AV176*AV179*AV184*AV188*AV192*AV196*AV200*AV204*AV208*AV212</f>
        <v>0</v>
      </c>
      <c r="AZ1262"/>
      <c r="BA1262"/>
      <c r="BB1262"/>
      <c r="BC1262"/>
      <c r="BD1262"/>
      <c r="BE1262"/>
      <c r="BF1262"/>
    </row>
    <row r="1263" spans="40:77" x14ac:dyDescent="0.3">
      <c r="AN1263" t="s">
        <v>1096</v>
      </c>
      <c r="AZ1263"/>
      <c r="BA1263"/>
      <c r="BB1263"/>
      <c r="BC1263"/>
      <c r="BD1263"/>
      <c r="BE1263"/>
      <c r="BF1263"/>
    </row>
    <row r="1264" spans="40:77" x14ac:dyDescent="0.3">
      <c r="AN1264" s="3" t="s">
        <v>355</v>
      </c>
      <c r="AO1264">
        <f>AV21*AW30*AW36*AW40*AW47*AW54*AW60*AW66*AW72*AW77*AW81*AW87*AW95*AW102*AW107*AW113*AW120*AW124*AW132*AW136*AW143*AW149*AW156*AW160*AW163*AW167*AW171*AW176*AW179*AW184*AW188*AW192*AW196*AW200*AW204*AW208*AW212</f>
        <v>0</v>
      </c>
      <c r="AZ1264"/>
      <c r="BA1264"/>
      <c r="BB1264"/>
      <c r="BC1264"/>
      <c r="BD1264"/>
      <c r="BE1264"/>
      <c r="BF1264"/>
    </row>
    <row r="1265" spans="40:58" x14ac:dyDescent="0.3">
      <c r="AN1265" t="s">
        <v>1097</v>
      </c>
      <c r="AZ1265"/>
      <c r="BA1265"/>
      <c r="BB1265"/>
      <c r="BC1265"/>
      <c r="BD1265"/>
      <c r="BE1265"/>
      <c r="BF1265"/>
    </row>
    <row r="1266" spans="40:58" x14ac:dyDescent="0.3">
      <c r="AN1266" s="3" t="s">
        <v>355</v>
      </c>
      <c r="AO1266">
        <f>AV22*AX30*AX36*AX40*AX47*AX54*AX60*AX66*AX72*AX77*AX81*AX87*AX95*AX102*AX107*AX113*AX120*AX124*AX132*AX136*AX143*AX149*AX156*AX160*AX163*AX167*AX171*AX176*AX179*AX184*AX188*AX192*AX196*AX200*AX204*AX208*AX212</f>
        <v>0</v>
      </c>
      <c r="AZ1266"/>
      <c r="BA1266"/>
      <c r="BB1266"/>
      <c r="BC1266"/>
      <c r="BD1266"/>
      <c r="BE1266"/>
      <c r="BF1266"/>
    </row>
    <row r="1267" spans="40:58" x14ac:dyDescent="0.3">
      <c r="AN1267" t="s">
        <v>1098</v>
      </c>
      <c r="AZ1267"/>
      <c r="BA1267"/>
      <c r="BB1267"/>
      <c r="BC1267"/>
      <c r="BD1267"/>
      <c r="BE1267"/>
      <c r="BF1267"/>
    </row>
    <row r="1268" spans="40:58" x14ac:dyDescent="0.3">
      <c r="AN1268" s="3" t="s">
        <v>355</v>
      </c>
      <c r="AO1268">
        <f>AV23*AY30*AY36*AY40*AY47*AY54*AY60*AY66*AY72*AY77*AY81*AY87*AY95*AY102*AY107*AY113*AY120*AY124*AY132*AY136*AY143*AY149*AY156*AY160*AY163*AY167*AY171*AY176*AY179*AY184*AY188*AY192*AY196*AY200*AY204*AY208*AY212</f>
        <v>2.477160187538965E-13</v>
      </c>
      <c r="AZ1268"/>
      <c r="BA1268"/>
      <c r="BB1268"/>
      <c r="BC1268"/>
      <c r="BD1268"/>
      <c r="BE1268"/>
      <c r="BF1268"/>
    </row>
    <row r="1269" spans="40:58" x14ac:dyDescent="0.3">
      <c r="AN1269" s="24" t="s">
        <v>391</v>
      </c>
      <c r="AO1269" t="s">
        <v>564</v>
      </c>
      <c r="AP1269" s="25" t="s">
        <v>640</v>
      </c>
      <c r="AZ1269"/>
      <c r="BA1269"/>
      <c r="BB1269"/>
      <c r="BC1269"/>
      <c r="BD1269"/>
      <c r="BE1269"/>
      <c r="BF1269"/>
    </row>
    <row r="1271" spans="40:58" x14ac:dyDescent="0.3">
      <c r="AN1271" s="28" t="s">
        <v>383</v>
      </c>
      <c r="AO1271" s="28" t="s">
        <v>372</v>
      </c>
      <c r="AP1271" s="28" t="s">
        <v>373</v>
      </c>
      <c r="AQ1271" s="28" t="s">
        <v>374</v>
      </c>
      <c r="AR1271" s="28" t="s">
        <v>375</v>
      </c>
      <c r="AS1271" s="28" t="s">
        <v>376</v>
      </c>
      <c r="AT1271" s="28" t="s">
        <v>377</v>
      </c>
      <c r="AU1271" s="29" t="s">
        <v>746</v>
      </c>
      <c r="AV1271" s="29" t="s">
        <v>380</v>
      </c>
      <c r="AW1271" s="29" t="s">
        <v>675</v>
      </c>
    </row>
    <row r="1272" spans="40:58" x14ac:dyDescent="0.3">
      <c r="AN1272">
        <v>1</v>
      </c>
      <c r="AO1272" s="25">
        <f>AV18*AT28*AT36*AT40*AT48*AT54*AT60*AT65*AT71*AT77*AT83*AT88*AT96*AT102*AT106*AT112*AT120*AT126*AT132*AT137*AT141*AT147*AT155*AT159*AT163*AT167*AT171*AT175*AT179*AT183*AT188*AT191*AT196*AT199*AT203*AT207*AT212</f>
        <v>1.5731596984320004E-9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372</v>
      </c>
      <c r="AV1272" t="s">
        <v>372</v>
      </c>
      <c r="AW1272" t="s">
        <v>405</v>
      </c>
    </row>
    <row r="1273" spans="40:58" x14ac:dyDescent="0.3">
      <c r="AN1273">
        <v>2</v>
      </c>
      <c r="AO1273">
        <f>AV18*AT29*AT34*AT39*AT48*AT54*AT60*AT66*AT71*AT76*AT82*AT87*AT94*AT102*AT106*AT112*AT120*AT126*AT132*AT137*AT141*AT148*AT155*AT160*AT163*AT167*AT171*AT175*AT179*AT183*AT187*AT191*AT195*AT199*AT203*AT208*AT212</f>
        <v>1.8970093707264001E-8</v>
      </c>
      <c r="AP1273" s="26">
        <f>AV19*AU29*AU34*AU39*AU48*AU54*AU60*AU66*AU71*AU76*AU82*AU87*AU94*AU102*AU106*AU112*AU120*AU126*AU132*AU137*AU141*AU148*AU155*AU160*AU163*AU167*AU171*AU175*AU179*AU183*AU187*AU191*AU195*AU199*AU203*AU208*AU212</f>
        <v>7.3156608000000012E-12</v>
      </c>
      <c r="AQ1273">
        <v>0</v>
      </c>
      <c r="AR1273">
        <v>0</v>
      </c>
      <c r="AS1273">
        <v>0</v>
      </c>
      <c r="AT1273">
        <v>0</v>
      </c>
      <c r="AU1273" s="26" t="s">
        <v>372</v>
      </c>
      <c r="AV1273" s="26" t="s">
        <v>373</v>
      </c>
      <c r="AW1273" s="26" t="s">
        <v>381</v>
      </c>
    </row>
    <row r="1274" spans="40:58" x14ac:dyDescent="0.3">
      <c r="AN1274">
        <v>3</v>
      </c>
      <c r="AO1274" s="25">
        <f>AV18*AT29*AT36*AT40*AT48*AT54*AT58*AT65*AT71*AT77*AT82*AT87*AT96*AT102*AT106*AT112*AT120*AT126*AT132*AT138*AT141*AT148*AT155*AT160*AT163*AT167*AT171*AT175*AT179*AT184*AT188*AT191*AT195*AT199*AT203*AT207*AT212</f>
        <v>2.0647721041919999E-9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s">
        <v>372</v>
      </c>
      <c r="AV1274" t="s">
        <v>372</v>
      </c>
      <c r="AW1274" t="s">
        <v>405</v>
      </c>
    </row>
    <row r="1275" spans="40:58" x14ac:dyDescent="0.3">
      <c r="AN1275">
        <v>4</v>
      </c>
      <c r="AO1275">
        <v>0</v>
      </c>
      <c r="AP1275" s="25">
        <f>AV19*AU30*AU34*AU39*AU46*AU54*AU60*AU64*AU69*AU76*AU82*AU87*AU93*AU102*AU106*AU111*AU120*AU126*AU132*AU136*AU141*AU147*AU153*AU160*AU163*AU167*AU171*AU175*AU179*AU183*AU188*AU191*AU196*AU199*AU203*AU207*AU212</f>
        <v>1.0241925120000003E-10</v>
      </c>
      <c r="AQ1275">
        <v>0</v>
      </c>
      <c r="AR1275">
        <v>0</v>
      </c>
      <c r="AS1275">
        <v>0</v>
      </c>
      <c r="AT1275">
        <v>0</v>
      </c>
      <c r="AU1275" t="s">
        <v>373</v>
      </c>
      <c r="AV1275" t="s">
        <v>373</v>
      </c>
      <c r="AW1275" t="s">
        <v>405</v>
      </c>
    </row>
    <row r="1276" spans="40:58" x14ac:dyDescent="0.3">
      <c r="AN1276">
        <v>5</v>
      </c>
      <c r="AO1276">
        <v>0</v>
      </c>
      <c r="AP1276" s="25">
        <f>AV19*AU30*AU36*AU40*AU48*AU54*AU60*AU65*AU71*AU76*AU83*AU89*AU94*AU102*AU106*AU111*AU120*AU126*AU132*AU138*AU141*AU148*AU155*AU160*AU163*AU167*AU171*AU175*AU179*AU183*AU188*AU191*AU195*AU199*AU203*AU208*AU211</f>
        <v>3.9504568320000005E-9</v>
      </c>
      <c r="AQ1276">
        <v>0</v>
      </c>
      <c r="AR1276">
        <v>0</v>
      </c>
      <c r="AS1276">
        <v>0</v>
      </c>
      <c r="AT1276">
        <v>0</v>
      </c>
      <c r="AU1276" t="s">
        <v>373</v>
      </c>
      <c r="AV1276" t="s">
        <v>373</v>
      </c>
      <c r="AW1276" t="s">
        <v>405</v>
      </c>
    </row>
    <row r="1277" spans="40:58" x14ac:dyDescent="0.3">
      <c r="AN1277">
        <v>6</v>
      </c>
      <c r="AO1277">
        <v>0</v>
      </c>
      <c r="AP1277" s="25">
        <f>AV19*AU27*AU36*AU40*AU48*AU54*AU60*AU66*AU71*AU76*AU83*AU88*AU95*AU102*AU106*AU112*AU120*AU126*AU132*AU136*AU141*AU148*AU155*AU160*AU163*AU167*AU171*AU175*AU179*AU183*AU188*AU191*AU195*AU199*AU203*AU207*AU212</f>
        <v>2.2221319680000006E-8</v>
      </c>
      <c r="AQ1277">
        <v>0</v>
      </c>
      <c r="AR1277">
        <v>0</v>
      </c>
      <c r="AS1277">
        <v>0</v>
      </c>
      <c r="AT1277">
        <v>0</v>
      </c>
      <c r="AU1277" t="s">
        <v>373</v>
      </c>
      <c r="AV1277" t="s">
        <v>373</v>
      </c>
      <c r="AW1277" t="s">
        <v>405</v>
      </c>
    </row>
    <row r="1278" spans="40:58" x14ac:dyDescent="0.3">
      <c r="AN1278">
        <v>7</v>
      </c>
      <c r="AO1278">
        <v>0</v>
      </c>
      <c r="AP1278">
        <f>AV19*AU28*AU34*AU40*AU47*AU54*AU60*AU66*AU71*AU76*AU82*AU88*AU95*AU102*AU106*AU112*AU120*AU126*AU132*AU138*AU141*AU148*AU155*AU160*AU163*AU167*AU171*AU175*AU179*AU183*AU188*AU191*AU196*AU199*AU203*AU208*AU212</f>
        <v>2.3044331520000001E-9</v>
      </c>
      <c r="AQ1278">
        <v>0</v>
      </c>
      <c r="AR1278" s="26">
        <f>AV21*AW28*AW34*AW40*AW47*AW54*AW60*AW66*AW71*AW76*AW82*AW88*AW95*AW102*AW106*AW112*AW120*AW126*AW132*AW138*AW141*AW148*AW155*AW160*AW163*AW167*AW171*AW175*AW179*AW183*AW188*AW191*AW196*AW199*AW203*AW208*AW212</f>
        <v>3.7331817062400002E-8</v>
      </c>
      <c r="AS1278">
        <v>0</v>
      </c>
      <c r="AT1278">
        <v>0</v>
      </c>
      <c r="AU1278" s="26" t="s">
        <v>374</v>
      </c>
      <c r="AV1278" s="26" t="s">
        <v>375</v>
      </c>
      <c r="AW1278" s="26" t="s">
        <v>381</v>
      </c>
    </row>
    <row r="1279" spans="40:58" x14ac:dyDescent="0.3">
      <c r="AN1279">
        <v>8</v>
      </c>
      <c r="AO1279">
        <v>0</v>
      </c>
      <c r="AP1279">
        <v>0</v>
      </c>
      <c r="AQ1279" s="25">
        <f>AV20*AV29*AV34*AV40*AV47*AV54*AV59*AV66*AV71*AV76*AV81*AV87*AV96*AV102*AV105*AV114*AV120*AV126*AV132*AV138*AV141*AV148*AV153*AV159*AV163*AV167*AV171*AV175*AV179*AV183*AV187*AV191*AV196*AV199*AV203*AV208*AV211</f>
        <v>2.6547069911040009E-12</v>
      </c>
      <c r="AR1279">
        <v>0</v>
      </c>
      <c r="AS1279">
        <v>0</v>
      </c>
      <c r="AT1279">
        <v>0</v>
      </c>
      <c r="AU1279" t="s">
        <v>374</v>
      </c>
      <c r="AV1279" t="s">
        <v>374</v>
      </c>
      <c r="AW1279" t="s">
        <v>405</v>
      </c>
    </row>
    <row r="1280" spans="40:58" x14ac:dyDescent="0.3">
      <c r="AN1280">
        <v>9</v>
      </c>
      <c r="AO1280">
        <v>0</v>
      </c>
      <c r="AP1280">
        <v>0</v>
      </c>
      <c r="AQ1280" s="25">
        <f>AV20*AV30*AV34*AV40*AV48*AV54*AV60*AV65*AV71*AV76*AV82*AV87*AV96*AV101*AV106*AV113*AV120*AV126*AV132*AV138*AV141*AV148*AV154*AV160*AV163*AV167*AV171*AV175*AV179*AV183*AV188*AV191*AV196*AV199*AV203*AV208*AV212</f>
        <v>2.7093939551207424E-7</v>
      </c>
      <c r="AR1280">
        <v>0</v>
      </c>
      <c r="AS1280">
        <v>0</v>
      </c>
      <c r="AT1280">
        <v>0</v>
      </c>
      <c r="AU1280" t="s">
        <v>374</v>
      </c>
      <c r="AV1280" t="s">
        <v>374</v>
      </c>
      <c r="AW1280" t="s">
        <v>405</v>
      </c>
    </row>
    <row r="1281" spans="40:49" x14ac:dyDescent="0.3">
      <c r="AN1281">
        <v>10</v>
      </c>
      <c r="AO1281">
        <v>0</v>
      </c>
      <c r="AP1281">
        <v>0</v>
      </c>
      <c r="AQ1281">
        <v>0</v>
      </c>
      <c r="AR1281">
        <f>AV21*AW30*AW34*AW40*AW48*AW54*AW60*AW66*AW71*AW77*AW81*AW87*AW96*AW102*AW106*AW113*AW120*AW126*AW132*AW135*AW141*AW147*AW155*AW160*AW163*AW167*AW171*AW175*AW179*AW183*AW188*AW191*AW196*AW200*AW203*AW207*AW212</f>
        <v>7.5260943197798415E-7</v>
      </c>
      <c r="AS1281" s="26">
        <f>AV22*AX30*AX34*AX40*AX48*AX54*AX60*AX66*AX71*AX77*AX81*AX87*AX96*AX102*AX106*AX113*AX120*AX126*AX132*AX135*AX141*AX147*AX155*AX160*AX163*AX167*AX171*AX175*AX179*AX183*AX188*AX191*AX196*AX200*AX203*AX207*AX212</f>
        <v>9.7519848652799995E-10</v>
      </c>
      <c r="AT1281">
        <f>AV23*AY30*AY34*AY40*AY48*AY54*AY60*AY66*AY71*AY77*AY81*AY87*AY96*AY102*AY106*AY113*AY120*AY126*AY132*AY135*AY141*AY147*AY155*AY160*AY163*AY167*AY171*AY175*AY179*AY183*AY188*AY191*AY196*AY200*AY203*AY207*AY212</f>
        <v>8.7394211416374678E-9</v>
      </c>
      <c r="AU1281" s="26" t="s">
        <v>375</v>
      </c>
      <c r="AV1281" s="26" t="s">
        <v>376</v>
      </c>
      <c r="AW1281" s="26" t="s">
        <v>381</v>
      </c>
    </row>
    <row r="1282" spans="40:49" x14ac:dyDescent="0.3">
      <c r="AN1282">
        <v>11</v>
      </c>
      <c r="AO1282">
        <v>0</v>
      </c>
      <c r="AP1282">
        <v>0</v>
      </c>
      <c r="AQ1282">
        <v>0</v>
      </c>
      <c r="AR1282" s="25">
        <f>AV21*AW30*AW36*AW41*AW48*AW54*AW60*AW66*AW71*AW77*AW83*AW88*AW96*AW102*AW107*AW113*AW120*AW126*AW132*AW138*AW142*AW148*AW155*AW160*AW163*AW167*AW171*AW175*AW179*AW184*AW188*AW191*AW196*AW200*AW203*AW208*AW212</f>
        <v>7.4663634124800003E-8</v>
      </c>
      <c r="AS1282">
        <f>AV22*AX30*AX36*AX41*AX48*AX54*AX60*AX66*AX71*AX77*AX83*AX88*AX96*AX102*AX107*AX113*AX120*AX126*AX132*AX138*AX142*AX148*AX155*AX160*AX163*AX167*AX171*AX175*AX179*AX184*AX188*AX191*AX196*AX200*AX203*AX208*AX212</f>
        <v>3.291294892032E-8</v>
      </c>
      <c r="AT1282">
        <v>0</v>
      </c>
      <c r="AU1282" t="s">
        <v>375</v>
      </c>
      <c r="AV1282" t="s">
        <v>375</v>
      </c>
      <c r="AW1282" t="s">
        <v>405</v>
      </c>
    </row>
    <row r="1283" spans="40:49" x14ac:dyDescent="0.3">
      <c r="AN1283">
        <v>12</v>
      </c>
      <c r="AO1283">
        <v>0</v>
      </c>
      <c r="AP1283">
        <v>0</v>
      </c>
      <c r="AQ1283">
        <v>0</v>
      </c>
      <c r="AR1283" s="25">
        <f>AV21*AW30*AW34*AW41*AW48*AW54*AW60*AW65*AW71*AW76*AW82*AW88*AW94*AW101*AW107*AW113*AW120*AW125*AW131*AW138*AW142*AW149*AW155*AW160*AW163*AW167*AW171*AW175*AW179*AW184*AW188*AW191*AW196*AW199*AW203*AW207*AW212</f>
        <v>8.2301184000000012E-13</v>
      </c>
      <c r="AS1283">
        <v>0</v>
      </c>
      <c r="AT1283">
        <v>0</v>
      </c>
      <c r="AU1283" t="s">
        <v>375</v>
      </c>
      <c r="AV1283" t="s">
        <v>375</v>
      </c>
      <c r="AW1283" t="s">
        <v>405</v>
      </c>
    </row>
    <row r="1284" spans="40:49" x14ac:dyDescent="0.3">
      <c r="AN1284">
        <v>13</v>
      </c>
      <c r="AO1284">
        <v>0</v>
      </c>
      <c r="AP1284">
        <v>0</v>
      </c>
      <c r="AQ1284">
        <v>0</v>
      </c>
      <c r="AR1284">
        <f>AV21*AW30*AW34*AW40*AW48*AW54*AW60*AW66*AW71*AW77*AW84*AW88*AW95*AW102*AW107*AW112*AW120*AW126*AW132*AW138*AW142*AW147*AW155*AW160*AW163*AW167*AW171*AW175*AW179*AW183*AW188*AW191*AW196*AW199*AW203*AW207*AW212</f>
        <v>2.0905817554944006E-7</v>
      </c>
      <c r="AS1284">
        <f>AV22*AX30*AX34*AX40*AX48*AX54*AX60*AX66*AX71*AX77*AX84*AX88*AX95*AX102*AX107*AX112*AX120*AX126*AX132*AX138*AX142*AX147*AX155*AX160*AX163*AX167*AX171*AX175*AX179*AX183*AX188*AX191*AX196*AX199*AX203*AX207*AX212</f>
        <v>3.4131947028479998E-8</v>
      </c>
      <c r="AT1284" s="26">
        <f>AV23*AY30*AY34*AY40*AY48*AY54*AY60*AY66*AY71*AY77*AY84*AY88*AY95*AY102*AY107*AY112*AY120*AY126*AY132*AY138*AY142*AY147*AY155*AY160*AY163*AY167*AY171*AY175*AY179*AY183*AY188*AY191*AY196*AY199*AY203*AY207*AY212</f>
        <v>9.7538182384346748E-11</v>
      </c>
      <c r="AU1284" s="26" t="s">
        <v>376</v>
      </c>
      <c r="AV1284" s="26" t="s">
        <v>377</v>
      </c>
      <c r="AW1284" s="26" t="s">
        <v>381</v>
      </c>
    </row>
    <row r="1285" spans="40:49" x14ac:dyDescent="0.3">
      <c r="AN1285">
        <v>14</v>
      </c>
      <c r="AO1285">
        <v>0</v>
      </c>
      <c r="AP1285">
        <v>0</v>
      </c>
      <c r="AQ1285">
        <v>0</v>
      </c>
      <c r="AR1285">
        <v>0</v>
      </c>
      <c r="AS1285" s="25">
        <f>AV22*AX30*AX34*AX42*AX48*AX54*AX60*AX66*AX71*AX77*AX81*AX87*AX94*AX102*AX107*AX114*AX119*AX125*AX132*AX135*AX142*AX148*AX153*AX160*AX163*AX167*AX171*AX175*AX179*AX184*AX188*AX191*AX196*AX199*AX203*AX207*AX212</f>
        <v>1.693052928E-10</v>
      </c>
      <c r="AT1285">
        <v>0</v>
      </c>
      <c r="AU1285" t="s">
        <v>376</v>
      </c>
      <c r="AV1285" t="s">
        <v>376</v>
      </c>
      <c r="AW1285" t="s">
        <v>405</v>
      </c>
    </row>
    <row r="1286" spans="40:49" x14ac:dyDescent="0.3">
      <c r="AN1286">
        <v>15</v>
      </c>
      <c r="AO1286">
        <v>0</v>
      </c>
      <c r="AP1286">
        <v>0</v>
      </c>
      <c r="AQ1286">
        <v>0</v>
      </c>
      <c r="AR1286">
        <v>0</v>
      </c>
      <c r="AS1286" s="25">
        <f>AV22*AX30*AX36*AX41*AX48*AX54*AX58*AX66*AX71*AX77*AX83*AX89*AX95*AX101*AX106*AX112*AX120*AX126*AX132*AX138*AX142*AX148*AX155*AX160*AX163*AX167*AX171*AX175*AX179*AX184*AX188*AX191*AX196*AX200*AX203*AX208*AX212</f>
        <v>8.776786378752001E-9</v>
      </c>
      <c r="AT1286">
        <v>0</v>
      </c>
      <c r="AU1286" t="s">
        <v>376</v>
      </c>
      <c r="AV1286" t="s">
        <v>376</v>
      </c>
      <c r="AW1286" t="s">
        <v>405</v>
      </c>
    </row>
    <row r="1287" spans="40:49" x14ac:dyDescent="0.3">
      <c r="AN1287">
        <v>16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s="25">
        <f>AV23*AY30*AY36*AY40*AY48*AY54*AY60*AY66*AY71*AY77*AY81*AY87*AY93*AY102*AY105*AY120*AY114*AY126*AY132*AY136*AY144*AY149*AY155*AY160*AY163*AY167*AY171*AY175*AY179*AY183*AY188*AY191*AY196*AY200*AY203*AY208*AY212</f>
        <v>2.0064997519065611E-9</v>
      </c>
      <c r="AU1287" t="s">
        <v>377</v>
      </c>
      <c r="AV1287" t="s">
        <v>377</v>
      </c>
      <c r="AW1287" t="s">
        <v>405</v>
      </c>
    </row>
    <row r="1288" spans="40:49" x14ac:dyDescent="0.3">
      <c r="AN1288">
        <v>17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 s="25">
        <f>AV23*AY27*AY36*AY41*AY48*AY54*AY60*AY65*AY71*AY77*AY81*AY89*AY96*AY102*AY105*AY114*AY120*AY126*AY132*AY138*AY141*AY148*AY155*AY160*AY163*AY167*AY171*AY176*AY179*AY184*AY188*AY192*AY196*AY200*AY204*AY208*AY212</f>
        <v>8.4668561097523208E-12</v>
      </c>
      <c r="AU1288" t="s">
        <v>377</v>
      </c>
      <c r="AV1288" t="s">
        <v>377</v>
      </c>
      <c r="AW1288" t="s">
        <v>405</v>
      </c>
    </row>
    <row r="1289" spans="40:49" x14ac:dyDescent="0.3">
      <c r="AN1289">
        <v>18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 s="25">
        <f>AV23*AY30*AY36*AY40*AY47*AY54*AY60*AY66*AY72*AY77*AY81*AY87*AY95*AY102*AY107*AY113*AY120*AY124*AY132*AY136*AY143*AY149*AY156*AY160*AY163*AY167*AY171*AY176*AY179*AY184*AY188*AY192*AY196*AY200*AY204*AY208*AY212</f>
        <v>2.477160187538965E-13</v>
      </c>
      <c r="AU1289" t="s">
        <v>377</v>
      </c>
      <c r="AV1289" t="s">
        <v>377</v>
      </c>
      <c r="AW1289" t="s">
        <v>405</v>
      </c>
    </row>
    <row r="1291" spans="40:49" x14ac:dyDescent="0.3">
      <c r="AN1291" t="s">
        <v>913</v>
      </c>
    </row>
    <row r="1292" spans="40:49" x14ac:dyDescent="0.3">
      <c r="AN1292" s="54" t="s">
        <v>821</v>
      </c>
      <c r="AO1292" s="54" t="s">
        <v>675</v>
      </c>
      <c r="AP1292" s="54"/>
      <c r="AQ1292" s="54"/>
      <c r="AR1292" s="54"/>
      <c r="AS1292" s="54"/>
      <c r="AT1292" s="54"/>
      <c r="AU1292" s="48" t="s">
        <v>822</v>
      </c>
    </row>
    <row r="1293" spans="40:49" x14ac:dyDescent="0.3">
      <c r="AN1293" s="54"/>
      <c r="AO1293" s="6" t="s">
        <v>378</v>
      </c>
      <c r="AP1293" s="6" t="s">
        <v>696</v>
      </c>
      <c r="AQ1293" s="6" t="s">
        <v>478</v>
      </c>
      <c r="AR1293" s="6" t="s">
        <v>509</v>
      </c>
      <c r="AS1293" s="6" t="s">
        <v>554</v>
      </c>
      <c r="AT1293" s="6" t="s">
        <v>564</v>
      </c>
      <c r="AU1293" s="49"/>
    </row>
    <row r="1294" spans="40:49" x14ac:dyDescent="0.3">
      <c r="AN1294" s="6" t="s">
        <v>378</v>
      </c>
      <c r="AO1294" s="7">
        <v>2</v>
      </c>
      <c r="AP1294" s="6">
        <v>1</v>
      </c>
      <c r="AQ1294" s="6">
        <v>0</v>
      </c>
      <c r="AR1294" s="6">
        <v>0</v>
      </c>
      <c r="AS1294" s="6">
        <v>0</v>
      </c>
      <c r="AT1294" s="6">
        <v>0</v>
      </c>
      <c r="AU1294" s="31">
        <f>SUM(AO1294:AT1294)</f>
        <v>3</v>
      </c>
    </row>
    <row r="1295" spans="40:49" x14ac:dyDescent="0.3">
      <c r="AN1295" s="6" t="s">
        <v>696</v>
      </c>
      <c r="AO1295" s="6">
        <v>0</v>
      </c>
      <c r="AP1295" s="7">
        <v>3</v>
      </c>
      <c r="AQ1295" s="6">
        <v>0</v>
      </c>
      <c r="AR1295" s="6">
        <v>0</v>
      </c>
      <c r="AS1295" s="6">
        <v>0</v>
      </c>
      <c r="AT1295" s="6">
        <v>0</v>
      </c>
      <c r="AU1295" s="31">
        <f>SUM(AO1295:AT1295)</f>
        <v>3</v>
      </c>
    </row>
    <row r="1296" spans="40:49" x14ac:dyDescent="0.3">
      <c r="AN1296" s="6" t="s">
        <v>478</v>
      </c>
      <c r="AO1296" s="6">
        <v>0</v>
      </c>
      <c r="AP1296" s="6">
        <v>0</v>
      </c>
      <c r="AQ1296" s="7">
        <v>2</v>
      </c>
      <c r="AR1296" s="6">
        <v>1</v>
      </c>
      <c r="AS1296" s="6">
        <v>0</v>
      </c>
      <c r="AT1296" s="6">
        <v>0</v>
      </c>
      <c r="AU1296" s="31">
        <f>SUM(AO1296:AS1296)</f>
        <v>3</v>
      </c>
    </row>
    <row r="1297" spans="40:47" x14ac:dyDescent="0.3">
      <c r="AN1297" s="6" t="s">
        <v>509</v>
      </c>
      <c r="AO1297" s="6">
        <v>0</v>
      </c>
      <c r="AP1297" s="6">
        <v>0</v>
      </c>
      <c r="AQ1297" s="6">
        <v>0</v>
      </c>
      <c r="AR1297" s="7">
        <v>2</v>
      </c>
      <c r="AS1297" s="6">
        <v>1</v>
      </c>
      <c r="AT1297" s="6">
        <v>0</v>
      </c>
      <c r="AU1297" s="31">
        <f>SUM(AO1297:AT1297)</f>
        <v>3</v>
      </c>
    </row>
    <row r="1298" spans="40:47" x14ac:dyDescent="0.3">
      <c r="AN1298" s="6" t="s">
        <v>554</v>
      </c>
      <c r="AO1298" s="6">
        <v>0</v>
      </c>
      <c r="AP1298" s="6">
        <v>0</v>
      </c>
      <c r="AQ1298" s="6">
        <v>0</v>
      </c>
      <c r="AR1298" s="6">
        <v>0</v>
      </c>
      <c r="AS1298" s="7">
        <v>2</v>
      </c>
      <c r="AT1298" s="6">
        <v>1</v>
      </c>
      <c r="AU1298" s="31">
        <f>SUM(AO1298:AT1298)</f>
        <v>3</v>
      </c>
    </row>
    <row r="1299" spans="40:47" x14ac:dyDescent="0.3">
      <c r="AN1299" s="6" t="s">
        <v>564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7">
        <v>3</v>
      </c>
      <c r="AU1299" s="31">
        <f>SUM(AO1299:AT1299)</f>
        <v>3</v>
      </c>
    </row>
    <row r="1300" spans="40:47" x14ac:dyDescent="0.3">
      <c r="AN1300" s="31" t="s">
        <v>822</v>
      </c>
      <c r="AO1300" s="31">
        <v>2</v>
      </c>
      <c r="AP1300" s="31">
        <v>4</v>
      </c>
      <c r="AQ1300" s="31">
        <v>2</v>
      </c>
      <c r="AR1300" s="31">
        <v>3</v>
      </c>
      <c r="AS1300" s="31">
        <v>3</v>
      </c>
      <c r="AT1300" s="31">
        <v>4</v>
      </c>
      <c r="AU1300" s="31">
        <f>SUM(AO1300:AT1300)</f>
        <v>18</v>
      </c>
    </row>
    <row r="1302" spans="40:47" x14ac:dyDescent="0.3">
      <c r="AN1302" t="s">
        <v>914</v>
      </c>
    </row>
    <row r="1303" spans="40:47" x14ac:dyDescent="0.3">
      <c r="AN1303" t="s">
        <v>915</v>
      </c>
    </row>
    <row r="1305" spans="40:47" x14ac:dyDescent="0.3">
      <c r="AN1305" t="s">
        <v>842</v>
      </c>
      <c r="AP1305" t="s">
        <v>916</v>
      </c>
      <c r="AQ1305" t="s">
        <v>917</v>
      </c>
      <c r="AR1305" t="s">
        <v>918</v>
      </c>
    </row>
    <row r="1306" spans="40:47" x14ac:dyDescent="0.3">
      <c r="AN1306" s="5" t="s">
        <v>843</v>
      </c>
      <c r="AO1306" s="32">
        <f>14/18</f>
        <v>0.77777777777777779</v>
      </c>
    </row>
    <row r="1307" spans="40:47" x14ac:dyDescent="0.3">
      <c r="AN1307" t="s">
        <v>845</v>
      </c>
      <c r="AO1307" s="5" t="s">
        <v>863</v>
      </c>
    </row>
    <row r="1309" spans="40:47" x14ac:dyDescent="0.3">
      <c r="AN1309" t="s">
        <v>919</v>
      </c>
    </row>
    <row r="1310" spans="40:47" x14ac:dyDescent="0.3">
      <c r="AN1310" s="5" t="s">
        <v>920</v>
      </c>
      <c r="AQ1310" s="32">
        <f>4/18</f>
        <v>0.22222222222222221</v>
      </c>
    </row>
    <row r="1311" spans="40:47" x14ac:dyDescent="0.3">
      <c r="AN1311" t="s">
        <v>831</v>
      </c>
      <c r="AO1311" s="5" t="s">
        <v>864</v>
      </c>
    </row>
    <row r="1314" spans="40:46" x14ac:dyDescent="0.3">
      <c r="AN1314" t="s">
        <v>830</v>
      </c>
      <c r="AO1314" s="34" t="s">
        <v>833</v>
      </c>
      <c r="AP1314" s="34" t="s">
        <v>840</v>
      </c>
      <c r="AQ1314" s="7" t="s">
        <v>921</v>
      </c>
      <c r="AR1314" s="34" t="s">
        <v>848</v>
      </c>
      <c r="AS1314" s="34" t="s">
        <v>841</v>
      </c>
    </row>
    <row r="1315" spans="40:46" x14ac:dyDescent="0.3">
      <c r="AN1315" s="5" t="s">
        <v>832</v>
      </c>
      <c r="AO1315" s="6" t="s">
        <v>834</v>
      </c>
      <c r="AP1315" s="6">
        <v>2</v>
      </c>
      <c r="AQ1315" s="6">
        <v>1</v>
      </c>
      <c r="AR1315" s="6">
        <f t="shared" ref="AR1315:AR1320" si="0">SUM(AP1315:AQ1315)</f>
        <v>3</v>
      </c>
      <c r="AS1315" s="33">
        <f>AP1315/AR1315</f>
        <v>0.66666666666666663</v>
      </c>
      <c r="AT1315" t="s">
        <v>928</v>
      </c>
    </row>
    <row r="1316" spans="40:46" x14ac:dyDescent="0.3">
      <c r="AO1316" s="6" t="s">
        <v>835</v>
      </c>
      <c r="AP1316" s="6">
        <v>3</v>
      </c>
      <c r="AQ1316" s="6">
        <v>0</v>
      </c>
      <c r="AR1316" s="6">
        <f t="shared" si="0"/>
        <v>3</v>
      </c>
      <c r="AS1316" s="33">
        <f t="shared" ref="AS1316:AS1320" si="1">AP1316/AR1316</f>
        <v>1</v>
      </c>
    </row>
    <row r="1317" spans="40:46" x14ac:dyDescent="0.3">
      <c r="AO1317" s="6" t="s">
        <v>836</v>
      </c>
      <c r="AP1317" s="6">
        <v>2</v>
      </c>
      <c r="AQ1317" s="6">
        <v>1</v>
      </c>
      <c r="AR1317" s="6">
        <f t="shared" si="0"/>
        <v>3</v>
      </c>
      <c r="AS1317" s="33">
        <f t="shared" si="1"/>
        <v>0.66666666666666663</v>
      </c>
    </row>
    <row r="1318" spans="40:46" x14ac:dyDescent="0.3">
      <c r="AO1318" s="6" t="s">
        <v>837</v>
      </c>
      <c r="AP1318" s="6">
        <v>2</v>
      </c>
      <c r="AQ1318" s="6">
        <v>1</v>
      </c>
      <c r="AR1318" s="6">
        <f t="shared" si="0"/>
        <v>3</v>
      </c>
      <c r="AS1318" s="33">
        <f t="shared" si="1"/>
        <v>0.66666666666666663</v>
      </c>
    </row>
    <row r="1319" spans="40:46" x14ac:dyDescent="0.3">
      <c r="AO1319" s="6" t="s">
        <v>838</v>
      </c>
      <c r="AP1319" s="6">
        <v>2</v>
      </c>
      <c r="AQ1319" s="6">
        <v>1</v>
      </c>
      <c r="AR1319" s="6">
        <f t="shared" si="0"/>
        <v>3</v>
      </c>
      <c r="AS1319" s="33">
        <f t="shared" si="1"/>
        <v>0.66666666666666663</v>
      </c>
    </row>
    <row r="1320" spans="40:46" x14ac:dyDescent="0.3">
      <c r="AO1320" s="37" t="s">
        <v>839</v>
      </c>
      <c r="AP1320" s="37">
        <v>3</v>
      </c>
      <c r="AQ1320" s="37">
        <v>0</v>
      </c>
      <c r="AR1320" s="37">
        <f t="shared" si="0"/>
        <v>3</v>
      </c>
      <c r="AS1320" s="38">
        <f t="shared" si="1"/>
        <v>1</v>
      </c>
    </row>
    <row r="1321" spans="40:46" x14ac:dyDescent="0.3">
      <c r="AO1321" s="39" t="s">
        <v>922</v>
      </c>
      <c r="AP1321" s="40"/>
      <c r="AQ1321" s="50">
        <f>SUM(AS1315:AS1320)/6</f>
        <v>0.77777777777777768</v>
      </c>
      <c r="AR1321" s="51"/>
      <c r="AS1321" s="52"/>
    </row>
    <row r="1322" spans="40:46" x14ac:dyDescent="0.3">
      <c r="AO1322" t="s">
        <v>865</v>
      </c>
    </row>
    <row r="1323" spans="40:46" x14ac:dyDescent="0.3">
      <c r="AO1323" t="s">
        <v>923</v>
      </c>
    </row>
    <row r="1324" spans="40:46" x14ac:dyDescent="0.3">
      <c r="AO1324" t="s">
        <v>924</v>
      </c>
      <c r="AR1324" s="32">
        <f>SUM(AP1315:AP1320)/(SUM(AP1315:AP1320)+SUM(AQ1315:AQ1320))</f>
        <v>0.77777777777777779</v>
      </c>
    </row>
    <row r="1325" spans="40:46" x14ac:dyDescent="0.3">
      <c r="AR1325" s="32"/>
    </row>
    <row r="1326" spans="40:46" x14ac:dyDescent="0.3">
      <c r="AN1326" s="5" t="s">
        <v>861</v>
      </c>
    </row>
    <row r="1327" spans="40:46" x14ac:dyDescent="0.3">
      <c r="AN1327" t="s">
        <v>846</v>
      </c>
      <c r="AO1327" s="34" t="s">
        <v>833</v>
      </c>
      <c r="AP1327" s="34" t="s">
        <v>840</v>
      </c>
      <c r="AQ1327" s="7" t="s">
        <v>925</v>
      </c>
      <c r="AR1327" s="34" t="s">
        <v>847</v>
      </c>
      <c r="AS1327" s="34" t="s">
        <v>868</v>
      </c>
    </row>
    <row r="1328" spans="40:46" x14ac:dyDescent="0.3">
      <c r="AO1328" s="6" t="s">
        <v>834</v>
      </c>
      <c r="AP1328" s="6">
        <v>2</v>
      </c>
      <c r="AQ1328" s="6">
        <v>0</v>
      </c>
      <c r="AR1328" s="6">
        <f t="shared" ref="AR1328:AR1333" si="2">SUM(AP1328:AQ1328)</f>
        <v>2</v>
      </c>
      <c r="AS1328" s="33">
        <f t="shared" ref="AS1328:AS1333" si="3">AP1328/AR1328</f>
        <v>1</v>
      </c>
      <c r="AT1328" t="s">
        <v>927</v>
      </c>
    </row>
    <row r="1329" spans="40:46" x14ac:dyDescent="0.3">
      <c r="AO1329" s="6" t="s">
        <v>835</v>
      </c>
      <c r="AP1329" s="6">
        <v>3</v>
      </c>
      <c r="AQ1329" s="6">
        <v>1</v>
      </c>
      <c r="AR1329" s="6">
        <f t="shared" si="2"/>
        <v>4</v>
      </c>
      <c r="AS1329" s="33">
        <f t="shared" si="3"/>
        <v>0.75</v>
      </c>
      <c r="AT1329" t="s">
        <v>870</v>
      </c>
    </row>
    <row r="1330" spans="40:46" x14ac:dyDescent="0.3">
      <c r="AO1330" s="6" t="s">
        <v>836</v>
      </c>
      <c r="AP1330" s="6">
        <v>2</v>
      </c>
      <c r="AQ1330" s="6">
        <v>0</v>
      </c>
      <c r="AR1330" s="6">
        <f t="shared" si="2"/>
        <v>2</v>
      </c>
      <c r="AS1330" s="33">
        <f t="shared" si="3"/>
        <v>1</v>
      </c>
    </row>
    <row r="1331" spans="40:46" x14ac:dyDescent="0.3">
      <c r="AO1331" s="6" t="s">
        <v>837</v>
      </c>
      <c r="AP1331" s="6">
        <v>2</v>
      </c>
      <c r="AQ1331" s="6">
        <v>1</v>
      </c>
      <c r="AR1331" s="6">
        <f t="shared" si="2"/>
        <v>3</v>
      </c>
      <c r="AS1331" s="33">
        <f t="shared" si="3"/>
        <v>0.66666666666666663</v>
      </c>
    </row>
    <row r="1332" spans="40:46" x14ac:dyDescent="0.3">
      <c r="AO1332" s="6" t="s">
        <v>838</v>
      </c>
      <c r="AP1332" s="6">
        <v>2</v>
      </c>
      <c r="AQ1332" s="6">
        <v>1</v>
      </c>
      <c r="AR1332" s="6">
        <f t="shared" si="2"/>
        <v>3</v>
      </c>
      <c r="AS1332" s="33">
        <f t="shared" si="3"/>
        <v>0.66666666666666663</v>
      </c>
    </row>
    <row r="1333" spans="40:46" x14ac:dyDescent="0.3">
      <c r="AO1333" s="6" t="s">
        <v>839</v>
      </c>
      <c r="AP1333" s="6">
        <v>3</v>
      </c>
      <c r="AQ1333" s="6">
        <v>1</v>
      </c>
      <c r="AR1333" s="6">
        <f t="shared" si="2"/>
        <v>4</v>
      </c>
      <c r="AS1333" s="33">
        <f t="shared" si="3"/>
        <v>0.75</v>
      </c>
    </row>
    <row r="1334" spans="40:46" x14ac:dyDescent="0.3">
      <c r="AO1334" s="39" t="s">
        <v>922</v>
      </c>
      <c r="AP1334" s="40"/>
      <c r="AQ1334" s="50">
        <f>SUM(AS1328:AS1333)/6</f>
        <v>0.80555555555555547</v>
      </c>
      <c r="AR1334" s="51"/>
      <c r="AS1334" s="52"/>
    </row>
    <row r="1335" spans="40:46" x14ac:dyDescent="0.3">
      <c r="AO1335" t="s">
        <v>871</v>
      </c>
    </row>
    <row r="1336" spans="40:46" x14ac:dyDescent="0.3">
      <c r="AO1336" t="s">
        <v>923</v>
      </c>
    </row>
    <row r="1337" spans="40:46" x14ac:dyDescent="0.3">
      <c r="AO1337" t="s">
        <v>926</v>
      </c>
      <c r="AR1337" s="32" cm="1">
        <f t="array" ref="AR1337">SUM(AP1328:AP1333)/(SUM(AP1328:AP1333+AQ1328:AQ1333))</f>
        <v>0.77777777777777779</v>
      </c>
    </row>
    <row r="1338" spans="40:46" x14ac:dyDescent="0.3">
      <c r="AR1338" s="32"/>
    </row>
    <row r="1339" spans="40:46" x14ac:dyDescent="0.3">
      <c r="AN1339" t="s">
        <v>823</v>
      </c>
      <c r="AO1339" s="5" t="s">
        <v>849</v>
      </c>
      <c r="AR1339" t="s">
        <v>853</v>
      </c>
    </row>
    <row r="1340" spans="40:46" x14ac:dyDescent="0.3">
      <c r="AO1340" s="5" t="s">
        <v>850</v>
      </c>
      <c r="AR1340" t="s">
        <v>854</v>
      </c>
    </row>
    <row r="1341" spans="40:46" x14ac:dyDescent="0.3">
      <c r="AO1341" s="5" t="s">
        <v>851</v>
      </c>
      <c r="AR1341" t="s">
        <v>855</v>
      </c>
    </row>
    <row r="1342" spans="40:46" x14ac:dyDescent="0.3">
      <c r="AO1342" s="5" t="s">
        <v>852</v>
      </c>
      <c r="AR1342" t="s">
        <v>856</v>
      </c>
    </row>
    <row r="1343" spans="40:46" x14ac:dyDescent="0.3">
      <c r="AO1343" s="5" t="s">
        <v>858</v>
      </c>
      <c r="AR1343" t="s">
        <v>857</v>
      </c>
    </row>
    <row r="1344" spans="40:46" x14ac:dyDescent="0.3">
      <c r="AO1344" s="5" t="s">
        <v>859</v>
      </c>
    </row>
    <row r="1345" spans="41:41" x14ac:dyDescent="0.3">
      <c r="AO1345" s="5" t="s">
        <v>860</v>
      </c>
    </row>
  </sheetData>
  <autoFilter ref="A1:AM61" xr:uid="{1AF52CBA-F168-49C9-A683-1C341679A7D5}"/>
  <mergeCells count="86">
    <mergeCell ref="BI947:BI948"/>
    <mergeCell ref="BI835:BI836"/>
    <mergeCell ref="BI403:BI404"/>
    <mergeCell ref="BI419:BI420"/>
    <mergeCell ref="BI787:BI788"/>
    <mergeCell ref="BI803:BI804"/>
    <mergeCell ref="BI819:BI820"/>
    <mergeCell ref="BI771:BI772"/>
    <mergeCell ref="BI691:BI692"/>
    <mergeCell ref="BI707:BI708"/>
    <mergeCell ref="BI723:BI724"/>
    <mergeCell ref="BI739:BI740"/>
    <mergeCell ref="BI755:BI756"/>
    <mergeCell ref="BI627:BI628"/>
    <mergeCell ref="BI643:BI644"/>
    <mergeCell ref="BI467:BI468"/>
    <mergeCell ref="BI931:BI932"/>
    <mergeCell ref="BI355:BI356"/>
    <mergeCell ref="BI371:BI372"/>
    <mergeCell ref="BI387:BI388"/>
    <mergeCell ref="BI435:BI436"/>
    <mergeCell ref="BI483:BI484"/>
    <mergeCell ref="BI851:BI852"/>
    <mergeCell ref="BI867:BI868"/>
    <mergeCell ref="BI659:BI660"/>
    <mergeCell ref="BI675:BI676"/>
    <mergeCell ref="BI899:BI900"/>
    <mergeCell ref="BI915:BI916"/>
    <mergeCell ref="BI515:BI516"/>
    <mergeCell ref="BI499:BI500"/>
    <mergeCell ref="BI547:BI548"/>
    <mergeCell ref="BI3:BI4"/>
    <mergeCell ref="BI19:BI20"/>
    <mergeCell ref="BI35:BI36"/>
    <mergeCell ref="BI51:BI52"/>
    <mergeCell ref="BI67:BI68"/>
    <mergeCell ref="BI83:BI84"/>
    <mergeCell ref="BI99:BI100"/>
    <mergeCell ref="BI115:BI116"/>
    <mergeCell ref="BI131:BI132"/>
    <mergeCell ref="BI147:BI148"/>
    <mergeCell ref="BI163:BI164"/>
    <mergeCell ref="BI179:BI180"/>
    <mergeCell ref="BI195:BI196"/>
    <mergeCell ref="BI211:BI212"/>
    <mergeCell ref="BI227:BI228"/>
    <mergeCell ref="BI243:BI244"/>
    <mergeCell ref="BI259:BI260"/>
    <mergeCell ref="BI275:BI276"/>
    <mergeCell ref="BI291:BI292"/>
    <mergeCell ref="BI307:BI308"/>
    <mergeCell ref="AS278:AX278"/>
    <mergeCell ref="AR278:AR279"/>
    <mergeCell ref="AY278:AY279"/>
    <mergeCell ref="BI323:BI324"/>
    <mergeCell ref="BI883:BI884"/>
    <mergeCell ref="BI451:BI452"/>
    <mergeCell ref="BI563:BI564"/>
    <mergeCell ref="BI579:BI580"/>
    <mergeCell ref="BI595:BI596"/>
    <mergeCell ref="BI611:BI612"/>
    <mergeCell ref="BI531:BI532"/>
    <mergeCell ref="BI339:BI340"/>
    <mergeCell ref="AN983:AN984"/>
    <mergeCell ref="AN999:AN1000"/>
    <mergeCell ref="AN1015:AN1016"/>
    <mergeCell ref="AN1031:AN1032"/>
    <mergeCell ref="AN1047:AN1048"/>
    <mergeCell ref="AN1063:AN1064"/>
    <mergeCell ref="AN1079:AN1080"/>
    <mergeCell ref="AN1095:AN1096"/>
    <mergeCell ref="AN1111:AN1112"/>
    <mergeCell ref="AN1127:AN1128"/>
    <mergeCell ref="AN1143:AN1144"/>
    <mergeCell ref="AN1159:AN1160"/>
    <mergeCell ref="AN1175:AN1176"/>
    <mergeCell ref="AN1191:AN1192"/>
    <mergeCell ref="AN1207:AN1208"/>
    <mergeCell ref="AU1292:AU1293"/>
    <mergeCell ref="AQ1321:AS1321"/>
    <mergeCell ref="AQ1334:AS1334"/>
    <mergeCell ref="AN1223:AN1224"/>
    <mergeCell ref="AN1239:AN1240"/>
    <mergeCell ref="AN1255:AN1256"/>
    <mergeCell ref="AN1292:AN1293"/>
    <mergeCell ref="AO1292:AT1292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799D-F9F6-4D9A-8B0C-07154D91B23D}">
  <dimension ref="A1:C117"/>
  <sheetViews>
    <sheetView topLeftCell="A99" zoomScale="107" workbookViewId="0">
      <selection activeCell="A117" sqref="A117"/>
    </sheetView>
  </sheetViews>
  <sheetFormatPr defaultRowHeight="14.4" x14ac:dyDescent="0.3"/>
  <cols>
    <col min="1" max="1" width="50.33203125" bestFit="1" customWidth="1"/>
    <col min="3" max="3" width="55.6640625" style="13" bestFit="1" customWidth="1"/>
  </cols>
  <sheetData>
    <row r="1" spans="1:3" x14ac:dyDescent="0.3">
      <c r="A1" s="8" t="s">
        <v>1102</v>
      </c>
      <c r="B1" s="8" t="s">
        <v>93</v>
      </c>
      <c r="C1" s="55" t="s">
        <v>94</v>
      </c>
    </row>
    <row r="2" spans="1:3" x14ac:dyDescent="0.3">
      <c r="A2" s="9" t="s">
        <v>1099</v>
      </c>
      <c r="B2" s="10" t="s">
        <v>4</v>
      </c>
      <c r="C2" s="11" t="s">
        <v>95</v>
      </c>
    </row>
    <row r="3" spans="1:3" x14ac:dyDescent="0.3">
      <c r="A3" s="12"/>
      <c r="B3" t="s">
        <v>3</v>
      </c>
      <c r="C3" s="13" t="s">
        <v>96</v>
      </c>
    </row>
    <row r="4" spans="1:3" x14ac:dyDescent="0.3">
      <c r="A4" s="12"/>
      <c r="B4" t="s">
        <v>2</v>
      </c>
      <c r="C4" s="13" t="s">
        <v>97</v>
      </c>
    </row>
    <row r="5" spans="1:3" x14ac:dyDescent="0.3">
      <c r="A5" s="14"/>
      <c r="B5" s="15" t="s">
        <v>5</v>
      </c>
      <c r="C5" s="16" t="s">
        <v>98</v>
      </c>
    </row>
    <row r="6" spans="1:3" x14ac:dyDescent="0.3">
      <c r="A6" s="9" t="s">
        <v>1100</v>
      </c>
      <c r="B6" s="10" t="s">
        <v>4</v>
      </c>
      <c r="C6" s="11" t="s">
        <v>99</v>
      </c>
    </row>
    <row r="7" spans="1:3" x14ac:dyDescent="0.3">
      <c r="A7" s="12"/>
      <c r="B7" t="s">
        <v>3</v>
      </c>
      <c r="C7" s="13" t="s">
        <v>100</v>
      </c>
    </row>
    <row r="8" spans="1:3" x14ac:dyDescent="0.3">
      <c r="A8" s="12"/>
      <c r="B8" t="s">
        <v>2</v>
      </c>
      <c r="C8" s="13" t="s">
        <v>101</v>
      </c>
    </row>
    <row r="9" spans="1:3" x14ac:dyDescent="0.3">
      <c r="A9" s="14"/>
      <c r="B9" s="15" t="s">
        <v>5</v>
      </c>
      <c r="C9" s="16" t="s">
        <v>102</v>
      </c>
    </row>
    <row r="10" spans="1:3" x14ac:dyDescent="0.3">
      <c r="A10" s="9" t="s">
        <v>1101</v>
      </c>
      <c r="B10" s="10" t="s">
        <v>4</v>
      </c>
      <c r="C10" s="11" t="s">
        <v>103</v>
      </c>
    </row>
    <row r="11" spans="1:3" x14ac:dyDescent="0.3">
      <c r="A11" s="12"/>
      <c r="B11" t="s">
        <v>3</v>
      </c>
      <c r="C11" s="13" t="s">
        <v>104</v>
      </c>
    </row>
    <row r="12" spans="1:3" x14ac:dyDescent="0.3">
      <c r="A12" s="12"/>
      <c r="B12" t="s">
        <v>2</v>
      </c>
      <c r="C12" s="13" t="s">
        <v>105</v>
      </c>
    </row>
    <row r="13" spans="1:3" x14ac:dyDescent="0.3">
      <c r="A13" s="14"/>
      <c r="B13" s="15" t="s">
        <v>5</v>
      </c>
      <c r="C13" s="16" t="s">
        <v>106</v>
      </c>
    </row>
    <row r="14" spans="1:3" x14ac:dyDescent="0.3">
      <c r="A14" s="9" t="s">
        <v>1103</v>
      </c>
      <c r="B14" s="10" t="s">
        <v>4</v>
      </c>
      <c r="C14" s="11" t="s">
        <v>107</v>
      </c>
    </row>
    <row r="15" spans="1:3" x14ac:dyDescent="0.3">
      <c r="A15" s="12"/>
      <c r="B15" t="s">
        <v>3</v>
      </c>
      <c r="C15" s="13" t="s">
        <v>108</v>
      </c>
    </row>
    <row r="16" spans="1:3" x14ac:dyDescent="0.3">
      <c r="A16" s="12"/>
      <c r="B16" t="s">
        <v>2</v>
      </c>
      <c r="C16" s="13" t="s">
        <v>109</v>
      </c>
    </row>
    <row r="17" spans="1:3" x14ac:dyDescent="0.3">
      <c r="A17" s="14"/>
      <c r="B17" s="15" t="s">
        <v>5</v>
      </c>
      <c r="C17" s="16" t="s">
        <v>110</v>
      </c>
    </row>
    <row r="18" spans="1:3" x14ac:dyDescent="0.3">
      <c r="A18" s="9" t="s">
        <v>1104</v>
      </c>
      <c r="B18" s="10" t="s">
        <v>4</v>
      </c>
      <c r="C18" s="11" t="s">
        <v>111</v>
      </c>
    </row>
    <row r="19" spans="1:3" x14ac:dyDescent="0.3">
      <c r="A19" s="12"/>
      <c r="B19" t="s">
        <v>3</v>
      </c>
      <c r="C19" s="13" t="s">
        <v>112</v>
      </c>
    </row>
    <row r="20" spans="1:3" x14ac:dyDescent="0.3">
      <c r="A20" s="12"/>
      <c r="B20" t="s">
        <v>2</v>
      </c>
      <c r="C20" s="13" t="s">
        <v>113</v>
      </c>
    </row>
    <row r="21" spans="1:3" x14ac:dyDescent="0.3">
      <c r="A21" s="14"/>
      <c r="B21" s="15" t="s">
        <v>5</v>
      </c>
      <c r="C21" s="16" t="s">
        <v>98</v>
      </c>
    </row>
    <row r="22" spans="1:3" x14ac:dyDescent="0.3">
      <c r="A22" s="9" t="s">
        <v>1105</v>
      </c>
      <c r="B22" s="10" t="s">
        <v>4</v>
      </c>
      <c r="C22" s="11" t="s">
        <v>114</v>
      </c>
    </row>
    <row r="23" spans="1:3" x14ac:dyDescent="0.3">
      <c r="A23" s="12"/>
      <c r="B23" t="s">
        <v>3</v>
      </c>
      <c r="C23" s="13" t="s">
        <v>115</v>
      </c>
    </row>
    <row r="24" spans="1:3" x14ac:dyDescent="0.3">
      <c r="A24" s="12"/>
      <c r="B24" t="s">
        <v>2</v>
      </c>
      <c r="C24" s="13" t="s">
        <v>116</v>
      </c>
    </row>
    <row r="25" spans="1:3" x14ac:dyDescent="0.3">
      <c r="A25" s="14"/>
      <c r="B25" s="15" t="s">
        <v>5</v>
      </c>
      <c r="C25" s="16" t="s">
        <v>117</v>
      </c>
    </row>
    <row r="26" spans="1:3" x14ac:dyDescent="0.3">
      <c r="A26" s="9" t="s">
        <v>1106</v>
      </c>
      <c r="B26" s="10" t="s">
        <v>4</v>
      </c>
      <c r="C26" s="11" t="s">
        <v>118</v>
      </c>
    </row>
    <row r="27" spans="1:3" x14ac:dyDescent="0.3">
      <c r="A27" s="12"/>
      <c r="B27" t="s">
        <v>3</v>
      </c>
      <c r="C27" s="13" t="s">
        <v>119</v>
      </c>
    </row>
    <row r="28" spans="1:3" x14ac:dyDescent="0.3">
      <c r="A28" s="12"/>
      <c r="B28" t="s">
        <v>2</v>
      </c>
      <c r="C28" s="13" t="s">
        <v>120</v>
      </c>
    </row>
    <row r="29" spans="1:3" x14ac:dyDescent="0.3">
      <c r="A29" s="14"/>
      <c r="B29" s="15" t="s">
        <v>5</v>
      </c>
      <c r="C29" s="16" t="s">
        <v>121</v>
      </c>
    </row>
    <row r="30" spans="1:3" x14ac:dyDescent="0.3">
      <c r="A30" s="9" t="s">
        <v>1107</v>
      </c>
      <c r="B30" s="10" t="s">
        <v>4</v>
      </c>
      <c r="C30" s="11" t="s">
        <v>122</v>
      </c>
    </row>
    <row r="31" spans="1:3" x14ac:dyDescent="0.3">
      <c r="A31" s="12"/>
      <c r="B31" t="s">
        <v>3</v>
      </c>
      <c r="C31" s="13" t="s">
        <v>123</v>
      </c>
    </row>
    <row r="32" spans="1:3" x14ac:dyDescent="0.3">
      <c r="A32" s="12"/>
      <c r="B32" t="s">
        <v>2</v>
      </c>
      <c r="C32" s="13" t="s">
        <v>124</v>
      </c>
    </row>
    <row r="33" spans="1:3" x14ac:dyDescent="0.3">
      <c r="A33" s="14"/>
      <c r="B33" s="15" t="s">
        <v>5</v>
      </c>
      <c r="C33" s="16" t="s">
        <v>125</v>
      </c>
    </row>
    <row r="34" spans="1:3" x14ac:dyDescent="0.3">
      <c r="A34" t="s">
        <v>1108</v>
      </c>
      <c r="B34" t="s">
        <v>4</v>
      </c>
      <c r="C34" s="13" t="s">
        <v>126</v>
      </c>
    </row>
    <row r="35" spans="1:3" x14ac:dyDescent="0.3">
      <c r="B35" t="s">
        <v>3</v>
      </c>
      <c r="C35" s="13" t="s">
        <v>127</v>
      </c>
    </row>
    <row r="36" spans="1:3" x14ac:dyDescent="0.3">
      <c r="B36" t="s">
        <v>2</v>
      </c>
      <c r="C36" s="13" t="s">
        <v>128</v>
      </c>
    </row>
    <row r="37" spans="1:3" x14ac:dyDescent="0.3">
      <c r="B37" t="s">
        <v>5</v>
      </c>
      <c r="C37" s="13" t="s">
        <v>129</v>
      </c>
    </row>
    <row r="38" spans="1:3" x14ac:dyDescent="0.3">
      <c r="A38" s="9" t="s">
        <v>1109</v>
      </c>
      <c r="B38" s="10" t="s">
        <v>4</v>
      </c>
      <c r="C38" s="11" t="s">
        <v>130</v>
      </c>
    </row>
    <row r="39" spans="1:3" x14ac:dyDescent="0.3">
      <c r="A39" s="12"/>
      <c r="B39" t="s">
        <v>3</v>
      </c>
      <c r="C39" s="13" t="s">
        <v>131</v>
      </c>
    </row>
    <row r="40" spans="1:3" x14ac:dyDescent="0.3">
      <c r="A40" s="12"/>
      <c r="B40" t="s">
        <v>2</v>
      </c>
      <c r="C40" s="13" t="s">
        <v>132</v>
      </c>
    </row>
    <row r="41" spans="1:3" x14ac:dyDescent="0.3">
      <c r="A41" s="14"/>
      <c r="B41" s="15" t="s">
        <v>5</v>
      </c>
      <c r="C41" s="16" t="s">
        <v>133</v>
      </c>
    </row>
    <row r="42" spans="1:3" x14ac:dyDescent="0.3">
      <c r="A42" s="9" t="s">
        <v>1110</v>
      </c>
      <c r="B42" s="10" t="s">
        <v>4</v>
      </c>
      <c r="C42" s="11" t="s">
        <v>134</v>
      </c>
    </row>
    <row r="43" spans="1:3" x14ac:dyDescent="0.3">
      <c r="A43" s="12"/>
      <c r="B43" t="s">
        <v>3</v>
      </c>
      <c r="C43" s="13" t="s">
        <v>135</v>
      </c>
    </row>
    <row r="44" spans="1:3" x14ac:dyDescent="0.3">
      <c r="A44" s="12"/>
      <c r="B44" t="s">
        <v>2</v>
      </c>
      <c r="C44" s="13" t="s">
        <v>136</v>
      </c>
    </row>
    <row r="45" spans="1:3" x14ac:dyDescent="0.3">
      <c r="A45" s="14"/>
      <c r="B45" s="15" t="s">
        <v>5</v>
      </c>
      <c r="C45" s="16" t="s">
        <v>137</v>
      </c>
    </row>
    <row r="46" spans="1:3" x14ac:dyDescent="0.3">
      <c r="A46" s="9" t="s">
        <v>1111</v>
      </c>
      <c r="B46" s="10" t="s">
        <v>4</v>
      </c>
      <c r="C46" s="11" t="s">
        <v>138</v>
      </c>
    </row>
    <row r="47" spans="1:3" x14ac:dyDescent="0.3">
      <c r="A47" s="12"/>
      <c r="B47" t="s">
        <v>3</v>
      </c>
      <c r="C47" s="13" t="s">
        <v>139</v>
      </c>
    </row>
    <row r="48" spans="1:3" x14ac:dyDescent="0.3">
      <c r="A48" s="12"/>
      <c r="B48" t="s">
        <v>2</v>
      </c>
      <c r="C48" s="13" t="s">
        <v>140</v>
      </c>
    </row>
    <row r="49" spans="1:3" x14ac:dyDescent="0.3">
      <c r="A49" s="14"/>
      <c r="B49" s="15" t="s">
        <v>5</v>
      </c>
      <c r="C49" s="16" t="s">
        <v>141</v>
      </c>
    </row>
    <row r="50" spans="1:3" x14ac:dyDescent="0.3">
      <c r="A50" s="9" t="s">
        <v>1112</v>
      </c>
      <c r="B50" s="10" t="s">
        <v>4</v>
      </c>
      <c r="C50" s="11" t="s">
        <v>142</v>
      </c>
    </row>
    <row r="51" spans="1:3" x14ac:dyDescent="0.3">
      <c r="A51" s="12"/>
      <c r="B51" t="s">
        <v>3</v>
      </c>
      <c r="C51" s="13" t="s">
        <v>143</v>
      </c>
    </row>
    <row r="52" spans="1:3" x14ac:dyDescent="0.3">
      <c r="A52" s="12"/>
      <c r="B52" t="s">
        <v>2</v>
      </c>
      <c r="C52" s="13" t="s">
        <v>144</v>
      </c>
    </row>
    <row r="53" spans="1:3" x14ac:dyDescent="0.3">
      <c r="A53" s="14"/>
      <c r="B53" s="15" t="s">
        <v>5</v>
      </c>
      <c r="C53" s="16" t="s">
        <v>145</v>
      </c>
    </row>
    <row r="54" spans="1:3" x14ac:dyDescent="0.3">
      <c r="A54" s="9" t="s">
        <v>1113</v>
      </c>
      <c r="B54" s="10" t="s">
        <v>4</v>
      </c>
      <c r="C54" s="11" t="s">
        <v>146</v>
      </c>
    </row>
    <row r="55" spans="1:3" x14ac:dyDescent="0.3">
      <c r="A55" s="12"/>
      <c r="B55" t="s">
        <v>3</v>
      </c>
      <c r="C55" s="13" t="s">
        <v>147</v>
      </c>
    </row>
    <row r="56" spans="1:3" x14ac:dyDescent="0.3">
      <c r="A56" s="12"/>
      <c r="B56" t="s">
        <v>2</v>
      </c>
      <c r="C56" s="13" t="s">
        <v>148</v>
      </c>
    </row>
    <row r="57" spans="1:3" x14ac:dyDescent="0.3">
      <c r="A57" s="14"/>
      <c r="B57" s="15" t="s">
        <v>5</v>
      </c>
      <c r="C57" s="16" t="s">
        <v>149</v>
      </c>
    </row>
    <row r="58" spans="1:3" x14ac:dyDescent="0.3">
      <c r="A58" s="9" t="s">
        <v>1114</v>
      </c>
      <c r="B58" s="10" t="s">
        <v>4</v>
      </c>
      <c r="C58" s="11" t="s">
        <v>149</v>
      </c>
    </row>
    <row r="59" spans="1:3" x14ac:dyDescent="0.3">
      <c r="A59" s="12"/>
      <c r="B59" t="s">
        <v>3</v>
      </c>
      <c r="C59" s="13" t="s">
        <v>150</v>
      </c>
    </row>
    <row r="60" spans="1:3" x14ac:dyDescent="0.3">
      <c r="A60" s="12"/>
      <c r="B60" t="s">
        <v>2</v>
      </c>
      <c r="C60" s="13" t="s">
        <v>147</v>
      </c>
    </row>
    <row r="61" spans="1:3" x14ac:dyDescent="0.3">
      <c r="A61" s="14"/>
      <c r="B61" s="15" t="s">
        <v>5</v>
      </c>
      <c r="C61" s="16" t="s">
        <v>146</v>
      </c>
    </row>
    <row r="62" spans="1:3" x14ac:dyDescent="0.3">
      <c r="A62" s="9" t="s">
        <v>1115</v>
      </c>
      <c r="B62" s="10" t="s">
        <v>4</v>
      </c>
      <c r="C62" s="11" t="s">
        <v>151</v>
      </c>
    </row>
    <row r="63" spans="1:3" x14ac:dyDescent="0.3">
      <c r="A63" s="12"/>
      <c r="B63" t="s">
        <v>3</v>
      </c>
      <c r="C63" s="13" t="s">
        <v>152</v>
      </c>
    </row>
    <row r="64" spans="1:3" x14ac:dyDescent="0.3">
      <c r="A64" s="12"/>
      <c r="B64" t="s">
        <v>2</v>
      </c>
      <c r="C64" s="13" t="s">
        <v>153</v>
      </c>
    </row>
    <row r="65" spans="1:3" x14ac:dyDescent="0.3">
      <c r="A65" s="14"/>
      <c r="B65" s="15" t="s">
        <v>5</v>
      </c>
      <c r="C65" s="16" t="s">
        <v>154</v>
      </c>
    </row>
    <row r="66" spans="1:3" x14ac:dyDescent="0.3">
      <c r="A66" s="9" t="s">
        <v>1116</v>
      </c>
      <c r="B66" s="10" t="s">
        <v>4</v>
      </c>
      <c r="C66" s="11" t="s">
        <v>155</v>
      </c>
    </row>
    <row r="67" spans="1:3" x14ac:dyDescent="0.3">
      <c r="A67" s="12"/>
      <c r="B67" t="s">
        <v>3</v>
      </c>
      <c r="C67" s="13" t="s">
        <v>156</v>
      </c>
    </row>
    <row r="68" spans="1:3" x14ac:dyDescent="0.3">
      <c r="A68" s="12"/>
      <c r="B68" t="s">
        <v>2</v>
      </c>
      <c r="C68" s="13" t="s">
        <v>157</v>
      </c>
    </row>
    <row r="69" spans="1:3" x14ac:dyDescent="0.3">
      <c r="A69" s="14"/>
      <c r="B69" s="15" t="s">
        <v>5</v>
      </c>
      <c r="C69" s="16" t="s">
        <v>154</v>
      </c>
    </row>
    <row r="70" spans="1:3" x14ac:dyDescent="0.3">
      <c r="A70" s="9" t="s">
        <v>1117</v>
      </c>
      <c r="B70" s="10" t="s">
        <v>4</v>
      </c>
      <c r="C70" s="11" t="s">
        <v>158</v>
      </c>
    </row>
    <row r="71" spans="1:3" x14ac:dyDescent="0.3">
      <c r="A71" s="12"/>
      <c r="B71" t="s">
        <v>3</v>
      </c>
      <c r="C71" s="13" t="s">
        <v>159</v>
      </c>
    </row>
    <row r="72" spans="1:3" x14ac:dyDescent="0.3">
      <c r="A72" s="12"/>
      <c r="B72" t="s">
        <v>2</v>
      </c>
      <c r="C72" s="13" t="s">
        <v>160</v>
      </c>
    </row>
    <row r="73" spans="1:3" x14ac:dyDescent="0.3">
      <c r="A73" s="14"/>
      <c r="B73" s="15" t="s">
        <v>5</v>
      </c>
      <c r="C73" s="16" t="s">
        <v>154</v>
      </c>
    </row>
    <row r="74" spans="1:3" x14ac:dyDescent="0.3">
      <c r="A74" s="9" t="s">
        <v>1118</v>
      </c>
      <c r="B74" s="10" t="s">
        <v>4</v>
      </c>
      <c r="C74" s="11" t="s">
        <v>161</v>
      </c>
    </row>
    <row r="75" spans="1:3" x14ac:dyDescent="0.3">
      <c r="A75" s="12"/>
      <c r="B75" t="s">
        <v>3</v>
      </c>
      <c r="C75" s="13" t="s">
        <v>162</v>
      </c>
    </row>
    <row r="76" spans="1:3" x14ac:dyDescent="0.3">
      <c r="A76" s="12"/>
      <c r="B76" t="s">
        <v>2</v>
      </c>
      <c r="C76" s="13" t="s">
        <v>163</v>
      </c>
    </row>
    <row r="77" spans="1:3" x14ac:dyDescent="0.3">
      <c r="A77" s="14"/>
      <c r="B77" s="15" t="s">
        <v>5</v>
      </c>
      <c r="C77" s="16" t="s">
        <v>164</v>
      </c>
    </row>
    <row r="78" spans="1:3" x14ac:dyDescent="0.3">
      <c r="A78" s="9" t="s">
        <v>1119</v>
      </c>
      <c r="B78" s="10" t="s">
        <v>4</v>
      </c>
      <c r="C78" s="11" t="s">
        <v>165</v>
      </c>
    </row>
    <row r="79" spans="1:3" x14ac:dyDescent="0.3">
      <c r="A79" s="12"/>
      <c r="B79" t="s">
        <v>3</v>
      </c>
      <c r="C79" s="13" t="s">
        <v>166</v>
      </c>
    </row>
    <row r="80" spans="1:3" x14ac:dyDescent="0.3">
      <c r="A80" s="12"/>
      <c r="B80" t="s">
        <v>2</v>
      </c>
      <c r="C80" s="13" t="s">
        <v>167</v>
      </c>
    </row>
    <row r="81" spans="1:3" x14ac:dyDescent="0.3">
      <c r="A81" s="14"/>
      <c r="B81" s="15" t="s">
        <v>5</v>
      </c>
      <c r="C81" s="16" t="s">
        <v>168</v>
      </c>
    </row>
    <row r="82" spans="1:3" x14ac:dyDescent="0.3">
      <c r="A82" s="9" t="s">
        <v>1120</v>
      </c>
      <c r="B82" s="10" t="s">
        <v>4</v>
      </c>
      <c r="C82" s="11" t="s">
        <v>154</v>
      </c>
    </row>
    <row r="83" spans="1:3" x14ac:dyDescent="0.3">
      <c r="A83" s="12"/>
      <c r="B83" t="s">
        <v>3</v>
      </c>
      <c r="C83" s="13" t="s">
        <v>169</v>
      </c>
    </row>
    <row r="84" spans="1:3" x14ac:dyDescent="0.3">
      <c r="A84" s="12"/>
      <c r="B84" t="s">
        <v>2</v>
      </c>
      <c r="C84" s="13" t="s">
        <v>170</v>
      </c>
    </row>
    <row r="85" spans="1:3" x14ac:dyDescent="0.3">
      <c r="A85" s="14"/>
      <c r="B85" s="15" t="s">
        <v>5</v>
      </c>
      <c r="C85" s="16" t="s">
        <v>171</v>
      </c>
    </row>
    <row r="86" spans="1:3" x14ac:dyDescent="0.3">
      <c r="A86" s="9" t="s">
        <v>1121</v>
      </c>
      <c r="B86" s="10" t="s">
        <v>4</v>
      </c>
      <c r="C86" s="13" t="s">
        <v>242</v>
      </c>
    </row>
    <row r="87" spans="1:3" x14ac:dyDescent="0.3">
      <c r="A87" s="12"/>
      <c r="B87" t="s">
        <v>3</v>
      </c>
      <c r="C87" s="13" t="s">
        <v>243</v>
      </c>
    </row>
    <row r="88" spans="1:3" x14ac:dyDescent="0.3">
      <c r="A88" s="12"/>
      <c r="B88" t="s">
        <v>2</v>
      </c>
      <c r="C88" s="13" t="s">
        <v>244</v>
      </c>
    </row>
    <row r="89" spans="1:3" x14ac:dyDescent="0.3">
      <c r="A89" s="12"/>
      <c r="B89" t="s">
        <v>5</v>
      </c>
      <c r="C89" s="13" t="s">
        <v>245</v>
      </c>
    </row>
    <row r="90" spans="1:3" x14ac:dyDescent="0.3">
      <c r="A90" s="17" t="s">
        <v>1122</v>
      </c>
      <c r="B90" s="17" t="s">
        <v>4</v>
      </c>
      <c r="C90" s="18" t="s">
        <v>246</v>
      </c>
    </row>
    <row r="91" spans="1:3" x14ac:dyDescent="0.3">
      <c r="A91" s="19"/>
      <c r="B91" s="19" t="s">
        <v>3</v>
      </c>
      <c r="C91" s="20" t="s">
        <v>247</v>
      </c>
    </row>
    <row r="92" spans="1:3" x14ac:dyDescent="0.3">
      <c r="A92" t="s">
        <v>1123</v>
      </c>
      <c r="B92" t="s">
        <v>4</v>
      </c>
      <c r="C92" s="13" t="s">
        <v>248</v>
      </c>
    </row>
    <row r="93" spans="1:3" x14ac:dyDescent="0.3">
      <c r="B93" s="15" t="s">
        <v>3</v>
      </c>
      <c r="C93" s="13" t="s">
        <v>249</v>
      </c>
    </row>
    <row r="94" spans="1:3" x14ac:dyDescent="0.3">
      <c r="A94" s="9" t="s">
        <v>1124</v>
      </c>
      <c r="B94" t="s">
        <v>4</v>
      </c>
      <c r="C94" s="11" t="s">
        <v>248</v>
      </c>
    </row>
    <row r="95" spans="1:3" x14ac:dyDescent="0.3">
      <c r="A95" s="15"/>
      <c r="B95" t="s">
        <v>3</v>
      </c>
      <c r="C95" s="13" t="s">
        <v>249</v>
      </c>
    </row>
    <row r="96" spans="1:3" x14ac:dyDescent="0.3">
      <c r="A96" s="10" t="s">
        <v>1125</v>
      </c>
      <c r="B96" s="10" t="s">
        <v>4</v>
      </c>
      <c r="C96" s="11" t="s">
        <v>250</v>
      </c>
    </row>
    <row r="97" spans="1:3" x14ac:dyDescent="0.3">
      <c r="B97" t="s">
        <v>3</v>
      </c>
      <c r="C97" s="13" t="s">
        <v>251</v>
      </c>
    </row>
    <row r="98" spans="1:3" x14ac:dyDescent="0.3">
      <c r="A98" s="9" t="s">
        <v>1126</v>
      </c>
      <c r="B98" s="10" t="s">
        <v>4</v>
      </c>
      <c r="C98" s="11" t="s">
        <v>250</v>
      </c>
    </row>
    <row r="99" spans="1:3" x14ac:dyDescent="0.3">
      <c r="B99" t="s">
        <v>3</v>
      </c>
      <c r="C99" s="13" t="s">
        <v>251</v>
      </c>
    </row>
    <row r="100" spans="1:3" x14ac:dyDescent="0.3">
      <c r="A100" s="10" t="s">
        <v>1127</v>
      </c>
      <c r="B100" s="10" t="s">
        <v>4</v>
      </c>
      <c r="C100" s="11" t="s">
        <v>250</v>
      </c>
    </row>
    <row r="101" spans="1:3" x14ac:dyDescent="0.3">
      <c r="B101" t="s">
        <v>3</v>
      </c>
      <c r="C101" s="13" t="s">
        <v>251</v>
      </c>
    </row>
    <row r="102" spans="1:3" x14ac:dyDescent="0.3">
      <c r="A102" s="9" t="s">
        <v>1128</v>
      </c>
      <c r="B102" s="10" t="s">
        <v>4</v>
      </c>
      <c r="C102" s="11" t="s">
        <v>250</v>
      </c>
    </row>
    <row r="103" spans="1:3" x14ac:dyDescent="0.3">
      <c r="A103" s="14"/>
      <c r="B103" s="15" t="s">
        <v>3</v>
      </c>
      <c r="C103" s="13" t="s">
        <v>251</v>
      </c>
    </row>
    <row r="104" spans="1:3" x14ac:dyDescent="0.3">
      <c r="A104" s="9" t="s">
        <v>1129</v>
      </c>
      <c r="B104" s="10" t="s">
        <v>4</v>
      </c>
      <c r="C104" s="11" t="s">
        <v>250</v>
      </c>
    </row>
    <row r="105" spans="1:3" x14ac:dyDescent="0.3">
      <c r="A105" s="14"/>
      <c r="B105" s="15" t="s">
        <v>3</v>
      </c>
      <c r="C105" s="13" t="s">
        <v>251</v>
      </c>
    </row>
    <row r="106" spans="1:3" x14ac:dyDescent="0.3">
      <c r="A106" s="9" t="s">
        <v>1130</v>
      </c>
      <c r="B106" s="10" t="s">
        <v>4</v>
      </c>
      <c r="C106" s="11" t="s">
        <v>250</v>
      </c>
    </row>
    <row r="107" spans="1:3" x14ac:dyDescent="0.3">
      <c r="A107" s="14"/>
      <c r="B107" s="15" t="s">
        <v>3</v>
      </c>
      <c r="C107" s="13" t="s">
        <v>251</v>
      </c>
    </row>
    <row r="108" spans="1:3" x14ac:dyDescent="0.3">
      <c r="A108" s="9" t="s">
        <v>1131</v>
      </c>
      <c r="B108" s="10" t="s">
        <v>4</v>
      </c>
      <c r="C108" s="11" t="s">
        <v>250</v>
      </c>
    </row>
    <row r="109" spans="1:3" x14ac:dyDescent="0.3">
      <c r="A109" s="14"/>
      <c r="B109" s="15" t="s">
        <v>3</v>
      </c>
      <c r="C109" s="13" t="s">
        <v>251</v>
      </c>
    </row>
    <row r="110" spans="1:3" x14ac:dyDescent="0.3">
      <c r="A110" s="9" t="s">
        <v>1132</v>
      </c>
      <c r="B110" s="10" t="s">
        <v>4</v>
      </c>
      <c r="C110" s="11" t="s">
        <v>250</v>
      </c>
    </row>
    <row r="111" spans="1:3" x14ac:dyDescent="0.3">
      <c r="A111" s="14"/>
      <c r="B111" s="15" t="s">
        <v>3</v>
      </c>
      <c r="C111" s="13" t="s">
        <v>251</v>
      </c>
    </row>
    <row r="112" spans="1:3" x14ac:dyDescent="0.3">
      <c r="A112" s="9" t="s">
        <v>1133</v>
      </c>
      <c r="B112" s="10" t="s">
        <v>4</v>
      </c>
      <c r="C112" s="11" t="s">
        <v>250</v>
      </c>
    </row>
    <row r="113" spans="1:3" x14ac:dyDescent="0.3">
      <c r="A113" s="14"/>
      <c r="B113" s="15" t="s">
        <v>3</v>
      </c>
      <c r="C113" s="13" t="s">
        <v>251</v>
      </c>
    </row>
    <row r="114" spans="1:3" x14ac:dyDescent="0.3">
      <c r="A114" s="9" t="s">
        <v>1134</v>
      </c>
      <c r="B114" s="10" t="s">
        <v>4</v>
      </c>
      <c r="C114" s="11" t="s">
        <v>250</v>
      </c>
    </row>
    <row r="115" spans="1:3" x14ac:dyDescent="0.3">
      <c r="A115" s="14"/>
      <c r="B115" s="15" t="s">
        <v>3</v>
      </c>
      <c r="C115" s="13" t="s">
        <v>251</v>
      </c>
    </row>
    <row r="116" spans="1:3" x14ac:dyDescent="0.3">
      <c r="A116" s="9" t="s">
        <v>1135</v>
      </c>
      <c r="B116" s="10" t="s">
        <v>4</v>
      </c>
      <c r="C116" s="11" t="s">
        <v>250</v>
      </c>
    </row>
    <row r="117" spans="1:3" x14ac:dyDescent="0.3">
      <c r="A117" s="14"/>
      <c r="B117" s="15" t="s">
        <v>3</v>
      </c>
      <c r="C117" s="16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B3AF-0EDD-4BAD-890C-01D6D3BAD1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Perhitungan naive bayes</vt:lpstr>
      <vt:lpstr>IM (Indikator miskin)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marankahar</dc:creator>
  <cp:lastModifiedBy>arina marankahar</cp:lastModifiedBy>
  <dcterms:created xsi:type="dcterms:W3CDTF">2026-04-08T14:42:51Z</dcterms:created>
  <dcterms:modified xsi:type="dcterms:W3CDTF">2026-05-15T07:47:21Z</dcterms:modified>
</cp:coreProperties>
</file>